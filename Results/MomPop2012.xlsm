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MomPop\Results\"/>
    </mc:Choice>
  </mc:AlternateContent>
  <bookViews>
    <workbookView xWindow="0" yWindow="0" windowWidth="18795" windowHeight="76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9" i="20" l="1"/>
  <c r="S37" i="20"/>
  <c r="S16" i="20"/>
  <c r="S15" i="20"/>
  <c r="T19" i="20" s="1"/>
  <c r="S14" i="20"/>
  <c r="H40" i="20"/>
  <c r="H39" i="20"/>
  <c r="H38" i="20"/>
  <c r="H35" i="20"/>
  <c r="S42" i="20" s="1"/>
  <c r="H34" i="20"/>
  <c r="H33" i="20"/>
  <c r="S36" i="20" s="1"/>
  <c r="H30" i="20"/>
  <c r="H29" i="20"/>
  <c r="H28" i="20"/>
  <c r="S40" i="20" s="1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E121" i="10" s="1"/>
  <c r="F110" i="10"/>
  <c r="G110" i="10"/>
  <c r="H110" i="10"/>
  <c r="I110" i="10"/>
  <c r="J110" i="10"/>
  <c r="K110" i="10"/>
  <c r="L110" i="10"/>
  <c r="M110" i="10"/>
  <c r="M121" i="10" s="1"/>
  <c r="N110" i="10"/>
  <c r="O110" i="10"/>
  <c r="D111" i="10"/>
  <c r="E111" i="10"/>
  <c r="F111" i="10"/>
  <c r="G111" i="10"/>
  <c r="G122" i="10" s="1"/>
  <c r="H111" i="10"/>
  <c r="I111" i="10"/>
  <c r="I122" i="10" s="1"/>
  <c r="J111" i="10"/>
  <c r="K111" i="10"/>
  <c r="L111" i="10"/>
  <c r="M111" i="10"/>
  <c r="N111" i="10"/>
  <c r="O111" i="10"/>
  <c r="O122" i="10" s="1"/>
  <c r="D112" i="10"/>
  <c r="E112" i="10"/>
  <c r="E123" i="10" s="1"/>
  <c r="F112" i="10"/>
  <c r="G112" i="10"/>
  <c r="H112" i="10"/>
  <c r="I112" i="10"/>
  <c r="J112" i="10"/>
  <c r="K112" i="10"/>
  <c r="K123" i="10" s="1"/>
  <c r="L112" i="10"/>
  <c r="M112" i="10"/>
  <c r="M123" i="10" s="1"/>
  <c r="N112" i="10"/>
  <c r="O112" i="10"/>
  <c r="D113" i="10"/>
  <c r="E113" i="10"/>
  <c r="F113" i="10"/>
  <c r="G113" i="10"/>
  <c r="G124" i="10" s="1"/>
  <c r="H113" i="10"/>
  <c r="I113" i="10"/>
  <c r="I124" i="10" s="1"/>
  <c r="J113" i="10"/>
  <c r="K113" i="10"/>
  <c r="L113" i="10"/>
  <c r="M113" i="10"/>
  <c r="N113" i="10"/>
  <c r="O113" i="10"/>
  <c r="O124" i="10" s="1"/>
  <c r="D114" i="10"/>
  <c r="E114" i="10"/>
  <c r="E125" i="10" s="1"/>
  <c r="F114" i="10"/>
  <c r="G114" i="10"/>
  <c r="H114" i="10"/>
  <c r="I114" i="10"/>
  <c r="J114" i="10"/>
  <c r="K114" i="10"/>
  <c r="K125" i="10" s="1"/>
  <c r="L114" i="10"/>
  <c r="M114" i="10"/>
  <c r="M125" i="10" s="1"/>
  <c r="N114" i="10"/>
  <c r="O114" i="10"/>
  <c r="D115" i="10"/>
  <c r="E115" i="10"/>
  <c r="F115" i="10"/>
  <c r="G115" i="10"/>
  <c r="G126" i="10" s="1"/>
  <c r="H115" i="10"/>
  <c r="I115" i="10"/>
  <c r="I126" i="10" s="1"/>
  <c r="J115" i="10"/>
  <c r="K115" i="10"/>
  <c r="L115" i="10"/>
  <c r="M115" i="10"/>
  <c r="N115" i="10"/>
  <c r="O115" i="10"/>
  <c r="O126" i="10" s="1"/>
  <c r="D116" i="10"/>
  <c r="E116" i="10"/>
  <c r="F116" i="10"/>
  <c r="H116" i="10"/>
  <c r="L116" i="10"/>
  <c r="M116" i="10"/>
  <c r="N116" i="10"/>
  <c r="D120" i="10"/>
  <c r="E120" i="10"/>
  <c r="F120" i="10"/>
  <c r="H120" i="10"/>
  <c r="J120" i="10"/>
  <c r="K120" i="10"/>
  <c r="L120" i="10"/>
  <c r="M120" i="10"/>
  <c r="N120" i="10"/>
  <c r="D121" i="10"/>
  <c r="F121" i="10"/>
  <c r="G121" i="10"/>
  <c r="H121" i="10"/>
  <c r="I121" i="10"/>
  <c r="J121" i="10"/>
  <c r="L121" i="10"/>
  <c r="N121" i="10"/>
  <c r="O121" i="10"/>
  <c r="D122" i="10"/>
  <c r="E122" i="10"/>
  <c r="F122" i="10"/>
  <c r="H122" i="10"/>
  <c r="J122" i="10"/>
  <c r="K122" i="10"/>
  <c r="L122" i="10"/>
  <c r="M122" i="10"/>
  <c r="N122" i="10"/>
  <c r="D123" i="10"/>
  <c r="F123" i="10"/>
  <c r="G123" i="10"/>
  <c r="H123" i="10"/>
  <c r="I123" i="10"/>
  <c r="J123" i="10"/>
  <c r="L123" i="10"/>
  <c r="N123" i="10"/>
  <c r="O123" i="10"/>
  <c r="D124" i="10"/>
  <c r="E124" i="10"/>
  <c r="F124" i="10"/>
  <c r="H124" i="10"/>
  <c r="J124" i="10"/>
  <c r="K124" i="10"/>
  <c r="L124" i="10"/>
  <c r="M124" i="10"/>
  <c r="N124" i="10"/>
  <c r="D125" i="10"/>
  <c r="F125" i="10"/>
  <c r="G125" i="10"/>
  <c r="H125" i="10"/>
  <c r="I125" i="10"/>
  <c r="J125" i="10"/>
  <c r="L125" i="10"/>
  <c r="N125" i="10"/>
  <c r="O125" i="10"/>
  <c r="D126" i="10"/>
  <c r="D127" i="10" s="1"/>
  <c r="E126" i="10"/>
  <c r="F126" i="10"/>
  <c r="H126" i="10"/>
  <c r="J126" i="10"/>
  <c r="K126" i="10"/>
  <c r="L126" i="10"/>
  <c r="M126" i="10"/>
  <c r="N126" i="10"/>
  <c r="H127" i="10"/>
  <c r="L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M138" i="10" s="1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H138" i="10"/>
  <c r="L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F121" i="11" s="1"/>
  <c r="G110" i="11"/>
  <c r="H110" i="11"/>
  <c r="I110" i="11"/>
  <c r="J110" i="11"/>
  <c r="K110" i="11"/>
  <c r="L110" i="11"/>
  <c r="M110" i="11"/>
  <c r="N110" i="11"/>
  <c r="N121" i="11" s="1"/>
  <c r="O110" i="11"/>
  <c r="D111" i="11"/>
  <c r="E111" i="11"/>
  <c r="F111" i="11"/>
  <c r="G111" i="11"/>
  <c r="H111" i="11"/>
  <c r="I111" i="11"/>
  <c r="J111" i="11"/>
  <c r="J122" i="11" s="1"/>
  <c r="K111" i="11"/>
  <c r="L111" i="11"/>
  <c r="M111" i="11"/>
  <c r="N111" i="11"/>
  <c r="O111" i="11"/>
  <c r="D112" i="11"/>
  <c r="E112" i="11"/>
  <c r="F112" i="11"/>
  <c r="F123" i="11" s="1"/>
  <c r="G112" i="11"/>
  <c r="H112" i="11"/>
  <c r="I112" i="11"/>
  <c r="J112" i="11"/>
  <c r="K112" i="11"/>
  <c r="K123" i="11" s="1"/>
  <c r="L112" i="11"/>
  <c r="M112" i="11"/>
  <c r="N112" i="11"/>
  <c r="N123" i="11" s="1"/>
  <c r="O112" i="11"/>
  <c r="D113" i="11"/>
  <c r="E113" i="11"/>
  <c r="F113" i="11"/>
  <c r="G113" i="11"/>
  <c r="G124" i="11" s="1"/>
  <c r="H113" i="11"/>
  <c r="I113" i="11"/>
  <c r="J113" i="11"/>
  <c r="J124" i="11" s="1"/>
  <c r="K113" i="11"/>
  <c r="L113" i="11"/>
  <c r="M113" i="11"/>
  <c r="N113" i="11"/>
  <c r="O113" i="11"/>
  <c r="D114" i="11"/>
  <c r="E114" i="11"/>
  <c r="E125" i="11" s="1"/>
  <c r="F114" i="11"/>
  <c r="F125" i="11" s="1"/>
  <c r="G114" i="11"/>
  <c r="H114" i="11"/>
  <c r="I114" i="11"/>
  <c r="J114" i="11"/>
  <c r="K114" i="11"/>
  <c r="L114" i="11"/>
  <c r="M114" i="11"/>
  <c r="M125" i="11" s="1"/>
  <c r="N114" i="11"/>
  <c r="N125" i="11" s="1"/>
  <c r="O114" i="11"/>
  <c r="D115" i="11"/>
  <c r="E115" i="11"/>
  <c r="F115" i="11"/>
  <c r="G115" i="11"/>
  <c r="H115" i="11"/>
  <c r="H126" i="11" s="1"/>
  <c r="I115" i="11"/>
  <c r="I126" i="11" s="1"/>
  <c r="J115" i="11"/>
  <c r="K115" i="11"/>
  <c r="L115" i="11"/>
  <c r="M115" i="11"/>
  <c r="N115" i="11"/>
  <c r="O115" i="11"/>
  <c r="D116" i="11"/>
  <c r="E116" i="11"/>
  <c r="F116" i="11"/>
  <c r="H116" i="11"/>
  <c r="L116" i="11"/>
  <c r="N116" i="11"/>
  <c r="D120" i="11"/>
  <c r="D127" i="11" s="1"/>
  <c r="E120" i="11"/>
  <c r="F120" i="11"/>
  <c r="G120" i="11"/>
  <c r="H120" i="11"/>
  <c r="K120" i="11"/>
  <c r="L120" i="11"/>
  <c r="M120" i="11"/>
  <c r="N120" i="11"/>
  <c r="O120" i="11"/>
  <c r="D121" i="11"/>
  <c r="E121" i="11"/>
  <c r="E127" i="11" s="1"/>
  <c r="G121" i="11"/>
  <c r="H121" i="11"/>
  <c r="I121" i="11"/>
  <c r="J121" i="11"/>
  <c r="K121" i="11"/>
  <c r="L121" i="11"/>
  <c r="M121" i="11"/>
  <c r="M127" i="11" s="1"/>
  <c r="O121" i="11"/>
  <c r="D122" i="11"/>
  <c r="E122" i="11"/>
  <c r="F122" i="11"/>
  <c r="G122" i="11"/>
  <c r="H122" i="11"/>
  <c r="I122" i="11"/>
  <c r="K122" i="11"/>
  <c r="L122" i="11"/>
  <c r="M122" i="11"/>
  <c r="N122" i="11"/>
  <c r="O122" i="11"/>
  <c r="D123" i="11"/>
  <c r="E123" i="11"/>
  <c r="G123" i="11"/>
  <c r="H123" i="11"/>
  <c r="I123" i="11"/>
  <c r="J123" i="11"/>
  <c r="L123" i="11"/>
  <c r="M123" i="11"/>
  <c r="O123" i="11"/>
  <c r="D124" i="11"/>
  <c r="E124" i="11"/>
  <c r="F124" i="11"/>
  <c r="H124" i="11"/>
  <c r="I124" i="11"/>
  <c r="K124" i="11"/>
  <c r="L124" i="11"/>
  <c r="M124" i="11"/>
  <c r="N124" i="11"/>
  <c r="O124" i="11"/>
  <c r="D125" i="11"/>
  <c r="G125" i="11"/>
  <c r="H125" i="11"/>
  <c r="I125" i="11"/>
  <c r="J125" i="11"/>
  <c r="K125" i="11"/>
  <c r="L125" i="11"/>
  <c r="O125" i="11"/>
  <c r="D126" i="11"/>
  <c r="E126" i="11"/>
  <c r="F126" i="11"/>
  <c r="G126" i="11"/>
  <c r="J126" i="11"/>
  <c r="K126" i="11"/>
  <c r="L126" i="11"/>
  <c r="M126" i="11"/>
  <c r="N126" i="11"/>
  <c r="O126" i="11"/>
  <c r="H127" i="11"/>
  <c r="L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H138" i="11"/>
  <c r="L138" i="11"/>
  <c r="M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E121" i="12" s="1"/>
  <c r="F110" i="12"/>
  <c r="F121" i="12" s="1"/>
  <c r="G110" i="12"/>
  <c r="H110" i="12"/>
  <c r="I110" i="12"/>
  <c r="J110" i="12"/>
  <c r="K110" i="12"/>
  <c r="L110" i="12"/>
  <c r="M110" i="12"/>
  <c r="M121" i="12" s="1"/>
  <c r="M127" i="12" s="1"/>
  <c r="N110" i="12"/>
  <c r="O110" i="12"/>
  <c r="D111" i="12"/>
  <c r="E111" i="12"/>
  <c r="F111" i="12"/>
  <c r="G111" i="12"/>
  <c r="G122" i="12" s="1"/>
  <c r="H111" i="12"/>
  <c r="I111" i="12"/>
  <c r="I122" i="12" s="1"/>
  <c r="J111" i="12"/>
  <c r="J122" i="12" s="1"/>
  <c r="K111" i="12"/>
  <c r="L111" i="12"/>
  <c r="M111" i="12"/>
  <c r="N111" i="12"/>
  <c r="O111" i="12"/>
  <c r="O122" i="12" s="1"/>
  <c r="D112" i="12"/>
  <c r="E112" i="12"/>
  <c r="E123" i="12" s="1"/>
  <c r="F112" i="12"/>
  <c r="G112" i="12"/>
  <c r="H112" i="12"/>
  <c r="I112" i="12"/>
  <c r="J112" i="12"/>
  <c r="K112" i="12"/>
  <c r="K123" i="12" s="1"/>
  <c r="L112" i="12"/>
  <c r="M112" i="12"/>
  <c r="M123" i="12" s="1"/>
  <c r="N112" i="12"/>
  <c r="O112" i="12"/>
  <c r="D113" i="12"/>
  <c r="E113" i="12"/>
  <c r="F113" i="12"/>
  <c r="G113" i="12"/>
  <c r="G124" i="12" s="1"/>
  <c r="H113" i="12"/>
  <c r="I113" i="12"/>
  <c r="I124" i="12" s="1"/>
  <c r="J113" i="12"/>
  <c r="K113" i="12"/>
  <c r="L113" i="12"/>
  <c r="M113" i="12"/>
  <c r="N113" i="12"/>
  <c r="O113" i="12"/>
  <c r="O124" i="12" s="1"/>
  <c r="D114" i="12"/>
  <c r="E114" i="12"/>
  <c r="E125" i="12" s="1"/>
  <c r="F114" i="12"/>
  <c r="F125" i="12" s="1"/>
  <c r="G114" i="12"/>
  <c r="H114" i="12"/>
  <c r="I114" i="12"/>
  <c r="J114" i="12"/>
  <c r="K114" i="12"/>
  <c r="K125" i="12" s="1"/>
  <c r="L114" i="12"/>
  <c r="L125" i="12" s="1"/>
  <c r="L127" i="12" s="1"/>
  <c r="M114" i="12"/>
  <c r="N114" i="12"/>
  <c r="N125" i="12" s="1"/>
  <c r="O114" i="12"/>
  <c r="D115" i="12"/>
  <c r="E115" i="12"/>
  <c r="F115" i="12"/>
  <c r="G115" i="12"/>
  <c r="G126" i="12" s="1"/>
  <c r="H115" i="12"/>
  <c r="H126" i="12" s="1"/>
  <c r="I115" i="12"/>
  <c r="J115" i="12"/>
  <c r="J126" i="12" s="1"/>
  <c r="K115" i="12"/>
  <c r="L115" i="12"/>
  <c r="M115" i="12"/>
  <c r="N115" i="12"/>
  <c r="O115" i="12"/>
  <c r="O126" i="12" s="1"/>
  <c r="D116" i="12"/>
  <c r="E116" i="12"/>
  <c r="F116" i="12"/>
  <c r="H116" i="12"/>
  <c r="L116" i="12"/>
  <c r="M116" i="12"/>
  <c r="D120" i="12"/>
  <c r="D127" i="12" s="1"/>
  <c r="E120" i="12"/>
  <c r="F120" i="12"/>
  <c r="H120" i="12"/>
  <c r="J120" i="12"/>
  <c r="K120" i="12"/>
  <c r="L120" i="12"/>
  <c r="M120" i="12"/>
  <c r="N120" i="12"/>
  <c r="D121" i="12"/>
  <c r="G121" i="12"/>
  <c r="H121" i="12"/>
  <c r="I121" i="12"/>
  <c r="J121" i="12"/>
  <c r="L121" i="12"/>
  <c r="O121" i="12"/>
  <c r="D122" i="12"/>
  <c r="E122" i="12"/>
  <c r="F122" i="12"/>
  <c r="H122" i="12"/>
  <c r="K122" i="12"/>
  <c r="L122" i="12"/>
  <c r="M122" i="12"/>
  <c r="N122" i="12"/>
  <c r="D123" i="12"/>
  <c r="F123" i="12"/>
  <c r="G123" i="12"/>
  <c r="H123" i="12"/>
  <c r="I123" i="12"/>
  <c r="J123" i="12"/>
  <c r="L123" i="12"/>
  <c r="N123" i="12"/>
  <c r="O123" i="12"/>
  <c r="D124" i="12"/>
  <c r="E124" i="12"/>
  <c r="F124" i="12"/>
  <c r="H124" i="12"/>
  <c r="J124" i="12"/>
  <c r="K124" i="12"/>
  <c r="L124" i="12"/>
  <c r="M124" i="12"/>
  <c r="N124" i="12"/>
  <c r="D125" i="12"/>
  <c r="G125" i="12"/>
  <c r="H125" i="12"/>
  <c r="I125" i="12"/>
  <c r="J125" i="12"/>
  <c r="M125" i="12"/>
  <c r="O125" i="12"/>
  <c r="D126" i="12"/>
  <c r="E126" i="12"/>
  <c r="F126" i="12"/>
  <c r="I126" i="12"/>
  <c r="K126" i="12"/>
  <c r="L126" i="12"/>
  <c r="M126" i="12"/>
  <c r="N126" i="12"/>
  <c r="H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H138" i="12"/>
  <c r="L138" i="12"/>
  <c r="M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G122" i="13" s="1"/>
  <c r="H111" i="13"/>
  <c r="I111" i="13"/>
  <c r="J111" i="13"/>
  <c r="K111" i="13"/>
  <c r="L111" i="13"/>
  <c r="M111" i="13"/>
  <c r="N111" i="13"/>
  <c r="O111" i="13"/>
  <c r="O122" i="13" s="1"/>
  <c r="D112" i="13"/>
  <c r="E112" i="13"/>
  <c r="F112" i="13"/>
  <c r="G112" i="13"/>
  <c r="H112" i="13"/>
  <c r="I112" i="13"/>
  <c r="J112" i="13"/>
  <c r="K112" i="13"/>
  <c r="K123" i="13" s="1"/>
  <c r="L112" i="13"/>
  <c r="M112" i="13"/>
  <c r="N112" i="13"/>
  <c r="O112" i="13"/>
  <c r="D113" i="13"/>
  <c r="E113" i="13"/>
  <c r="F113" i="13"/>
  <c r="G113" i="13"/>
  <c r="G124" i="13" s="1"/>
  <c r="H113" i="13"/>
  <c r="I113" i="13"/>
  <c r="J113" i="13"/>
  <c r="K113" i="13"/>
  <c r="L113" i="13"/>
  <c r="M113" i="13"/>
  <c r="N113" i="13"/>
  <c r="O113" i="13"/>
  <c r="O124" i="13" s="1"/>
  <c r="D114" i="13"/>
  <c r="E114" i="13"/>
  <c r="F114" i="13"/>
  <c r="G114" i="13"/>
  <c r="H114" i="13"/>
  <c r="I114" i="13"/>
  <c r="J114" i="13"/>
  <c r="K114" i="13"/>
  <c r="K125" i="13" s="1"/>
  <c r="L114" i="13"/>
  <c r="M114" i="13"/>
  <c r="N114" i="13"/>
  <c r="O114" i="13"/>
  <c r="D115" i="13"/>
  <c r="E115" i="13"/>
  <c r="F115" i="13"/>
  <c r="G115" i="13"/>
  <c r="G126" i="13" s="1"/>
  <c r="H115" i="13"/>
  <c r="I115" i="13"/>
  <c r="J115" i="13"/>
  <c r="K115" i="13"/>
  <c r="L115" i="13"/>
  <c r="M115" i="13"/>
  <c r="N115" i="13"/>
  <c r="O115" i="13"/>
  <c r="O126" i="13" s="1"/>
  <c r="D116" i="13"/>
  <c r="E116" i="13"/>
  <c r="F116" i="13"/>
  <c r="H116" i="13"/>
  <c r="L116" i="13"/>
  <c r="M116" i="13"/>
  <c r="D120" i="13"/>
  <c r="E120" i="13"/>
  <c r="F120" i="13"/>
  <c r="H120" i="13"/>
  <c r="I120" i="13"/>
  <c r="I127" i="13" s="1"/>
  <c r="J120" i="13"/>
  <c r="K120" i="13"/>
  <c r="L120" i="13"/>
  <c r="M120" i="13"/>
  <c r="N120" i="13"/>
  <c r="D121" i="13"/>
  <c r="E121" i="13"/>
  <c r="F121" i="13"/>
  <c r="F127" i="13" s="1"/>
  <c r="G121" i="13"/>
  <c r="H121" i="13"/>
  <c r="I121" i="13"/>
  <c r="J121" i="13"/>
  <c r="L121" i="13"/>
  <c r="M121" i="13"/>
  <c r="N121" i="13"/>
  <c r="O121" i="13"/>
  <c r="D122" i="13"/>
  <c r="E122" i="13"/>
  <c r="F122" i="13"/>
  <c r="H122" i="13"/>
  <c r="I122" i="13"/>
  <c r="J122" i="13"/>
  <c r="K122" i="13"/>
  <c r="L122" i="13"/>
  <c r="M122" i="13"/>
  <c r="N122" i="13"/>
  <c r="D123" i="13"/>
  <c r="E123" i="13"/>
  <c r="F123" i="13"/>
  <c r="G123" i="13"/>
  <c r="H123" i="13"/>
  <c r="I123" i="13"/>
  <c r="J123" i="13"/>
  <c r="L123" i="13"/>
  <c r="M123" i="13"/>
  <c r="N123" i="13"/>
  <c r="O123" i="13"/>
  <c r="D124" i="13"/>
  <c r="E124" i="13"/>
  <c r="F124" i="13"/>
  <c r="H124" i="13"/>
  <c r="I124" i="13"/>
  <c r="J124" i="13"/>
  <c r="K124" i="13"/>
  <c r="L124" i="13"/>
  <c r="M124" i="13"/>
  <c r="N124" i="13"/>
  <c r="D125" i="13"/>
  <c r="E125" i="13"/>
  <c r="F125" i="13"/>
  <c r="G125" i="13"/>
  <c r="H125" i="13"/>
  <c r="I125" i="13"/>
  <c r="J125" i="13"/>
  <c r="L125" i="13"/>
  <c r="M125" i="13"/>
  <c r="N125" i="13"/>
  <c r="O125" i="13"/>
  <c r="D126" i="13"/>
  <c r="E126" i="13"/>
  <c r="F126" i="13"/>
  <c r="H126" i="13"/>
  <c r="I126" i="13"/>
  <c r="J126" i="13"/>
  <c r="K126" i="13"/>
  <c r="L126" i="13"/>
  <c r="M126" i="13"/>
  <c r="N126" i="13"/>
  <c r="D127" i="13"/>
  <c r="H127" i="13"/>
  <c r="L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H138" i="13"/>
  <c r="L138" i="13"/>
  <c r="N138" i="13"/>
  <c r="AZ14" i="14"/>
  <c r="AY259" i="14" s="1"/>
  <c r="AY181" i="14"/>
  <c r="AY179" i="14"/>
  <c r="AY177" i="14"/>
  <c r="AY175" i="14"/>
  <c r="AY260" i="14" s="1"/>
  <c r="AX259" i="14"/>
  <c r="AY14" i="14"/>
  <c r="AX181" i="14"/>
  <c r="AX179" i="14"/>
  <c r="AX177" i="14"/>
  <c r="AX175" i="14"/>
  <c r="AX260" i="14" s="1"/>
  <c r="AX14" i="14"/>
  <c r="AW259" i="14" s="1"/>
  <c r="AW181" i="14"/>
  <c r="AW179" i="14"/>
  <c r="AW177" i="14"/>
  <c r="AW175" i="14"/>
  <c r="AW260" i="14" s="1"/>
  <c r="AV260" i="14"/>
  <c r="AV259" i="14"/>
  <c r="AW14" i="14"/>
  <c r="AV181" i="14"/>
  <c r="AV179" i="14"/>
  <c r="AV177" i="14"/>
  <c r="AV175" i="14"/>
  <c r="AU260" i="14"/>
  <c r="AU259" i="14"/>
  <c r="AV14" i="14"/>
  <c r="AU181" i="14"/>
  <c r="AU179" i="14"/>
  <c r="AU177" i="14"/>
  <c r="AU175" i="14"/>
  <c r="AU14" i="14"/>
  <c r="AT259" i="14" s="1"/>
  <c r="AT181" i="14"/>
  <c r="AT179" i="14"/>
  <c r="AT177" i="14"/>
  <c r="AT260" i="14" s="1"/>
  <c r="AT175" i="14"/>
  <c r="AS259" i="14"/>
  <c r="AT14" i="14"/>
  <c r="AS181" i="14"/>
  <c r="AS179" i="14"/>
  <c r="AS177" i="14"/>
  <c r="AS175" i="14"/>
  <c r="AS14" i="14"/>
  <c r="AR259" i="14" s="1"/>
  <c r="AR181" i="14"/>
  <c r="AR179" i="14"/>
  <c r="AR177" i="14"/>
  <c r="AR175" i="14"/>
  <c r="AR14" i="14"/>
  <c r="AQ259" i="14" s="1"/>
  <c r="AQ181" i="14"/>
  <c r="AQ179" i="14"/>
  <c r="AQ177" i="14"/>
  <c r="AQ175" i="14"/>
  <c r="AQ260" i="14" s="1"/>
  <c r="AP259" i="14"/>
  <c r="AQ14" i="14"/>
  <c r="AP181" i="14"/>
  <c r="AP179" i="14"/>
  <c r="AP177" i="14"/>
  <c r="AP175" i="14"/>
  <c r="AP260" i="14" s="1"/>
  <c r="AP14" i="14"/>
  <c r="AO259" i="14" s="1"/>
  <c r="AO181" i="14"/>
  <c r="AO179" i="14"/>
  <c r="AO177" i="14"/>
  <c r="AO175" i="14"/>
  <c r="AO260" i="14" s="1"/>
  <c r="AN259" i="14"/>
  <c r="AO14" i="14"/>
  <c r="AN181" i="14"/>
  <c r="AN179" i="14"/>
  <c r="AN177" i="14"/>
  <c r="AN175" i="14"/>
  <c r="AM260" i="14"/>
  <c r="AN14" i="14"/>
  <c r="AM259" i="14" s="1"/>
  <c r="AM181" i="14"/>
  <c r="AM179" i="14"/>
  <c r="AM177" i="14"/>
  <c r="AM175" i="14"/>
  <c r="AL260" i="14"/>
  <c r="AL259" i="14"/>
  <c r="AM14" i="14"/>
  <c r="AL181" i="14"/>
  <c r="AL179" i="14"/>
  <c r="AL177" i="14"/>
  <c r="AL175" i="14"/>
  <c r="AK259" i="14"/>
  <c r="AL14" i="14"/>
  <c r="AK181" i="14"/>
  <c r="AK179" i="14"/>
  <c r="AK177" i="14"/>
  <c r="AK175" i="14"/>
  <c r="AK14" i="14"/>
  <c r="AJ259" i="14" s="1"/>
  <c r="AJ181" i="14"/>
  <c r="AJ179" i="14"/>
  <c r="AJ177" i="14"/>
  <c r="AJ175" i="14"/>
  <c r="AJ14" i="14"/>
  <c r="AI259" i="14" s="1"/>
  <c r="AI181" i="14"/>
  <c r="AI179" i="14"/>
  <c r="AI177" i="14"/>
  <c r="AI175" i="14"/>
  <c r="AH259" i="14"/>
  <c r="AI14" i="14"/>
  <c r="AH181" i="14"/>
  <c r="AH179" i="14"/>
  <c r="AH177" i="14"/>
  <c r="AH175" i="14"/>
  <c r="AH14" i="14"/>
  <c r="AG259" i="14" s="1"/>
  <c r="AG181" i="14"/>
  <c r="AG179" i="14"/>
  <c r="AG177" i="14"/>
  <c r="AG175" i="14"/>
  <c r="AG260" i="14" s="1"/>
  <c r="AF260" i="14"/>
  <c r="AF259" i="14"/>
  <c r="AG14" i="14"/>
  <c r="AF181" i="14"/>
  <c r="AF179" i="14"/>
  <c r="AF177" i="14"/>
  <c r="AF175" i="14"/>
  <c r="AE259" i="14"/>
  <c r="AF14" i="14"/>
  <c r="AE181" i="14"/>
  <c r="AE179" i="14"/>
  <c r="AE260" i="14" s="1"/>
  <c r="AE177" i="14"/>
  <c r="AE175" i="14"/>
  <c r="AD259" i="14"/>
  <c r="AE14" i="14"/>
  <c r="AD181" i="14"/>
  <c r="AD179" i="14"/>
  <c r="AD177" i="14"/>
  <c r="AD175" i="14"/>
  <c r="AC259" i="14"/>
  <c r="AD14" i="14"/>
  <c r="AC181" i="14"/>
  <c r="AC179" i="14"/>
  <c r="AC177" i="14"/>
  <c r="AC175" i="14"/>
  <c r="AC14" i="14"/>
  <c r="AB259" i="14" s="1"/>
  <c r="AB181" i="14"/>
  <c r="AB179" i="14"/>
  <c r="AB177" i="14"/>
  <c r="AB175" i="14"/>
  <c r="AB260" i="14" s="1"/>
  <c r="AB14" i="14"/>
  <c r="AA259" i="14" s="1"/>
  <c r="AA181" i="14"/>
  <c r="AA179" i="14"/>
  <c r="AA177" i="14"/>
  <c r="AA175" i="14"/>
  <c r="Z259" i="14"/>
  <c r="AA14" i="14"/>
  <c r="Z181" i="14"/>
  <c r="Z179" i="14"/>
  <c r="Z177" i="14"/>
  <c r="Z175" i="14"/>
  <c r="Z14" i="14"/>
  <c r="Y259" i="14" s="1"/>
  <c r="Y181" i="14"/>
  <c r="Y179" i="14"/>
  <c r="Y177" i="14"/>
  <c r="Y175" i="14"/>
  <c r="Y260" i="14" s="1"/>
  <c r="X259" i="14"/>
  <c r="Y14" i="14"/>
  <c r="X181" i="14"/>
  <c r="X179" i="14"/>
  <c r="X177" i="14"/>
  <c r="X175" i="14"/>
  <c r="X260" i="14" s="1"/>
  <c r="W260" i="14"/>
  <c r="X14" i="14"/>
  <c r="W259" i="14" s="1"/>
  <c r="W181" i="14"/>
  <c r="W179" i="14"/>
  <c r="W177" i="14"/>
  <c r="W175" i="14"/>
  <c r="V259" i="14"/>
  <c r="W14" i="14"/>
  <c r="V181" i="14"/>
  <c r="V260" i="14" s="1"/>
  <c r="V179" i="14"/>
  <c r="V177" i="14"/>
  <c r="V175" i="14"/>
  <c r="V14" i="14"/>
  <c r="U259" i="14" s="1"/>
  <c r="U181" i="14"/>
  <c r="U179" i="14"/>
  <c r="U177" i="14"/>
  <c r="U175" i="14"/>
  <c r="U260" i="14" s="1"/>
  <c r="U14" i="14"/>
  <c r="T259" i="14" s="1"/>
  <c r="T181" i="14"/>
  <c r="T179" i="14"/>
  <c r="T177" i="14"/>
  <c r="T175" i="14"/>
  <c r="T260" i="14" s="1"/>
  <c r="T14" i="14"/>
  <c r="S259" i="14" s="1"/>
  <c r="S181" i="14"/>
  <c r="S179" i="14"/>
  <c r="S177" i="14"/>
  <c r="S175" i="14"/>
  <c r="R259" i="14"/>
  <c r="S14" i="14"/>
  <c r="R181" i="14"/>
  <c r="R179" i="14"/>
  <c r="R177" i="14"/>
  <c r="R175" i="14"/>
  <c r="R260" i="14" s="1"/>
  <c r="R14" i="14"/>
  <c r="Q259" i="14" s="1"/>
  <c r="Q181" i="14"/>
  <c r="Q179" i="14"/>
  <c r="Q177" i="14"/>
  <c r="Q175" i="14"/>
  <c r="Q260" i="14" s="1"/>
  <c r="P259" i="14"/>
  <c r="Q14" i="14"/>
  <c r="P181" i="14"/>
  <c r="P260" i="14" s="1"/>
  <c r="P179" i="14"/>
  <c r="P177" i="14"/>
  <c r="P175" i="14"/>
  <c r="O260" i="14"/>
  <c r="P14" i="14"/>
  <c r="O259" i="14" s="1"/>
  <c r="O181" i="14"/>
  <c r="O179" i="14"/>
  <c r="O177" i="14"/>
  <c r="O175" i="14"/>
  <c r="N259" i="14"/>
  <c r="O14" i="14"/>
  <c r="N181" i="14"/>
  <c r="N179" i="14"/>
  <c r="N177" i="14"/>
  <c r="N260" i="14" s="1"/>
  <c r="N175" i="14"/>
  <c r="M259" i="14"/>
  <c r="N14" i="14"/>
  <c r="M181" i="14"/>
  <c r="M179" i="14"/>
  <c r="M177" i="14"/>
  <c r="M175" i="14"/>
  <c r="M14" i="14"/>
  <c r="L259" i="14" s="1"/>
  <c r="L181" i="14"/>
  <c r="L179" i="14"/>
  <c r="L177" i="14"/>
  <c r="L175" i="14"/>
  <c r="L14" i="14"/>
  <c r="K259" i="14" s="1"/>
  <c r="K181" i="14"/>
  <c r="K179" i="14"/>
  <c r="K177" i="14"/>
  <c r="K175" i="14"/>
  <c r="K260" i="14" s="1"/>
  <c r="J259" i="14"/>
  <c r="K14" i="14"/>
  <c r="J181" i="14"/>
  <c r="J179" i="14"/>
  <c r="J177" i="14"/>
  <c r="J175" i="14"/>
  <c r="J260" i="14" s="1"/>
  <c r="J14" i="14"/>
  <c r="I259" i="14" s="1"/>
  <c r="I181" i="14"/>
  <c r="I179" i="14"/>
  <c r="I177" i="14"/>
  <c r="I175" i="14"/>
  <c r="H259" i="14"/>
  <c r="I14" i="14"/>
  <c r="H181" i="14"/>
  <c r="H179" i="14"/>
  <c r="H177" i="14"/>
  <c r="H175" i="14"/>
  <c r="H260" i="14" s="1"/>
  <c r="G260" i="14"/>
  <c r="H14" i="14"/>
  <c r="G259" i="14" s="1"/>
  <c r="G181" i="14"/>
  <c r="G179" i="14"/>
  <c r="G177" i="14"/>
  <c r="G175" i="14"/>
  <c r="F259" i="14"/>
  <c r="G14" i="14"/>
  <c r="F181" i="14"/>
  <c r="F179" i="14"/>
  <c r="F177" i="14"/>
  <c r="F260" i="14" s="1"/>
  <c r="F175" i="14"/>
  <c r="E259" i="14"/>
  <c r="F14" i="14"/>
  <c r="E181" i="14"/>
  <c r="E179" i="14"/>
  <c r="E177" i="14"/>
  <c r="E175" i="14"/>
  <c r="E14" i="14"/>
  <c r="D259" i="14" s="1"/>
  <c r="D181" i="14"/>
  <c r="D179" i="14"/>
  <c r="D177" i="14"/>
  <c r="D175" i="14"/>
  <c r="D260" i="14" s="1"/>
  <c r="AZ14" i="15"/>
  <c r="AY259" i="15" s="1"/>
  <c r="AY181" i="15"/>
  <c r="AY179" i="15"/>
  <c r="AY177" i="15"/>
  <c r="AY175" i="15"/>
  <c r="AX259" i="15"/>
  <c r="AY14" i="15"/>
  <c r="AX181" i="15"/>
  <c r="AX179" i="15"/>
  <c r="AX177" i="15"/>
  <c r="AX175" i="15"/>
  <c r="AX14" i="15"/>
  <c r="AW259" i="15" s="1"/>
  <c r="AW181" i="15"/>
  <c r="AW179" i="15"/>
  <c r="AW177" i="15"/>
  <c r="AW175" i="15"/>
  <c r="AW260" i="15" s="1"/>
  <c r="AV260" i="15"/>
  <c r="AV259" i="15"/>
  <c r="AW14" i="15"/>
  <c r="AV181" i="15"/>
  <c r="AV179" i="15"/>
  <c r="AV177" i="15"/>
  <c r="AV175" i="15"/>
  <c r="AU260" i="15"/>
  <c r="AU259" i="15"/>
  <c r="AV14" i="15"/>
  <c r="AU181" i="15"/>
  <c r="AU179" i="15"/>
  <c r="AU177" i="15"/>
  <c r="AU175" i="15"/>
  <c r="AU14" i="15"/>
  <c r="AT259" i="15" s="1"/>
  <c r="AT181" i="15"/>
  <c r="AT179" i="15"/>
  <c r="AT177" i="15"/>
  <c r="AT260" i="15" s="1"/>
  <c r="AT175" i="15"/>
  <c r="AS259" i="15"/>
  <c r="AT14" i="15"/>
  <c r="AS181" i="15"/>
  <c r="AS179" i="15"/>
  <c r="AS177" i="15"/>
  <c r="AS175" i="15"/>
  <c r="AS14" i="15"/>
  <c r="AR259" i="15" s="1"/>
  <c r="AR181" i="15"/>
  <c r="AR179" i="15"/>
  <c r="AR177" i="15"/>
  <c r="AR175" i="15"/>
  <c r="AR14" i="15"/>
  <c r="AQ259" i="15" s="1"/>
  <c r="AQ181" i="15"/>
  <c r="AQ179" i="15"/>
  <c r="AQ260" i="15" s="1"/>
  <c r="AQ177" i="15"/>
  <c r="AQ175" i="15"/>
  <c r="AP259" i="15"/>
  <c r="AQ14" i="15"/>
  <c r="AP181" i="15"/>
  <c r="AP179" i="15"/>
  <c r="AP177" i="15"/>
  <c r="AP175" i="15"/>
  <c r="AP260" i="15" s="1"/>
  <c r="AP14" i="15"/>
  <c r="AO259" i="15" s="1"/>
  <c r="AO181" i="15"/>
  <c r="AO179" i="15"/>
  <c r="AO177" i="15"/>
  <c r="AO175" i="15"/>
  <c r="AO260" i="15" s="1"/>
  <c r="AN259" i="15"/>
  <c r="AO14" i="15"/>
  <c r="AN181" i="15"/>
  <c r="AN179" i="15"/>
  <c r="AN177" i="15"/>
  <c r="AN175" i="15"/>
  <c r="AN14" i="15"/>
  <c r="AM259" i="15" s="1"/>
  <c r="AM181" i="15"/>
  <c r="AM179" i="15"/>
  <c r="AM260" i="15" s="1"/>
  <c r="AM177" i="15"/>
  <c r="AM175" i="15"/>
  <c r="AL259" i="15"/>
  <c r="AM14" i="15"/>
  <c r="AL181" i="15"/>
  <c r="AL179" i="15"/>
  <c r="AL177" i="15"/>
  <c r="AL260" i="15" s="1"/>
  <c r="AL175" i="15"/>
  <c r="AL14" i="15"/>
  <c r="AK259" i="15" s="1"/>
  <c r="AK181" i="15"/>
  <c r="AK179" i="15"/>
  <c r="AK177" i="15"/>
  <c r="AK175" i="15"/>
  <c r="AK14" i="15"/>
  <c r="AJ259" i="15" s="1"/>
  <c r="AJ181" i="15"/>
  <c r="AJ179" i="15"/>
  <c r="AJ177" i="15"/>
  <c r="AJ175" i="15"/>
  <c r="AJ14" i="15"/>
  <c r="AI259" i="15" s="1"/>
  <c r="AI181" i="15"/>
  <c r="AI179" i="15"/>
  <c r="AI177" i="15"/>
  <c r="AI175" i="15"/>
  <c r="AI260" i="15" s="1"/>
  <c r="AH259" i="15"/>
  <c r="AI14" i="15"/>
  <c r="AH181" i="15"/>
  <c r="AH179" i="15"/>
  <c r="AH177" i="15"/>
  <c r="AH175" i="15"/>
  <c r="AH14" i="15"/>
  <c r="AG259" i="15" s="1"/>
  <c r="AG181" i="15"/>
  <c r="AG179" i="15"/>
  <c r="AG177" i="15"/>
  <c r="AG175" i="15"/>
  <c r="AG260" i="15" s="1"/>
  <c r="AF259" i="15"/>
  <c r="AG14" i="15"/>
  <c r="AF181" i="15"/>
  <c r="AF260" i="15" s="1"/>
  <c r="AF179" i="15"/>
  <c r="AF177" i="15"/>
  <c r="AF175" i="15"/>
  <c r="AF14" i="15"/>
  <c r="AE259" i="15" s="1"/>
  <c r="AE181" i="15"/>
  <c r="AE179" i="15"/>
  <c r="AE260" i="15" s="1"/>
  <c r="AE177" i="15"/>
  <c r="AE175" i="15"/>
  <c r="AD259" i="15"/>
  <c r="AE14" i="15"/>
  <c r="AD181" i="15"/>
  <c r="AD179" i="15"/>
  <c r="AD177" i="15"/>
  <c r="AD175" i="15"/>
  <c r="AC259" i="15"/>
  <c r="AD14" i="15"/>
  <c r="AC181" i="15"/>
  <c r="AC179" i="15"/>
  <c r="AC177" i="15"/>
  <c r="AC175" i="15"/>
  <c r="AC14" i="15"/>
  <c r="AB259" i="15" s="1"/>
  <c r="AB181" i="15"/>
  <c r="AB179" i="15"/>
  <c r="AB177" i="15"/>
  <c r="AB175" i="15"/>
  <c r="AB260" i="15" s="1"/>
  <c r="AB14" i="15"/>
  <c r="AA259" i="15" s="1"/>
  <c r="AA181" i="15"/>
  <c r="AA179" i="15"/>
  <c r="AA177" i="15"/>
  <c r="AA175" i="15"/>
  <c r="Z259" i="15"/>
  <c r="AA14" i="15"/>
  <c r="Z181" i="15"/>
  <c r="Z179" i="15"/>
  <c r="Z177" i="15"/>
  <c r="Z175" i="15"/>
  <c r="Y260" i="15"/>
  <c r="Z14" i="15"/>
  <c r="Y259" i="15" s="1"/>
  <c r="Y181" i="15"/>
  <c r="Y179" i="15"/>
  <c r="Y177" i="15"/>
  <c r="Y175" i="15"/>
  <c r="X259" i="15"/>
  <c r="Y14" i="15"/>
  <c r="X181" i="15"/>
  <c r="X179" i="15"/>
  <c r="X177" i="15"/>
  <c r="X175" i="15"/>
  <c r="X260" i="15" s="1"/>
  <c r="X14" i="15"/>
  <c r="W259" i="15" s="1"/>
  <c r="W181" i="15"/>
  <c r="W179" i="15"/>
  <c r="W260" i="15" s="1"/>
  <c r="W177" i="15"/>
  <c r="W175" i="15"/>
  <c r="V259" i="15"/>
  <c r="W14" i="15"/>
  <c r="V181" i="15"/>
  <c r="V179" i="15"/>
  <c r="V177" i="15"/>
  <c r="V175" i="15"/>
  <c r="U259" i="15"/>
  <c r="V14" i="15"/>
  <c r="U181" i="15"/>
  <c r="U179" i="15"/>
  <c r="U177" i="15"/>
  <c r="U175" i="15"/>
  <c r="U260" i="15" s="1"/>
  <c r="U14" i="15"/>
  <c r="T259" i="15" s="1"/>
  <c r="T181" i="15"/>
  <c r="T179" i="15"/>
  <c r="T177" i="15"/>
  <c r="T175" i="15"/>
  <c r="T260" i="15" s="1"/>
  <c r="T14" i="15"/>
  <c r="S259" i="15" s="1"/>
  <c r="S181" i="15"/>
  <c r="S179" i="15"/>
  <c r="S177" i="15"/>
  <c r="S175" i="15"/>
  <c r="R259" i="15"/>
  <c r="S14" i="15"/>
  <c r="R181" i="15"/>
  <c r="R179" i="15"/>
  <c r="R177" i="15"/>
  <c r="R175" i="15"/>
  <c r="R14" i="15"/>
  <c r="Q259" i="15" s="1"/>
  <c r="Q181" i="15"/>
  <c r="Q179" i="15"/>
  <c r="Q177" i="15"/>
  <c r="Q175" i="15"/>
  <c r="Q260" i="15" s="1"/>
  <c r="P259" i="15"/>
  <c r="Q14" i="15"/>
  <c r="P181" i="15"/>
  <c r="P260" i="15" s="1"/>
  <c r="P179" i="15"/>
  <c r="P177" i="15"/>
  <c r="P175" i="15"/>
  <c r="O260" i="15"/>
  <c r="P14" i="15"/>
  <c r="O259" i="15" s="1"/>
  <c r="O181" i="15"/>
  <c r="O179" i="15"/>
  <c r="O177" i="15"/>
  <c r="O175" i="15"/>
  <c r="O14" i="15"/>
  <c r="N259" i="15" s="1"/>
  <c r="N181" i="15"/>
  <c r="N179" i="15"/>
  <c r="N177" i="15"/>
  <c r="N260" i="15" s="1"/>
  <c r="N175" i="15"/>
  <c r="M259" i="15"/>
  <c r="N14" i="15"/>
  <c r="M181" i="15"/>
  <c r="M179" i="15"/>
  <c r="M177" i="15"/>
  <c r="M175" i="15"/>
  <c r="M14" i="15"/>
  <c r="L259" i="15" s="1"/>
  <c r="L181" i="15"/>
  <c r="L179" i="15"/>
  <c r="L177" i="15"/>
  <c r="L175" i="15"/>
  <c r="L14" i="15"/>
  <c r="K259" i="15" s="1"/>
  <c r="K181" i="15"/>
  <c r="K179" i="15"/>
  <c r="K177" i="15"/>
  <c r="K175" i="15"/>
  <c r="J259" i="15"/>
  <c r="K14" i="15"/>
  <c r="J181" i="15"/>
  <c r="J179" i="15"/>
  <c r="J177" i="15"/>
  <c r="J175" i="15"/>
  <c r="J260" i="15" s="1"/>
  <c r="J14" i="15"/>
  <c r="I259" i="15" s="1"/>
  <c r="I181" i="15"/>
  <c r="I179" i="15"/>
  <c r="I177" i="15"/>
  <c r="I260" i="15" s="1"/>
  <c r="I175" i="15"/>
  <c r="H259" i="15"/>
  <c r="I14" i="15"/>
  <c r="H181" i="15"/>
  <c r="H179" i="15"/>
  <c r="H177" i="15"/>
  <c r="H175" i="15"/>
  <c r="H14" i="15"/>
  <c r="G259" i="15" s="1"/>
  <c r="G181" i="15"/>
  <c r="G179" i="15"/>
  <c r="G260" i="15" s="1"/>
  <c r="G177" i="15"/>
  <c r="G175" i="15"/>
  <c r="F260" i="15"/>
  <c r="F259" i="15"/>
  <c r="G14" i="15"/>
  <c r="F181" i="15"/>
  <c r="F179" i="15"/>
  <c r="F177" i="15"/>
  <c r="F175" i="15"/>
  <c r="E259" i="15"/>
  <c r="F14" i="15"/>
  <c r="E181" i="15"/>
  <c r="E179" i="15"/>
  <c r="E177" i="15"/>
  <c r="E175" i="15"/>
  <c r="E260" i="15" s="1"/>
  <c r="E14" i="15"/>
  <c r="D259" i="15" s="1"/>
  <c r="D181" i="15"/>
  <c r="D179" i="15"/>
  <c r="D177" i="15"/>
  <c r="D175" i="15"/>
  <c r="AY14" i="16"/>
  <c r="AY15" i="16"/>
  <c r="AY16" i="16"/>
  <c r="AY10" i="16"/>
  <c r="AY13" i="16" s="1"/>
  <c r="AY17" i="16"/>
  <c r="AY29" i="16"/>
  <c r="AX15" i="16"/>
  <c r="AX17" i="16"/>
  <c r="AX21" i="16"/>
  <c r="AX22" i="16"/>
  <c r="AX29" i="16"/>
  <c r="AX33" i="16"/>
  <c r="AX34" i="16"/>
  <c r="AX40" i="16" s="1"/>
  <c r="AW14" i="16"/>
  <c r="AW15" i="16"/>
  <c r="AX16" i="16" s="1"/>
  <c r="AW16" i="16"/>
  <c r="AW17" i="16"/>
  <c r="AW29" i="16"/>
  <c r="AV14" i="16"/>
  <c r="AV15" i="16"/>
  <c r="AV10" i="16" s="1"/>
  <c r="AV13" i="16" s="1"/>
  <c r="AV16" i="16"/>
  <c r="AV17" i="16"/>
  <c r="AV29" i="16"/>
  <c r="AU14" i="16"/>
  <c r="AU15" i="16"/>
  <c r="AU16" i="16"/>
  <c r="AU17" i="16"/>
  <c r="AU29" i="16"/>
  <c r="AT14" i="16"/>
  <c r="AT15" i="16"/>
  <c r="AT10" i="16" s="1"/>
  <c r="AT13" i="16" s="1"/>
  <c r="AT16" i="16"/>
  <c r="AT17" i="16"/>
  <c r="AT29" i="16"/>
  <c r="AS14" i="16"/>
  <c r="AS15" i="16"/>
  <c r="AS16" i="16"/>
  <c r="AS10" i="16" s="1"/>
  <c r="AS13" i="16" s="1"/>
  <c r="AS17" i="16"/>
  <c r="AS29" i="16"/>
  <c r="AR14" i="16"/>
  <c r="AR15" i="16"/>
  <c r="AR16" i="16"/>
  <c r="AR10" i="16" s="1"/>
  <c r="AR13" i="16" s="1"/>
  <c r="AR17" i="16"/>
  <c r="AR29" i="16"/>
  <c r="AQ14" i="16"/>
  <c r="AQ15" i="16"/>
  <c r="AQ16" i="16"/>
  <c r="AQ10" i="16"/>
  <c r="AQ13" i="16" s="1"/>
  <c r="AQ17" i="16"/>
  <c r="AQ29" i="16"/>
  <c r="AP14" i="16"/>
  <c r="AP15" i="16"/>
  <c r="AP16" i="16"/>
  <c r="AP17" i="16"/>
  <c r="AP29" i="16"/>
  <c r="AO14" i="16"/>
  <c r="AO10" i="16" s="1"/>
  <c r="AO13" i="16" s="1"/>
  <c r="AO15" i="16"/>
  <c r="AO16" i="16"/>
  <c r="AO17" i="16"/>
  <c r="AO29" i="16"/>
  <c r="AN15" i="16"/>
  <c r="AN21" i="16"/>
  <c r="AN22" i="16"/>
  <c r="AN24" i="16" s="1"/>
  <c r="AN23" i="16"/>
  <c r="AN29" i="16"/>
  <c r="AN45" i="16"/>
  <c r="AN51" i="16"/>
  <c r="AM14" i="16"/>
  <c r="AM15" i="16"/>
  <c r="AN16" i="16" s="1"/>
  <c r="AM16" i="16"/>
  <c r="AN17" i="16" s="1"/>
  <c r="AM17" i="16"/>
  <c r="AM29" i="16"/>
  <c r="AL14" i="16"/>
  <c r="AL15" i="16"/>
  <c r="AL10" i="16" s="1"/>
  <c r="AL13" i="16" s="1"/>
  <c r="AL16" i="16"/>
  <c r="AL17" i="16"/>
  <c r="AL29" i="16"/>
  <c r="AK15" i="16"/>
  <c r="AK16" i="16"/>
  <c r="AK21" i="16"/>
  <c r="AK22" i="16"/>
  <c r="AK24" i="16"/>
  <c r="AK29" i="16"/>
  <c r="AK34" i="16"/>
  <c r="AK40" i="16"/>
  <c r="AK45" i="16"/>
  <c r="AK51" i="16" s="1"/>
  <c r="AJ14" i="16"/>
  <c r="AJ15" i="16"/>
  <c r="AJ16" i="16"/>
  <c r="AJ17" i="16"/>
  <c r="AJ29" i="16"/>
  <c r="AI14" i="16"/>
  <c r="AI10" i="16" s="1"/>
  <c r="AI13" i="16" s="1"/>
  <c r="AI15" i="16"/>
  <c r="AI16" i="16"/>
  <c r="AI17" i="16"/>
  <c r="AI29" i="16"/>
  <c r="AH14" i="16"/>
  <c r="AH10" i="16" s="1"/>
  <c r="AH13" i="16" s="1"/>
  <c r="AH15" i="16"/>
  <c r="AH16" i="16"/>
  <c r="AH17" i="16"/>
  <c r="AH29" i="16"/>
  <c r="AG14" i="16"/>
  <c r="AG15" i="16"/>
  <c r="AG16" i="16"/>
  <c r="AG10" i="16"/>
  <c r="AG13" i="16"/>
  <c r="AG17" i="16"/>
  <c r="AG29" i="16"/>
  <c r="AF14" i="16"/>
  <c r="AF15" i="16"/>
  <c r="AF16" i="16"/>
  <c r="AF17" i="16"/>
  <c r="AF29" i="16"/>
  <c r="AE14" i="16"/>
  <c r="AE15" i="16"/>
  <c r="AE10" i="16" s="1"/>
  <c r="AE13" i="16" s="1"/>
  <c r="AE16" i="16"/>
  <c r="AE17" i="16"/>
  <c r="AE29" i="16"/>
  <c r="AD14" i="16"/>
  <c r="AD10" i="16" s="1"/>
  <c r="AD13" i="16" s="1"/>
  <c r="AD15" i="16"/>
  <c r="AD16" i="16"/>
  <c r="AD17" i="16"/>
  <c r="AD29" i="16"/>
  <c r="AC14" i="16"/>
  <c r="AC15" i="16"/>
  <c r="AC10" i="16" s="1"/>
  <c r="AC13" i="16" s="1"/>
  <c r="AC16" i="16"/>
  <c r="AC17" i="16"/>
  <c r="AC29" i="16"/>
  <c r="AB14" i="16"/>
  <c r="AB15" i="16"/>
  <c r="AB16" i="16"/>
  <c r="AB17" i="16"/>
  <c r="AB29" i="16"/>
  <c r="AA14" i="16"/>
  <c r="AA15" i="16"/>
  <c r="AA16" i="16"/>
  <c r="AA10" i="16" s="1"/>
  <c r="AA13" i="16" s="1"/>
  <c r="AA17" i="16"/>
  <c r="AA29" i="16"/>
  <c r="Z14" i="16"/>
  <c r="Z10" i="16" s="1"/>
  <c r="Z13" i="16" s="1"/>
  <c r="Z15" i="16"/>
  <c r="Z16" i="16"/>
  <c r="Z17" i="16"/>
  <c r="Z29" i="16"/>
  <c r="Y14" i="16"/>
  <c r="Y15" i="16"/>
  <c r="Y16" i="16"/>
  <c r="Y10" i="16"/>
  <c r="Y13" i="16" s="1"/>
  <c r="Y17" i="16"/>
  <c r="Y29" i="16"/>
  <c r="X15" i="16"/>
  <c r="X21" i="16"/>
  <c r="X22" i="16"/>
  <c r="X24" i="16"/>
  <c r="X29" i="16"/>
  <c r="X34" i="16"/>
  <c r="X40" i="16" s="1"/>
  <c r="X44" i="16"/>
  <c r="X46" i="16" s="1"/>
  <c r="X45" i="16"/>
  <c r="X50" i="16"/>
  <c r="X51" i="16"/>
  <c r="W14" i="16"/>
  <c r="W15" i="16"/>
  <c r="W16" i="16"/>
  <c r="X17" i="16" s="1"/>
  <c r="W17" i="16"/>
  <c r="W29" i="16"/>
  <c r="V14" i="16"/>
  <c r="V15" i="16"/>
  <c r="V16" i="16"/>
  <c r="V17" i="16"/>
  <c r="V29" i="16"/>
  <c r="U14" i="16"/>
  <c r="U15" i="16"/>
  <c r="U16" i="16"/>
  <c r="U10" i="16"/>
  <c r="U13" i="16" s="1"/>
  <c r="U17" i="16"/>
  <c r="U29" i="16"/>
  <c r="T17" i="16"/>
  <c r="T21" i="16"/>
  <c r="T22" i="16"/>
  <c r="T45" i="16" s="1"/>
  <c r="T51" i="16" s="1"/>
  <c r="T23" i="16"/>
  <c r="T24" i="16"/>
  <c r="T29" i="16"/>
  <c r="S14" i="16"/>
  <c r="T15" i="16" s="1"/>
  <c r="S15" i="16"/>
  <c r="S16" i="16"/>
  <c r="S17" i="16"/>
  <c r="S29" i="16"/>
  <c r="R14" i="16"/>
  <c r="R15" i="16"/>
  <c r="R16" i="16"/>
  <c r="R10" i="16" s="1"/>
  <c r="R13" i="16"/>
  <c r="R17" i="16"/>
  <c r="R29" i="16"/>
  <c r="Q14" i="16"/>
  <c r="Q15" i="16"/>
  <c r="Q16" i="16"/>
  <c r="Q17" i="16"/>
  <c r="Q29" i="16"/>
  <c r="P17" i="16"/>
  <c r="P21" i="16"/>
  <c r="P33" i="16" s="1"/>
  <c r="P22" i="16"/>
  <c r="P45" i="16" s="1"/>
  <c r="P51" i="16" s="1"/>
  <c r="P23" i="16"/>
  <c r="P24" i="16"/>
  <c r="P29" i="16"/>
  <c r="P39" i="16"/>
  <c r="P44" i="16"/>
  <c r="P46" i="16" s="1"/>
  <c r="P50" i="16"/>
  <c r="O14" i="16"/>
  <c r="P15" i="16" s="1"/>
  <c r="O15" i="16"/>
  <c r="P16" i="16" s="1"/>
  <c r="O16" i="16"/>
  <c r="O10" i="16"/>
  <c r="O13" i="16" s="1"/>
  <c r="P14" i="16" s="1"/>
  <c r="O17" i="16"/>
  <c r="O29" i="16"/>
  <c r="N14" i="16"/>
  <c r="N10" i="16" s="1"/>
  <c r="N13" i="16" s="1"/>
  <c r="N15" i="16"/>
  <c r="N16" i="16"/>
  <c r="N17" i="16"/>
  <c r="N29" i="16"/>
  <c r="M14" i="16"/>
  <c r="M15" i="16"/>
  <c r="M16" i="16"/>
  <c r="M17" i="16"/>
  <c r="M29" i="16"/>
  <c r="L14" i="16"/>
  <c r="L15" i="16"/>
  <c r="L16" i="16"/>
  <c r="L10" i="16" s="1"/>
  <c r="L13" i="16"/>
  <c r="L17" i="16"/>
  <c r="L29" i="16"/>
  <c r="K14" i="16"/>
  <c r="K15" i="16"/>
  <c r="K10" i="16" s="1"/>
  <c r="K13" i="16" s="1"/>
  <c r="K16" i="16"/>
  <c r="K17" i="16"/>
  <c r="K29" i="16"/>
  <c r="J14" i="16"/>
  <c r="J15" i="16"/>
  <c r="J16" i="16"/>
  <c r="J10" i="16" s="1"/>
  <c r="J13" i="16"/>
  <c r="J17" i="16"/>
  <c r="J29" i="16"/>
  <c r="I14" i="16"/>
  <c r="I15" i="16"/>
  <c r="I16" i="16"/>
  <c r="I10" i="16"/>
  <c r="I13" i="16" s="1"/>
  <c r="I17" i="16"/>
  <c r="I29" i="16"/>
  <c r="H14" i="16"/>
  <c r="H10" i="16" s="1"/>
  <c r="H13" i="16" s="1"/>
  <c r="H15" i="16"/>
  <c r="H16" i="16"/>
  <c r="H17" i="16"/>
  <c r="H29" i="16"/>
  <c r="G14" i="16"/>
  <c r="G15" i="16"/>
  <c r="G16" i="16"/>
  <c r="G10" i="16"/>
  <c r="G13" i="16" s="1"/>
  <c r="G17" i="16"/>
  <c r="G29" i="16"/>
  <c r="F14" i="16"/>
  <c r="F10" i="16" s="1"/>
  <c r="F15" i="16"/>
  <c r="F16" i="16"/>
  <c r="F13" i="16"/>
  <c r="F17" i="16"/>
  <c r="F29" i="16"/>
  <c r="E17" i="16"/>
  <c r="E21" i="16"/>
  <c r="E23" i="16" s="1"/>
  <c r="E22" i="16"/>
  <c r="E45" i="16" s="1"/>
  <c r="E51" i="16" s="1"/>
  <c r="E24" i="16"/>
  <c r="E29" i="16"/>
  <c r="E33" i="16"/>
  <c r="E34" i="16"/>
  <c r="E40" i="16" s="1"/>
  <c r="E44" i="16"/>
  <c r="E46" i="16" s="1"/>
  <c r="E50" i="16"/>
  <c r="D14" i="16"/>
  <c r="D15" i="16"/>
  <c r="E16" i="16" s="1"/>
  <c r="D16" i="16"/>
  <c r="D17" i="16"/>
  <c r="D27" i="16"/>
  <c r="D29" i="16"/>
  <c r="AY14" i="17"/>
  <c r="AY15" i="17"/>
  <c r="AY16" i="17"/>
  <c r="AY10" i="17"/>
  <c r="AY13" i="17" s="1"/>
  <c r="AY17" i="17"/>
  <c r="AY29" i="17"/>
  <c r="AX14" i="17"/>
  <c r="AX15" i="17"/>
  <c r="AX10" i="17" s="1"/>
  <c r="AX13" i="17" s="1"/>
  <c r="AX16" i="17"/>
  <c r="AX17" i="17"/>
  <c r="AX29" i="17"/>
  <c r="AW14" i="17"/>
  <c r="AW15" i="17"/>
  <c r="AW16" i="17"/>
  <c r="AW10" i="17" s="1"/>
  <c r="AW13" i="17" s="1"/>
  <c r="AW17" i="17"/>
  <c r="AW29" i="17"/>
  <c r="AV14" i="17"/>
  <c r="AV15" i="17"/>
  <c r="AV16" i="17"/>
  <c r="AV10" i="17" s="1"/>
  <c r="AV13" i="17"/>
  <c r="AV17" i="17"/>
  <c r="AV29" i="17"/>
  <c r="AU14" i="17"/>
  <c r="AU15" i="17"/>
  <c r="AU16" i="17"/>
  <c r="AU10" i="17"/>
  <c r="AU13" i="17"/>
  <c r="AU17" i="17"/>
  <c r="AU29" i="17"/>
  <c r="AT15" i="17"/>
  <c r="AT17" i="17"/>
  <c r="AT21" i="17"/>
  <c r="AT44" i="17" s="1"/>
  <c r="AT46" i="17" s="1"/>
  <c r="AT22" i="17"/>
  <c r="AT23" i="17"/>
  <c r="AT24" i="17"/>
  <c r="AT29" i="17"/>
  <c r="AT33" i="17"/>
  <c r="AT34" i="17"/>
  <c r="AT40" i="17"/>
  <c r="AT45" i="17"/>
  <c r="AT50" i="17"/>
  <c r="AT51" i="17"/>
  <c r="AS14" i="17"/>
  <c r="AS10" i="17" s="1"/>
  <c r="AS13" i="17" s="1"/>
  <c r="AT14" i="17" s="1"/>
  <c r="AS15" i="17"/>
  <c r="AT16" i="17" s="1"/>
  <c r="AS16" i="17"/>
  <c r="AS17" i="17"/>
  <c r="AS29" i="17"/>
  <c r="AR14" i="17"/>
  <c r="AR15" i="17"/>
  <c r="AR16" i="17"/>
  <c r="AR17" i="17"/>
  <c r="AR29" i="17"/>
  <c r="AQ14" i="17"/>
  <c r="AQ15" i="17"/>
  <c r="AQ16" i="17"/>
  <c r="AQ10" i="17" s="1"/>
  <c r="AQ13" i="17" s="1"/>
  <c r="AQ17" i="17"/>
  <c r="AQ29" i="17"/>
  <c r="AP14" i="17"/>
  <c r="AP15" i="17"/>
  <c r="AP16" i="17"/>
  <c r="AP17" i="17"/>
  <c r="AP29" i="17"/>
  <c r="AO14" i="17"/>
  <c r="AO15" i="17"/>
  <c r="AO16" i="17"/>
  <c r="AO17" i="17"/>
  <c r="AO29" i="17"/>
  <c r="AN14" i="17"/>
  <c r="AN15" i="17"/>
  <c r="AN10" i="17" s="1"/>
  <c r="AN13" i="17" s="1"/>
  <c r="AN16" i="17"/>
  <c r="AN17" i="17"/>
  <c r="AN29" i="17"/>
  <c r="AM14" i="17"/>
  <c r="AM15" i="17"/>
  <c r="AM16" i="17"/>
  <c r="AM17" i="17"/>
  <c r="AM29" i="17"/>
  <c r="AL14" i="17"/>
  <c r="AL15" i="17"/>
  <c r="AL16" i="17"/>
  <c r="AL10" i="17" s="1"/>
  <c r="AL13" i="17" s="1"/>
  <c r="AL17" i="17"/>
  <c r="AL29" i="17"/>
  <c r="AK14" i="17"/>
  <c r="AK15" i="17"/>
  <c r="AK16" i="17"/>
  <c r="AK10" i="17"/>
  <c r="AK13" i="17" s="1"/>
  <c r="AK17" i="17"/>
  <c r="AK29" i="17"/>
  <c r="AJ14" i="17"/>
  <c r="AJ15" i="17"/>
  <c r="AJ16" i="17"/>
  <c r="AJ17" i="17"/>
  <c r="AJ29" i="17"/>
  <c r="AI14" i="17"/>
  <c r="AI15" i="17"/>
  <c r="AI16" i="17"/>
  <c r="AI17" i="17"/>
  <c r="AI29" i="17"/>
  <c r="AH14" i="17"/>
  <c r="AH15" i="17"/>
  <c r="AH10" i="17" s="1"/>
  <c r="AH13" i="17" s="1"/>
  <c r="AH16" i="17"/>
  <c r="AH17" i="17"/>
  <c r="AH29" i="17"/>
  <c r="AG14" i="17"/>
  <c r="AG15" i="17"/>
  <c r="AG16" i="17"/>
  <c r="AG10" i="17" s="1"/>
  <c r="AG13" i="17" s="1"/>
  <c r="AG17" i="17"/>
  <c r="AG29" i="17"/>
  <c r="AF14" i="17"/>
  <c r="AF15" i="17"/>
  <c r="AF10" i="17" s="1"/>
  <c r="AF13" i="17" s="1"/>
  <c r="AF16" i="17"/>
  <c r="AF17" i="17"/>
  <c r="AF29" i="17"/>
  <c r="AE14" i="17"/>
  <c r="AE15" i="17"/>
  <c r="AE10" i="17" s="1"/>
  <c r="AE13" i="17" s="1"/>
  <c r="AE16" i="17"/>
  <c r="AE17" i="17"/>
  <c r="AE29" i="17"/>
  <c r="AD14" i="17"/>
  <c r="AD15" i="17"/>
  <c r="AD16" i="17"/>
  <c r="AD10" i="17"/>
  <c r="AD13" i="17" s="1"/>
  <c r="AD17" i="17"/>
  <c r="AD29" i="17"/>
  <c r="AC14" i="17"/>
  <c r="AC15" i="17"/>
  <c r="AC16" i="17"/>
  <c r="AC10" i="17"/>
  <c r="AC13" i="17" s="1"/>
  <c r="AC17" i="17"/>
  <c r="AC29" i="17"/>
  <c r="AB14" i="17"/>
  <c r="AB10" i="17" s="1"/>
  <c r="AB13" i="17" s="1"/>
  <c r="AB15" i="17"/>
  <c r="AB16" i="17"/>
  <c r="AB17" i="17"/>
  <c r="AB29" i="17"/>
  <c r="AA14" i="17"/>
  <c r="AA15" i="17"/>
  <c r="AA16" i="17"/>
  <c r="AA17" i="17"/>
  <c r="AA29" i="17"/>
  <c r="Z14" i="17"/>
  <c r="Z15" i="17"/>
  <c r="Z16" i="17"/>
  <c r="Z10" i="17" s="1"/>
  <c r="Z13" i="17" s="1"/>
  <c r="Z17" i="17"/>
  <c r="Z29" i="17"/>
  <c r="Y14" i="17"/>
  <c r="Y10" i="17" s="1"/>
  <c r="Y13" i="17" s="1"/>
  <c r="Y15" i="17"/>
  <c r="Y16" i="17"/>
  <c r="Y17" i="17"/>
  <c r="Y29" i="17"/>
  <c r="X14" i="17"/>
  <c r="X10" i="17" s="1"/>
  <c r="X13" i="17" s="1"/>
  <c r="X15" i="17"/>
  <c r="X16" i="17"/>
  <c r="X17" i="17"/>
  <c r="X29" i="17"/>
  <c r="W14" i="17"/>
  <c r="W15" i="17"/>
  <c r="W16" i="17"/>
  <c r="W17" i="17"/>
  <c r="W29" i="17"/>
  <c r="V16" i="17"/>
  <c r="V17" i="17"/>
  <c r="V21" i="17"/>
  <c r="V22" i="17"/>
  <c r="V45" i="17" s="1"/>
  <c r="V51" i="17" s="1"/>
  <c r="V29" i="17"/>
  <c r="U14" i="17"/>
  <c r="V15" i="17" s="1"/>
  <c r="U15" i="17"/>
  <c r="U16" i="17"/>
  <c r="U10" i="17"/>
  <c r="U13" i="17" s="1"/>
  <c r="V14" i="17" s="1"/>
  <c r="V10" i="17" s="1"/>
  <c r="V13" i="17" s="1"/>
  <c r="U17" i="17"/>
  <c r="U29" i="17"/>
  <c r="T14" i="17"/>
  <c r="T10" i="17" s="1"/>
  <c r="T13" i="17" s="1"/>
  <c r="T15" i="17"/>
  <c r="T16" i="17"/>
  <c r="T17" i="17"/>
  <c r="T29" i="17"/>
  <c r="S14" i="17"/>
  <c r="S15" i="17"/>
  <c r="S16" i="17"/>
  <c r="S17" i="17"/>
  <c r="S29" i="17"/>
  <c r="R15" i="17"/>
  <c r="R16" i="17"/>
  <c r="R21" i="17"/>
  <c r="R22" i="17"/>
  <c r="R34" i="17" s="1"/>
  <c r="R24" i="17"/>
  <c r="R29" i="17"/>
  <c r="R40" i="17"/>
  <c r="R44" i="17"/>
  <c r="R45" i="17"/>
  <c r="R51" i="17" s="1"/>
  <c r="Q14" i="17"/>
  <c r="Q15" i="17"/>
  <c r="Q16" i="17"/>
  <c r="Q17" i="17"/>
  <c r="Q29" i="17"/>
  <c r="P14" i="17"/>
  <c r="P15" i="17"/>
  <c r="P10" i="17" s="1"/>
  <c r="P13" i="17" s="1"/>
  <c r="P16" i="17"/>
  <c r="P17" i="17"/>
  <c r="P29" i="17"/>
  <c r="O14" i="17"/>
  <c r="O15" i="17"/>
  <c r="O10" i="17" s="1"/>
  <c r="O13" i="17" s="1"/>
  <c r="O16" i="17"/>
  <c r="O17" i="17"/>
  <c r="O29" i="17"/>
  <c r="N14" i="17"/>
  <c r="N15" i="17"/>
  <c r="N16" i="17"/>
  <c r="N10" i="17"/>
  <c r="N13" i="17" s="1"/>
  <c r="N17" i="17"/>
  <c r="N29" i="17"/>
  <c r="M14" i="17"/>
  <c r="M15" i="17"/>
  <c r="M16" i="17"/>
  <c r="M10" i="17"/>
  <c r="M13" i="17" s="1"/>
  <c r="M17" i="17"/>
  <c r="M29" i="17"/>
  <c r="L14" i="17"/>
  <c r="L10" i="17" s="1"/>
  <c r="L13" i="17" s="1"/>
  <c r="L15" i="17"/>
  <c r="L16" i="17"/>
  <c r="L17" i="17"/>
  <c r="L29" i="17"/>
  <c r="K14" i="17"/>
  <c r="K10" i="17" s="1"/>
  <c r="K13" i="17" s="1"/>
  <c r="K15" i="17"/>
  <c r="K16" i="17"/>
  <c r="K17" i="17"/>
  <c r="K29" i="17"/>
  <c r="J14" i="17"/>
  <c r="J15" i="17"/>
  <c r="J16" i="17"/>
  <c r="J10" i="17" s="1"/>
  <c r="J13" i="17" s="1"/>
  <c r="J17" i="17"/>
  <c r="J29" i="17"/>
  <c r="I14" i="17"/>
  <c r="I10" i="17" s="1"/>
  <c r="I13" i="17" s="1"/>
  <c r="I15" i="17"/>
  <c r="I16" i="17"/>
  <c r="I17" i="17"/>
  <c r="I29" i="17"/>
  <c r="H14" i="17"/>
  <c r="H10" i="17" s="1"/>
  <c r="H13" i="17" s="1"/>
  <c r="H15" i="17"/>
  <c r="H16" i="17"/>
  <c r="H17" i="17"/>
  <c r="H29" i="17"/>
  <c r="G15" i="17"/>
  <c r="G16" i="17"/>
  <c r="G21" i="17"/>
  <c r="G22" i="17"/>
  <c r="G24" i="17"/>
  <c r="G29" i="17"/>
  <c r="G34" i="17"/>
  <c r="G40" i="17"/>
  <c r="G45" i="17"/>
  <c r="G51" i="17"/>
  <c r="F14" i="17"/>
  <c r="F15" i="17"/>
  <c r="F16" i="17"/>
  <c r="F17" i="17"/>
  <c r="F29" i="17"/>
  <c r="E14" i="17"/>
  <c r="E15" i="17"/>
  <c r="E16" i="17"/>
  <c r="E10" i="17"/>
  <c r="E13" i="17" s="1"/>
  <c r="E17" i="17"/>
  <c r="E29" i="17"/>
  <c r="E30" i="17"/>
  <c r="D14" i="17"/>
  <c r="D15" i="17"/>
  <c r="D16" i="17"/>
  <c r="D17" i="17"/>
  <c r="D27" i="17"/>
  <c r="E27" i="17" s="1"/>
  <c r="F27" i="17" s="1"/>
  <c r="D29" i="17"/>
  <c r="D30" i="17"/>
  <c r="AY14" i="18"/>
  <c r="AY10" i="18" s="1"/>
  <c r="AY13" i="18" s="1"/>
  <c r="AY15" i="18"/>
  <c r="AY16" i="18"/>
  <c r="AY17" i="18"/>
  <c r="AY29" i="18"/>
  <c r="AX14" i="18"/>
  <c r="AX15" i="18"/>
  <c r="AX10" i="18" s="1"/>
  <c r="AX13" i="18" s="1"/>
  <c r="AX16" i="18"/>
  <c r="AX17" i="18"/>
  <c r="AX22" i="18"/>
  <c r="AX29" i="18"/>
  <c r="AW14" i="18"/>
  <c r="AW10" i="18" s="1"/>
  <c r="AW13" i="18" s="1"/>
  <c r="AX21" i="18" s="1"/>
  <c r="AW15" i="18"/>
  <c r="AW16" i="18"/>
  <c r="AW17" i="18"/>
  <c r="AW29" i="18"/>
  <c r="AV14" i="18"/>
  <c r="AV15" i="18"/>
  <c r="AV16" i="18"/>
  <c r="AV10" i="18"/>
  <c r="AV13" i="18" s="1"/>
  <c r="AV17" i="18"/>
  <c r="AV29" i="18"/>
  <c r="AU14" i="18"/>
  <c r="AU10" i="18" s="1"/>
  <c r="AU13" i="18" s="1"/>
  <c r="AU15" i="18"/>
  <c r="AU16" i="18"/>
  <c r="AU17" i="18"/>
  <c r="AU29" i="18"/>
  <c r="AT14" i="18"/>
  <c r="AT15" i="18"/>
  <c r="AT16" i="18"/>
  <c r="AT17" i="18"/>
  <c r="AT24" i="18"/>
  <c r="AT29" i="18"/>
  <c r="AT44" i="18"/>
  <c r="AS14" i="18"/>
  <c r="AS15" i="18"/>
  <c r="AS16" i="18"/>
  <c r="AS10" i="18"/>
  <c r="AS13" i="18" s="1"/>
  <c r="AT21" i="18" s="1"/>
  <c r="AS17" i="18"/>
  <c r="AS29" i="18"/>
  <c r="AR14" i="18"/>
  <c r="AR15" i="18"/>
  <c r="AR16" i="18"/>
  <c r="AR10" i="18"/>
  <c r="AR13" i="18" s="1"/>
  <c r="AS22" i="18" s="1"/>
  <c r="AR17" i="18"/>
  <c r="AR29" i="18"/>
  <c r="AQ14" i="18"/>
  <c r="AQ15" i="18"/>
  <c r="AQ16" i="18"/>
  <c r="AQ17" i="18"/>
  <c r="AQ29" i="18"/>
  <c r="AP14" i="18"/>
  <c r="AP10" i="18" s="1"/>
  <c r="AP13" i="18" s="1"/>
  <c r="AP15" i="18"/>
  <c r="AP16" i="18"/>
  <c r="AP17" i="18"/>
  <c r="AP29" i="18"/>
  <c r="AO14" i="18"/>
  <c r="AO15" i="18"/>
  <c r="AO16" i="18"/>
  <c r="AO17" i="18"/>
  <c r="AO21" i="18"/>
  <c r="AO29" i="18"/>
  <c r="AN14" i="18"/>
  <c r="AN15" i="18"/>
  <c r="AN16" i="18"/>
  <c r="AN10" i="18"/>
  <c r="AN13" i="18" s="1"/>
  <c r="AO22" i="18" s="1"/>
  <c r="AN17" i="18"/>
  <c r="AN29" i="18"/>
  <c r="AM14" i="18"/>
  <c r="AM10" i="18" s="1"/>
  <c r="AM13" i="18" s="1"/>
  <c r="AM15" i="18"/>
  <c r="AM16" i="18"/>
  <c r="AM17" i="18"/>
  <c r="AM29" i="18"/>
  <c r="AL16" i="18"/>
  <c r="AL21" i="18"/>
  <c r="AL22" i="18"/>
  <c r="AL23" i="18"/>
  <c r="AL29" i="18"/>
  <c r="AL33" i="18"/>
  <c r="AL44" i="18"/>
  <c r="AL50" i="18" s="1"/>
  <c r="AK14" i="18"/>
  <c r="AL15" i="18" s="1"/>
  <c r="AK15" i="18"/>
  <c r="AK16" i="18"/>
  <c r="AL17" i="18" s="1"/>
  <c r="AK10" i="18"/>
  <c r="AK13" i="18" s="1"/>
  <c r="AL14" i="18" s="1"/>
  <c r="AL10" i="18" s="1"/>
  <c r="AL13" i="18" s="1"/>
  <c r="AK17" i="18"/>
  <c r="AK29" i="18"/>
  <c r="AJ14" i="18"/>
  <c r="AJ15" i="18"/>
  <c r="AJ16" i="18"/>
  <c r="AJ10" i="18"/>
  <c r="AJ13" i="18" s="1"/>
  <c r="AJ17" i="18"/>
  <c r="AJ29" i="18"/>
  <c r="AI14" i="18"/>
  <c r="AI15" i="18"/>
  <c r="AI16" i="18"/>
  <c r="AI17" i="18"/>
  <c r="AI22" i="18"/>
  <c r="AI29" i="18"/>
  <c r="AI33" i="18"/>
  <c r="AI39" i="18" s="1"/>
  <c r="AH14" i="18"/>
  <c r="AH15" i="18"/>
  <c r="AH10" i="18" s="1"/>
  <c r="AH13" i="18" s="1"/>
  <c r="AI21" i="18" s="1"/>
  <c r="AH16" i="18"/>
  <c r="AH17" i="18"/>
  <c r="AH29" i="18"/>
  <c r="AG14" i="18"/>
  <c r="AG15" i="18"/>
  <c r="AG16" i="18"/>
  <c r="AG17" i="18"/>
  <c r="AG29" i="18"/>
  <c r="AF14" i="18"/>
  <c r="AF10" i="18" s="1"/>
  <c r="AF13" i="18" s="1"/>
  <c r="AF15" i="18"/>
  <c r="AF16" i="18"/>
  <c r="AF17" i="18"/>
  <c r="AF29" i="18"/>
  <c r="AE14" i="18"/>
  <c r="AE15" i="18"/>
  <c r="AE10" i="18" s="1"/>
  <c r="AE13" i="18" s="1"/>
  <c r="AE16" i="18"/>
  <c r="AE17" i="18"/>
  <c r="AE29" i="18"/>
  <c r="AD14" i="18"/>
  <c r="AD15" i="18"/>
  <c r="AD16" i="18"/>
  <c r="AD17" i="18"/>
  <c r="AD29" i="18"/>
  <c r="AC14" i="18"/>
  <c r="AC10" i="18" s="1"/>
  <c r="AC13" i="18" s="1"/>
  <c r="AC15" i="18"/>
  <c r="AC16" i="18"/>
  <c r="AC17" i="18"/>
  <c r="AC29" i="18"/>
  <c r="AB14" i="18"/>
  <c r="AB15" i="18"/>
  <c r="AB10" i="18" s="1"/>
  <c r="AB16" i="18"/>
  <c r="AB13" i="18"/>
  <c r="AB17" i="18"/>
  <c r="AB29" i="18"/>
  <c r="AA14" i="18"/>
  <c r="AA10" i="18" s="1"/>
  <c r="AA15" i="18"/>
  <c r="AA16" i="18"/>
  <c r="AA13" i="18"/>
  <c r="AA17" i="18"/>
  <c r="AA29" i="18"/>
  <c r="Z14" i="18"/>
  <c r="Z15" i="18"/>
  <c r="Z16" i="18"/>
  <c r="Z10" i="18"/>
  <c r="Z13" i="18" s="1"/>
  <c r="Z17" i="18"/>
  <c r="Z29" i="18"/>
  <c r="Y14" i="18"/>
  <c r="Y15" i="18"/>
  <c r="Y10" i="18" s="1"/>
  <c r="Y16" i="18"/>
  <c r="Y13" i="18"/>
  <c r="Y17" i="18"/>
  <c r="Y29" i="18"/>
  <c r="X14" i="18"/>
  <c r="X15" i="18"/>
  <c r="X16" i="18"/>
  <c r="X17" i="18"/>
  <c r="X29" i="18"/>
  <c r="W14" i="18"/>
  <c r="W10" i="18" s="1"/>
  <c r="W13" i="18" s="1"/>
  <c r="W15" i="18"/>
  <c r="W16" i="18"/>
  <c r="W17" i="18"/>
  <c r="W29" i="18"/>
  <c r="V14" i="18"/>
  <c r="V10" i="18" s="1"/>
  <c r="V13" i="18" s="1"/>
  <c r="V15" i="18"/>
  <c r="V16" i="18"/>
  <c r="V17" i="18"/>
  <c r="V29" i="18"/>
  <c r="U14" i="18"/>
  <c r="U10" i="18" s="1"/>
  <c r="U13" i="18" s="1"/>
  <c r="U15" i="18"/>
  <c r="U16" i="18"/>
  <c r="U17" i="18"/>
  <c r="U29" i="18"/>
  <c r="T14" i="18"/>
  <c r="T15" i="18"/>
  <c r="T10" i="18" s="1"/>
  <c r="T13" i="18" s="1"/>
  <c r="T16" i="18"/>
  <c r="T17" i="18"/>
  <c r="T29" i="18"/>
  <c r="S14" i="18"/>
  <c r="S15" i="18"/>
  <c r="S16" i="18"/>
  <c r="S17" i="18"/>
  <c r="S29" i="18"/>
  <c r="R14" i="18"/>
  <c r="R15" i="18"/>
  <c r="R16" i="18"/>
  <c r="R17" i="18"/>
  <c r="R21" i="18"/>
  <c r="R33" i="18" s="1"/>
  <c r="R29" i="18"/>
  <c r="Q14" i="18"/>
  <c r="Q15" i="18"/>
  <c r="Q10" i="18" s="1"/>
  <c r="Q13" i="18" s="1"/>
  <c r="R22" i="18" s="1"/>
  <c r="Q16" i="18"/>
  <c r="Q17" i="18"/>
  <c r="Q29" i="18"/>
  <c r="P14" i="18"/>
  <c r="P10" i="18" s="1"/>
  <c r="P13" i="18" s="1"/>
  <c r="Q21" i="18" s="1"/>
  <c r="Q23" i="18" s="1"/>
  <c r="P15" i="18"/>
  <c r="P16" i="18"/>
  <c r="P17" i="18"/>
  <c r="P29" i="18"/>
  <c r="P45" i="18"/>
  <c r="P51" i="18" s="1"/>
  <c r="O14" i="18"/>
  <c r="O15" i="18"/>
  <c r="O10" i="18" s="1"/>
  <c r="O16" i="18"/>
  <c r="O13" i="18"/>
  <c r="P22" i="18" s="1"/>
  <c r="O17" i="18"/>
  <c r="O29" i="18"/>
  <c r="N14" i="18"/>
  <c r="N10" i="18" s="1"/>
  <c r="N13" i="18" s="1"/>
  <c r="N15" i="18"/>
  <c r="N16" i="18"/>
  <c r="N17" i="18"/>
  <c r="N29" i="18"/>
  <c r="M14" i="18"/>
  <c r="M15" i="18"/>
  <c r="M16" i="18"/>
  <c r="M10" i="18"/>
  <c r="M13" i="18" s="1"/>
  <c r="N22" i="18" s="1"/>
  <c r="M17" i="18"/>
  <c r="M29" i="18"/>
  <c r="L14" i="18"/>
  <c r="L10" i="18" s="1"/>
  <c r="L15" i="18"/>
  <c r="L16" i="18"/>
  <c r="L13" i="18"/>
  <c r="L17" i="18"/>
  <c r="L29" i="18"/>
  <c r="K14" i="18"/>
  <c r="K15" i="18"/>
  <c r="K16" i="18"/>
  <c r="K10" i="18"/>
  <c r="K13" i="18" s="1"/>
  <c r="K17" i="18"/>
  <c r="K29" i="18"/>
  <c r="J14" i="18"/>
  <c r="J10" i="18" s="1"/>
  <c r="J15" i="18"/>
  <c r="J16" i="18"/>
  <c r="J13" i="18"/>
  <c r="J17" i="18"/>
  <c r="J29" i="18"/>
  <c r="I14" i="18"/>
  <c r="I15" i="18"/>
  <c r="I16" i="18"/>
  <c r="I10" i="18" s="1"/>
  <c r="I13" i="18" s="1"/>
  <c r="I17" i="18"/>
  <c r="I29" i="18"/>
  <c r="H14" i="18"/>
  <c r="H15" i="18"/>
  <c r="H16" i="18"/>
  <c r="H10" i="18"/>
  <c r="H13" i="18"/>
  <c r="H17" i="18"/>
  <c r="H29" i="18"/>
  <c r="G14" i="18"/>
  <c r="G15" i="18"/>
  <c r="G16" i="18"/>
  <c r="G10" i="18"/>
  <c r="G13" i="18" s="1"/>
  <c r="G17" i="18"/>
  <c r="G29" i="18"/>
  <c r="F14" i="18"/>
  <c r="F15" i="18"/>
  <c r="F16" i="18"/>
  <c r="F17" i="18"/>
  <c r="F27" i="18"/>
  <c r="F29" i="18"/>
  <c r="E14" i="18"/>
  <c r="E15" i="18"/>
  <c r="E10" i="18" s="1"/>
  <c r="E13" i="18" s="1"/>
  <c r="E16" i="18"/>
  <c r="E17" i="18"/>
  <c r="E29" i="18"/>
  <c r="D14" i="18"/>
  <c r="D15" i="18"/>
  <c r="D16" i="18"/>
  <c r="D17" i="18"/>
  <c r="D21" i="18"/>
  <c r="D44" i="18" s="1"/>
  <c r="D22" i="18"/>
  <c r="D27" i="18"/>
  <c r="E27" i="18" s="1"/>
  <c r="E30" i="18" s="1"/>
  <c r="D29" i="18"/>
  <c r="D30" i="18"/>
  <c r="B21" i="16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AT22" i="18" s="1"/>
  <c r="B22" i="16"/>
  <c r="AW21" i="18" l="1"/>
  <c r="AW22" i="18"/>
  <c r="AO45" i="18"/>
  <c r="AO51" i="18" s="1"/>
  <c r="AO24" i="18"/>
  <c r="AO34" i="18"/>
  <c r="AO40" i="18" s="1"/>
  <c r="AM21" i="17"/>
  <c r="X21" i="18"/>
  <c r="X22" i="18"/>
  <c r="AK22" i="18"/>
  <c r="AK21" i="18"/>
  <c r="J22" i="18"/>
  <c r="J21" i="18"/>
  <c r="D50" i="18"/>
  <c r="D46" i="18"/>
  <c r="AN21" i="18"/>
  <c r="AN22" i="18"/>
  <c r="M21" i="18"/>
  <c r="M22" i="18"/>
  <c r="V21" i="18"/>
  <c r="V22" i="18"/>
  <c r="D21" i="17"/>
  <c r="B22" i="17"/>
  <c r="F22" i="17" s="1"/>
  <c r="AL21" i="17"/>
  <c r="AC21" i="17"/>
  <c r="U21" i="17"/>
  <c r="M21" i="17"/>
  <c r="AC22" i="18"/>
  <c r="AC21" i="18"/>
  <c r="AI24" i="18"/>
  <c r="AI45" i="18"/>
  <c r="AI51" i="18" s="1"/>
  <c r="AI34" i="18"/>
  <c r="AI40" i="18" s="1"/>
  <c r="K21" i="17"/>
  <c r="N21" i="17"/>
  <c r="O21" i="17"/>
  <c r="Z21" i="17"/>
  <c r="AW21" i="17"/>
  <c r="K116" i="12"/>
  <c r="K121" i="12"/>
  <c r="K127" i="12" s="1"/>
  <c r="O116" i="12"/>
  <c r="O120" i="12"/>
  <c r="O127" i="12" s="1"/>
  <c r="G116" i="12"/>
  <c r="G120" i="12"/>
  <c r="G127" i="12" s="1"/>
  <c r="AB21" i="16"/>
  <c r="D21" i="16"/>
  <c r="AP21" i="16"/>
  <c r="N24" i="18"/>
  <c r="N45" i="18"/>
  <c r="N51" i="18" s="1"/>
  <c r="N34" i="18"/>
  <c r="N40" i="18" s="1"/>
  <c r="AF21" i="18"/>
  <c r="AF22" i="18"/>
  <c r="AL39" i="18"/>
  <c r="AL35" i="18"/>
  <c r="AQ21" i="18"/>
  <c r="AQ22" i="18"/>
  <c r="P21" i="17"/>
  <c r="Y21" i="17"/>
  <c r="N21" i="18"/>
  <c r="Q44" i="18"/>
  <c r="R44" i="18"/>
  <c r="AG22" i="18"/>
  <c r="AG21" i="18"/>
  <c r="AI23" i="18"/>
  <c r="AI44" i="18"/>
  <c r="AY22" i="18"/>
  <c r="AY21" i="18"/>
  <c r="G23" i="17"/>
  <c r="G33" i="17"/>
  <c r="G44" i="17"/>
  <c r="W22" i="18"/>
  <c r="W21" i="18"/>
  <c r="G17" i="17"/>
  <c r="AZ17" i="17" s="1"/>
  <c r="F10" i="17"/>
  <c r="F13" i="17" s="1"/>
  <c r="G14" i="17" s="1"/>
  <c r="G10" i="17" s="1"/>
  <c r="G13" i="17" s="1"/>
  <c r="D33" i="18"/>
  <c r="D23" i="18"/>
  <c r="I21" i="18"/>
  <c r="I22" i="18"/>
  <c r="R45" i="18"/>
  <c r="R51" i="18" s="1"/>
  <c r="R34" i="18"/>
  <c r="R40" i="18" s="1"/>
  <c r="R24" i="18"/>
  <c r="L21" i="18"/>
  <c r="L22" i="18"/>
  <c r="Q33" i="18"/>
  <c r="AD21" i="18"/>
  <c r="AD22" i="18"/>
  <c r="AM22" i="18"/>
  <c r="AM21" i="18"/>
  <c r="AA21" i="17"/>
  <c r="AD21" i="17"/>
  <c r="H22" i="18"/>
  <c r="H21" i="18"/>
  <c r="P24" i="18"/>
  <c r="P34" i="18"/>
  <c r="P40" i="18" s="1"/>
  <c r="P21" i="18"/>
  <c r="S10" i="18"/>
  <c r="S13" i="18" s="1"/>
  <c r="AI35" i="18"/>
  <c r="AL34" i="18"/>
  <c r="AL40" i="18" s="1"/>
  <c r="AL45" i="18"/>
  <c r="AL24" i="18"/>
  <c r="AT46" i="18"/>
  <c r="AT50" i="18"/>
  <c r="J21" i="17"/>
  <c r="L21" i="17"/>
  <c r="I21" i="16"/>
  <c r="L22" i="16"/>
  <c r="L21" i="16"/>
  <c r="AI21" i="16"/>
  <c r="AI22" i="16"/>
  <c r="D24" i="18"/>
  <c r="D45" i="18"/>
  <c r="D51" i="18" s="1"/>
  <c r="D34" i="18"/>
  <c r="D40" i="18" s="1"/>
  <c r="R39" i="18"/>
  <c r="AB22" i="18"/>
  <c r="AB21" i="18"/>
  <c r="AX24" i="18"/>
  <c r="AX34" i="18"/>
  <c r="AX40" i="18" s="1"/>
  <c r="AX45" i="18"/>
  <c r="AX51" i="18" s="1"/>
  <c r="AX21" i="17"/>
  <c r="K21" i="18"/>
  <c r="K22" i="18"/>
  <c r="AR22" i="16"/>
  <c r="AE22" i="16"/>
  <c r="O22" i="16"/>
  <c r="D22" i="16"/>
  <c r="G27" i="18"/>
  <c r="F30" i="18"/>
  <c r="Q22" i="18"/>
  <c r="U22" i="18"/>
  <c r="U21" i="18"/>
  <c r="Z22" i="18"/>
  <c r="Z21" i="18"/>
  <c r="AO33" i="18"/>
  <c r="AO23" i="18"/>
  <c r="AO44" i="18"/>
  <c r="AX23" i="18"/>
  <c r="AX33" i="18"/>
  <c r="AX44" i="18"/>
  <c r="F21" i="17"/>
  <c r="W21" i="17"/>
  <c r="AT34" i="18"/>
  <c r="AT40" i="18" s="1"/>
  <c r="AT45" i="18"/>
  <c r="AT51" i="18" s="1"/>
  <c r="F22" i="18"/>
  <c r="F21" i="18"/>
  <c r="O21" i="18"/>
  <c r="O22" i="18"/>
  <c r="R23" i="18"/>
  <c r="AA21" i="18"/>
  <c r="AA22" i="18"/>
  <c r="AS24" i="18"/>
  <c r="AS34" i="18"/>
  <c r="AS40" i="18" s="1"/>
  <c r="AS45" i="18"/>
  <c r="AS51" i="18" s="1"/>
  <c r="AS21" i="18"/>
  <c r="AV21" i="18"/>
  <c r="AV22" i="18"/>
  <c r="F30" i="17"/>
  <c r="G27" i="17"/>
  <c r="AY21" i="17"/>
  <c r="R10" i="18"/>
  <c r="R13" i="18" s="1"/>
  <c r="AE21" i="17"/>
  <c r="AO21" i="17"/>
  <c r="AK17" i="16"/>
  <c r="AJ10" i="16"/>
  <c r="AJ13" i="16" s="1"/>
  <c r="AK14" i="16" s="1"/>
  <c r="AK10" i="16" s="1"/>
  <c r="AK13" i="16" s="1"/>
  <c r="AD10" i="18"/>
  <c r="AD13" i="18" s="1"/>
  <c r="AG10" i="18"/>
  <c r="AG13" i="18" s="1"/>
  <c r="Q21" i="17"/>
  <c r="R17" i="17"/>
  <c r="Q10" i="17"/>
  <c r="Q13" i="17" s="1"/>
  <c r="R14" i="17" s="1"/>
  <c r="R10" i="17" s="1"/>
  <c r="R13" i="17" s="1"/>
  <c r="AA10" i="17"/>
  <c r="AA13" i="17" s="1"/>
  <c r="AM10" i="17"/>
  <c r="AM13" i="17" s="1"/>
  <c r="E39" i="16"/>
  <c r="E35" i="16"/>
  <c r="S21" i="16"/>
  <c r="S22" i="16"/>
  <c r="AK23" i="16"/>
  <c r="AK44" i="16"/>
  <c r="AK33" i="16"/>
  <c r="AF21" i="17"/>
  <c r="AF22" i="17"/>
  <c r="D10" i="18"/>
  <c r="X10" i="18"/>
  <c r="X13" i="18" s="1"/>
  <c r="AT23" i="18"/>
  <c r="AT33" i="18"/>
  <c r="AG21" i="17"/>
  <c r="AH21" i="17"/>
  <c r="AH22" i="17"/>
  <c r="G21" i="16"/>
  <c r="G22" i="16"/>
  <c r="K21" i="16"/>
  <c r="K22" i="16"/>
  <c r="AA22" i="16"/>
  <c r="AA21" i="16"/>
  <c r="F10" i="18"/>
  <c r="F13" i="18" s="1"/>
  <c r="AQ10" i="18"/>
  <c r="AQ13" i="18" s="1"/>
  <c r="I21" i="17"/>
  <c r="V23" i="17"/>
  <c r="V44" i="17"/>
  <c r="V33" i="17"/>
  <c r="AI21" i="17"/>
  <c r="AL22" i="17"/>
  <c r="AR21" i="17"/>
  <c r="E15" i="16"/>
  <c r="D10" i="16"/>
  <c r="M21" i="16"/>
  <c r="M22" i="16"/>
  <c r="V21" i="16"/>
  <c r="V22" i="16"/>
  <c r="S10" i="17"/>
  <c r="S13" i="17" s="1"/>
  <c r="AR10" i="17"/>
  <c r="AR13" i="17" s="1"/>
  <c r="T44" i="16"/>
  <c r="T33" i="16"/>
  <c r="AZ17" i="18"/>
  <c r="AI10" i="18"/>
  <c r="AI13" i="18" s="1"/>
  <c r="H21" i="16"/>
  <c r="H22" i="16"/>
  <c r="AH22" i="16"/>
  <c r="AH21" i="16"/>
  <c r="AO10" i="18"/>
  <c r="AO13" i="18" s="1"/>
  <c r="AT35" i="17"/>
  <c r="AT39" i="17"/>
  <c r="AV21" i="17"/>
  <c r="AJ21" i="16"/>
  <c r="AJ22" i="16"/>
  <c r="AP22" i="16"/>
  <c r="AS22" i="16"/>
  <c r="AS21" i="16"/>
  <c r="AT10" i="18"/>
  <c r="AT13" i="18" s="1"/>
  <c r="V24" i="17"/>
  <c r="V34" i="17"/>
  <c r="V40" i="17" s="1"/>
  <c r="AT10" i="17"/>
  <c r="AT13" i="17" s="1"/>
  <c r="D30" i="16"/>
  <c r="E27" i="16"/>
  <c r="I22" i="16"/>
  <c r="O21" i="16"/>
  <c r="AI10" i="17"/>
  <c r="AI13" i="17" s="1"/>
  <c r="AJ10" i="17"/>
  <c r="AJ13" i="17" s="1"/>
  <c r="J21" i="16"/>
  <c r="J22" i="16"/>
  <c r="T16" i="16"/>
  <c r="S10" i="16"/>
  <c r="S13" i="16" s="1"/>
  <c r="T14" i="16" s="1"/>
  <c r="AD21" i="16"/>
  <c r="AD22" i="16"/>
  <c r="AF22" i="16"/>
  <c r="AF21" i="16"/>
  <c r="AX45" i="16"/>
  <c r="AX51" i="16" s="1"/>
  <c r="AX24" i="16"/>
  <c r="O127" i="11"/>
  <c r="D10" i="17"/>
  <c r="R46" i="17"/>
  <c r="R50" i="17"/>
  <c r="R23" i="17"/>
  <c r="R33" i="17"/>
  <c r="AP10" i="17"/>
  <c r="AP13" i="17" s="1"/>
  <c r="P10" i="16"/>
  <c r="P13" i="16" s="1"/>
  <c r="R260" i="15"/>
  <c r="N127" i="13"/>
  <c r="E127" i="13"/>
  <c r="F127" i="10"/>
  <c r="S10" i="20" s="1"/>
  <c r="M127" i="10"/>
  <c r="E127" i="10"/>
  <c r="I116" i="10"/>
  <c r="I120" i="10"/>
  <c r="I127" i="10" s="1"/>
  <c r="W10" i="17"/>
  <c r="W13" i="17" s="1"/>
  <c r="AO10" i="17"/>
  <c r="AO13" i="17" s="1"/>
  <c r="AU21" i="16"/>
  <c r="AU22" i="16"/>
  <c r="N138" i="11"/>
  <c r="J138" i="11"/>
  <c r="P34" i="16"/>
  <c r="Q10" i="16"/>
  <c r="Q13" i="16" s="1"/>
  <c r="T34" i="16"/>
  <c r="T40" i="16" s="1"/>
  <c r="M138" i="13"/>
  <c r="I138" i="13"/>
  <c r="K127" i="11"/>
  <c r="K138" i="10"/>
  <c r="O138" i="10"/>
  <c r="G138" i="10"/>
  <c r="V10" i="16"/>
  <c r="V13" i="16" s="1"/>
  <c r="X16" i="16"/>
  <c r="W10" i="16"/>
  <c r="W13" i="16" s="1"/>
  <c r="X14" i="16" s="1"/>
  <c r="AE21" i="16"/>
  <c r="AA260" i="15"/>
  <c r="L260" i="14"/>
  <c r="S260" i="14"/>
  <c r="K116" i="13"/>
  <c r="K121" i="13"/>
  <c r="K127" i="13" s="1"/>
  <c r="O116" i="13"/>
  <c r="O120" i="13"/>
  <c r="O127" i="13" s="1"/>
  <c r="G116" i="13"/>
  <c r="G120" i="13"/>
  <c r="G127" i="13" s="1"/>
  <c r="J127" i="12"/>
  <c r="N116" i="12"/>
  <c r="N121" i="12"/>
  <c r="N127" i="12" s="1"/>
  <c r="F127" i="12"/>
  <c r="J116" i="12"/>
  <c r="H8" i="20" s="1"/>
  <c r="M10" i="16"/>
  <c r="M13" i="16" s="1"/>
  <c r="Z22" i="16"/>
  <c r="Z21" i="16"/>
  <c r="AM21" i="16"/>
  <c r="AM22" i="16"/>
  <c r="AT21" i="16"/>
  <c r="AT22" i="16"/>
  <c r="J127" i="13"/>
  <c r="AZ17" i="16"/>
  <c r="K138" i="12"/>
  <c r="O138" i="12"/>
  <c r="G138" i="12"/>
  <c r="N127" i="11"/>
  <c r="F127" i="11"/>
  <c r="S9" i="20" s="1"/>
  <c r="J116" i="11"/>
  <c r="J120" i="11"/>
  <c r="J127" i="11" s="1"/>
  <c r="N127" i="10"/>
  <c r="AZ259" i="15"/>
  <c r="AX260" i="15"/>
  <c r="E260" i="14"/>
  <c r="AZ260" i="14" s="1"/>
  <c r="I260" i="14"/>
  <c r="G127" i="11"/>
  <c r="H9" i="20"/>
  <c r="M116" i="11"/>
  <c r="I116" i="11"/>
  <c r="I120" i="11"/>
  <c r="I127" i="11" s="1"/>
  <c r="N138" i="10"/>
  <c r="AX39" i="16"/>
  <c r="AX35" i="16"/>
  <c r="K260" i="15"/>
  <c r="K138" i="13"/>
  <c r="S31" i="20" s="1"/>
  <c r="T32" i="20" s="1"/>
  <c r="O138" i="13"/>
  <c r="G138" i="13"/>
  <c r="M127" i="13"/>
  <c r="N138" i="12"/>
  <c r="J138" i="12"/>
  <c r="BA14" i="15"/>
  <c r="X33" i="16"/>
  <c r="X23" i="16"/>
  <c r="AB22" i="16"/>
  <c r="AW21" i="16"/>
  <c r="AW22" i="16"/>
  <c r="S260" i="15"/>
  <c r="N116" i="13"/>
  <c r="J116" i="13"/>
  <c r="E127" i="12"/>
  <c r="S8" i="20" s="1"/>
  <c r="J127" i="10"/>
  <c r="AB10" i="16"/>
  <c r="AB13" i="16" s="1"/>
  <c r="AN33" i="16"/>
  <c r="AN44" i="16"/>
  <c r="V260" i="15"/>
  <c r="AZ259" i="14"/>
  <c r="AA260" i="14"/>
  <c r="I116" i="13"/>
  <c r="H7" i="20" s="1"/>
  <c r="BA14" i="14"/>
  <c r="K116" i="11"/>
  <c r="O116" i="11"/>
  <c r="G116" i="11"/>
  <c r="I138" i="10"/>
  <c r="AR21" i="16"/>
  <c r="Z260" i="15"/>
  <c r="AD260" i="15"/>
  <c r="AH260" i="15"/>
  <c r="AK260" i="15"/>
  <c r="AJ260" i="14"/>
  <c r="AN260" i="14"/>
  <c r="AR260" i="14"/>
  <c r="I116" i="12"/>
  <c r="K116" i="10"/>
  <c r="O116" i="10"/>
  <c r="G116" i="10"/>
  <c r="H10" i="20" s="1"/>
  <c r="T43" i="20"/>
  <c r="AF10" i="16"/>
  <c r="AF13" i="16" s="1"/>
  <c r="AJ260" i="15"/>
  <c r="AN260" i="15"/>
  <c r="AR260" i="15"/>
  <c r="AI260" i="14"/>
  <c r="J138" i="13"/>
  <c r="I138" i="11"/>
  <c r="AN34" i="16"/>
  <c r="AN40" i="16" s="1"/>
  <c r="AP10" i="16"/>
  <c r="AP13" i="16" s="1"/>
  <c r="D260" i="15"/>
  <c r="H260" i="15"/>
  <c r="L260" i="15"/>
  <c r="AY260" i="15"/>
  <c r="Z260" i="14"/>
  <c r="AD260" i="14"/>
  <c r="AH260" i="14"/>
  <c r="AK260" i="14"/>
  <c r="I138" i="12"/>
  <c r="I120" i="12"/>
  <c r="I127" i="12" s="1"/>
  <c r="K138" i="11"/>
  <c r="O138" i="11"/>
  <c r="G138" i="11"/>
  <c r="K121" i="10"/>
  <c r="K127" i="10" s="1"/>
  <c r="O120" i="10"/>
  <c r="O127" i="10" s="1"/>
  <c r="G120" i="10"/>
  <c r="G127" i="10" s="1"/>
  <c r="AM10" i="16"/>
  <c r="AM13" i="16" s="1"/>
  <c r="AN14" i="16" s="1"/>
  <c r="AN10" i="16" s="1"/>
  <c r="AN13" i="16" s="1"/>
  <c r="AU10" i="16"/>
  <c r="AU13" i="16" s="1"/>
  <c r="AW10" i="16"/>
  <c r="AW13" i="16" s="1"/>
  <c r="AX14" i="16" s="1"/>
  <c r="AX10" i="16" s="1"/>
  <c r="AX13" i="16" s="1"/>
  <c r="M260" i="15"/>
  <c r="AS260" i="15"/>
  <c r="AC260" i="14"/>
  <c r="J138" i="10"/>
  <c r="J116" i="10"/>
  <c r="AX44" i="16"/>
  <c r="AX23" i="16"/>
  <c r="AC260" i="15"/>
  <c r="M260" i="14"/>
  <c r="AS260" i="14"/>
  <c r="F24" i="17" l="1"/>
  <c r="F34" i="17"/>
  <c r="F40" i="17" s="1"/>
  <c r="F45" i="17"/>
  <c r="F51" i="17" s="1"/>
  <c r="AU33" i="16"/>
  <c r="AU23" i="16"/>
  <c r="AU44" i="16"/>
  <c r="AU22" i="18"/>
  <c r="AU21" i="18"/>
  <c r="H45" i="16"/>
  <c r="H51" i="16" s="1"/>
  <c r="H34" i="16"/>
  <c r="H40" i="16" s="1"/>
  <c r="H24" i="16"/>
  <c r="AL24" i="17"/>
  <c r="AL34" i="17"/>
  <c r="AL40" i="17" s="1"/>
  <c r="AL45" i="17"/>
  <c r="AL51" i="17" s="1"/>
  <c r="AF34" i="17"/>
  <c r="AF40" i="17" s="1"/>
  <c r="AF45" i="17"/>
  <c r="AF51" i="17" s="1"/>
  <c r="AF24" i="17"/>
  <c r="AH22" i="18"/>
  <c r="AH21" i="18"/>
  <c r="AX46" i="18"/>
  <c r="AX50" i="18"/>
  <c r="AR24" i="16"/>
  <c r="AR34" i="16"/>
  <c r="AR40" i="16" s="1"/>
  <c r="AR45" i="16"/>
  <c r="AR51" i="16" s="1"/>
  <c r="AI24" i="16"/>
  <c r="AI45" i="16"/>
  <c r="AI51" i="16" s="1"/>
  <c r="AI34" i="16"/>
  <c r="AI40" i="16" s="1"/>
  <c r="AY45" i="18"/>
  <c r="AY51" i="18" s="1"/>
  <c r="AY34" i="18"/>
  <c r="AY40" i="18" s="1"/>
  <c r="AY24" i="18"/>
  <c r="AN23" i="18"/>
  <c r="AN44" i="18"/>
  <c r="AN33" i="18"/>
  <c r="AY22" i="16"/>
  <c r="AY21" i="16"/>
  <c r="X35" i="16"/>
  <c r="X39" i="16"/>
  <c r="AT34" i="16"/>
  <c r="AT40" i="16" s="1"/>
  <c r="AT45" i="16"/>
  <c r="AT51" i="16" s="1"/>
  <c r="AT24" i="16"/>
  <c r="W21" i="16"/>
  <c r="W22" i="16"/>
  <c r="AP21" i="17"/>
  <c r="AP22" i="17"/>
  <c r="S7" i="20"/>
  <c r="T11" i="20" s="1"/>
  <c r="T45" i="20" s="1"/>
  <c r="AD33" i="16"/>
  <c r="AD44" i="16"/>
  <c r="AD23" i="16"/>
  <c r="I24" i="16"/>
  <c r="I45" i="16"/>
  <c r="I51" i="16" s="1"/>
  <c r="I34" i="16"/>
  <c r="I40" i="16" s="1"/>
  <c r="AS23" i="16"/>
  <c r="AS33" i="16"/>
  <c r="AS44" i="16"/>
  <c r="H33" i="16"/>
  <c r="H23" i="16"/>
  <c r="H44" i="16"/>
  <c r="V33" i="16"/>
  <c r="V44" i="16"/>
  <c r="V23" i="16"/>
  <c r="AI23" i="17"/>
  <c r="AI44" i="17"/>
  <c r="AI33" i="17"/>
  <c r="G21" i="18"/>
  <c r="G22" i="18"/>
  <c r="AH23" i="17"/>
  <c r="AH33" i="17"/>
  <c r="AH44" i="17"/>
  <c r="AF44" i="17"/>
  <c r="AF23" i="17"/>
  <c r="AF33" i="17"/>
  <c r="AN21" i="17"/>
  <c r="AN22" i="17"/>
  <c r="AE22" i="18"/>
  <c r="AE21" i="18"/>
  <c r="AY22" i="17"/>
  <c r="F24" i="18"/>
  <c r="F45" i="18"/>
  <c r="F51" i="18" s="1"/>
  <c r="F34" i="18"/>
  <c r="F40" i="18" s="1"/>
  <c r="AX39" i="18"/>
  <c r="AX35" i="18"/>
  <c r="U24" i="18"/>
  <c r="U45" i="18"/>
  <c r="U51" i="18" s="1"/>
  <c r="U34" i="18"/>
  <c r="U40" i="18" s="1"/>
  <c r="K34" i="18"/>
  <c r="K40" i="18" s="1"/>
  <c r="K45" i="18"/>
  <c r="K51" i="18" s="1"/>
  <c r="K24" i="18"/>
  <c r="AB34" i="18"/>
  <c r="AB40" i="18" s="1"/>
  <c r="AB24" i="18"/>
  <c r="AB45" i="18"/>
  <c r="AB51" i="18" s="1"/>
  <c r="AI23" i="16"/>
  <c r="AI33" i="16"/>
  <c r="AI44" i="16"/>
  <c r="AM34" i="18"/>
  <c r="AM40" i="18" s="1"/>
  <c r="AM24" i="18"/>
  <c r="AM45" i="18"/>
  <c r="AM51" i="18" s="1"/>
  <c r="W33" i="18"/>
  <c r="W44" i="18"/>
  <c r="W23" i="18"/>
  <c r="AI46" i="18"/>
  <c r="AI50" i="18"/>
  <c r="Y33" i="17"/>
  <c r="Y23" i="17"/>
  <c r="Y44" i="17"/>
  <c r="AF33" i="18"/>
  <c r="AF23" i="18"/>
  <c r="AF44" i="18"/>
  <c r="Z22" i="17"/>
  <c r="D44" i="17"/>
  <c r="D23" i="17"/>
  <c r="D33" i="17"/>
  <c r="AM22" i="17"/>
  <c r="AV22" i="16"/>
  <c r="AV21" i="16"/>
  <c r="AR23" i="16"/>
  <c r="AR44" i="16"/>
  <c r="AR33" i="16"/>
  <c r="AT44" i="16"/>
  <c r="AT23" i="16"/>
  <c r="AT33" i="16"/>
  <c r="X21" i="17"/>
  <c r="X22" i="17"/>
  <c r="AZ10" i="17"/>
  <c r="D13" i="17"/>
  <c r="T10" i="16"/>
  <c r="T13" i="16" s="1"/>
  <c r="F27" i="16"/>
  <c r="E30" i="16"/>
  <c r="AS34" i="16"/>
  <c r="AS40" i="16" s="1"/>
  <c r="AS24" i="16"/>
  <c r="AS45" i="16"/>
  <c r="AS51" i="16" s="1"/>
  <c r="U22" i="17"/>
  <c r="AJ22" i="18"/>
  <c r="AJ21" i="18"/>
  <c r="M34" i="16"/>
  <c r="M40" i="16" s="1"/>
  <c r="M45" i="16"/>
  <c r="M51" i="16" s="1"/>
  <c r="M24" i="16"/>
  <c r="AI22" i="17"/>
  <c r="AA23" i="16"/>
  <c r="AA44" i="16"/>
  <c r="AA33" i="16"/>
  <c r="AG33" i="17"/>
  <c r="AG44" i="17"/>
  <c r="AG23" i="17"/>
  <c r="AK35" i="16"/>
  <c r="AK39" i="16"/>
  <c r="AC22" i="17"/>
  <c r="AL21" i="16"/>
  <c r="AL22" i="16"/>
  <c r="AY33" i="17"/>
  <c r="AY23" i="17"/>
  <c r="AY44" i="17"/>
  <c r="Q34" i="18"/>
  <c r="Q40" i="18" s="1"/>
  <c r="Q24" i="18"/>
  <c r="Q45" i="18"/>
  <c r="Q51" i="18" s="1"/>
  <c r="K44" i="18"/>
  <c r="K33" i="18"/>
  <c r="K23" i="18"/>
  <c r="L44" i="16"/>
  <c r="L33" i="16"/>
  <c r="L23" i="16"/>
  <c r="H33" i="18"/>
  <c r="H44" i="18"/>
  <c r="H23" i="18"/>
  <c r="AD34" i="18"/>
  <c r="AD40" i="18" s="1"/>
  <c r="AD45" i="18"/>
  <c r="AD51" i="18" s="1"/>
  <c r="AD24" i="18"/>
  <c r="I34" i="18"/>
  <c r="I40" i="18" s="1"/>
  <c r="I45" i="18"/>
  <c r="I51" i="18" s="1"/>
  <c r="I24" i="18"/>
  <c r="W45" i="18"/>
  <c r="W51" i="18" s="1"/>
  <c r="W24" i="18"/>
  <c r="W34" i="18"/>
  <c r="W40" i="18" s="1"/>
  <c r="P22" i="17"/>
  <c r="O23" i="17"/>
  <c r="O44" i="17"/>
  <c r="O33" i="17"/>
  <c r="AC33" i="18"/>
  <c r="AC44" i="18"/>
  <c r="AC23" i="18"/>
  <c r="AM44" i="17"/>
  <c r="AM33" i="17"/>
  <c r="AM23" i="17"/>
  <c r="AD24" i="16"/>
  <c r="AD45" i="16"/>
  <c r="AD51" i="16" s="1"/>
  <c r="AD34" i="16"/>
  <c r="AD40" i="16" s="1"/>
  <c r="AR21" i="18"/>
  <c r="AR22" i="18"/>
  <c r="D22" i="17"/>
  <c r="AG22" i="17"/>
  <c r="L22" i="17"/>
  <c r="AX50" i="16"/>
  <c r="AX46" i="16"/>
  <c r="AO22" i="16"/>
  <c r="AO21" i="16"/>
  <c r="AZ260" i="15"/>
  <c r="AM34" i="16"/>
  <c r="AM40" i="16" s="1"/>
  <c r="AM45" i="16"/>
  <c r="AM51" i="16" s="1"/>
  <c r="AM24" i="16"/>
  <c r="R21" i="16"/>
  <c r="R22" i="16"/>
  <c r="AP45" i="16"/>
  <c r="AP51" i="16" s="1"/>
  <c r="AP34" i="16"/>
  <c r="AP40" i="16" s="1"/>
  <c r="AP24" i="16"/>
  <c r="M22" i="17"/>
  <c r="M33" i="16"/>
  <c r="M23" i="16"/>
  <c r="M44" i="16"/>
  <c r="V39" i="17"/>
  <c r="V35" i="17"/>
  <c r="AA34" i="16"/>
  <c r="AA40" i="16" s="1"/>
  <c r="AA24" i="16"/>
  <c r="AA45" i="16"/>
  <c r="AA51" i="16" s="1"/>
  <c r="AK46" i="16"/>
  <c r="AK50" i="16"/>
  <c r="AB21" i="17"/>
  <c r="AB22" i="17"/>
  <c r="H27" i="17"/>
  <c r="G30" i="17"/>
  <c r="AA24" i="18"/>
  <c r="AA45" i="18"/>
  <c r="AA51" i="18" s="1"/>
  <c r="AA34" i="18"/>
  <c r="AA40" i="18" s="1"/>
  <c r="AO50" i="18"/>
  <c r="AO46" i="18"/>
  <c r="AX22" i="17"/>
  <c r="R35" i="18"/>
  <c r="L24" i="16"/>
  <c r="L45" i="16"/>
  <c r="L51" i="16" s="1"/>
  <c r="L34" i="16"/>
  <c r="L40" i="16" s="1"/>
  <c r="AL51" i="18"/>
  <c r="AL46" i="18"/>
  <c r="H24" i="18"/>
  <c r="H45" i="18"/>
  <c r="H51" i="18" s="1"/>
  <c r="H34" i="18"/>
  <c r="H40" i="18" s="1"/>
  <c r="AD23" i="18"/>
  <c r="AD44" i="18"/>
  <c r="AD33" i="18"/>
  <c r="I23" i="18"/>
  <c r="I33" i="18"/>
  <c r="I44" i="18"/>
  <c r="K22" i="17"/>
  <c r="AG33" i="18"/>
  <c r="AG23" i="18"/>
  <c r="AG44" i="18"/>
  <c r="P44" i="17"/>
  <c r="P33" i="17"/>
  <c r="P23" i="17"/>
  <c r="O22" i="17"/>
  <c r="AC24" i="18"/>
  <c r="AC45" i="18"/>
  <c r="AC51" i="18" s="1"/>
  <c r="AC34" i="18"/>
  <c r="AC40" i="18" s="1"/>
  <c r="V34" i="18"/>
  <c r="V40" i="18" s="1"/>
  <c r="V45" i="18"/>
  <c r="V51" i="18" s="1"/>
  <c r="V24" i="18"/>
  <c r="J33" i="18"/>
  <c r="J23" i="18"/>
  <c r="J44" i="18"/>
  <c r="AQ22" i="16"/>
  <c r="AQ21" i="16"/>
  <c r="AG21" i="16"/>
  <c r="AG22" i="16"/>
  <c r="AM33" i="16"/>
  <c r="AM44" i="16"/>
  <c r="AM23" i="16"/>
  <c r="P40" i="16"/>
  <c r="P35" i="16"/>
  <c r="Q21" i="16"/>
  <c r="Q22" i="16"/>
  <c r="J24" i="16"/>
  <c r="J45" i="16"/>
  <c r="J51" i="16" s="1"/>
  <c r="J34" i="16"/>
  <c r="J40" i="16" s="1"/>
  <c r="AU22" i="17"/>
  <c r="AU21" i="17"/>
  <c r="AJ24" i="16"/>
  <c r="AJ45" i="16"/>
  <c r="AJ51" i="16" s="1"/>
  <c r="AJ34" i="16"/>
  <c r="AJ40" i="16" s="1"/>
  <c r="AP22" i="18"/>
  <c r="AP21" i="18"/>
  <c r="T39" i="16"/>
  <c r="T35" i="16"/>
  <c r="D13" i="16"/>
  <c r="E14" i="16" s="1"/>
  <c r="E10" i="16" s="1"/>
  <c r="E13" i="16" s="1"/>
  <c r="V46" i="17"/>
  <c r="V50" i="17"/>
  <c r="K45" i="16"/>
  <c r="K51" i="16" s="1"/>
  <c r="K24" i="16"/>
  <c r="K34" i="16"/>
  <c r="K40" i="16" s="1"/>
  <c r="AT39" i="18"/>
  <c r="AT35" i="18"/>
  <c r="S22" i="17"/>
  <c r="S21" i="17"/>
  <c r="AO23" i="17"/>
  <c r="AO44" i="17"/>
  <c r="AO33" i="17"/>
  <c r="AA33" i="18"/>
  <c r="AA23" i="18"/>
  <c r="AA44" i="18"/>
  <c r="AD22" i="17"/>
  <c r="G30" i="18"/>
  <c r="H27" i="18"/>
  <c r="AX33" i="17"/>
  <c r="AX44" i="17"/>
  <c r="AX23" i="17"/>
  <c r="I44" i="16"/>
  <c r="I23" i="16"/>
  <c r="I33" i="16"/>
  <c r="Q39" i="18"/>
  <c r="Q35" i="18"/>
  <c r="G50" i="17"/>
  <c r="G46" i="17"/>
  <c r="AG45" i="18"/>
  <c r="AG51" i="18" s="1"/>
  <c r="AG24" i="18"/>
  <c r="AG34" i="18"/>
  <c r="AG40" i="18" s="1"/>
  <c r="AQ24" i="18"/>
  <c r="AQ45" i="18"/>
  <c r="AQ51" i="18" s="1"/>
  <c r="AQ34" i="18"/>
  <c r="AQ40" i="18" s="1"/>
  <c r="N23" i="17"/>
  <c r="N44" i="17"/>
  <c r="N33" i="17"/>
  <c r="M33" i="17"/>
  <c r="M44" i="17"/>
  <c r="M23" i="17"/>
  <c r="V23" i="18"/>
  <c r="V44" i="18"/>
  <c r="V33" i="18"/>
  <c r="J45" i="18"/>
  <c r="J51" i="18" s="1"/>
  <c r="J24" i="18"/>
  <c r="J34" i="18"/>
  <c r="J40" i="18" s="1"/>
  <c r="AN46" i="16"/>
  <c r="AN50" i="16"/>
  <c r="AW45" i="16"/>
  <c r="AW51" i="16" s="1"/>
  <c r="AW24" i="16"/>
  <c r="AW34" i="16"/>
  <c r="AW40" i="16" s="1"/>
  <c r="Z33" i="16"/>
  <c r="Z44" i="16"/>
  <c r="Z23" i="16"/>
  <c r="AQ22" i="17"/>
  <c r="AQ21" i="17"/>
  <c r="J23" i="16"/>
  <c r="J33" i="16"/>
  <c r="J44" i="16"/>
  <c r="AJ23" i="16"/>
  <c r="AJ33" i="16"/>
  <c r="AJ44" i="16"/>
  <c r="T46" i="16"/>
  <c r="T50" i="16"/>
  <c r="K23" i="16"/>
  <c r="K33" i="16"/>
  <c r="K44" i="16"/>
  <c r="S34" i="16"/>
  <c r="S40" i="16" s="1"/>
  <c r="S24" i="16"/>
  <c r="S45" i="16"/>
  <c r="S51" i="16" s="1"/>
  <c r="AO22" i="17"/>
  <c r="AV34" i="18"/>
  <c r="AV40" i="18" s="1"/>
  <c r="AV45" i="18"/>
  <c r="AV51" i="18" s="1"/>
  <c r="AV24" i="18"/>
  <c r="W23" i="17"/>
  <c r="W44" i="17"/>
  <c r="W33" i="17"/>
  <c r="AO39" i="18"/>
  <c r="AO35" i="18"/>
  <c r="D34" i="16"/>
  <c r="D40" i="16" s="1"/>
  <c r="D24" i="16"/>
  <c r="D45" i="16"/>
  <c r="D51" i="16" s="1"/>
  <c r="L44" i="17"/>
  <c r="L23" i="17"/>
  <c r="L33" i="17"/>
  <c r="AD23" i="17"/>
  <c r="AD44" i="17"/>
  <c r="AD33" i="17"/>
  <c r="L24" i="18"/>
  <c r="L45" i="18"/>
  <c r="L51" i="18" s="1"/>
  <c r="L34" i="18"/>
  <c r="L40" i="18" s="1"/>
  <c r="D35" i="18"/>
  <c r="D39" i="18"/>
  <c r="G35" i="17"/>
  <c r="G39" i="17"/>
  <c r="R50" i="18"/>
  <c r="R46" i="18"/>
  <c r="AQ44" i="18"/>
  <c r="AQ23" i="18"/>
  <c r="AQ33" i="18"/>
  <c r="AP44" i="16"/>
  <c r="AP23" i="16"/>
  <c r="AP33" i="16"/>
  <c r="N22" i="17"/>
  <c r="U33" i="17"/>
  <c r="U44" i="17"/>
  <c r="U23" i="17"/>
  <c r="M34" i="18"/>
  <c r="M40" i="18" s="1"/>
  <c r="M45" i="18"/>
  <c r="M51" i="18" s="1"/>
  <c r="M24" i="18"/>
  <c r="AK33" i="18"/>
  <c r="AK44" i="18"/>
  <c r="AK23" i="18"/>
  <c r="O33" i="16"/>
  <c r="O23" i="16"/>
  <c r="O44" i="16"/>
  <c r="V24" i="16"/>
  <c r="V45" i="16"/>
  <c r="V51" i="16" s="1"/>
  <c r="V34" i="16"/>
  <c r="V40" i="16" s="1"/>
  <c r="AH34" i="17"/>
  <c r="AH40" i="17" s="1"/>
  <c r="AH45" i="17"/>
  <c r="AH51" i="17" s="1"/>
  <c r="AH24" i="17"/>
  <c r="S21" i="18"/>
  <c r="S22" i="18"/>
  <c r="F44" i="18"/>
  <c r="F23" i="18"/>
  <c r="F33" i="18"/>
  <c r="U33" i="18"/>
  <c r="U23" i="18"/>
  <c r="U44" i="18"/>
  <c r="AB23" i="18"/>
  <c r="AB44" i="18"/>
  <c r="AB33" i="18"/>
  <c r="AM33" i="18"/>
  <c r="AM44" i="18"/>
  <c r="AM23" i="18"/>
  <c r="Y22" i="17"/>
  <c r="AF34" i="18"/>
  <c r="AF40" i="18" s="1"/>
  <c r="AF24" i="18"/>
  <c r="AF45" i="18"/>
  <c r="AF51" i="18" s="1"/>
  <c r="Z23" i="17"/>
  <c r="Z33" i="17"/>
  <c r="Z44" i="17"/>
  <c r="X33" i="18"/>
  <c r="X44" i="18"/>
  <c r="X23" i="18"/>
  <c r="AN39" i="16"/>
  <c r="AN35" i="16"/>
  <c r="AW23" i="16"/>
  <c r="AW44" i="16"/>
  <c r="AW33" i="16"/>
  <c r="Z24" i="16"/>
  <c r="Z34" i="16"/>
  <c r="Z40" i="16" s="1"/>
  <c r="Z45" i="16"/>
  <c r="Z51" i="16" s="1"/>
  <c r="AE23" i="16"/>
  <c r="AE33" i="16"/>
  <c r="AE44" i="16"/>
  <c r="R39" i="17"/>
  <c r="R35" i="17"/>
  <c r="AF23" i="16"/>
  <c r="AF33" i="16"/>
  <c r="AF44" i="16"/>
  <c r="AK21" i="17"/>
  <c r="AK22" i="17"/>
  <c r="AV22" i="17"/>
  <c r="AH33" i="16"/>
  <c r="AH23" i="16"/>
  <c r="AH44" i="16"/>
  <c r="AS21" i="17"/>
  <c r="AS22" i="17"/>
  <c r="AR22" i="17"/>
  <c r="I22" i="17"/>
  <c r="G24" i="16"/>
  <c r="G45" i="16"/>
  <c r="G51" i="16" s="1"/>
  <c r="G34" i="16"/>
  <c r="G40" i="16" s="1"/>
  <c r="Y22" i="18"/>
  <c r="Y21" i="18"/>
  <c r="S23" i="16"/>
  <c r="S44" i="16"/>
  <c r="S33" i="16"/>
  <c r="Q22" i="17"/>
  <c r="AE23" i="17"/>
  <c r="AE44" i="17"/>
  <c r="AE33" i="17"/>
  <c r="AV44" i="18"/>
  <c r="AV33" i="18"/>
  <c r="AV23" i="18"/>
  <c r="O34" i="18"/>
  <c r="O40" i="18" s="1"/>
  <c r="O24" i="18"/>
  <c r="O45" i="18"/>
  <c r="O51" i="18" s="1"/>
  <c r="W22" i="17"/>
  <c r="Z44" i="18"/>
  <c r="Z23" i="18"/>
  <c r="Z33" i="18"/>
  <c r="O24" i="16"/>
  <c r="O45" i="16"/>
  <c r="O51" i="16" s="1"/>
  <c r="O34" i="16"/>
  <c r="O40" i="16" s="1"/>
  <c r="J23" i="17"/>
  <c r="J33" i="17"/>
  <c r="J44" i="17"/>
  <c r="T21" i="18"/>
  <c r="T22" i="18"/>
  <c r="AA33" i="17"/>
  <c r="AA23" i="17"/>
  <c r="AA44" i="17"/>
  <c r="L33" i="18"/>
  <c r="L44" i="18"/>
  <c r="L23" i="18"/>
  <c r="Q46" i="18"/>
  <c r="Q50" i="18"/>
  <c r="D33" i="16"/>
  <c r="D23" i="16"/>
  <c r="D44" i="16"/>
  <c r="AW23" i="17"/>
  <c r="AW44" i="17"/>
  <c r="AW33" i="17"/>
  <c r="K33" i="17"/>
  <c r="K23" i="17"/>
  <c r="K44" i="17"/>
  <c r="AC33" i="17"/>
  <c r="AC44" i="17"/>
  <c r="AC23" i="17"/>
  <c r="M23" i="18"/>
  <c r="M44" i="18"/>
  <c r="M33" i="18"/>
  <c r="AK24" i="18"/>
  <c r="AK45" i="18"/>
  <c r="AK51" i="18" s="1"/>
  <c r="AK34" i="18"/>
  <c r="AK40" i="18" s="1"/>
  <c r="AW24" i="18"/>
  <c r="AW34" i="18"/>
  <c r="AW40" i="18" s="1"/>
  <c r="AW45" i="18"/>
  <c r="AW51" i="18" s="1"/>
  <c r="AC21" i="16"/>
  <c r="AC22" i="16"/>
  <c r="AB45" i="16"/>
  <c r="AB51" i="16" s="1"/>
  <c r="AB34" i="16"/>
  <c r="AB40" i="16" s="1"/>
  <c r="AB24" i="16"/>
  <c r="N21" i="16"/>
  <c r="N22" i="16"/>
  <c r="X10" i="16"/>
  <c r="X13" i="16" s="1"/>
  <c r="AU34" i="16"/>
  <c r="AU40" i="16" s="1"/>
  <c r="AU45" i="16"/>
  <c r="AU51" i="16" s="1"/>
  <c r="AU24" i="16"/>
  <c r="AF45" i="16"/>
  <c r="AF51" i="16" s="1"/>
  <c r="AF34" i="16"/>
  <c r="AF40" i="16" s="1"/>
  <c r="AF24" i="16"/>
  <c r="AJ21" i="17"/>
  <c r="AJ22" i="17"/>
  <c r="AV23" i="17"/>
  <c r="AV44" i="17"/>
  <c r="AV33" i="17"/>
  <c r="AH24" i="16"/>
  <c r="AH45" i="16"/>
  <c r="AH51" i="16" s="1"/>
  <c r="AH34" i="16"/>
  <c r="AH40" i="16" s="1"/>
  <c r="T21" i="17"/>
  <c r="T22" i="17"/>
  <c r="AR44" i="17"/>
  <c r="AR23" i="17"/>
  <c r="AR33" i="17"/>
  <c r="I33" i="17"/>
  <c r="I23" i="17"/>
  <c r="I44" i="17"/>
  <c r="G23" i="16"/>
  <c r="G44" i="16"/>
  <c r="G33" i="16"/>
  <c r="AZ10" i="18"/>
  <c r="D13" i="18"/>
  <c r="Q33" i="17"/>
  <c r="Q44" i="17"/>
  <c r="Q23" i="17"/>
  <c r="AE22" i="17"/>
  <c r="AS44" i="18"/>
  <c r="AS23" i="18"/>
  <c r="AS33" i="18"/>
  <c r="O23" i="18"/>
  <c r="O44" i="18"/>
  <c r="O33" i="18"/>
  <c r="F23" i="17"/>
  <c r="F33" i="17"/>
  <c r="F44" i="17"/>
  <c r="Z34" i="18"/>
  <c r="Z40" i="18" s="1"/>
  <c r="Z24" i="18"/>
  <c r="Z45" i="18"/>
  <c r="Z51" i="18" s="1"/>
  <c r="AE34" i="16"/>
  <c r="AE40" i="16" s="1"/>
  <c r="AE24" i="16"/>
  <c r="AE45" i="16"/>
  <c r="AE51" i="16" s="1"/>
  <c r="J22" i="17"/>
  <c r="P33" i="18"/>
  <c r="P23" i="18"/>
  <c r="P44" i="18"/>
  <c r="AA22" i="17"/>
  <c r="H21" i="17"/>
  <c r="H22" i="17"/>
  <c r="AY23" i="18"/>
  <c r="AY44" i="18"/>
  <c r="AY33" i="18"/>
  <c r="N33" i="18"/>
  <c r="N23" i="18"/>
  <c r="N44" i="18"/>
  <c r="AB23" i="16"/>
  <c r="AB44" i="16"/>
  <c r="AB33" i="16"/>
  <c r="AW22" i="17"/>
  <c r="AL23" i="17"/>
  <c r="AL44" i="17"/>
  <c r="AL33" i="17"/>
  <c r="AN34" i="18"/>
  <c r="AN40" i="18" s="1"/>
  <c r="AN24" i="18"/>
  <c r="AN45" i="18"/>
  <c r="AN51" i="18" s="1"/>
  <c r="X34" i="18"/>
  <c r="X40" i="18" s="1"/>
  <c r="X24" i="18"/>
  <c r="X45" i="18"/>
  <c r="X51" i="18" s="1"/>
  <c r="AW33" i="18"/>
  <c r="AW44" i="18"/>
  <c r="AW23" i="18"/>
  <c r="AL46" i="17" l="1"/>
  <c r="AL50" i="17"/>
  <c r="G35" i="16"/>
  <c r="G39" i="16"/>
  <c r="M46" i="18"/>
  <c r="M50" i="18"/>
  <c r="AV35" i="18"/>
  <c r="AV39" i="18"/>
  <c r="AF46" i="16"/>
  <c r="AF50" i="16"/>
  <c r="U50" i="17"/>
  <c r="U46" i="17"/>
  <c r="AQ50" i="18"/>
  <c r="AQ46" i="18"/>
  <c r="K50" i="16"/>
  <c r="K46" i="16"/>
  <c r="V39" i="18"/>
  <c r="V35" i="18"/>
  <c r="AO35" i="17"/>
  <c r="AO39" i="17"/>
  <c r="AM39" i="16"/>
  <c r="AM35" i="16"/>
  <c r="L46" i="16"/>
  <c r="L50" i="16"/>
  <c r="AT46" i="16"/>
  <c r="AT50" i="16"/>
  <c r="AI35" i="17"/>
  <c r="AI39" i="17"/>
  <c r="AD50" i="16"/>
  <c r="AD46" i="16"/>
  <c r="F46" i="17"/>
  <c r="F50" i="17"/>
  <c r="T34" i="17"/>
  <c r="T40" i="17" s="1"/>
  <c r="T45" i="17"/>
  <c r="T51" i="17" s="1"/>
  <c r="T24" i="17"/>
  <c r="AV50" i="18"/>
  <c r="AV46" i="18"/>
  <c r="Y33" i="18"/>
  <c r="Y23" i="18"/>
  <c r="Y44" i="18"/>
  <c r="AS44" i="17"/>
  <c r="AS33" i="17"/>
  <c r="AS23" i="17"/>
  <c r="AF35" i="16"/>
  <c r="AF39" i="16"/>
  <c r="X46" i="18"/>
  <c r="X50" i="18"/>
  <c r="Y24" i="17"/>
  <c r="Y34" i="17"/>
  <c r="Y40" i="17" s="1"/>
  <c r="Y45" i="17"/>
  <c r="Y51" i="17" s="1"/>
  <c r="U35" i="17"/>
  <c r="U39" i="17"/>
  <c r="K39" i="16"/>
  <c r="K35" i="16"/>
  <c r="J35" i="16"/>
  <c r="J39" i="16"/>
  <c r="V46" i="18"/>
  <c r="V50" i="18"/>
  <c r="AX39" i="17"/>
  <c r="AO50" i="17"/>
  <c r="AP24" i="18"/>
  <c r="AP45" i="18"/>
  <c r="AP51" i="18" s="1"/>
  <c r="AP34" i="18"/>
  <c r="AP40" i="18" s="1"/>
  <c r="AG34" i="16"/>
  <c r="AG40" i="16" s="1"/>
  <c r="AG24" i="16"/>
  <c r="AG45" i="16"/>
  <c r="AG51" i="16" s="1"/>
  <c r="P50" i="17"/>
  <c r="AD39" i="18"/>
  <c r="AD35" i="18"/>
  <c r="M24" i="17"/>
  <c r="M45" i="17"/>
  <c r="M51" i="17" s="1"/>
  <c r="M34" i="17"/>
  <c r="M40" i="17" s="1"/>
  <c r="AG24" i="17"/>
  <c r="AG34" i="17"/>
  <c r="AG40" i="17" s="1"/>
  <c r="AG45" i="17"/>
  <c r="AG51" i="17" s="1"/>
  <c r="AM39" i="17"/>
  <c r="P34" i="17"/>
  <c r="P40" i="17" s="1"/>
  <c r="P45" i="17"/>
  <c r="P51" i="17" s="1"/>
  <c r="P24" i="17"/>
  <c r="AY39" i="17"/>
  <c r="AG39" i="17"/>
  <c r="AJ23" i="18"/>
  <c r="AJ44" i="18"/>
  <c r="AJ33" i="18"/>
  <c r="U21" i="16"/>
  <c r="U22" i="16"/>
  <c r="AR39" i="16"/>
  <c r="AR35" i="16"/>
  <c r="D50" i="17"/>
  <c r="Y35" i="17"/>
  <c r="Y39" i="17"/>
  <c r="AI50" i="17"/>
  <c r="AS50" i="16"/>
  <c r="AS46" i="16"/>
  <c r="AD39" i="16"/>
  <c r="AD35" i="16"/>
  <c r="AU50" i="16"/>
  <c r="AU46" i="16"/>
  <c r="AW45" i="17"/>
  <c r="AW51" i="17" s="1"/>
  <c r="AW24" i="17"/>
  <c r="AW34" i="17"/>
  <c r="AW40" i="17" s="1"/>
  <c r="AY46" i="18"/>
  <c r="AY50" i="18"/>
  <c r="J45" i="17"/>
  <c r="J51" i="17" s="1"/>
  <c r="J34" i="17"/>
  <c r="J40" i="17" s="1"/>
  <c r="J24" i="17"/>
  <c r="F39" i="17"/>
  <c r="F35" i="17"/>
  <c r="AE45" i="17"/>
  <c r="AE51" i="17" s="1"/>
  <c r="AE34" i="17"/>
  <c r="AE40" i="17" s="1"/>
  <c r="AE24" i="17"/>
  <c r="T44" i="17"/>
  <c r="T23" i="17"/>
  <c r="T33" i="17"/>
  <c r="AJ44" i="17"/>
  <c r="AJ33" i="17"/>
  <c r="AJ23" i="17"/>
  <c r="N34" i="16"/>
  <c r="N40" i="16" s="1"/>
  <c r="N24" i="16"/>
  <c r="N45" i="16"/>
  <c r="N51" i="16" s="1"/>
  <c r="L50" i="18"/>
  <c r="L46" i="18"/>
  <c r="J39" i="17"/>
  <c r="Z46" i="18"/>
  <c r="Z50" i="18"/>
  <c r="AE35" i="17"/>
  <c r="AE39" i="17"/>
  <c r="Y45" i="18"/>
  <c r="Y51" i="18" s="1"/>
  <c r="Y34" i="18"/>
  <c r="Y40" i="18" s="1"/>
  <c r="Y24" i="18"/>
  <c r="AH50" i="16"/>
  <c r="AH46" i="16"/>
  <c r="X39" i="18"/>
  <c r="X35" i="18"/>
  <c r="U35" i="18"/>
  <c r="U39" i="18"/>
  <c r="AK46" i="18"/>
  <c r="AK50" i="18"/>
  <c r="N24" i="17"/>
  <c r="N34" i="17"/>
  <c r="N40" i="17" s="1"/>
  <c r="N45" i="17"/>
  <c r="N51" i="17" s="1"/>
  <c r="AD39" i="17"/>
  <c r="H30" i="18"/>
  <c r="I27" i="18"/>
  <c r="Q45" i="16"/>
  <c r="Q51" i="16" s="1"/>
  <c r="Q34" i="16"/>
  <c r="Q40" i="16" s="1"/>
  <c r="Q24" i="16"/>
  <c r="AG44" i="16"/>
  <c r="AG33" i="16"/>
  <c r="AG23" i="16"/>
  <c r="AG50" i="18"/>
  <c r="AG46" i="18"/>
  <c r="AD50" i="18"/>
  <c r="AD46" i="18"/>
  <c r="D34" i="17"/>
  <c r="D40" i="17" s="1"/>
  <c r="D45" i="17"/>
  <c r="D51" i="17" s="1"/>
  <c r="D24" i="17"/>
  <c r="AM50" i="17"/>
  <c r="K35" i="18"/>
  <c r="K39" i="18"/>
  <c r="AL34" i="16"/>
  <c r="AL40" i="16" s="1"/>
  <c r="AL45" i="16"/>
  <c r="AL51" i="16" s="1"/>
  <c r="AL24" i="16"/>
  <c r="AA39" i="16"/>
  <c r="AA35" i="16"/>
  <c r="AJ34" i="18"/>
  <c r="AJ40" i="18" s="1"/>
  <c r="AJ45" i="18"/>
  <c r="AJ51" i="18" s="1"/>
  <c r="AJ24" i="18"/>
  <c r="E22" i="17"/>
  <c r="E21" i="17"/>
  <c r="AR46" i="16"/>
  <c r="AR50" i="16"/>
  <c r="AI46" i="16"/>
  <c r="AI50" i="16"/>
  <c r="AF46" i="17"/>
  <c r="AF50" i="17"/>
  <c r="AS35" i="16"/>
  <c r="AS39" i="16"/>
  <c r="AB35" i="16"/>
  <c r="AB39" i="16"/>
  <c r="I50" i="17"/>
  <c r="I46" i="17"/>
  <c r="N33" i="16"/>
  <c r="N44" i="16"/>
  <c r="N23" i="16"/>
  <c r="AC50" i="17"/>
  <c r="D46" i="16"/>
  <c r="D50" i="16"/>
  <c r="L39" i="18"/>
  <c r="L35" i="18"/>
  <c r="W45" i="17"/>
  <c r="W51" i="17" s="1"/>
  <c r="W34" i="17"/>
  <c r="W40" i="17" s="1"/>
  <c r="W24" i="17"/>
  <c r="AE46" i="17"/>
  <c r="AE50" i="17"/>
  <c r="AW39" i="16"/>
  <c r="AW35" i="16"/>
  <c r="Z46" i="17"/>
  <c r="Z50" i="17"/>
  <c r="AM50" i="18"/>
  <c r="AM46" i="18"/>
  <c r="F35" i="18"/>
  <c r="F39" i="18"/>
  <c r="AK35" i="18"/>
  <c r="AK39" i="18"/>
  <c r="AP39" i="16"/>
  <c r="AP35" i="16"/>
  <c r="AD46" i="17"/>
  <c r="AD50" i="17"/>
  <c r="AQ33" i="17"/>
  <c r="AQ23" i="17"/>
  <c r="AQ44" i="17"/>
  <c r="S33" i="17"/>
  <c r="S23" i="17"/>
  <c r="S44" i="17"/>
  <c r="Q44" i="16"/>
  <c r="Q33" i="16"/>
  <c r="Q23" i="16"/>
  <c r="AQ44" i="16"/>
  <c r="AQ23" i="16"/>
  <c r="AQ33" i="16"/>
  <c r="AR24" i="18"/>
  <c r="AR34" i="18"/>
  <c r="AR40" i="18" s="1"/>
  <c r="AR45" i="18"/>
  <c r="AR51" i="18" s="1"/>
  <c r="K46" i="18"/>
  <c r="K50" i="18"/>
  <c r="AL44" i="16"/>
  <c r="AL23" i="16"/>
  <c r="AL33" i="16"/>
  <c r="AA46" i="16"/>
  <c r="AA50" i="16"/>
  <c r="U24" i="17"/>
  <c r="U45" i="17"/>
  <c r="U51" i="17" s="1"/>
  <c r="U34" i="17"/>
  <c r="U40" i="17" s="1"/>
  <c r="Z45" i="17"/>
  <c r="Z51" i="17" s="1"/>
  <c r="Z24" i="17"/>
  <c r="Z34" i="17"/>
  <c r="Z40" i="17" s="1"/>
  <c r="AI35" i="16"/>
  <c r="AI39" i="16"/>
  <c r="AY34" i="17"/>
  <c r="AY40" i="17" s="1"/>
  <c r="AY24" i="17"/>
  <c r="AY45" i="17"/>
  <c r="AY51" i="17" s="1"/>
  <c r="AH46" i="17"/>
  <c r="AH50" i="17"/>
  <c r="AP34" i="17"/>
  <c r="AP40" i="17" s="1"/>
  <c r="AP45" i="17"/>
  <c r="AP51" i="17" s="1"/>
  <c r="AP24" i="17"/>
  <c r="AU39" i="16"/>
  <c r="AU35" i="16"/>
  <c r="N35" i="18"/>
  <c r="N39" i="18"/>
  <c r="AW35" i="17"/>
  <c r="AW39" i="17"/>
  <c r="Z35" i="18"/>
  <c r="Z39" i="18"/>
  <c r="AS45" i="17"/>
  <c r="AS51" i="17" s="1"/>
  <c r="AS34" i="17"/>
  <c r="AS40" i="17" s="1"/>
  <c r="AS24" i="17"/>
  <c r="O35" i="16"/>
  <c r="O39" i="16"/>
  <c r="J46" i="16"/>
  <c r="J50" i="16"/>
  <c r="AP44" i="18"/>
  <c r="AP33" i="18"/>
  <c r="AP23" i="18"/>
  <c r="M35" i="16"/>
  <c r="M39" i="16"/>
  <c r="AG50" i="17"/>
  <c r="AG46" i="17"/>
  <c r="H35" i="16"/>
  <c r="H39" i="16"/>
  <c r="AU34" i="18"/>
  <c r="AU40" i="18" s="1"/>
  <c r="AU24" i="18"/>
  <c r="AU45" i="18"/>
  <c r="AU51" i="18" s="1"/>
  <c r="AY35" i="18"/>
  <c r="AY39" i="18"/>
  <c r="AS46" i="18"/>
  <c r="AS50" i="18"/>
  <c r="Y21" i="16"/>
  <c r="Y22" i="16"/>
  <c r="J46" i="17"/>
  <c r="J50" i="17"/>
  <c r="H34" i="17"/>
  <c r="H40" i="17" s="1"/>
  <c r="H45" i="17"/>
  <c r="H51" i="17" s="1"/>
  <c r="H24" i="17"/>
  <c r="O39" i="18"/>
  <c r="O35" i="18"/>
  <c r="AC35" i="17"/>
  <c r="AC39" i="17"/>
  <c r="AA50" i="17"/>
  <c r="AW46" i="16"/>
  <c r="AW50" i="16"/>
  <c r="AO24" i="17"/>
  <c r="AO34" i="17"/>
  <c r="AO40" i="17" s="1"/>
  <c r="AO45" i="17"/>
  <c r="AO51" i="17" s="1"/>
  <c r="F21" i="16"/>
  <c r="F22" i="16"/>
  <c r="AG39" i="18"/>
  <c r="AG35" i="18"/>
  <c r="AR23" i="18"/>
  <c r="AR44" i="18"/>
  <c r="AR33" i="18"/>
  <c r="X34" i="17"/>
  <c r="X40" i="17" s="1"/>
  <c r="X24" i="17"/>
  <c r="X45" i="17"/>
  <c r="X51" i="17" s="1"/>
  <c r="AF46" i="18"/>
  <c r="AF50" i="18"/>
  <c r="AH39" i="17"/>
  <c r="AH35" i="17"/>
  <c r="V50" i="16"/>
  <c r="V46" i="16"/>
  <c r="AP23" i="17"/>
  <c r="AP33" i="17"/>
  <c r="AP44" i="17"/>
  <c r="AH44" i="18"/>
  <c r="AH23" i="18"/>
  <c r="AH33" i="18"/>
  <c r="Q39" i="17"/>
  <c r="D35" i="16"/>
  <c r="D39" i="16"/>
  <c r="AV24" i="17"/>
  <c r="AV45" i="17"/>
  <c r="AV51" i="17" s="1"/>
  <c r="AV34" i="17"/>
  <c r="AV40" i="17" s="1"/>
  <c r="AA46" i="18"/>
  <c r="AA50" i="18"/>
  <c r="AZ10" i="16"/>
  <c r="AB34" i="17"/>
  <c r="AB40" i="17" s="1"/>
  <c r="AB45" i="17"/>
  <c r="AB51" i="17" s="1"/>
  <c r="AB24" i="17"/>
  <c r="AI45" i="17"/>
  <c r="AI51" i="17" s="1"/>
  <c r="AI34" i="17"/>
  <c r="AI40" i="17" s="1"/>
  <c r="AI24" i="17"/>
  <c r="AV24" i="16"/>
  <c r="AV45" i="16"/>
  <c r="AV51" i="16" s="1"/>
  <c r="AV34" i="16"/>
  <c r="AV40" i="16" s="1"/>
  <c r="W50" i="18"/>
  <c r="W46" i="18"/>
  <c r="AE45" i="18"/>
  <c r="AE51" i="18" s="1"/>
  <c r="AE24" i="18"/>
  <c r="AE34" i="18"/>
  <c r="AE40" i="18" s="1"/>
  <c r="V35" i="16"/>
  <c r="V39" i="16"/>
  <c r="W24" i="16"/>
  <c r="W45" i="16"/>
  <c r="W51" i="16" s="1"/>
  <c r="W34" i="16"/>
  <c r="W40" i="16" s="1"/>
  <c r="N46" i="18"/>
  <c r="N50" i="18"/>
  <c r="AA45" i="17"/>
  <c r="AA51" i="17" s="1"/>
  <c r="AA24" i="17"/>
  <c r="AA34" i="17"/>
  <c r="AA40" i="17" s="1"/>
  <c r="E21" i="18"/>
  <c r="E22" i="18"/>
  <c r="AR35" i="17"/>
  <c r="AR39" i="17"/>
  <c r="AV39" i="17"/>
  <c r="AV35" i="17"/>
  <c r="AA39" i="17"/>
  <c r="S35" i="16"/>
  <c r="S39" i="16"/>
  <c r="I24" i="17"/>
  <c r="I34" i="17"/>
  <c r="I40" i="17" s="1"/>
  <c r="I45" i="17"/>
  <c r="I51" i="17" s="1"/>
  <c r="AK24" i="17"/>
  <c r="AK45" i="17"/>
  <c r="AK51" i="17" s="1"/>
  <c r="AK34" i="17"/>
  <c r="AK40" i="17" s="1"/>
  <c r="AE39" i="16"/>
  <c r="AE35" i="16"/>
  <c r="AB50" i="18"/>
  <c r="AB46" i="18"/>
  <c r="S34" i="18"/>
  <c r="S40" i="18" s="1"/>
  <c r="S24" i="18"/>
  <c r="S45" i="18"/>
  <c r="S51" i="18" s="1"/>
  <c r="O46" i="16"/>
  <c r="O50" i="16"/>
  <c r="AQ35" i="18"/>
  <c r="AQ39" i="18"/>
  <c r="W35" i="17"/>
  <c r="W39" i="17"/>
  <c r="AJ39" i="16"/>
  <c r="AJ35" i="16"/>
  <c r="Z50" i="16"/>
  <c r="Z46" i="16"/>
  <c r="N39" i="17"/>
  <c r="N35" i="17"/>
  <c r="I46" i="16"/>
  <c r="I50" i="16"/>
  <c r="AU24" i="17"/>
  <c r="AU45" i="17"/>
  <c r="AU51" i="17" s="1"/>
  <c r="AU34" i="17"/>
  <c r="AU40" i="17" s="1"/>
  <c r="O45" i="17"/>
  <c r="O51" i="17" s="1"/>
  <c r="O34" i="17"/>
  <c r="O40" i="17" s="1"/>
  <c r="O24" i="17"/>
  <c r="I46" i="18"/>
  <c r="I50" i="18"/>
  <c r="AB44" i="17"/>
  <c r="AB23" i="17"/>
  <c r="AB33" i="17"/>
  <c r="M46" i="16"/>
  <c r="M50" i="16"/>
  <c r="R24" i="16"/>
  <c r="R45" i="16"/>
  <c r="R51" i="16" s="1"/>
  <c r="R34" i="16"/>
  <c r="R40" i="16" s="1"/>
  <c r="O35" i="17"/>
  <c r="O39" i="17"/>
  <c r="AT35" i="16"/>
  <c r="AT39" i="16"/>
  <c r="AM24" i="17"/>
  <c r="AM45" i="17"/>
  <c r="AM51" i="17" s="1"/>
  <c r="AM34" i="17"/>
  <c r="AM40" i="17" s="1"/>
  <c r="AF39" i="18"/>
  <c r="AF35" i="18"/>
  <c r="W35" i="18"/>
  <c r="W39" i="18"/>
  <c r="AN45" i="17"/>
  <c r="AN51" i="17" s="1"/>
  <c r="AN24" i="17"/>
  <c r="AN34" i="17"/>
  <c r="AN40" i="17" s="1"/>
  <c r="G34" i="18"/>
  <c r="G40" i="18" s="1"/>
  <c r="G45" i="18"/>
  <c r="G51" i="18" s="1"/>
  <c r="G24" i="18"/>
  <c r="H50" i="16"/>
  <c r="H46" i="16"/>
  <c r="W23" i="16"/>
  <c r="W44" i="16"/>
  <c r="W33" i="16"/>
  <c r="AN35" i="18"/>
  <c r="AN39" i="18"/>
  <c r="AW35" i="18"/>
  <c r="AW39" i="18"/>
  <c r="AR46" i="17"/>
  <c r="AR50" i="17"/>
  <c r="AC44" i="16"/>
  <c r="AC33" i="16"/>
  <c r="AC23" i="16"/>
  <c r="T33" i="18"/>
  <c r="T23" i="18"/>
  <c r="T44" i="18"/>
  <c r="U46" i="18"/>
  <c r="U50" i="18"/>
  <c r="AX50" i="17"/>
  <c r="P35" i="17"/>
  <c r="P39" i="17"/>
  <c r="L34" i="17"/>
  <c r="L40" i="17" s="1"/>
  <c r="L45" i="17"/>
  <c r="L51" i="17" s="1"/>
  <c r="L24" i="17"/>
  <c r="F30" i="16"/>
  <c r="G27" i="16"/>
  <c r="AF35" i="17"/>
  <c r="AF39" i="17"/>
  <c r="P35" i="18"/>
  <c r="P39" i="18"/>
  <c r="G46" i="16"/>
  <c r="G50" i="16"/>
  <c r="AJ34" i="17"/>
  <c r="AJ40" i="17" s="1"/>
  <c r="AJ45" i="17"/>
  <c r="AJ51" i="17" s="1"/>
  <c r="AJ24" i="17"/>
  <c r="AW50" i="17"/>
  <c r="AB50" i="16"/>
  <c r="AB46" i="16"/>
  <c r="Q50" i="17"/>
  <c r="AH35" i="16"/>
  <c r="AH39" i="16"/>
  <c r="Z39" i="17"/>
  <c r="AM35" i="18"/>
  <c r="AM39" i="18"/>
  <c r="AQ24" i="17"/>
  <c r="AQ45" i="17"/>
  <c r="AQ51" i="17" s="1"/>
  <c r="AQ34" i="17"/>
  <c r="AQ40" i="17" s="1"/>
  <c r="M50" i="17"/>
  <c r="I35" i="16"/>
  <c r="I39" i="16"/>
  <c r="AD24" i="17"/>
  <c r="AD34" i="17"/>
  <c r="AD40" i="17" s="1"/>
  <c r="AD45" i="17"/>
  <c r="AD51" i="17" s="1"/>
  <c r="S45" i="17"/>
  <c r="S51" i="17" s="1"/>
  <c r="S24" i="17"/>
  <c r="S34" i="17"/>
  <c r="S40" i="17" s="1"/>
  <c r="AQ24" i="16"/>
  <c r="AQ45" i="16"/>
  <c r="AQ51" i="16" s="1"/>
  <c r="AQ34" i="16"/>
  <c r="AQ40" i="16" s="1"/>
  <c r="H30" i="17"/>
  <c r="I27" i="17"/>
  <c r="AO23" i="16"/>
  <c r="AO44" i="16"/>
  <c r="AO33" i="16"/>
  <c r="AC46" i="18"/>
  <c r="AC50" i="18"/>
  <c r="H50" i="18"/>
  <c r="H46" i="18"/>
  <c r="AC24" i="17"/>
  <c r="AC34" i="17"/>
  <c r="AC40" i="17" s="1"/>
  <c r="AC45" i="17"/>
  <c r="AC51" i="17" s="1"/>
  <c r="AV33" i="16"/>
  <c r="AV44" i="16"/>
  <c r="AV23" i="16"/>
  <c r="AE33" i="18"/>
  <c r="AE44" i="18"/>
  <c r="AE23" i="18"/>
  <c r="AY44" i="16"/>
  <c r="AY33" i="16"/>
  <c r="AY23" i="16"/>
  <c r="H44" i="17"/>
  <c r="H23" i="17"/>
  <c r="H33" i="17"/>
  <c r="O46" i="18"/>
  <c r="O50" i="18"/>
  <c r="I39" i="17"/>
  <c r="K50" i="17"/>
  <c r="Q24" i="17"/>
  <c r="Q34" i="17"/>
  <c r="Q40" i="17" s="1"/>
  <c r="Q45" i="17"/>
  <c r="Q51" i="17" s="1"/>
  <c r="AE46" i="16"/>
  <c r="AE50" i="16"/>
  <c r="AB39" i="18"/>
  <c r="AB35" i="18"/>
  <c r="F46" i="18"/>
  <c r="F50" i="18"/>
  <c r="AP50" i="16"/>
  <c r="AP46" i="16"/>
  <c r="L39" i="17"/>
  <c r="AJ50" i="16"/>
  <c r="AJ46" i="16"/>
  <c r="M39" i="17"/>
  <c r="AU44" i="17"/>
  <c r="AU33" i="17"/>
  <c r="AU23" i="17"/>
  <c r="J50" i="18"/>
  <c r="J46" i="18"/>
  <c r="K45" i="17"/>
  <c r="K51" i="17" s="1"/>
  <c r="K24" i="17"/>
  <c r="K34" i="17"/>
  <c r="K40" i="17" s="1"/>
  <c r="AX34" i="17"/>
  <c r="AX40" i="17" s="1"/>
  <c r="AX24" i="17"/>
  <c r="AX45" i="17"/>
  <c r="AX51" i="17" s="1"/>
  <c r="AO45" i="16"/>
  <c r="AO51" i="16" s="1"/>
  <c r="AO24" i="16"/>
  <c r="AO34" i="16"/>
  <c r="AO40" i="16" s="1"/>
  <c r="AC35" i="18"/>
  <c r="AC39" i="18"/>
  <c r="H35" i="18"/>
  <c r="H39" i="18"/>
  <c r="X44" i="17"/>
  <c r="X23" i="17"/>
  <c r="X33" i="17"/>
  <c r="AY24" i="16"/>
  <c r="AY34" i="16"/>
  <c r="AY40" i="16" s="1"/>
  <c r="AY45" i="16"/>
  <c r="AY51" i="16" s="1"/>
  <c r="AH45" i="18"/>
  <c r="AH51" i="18" s="1"/>
  <c r="AH24" i="18"/>
  <c r="AH34" i="18"/>
  <c r="AH40" i="18" s="1"/>
  <c r="AW50" i="18"/>
  <c r="AW46" i="18"/>
  <c r="AL39" i="17"/>
  <c r="AL35" i="17"/>
  <c r="P50" i="18"/>
  <c r="P46" i="18"/>
  <c r="AS35" i="18"/>
  <c r="AS39" i="18"/>
  <c r="AV50" i="17"/>
  <c r="AC34" i="16"/>
  <c r="AC40" i="16" s="1"/>
  <c r="AC24" i="16"/>
  <c r="AC45" i="16"/>
  <c r="AC51" i="16" s="1"/>
  <c r="M39" i="18"/>
  <c r="M35" i="18"/>
  <c r="K39" i="17"/>
  <c r="T24" i="18"/>
  <c r="T45" i="18"/>
  <c r="T51" i="18" s="1"/>
  <c r="T34" i="18"/>
  <c r="T40" i="18" s="1"/>
  <c r="S46" i="16"/>
  <c r="S50" i="16"/>
  <c r="AR24" i="17"/>
  <c r="AR34" i="17"/>
  <c r="AR40" i="17" s="1"/>
  <c r="AR45" i="17"/>
  <c r="AR51" i="17" s="1"/>
  <c r="AK33" i="17"/>
  <c r="AK44" i="17"/>
  <c r="AK23" i="17"/>
  <c r="S44" i="18"/>
  <c r="S23" i="18"/>
  <c r="S33" i="18"/>
  <c r="L50" i="17"/>
  <c r="W46" i="17"/>
  <c r="W50" i="17"/>
  <c r="Z35" i="16"/>
  <c r="Z39" i="16"/>
  <c r="N46" i="17"/>
  <c r="N50" i="17"/>
  <c r="AA39" i="18"/>
  <c r="AA35" i="18"/>
  <c r="AM50" i="16"/>
  <c r="AM46" i="16"/>
  <c r="J35" i="18"/>
  <c r="J39" i="18"/>
  <c r="I39" i="18"/>
  <c r="I35" i="18"/>
  <c r="R33" i="16"/>
  <c r="R23" i="16"/>
  <c r="R44" i="16"/>
  <c r="O50" i="17"/>
  <c r="L35" i="16"/>
  <c r="L39" i="16"/>
  <c r="AY50" i="17"/>
  <c r="AY46" i="17"/>
  <c r="D35" i="17"/>
  <c r="D39" i="17"/>
  <c r="Y50" i="17"/>
  <c r="Y46" i="17"/>
  <c r="AN23" i="17"/>
  <c r="AN33" i="17"/>
  <c r="AN44" i="17"/>
  <c r="G23" i="18"/>
  <c r="G44" i="18"/>
  <c r="G33" i="18"/>
  <c r="AN46" i="18"/>
  <c r="AN50" i="18"/>
  <c r="AU33" i="18"/>
  <c r="AU44" i="18"/>
  <c r="AU23" i="18"/>
  <c r="AU50" i="18" l="1"/>
  <c r="AU46" i="18"/>
  <c r="AU46" i="17"/>
  <c r="AU50" i="17"/>
  <c r="H35" i="17"/>
  <c r="H39" i="17"/>
  <c r="AB35" i="17"/>
  <c r="AB39" i="17"/>
  <c r="AQ39" i="17"/>
  <c r="AQ35" i="17"/>
  <c r="AG39" i="16"/>
  <c r="AG35" i="16"/>
  <c r="AU35" i="18"/>
  <c r="AU39" i="18"/>
  <c r="S46" i="18"/>
  <c r="S50" i="18"/>
  <c r="T50" i="18"/>
  <c r="T46" i="18"/>
  <c r="AA35" i="17"/>
  <c r="Q35" i="17"/>
  <c r="AR39" i="18"/>
  <c r="AR35" i="18"/>
  <c r="Y44" i="16"/>
  <c r="Y33" i="16"/>
  <c r="Y23" i="16"/>
  <c r="AP35" i="18"/>
  <c r="AP39" i="18"/>
  <c r="Q35" i="16"/>
  <c r="Q39" i="16"/>
  <c r="E33" i="17"/>
  <c r="E44" i="17"/>
  <c r="E23" i="17"/>
  <c r="AZ23" i="17" s="1"/>
  <c r="AZ21" i="17"/>
  <c r="AG46" i="16"/>
  <c r="AG50" i="16"/>
  <c r="AG35" i="17"/>
  <c r="AO46" i="17"/>
  <c r="G39" i="18"/>
  <c r="G35" i="18"/>
  <c r="AN39" i="17"/>
  <c r="AN35" i="17"/>
  <c r="AE35" i="18"/>
  <c r="AE39" i="18"/>
  <c r="Y34" i="16"/>
  <c r="Y40" i="16" s="1"/>
  <c r="Y45" i="16"/>
  <c r="Y51" i="16" s="1"/>
  <c r="Y24" i="16"/>
  <c r="AC46" i="17"/>
  <c r="AM35" i="17"/>
  <c r="Y50" i="18"/>
  <c r="Y46" i="18"/>
  <c r="M35" i="17"/>
  <c r="H46" i="17"/>
  <c r="H50" i="17"/>
  <c r="AV46" i="16"/>
  <c r="AV50" i="16"/>
  <c r="Z35" i="17"/>
  <c r="AB46" i="17"/>
  <c r="AB50" i="17"/>
  <c r="AH35" i="18"/>
  <c r="AH39" i="18"/>
  <c r="AR50" i="18"/>
  <c r="AR46" i="18"/>
  <c r="AP46" i="18"/>
  <c r="AP50" i="18"/>
  <c r="Q46" i="16"/>
  <c r="Q50" i="16"/>
  <c r="E24" i="17"/>
  <c r="E34" i="17"/>
  <c r="E40" i="17" s="1"/>
  <c r="E45" i="17"/>
  <c r="E51" i="17" s="1"/>
  <c r="AZ22" i="17"/>
  <c r="AY35" i="17"/>
  <c r="P46" i="17"/>
  <c r="Y39" i="18"/>
  <c r="Y35" i="18"/>
  <c r="O46" i="17"/>
  <c r="AK50" i="17"/>
  <c r="AK46" i="17"/>
  <c r="K46" i="17"/>
  <c r="AV39" i="16"/>
  <c r="AV35" i="16"/>
  <c r="AO35" i="16"/>
  <c r="AO39" i="16"/>
  <c r="M46" i="17"/>
  <c r="AW46" i="17"/>
  <c r="T35" i="18"/>
  <c r="T39" i="18"/>
  <c r="S46" i="17"/>
  <c r="S50" i="17"/>
  <c r="N50" i="16"/>
  <c r="N46" i="16"/>
  <c r="J35" i="17"/>
  <c r="AJ35" i="17"/>
  <c r="AJ39" i="17"/>
  <c r="U24" i="16"/>
  <c r="U34" i="16"/>
  <c r="U40" i="16" s="1"/>
  <c r="U45" i="16"/>
  <c r="U51" i="16" s="1"/>
  <c r="AY35" i="16"/>
  <c r="AY39" i="16"/>
  <c r="AO46" i="16"/>
  <c r="AO50" i="16"/>
  <c r="AH46" i="18"/>
  <c r="AH50" i="18"/>
  <c r="AL35" i="16"/>
  <c r="AL39" i="16"/>
  <c r="N39" i="16"/>
  <c r="N35" i="16"/>
  <c r="U44" i="16"/>
  <c r="U23" i="16"/>
  <c r="U33" i="16"/>
  <c r="G46" i="18"/>
  <c r="G50" i="18"/>
  <c r="AV46" i="17"/>
  <c r="AY46" i="16"/>
  <c r="AY50" i="16"/>
  <c r="W39" i="16"/>
  <c r="W35" i="16"/>
  <c r="S35" i="17"/>
  <c r="S39" i="17"/>
  <c r="AM46" i="17"/>
  <c r="I30" i="18"/>
  <c r="J27" i="18"/>
  <c r="AJ39" i="18"/>
  <c r="AJ35" i="18"/>
  <c r="R35" i="16"/>
  <c r="R39" i="16"/>
  <c r="L46" i="17"/>
  <c r="K35" i="17"/>
  <c r="X46" i="17"/>
  <c r="X50" i="17"/>
  <c r="L35" i="17"/>
  <c r="I30" i="17"/>
  <c r="J27" i="17"/>
  <c r="G30" i="16"/>
  <c r="H27" i="16"/>
  <c r="AX46" i="17"/>
  <c r="AC46" i="16"/>
  <c r="AC50" i="16"/>
  <c r="W46" i="16"/>
  <c r="W50" i="16"/>
  <c r="E24" i="18"/>
  <c r="AZ24" i="18" s="1"/>
  <c r="E45" i="18"/>
  <c r="E51" i="18" s="1"/>
  <c r="E34" i="18"/>
  <c r="E40" i="18" s="1"/>
  <c r="AZ22" i="18"/>
  <c r="AP35" i="17"/>
  <c r="AP39" i="17"/>
  <c r="F45" i="16"/>
  <c r="F51" i="16" s="1"/>
  <c r="F34" i="16"/>
  <c r="F40" i="16" s="1"/>
  <c r="F24" i="16"/>
  <c r="AZ24" i="16" s="1"/>
  <c r="AZ22" i="16"/>
  <c r="AA46" i="17"/>
  <c r="AL46" i="16"/>
  <c r="AL50" i="16"/>
  <c r="AQ50" i="17"/>
  <c r="AQ46" i="17"/>
  <c r="AJ50" i="18"/>
  <c r="AJ46" i="18"/>
  <c r="AS35" i="17"/>
  <c r="AS39" i="17"/>
  <c r="R46" i="16"/>
  <c r="R50" i="16"/>
  <c r="AK35" i="17"/>
  <c r="AK39" i="17"/>
  <c r="X35" i="17"/>
  <c r="X39" i="17"/>
  <c r="AJ50" i="17"/>
  <c r="AJ46" i="17"/>
  <c r="AI46" i="17"/>
  <c r="AX35" i="17"/>
  <c r="I35" i="17"/>
  <c r="AC35" i="16"/>
  <c r="AC39" i="16"/>
  <c r="AP50" i="17"/>
  <c r="AP46" i="17"/>
  <c r="AQ35" i="16"/>
  <c r="AQ39" i="16"/>
  <c r="T35" i="17"/>
  <c r="T39" i="17"/>
  <c r="AN46" i="17"/>
  <c r="AN50" i="17"/>
  <c r="S35" i="18"/>
  <c r="S39" i="18"/>
  <c r="AU35" i="17"/>
  <c r="AU39" i="17"/>
  <c r="AE50" i="18"/>
  <c r="AE46" i="18"/>
  <c r="Q46" i="17"/>
  <c r="E23" i="18"/>
  <c r="AZ23" i="18" s="1"/>
  <c r="E44" i="18"/>
  <c r="E33" i="18"/>
  <c r="AZ21" i="18"/>
  <c r="F44" i="16"/>
  <c r="F33" i="16"/>
  <c r="F23" i="16"/>
  <c r="AZ21" i="16"/>
  <c r="AQ46" i="16"/>
  <c r="AQ50" i="16"/>
  <c r="AZ24" i="17"/>
  <c r="AD35" i="17"/>
  <c r="T46" i="17"/>
  <c r="T50" i="17"/>
  <c r="D46" i="17"/>
  <c r="AS46" i="17"/>
  <c r="AS50" i="17"/>
  <c r="E50" i="17" l="1"/>
  <c r="E46" i="17"/>
  <c r="Y50" i="16"/>
  <c r="Y46" i="16"/>
  <c r="E46" i="18"/>
  <c r="E50" i="18"/>
  <c r="I27" i="16"/>
  <c r="H30" i="16"/>
  <c r="E35" i="17"/>
  <c r="E39" i="17"/>
  <c r="U35" i="16"/>
  <c r="U39" i="16"/>
  <c r="Y35" i="16"/>
  <c r="Y39" i="16"/>
  <c r="E39" i="18"/>
  <c r="E35" i="18"/>
  <c r="AZ23" i="16"/>
  <c r="U50" i="16"/>
  <c r="U46" i="16"/>
  <c r="J30" i="17"/>
  <c r="K27" i="17"/>
  <c r="F35" i="16"/>
  <c r="F39" i="16"/>
  <c r="F46" i="16"/>
  <c r="F50" i="16"/>
  <c r="K27" i="18"/>
  <c r="J30" i="18"/>
  <c r="I30" i="16" l="1"/>
  <c r="J27" i="16"/>
  <c r="L27" i="17"/>
  <c r="K30" i="17"/>
  <c r="K30" i="18"/>
  <c r="L27" i="18"/>
  <c r="M27" i="17" l="1"/>
  <c r="L30" i="17"/>
  <c r="J30" i="16"/>
  <c r="K27" i="16"/>
  <c r="M27" i="18"/>
  <c r="L30" i="18"/>
  <c r="K30" i="16" l="1"/>
  <c r="L27" i="16"/>
  <c r="M30" i="17"/>
  <c r="N27" i="17"/>
  <c r="M30" i="18"/>
  <c r="N27" i="18"/>
  <c r="N30" i="17" l="1"/>
  <c r="O27" i="17"/>
  <c r="L30" i="16"/>
  <c r="M27" i="16"/>
  <c r="O27" i="18"/>
  <c r="N30" i="18"/>
  <c r="M30" i="16" l="1"/>
  <c r="N27" i="16"/>
  <c r="P27" i="17"/>
  <c r="O30" i="17"/>
  <c r="P27" i="18"/>
  <c r="O30" i="18"/>
  <c r="Q27" i="17" l="1"/>
  <c r="P30" i="17"/>
  <c r="N30" i="16"/>
  <c r="O27" i="16"/>
  <c r="Q27" i="18"/>
  <c r="P30" i="18"/>
  <c r="O30" i="16" l="1"/>
  <c r="P27" i="16"/>
  <c r="R27" i="17"/>
  <c r="Q30" i="17"/>
  <c r="Q30" i="18"/>
  <c r="R27" i="18"/>
  <c r="R30" i="17" l="1"/>
  <c r="S27" i="17"/>
  <c r="Q27" i="16"/>
  <c r="P30" i="16"/>
  <c r="S27" i="18"/>
  <c r="R30" i="18"/>
  <c r="R27" i="16" l="1"/>
  <c r="Q30" i="16"/>
  <c r="T27" i="17"/>
  <c r="S30" i="17"/>
  <c r="S30" i="18"/>
  <c r="T27" i="18"/>
  <c r="U27" i="17" l="1"/>
  <c r="T30" i="17"/>
  <c r="S27" i="16"/>
  <c r="R30" i="16"/>
  <c r="T30" i="18"/>
  <c r="U27" i="18"/>
  <c r="S30" i="16" l="1"/>
  <c r="T27" i="16"/>
  <c r="U30" i="17"/>
  <c r="V27" i="17"/>
  <c r="U30" i="18"/>
  <c r="V27" i="18"/>
  <c r="V30" i="17" l="1"/>
  <c r="W27" i="17"/>
  <c r="U27" i="16"/>
  <c r="T30" i="16"/>
  <c r="W27" i="18"/>
  <c r="V30" i="18"/>
  <c r="U30" i="16" l="1"/>
  <c r="V27" i="16"/>
  <c r="X27" i="17"/>
  <c r="W30" i="17"/>
  <c r="W30" i="18"/>
  <c r="X27" i="18"/>
  <c r="X30" i="17" l="1"/>
  <c r="Y27" i="17"/>
  <c r="V30" i="16"/>
  <c r="W27" i="16"/>
  <c r="X30" i="18"/>
  <c r="Y27" i="18"/>
  <c r="W30" i="16" l="1"/>
  <c r="X27" i="16"/>
  <c r="Z27" i="17"/>
  <c r="Y30" i="17"/>
  <c r="Z27" i="18"/>
  <c r="Y30" i="18"/>
  <c r="Z30" i="17" l="1"/>
  <c r="AA27" i="17"/>
  <c r="Y27" i="16"/>
  <c r="X30" i="16"/>
  <c r="Z30" i="18"/>
  <c r="AA27" i="18"/>
  <c r="Z27" i="16" l="1"/>
  <c r="Y30" i="16"/>
  <c r="AB27" i="17"/>
  <c r="AA30" i="17"/>
  <c r="AB27" i="18"/>
  <c r="AA30" i="18"/>
  <c r="AC27" i="17" l="1"/>
  <c r="AB30" i="17"/>
  <c r="AA27" i="16"/>
  <c r="Z30" i="16"/>
  <c r="AC27" i="18"/>
  <c r="AB30" i="18"/>
  <c r="AA30" i="16" l="1"/>
  <c r="AB27" i="16"/>
  <c r="AC30" i="17"/>
  <c r="AD27" i="17"/>
  <c r="AC30" i="18"/>
  <c r="AD27" i="18"/>
  <c r="AD30" i="17" l="1"/>
  <c r="AE27" i="17"/>
  <c r="AC27" i="16"/>
  <c r="AB30" i="16"/>
  <c r="AE27" i="18"/>
  <c r="AD30" i="18"/>
  <c r="AD27" i="16" l="1"/>
  <c r="AC30" i="16"/>
  <c r="AF27" i="17"/>
  <c r="AE30" i="17"/>
  <c r="AF27" i="18"/>
  <c r="AE30" i="18"/>
  <c r="AG27" i="17" l="1"/>
  <c r="AF30" i="17"/>
  <c r="AD30" i="16"/>
  <c r="AE27" i="16"/>
  <c r="AF30" i="18"/>
  <c r="AG27" i="18"/>
  <c r="AE30" i="16" l="1"/>
  <c r="AF27" i="16"/>
  <c r="AH27" i="17"/>
  <c r="AG30" i="17"/>
  <c r="AH27" i="18"/>
  <c r="AG30" i="18"/>
  <c r="AH30" i="17" l="1"/>
  <c r="AI27" i="17"/>
  <c r="AG27" i="16"/>
  <c r="AF30" i="16"/>
  <c r="AH30" i="18"/>
  <c r="AI27" i="18"/>
  <c r="AG30" i="16" l="1"/>
  <c r="AH27" i="16"/>
  <c r="AJ27" i="17"/>
  <c r="AI30" i="17"/>
  <c r="AJ27" i="18"/>
  <c r="AI30" i="18"/>
  <c r="AK27" i="17" l="1"/>
  <c r="AJ30" i="17"/>
  <c r="AH30" i="16"/>
  <c r="AI27" i="16"/>
  <c r="AK27" i="18"/>
  <c r="AJ30" i="18"/>
  <c r="AJ27" i="16" l="1"/>
  <c r="AI30" i="16"/>
  <c r="AK30" i="17"/>
  <c r="AL27" i="17"/>
  <c r="AK30" i="18"/>
  <c r="AL27" i="18"/>
  <c r="AM27" i="17" l="1"/>
  <c r="AL30" i="17"/>
  <c r="AK27" i="16"/>
  <c r="AJ30" i="16"/>
  <c r="AM27" i="18"/>
  <c r="AL30" i="18"/>
  <c r="AL27" i="16" l="1"/>
  <c r="AK30" i="16"/>
  <c r="AM30" i="17"/>
  <c r="AN27" i="17"/>
  <c r="AN27" i="18"/>
  <c r="AM30" i="18"/>
  <c r="AN30" i="17" l="1"/>
  <c r="AO27" i="17"/>
  <c r="AL30" i="16"/>
  <c r="AM27" i="16"/>
  <c r="AN30" i="18"/>
  <c r="AO27" i="18"/>
  <c r="AN27" i="16" l="1"/>
  <c r="AM30" i="16"/>
  <c r="AO30" i="17"/>
  <c r="AP27" i="17"/>
  <c r="AP27" i="18"/>
  <c r="AO30" i="18"/>
  <c r="AP30" i="17" l="1"/>
  <c r="AQ27" i="17"/>
  <c r="AN30" i="16"/>
  <c r="AO27" i="16"/>
  <c r="AP30" i="18"/>
  <c r="AQ27" i="18"/>
  <c r="AP27" i="16" l="1"/>
  <c r="AO30" i="16"/>
  <c r="AQ30" i="17"/>
  <c r="AR27" i="17"/>
  <c r="AR27" i="18"/>
  <c r="AQ30" i="18"/>
  <c r="AR30" i="17" l="1"/>
  <c r="AS27" i="17"/>
  <c r="AQ27" i="16"/>
  <c r="AP30" i="16"/>
  <c r="AR30" i="18"/>
  <c r="AS27" i="18"/>
  <c r="AR27" i="16" l="1"/>
  <c r="AQ30" i="16"/>
  <c r="AT27" i="17"/>
  <c r="AS30" i="17"/>
  <c r="AS30" i="18"/>
  <c r="AT27" i="18"/>
  <c r="AU27" i="17" l="1"/>
  <c r="AT30" i="17"/>
  <c r="AR30" i="16"/>
  <c r="AS27" i="16"/>
  <c r="AU27" i="18"/>
  <c r="AT30" i="18"/>
  <c r="AT27" i="16" l="1"/>
  <c r="AS30" i="16"/>
  <c r="AU30" i="17"/>
  <c r="AV27" i="17"/>
  <c r="AV27" i="18"/>
  <c r="AU30" i="18"/>
  <c r="AW27" i="18" l="1"/>
  <c r="AV30" i="18"/>
  <c r="AV30" i="17"/>
  <c r="AW27" i="17"/>
  <c r="AT30" i="16"/>
  <c r="AU27" i="16"/>
  <c r="AX27" i="17" l="1"/>
  <c r="AW30" i="17"/>
  <c r="AW30" i="18"/>
  <c r="AX27" i="18"/>
  <c r="AV27" i="16"/>
  <c r="AU30" i="16"/>
  <c r="AX30" i="18" l="1"/>
  <c r="AY27" i="18"/>
  <c r="AY30" i="18" s="1"/>
  <c r="AZ30" i="18" s="1"/>
  <c r="AY27" i="17"/>
  <c r="AY30" i="17" s="1"/>
  <c r="AZ30" i="17" s="1"/>
  <c r="AX30" i="17"/>
  <c r="AV30" i="16"/>
  <c r="AW27" i="16"/>
  <c r="AX27" i="16" l="1"/>
  <c r="AW30" i="16"/>
  <c r="AY27" i="16" l="1"/>
  <c r="AY30" i="16" s="1"/>
  <c r="AX30" i="16"/>
  <c r="AZ30" i="16" l="1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 s="1"/>
  <c r="G40" i="5"/>
  <c r="H40" i="5" s="1"/>
  <c r="G41" i="5"/>
  <c r="H41" i="5"/>
  <c r="G42" i="5"/>
  <c r="H42" i="5"/>
  <c r="G43" i="5"/>
  <c r="H43" i="5" s="1"/>
  <c r="G44" i="5"/>
  <c r="H44" i="5" s="1"/>
  <c r="G45" i="5"/>
  <c r="H45" i="5"/>
  <c r="G46" i="5"/>
  <c r="H46" i="5"/>
  <c r="G47" i="5"/>
  <c r="H47" i="5" s="1"/>
  <c r="G48" i="5"/>
  <c r="H48" i="5" s="1"/>
  <c r="G49" i="5"/>
  <c r="H49" i="5"/>
  <c r="G50" i="5"/>
  <c r="H50" i="5"/>
  <c r="G51" i="5"/>
  <c r="H51" i="5" s="1"/>
  <c r="G52" i="5"/>
  <c r="H52" i="5" s="1"/>
  <c r="G53" i="5"/>
  <c r="H53" i="5"/>
  <c r="G54" i="5"/>
  <c r="H54" i="5"/>
  <c r="G55" i="5"/>
  <c r="H55" i="5" s="1"/>
  <c r="G56" i="5"/>
  <c r="H56" i="5" s="1"/>
  <c r="G57" i="5"/>
  <c r="H57" i="5"/>
  <c r="G58" i="5"/>
  <c r="H58" i="5"/>
  <c r="G59" i="5"/>
  <c r="H59" i="5" s="1"/>
  <c r="G60" i="5"/>
  <c r="H60" i="5" s="1"/>
  <c r="G61" i="5"/>
  <c r="H61" i="5"/>
  <c r="G62" i="5"/>
  <c r="H62" i="5"/>
  <c r="G63" i="5"/>
  <c r="H63" i="5" s="1"/>
  <c r="G64" i="5"/>
  <c r="H64" i="5" s="1"/>
  <c r="G65" i="5"/>
  <c r="H65" i="5"/>
  <c r="G66" i="5"/>
  <c r="H66" i="5"/>
  <c r="G67" i="5"/>
  <c r="H67" i="5" s="1"/>
  <c r="G68" i="5"/>
  <c r="H68" i="5" s="1"/>
  <c r="G69" i="5"/>
  <c r="H69" i="5"/>
  <c r="G70" i="5"/>
  <c r="H70" i="5"/>
  <c r="G71" i="5"/>
  <c r="H71" i="5" s="1"/>
  <c r="G72" i="5"/>
  <c r="H72" i="5" s="1"/>
  <c r="G73" i="5"/>
  <c r="H73" i="5"/>
  <c r="G74" i="5"/>
  <c r="H74" i="5"/>
  <c r="G75" i="5"/>
  <c r="H75" i="5" s="1"/>
  <c r="G76" i="5"/>
  <c r="H76" i="5" s="1"/>
  <c r="G77" i="5"/>
  <c r="H77" i="5"/>
  <c r="G78" i="5"/>
  <c r="H78" i="5"/>
  <c r="G79" i="5"/>
  <c r="H79" i="5" s="1"/>
  <c r="G80" i="5"/>
  <c r="H80" i="5" s="1"/>
  <c r="G81" i="5"/>
  <c r="H81" i="5"/>
  <c r="G82" i="5"/>
  <c r="H82" i="5"/>
  <c r="G83" i="5"/>
  <c r="H83" i="5" s="1"/>
  <c r="G84" i="5"/>
  <c r="H84" i="5" s="1"/>
  <c r="G85" i="5"/>
  <c r="H85" i="5"/>
  <c r="G86" i="5"/>
  <c r="H86" i="5"/>
  <c r="G87" i="5"/>
  <c r="H87" i="5" s="1"/>
  <c r="G88" i="5"/>
  <c r="H88" i="5" s="1"/>
  <c r="G89" i="5"/>
  <c r="H89" i="5"/>
  <c r="G90" i="5"/>
  <c r="H90" i="5"/>
  <c r="G91" i="5"/>
  <c r="H91" i="5" s="1"/>
  <c r="G92" i="5"/>
  <c r="H92" i="5" s="1"/>
  <c r="G93" i="5"/>
  <c r="H93" i="5"/>
  <c r="G94" i="5"/>
  <c r="H94" i="5"/>
  <c r="G95" i="5"/>
  <c r="H95" i="5" s="1"/>
  <c r="G96" i="5"/>
  <c r="H96" i="5" s="1"/>
  <c r="G97" i="5"/>
  <c r="H97" i="5"/>
  <c r="G98" i="5"/>
  <c r="H98" i="5"/>
  <c r="G99" i="5"/>
  <c r="H99" i="5" s="1"/>
  <c r="G100" i="5"/>
  <c r="H100" i="5" s="1"/>
  <c r="G101" i="5"/>
  <c r="H101" i="5"/>
  <c r="G102" i="5"/>
  <c r="H102" i="5"/>
  <c r="G103" i="5"/>
  <c r="H103" i="5" s="1"/>
  <c r="G104" i="5"/>
  <c r="H104" i="5" s="1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<sst xmlns="http://schemas.openxmlformats.org/spreadsheetml/2006/main" count="2536" uniqueCount="414">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</sst>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1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5" borderId="0" xfId="0" applyFill="1"/>
    <xf numFmtId="0" fontId="0" fillId="0" borderId="0" xfId="0" applyFill="1"/>
    <xf numFmtId="0" fontId="2" fillId="0" borderId="0" xfId="0" applyFont="1"/>
    <xf numFmtId="0" fontId="2" fillId="0" borderId="0" xfId="0" applyFont="1" applyFill="1"/>
    <xf numFmtId="0" fontId="0" fillId="6" borderId="0" xfId="0" applyFill="1"/>
    <xf numFmtId="0" fontId="0" fillId="0" borderId="0" xfId="0" applyFill="1" applyBorder="1"/>
    <xf numFmtId="0" fontId="0" fillId="0" borderId="5" xfId="0" applyBorder="1"/>
    <xf numFmtId="0" fontId="0" fillId="0" borderId="11" xfId="0" applyBorder="1"/>
    <xf numFmtId="0" fontId="0" fillId="0" borderId="6" xfId="0" applyBorder="1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right"/>
    </xf>
    <xf numFmtId="0" fontId="0" fillId="0" borderId="8" xfId="0" applyFill="1" applyBorder="1"/>
    <xf numFmtId="0" fontId="0" fillId="5" borderId="13" xfId="0" applyFill="1" applyBorder="1" applyAlignment="1">
      <alignment horizontal="right"/>
    </xf>
    <xf numFmtId="0" fontId="0" fillId="7" borderId="8" xfId="0" applyFill="1" applyBorder="1"/>
    <xf numFmtId="0" fontId="0" fillId="0" borderId="13" xfId="0" applyBorder="1"/>
    <xf numFmtId="0" fontId="0" fillId="5" borderId="0" xfId="0" applyFill="1" applyAlignment="1">
      <alignment horizontal="right"/>
    </xf>
    <xf numFmtId="0" fontId="0" fillId="7" borderId="0" xfId="0" applyFill="1" applyBorder="1"/>
    <xf numFmtId="0" fontId="0" fillId="2" borderId="0" xfId="0" applyFill="1" applyBorder="1"/>
    <xf numFmtId="0" fontId="0" fillId="7" borderId="13" xfId="0" applyFill="1" applyBorder="1"/>
    <xf numFmtId="0" fontId="0" fillId="5" borderId="9" xfId="0" applyFill="1" applyBorder="1" applyAlignment="1">
      <alignment horizontal="right"/>
    </xf>
    <xf numFmtId="0" fontId="0" fillId="7" borderId="9" xfId="0" applyFill="1" applyBorder="1"/>
    <xf numFmtId="0" fontId="0" fillId="0" borderId="9" xfId="0" applyBorder="1"/>
    <xf numFmtId="0" fontId="0" fillId="0" borderId="8" xfId="0" applyBorder="1"/>
    <xf numFmtId="0" fontId="0" fillId="5" borderId="1" xfId="0" applyFill="1" applyBorder="1" applyAlignment="1">
      <alignment horizontal="right"/>
    </xf>
    <xf numFmtId="0" fontId="0" fillId="3" borderId="0" xfId="0" applyFill="1" applyBorder="1"/>
    <xf numFmtId="0" fontId="0" fillId="0" borderId="3" xfId="0" applyBorder="1"/>
    <xf numFmtId="0" fontId="0" fillId="8" borderId="8" xfId="0" applyFill="1" applyBorder="1"/>
    <xf numFmtId="0" fontId="0" fillId="8" borderId="0" xfId="0" applyFill="1" applyBorder="1"/>
    <xf numFmtId="0" fontId="0" fillId="5" borderId="6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5" borderId="13" xfId="0" applyFill="1" applyBorder="1"/>
    <xf numFmtId="10" fontId="0" fillId="0" borderId="13" xfId="0" applyNumberFormat="1" applyBorder="1"/>
    <xf numFmtId="0" fontId="0" fillId="5" borderId="9" xfId="0" applyFill="1" applyBorder="1"/>
    <xf numFmtId="0" fontId="0" fillId="5" borderId="8" xfId="0" applyFill="1" applyBorder="1"/>
    <xf numFmtId="0" fontId="0" fillId="6" borderId="9" xfId="0" applyFill="1" applyBorder="1"/>
    <xf numFmtId="0" fontId="0" fillId="0" borderId="9" xfId="0" applyFill="1" applyBorder="1"/>
    <xf numFmtId="0" fontId="0" fillId="0" borderId="10" xfId="0" applyFill="1" applyBorder="1"/>
    <xf numFmtId="0" fontId="0" fillId="6" borderId="8" xfId="0" applyFill="1" applyBorder="1"/>
    <xf numFmtId="0" fontId="0" fillId="0" borderId="15" xfId="0" applyFill="1" applyBorder="1"/>
    <xf numFmtId="0" fontId="0" fillId="0" borderId="0" xfId="0" applyFill="1" applyBorder="1" applyAlignment="1">
      <alignment horizontal="left"/>
    </xf>
    <xf numFmtId="0" fontId="0" fillId="7" borderId="13" xfId="0" applyFill="1" applyBorder="1" applyAlignment="1">
      <alignment horizontal="right"/>
    </xf>
    <xf numFmtId="0" fontId="0" fillId="0" borderId="13" xfId="0" applyFill="1" applyBorder="1"/>
    <xf numFmtId="0" fontId="4" fillId="0" borderId="9" xfId="0" applyFont="1" applyFill="1" applyBorder="1"/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4" fillId="0" borderId="0" xfId="0" applyFont="1" applyFill="1" applyBorder="1" applyAlignment="1"/>
    <xf numFmtId="0" fontId="4" fillId="5" borderId="13" xfId="0" applyFont="1" applyFill="1" applyBorder="1" applyAlignment="1">
      <alignment horizontal="right"/>
    </xf>
    <xf numFmtId="0" fontId="4" fillId="7" borderId="13" xfId="0" applyFont="1" applyFill="1" applyBorder="1" applyAlignment="1"/>
    <xf numFmtId="0" fontId="0" fillId="0" borderId="5" xfId="0" applyFill="1" applyBorder="1"/>
    <xf numFmtId="0" fontId="1" fillId="0" borderId="0" xfId="0" applyFont="1" applyBorder="1"/>
    <xf numFmtId="0" fontId="0" fillId="0" borderId="9" xfId="0" applyFill="1" applyBorder="1" applyAlignment="1">
      <alignment horizontal="right"/>
    </xf>
    <xf numFmtId="10" fontId="0" fillId="5" borderId="13" xfId="0" applyNumberFormat="1" applyFill="1" applyBorder="1"/>
    <xf numFmtId="0" fontId="0" fillId="5" borderId="0" xfId="0" applyFill="1" applyBorder="1" applyAlignment="1">
      <alignment horizontal="right"/>
    </xf>
    <xf numFmtId="10" fontId="0" fillId="0" borderId="0" xfId="0" applyNumberFormat="1" applyFill="1" applyBorder="1"/>
    <xf numFmtId="0" fontId="0" fillId="0" borderId="12" xfId="0" applyFill="1" applyBorder="1"/>
    <xf numFmtId="0" fontId="0" fillId="5" borderId="8" xfId="0" applyFill="1" applyBorder="1" applyAlignment="1">
      <alignment horizontal="right"/>
    </xf>
    <xf numFmtId="10" fontId="0" fillId="0" borderId="8" xfId="0" applyNumberFormat="1" applyFill="1" applyBorder="1"/>
    <xf numFmtId="0" fontId="0" fillId="6" borderId="9" xfId="0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0" borderId="8" xfId="0" applyNumberFormat="1" applyFill="1" applyBorder="1"/>
    <xf numFmtId="0" fontId="1" fillId="0" borderId="0" xfId="0" applyFont="1" applyFill="1" applyBorder="1" applyAlignment="1"/>
    <xf numFmtId="0" fontId="0" fillId="0" borderId="2" xfId="0" applyBorder="1"/>
    <xf numFmtId="0" fontId="0" fillId="5" borderId="0" xfId="0" applyFill="1" applyBorder="1"/>
    <xf numFmtId="0" fontId="0" fillId="0" borderId="7" xfId="0" applyBorder="1"/>
    <xf numFmtId="0" fontId="0" fillId="0" borderId="4" xfId="0" applyBorder="1"/>
    <xf numFmtId="0" fontId="0" fillId="0" borderId="3" xfId="0" applyFill="1" applyBorder="1"/>
    <xf numFmtId="0" fontId="0" fillId="6" borderId="13" xfId="0" applyFill="1" applyBorder="1" applyAlignment="1">
      <alignment horizontal="right"/>
    </xf>
    <xf numFmtId="0" fontId="0" fillId="10" borderId="0" xfId="0" applyFill="1"/>
    <xf numFmtId="0" fontId="4" fillId="10" borderId="0" xfId="0" applyFont="1" applyFill="1"/>
    <xf numFmtId="0" fontId="4" fillId="0" borderId="0" xfId="0" applyFont="1" applyFill="1"/>
    <xf numFmtId="0" fontId="4" fillId="5" borderId="0" xfId="0" applyFont="1" applyFill="1"/>
    <xf numFmtId="0" fontId="0" fillId="6" borderId="0" xfId="0" applyNumberFormat="1" applyFill="1" applyAlignment="1"/>
    <xf numFmtId="0" fontId="0" fillId="0" borderId="0" xfId="0" applyAlignment="1">
      <alignment horizontal="right"/>
    </xf>
    <xf numFmtId="0" fontId="0" fillId="6" borderId="0" xfId="0" applyFill="1" applyBorder="1"/>
    <xf numFmtId="0" fontId="0" fillId="0" borderId="0" xfId="0" applyNumberFormat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NumberFormat="1" applyFont="1" applyAlignment="1">
      <alignment horizontal="left"/>
    </xf>
    <xf numFmtId="1" fontId="0" fillId="0" borderId="10" xfId="0" applyNumberFormat="1" applyBorder="1"/>
    <xf numFmtId="164" fontId="0" fillId="0" borderId="10" xfId="0" applyNumberFormat="1" applyBorder="1"/>
    <xf numFmtId="1" fontId="0" fillId="0" borderId="12" xfId="0" applyNumberFormat="1" applyBorder="1"/>
    <xf numFmtId="164" fontId="0" fillId="0" borderId="12" xfId="0" applyNumberFormat="1" applyBorder="1"/>
    <xf numFmtId="1" fontId="0" fillId="0" borderId="15" xfId="0" applyNumberFormat="1" applyBorder="1"/>
    <xf numFmtId="164" fontId="0" fillId="0" borderId="15" xfId="0" applyNumberFormat="1" applyBorder="1"/>
    <xf numFmtId="164" fontId="0" fillId="0" borderId="13" xfId="0" applyNumberFormat="1" applyBorder="1"/>
    <xf numFmtId="1" fontId="0" fillId="0" borderId="5" xfId="0" applyNumberFormat="1" applyBorder="1"/>
    <xf numFmtId="1" fontId="0" fillId="0" borderId="10" xfId="0" applyNumberFormat="1" applyFill="1" applyBorder="1"/>
    <xf numFmtId="1" fontId="0" fillId="0" borderId="12" xfId="0" applyNumberFormat="1" applyFill="1" applyBorder="1"/>
    <xf numFmtId="1" fontId="0" fillId="0" borderId="15" xfId="0" applyNumberFormat="1" applyFill="1" applyBorder="1"/>
    <xf numFmtId="0" fontId="0" fillId="0" borderId="9" xfId="0" applyBorder="1" applyAlignment="1">
      <alignment horizontal="right"/>
    </xf>
    <xf numFmtId="164" fontId="0" fillId="0" borderId="0" xfId="0" applyNumberFormat="1"/>
    <xf numFmtId="0" fontId="13" fillId="0" borderId="0" xfId="0" applyFont="1"/>
    <xf numFmtId="164" fontId="0" fillId="0" borderId="27" xfId="0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110" t="s">
        <v>165</v>
      </c>
      <c r="E4" s="111"/>
      <c r="F4" s="112"/>
    </row>
    <row r="5" spans="2:6" x14ac:dyDescent="0.2">
      <c r="B5" s="6"/>
      <c r="C5" s="7" t="s">
        <v>111</v>
      </c>
      <c r="D5" s="113">
        <v>2012</v>
      </c>
      <c r="E5" s="114"/>
      <c r="F5" s="115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337</v>
      </c>
      <c r="D8">
        <v>2</v>
      </c>
      <c r="E8" t="s">
        <v>338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345</v>
      </c>
      <c r="E6" s="15" t="s">
        <v>166</v>
      </c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 t="s">
        <v>166</v>
      </c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 t="s">
        <v>166</v>
      </c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91">
        <v>0</v>
      </c>
      <c r="D6" s="92">
        <v>0</v>
      </c>
      <c r="E6" s="92">
        <v>0</v>
      </c>
      <c r="F6" s="92">
        <v>0</v>
      </c>
      <c r="G6" s="92">
        <v>0</v>
      </c>
      <c r="H6" s="92">
        <v>0</v>
      </c>
      <c r="I6" s="92">
        <v>0</v>
      </c>
      <c r="J6" s="92">
        <v>0</v>
      </c>
      <c r="K6" s="92">
        <v>0</v>
      </c>
      <c r="L6" s="92">
        <v>0</v>
      </c>
      <c r="M6" s="92">
        <v>0</v>
      </c>
      <c r="N6" s="92">
        <v>0</v>
      </c>
    </row>
    <row r="7" spans="2:14" x14ac:dyDescent="0.2">
      <c r="B7" s="36" t="s">
        <v>105</v>
      </c>
      <c r="C7" s="93">
        <v>0</v>
      </c>
      <c r="D7" s="94">
        <v>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</row>
    <row r="8" spans="2:14" x14ac:dyDescent="0.2">
      <c r="B8" s="36" t="s">
        <v>106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</row>
    <row r="9" spans="2:14" x14ac:dyDescent="0.2">
      <c r="B9" s="36" t="s">
        <v>107</v>
      </c>
      <c r="C9" s="93">
        <v>3066.0264252190664</v>
      </c>
      <c r="D9" s="94">
        <v>3066.0264252190664</v>
      </c>
      <c r="E9" s="94">
        <v>3066.0264252190664</v>
      </c>
      <c r="F9" s="94">
        <v>3066.0264252190664</v>
      </c>
      <c r="G9" s="94">
        <v>3066.0264252190664</v>
      </c>
      <c r="H9" s="94">
        <v>3066.0264252190664</v>
      </c>
      <c r="I9" s="94">
        <v>3066.0264252190664</v>
      </c>
      <c r="J9" s="94">
        <v>3066.0264252190664</v>
      </c>
      <c r="K9" s="94">
        <v>3066.0264252190664</v>
      </c>
      <c r="L9" s="94">
        <v>3066.0264252190664</v>
      </c>
      <c r="M9" s="94">
        <v>3066.0264252190664</v>
      </c>
      <c r="N9" s="94">
        <v>3066.0264252190664</v>
      </c>
    </row>
    <row r="10" spans="2:14" x14ac:dyDescent="0.2">
      <c r="B10" s="36" t="s">
        <v>108</v>
      </c>
      <c r="C10" s="93">
        <v>3546.9956418034985</v>
      </c>
      <c r="D10" s="94">
        <v>3546.9956418034985</v>
      </c>
      <c r="E10" s="94">
        <v>3546.9956418034985</v>
      </c>
      <c r="F10" s="94">
        <v>3546.9956418034985</v>
      </c>
      <c r="G10" s="94">
        <v>3546.9956418034985</v>
      </c>
      <c r="H10" s="94">
        <v>3546.9956418034985</v>
      </c>
      <c r="I10" s="94">
        <v>3546.9956418034985</v>
      </c>
      <c r="J10" s="94">
        <v>3546.9956418034985</v>
      </c>
      <c r="K10" s="94">
        <v>3546.9956418034985</v>
      </c>
      <c r="L10" s="94">
        <v>3546.9956418034985</v>
      </c>
      <c r="M10" s="94">
        <v>3546.9956418034985</v>
      </c>
      <c r="N10" s="94">
        <v>3546.9956418034985</v>
      </c>
    </row>
    <row r="11" spans="2:14" x14ac:dyDescent="0.2">
      <c r="B11" s="37" t="s">
        <v>109</v>
      </c>
      <c r="C11" s="93">
        <v>2985.5848733451789</v>
      </c>
      <c r="D11" s="94">
        <v>2985.5848733451789</v>
      </c>
      <c r="E11" s="94">
        <v>2985.5848733451789</v>
      </c>
      <c r="F11" s="94">
        <v>2985.5848733451789</v>
      </c>
      <c r="G11" s="94">
        <v>2985.5848733451789</v>
      </c>
      <c r="H11" s="94">
        <v>2985.5848733451789</v>
      </c>
      <c r="I11" s="94">
        <v>2985.5848733451789</v>
      </c>
      <c r="J11" s="94">
        <v>2985.5848733451789</v>
      </c>
      <c r="K11" s="94">
        <v>2985.5848733451789</v>
      </c>
      <c r="L11" s="94">
        <v>2985.5848733451789</v>
      </c>
      <c r="M11" s="94">
        <v>2985.5848733451789</v>
      </c>
      <c r="N11" s="94">
        <v>2985.5848733451789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5">
        <v>1</v>
      </c>
      <c r="D17" s="95">
        <v>1</v>
      </c>
      <c r="E17" s="95">
        <v>1</v>
      </c>
      <c r="F17" s="95">
        <v>5</v>
      </c>
      <c r="G17" s="95">
        <v>1</v>
      </c>
      <c r="H17" s="95">
        <v>10</v>
      </c>
      <c r="I17" s="29" t="s">
        <v>110</v>
      </c>
    </row>
    <row r="18" spans="2:33" x14ac:dyDescent="0.2">
      <c r="B18" s="36" t="s">
        <v>105</v>
      </c>
      <c r="C18" s="96">
        <v>1</v>
      </c>
      <c r="D18" s="96">
        <v>1</v>
      </c>
      <c r="E18" s="96">
        <v>1</v>
      </c>
      <c r="F18" s="96">
        <v>5</v>
      </c>
      <c r="G18" s="96">
        <v>1</v>
      </c>
      <c r="H18" s="96">
        <v>10</v>
      </c>
      <c r="I18" s="29" t="s">
        <v>110</v>
      </c>
    </row>
    <row r="19" spans="2:33" x14ac:dyDescent="0.2">
      <c r="B19" s="36" t="s">
        <v>106</v>
      </c>
      <c r="C19" s="96">
        <v>1</v>
      </c>
      <c r="D19" s="96">
        <v>1</v>
      </c>
      <c r="E19" s="96">
        <v>1</v>
      </c>
      <c r="F19" s="96">
        <v>5</v>
      </c>
      <c r="G19" s="96">
        <v>1</v>
      </c>
      <c r="H19" s="96">
        <v>10</v>
      </c>
      <c r="I19" s="29" t="s">
        <v>110</v>
      </c>
    </row>
    <row r="20" spans="2:33" x14ac:dyDescent="0.2">
      <c r="B20" s="36" t="s">
        <v>107</v>
      </c>
      <c r="C20" s="96">
        <v>1</v>
      </c>
      <c r="D20" s="96">
        <v>1</v>
      </c>
      <c r="E20" s="96">
        <v>1</v>
      </c>
      <c r="F20" s="96">
        <v>5</v>
      </c>
      <c r="G20" s="96">
        <v>1</v>
      </c>
      <c r="H20" s="96">
        <v>10</v>
      </c>
    </row>
    <row r="21" spans="2:33" x14ac:dyDescent="0.2">
      <c r="B21" s="36" t="s">
        <v>108</v>
      </c>
      <c r="C21" s="96">
        <v>1</v>
      </c>
      <c r="D21" s="96">
        <v>1</v>
      </c>
      <c r="E21" s="96">
        <v>1</v>
      </c>
      <c r="F21" s="96">
        <v>5</v>
      </c>
      <c r="G21" s="96">
        <v>1</v>
      </c>
      <c r="H21" s="96">
        <v>10</v>
      </c>
    </row>
    <row r="22" spans="2:33" x14ac:dyDescent="0.2">
      <c r="B22" s="37" t="s">
        <v>109</v>
      </c>
      <c r="C22" s="96">
        <v>1</v>
      </c>
      <c r="D22" s="96">
        <v>1</v>
      </c>
      <c r="E22" s="96">
        <v>1</v>
      </c>
      <c r="F22" s="96">
        <v>5</v>
      </c>
      <c r="G22" s="96">
        <v>1</v>
      </c>
      <c r="H22" s="96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2007</v>
      </c>
      <c r="E28" s="49"/>
      <c r="F28" s="45">
        <f>basic_info!$D$5-4</f>
        <v>2008</v>
      </c>
      <c r="G28" s="49"/>
      <c r="H28" s="45">
        <f>basic_info!$D$5-3</f>
        <v>2009</v>
      </c>
      <c r="I28" s="49"/>
      <c r="J28" s="45">
        <f>basic_info!$D$5-2</f>
        <v>2010</v>
      </c>
      <c r="K28" s="49"/>
      <c r="L28" s="45">
        <f>basic_info!$D$5-1</f>
        <v>2011</v>
      </c>
      <c r="N28" s="45">
        <f>basic_info!$D$5</f>
        <v>2012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2012</v>
      </c>
      <c r="D30" s="44">
        <v>0.77419792761206629</v>
      </c>
      <c r="E30" s="35">
        <v>100000</v>
      </c>
      <c r="F30" s="47">
        <v>0.75988620984963406</v>
      </c>
      <c r="G30" s="46"/>
      <c r="H30" s="47">
        <v>0.70400269357188838</v>
      </c>
      <c r="I30" s="46"/>
      <c r="J30" s="47">
        <v>0.75933230319260714</v>
      </c>
      <c r="K30" s="46"/>
      <c r="L30" s="47">
        <v>0.79110236905498132</v>
      </c>
      <c r="M30" s="46"/>
      <c r="N30" s="60"/>
      <c r="O30" s="71" t="s">
        <v>162</v>
      </c>
      <c r="P30" s="41">
        <f>M30+K30+I30+E30+G30</f>
        <v>100000</v>
      </c>
      <c r="Q30" s="70"/>
    </row>
    <row r="31" spans="2:33" x14ac:dyDescent="0.2">
      <c r="B31" s="36"/>
      <c r="C31" s="47">
        <f>basic_info!$D$5+1</f>
        <v>2013</v>
      </c>
      <c r="D31" s="76"/>
      <c r="E31" s="75"/>
      <c r="F31" s="69">
        <v>0.72473765751123431</v>
      </c>
      <c r="G31" s="79">
        <v>100000</v>
      </c>
      <c r="H31" s="61">
        <v>0.71441382370859263</v>
      </c>
      <c r="I31" s="62"/>
      <c r="J31" s="61">
        <v>0.69091416758853352</v>
      </c>
      <c r="K31" s="62"/>
      <c r="L31" s="61">
        <v>0.75192074042674273</v>
      </c>
      <c r="M31" s="62"/>
      <c r="N31" s="63">
        <v>0.91028405278760516</v>
      </c>
      <c r="O31" s="86"/>
      <c r="P31" s="63">
        <f>O31+M31+K31+I31+G31</f>
        <v>100000</v>
      </c>
    </row>
    <row r="32" spans="2:33" x14ac:dyDescent="0.2">
      <c r="B32" s="36"/>
      <c r="C32" s="47">
        <f>basic_info!$D$5+2</f>
        <v>2014</v>
      </c>
      <c r="D32" s="76"/>
      <c r="E32" s="75"/>
      <c r="F32" s="75"/>
      <c r="G32" s="75"/>
      <c r="H32" s="69">
        <v>0.67398288510441784</v>
      </c>
      <c r="I32" s="79">
        <v>300000</v>
      </c>
      <c r="J32" s="61">
        <v>0.7025784495475329</v>
      </c>
      <c r="K32" s="62"/>
      <c r="L32" s="61">
        <v>0.75974471053693216</v>
      </c>
      <c r="M32" s="62"/>
      <c r="N32" s="63">
        <v>0.84022986680849976</v>
      </c>
      <c r="O32" s="86"/>
      <c r="P32" s="63">
        <f>O32+M32+K32+I32</f>
        <v>300000</v>
      </c>
    </row>
    <row r="33" spans="2:17" x14ac:dyDescent="0.2">
      <c r="B33" s="36"/>
      <c r="C33" s="47">
        <f>basic_info!$D$5+3</f>
        <v>2015</v>
      </c>
      <c r="D33" s="76"/>
      <c r="E33" s="75"/>
      <c r="F33" s="75"/>
      <c r="G33" s="75"/>
      <c r="H33" s="75"/>
      <c r="I33" s="75"/>
      <c r="J33" s="69">
        <v>0.71552384896278387</v>
      </c>
      <c r="K33" s="79"/>
      <c r="L33" s="61">
        <v>0.73352858177408109</v>
      </c>
      <c r="M33" s="62"/>
      <c r="N33" s="63">
        <v>0.80596927418180841</v>
      </c>
      <c r="O33" s="86"/>
      <c r="P33" s="63">
        <f>O33+M33+K33</f>
        <v>0</v>
      </c>
    </row>
    <row r="34" spans="2:17" x14ac:dyDescent="0.2">
      <c r="B34" s="36"/>
      <c r="C34" s="47">
        <f>basic_info!$D$5+4</f>
        <v>2016</v>
      </c>
      <c r="D34" s="76"/>
      <c r="E34" s="75"/>
      <c r="F34" s="75"/>
      <c r="G34" s="75"/>
      <c r="H34" s="75"/>
      <c r="I34" s="75"/>
      <c r="J34" s="75"/>
      <c r="K34" s="75"/>
      <c r="L34" s="69">
        <v>0.68859153167605403</v>
      </c>
      <c r="M34" s="79"/>
      <c r="N34" s="63">
        <v>0.76378054147734653</v>
      </c>
      <c r="O34" s="86"/>
      <c r="P34" s="63">
        <f>O34+M34</f>
        <v>0</v>
      </c>
    </row>
    <row r="35" spans="2:17" x14ac:dyDescent="0.2">
      <c r="B35" s="37"/>
      <c r="C35" s="72">
        <f>basic_info!$D$5+5</f>
        <v>2017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0.71205421746969233</v>
      </c>
      <c r="O35" s="86"/>
      <c r="P35" s="65">
        <f>O35</f>
        <v>0</v>
      </c>
    </row>
    <row r="36" spans="2:17" x14ac:dyDescent="0.2">
      <c r="B36" s="41" t="s">
        <v>113</v>
      </c>
      <c r="C36" s="36">
        <f>basic_info!$D$5</f>
        <v>2012</v>
      </c>
      <c r="D36" s="44">
        <v>0.87400841210782521</v>
      </c>
      <c r="E36" s="35">
        <v>100000</v>
      </c>
      <c r="F36" s="73">
        <v>0.98773074448833686</v>
      </c>
      <c r="G36" s="74">
        <v>100000</v>
      </c>
      <c r="H36" s="73">
        <v>1.0158087168858814</v>
      </c>
      <c r="I36" s="74"/>
      <c r="J36" s="73">
        <v>1.1144936542893142</v>
      </c>
      <c r="K36" s="74"/>
      <c r="L36" s="66">
        <v>1.1730117703794187</v>
      </c>
      <c r="M36" s="67"/>
      <c r="N36" s="68"/>
      <c r="O36" s="71" t="s">
        <v>162</v>
      </c>
      <c r="P36" s="41">
        <f>M36+K36+I36+E36+G36</f>
        <v>200000</v>
      </c>
      <c r="Q36" s="70"/>
    </row>
    <row r="37" spans="2:17" x14ac:dyDescent="0.2">
      <c r="B37" s="36"/>
      <c r="C37" s="47">
        <f>basic_info!$D$5+1</f>
        <v>2013</v>
      </c>
      <c r="D37" s="76"/>
      <c r="E37" s="75"/>
      <c r="F37" s="69">
        <v>0.97905324764549728</v>
      </c>
      <c r="G37" s="79"/>
      <c r="H37" s="61">
        <v>1.004390797006619</v>
      </c>
      <c r="I37" s="62"/>
      <c r="J37" s="61">
        <v>1.1358391365953338</v>
      </c>
      <c r="K37" s="62">
        <v>300000</v>
      </c>
      <c r="L37" s="61">
        <v>1.114568040022595</v>
      </c>
      <c r="M37" s="62"/>
      <c r="N37" s="61">
        <v>1.101552478630456</v>
      </c>
      <c r="O37" s="86"/>
      <c r="P37" s="63">
        <f>O37+M37+K37+I37+G37</f>
        <v>300000</v>
      </c>
    </row>
    <row r="38" spans="2:17" x14ac:dyDescent="0.2">
      <c r="B38" s="36"/>
      <c r="C38" s="47">
        <f>basic_info!$D$5+2</f>
        <v>2014</v>
      </c>
      <c r="D38" s="76"/>
      <c r="E38" s="75"/>
      <c r="F38" s="75"/>
      <c r="G38" s="75"/>
      <c r="H38" s="69">
        <v>0.92318454591929922</v>
      </c>
      <c r="I38" s="79">
        <v>200000</v>
      </c>
      <c r="J38" s="61">
        <v>1.0932932166591005</v>
      </c>
      <c r="K38" s="62"/>
      <c r="L38" s="61">
        <v>1.0797159727823964</v>
      </c>
      <c r="M38" s="62"/>
      <c r="N38" s="61">
        <v>1.0226750667195514</v>
      </c>
      <c r="O38" s="86"/>
      <c r="P38" s="63">
        <f>O38+M38+K38+I38</f>
        <v>200000</v>
      </c>
    </row>
    <row r="39" spans="2:17" x14ac:dyDescent="0.2">
      <c r="B39" s="36"/>
      <c r="C39" s="47">
        <f>basic_info!$D$5+3</f>
        <v>2015</v>
      </c>
      <c r="D39" s="76"/>
      <c r="E39" s="75"/>
      <c r="F39" s="75"/>
      <c r="G39" s="75"/>
      <c r="H39" s="75"/>
      <c r="I39" s="75"/>
      <c r="J39" s="69">
        <v>1.023757758513093</v>
      </c>
      <c r="K39" s="79"/>
      <c r="L39" s="61">
        <v>1.057380701748182</v>
      </c>
      <c r="M39" s="62"/>
      <c r="N39" s="61">
        <v>1.0326319130993309</v>
      </c>
      <c r="O39" s="86"/>
      <c r="P39" s="63">
        <f>O39+M39+K39</f>
        <v>0</v>
      </c>
    </row>
    <row r="40" spans="2:17" x14ac:dyDescent="0.2">
      <c r="B40" s="36"/>
      <c r="C40" s="47">
        <f>basic_info!$D$5+4</f>
        <v>2016</v>
      </c>
      <c r="D40" s="76"/>
      <c r="E40" s="75"/>
      <c r="F40" s="75"/>
      <c r="G40" s="75"/>
      <c r="H40" s="75"/>
      <c r="I40" s="75"/>
      <c r="J40" s="75"/>
      <c r="K40" s="75"/>
      <c r="L40" s="69">
        <v>0.96417330466210838</v>
      </c>
      <c r="M40" s="79"/>
      <c r="N40" s="61">
        <v>1.0068793309599473</v>
      </c>
      <c r="O40" s="86"/>
      <c r="P40" s="63">
        <f>O40+M40</f>
        <v>0</v>
      </c>
    </row>
    <row r="41" spans="2:17" x14ac:dyDescent="0.2">
      <c r="B41" s="37"/>
      <c r="C41" s="72">
        <f>basic_info!$D$5+5</f>
        <v>2017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0.98247019918262957</v>
      </c>
      <c r="O41" s="86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7">
        <v>8.3333333333333321</v>
      </c>
      <c r="D47" s="97">
        <v>8.3333333333333321</v>
      </c>
      <c r="E47" s="97">
        <v>8.3333333333333321</v>
      </c>
      <c r="F47" s="97">
        <v>8.3333333333333321</v>
      </c>
      <c r="G47" s="97">
        <v>8.3333333333333321</v>
      </c>
      <c r="H47" s="97">
        <v>8.3333333333333321</v>
      </c>
      <c r="I47" s="97">
        <v>8.3333333333333321</v>
      </c>
      <c r="J47" s="97">
        <v>8.3333333333333321</v>
      </c>
      <c r="K47" s="97">
        <v>8.3333333333333321</v>
      </c>
      <c r="L47" s="97">
        <v>8.3333333333333321</v>
      </c>
      <c r="M47" s="97">
        <v>8.3333333333333321</v>
      </c>
      <c r="N47" s="97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7">
        <v>8.3333333333333321</v>
      </c>
      <c r="D48" s="97">
        <v>8.3333333333333321</v>
      </c>
      <c r="E48" s="97">
        <v>8.3333333333333321</v>
      </c>
      <c r="F48" s="97">
        <v>8.3333333333333321</v>
      </c>
      <c r="G48" s="97">
        <v>8.3333333333333321</v>
      </c>
      <c r="H48" s="97">
        <v>8.3333333333333321</v>
      </c>
      <c r="I48" s="97">
        <v>8.3333333333333321</v>
      </c>
      <c r="J48" s="97">
        <v>8.3333333333333321</v>
      </c>
      <c r="K48" s="97">
        <v>8.3333333333333321</v>
      </c>
      <c r="L48" s="97">
        <v>8.3333333333333321</v>
      </c>
      <c r="M48" s="97">
        <v>8.3333333333333321</v>
      </c>
      <c r="N48" s="97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8">
        <v>6.1514075115444777</v>
      </c>
      <c r="D6" s="98">
        <v>0</v>
      </c>
      <c r="E6" s="98">
        <v>16.468523285245563</v>
      </c>
      <c r="F6" s="98">
        <v>20.797427550119647</v>
      </c>
      <c r="G6" s="98">
        <v>56.582641653090313</v>
      </c>
      <c r="H6" s="89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8">
        <v>0</v>
      </c>
      <c r="D7" s="98">
        <v>35.682010557853047</v>
      </c>
      <c r="E7" s="98">
        <v>0</v>
      </c>
      <c r="F7" s="98">
        <v>0</v>
      </c>
      <c r="G7" s="98">
        <v>64.317989442146953</v>
      </c>
      <c r="H7" s="89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8">
        <v>0</v>
      </c>
      <c r="D8" s="98">
        <v>20.933921710948479</v>
      </c>
      <c r="E8" s="98">
        <v>0</v>
      </c>
      <c r="F8" s="98">
        <v>0</v>
      </c>
      <c r="G8" s="98">
        <v>79.066078289051518</v>
      </c>
      <c r="H8" s="89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8">
        <v>0</v>
      </c>
      <c r="D9" s="98">
        <v>20.933921710948479</v>
      </c>
      <c r="E9" s="98">
        <v>0</v>
      </c>
      <c r="F9" s="98">
        <v>0</v>
      </c>
      <c r="G9" s="98">
        <v>79.066078289051518</v>
      </c>
      <c r="H9" s="89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8">
        <v>6.1514075115444777</v>
      </c>
      <c r="D10" s="98">
        <v>0</v>
      </c>
      <c r="E10" s="98">
        <v>16.468523285245563</v>
      </c>
      <c r="F10" s="98">
        <v>20.797427550119647</v>
      </c>
      <c r="G10" s="98">
        <v>56.582641653090313</v>
      </c>
      <c r="H10" s="89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9">
        <v>6.1514075115444777</v>
      </c>
      <c r="D11" s="99">
        <v>0</v>
      </c>
      <c r="E11" s="99">
        <v>16.468523285245563</v>
      </c>
      <c r="F11" s="99">
        <v>20.797427550119647</v>
      </c>
      <c r="G11" s="99">
        <v>56.582641653090313</v>
      </c>
      <c r="H11" s="88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87">
        <v>100</v>
      </c>
      <c r="D19" s="44">
        <f>100-$C$19</f>
        <v>0</v>
      </c>
      <c r="E19" s="87">
        <v>100</v>
      </c>
      <c r="F19" s="44">
        <f>100-$E$19</f>
        <v>0</v>
      </c>
      <c r="G19" s="87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100">
        <v>17.429820386344275</v>
      </c>
      <c r="D27" s="100">
        <v>0</v>
      </c>
      <c r="E27" s="100">
        <v>0</v>
      </c>
      <c r="F27" s="100">
        <v>0</v>
      </c>
      <c r="G27" s="100">
        <v>0</v>
      </c>
      <c r="H27" s="100">
        <v>30.823941594164072</v>
      </c>
      <c r="I27" s="101">
        <v>0</v>
      </c>
      <c r="P27" s="50"/>
      <c r="Q27" s="50"/>
      <c r="R27" s="50"/>
    </row>
    <row r="28" spans="2:18" x14ac:dyDescent="0.2">
      <c r="B28" s="45" t="s">
        <v>59</v>
      </c>
      <c r="C28" s="100">
        <v>82.570179613655725</v>
      </c>
      <c r="D28" s="100">
        <v>100</v>
      </c>
      <c r="E28" s="100">
        <v>100</v>
      </c>
      <c r="F28" s="100">
        <v>100</v>
      </c>
      <c r="G28" s="100">
        <v>100</v>
      </c>
      <c r="H28" s="100">
        <v>69.176058405835931</v>
      </c>
      <c r="I28" s="101">
        <v>100</v>
      </c>
      <c r="P28" s="50"/>
      <c r="Q28" s="50"/>
      <c r="R28" s="50"/>
    </row>
    <row r="29" spans="2:18" x14ac:dyDescent="0.2">
      <c r="B29" s="45" t="s">
        <v>150</v>
      </c>
      <c r="C29" s="90">
        <f>SUM($C$27:$C$28)</f>
        <v>100</v>
      </c>
      <c r="D29" s="90">
        <f>SUM($D$27:$D$28)</f>
        <v>100</v>
      </c>
      <c r="E29" s="90">
        <f>SUM($E$27:$E$28)</f>
        <v>100</v>
      </c>
      <c r="F29" s="90">
        <f>SUM($F$27:$F$28)</f>
        <v>100</v>
      </c>
      <c r="G29" s="90">
        <f>SUM($G$27:$G$28)</f>
        <v>100</v>
      </c>
      <c r="H29" s="90">
        <f>SUM($H$27:$H$28)</f>
        <v>100</v>
      </c>
      <c r="I29" s="88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103">
        <v>36.197094968959199</v>
      </c>
      <c r="D36" s="103">
        <v>36.19709496895922</v>
      </c>
      <c r="E36" s="103">
        <v>36.19709496895922</v>
      </c>
      <c r="F36" s="103">
        <v>36.19709496895922</v>
      </c>
      <c r="G36" s="103">
        <v>36.19709496895922</v>
      </c>
      <c r="H36" s="103">
        <v>36.19709496895922</v>
      </c>
      <c r="I36" s="103">
        <v>36.19709496895922</v>
      </c>
      <c r="J36" s="103">
        <v>36.19709496895922</v>
      </c>
      <c r="K36" s="103">
        <v>36.19709496895922</v>
      </c>
      <c r="L36" s="103">
        <v>36.19709496895922</v>
      </c>
      <c r="M36" s="103">
        <v>36.19709496895922</v>
      </c>
      <c r="N36" s="105">
        <v>36.19709496895922</v>
      </c>
    </row>
    <row r="37" spans="2:14" x14ac:dyDescent="0.2">
      <c r="B37" s="45" t="s">
        <v>59</v>
      </c>
      <c r="C37" s="104">
        <v>30.256926631890067</v>
      </c>
      <c r="D37" s="104">
        <v>30.256926631890067</v>
      </c>
      <c r="E37" s="104">
        <v>30.256926631890067</v>
      </c>
      <c r="F37" s="104">
        <v>30.256926631890067</v>
      </c>
      <c r="G37" s="104">
        <v>30.256926631890067</v>
      </c>
      <c r="H37" s="104">
        <v>30.256926631890067</v>
      </c>
      <c r="I37" s="104">
        <v>30.256926631890067</v>
      </c>
      <c r="J37" s="104">
        <v>30.256926631890067</v>
      </c>
      <c r="K37" s="104">
        <v>30.256926631890067</v>
      </c>
      <c r="L37" s="104">
        <v>30.256926631890067</v>
      </c>
      <c r="M37" s="104">
        <v>30.256926631890067</v>
      </c>
      <c r="N37" s="102">
        <v>30.256926631890067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106">
        <v>1.6284643249496216</v>
      </c>
      <c r="E6" s="106">
        <v>2.7242247814926221</v>
      </c>
      <c r="F6" s="106">
        <v>1.6806955967256214</v>
      </c>
      <c r="G6" s="106">
        <v>1.8597450265128221</v>
      </c>
      <c r="H6" s="106">
        <v>3.1548948959889298</v>
      </c>
      <c r="I6" s="106">
        <v>1.2409342503965246</v>
      </c>
      <c r="J6" s="106">
        <v>2.0309838195168535</v>
      </c>
      <c r="K6" s="106">
        <v>3.3870802040400823</v>
      </c>
      <c r="L6" s="106">
        <v>2.9508555154463263</v>
      </c>
      <c r="M6" s="106">
        <v>2.0292560842424674</v>
      </c>
      <c r="N6" s="106">
        <v>2.763351161694374</v>
      </c>
      <c r="O6" s="106">
        <v>2.4226850782142764</v>
      </c>
    </row>
    <row r="7" spans="2:15" x14ac:dyDescent="0.2">
      <c r="C7" s="36" t="s">
        <v>127</v>
      </c>
      <c r="D7" s="106">
        <v>1.7931521433969135</v>
      </c>
      <c r="E7" s="106">
        <v>2.8056188298390596</v>
      </c>
      <c r="F7" s="106">
        <v>1.7892040336468997</v>
      </c>
      <c r="G7" s="106">
        <v>3.0940286835054183</v>
      </c>
      <c r="H7" s="106">
        <v>1.9040023888292472</v>
      </c>
      <c r="I7" s="106">
        <v>2.0537730625605408</v>
      </c>
      <c r="J7" s="106">
        <v>3.3756163964371431</v>
      </c>
      <c r="K7" s="106">
        <v>1.1868449844272724</v>
      </c>
      <c r="L7" s="106">
        <v>1.7825235770692176</v>
      </c>
      <c r="M7" s="106">
        <v>2.916631755261506</v>
      </c>
      <c r="N7" s="106">
        <v>2.0423186052488447</v>
      </c>
      <c r="O7" s="106">
        <v>2.7995142785180671</v>
      </c>
    </row>
    <row r="8" spans="2:15" x14ac:dyDescent="0.2">
      <c r="C8" s="36" t="s">
        <v>128</v>
      </c>
      <c r="D8" s="106">
        <v>3.5874729971787969</v>
      </c>
      <c r="E8" s="106">
        <v>1.0342020329880248</v>
      </c>
      <c r="F8" s="106">
        <v>1.1127603919218365</v>
      </c>
      <c r="G8" s="106">
        <v>2.8210722909742483</v>
      </c>
      <c r="H8" s="106">
        <v>2.0573242017524942</v>
      </c>
      <c r="I8" s="106">
        <v>1.6591300784146708</v>
      </c>
      <c r="J8" s="106">
        <v>3.1412032543510642</v>
      </c>
      <c r="K8" s="106">
        <v>2.9960826372588869</v>
      </c>
      <c r="L8" s="106">
        <v>2.6301267007548299</v>
      </c>
      <c r="M8" s="106">
        <v>2.92457174621833</v>
      </c>
      <c r="N8" s="106">
        <v>1.6056662110596325</v>
      </c>
      <c r="O8" s="106">
        <v>2.9834222326038522</v>
      </c>
    </row>
    <row r="9" spans="2:15" x14ac:dyDescent="0.2">
      <c r="C9" s="36" t="s">
        <v>129</v>
      </c>
      <c r="D9" s="106">
        <v>1.8243449654659578</v>
      </c>
      <c r="E9" s="106">
        <v>2.4151404995588037</v>
      </c>
      <c r="F9" s="106">
        <v>1.7687981198106397</v>
      </c>
      <c r="G9" s="106">
        <v>1.9219410285180247</v>
      </c>
      <c r="H9" s="106">
        <v>1.4476229289084173</v>
      </c>
      <c r="I9" s="106">
        <v>1.8403932590232142</v>
      </c>
      <c r="J9" s="106">
        <v>3.2448463445244489</v>
      </c>
      <c r="K9" s="106">
        <v>2.533744069734853</v>
      </c>
      <c r="L9" s="106">
        <v>2.614163815247589</v>
      </c>
      <c r="M9" s="106">
        <v>1.8284969519033472</v>
      </c>
      <c r="N9" s="106">
        <v>1.5683561002037485</v>
      </c>
      <c r="O9" s="106">
        <v>1.3719669793855298</v>
      </c>
    </row>
    <row r="10" spans="2:15" x14ac:dyDescent="0.2">
      <c r="C10" s="36" t="s">
        <v>130</v>
      </c>
      <c r="D10" s="106">
        <v>3.4808425369178941</v>
      </c>
      <c r="E10" s="106">
        <v>2.460929693673136</v>
      </c>
      <c r="F10" s="106">
        <v>1.4410894651295416</v>
      </c>
      <c r="G10" s="106">
        <v>1.5917550820916304</v>
      </c>
      <c r="H10" s="106">
        <v>1.579657350804053</v>
      </c>
      <c r="I10" s="106">
        <v>1.0106489010577715</v>
      </c>
      <c r="J10" s="106">
        <v>1.9922670806335705</v>
      </c>
      <c r="K10" s="106">
        <v>3.0744887629151338</v>
      </c>
      <c r="L10" s="106">
        <v>2.3374387880927863</v>
      </c>
      <c r="M10" s="106">
        <v>1.8769422185843114</v>
      </c>
      <c r="N10" s="106">
        <v>3.1375183713303429</v>
      </c>
      <c r="O10" s="106">
        <v>3.0335880964065258</v>
      </c>
    </row>
    <row r="11" spans="2:15" x14ac:dyDescent="0.2">
      <c r="C11" s="36" t="s">
        <v>131</v>
      </c>
      <c r="D11" s="106">
        <v>1.6643585212324372</v>
      </c>
      <c r="E11" s="106">
        <v>3.5482338836826708</v>
      </c>
      <c r="F11" s="106">
        <v>2.5068871517707016</v>
      </c>
      <c r="G11" s="106">
        <v>1.9065789753819664</v>
      </c>
      <c r="H11" s="106">
        <v>1.9855471554948874</v>
      </c>
      <c r="I11" s="106">
        <v>2.6336232214952062</v>
      </c>
      <c r="J11" s="106">
        <v>3.0248124407000052</v>
      </c>
      <c r="K11" s="106">
        <v>2.8344816402446789</v>
      </c>
      <c r="L11" s="106">
        <v>1.2511368144608157</v>
      </c>
      <c r="M11" s="106">
        <v>3.3466854873650083</v>
      </c>
      <c r="N11" s="106">
        <v>3.3383497452928741</v>
      </c>
      <c r="O11" s="106">
        <v>3.0636050863816924</v>
      </c>
    </row>
    <row r="12" spans="2:15" x14ac:dyDescent="0.2">
      <c r="C12" s="37" t="s">
        <v>132</v>
      </c>
      <c r="D12" s="106">
        <v>1.9454057783514709</v>
      </c>
      <c r="E12" s="106">
        <v>3.2050495647943253</v>
      </c>
      <c r="F12" s="106">
        <v>2.8657553801361355</v>
      </c>
      <c r="G12" s="106">
        <v>1.1096924951190963</v>
      </c>
      <c r="H12" s="106">
        <v>2.895164040956272</v>
      </c>
      <c r="I12" s="106">
        <v>1.5390971168179037</v>
      </c>
      <c r="J12" s="106">
        <v>1.6975308634610957</v>
      </c>
      <c r="K12" s="106">
        <v>3.1279505107717394</v>
      </c>
      <c r="L12" s="106">
        <v>1.9148748443363868</v>
      </c>
      <c r="M12" s="106">
        <v>2.7540287555187155</v>
      </c>
      <c r="N12" s="106">
        <v>1.1560632676930991</v>
      </c>
      <c r="O12" s="106">
        <v>2.6779990068199004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107">
        <v>2.8758986277107197</v>
      </c>
      <c r="E15" s="107">
        <v>2.1485872090383134</v>
      </c>
      <c r="F15" s="107">
        <v>1.8590310788306241</v>
      </c>
      <c r="G15" s="107">
        <v>3.4203236126330152</v>
      </c>
      <c r="H15" s="107">
        <v>2.9841175509450228</v>
      </c>
      <c r="I15" s="107">
        <v>2.5555917441737011</v>
      </c>
      <c r="J15" s="107">
        <v>1.7023290269566207</v>
      </c>
      <c r="K15" s="107">
        <v>3.3539332956499175</v>
      </c>
      <c r="L15" s="107">
        <v>3.062134859442105</v>
      </c>
      <c r="M15" s="107">
        <v>1.8361278972492108</v>
      </c>
      <c r="N15" s="107">
        <v>1.5176686697454846</v>
      </c>
      <c r="O15" s="107">
        <v>3.34298111821882</v>
      </c>
    </row>
    <row r="16" spans="2:15" x14ac:dyDescent="0.2">
      <c r="C16" s="36" t="s">
        <v>127</v>
      </c>
      <c r="D16" s="107">
        <v>3.5583092885859258</v>
      </c>
      <c r="E16" s="107">
        <v>1.8927842701650985</v>
      </c>
      <c r="F16" s="107">
        <v>2.4812850831364881</v>
      </c>
      <c r="G16" s="107">
        <v>3.5012160077103598</v>
      </c>
      <c r="H16" s="107">
        <v>2.8193031160746527</v>
      </c>
      <c r="I16" s="107">
        <v>3.1950534933851316</v>
      </c>
      <c r="J16" s="107">
        <v>2.1703074698566986</v>
      </c>
      <c r="K16" s="107">
        <v>3.2811106774997985</v>
      </c>
      <c r="L16" s="107">
        <v>1.6552598140166244</v>
      </c>
      <c r="M16" s="107">
        <v>3.0036856701014272</v>
      </c>
      <c r="N16" s="107">
        <v>3.3372544840763236</v>
      </c>
      <c r="O16" s="107">
        <v>1.973764944938847</v>
      </c>
    </row>
    <row r="17" spans="2:15" x14ac:dyDescent="0.2">
      <c r="C17" s="36" t="s">
        <v>128</v>
      </c>
      <c r="D17" s="107">
        <v>1.0886282225942139</v>
      </c>
      <c r="E17" s="107">
        <v>1.1600712064529226</v>
      </c>
      <c r="F17" s="107">
        <v>3.3533659635487463</v>
      </c>
      <c r="G17" s="107">
        <v>1.8555177351028547</v>
      </c>
      <c r="H17" s="107">
        <v>1.2200775104222834</v>
      </c>
      <c r="I17" s="107">
        <v>1.3964692121639091</v>
      </c>
      <c r="J17" s="107">
        <v>1.2520863415606078</v>
      </c>
      <c r="K17" s="107">
        <v>1.3693946877378025</v>
      </c>
      <c r="L17" s="107">
        <v>2.1969199661690522</v>
      </c>
      <c r="M17" s="107">
        <v>1.5083102035696418</v>
      </c>
      <c r="N17" s="107">
        <v>2.1806488556026933</v>
      </c>
      <c r="O17" s="107">
        <v>3.5188508961692033</v>
      </c>
    </row>
    <row r="18" spans="2:15" x14ac:dyDescent="0.2">
      <c r="C18" s="36" t="s">
        <v>129</v>
      </c>
      <c r="D18" s="107">
        <v>1.2879648656187777</v>
      </c>
      <c r="E18" s="107">
        <v>1.2548381627448055</v>
      </c>
      <c r="F18" s="107">
        <v>3.576072614047634</v>
      </c>
      <c r="G18" s="107">
        <v>2.2417700307488637</v>
      </c>
      <c r="H18" s="107">
        <v>1.8986693415377955</v>
      </c>
      <c r="I18" s="107">
        <v>2.4235496381535215</v>
      </c>
      <c r="J18" s="107">
        <v>1.5007934307074771</v>
      </c>
      <c r="K18" s="107">
        <v>2.5159095867424162</v>
      </c>
      <c r="L18" s="107">
        <v>2.0871364483079802</v>
      </c>
      <c r="M18" s="107">
        <v>1.8742736597656173</v>
      </c>
      <c r="N18" s="107">
        <v>1.3719708115358566</v>
      </c>
      <c r="O18" s="107">
        <v>2.4585461860196896</v>
      </c>
    </row>
    <row r="19" spans="2:15" x14ac:dyDescent="0.2">
      <c r="C19" s="36" t="s">
        <v>130</v>
      </c>
      <c r="D19" s="107">
        <v>2.1439261685786128</v>
      </c>
      <c r="E19" s="107">
        <v>2.5345093781117796</v>
      </c>
      <c r="F19" s="107">
        <v>1.9545637215323031</v>
      </c>
      <c r="G19" s="107">
        <v>1.7368034858190051</v>
      </c>
      <c r="H19" s="107">
        <v>3.0037950506020352</v>
      </c>
      <c r="I19" s="107">
        <v>2.9602532887074067</v>
      </c>
      <c r="J19" s="107">
        <v>3.1750007193482812</v>
      </c>
      <c r="K19" s="107">
        <v>2.4640502528488102</v>
      </c>
      <c r="L19" s="107">
        <v>3.551721592478386</v>
      </c>
      <c r="M19" s="107">
        <v>3.4437516833193333</v>
      </c>
      <c r="N19" s="107">
        <v>1.8454107742842054</v>
      </c>
      <c r="O19" s="107">
        <v>3.5884389276168531</v>
      </c>
    </row>
    <row r="20" spans="2:15" x14ac:dyDescent="0.2">
      <c r="C20" s="36" t="s">
        <v>131</v>
      </c>
      <c r="D20" s="107">
        <v>1.8371289268792343</v>
      </c>
      <c r="E20" s="107">
        <v>2.2671105504219007</v>
      </c>
      <c r="F20" s="107">
        <v>2.1614318364838407</v>
      </c>
      <c r="G20" s="107">
        <v>2.2881756973848599</v>
      </c>
      <c r="H20" s="107">
        <v>1.7258754475332574</v>
      </c>
      <c r="I20" s="107">
        <v>3.0339889023099489</v>
      </c>
      <c r="J20" s="107">
        <v>3.1282309356593516</v>
      </c>
      <c r="K20" s="107">
        <v>1.697904783666953</v>
      </c>
      <c r="L20" s="107">
        <v>2.8826631733179795</v>
      </c>
      <c r="M20" s="107">
        <v>3.5290693839195768</v>
      </c>
      <c r="N20" s="107">
        <v>3.0421463191773812</v>
      </c>
      <c r="O20" s="107">
        <v>2.0144114105771704</v>
      </c>
    </row>
    <row r="21" spans="2:15" x14ac:dyDescent="0.2">
      <c r="C21" s="37" t="s">
        <v>132</v>
      </c>
      <c r="D21" s="107">
        <v>1.4130645090872613</v>
      </c>
      <c r="E21" s="107">
        <v>1.0161734073702313</v>
      </c>
      <c r="F21" s="107">
        <v>2.5219260197245577</v>
      </c>
      <c r="G21" s="107">
        <v>2.3496398982500155</v>
      </c>
      <c r="H21" s="107">
        <v>1.9912367379659943</v>
      </c>
      <c r="I21" s="107">
        <v>1.2916766947920268</v>
      </c>
      <c r="J21" s="107">
        <v>1.7527914386263777</v>
      </c>
      <c r="K21" s="107">
        <v>1.6983164482910746</v>
      </c>
      <c r="L21" s="107">
        <v>1.226796918322012</v>
      </c>
      <c r="M21" s="107">
        <v>1.3509785488676842</v>
      </c>
      <c r="N21" s="107">
        <v>2.4997923658433252</v>
      </c>
      <c r="O21" s="107">
        <v>1.8053282564547972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108">
        <v>3.5667530466337962</v>
      </c>
      <c r="E24" s="108">
        <v>1.6448275288496985</v>
      </c>
      <c r="F24" s="108">
        <v>1.1193311038885367</v>
      </c>
      <c r="G24" s="108">
        <v>3.2453341333550423</v>
      </c>
      <c r="H24" s="108">
        <v>3.2444084986441237</v>
      </c>
      <c r="I24" s="108">
        <v>1.7261177113665132</v>
      </c>
      <c r="J24" s="108">
        <v>1.9845766876275475</v>
      </c>
      <c r="K24" s="108">
        <v>1.2581126574246437</v>
      </c>
      <c r="L24" s="108">
        <v>1.087418957630049</v>
      </c>
      <c r="M24" s="108">
        <v>2.9787221370118764</v>
      </c>
      <c r="N24" s="108">
        <v>2.0256678925826379</v>
      </c>
      <c r="O24" s="108">
        <v>2.5425985375577795</v>
      </c>
    </row>
    <row r="25" spans="2:15" x14ac:dyDescent="0.2">
      <c r="C25" s="36" t="s">
        <v>127</v>
      </c>
      <c r="D25" s="108">
        <v>3.4045136811396643</v>
      </c>
      <c r="E25" s="108">
        <v>3.2464929648757277</v>
      </c>
      <c r="F25" s="108">
        <v>2.7929670469179242</v>
      </c>
      <c r="G25" s="108">
        <v>2.5107688302892299</v>
      </c>
      <c r="H25" s="108">
        <v>3.2677784221445041</v>
      </c>
      <c r="I25" s="108">
        <v>2.4877855123499168</v>
      </c>
      <c r="J25" s="108">
        <v>3.2206148277448392</v>
      </c>
      <c r="K25" s="108">
        <v>3.4521555602125868</v>
      </c>
      <c r="L25" s="108">
        <v>2.2226747043873303</v>
      </c>
      <c r="M25" s="108">
        <v>1.8828766414830844</v>
      </c>
      <c r="N25" s="108">
        <v>1.1808983172615977</v>
      </c>
      <c r="O25" s="108">
        <v>1.979165024878287</v>
      </c>
    </row>
    <row r="26" spans="2:15" x14ac:dyDescent="0.2">
      <c r="C26" s="36" t="s">
        <v>128</v>
      </c>
      <c r="D26" s="108">
        <v>1.5868329156286829</v>
      </c>
      <c r="E26" s="108">
        <v>1.6895564373159813</v>
      </c>
      <c r="F26" s="108">
        <v>3.2917375756619767</v>
      </c>
      <c r="G26" s="108">
        <v>2.5339228778575063</v>
      </c>
      <c r="H26" s="108">
        <v>2.8629074468092854</v>
      </c>
      <c r="I26" s="108">
        <v>2.0939057086818029</v>
      </c>
      <c r="J26" s="108">
        <v>2.7062926578016944</v>
      </c>
      <c r="K26" s="108">
        <v>3.5018661998552569</v>
      </c>
      <c r="L26" s="108">
        <v>1.4221313929046004</v>
      </c>
      <c r="M26" s="108">
        <v>2.4771945124973502</v>
      </c>
      <c r="N26" s="108">
        <v>3.5259470847056078</v>
      </c>
      <c r="O26" s="108">
        <v>2.0354784431450708</v>
      </c>
    </row>
    <row r="27" spans="2:15" x14ac:dyDescent="0.2">
      <c r="C27" s="36" t="s">
        <v>129</v>
      </c>
      <c r="D27" s="108">
        <v>2.0212063540268494</v>
      </c>
      <c r="E27" s="108">
        <v>1.7384548886175213</v>
      </c>
      <c r="F27" s="108">
        <v>3.4673425668702627</v>
      </c>
      <c r="G27" s="108">
        <v>1.1543106117402335</v>
      </c>
      <c r="H27" s="108">
        <v>1.3480756654465331</v>
      </c>
      <c r="I27" s="108">
        <v>3.381226950063045</v>
      </c>
      <c r="J27" s="108">
        <v>1.6716021681548301</v>
      </c>
      <c r="K27" s="108">
        <v>2.4250663352140283</v>
      </c>
      <c r="L27" s="108">
        <v>3.3524618535408206</v>
      </c>
      <c r="M27" s="108">
        <v>2.1159351897983454</v>
      </c>
      <c r="N27" s="108">
        <v>1.209806155860305</v>
      </c>
      <c r="O27" s="108">
        <v>3.1579907561881799</v>
      </c>
    </row>
    <row r="28" spans="2:15" x14ac:dyDescent="0.2">
      <c r="C28" s="36" t="s">
        <v>130</v>
      </c>
      <c r="D28" s="108">
        <v>1.6933560993819565</v>
      </c>
      <c r="E28" s="108">
        <v>3.5010032490200285</v>
      </c>
      <c r="F28" s="108">
        <v>3.0926370576350797</v>
      </c>
      <c r="G28" s="108">
        <v>1.4901187805583209</v>
      </c>
      <c r="H28" s="108">
        <v>1.6425426931331866</v>
      </c>
      <c r="I28" s="108">
        <v>2.166457813000779</v>
      </c>
      <c r="J28" s="108">
        <v>1.4596018299611271</v>
      </c>
      <c r="K28" s="108">
        <v>2.5072763560010505</v>
      </c>
      <c r="L28" s="108">
        <v>3.3394908418368638</v>
      </c>
      <c r="M28" s="108">
        <v>3.4989698235779185</v>
      </c>
      <c r="N28" s="108">
        <v>3.0231802099608416</v>
      </c>
      <c r="O28" s="108">
        <v>2.0938015437423845</v>
      </c>
    </row>
    <row r="29" spans="2:15" x14ac:dyDescent="0.2">
      <c r="C29" s="36" t="s">
        <v>131</v>
      </c>
      <c r="D29" s="108">
        <v>2.5309053453804466</v>
      </c>
      <c r="E29" s="108">
        <v>3.5119094652633041</v>
      </c>
      <c r="F29" s="108">
        <v>1.0881085774921988</v>
      </c>
      <c r="G29" s="108">
        <v>1.7272262773583029</v>
      </c>
      <c r="H29" s="108">
        <v>2.0024855748567498</v>
      </c>
      <c r="I29" s="108">
        <v>1.8050779529707386</v>
      </c>
      <c r="J29" s="108">
        <v>2.6110309239882796</v>
      </c>
      <c r="K29" s="108">
        <v>1.7411886341923797</v>
      </c>
      <c r="L29" s="108">
        <v>3.0553377682001099</v>
      </c>
      <c r="M29" s="108">
        <v>3.5301535397533317</v>
      </c>
      <c r="N29" s="108">
        <v>2.00475185670496</v>
      </c>
      <c r="O29" s="108">
        <v>2.4624083807681298</v>
      </c>
    </row>
    <row r="30" spans="2:15" x14ac:dyDescent="0.2">
      <c r="C30" s="37" t="s">
        <v>132</v>
      </c>
      <c r="D30" s="108">
        <v>2.8045649168004454</v>
      </c>
      <c r="E30" s="108">
        <v>2.5702535220499105</v>
      </c>
      <c r="F30" s="108">
        <v>1.6193000459941473</v>
      </c>
      <c r="G30" s="108">
        <v>1.3047852019043567</v>
      </c>
      <c r="H30" s="108">
        <v>2.1417158868592727</v>
      </c>
      <c r="I30" s="108">
        <v>2.2885070495109527</v>
      </c>
      <c r="J30" s="108">
        <v>2.7912444265768768</v>
      </c>
      <c r="K30" s="108">
        <v>1.4946191562933582</v>
      </c>
      <c r="L30" s="108">
        <v>1.8283426266891163</v>
      </c>
      <c r="M30" s="108">
        <v>2.1655325613269389</v>
      </c>
      <c r="N30" s="108">
        <v>2.3223255885253797</v>
      </c>
      <c r="O30" s="108">
        <v>1.5938679107743476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109">
        <v>2.9253876195463602</v>
      </c>
      <c r="E33" s="109">
        <v>1.5503155601549776</v>
      </c>
      <c r="F33" s="109">
        <v>2.1986485273411871</v>
      </c>
      <c r="G33" s="109">
        <v>1.233534510797351</v>
      </c>
      <c r="H33" s="109">
        <v>1.1173994486602796</v>
      </c>
      <c r="I33" s="109">
        <v>2.0632151495504876</v>
      </c>
      <c r="J33" s="109">
        <v>2.1074787208759105</v>
      </c>
      <c r="K33" s="109">
        <v>2.7370849218100943</v>
      </c>
      <c r="L33" s="109">
        <v>2.5173360669469744</v>
      </c>
      <c r="M33" s="109">
        <v>2.7560648151706717</v>
      </c>
      <c r="N33" s="109">
        <v>1.687051433584279</v>
      </c>
      <c r="O33" s="109">
        <v>2.8725684728809564</v>
      </c>
    </row>
    <row r="34" spans="3:15" x14ac:dyDescent="0.2">
      <c r="C34" s="36" t="s">
        <v>127</v>
      </c>
      <c r="D34" s="109">
        <v>3.4755658772900575</v>
      </c>
      <c r="E34" s="109">
        <v>2.8261677221736221</v>
      </c>
      <c r="F34" s="109">
        <v>1.2017816272553852</v>
      </c>
      <c r="G34" s="109">
        <v>3.461973336474756</v>
      </c>
      <c r="H34" s="109">
        <v>1.1354290380470835</v>
      </c>
      <c r="I34" s="109">
        <v>1.3412247385661653</v>
      </c>
      <c r="J34" s="109">
        <v>2.5574299185584222</v>
      </c>
      <c r="K34" s="109">
        <v>1.9682012771748345</v>
      </c>
      <c r="L34" s="109">
        <v>1.2916126283337137</v>
      </c>
      <c r="M34" s="109">
        <v>3.1942451614977077</v>
      </c>
      <c r="N34" s="109">
        <v>3.4723634520552626</v>
      </c>
      <c r="O34" s="109">
        <v>1.3408812441361457</v>
      </c>
    </row>
    <row r="35" spans="3:15" x14ac:dyDescent="0.2">
      <c r="C35" s="36" t="s">
        <v>128</v>
      </c>
      <c r="D35" s="109">
        <v>1.1907743436916309</v>
      </c>
      <c r="E35" s="109">
        <v>3.4187259831142938</v>
      </c>
      <c r="F35" s="109">
        <v>1.0663523406922426</v>
      </c>
      <c r="G35" s="109">
        <v>3.0792634951865363</v>
      </c>
      <c r="H35" s="109">
        <v>1.795232925247368</v>
      </c>
      <c r="I35" s="109">
        <v>1.7185504934809406</v>
      </c>
      <c r="J35" s="109">
        <v>2.1241064495948558</v>
      </c>
      <c r="K35" s="109">
        <v>2.3455467064853517</v>
      </c>
      <c r="L35" s="109">
        <v>3.1836516501686032</v>
      </c>
      <c r="M35" s="109">
        <v>2.3969586624888723</v>
      </c>
      <c r="N35" s="109">
        <v>1.1821240728394795</v>
      </c>
      <c r="O35" s="109">
        <v>3.2874851215909247</v>
      </c>
    </row>
    <row r="36" spans="3:15" x14ac:dyDescent="0.2">
      <c r="C36" s="36" t="s">
        <v>129</v>
      </c>
      <c r="D36" s="109">
        <v>1.1743689240353161</v>
      </c>
      <c r="E36" s="109">
        <v>1.2914249841711651</v>
      </c>
      <c r="F36" s="109">
        <v>2.345562076713835</v>
      </c>
      <c r="G36" s="109">
        <v>1.1938035726969041</v>
      </c>
      <c r="H36" s="109">
        <v>2.4834950620748693</v>
      </c>
      <c r="I36" s="109">
        <v>2.1311044074640897</v>
      </c>
      <c r="J36" s="109">
        <v>2.4491490317032167</v>
      </c>
      <c r="K36" s="109">
        <v>1.9394568791621216</v>
      </c>
      <c r="L36" s="109">
        <v>2.1097103827497277</v>
      </c>
      <c r="M36" s="109">
        <v>2.2801710273574654</v>
      </c>
      <c r="N36" s="109">
        <v>2.3122109051767579</v>
      </c>
      <c r="O36" s="109">
        <v>2.6569717796566739</v>
      </c>
    </row>
    <row r="37" spans="3:15" x14ac:dyDescent="0.2">
      <c r="C37" s="36" t="s">
        <v>130</v>
      </c>
      <c r="D37" s="109">
        <v>1.2616332682384883</v>
      </c>
      <c r="E37" s="109">
        <v>3.5231551565154766</v>
      </c>
      <c r="F37" s="109">
        <v>1.3467481469738196</v>
      </c>
      <c r="G37" s="109">
        <v>2.952628712292019</v>
      </c>
      <c r="H37" s="109">
        <v>1.7364548997412044</v>
      </c>
      <c r="I37" s="109">
        <v>2.4029595185959511</v>
      </c>
      <c r="J37" s="109">
        <v>1.7690862998250529</v>
      </c>
      <c r="K37" s="109">
        <v>1.3823010266166289</v>
      </c>
      <c r="L37" s="109">
        <v>2.4054338697086601</v>
      </c>
      <c r="M37" s="109">
        <v>3.5065225195556695</v>
      </c>
      <c r="N37" s="109">
        <v>2.4954751481522077</v>
      </c>
      <c r="O37" s="109">
        <v>1.5253309207698342</v>
      </c>
    </row>
    <row r="38" spans="3:15" x14ac:dyDescent="0.2">
      <c r="C38" s="36" t="s">
        <v>131</v>
      </c>
      <c r="D38" s="109">
        <v>2.6276247117263818</v>
      </c>
      <c r="E38" s="109">
        <v>2.1504004306932325</v>
      </c>
      <c r="F38" s="109">
        <v>1.472833940670653</v>
      </c>
      <c r="G38" s="109">
        <v>2.6956753934594233</v>
      </c>
      <c r="H38" s="109">
        <v>2.1517130395197013</v>
      </c>
      <c r="I38" s="109">
        <v>1.8282754263104537</v>
      </c>
      <c r="J38" s="109">
        <v>2.5217645713598063</v>
      </c>
      <c r="K38" s="109">
        <v>2.3805021930773482</v>
      </c>
      <c r="L38" s="109">
        <v>1.1910069252200086</v>
      </c>
      <c r="M38" s="109">
        <v>3.4543094435170545</v>
      </c>
      <c r="N38" s="109">
        <v>1.98119954475052</v>
      </c>
      <c r="O38" s="109">
        <v>1.3685610238597103</v>
      </c>
    </row>
    <row r="39" spans="3:15" x14ac:dyDescent="0.2">
      <c r="C39" s="37" t="s">
        <v>132</v>
      </c>
      <c r="D39" s="109">
        <v>3.0818095139934871</v>
      </c>
      <c r="E39" s="109">
        <v>2.971622413948722</v>
      </c>
      <c r="F39" s="109">
        <v>2.4949578777986701</v>
      </c>
      <c r="G39" s="109">
        <v>3.5716647294532406</v>
      </c>
      <c r="H39" s="109">
        <v>3.5552652963950453</v>
      </c>
      <c r="I39" s="109">
        <v>1.2351552848191742</v>
      </c>
      <c r="J39" s="109">
        <v>2.0807169468218678</v>
      </c>
      <c r="K39" s="109">
        <v>2.6831712109573544</v>
      </c>
      <c r="L39" s="109">
        <v>2.9353824465241987</v>
      </c>
      <c r="M39" s="109">
        <v>1.5871787104009107</v>
      </c>
      <c r="N39" s="109">
        <v>3.5830388837060099</v>
      </c>
      <c r="O39" s="109">
        <v>2.991772055568271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customWidth="1"/>
    <col min="7" max="7" width="2.7109375" customWidth="1"/>
    <col min="8" max="8" width="11.140625" customWidth="1"/>
    <col min="11" max="12" width="4.7109375" customWidth="1"/>
    <col min="18" max="18" width="2.7109375" customWidth="1"/>
    <col min="19" max="19" width="14.7109375" customWidth="1"/>
    <col min="20" max="20" width="16.7109375" customWidth="1"/>
    <col min="21" max="21" width="4.7109375" customWidth="1"/>
  </cols>
  <sheetData>
    <row r="1" spans="1:20" x14ac:dyDescent="0.2">
      <c r="A1" s="191"/>
    </row>
    <row r="2" spans="1:20" ht="15.75" x14ac:dyDescent="0.25">
      <c r="C2" s="192" t="s">
        <v>165</v>
      </c>
      <c r="D2" s="192"/>
      <c r="E2" s="192"/>
      <c r="F2" s="192"/>
      <c r="G2" s="192"/>
      <c r="H2" s="192"/>
    </row>
    <row r="3" spans="1:20" ht="18.75" x14ac:dyDescent="0.25">
      <c r="C3" s="193" t="s">
        <v>413</v>
      </c>
      <c r="D3" s="193"/>
      <c r="E3" s="193"/>
      <c r="F3" s="193"/>
      <c r="G3" s="193"/>
    </row>
    <row r="5" spans="1:20" ht="15.75" x14ac:dyDescent="0.25">
      <c r="A5" s="194" t="s">
        <v>352</v>
      </c>
      <c r="B5" s="195"/>
      <c r="G5" s="196"/>
      <c r="L5" s="194" t="s">
        <v>353</v>
      </c>
      <c r="M5" s="195"/>
      <c r="R5" s="196"/>
    </row>
    <row r="6" spans="1:20" x14ac:dyDescent="0.2">
      <c r="A6" s="197" t="s">
        <v>354</v>
      </c>
      <c r="B6" s="195"/>
      <c r="G6" s="198"/>
      <c r="H6" s="125"/>
      <c r="L6" s="197" t="s">
        <v>355</v>
      </c>
      <c r="M6" s="195"/>
      <c r="S6" s="139"/>
    </row>
    <row r="7" spans="1:20" x14ac:dyDescent="0.2">
      <c r="A7" s="195"/>
      <c r="B7" s="195" t="s">
        <v>356</v>
      </c>
      <c r="G7" s="198"/>
      <c r="H7" s="199">
        <f>SUM(ORA!$D$116:$O$116)</f>
        <v>86651</v>
      </c>
      <c r="L7" s="195"/>
      <c r="M7" s="195" t="s">
        <v>356</v>
      </c>
      <c r="S7" s="200">
        <f>SUM(ORA!$D$127:$O$127)</f>
        <v>309729050.32434022</v>
      </c>
    </row>
    <row r="8" spans="1:20" x14ac:dyDescent="0.2">
      <c r="A8" s="195"/>
      <c r="B8" s="195" t="s">
        <v>357</v>
      </c>
      <c r="G8" s="198"/>
      <c r="H8" s="201">
        <f>SUM(POJ!$D$116:$O$116)</f>
        <v>107498.73682362979</v>
      </c>
      <c r="L8" s="195"/>
      <c r="M8" s="195" t="s">
        <v>357</v>
      </c>
      <c r="S8" s="202">
        <f>SUM(POJ!$D$127:$O$127)</f>
        <v>397622956.87794608</v>
      </c>
    </row>
    <row r="9" spans="1:20" x14ac:dyDescent="0.2">
      <c r="A9" s="195"/>
      <c r="B9" s="195" t="s">
        <v>358</v>
      </c>
      <c r="G9" s="198"/>
      <c r="H9" s="201">
        <f>SUM(ROJ!$D$116:$O$116)</f>
        <v>85073.543730278514</v>
      </c>
      <c r="L9" s="195"/>
      <c r="M9" s="195" t="s">
        <v>358</v>
      </c>
      <c r="S9" s="202">
        <f>SUM(ROJ!$D$127:$O$127)</f>
        <v>310326264.47971261</v>
      </c>
    </row>
    <row r="10" spans="1:20" x14ac:dyDescent="0.2">
      <c r="A10" s="195"/>
      <c r="B10" s="195" t="s">
        <v>359</v>
      </c>
      <c r="G10" s="198"/>
      <c r="H10" s="203">
        <f>SUM(FCOJ!$D$116:$O$116)</f>
        <v>96760.281389077878</v>
      </c>
      <c r="L10" s="195"/>
      <c r="M10" s="195" t="s">
        <v>359</v>
      </c>
      <c r="S10" s="204">
        <f>SUM(FCOJ!$D$127:$O$127)</f>
        <v>321987515.96258759</v>
      </c>
    </row>
    <row r="11" spans="1:20" x14ac:dyDescent="0.2">
      <c r="A11" s="195"/>
      <c r="B11" s="195"/>
      <c r="G11" s="198"/>
      <c r="M11" s="195" t="s">
        <v>360</v>
      </c>
      <c r="T11" s="205">
        <f>SUM($S$7:$S$10)</f>
        <v>1339665787.6445866</v>
      </c>
    </row>
    <row r="12" spans="1:20" x14ac:dyDescent="0.2">
      <c r="A12" s="197" t="s">
        <v>361</v>
      </c>
      <c r="B12" s="195"/>
      <c r="G12" s="198"/>
    </row>
    <row r="13" spans="1:20" x14ac:dyDescent="0.2">
      <c r="A13" s="195"/>
      <c r="B13" s="195" t="s">
        <v>362</v>
      </c>
      <c r="G13" s="198"/>
      <c r="H13" s="206">
        <f>SUM(grove!$C$48:$AX$53)</f>
        <v>445075.67353661172</v>
      </c>
      <c r="L13" s="197" t="s">
        <v>363</v>
      </c>
      <c r="M13" s="195"/>
    </row>
    <row r="14" spans="1:20" x14ac:dyDescent="0.2">
      <c r="A14" s="195"/>
      <c r="B14" s="195" t="s">
        <v>364</v>
      </c>
      <c r="G14" s="198"/>
      <c r="H14" s="199">
        <f>raw_materials!$P$30</f>
        <v>100000</v>
      </c>
      <c r="L14" s="195"/>
      <c r="M14" s="195" t="s">
        <v>365</v>
      </c>
      <c r="S14" s="200">
        <f>SUM(grove!$C$58:$AX$63)</f>
        <v>675420440.65703523</v>
      </c>
    </row>
    <row r="15" spans="1:20" x14ac:dyDescent="0.2">
      <c r="A15" s="195"/>
      <c r="B15" s="195" t="s">
        <v>366</v>
      </c>
      <c r="G15" s="198"/>
      <c r="H15" s="203">
        <f>raw_materials!$P$36</f>
        <v>200000</v>
      </c>
      <c r="L15" s="195"/>
      <c r="M15" s="195" t="s">
        <v>367</v>
      </c>
      <c r="S15" s="202">
        <f>(raw_materials!D30*raw_materials!E30+raw_materials!F30*raw_materials!G30+raw_materials!H30*raw_materials!I30+raw_materials!J30*raw_materials!K30+raw_materials!L30*raw_materials!M30)*2000</f>
        <v>154839585.52241325</v>
      </c>
    </row>
    <row r="16" spans="1:20" x14ac:dyDescent="0.2">
      <c r="A16" s="195"/>
      <c r="B16" s="195" t="s">
        <v>368</v>
      </c>
      <c r="G16" s="198"/>
      <c r="H16" s="207">
        <v>105728.84373556846</v>
      </c>
      <c r="L16" s="195"/>
      <c r="M16" s="195" t="s">
        <v>369</v>
      </c>
      <c r="S16" s="202">
        <f>(raw_materials!D36*raw_materials!E36+raw_materials!F36*raw_materials!G36+raw_materials!H36*raw_materials!I36+raw_materials!J36*raw_materials!K36+raw_materials!L36*raw_materials!M36)*2000</f>
        <v>372347831.3192324</v>
      </c>
    </row>
    <row r="17" spans="1:21" x14ac:dyDescent="0.2">
      <c r="A17" s="195"/>
      <c r="B17" s="195" t="s">
        <v>370</v>
      </c>
      <c r="G17" s="198"/>
      <c r="H17" s="208">
        <v>0</v>
      </c>
      <c r="L17" s="195"/>
      <c r="M17" s="195" t="s">
        <v>371</v>
      </c>
      <c r="S17" s="202">
        <v>161302894.34385017</v>
      </c>
    </row>
    <row r="18" spans="1:21" x14ac:dyDescent="0.2">
      <c r="A18" s="195"/>
      <c r="B18" s="195" t="s">
        <v>372</v>
      </c>
      <c r="G18" s="198"/>
      <c r="H18" s="209">
        <v>99715.519927621586</v>
      </c>
      <c r="L18" s="195"/>
      <c r="M18" s="195" t="s">
        <v>373</v>
      </c>
      <c r="S18" s="204">
        <v>52792133.436217204</v>
      </c>
    </row>
    <row r="19" spans="1:21" x14ac:dyDescent="0.2">
      <c r="A19" s="195"/>
      <c r="B19" s="195" t="s">
        <v>374</v>
      </c>
      <c r="G19" s="198"/>
      <c r="H19" s="208">
        <v>315069.23274665623</v>
      </c>
      <c r="L19" s="195"/>
      <c r="M19" s="195" t="s">
        <v>375</v>
      </c>
      <c r="S19" s="210" t="s">
        <v>376</v>
      </c>
      <c r="T19" s="211">
        <f>SUM($S$14:$S$18)</f>
        <v>1416702885.2787483</v>
      </c>
      <c r="U19" t="s">
        <v>377</v>
      </c>
    </row>
    <row r="20" spans="1:21" x14ac:dyDescent="0.2">
      <c r="A20" s="195"/>
      <c r="B20" s="195" t="s">
        <v>378</v>
      </c>
      <c r="G20" s="198"/>
      <c r="H20" s="203">
        <v>76157.94018003995</v>
      </c>
      <c r="L20" s="195"/>
      <c r="M20" s="195"/>
    </row>
    <row r="21" spans="1:21" x14ac:dyDescent="0.2">
      <c r="A21" s="195"/>
      <c r="B21" s="195"/>
      <c r="G21" s="198"/>
      <c r="L21" s="197" t="s">
        <v>379</v>
      </c>
      <c r="M21" s="195"/>
      <c r="S21" s="139"/>
    </row>
    <row r="22" spans="1:21" x14ac:dyDescent="0.2">
      <c r="A22" s="197" t="s">
        <v>380</v>
      </c>
      <c r="B22" s="195"/>
      <c r="G22" s="198"/>
      <c r="L22" s="195"/>
      <c r="M22" s="195" t="s">
        <v>381</v>
      </c>
      <c r="S22" s="202">
        <v>211457687.47113693</v>
      </c>
    </row>
    <row r="23" spans="1:21" x14ac:dyDescent="0.2">
      <c r="A23" s="195"/>
      <c r="B23" s="195" t="s">
        <v>382</v>
      </c>
      <c r="G23" s="198"/>
      <c r="H23" s="199">
        <f>SUM(raw_materials!$O$31:$O$35)</f>
        <v>0</v>
      </c>
      <c r="L23" s="195"/>
      <c r="M23" s="195" t="s">
        <v>383</v>
      </c>
      <c r="S23" s="202">
        <v>0</v>
      </c>
    </row>
    <row r="24" spans="1:21" x14ac:dyDescent="0.2">
      <c r="A24" s="195"/>
      <c r="B24" s="195" t="s">
        <v>384</v>
      </c>
      <c r="G24" s="198"/>
      <c r="H24" s="203">
        <f>SUM(raw_materials!$O$37:$O$41)</f>
        <v>0</v>
      </c>
      <c r="L24" s="195"/>
      <c r="M24" s="195" t="s">
        <v>385</v>
      </c>
      <c r="S24" s="204">
        <v>64815087.952954024</v>
      </c>
    </row>
    <row r="25" spans="1:21" x14ac:dyDescent="0.2">
      <c r="A25" s="195"/>
      <c r="B25" s="195"/>
      <c r="G25" s="198"/>
      <c r="L25" s="195"/>
      <c r="M25" s="195" t="s">
        <v>386</v>
      </c>
      <c r="S25" s="210" t="s">
        <v>376</v>
      </c>
      <c r="T25" s="211">
        <f>SUM($S$22:$S$24)</f>
        <v>276272775.42409098</v>
      </c>
      <c r="U25" t="s">
        <v>377</v>
      </c>
    </row>
    <row r="26" spans="1:21" x14ac:dyDescent="0.2">
      <c r="A26" s="197" t="s">
        <v>387</v>
      </c>
      <c r="B26" s="195"/>
      <c r="G26" s="198"/>
      <c r="L26" s="195"/>
      <c r="M26" s="195"/>
    </row>
    <row r="27" spans="1:21" x14ac:dyDescent="0.2">
      <c r="A27" s="195"/>
      <c r="B27" s="195" t="s">
        <v>388</v>
      </c>
      <c r="G27" s="198"/>
      <c r="H27" s="199">
        <f>SUMIF(facilities!$C$6:$C$15,"&gt;0",facilities!$C$6:$C$15)</f>
        <v>0</v>
      </c>
      <c r="L27" s="197" t="s">
        <v>389</v>
      </c>
      <c r="M27" s="195"/>
    </row>
    <row r="28" spans="1:21" x14ac:dyDescent="0.2">
      <c r="A28" s="195"/>
      <c r="B28" s="195" t="s">
        <v>390</v>
      </c>
      <c r="G28" s="198"/>
      <c r="H28" s="201">
        <f>SUMIF(facilities!$C$36:$C$106,"&gt;0",facilities!$C$36:$C$106)</f>
        <v>0</v>
      </c>
      <c r="L28" s="195"/>
      <c r="M28" s="195" t="s">
        <v>391</v>
      </c>
      <c r="S28" s="200">
        <v>74160756</v>
      </c>
    </row>
    <row r="29" spans="1:21" x14ac:dyDescent="0.2">
      <c r="A29" s="195"/>
      <c r="B29" s="195" t="s">
        <v>392</v>
      </c>
      <c r="G29" s="198"/>
      <c r="H29" s="201">
        <f>SUMIF(facilities!$C$6:$C$15,"&lt;0",facilities!$C$6:$C$15)</f>
        <v>0</v>
      </c>
      <c r="L29" s="195"/>
      <c r="M29" s="195" t="s">
        <v>393</v>
      </c>
      <c r="S29" s="202">
        <v>31396927.839378465</v>
      </c>
    </row>
    <row r="30" spans="1:21" x14ac:dyDescent="0.2">
      <c r="A30" s="195"/>
      <c r="B30" s="195" t="s">
        <v>394</v>
      </c>
      <c r="G30" s="198"/>
      <c r="H30" s="203">
        <f>SUMIF(facilities!$C$36:$C$106,"&lt;0",facilities!$C$36:$C$106)</f>
        <v>0</v>
      </c>
      <c r="L30" s="195"/>
      <c r="M30" s="195" t="s">
        <v>395</v>
      </c>
      <c r="S30" s="202">
        <v>122001046.28060073</v>
      </c>
    </row>
    <row r="31" spans="1:21" x14ac:dyDescent="0.2">
      <c r="L31" s="195"/>
      <c r="M31" s="195" t="s">
        <v>396</v>
      </c>
      <c r="S31" s="204">
        <f>SUM(ORA!D138:O138)+SUM(POJ!D138:O138)+SUM(ROJ!D138:O138)+SUM(FCOJ!D138:O138)</f>
        <v>312745564.55704457</v>
      </c>
    </row>
    <row r="32" spans="1:21" x14ac:dyDescent="0.2">
      <c r="A32" s="197" t="s">
        <v>397</v>
      </c>
      <c r="B32" s="195"/>
      <c r="G32" s="198"/>
      <c r="L32" s="195"/>
      <c r="M32" s="195" t="s">
        <v>398</v>
      </c>
      <c r="S32" s="127" t="s">
        <v>376</v>
      </c>
      <c r="T32" s="211">
        <f>SUM($S$28:$S$31)</f>
        <v>540304294.67702377</v>
      </c>
      <c r="U32" t="s">
        <v>377</v>
      </c>
    </row>
    <row r="33" spans="1:21" x14ac:dyDescent="0.2">
      <c r="A33" s="195"/>
      <c r="B33" s="195" t="s">
        <v>399</v>
      </c>
      <c r="G33" s="198"/>
      <c r="H33" s="199">
        <f>COUNTIF(facilities!$H$6:$H$15,"=new")</f>
        <v>0</v>
      </c>
      <c r="M33" s="195"/>
    </row>
    <row r="34" spans="1:21" x14ac:dyDescent="0.2">
      <c r="A34" s="195"/>
      <c r="B34" s="195" t="s">
        <v>400</v>
      </c>
      <c r="G34" s="198"/>
      <c r="H34" s="201">
        <f>COUNTIF(facilities!$H$36:$H$106,"=new")</f>
        <v>0</v>
      </c>
      <c r="L34" s="197" t="s">
        <v>401</v>
      </c>
      <c r="M34" s="195"/>
    </row>
    <row r="35" spans="1:21" x14ac:dyDescent="0.2">
      <c r="B35" s="195" t="s">
        <v>18</v>
      </c>
      <c r="H35" s="203">
        <f>SUMIF(facilities!$C$21:$C$30,"&gt;0",facilities!$C$21:$C$30)</f>
        <v>0</v>
      </c>
      <c r="L35" s="195"/>
      <c r="M35" s="195" t="s">
        <v>402</v>
      </c>
      <c r="S35" s="200">
        <v>35085000</v>
      </c>
    </row>
    <row r="36" spans="1:21" x14ac:dyDescent="0.2">
      <c r="L36" s="195"/>
      <c r="M36" s="195" t="s">
        <v>403</v>
      </c>
      <c r="S36" s="202">
        <f>H33*12000000-H38*70/100*12000000</f>
        <v>0</v>
      </c>
    </row>
    <row r="37" spans="1:21" x14ac:dyDescent="0.2">
      <c r="A37" s="197" t="s">
        <v>404</v>
      </c>
      <c r="L37" s="195"/>
      <c r="M37" s="195" t="s">
        <v>405</v>
      </c>
      <c r="S37" s="202">
        <f>H27*8000+H29*70/100*8000</f>
        <v>0</v>
      </c>
    </row>
    <row r="38" spans="1:21" x14ac:dyDescent="0.2">
      <c r="B38" s="195" t="s">
        <v>399</v>
      </c>
      <c r="H38" s="199">
        <f>COUNTIF(facilities!$H$6:$H$15,"=sold")</f>
        <v>0</v>
      </c>
      <c r="L38" s="195"/>
      <c r="M38" s="195" t="s">
        <v>406</v>
      </c>
      <c r="S38" s="202">
        <v>68950000</v>
      </c>
    </row>
    <row r="39" spans="1:21" x14ac:dyDescent="0.2">
      <c r="B39" s="195" t="s">
        <v>400</v>
      </c>
      <c r="H39" s="201">
        <f>COUNTIF(facilities!$H$36:$H$106,"=sold")</f>
        <v>0</v>
      </c>
      <c r="L39" s="195"/>
      <c r="M39" s="195" t="s">
        <v>407</v>
      </c>
      <c r="S39" s="202">
        <f>H34*9000000-H39*80/100*9000000</f>
        <v>0</v>
      </c>
    </row>
    <row r="40" spans="1:21" x14ac:dyDescent="0.2">
      <c r="B40" s="195" t="s">
        <v>18</v>
      </c>
      <c r="H40" s="203">
        <f>-SUMIF(facilities!$C$21:$C$30,"&lt;0",facilities!$C$21:$C$30)</f>
        <v>0</v>
      </c>
      <c r="L40" s="195"/>
      <c r="M40" s="195" t="s">
        <v>408</v>
      </c>
      <c r="S40" s="202">
        <f>H28*6000+H30*80/100*6000</f>
        <v>0</v>
      </c>
    </row>
    <row r="41" spans="1:21" x14ac:dyDescent="0.2">
      <c r="L41" s="195"/>
      <c r="M41" s="195" t="s">
        <v>409</v>
      </c>
      <c r="S41" s="202">
        <v>22460</v>
      </c>
    </row>
    <row r="42" spans="1:21" x14ac:dyDescent="0.2">
      <c r="L42" s="195"/>
      <c r="M42" s="195" t="s">
        <v>410</v>
      </c>
      <c r="S42" s="204">
        <f>H35*100000-H40*60/100*100000</f>
        <v>0</v>
      </c>
    </row>
    <row r="43" spans="1:21" x14ac:dyDescent="0.2">
      <c r="L43" s="195"/>
      <c r="M43" s="195" t="s">
        <v>411</v>
      </c>
      <c r="S43" s="189" t="s">
        <v>376</v>
      </c>
      <c r="T43" s="211">
        <f>SUM($S$35:$S$42)</f>
        <v>104057460</v>
      </c>
      <c r="U43" t="s">
        <v>377</v>
      </c>
    </row>
    <row r="44" spans="1:21" x14ac:dyDescent="0.2">
      <c r="L44" s="195"/>
      <c r="S44" s="125"/>
    </row>
    <row r="45" spans="1:21" ht="14.25" thickBot="1" x14ac:dyDescent="0.3">
      <c r="L45" s="212" t="s">
        <v>412</v>
      </c>
      <c r="M45" s="195"/>
      <c r="T45" s="213">
        <f>$T$11-$T$19-$T$25-$T$32-$T$43</f>
        <v>-997671627.73527646</v>
      </c>
    </row>
    <row r="46" spans="1:21" ht="13.5" thickTop="1" x14ac:dyDescent="0.2">
      <c r="M46" s="195"/>
    </row>
    <row r="316" spans="1:1" x14ac:dyDescent="0.2">
      <c r="A316" s="191"/>
    </row>
    <row r="317" spans="1:1" x14ac:dyDescent="0.2">
      <c r="A317" s="191"/>
    </row>
    <row r="318" spans="1:1" x14ac:dyDescent="0.2">
      <c r="A318" s="191"/>
    </row>
    <row r="319" spans="1:1" x14ac:dyDescent="0.2">
      <c r="A319" s="191"/>
    </row>
    <row r="320" spans="1:1" x14ac:dyDescent="0.2">
      <c r="A320" s="191"/>
    </row>
    <row r="321" spans="1:1" x14ac:dyDescent="0.2">
      <c r="A321" s="191"/>
    </row>
    <row r="322" spans="1:1" x14ac:dyDescent="0.2">
      <c r="A322" s="191"/>
    </row>
    <row r="323" spans="1:1" x14ac:dyDescent="0.2">
      <c r="A323" s="191"/>
    </row>
    <row r="325" spans="1:1" x14ac:dyDescent="0.2">
      <c r="A325" s="191"/>
    </row>
    <row r="326" spans="1:1" x14ac:dyDescent="0.2">
      <c r="A326" s="191"/>
    </row>
    <row r="327" spans="1:1" x14ac:dyDescent="0.2">
      <c r="A327" s="191"/>
    </row>
    <row r="328" spans="1:1" x14ac:dyDescent="0.2">
      <c r="A328" s="191"/>
    </row>
    <row r="329" spans="1:1" x14ac:dyDescent="0.2">
      <c r="A329" s="191"/>
    </row>
    <row r="330" spans="1:1" x14ac:dyDescent="0.2">
      <c r="A330" s="191"/>
    </row>
    <row r="331" spans="1:1" x14ac:dyDescent="0.2">
      <c r="A331" s="191"/>
    </row>
    <row r="332" spans="1:1" x14ac:dyDescent="0.2">
      <c r="A332" s="191"/>
    </row>
    <row r="334" spans="1:1" x14ac:dyDescent="0.2">
      <c r="A334" s="191"/>
    </row>
    <row r="335" spans="1:1" x14ac:dyDescent="0.2">
      <c r="A335" s="191"/>
    </row>
    <row r="336" spans="1:1" x14ac:dyDescent="0.2">
      <c r="A336" s="191"/>
    </row>
    <row r="337" spans="1:1" x14ac:dyDescent="0.2">
      <c r="A337" s="191"/>
    </row>
    <row r="338" spans="1:1" x14ac:dyDescent="0.2">
      <c r="A338" s="191"/>
    </row>
    <row r="339" spans="1:1" x14ac:dyDescent="0.2">
      <c r="A339" s="191"/>
    </row>
    <row r="340" spans="1:1" x14ac:dyDescent="0.2">
      <c r="A340" s="191"/>
    </row>
    <row r="341" spans="1:1" x14ac:dyDescent="0.2">
      <c r="A341" s="191"/>
    </row>
    <row r="343" spans="1:1" x14ac:dyDescent="0.2">
      <c r="A343" s="191"/>
    </row>
    <row r="344" spans="1:1" x14ac:dyDescent="0.2">
      <c r="A344" s="191"/>
    </row>
    <row r="345" spans="1:1" x14ac:dyDescent="0.2">
      <c r="A345" s="191"/>
    </row>
    <row r="346" spans="1:1" x14ac:dyDescent="0.2">
      <c r="A346" s="191"/>
    </row>
    <row r="347" spans="1:1" x14ac:dyDescent="0.2">
      <c r="A347" s="191"/>
    </row>
    <row r="348" spans="1:1" x14ac:dyDescent="0.2">
      <c r="A348" s="191"/>
    </row>
    <row r="349" spans="1:1" x14ac:dyDescent="0.2">
      <c r="A349" s="191"/>
    </row>
    <row r="350" spans="1:1" x14ac:dyDescent="0.2">
      <c r="A350" s="191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customWidth="1"/>
    <col min="2" max="2" width="15.7109375" customWidth="1"/>
  </cols>
  <sheetData>
    <row r="2" spans="2:14" x14ac:dyDescent="0.2">
      <c r="B2" s="1" t="s">
        <v>313</v>
      </c>
    </row>
    <row r="3" spans="2:14" x14ac:dyDescent="0.2">
      <c r="B3" s="118" t="s">
        <v>314</v>
      </c>
    </row>
    <row r="4" spans="2:14" x14ac:dyDescent="0.2">
      <c r="B4" s="184" t="s">
        <v>91</v>
      </c>
      <c r="C4" s="184" t="s">
        <v>92</v>
      </c>
      <c r="D4" s="184" t="s">
        <v>93</v>
      </c>
      <c r="E4" s="184" t="s">
        <v>94</v>
      </c>
      <c r="F4" s="184" t="s">
        <v>95</v>
      </c>
      <c r="G4" s="184" t="s">
        <v>96</v>
      </c>
      <c r="H4" s="184" t="s">
        <v>97</v>
      </c>
      <c r="I4" s="184" t="s">
        <v>98</v>
      </c>
      <c r="J4" s="184" t="s">
        <v>99</v>
      </c>
      <c r="K4" s="184" t="s">
        <v>100</v>
      </c>
      <c r="L4" s="184" t="s">
        <v>101</v>
      </c>
      <c r="M4" s="184" t="s">
        <v>102</v>
      </c>
      <c r="N4" s="184" t="s">
        <v>103</v>
      </c>
    </row>
    <row r="5" spans="2:14" x14ac:dyDescent="0.2">
      <c r="B5" s="185" t="s">
        <v>104</v>
      </c>
      <c r="C5">
        <v>1.1195748617173364</v>
      </c>
      <c r="D5">
        <v>0.90024541248164214</v>
      </c>
      <c r="E5">
        <v>0.69813299428458475</v>
      </c>
      <c r="F5">
        <v>0.6253782613600154</v>
      </c>
      <c r="G5">
        <v>0.69759437310677141</v>
      </c>
      <c r="H5">
        <v>0.61664309030023434</v>
      </c>
      <c r="I5">
        <v>0.62443770234647944</v>
      </c>
      <c r="J5">
        <v>0.62318299085167816</v>
      </c>
      <c r="K5">
        <v>0.7321211948014158</v>
      </c>
      <c r="L5">
        <v>0.65559599805212576</v>
      </c>
      <c r="M5">
        <v>0.55380323605880588</v>
      </c>
      <c r="N5">
        <v>0.67341850635268585</v>
      </c>
    </row>
    <row r="6" spans="2:14" x14ac:dyDescent="0.2">
      <c r="B6" s="185" t="s">
        <v>105</v>
      </c>
      <c r="C6">
        <v>0.73752257826603262</v>
      </c>
      <c r="D6">
        <v>0.71312058937024458</v>
      </c>
      <c r="E6">
        <v>0.66078251429724966</v>
      </c>
      <c r="F6">
        <v>0.63194302949023096</v>
      </c>
      <c r="G6">
        <v>0.71122868389840321</v>
      </c>
      <c r="H6">
        <v>0.69195607729643471</v>
      </c>
      <c r="I6">
        <v>0.6698783603275108</v>
      </c>
      <c r="J6">
        <v>0.67334919003437688</v>
      </c>
      <c r="K6">
        <v>0.62713788024342931</v>
      </c>
      <c r="L6">
        <v>0.90136155668155149</v>
      </c>
      <c r="M6">
        <v>0.66694425811452884</v>
      </c>
      <c r="N6">
        <v>0.64812762094393206</v>
      </c>
    </row>
    <row r="7" spans="2:14" x14ac:dyDescent="0.2">
      <c r="B7" s="185" t="s">
        <v>106</v>
      </c>
      <c r="C7">
        <v>0.80108814878855172</v>
      </c>
      <c r="D7">
        <v>0.7924361343242966</v>
      </c>
      <c r="E7">
        <v>0.74505128484809469</v>
      </c>
      <c r="F7">
        <v>0.77966697646471261</v>
      </c>
      <c r="G7">
        <v>0.73434227084000581</v>
      </c>
      <c r="H7">
        <v>0.71068640154307772</v>
      </c>
      <c r="I7">
        <v>0.77071294155304382</v>
      </c>
      <c r="J7">
        <v>0.75030545313852204</v>
      </c>
      <c r="K7">
        <v>0.72081491362380778</v>
      </c>
      <c r="L7">
        <v>0.77125090197464685</v>
      </c>
      <c r="M7">
        <v>0.76545813722079137</v>
      </c>
      <c r="N7">
        <v>0.74810905907218017</v>
      </c>
    </row>
    <row r="8" spans="2:14" x14ac:dyDescent="0.2">
      <c r="B8" s="185" t="s">
        <v>107</v>
      </c>
      <c r="C8">
        <v>0.69215710163734456</v>
      </c>
      <c r="D8">
        <v>0.6984192925620486</v>
      </c>
      <c r="E8">
        <v>0.71664491511436179</v>
      </c>
      <c r="F8">
        <v>0.69612490477240574</v>
      </c>
      <c r="G8">
        <v>0.69637123933703537</v>
      </c>
      <c r="H8">
        <v>0.83474270729125544</v>
      </c>
      <c r="I8">
        <v>0.7054505673935777</v>
      </c>
      <c r="J8">
        <v>0.77138631688317905</v>
      </c>
      <c r="K8">
        <v>0.68403464245734136</v>
      </c>
      <c r="L8">
        <v>0.65314619373285454</v>
      </c>
      <c r="M8">
        <v>1.0375093948806502</v>
      </c>
      <c r="N8">
        <v>0.73001518190685921</v>
      </c>
    </row>
    <row r="9" spans="2:14" x14ac:dyDescent="0.2">
      <c r="B9" s="185" t="s">
        <v>108</v>
      </c>
      <c r="C9">
        <v>2.021124062538147</v>
      </c>
      <c r="D9">
        <v>2.0210351026058198</v>
      </c>
      <c r="E9">
        <v>2.0629218554496767</v>
      </c>
      <c r="F9">
        <v>2.0311519777774811</v>
      </c>
      <c r="G9">
        <v>2.0885404682159425</v>
      </c>
      <c r="H9">
        <v>2.0988884246349335</v>
      </c>
      <c r="I9">
        <v>2.0140542721748353</v>
      </c>
      <c r="J9">
        <v>2.0486775791645049</v>
      </c>
      <c r="K9">
        <v>2.0481951093673705</v>
      </c>
      <c r="L9">
        <v>2.1082301652431488</v>
      </c>
      <c r="M9">
        <v>2.0461120581626893</v>
      </c>
      <c r="N9">
        <v>2.097255197763443</v>
      </c>
    </row>
    <row r="10" spans="2:14" x14ac:dyDescent="0.2">
      <c r="B10" s="185" t="s">
        <v>109</v>
      </c>
      <c r="C10">
        <v>0.68320932388305666</v>
      </c>
      <c r="D10">
        <v>0.61594631075859074</v>
      </c>
      <c r="E10">
        <v>0.64968725442886355</v>
      </c>
      <c r="F10">
        <v>0.67135871052742002</v>
      </c>
      <c r="G10">
        <v>0.68141148090362547</v>
      </c>
      <c r="H10">
        <v>0.69480175375938413</v>
      </c>
      <c r="I10">
        <v>0.61773518323898313</v>
      </c>
      <c r="J10">
        <v>0.67837215065956114</v>
      </c>
      <c r="K10">
        <v>0.65189948081970217</v>
      </c>
      <c r="L10">
        <v>0.63375279307365417</v>
      </c>
      <c r="M10">
        <v>0.67463694810867314</v>
      </c>
      <c r="N10">
        <v>0.61140220761299136</v>
      </c>
    </row>
    <row r="11" spans="2:14" x14ac:dyDescent="0.2">
      <c r="B11" s="186"/>
      <c r="C11" s="117"/>
      <c r="D11" s="117"/>
      <c r="E11" s="117"/>
      <c r="F11" s="117"/>
      <c r="G11" s="117"/>
    </row>
    <row r="12" spans="2:14" x14ac:dyDescent="0.2">
      <c r="B12" s="119" t="s">
        <v>315</v>
      </c>
      <c r="C12" s="117"/>
      <c r="D12" s="117"/>
      <c r="E12" s="117"/>
      <c r="F12" s="117"/>
      <c r="G12" s="117"/>
    </row>
    <row r="13" spans="2:14" x14ac:dyDescent="0.2">
      <c r="B13" s="185" t="s">
        <v>316</v>
      </c>
      <c r="C13" s="185" t="s">
        <v>92</v>
      </c>
      <c r="D13" s="185" t="s">
        <v>93</v>
      </c>
      <c r="E13" s="184" t="s">
        <v>94</v>
      </c>
      <c r="F13" s="184" t="s">
        <v>95</v>
      </c>
      <c r="G13" s="184" t="s">
        <v>96</v>
      </c>
      <c r="H13" s="184" t="s">
        <v>97</v>
      </c>
      <c r="I13" s="184" t="s">
        <v>98</v>
      </c>
      <c r="J13" s="184" t="s">
        <v>99</v>
      </c>
      <c r="K13" s="184" t="s">
        <v>100</v>
      </c>
      <c r="L13" s="184" t="s">
        <v>101</v>
      </c>
      <c r="M13" s="184" t="s">
        <v>102</v>
      </c>
      <c r="N13" s="184" t="s">
        <v>103</v>
      </c>
    </row>
    <row r="14" spans="2:14" x14ac:dyDescent="0.2">
      <c r="B14" s="184" t="s">
        <v>317</v>
      </c>
      <c r="C14" s="117">
        <v>0.3727205315805654</v>
      </c>
      <c r="D14" s="117">
        <v>0.3741040230830005</v>
      </c>
      <c r="E14" s="117">
        <v>0.37548362169314148</v>
      </c>
      <c r="F14" s="117">
        <v>0.37685544547258182</v>
      </c>
      <c r="G14" s="117">
        <v>0.37821563435986788</v>
      </c>
      <c r="H14">
        <v>0.3795603610320068</v>
      </c>
      <c r="I14">
        <v>0.38088584167385359</v>
      </c>
      <c r="J14">
        <v>0.38218834662507611</v>
      </c>
      <c r="K14">
        <v>0.38346421087473742</v>
      </c>
      <c r="L14">
        <v>0.3847098443739666</v>
      </c>
      <c r="M14">
        <v>0.3859217421377012</v>
      </c>
      <c r="N14">
        <v>0.38709649410707375</v>
      </c>
    </row>
    <row r="15" spans="2:14" x14ac:dyDescent="0.2">
      <c r="B15" s="184" t="s">
        <v>318</v>
      </c>
      <c r="C15">
        <v>1.1451353717272466</v>
      </c>
      <c r="D15">
        <v>1.1481715129830099</v>
      </c>
      <c r="E15">
        <v>1.1511991110920481</v>
      </c>
      <c r="F15">
        <v>1.1542096469464893</v>
      </c>
      <c r="G15">
        <v>1.1571946494485295</v>
      </c>
      <c r="H15">
        <v>1.1601457193465521</v>
      </c>
      <c r="I15">
        <v>1.1630545528690883</v>
      </c>
      <c r="J15">
        <v>1.1659129650901117</v>
      </c>
      <c r="K15">
        <v>1.1687129129599263</v>
      </c>
      <c r="L15">
        <v>1.1714465179368376</v>
      </c>
      <c r="M15">
        <v>1.1741060881559284</v>
      </c>
      <c r="N15">
        <v>1.1766841400725636</v>
      </c>
    </row>
    <row r="16" spans="2:14" x14ac:dyDescent="0.2">
      <c r="B16" s="117"/>
    </row>
    <row r="17" spans="2:14" x14ac:dyDescent="0.2">
      <c r="B17" s="118" t="s">
        <v>319</v>
      </c>
    </row>
    <row r="18" spans="2:14" x14ac:dyDescent="0.2">
      <c r="B18" s="116" t="s">
        <v>91</v>
      </c>
      <c r="C18" s="116" t="s">
        <v>92</v>
      </c>
      <c r="D18" s="116" t="s">
        <v>93</v>
      </c>
      <c r="E18" s="116" t="s">
        <v>94</v>
      </c>
      <c r="F18" s="116" t="s">
        <v>95</v>
      </c>
      <c r="G18" s="116" t="s">
        <v>96</v>
      </c>
      <c r="H18" s="116" t="s">
        <v>97</v>
      </c>
      <c r="I18" s="116" t="s">
        <v>98</v>
      </c>
      <c r="J18" s="116" t="s">
        <v>99</v>
      </c>
      <c r="K18" s="116" t="s">
        <v>100</v>
      </c>
      <c r="L18" s="116" t="s">
        <v>101</v>
      </c>
      <c r="M18" s="116" t="s">
        <v>102</v>
      </c>
      <c r="N18" s="116" t="s">
        <v>103</v>
      </c>
    </row>
    <row r="19" spans="2:14" x14ac:dyDescent="0.2">
      <c r="B19" s="187" t="s">
        <v>104</v>
      </c>
      <c r="C19">
        <f>C5</f>
        <v>1.1195748617173364</v>
      </c>
      <c r="D19">
        <f t="shared" ref="D19:N20" si="0">D5</f>
        <v>0.90024541248164214</v>
      </c>
      <c r="E19">
        <f t="shared" si="0"/>
        <v>0.69813299428458475</v>
      </c>
      <c r="F19">
        <f t="shared" si="0"/>
        <v>0.6253782613600154</v>
      </c>
      <c r="G19">
        <f t="shared" si="0"/>
        <v>0.69759437310677141</v>
      </c>
      <c r="H19">
        <f t="shared" si="0"/>
        <v>0.61664309030023434</v>
      </c>
      <c r="I19">
        <f t="shared" si="0"/>
        <v>0.62443770234647944</v>
      </c>
      <c r="J19">
        <f t="shared" si="0"/>
        <v>0.62318299085167816</v>
      </c>
      <c r="K19">
        <f t="shared" si="0"/>
        <v>0.7321211948014158</v>
      </c>
      <c r="L19">
        <f t="shared" si="0"/>
        <v>0.65559599805212576</v>
      </c>
      <c r="M19">
        <f t="shared" si="0"/>
        <v>0.55380323605880588</v>
      </c>
      <c r="N19">
        <f t="shared" si="0"/>
        <v>0.67341850635268585</v>
      </c>
    </row>
    <row r="20" spans="2:14" x14ac:dyDescent="0.2">
      <c r="B20" s="187" t="s">
        <v>105</v>
      </c>
      <c r="C20">
        <f>C6</f>
        <v>0.73752257826603262</v>
      </c>
      <c r="D20">
        <f t="shared" si="0"/>
        <v>0.71312058937024458</v>
      </c>
      <c r="E20">
        <f t="shared" si="0"/>
        <v>0.66078251429724966</v>
      </c>
      <c r="F20">
        <f t="shared" si="0"/>
        <v>0.63194302949023096</v>
      </c>
      <c r="G20">
        <f t="shared" si="0"/>
        <v>0.71122868389840321</v>
      </c>
      <c r="H20">
        <f t="shared" si="0"/>
        <v>0.69195607729643471</v>
      </c>
      <c r="I20">
        <f t="shared" si="0"/>
        <v>0.6698783603275108</v>
      </c>
      <c r="J20">
        <f t="shared" si="0"/>
        <v>0.67334919003437688</v>
      </c>
      <c r="K20">
        <f t="shared" si="0"/>
        <v>0.62713788024342931</v>
      </c>
      <c r="L20">
        <f t="shared" si="0"/>
        <v>0.90136155668155149</v>
      </c>
      <c r="M20">
        <f t="shared" si="0"/>
        <v>0.66694425811452884</v>
      </c>
      <c r="N20">
        <f t="shared" si="0"/>
        <v>0.64812762094393206</v>
      </c>
    </row>
    <row r="21" spans="2:14" x14ac:dyDescent="0.2">
      <c r="B21" s="187" t="s">
        <v>106</v>
      </c>
      <c r="C21">
        <f t="shared" ref="C21:N22" si="1">C7</f>
        <v>0.80108814878855172</v>
      </c>
      <c r="D21">
        <f t="shared" si="1"/>
        <v>0.7924361343242966</v>
      </c>
      <c r="E21">
        <f t="shared" si="1"/>
        <v>0.74505128484809469</v>
      </c>
      <c r="F21">
        <f t="shared" si="1"/>
        <v>0.77966697646471261</v>
      </c>
      <c r="G21">
        <f t="shared" si="1"/>
        <v>0.73434227084000581</v>
      </c>
      <c r="H21">
        <f t="shared" si="1"/>
        <v>0.71068640154307772</v>
      </c>
      <c r="I21">
        <f t="shared" si="1"/>
        <v>0.77071294155304382</v>
      </c>
      <c r="J21">
        <f t="shared" si="1"/>
        <v>0.75030545313852204</v>
      </c>
      <c r="K21">
        <f t="shared" si="1"/>
        <v>0.72081491362380778</v>
      </c>
      <c r="L21">
        <f t="shared" si="1"/>
        <v>0.77125090197464685</v>
      </c>
      <c r="M21">
        <f t="shared" si="1"/>
        <v>0.76545813722079137</v>
      </c>
      <c r="N21">
        <f t="shared" si="1"/>
        <v>0.74810905907218017</v>
      </c>
    </row>
    <row r="22" spans="2:14" x14ac:dyDescent="0.2">
      <c r="B22" s="187" t="s">
        <v>107</v>
      </c>
      <c r="C22">
        <f t="shared" si="1"/>
        <v>0.69215710163734456</v>
      </c>
      <c r="D22">
        <f t="shared" si="1"/>
        <v>0.6984192925620486</v>
      </c>
      <c r="E22">
        <f t="shared" si="1"/>
        <v>0.71664491511436179</v>
      </c>
      <c r="F22">
        <f t="shared" si="1"/>
        <v>0.69612490477240574</v>
      </c>
      <c r="G22">
        <f t="shared" si="1"/>
        <v>0.69637123933703537</v>
      </c>
      <c r="H22">
        <f t="shared" si="1"/>
        <v>0.83474270729125544</v>
      </c>
      <c r="I22">
        <f t="shared" si="1"/>
        <v>0.7054505673935777</v>
      </c>
      <c r="J22">
        <f t="shared" si="1"/>
        <v>0.77138631688317905</v>
      </c>
      <c r="K22">
        <f t="shared" si="1"/>
        <v>0.68403464245734136</v>
      </c>
      <c r="L22">
        <f t="shared" si="1"/>
        <v>0.65314619373285454</v>
      </c>
      <c r="M22">
        <f t="shared" si="1"/>
        <v>1.0375093948806502</v>
      </c>
      <c r="N22">
        <f t="shared" si="1"/>
        <v>0.73001518190685921</v>
      </c>
    </row>
    <row r="23" spans="2:14" x14ac:dyDescent="0.2">
      <c r="B23" s="187" t="s">
        <v>108</v>
      </c>
      <c r="C23">
        <f>C9*C14</f>
        <v>0.75331443497949002</v>
      </c>
      <c r="D23">
        <f t="shared" ref="D23:N24" si="2">D9*D14</f>
        <v>0.75607736267680192</v>
      </c>
      <c r="E23">
        <f t="shared" si="2"/>
        <v>0.7745933695541799</v>
      </c>
      <c r="F23">
        <f t="shared" si="2"/>
        <v>0.76545068340784828</v>
      </c>
      <c r="G23">
        <f t="shared" si="2"/>
        <v>0.78991865807254813</v>
      </c>
      <c r="H23">
        <f t="shared" si="2"/>
        <v>0.79665484822033539</v>
      </c>
      <c r="I23">
        <f t="shared" si="2"/>
        <v>0.76712475663413271</v>
      </c>
      <c r="J23">
        <f t="shared" si="2"/>
        <v>0.7829806967487456</v>
      </c>
      <c r="K23">
        <f t="shared" si="2"/>
        <v>0.78540952133105524</v>
      </c>
      <c r="L23">
        <f t="shared" si="2"/>
        <v>0.81105689877519371</v>
      </c>
      <c r="M23">
        <f t="shared" si="2"/>
        <v>0.78963913009510245</v>
      </c>
      <c r="N23">
        <f t="shared" si="2"/>
        <v>0.81184013430206647</v>
      </c>
    </row>
    <row r="24" spans="2:14" x14ac:dyDescent="0.2">
      <c r="B24" s="187" t="s">
        <v>109</v>
      </c>
      <c r="C24">
        <f>C10*C15</f>
        <v>0.78236716307234488</v>
      </c>
      <c r="D24">
        <f t="shared" si="2"/>
        <v>0.70721200753999436</v>
      </c>
      <c r="E24">
        <f t="shared" si="2"/>
        <v>0.74791938978634098</v>
      </c>
      <c r="F24">
        <f t="shared" si="2"/>
        <v>0.77488870025230383</v>
      </c>
      <c r="G24">
        <f t="shared" si="2"/>
        <v>0.78852571977447417</v>
      </c>
      <c r="H24">
        <f t="shared" si="2"/>
        <v>0.80607128041842668</v>
      </c>
      <c r="I24">
        <f t="shared" si="2"/>
        <v>0.71845971733351988</v>
      </c>
      <c r="J24">
        <f t="shared" si="2"/>
        <v>0.79092288561004487</v>
      </c>
      <c r="K24">
        <f t="shared" si="2"/>
        <v>0.76188334118585777</v>
      </c>
      <c r="L24">
        <f t="shared" si="2"/>
        <v>0.74240750267887734</v>
      </c>
      <c r="M24">
        <f t="shared" si="2"/>
        <v>0.79209534806932835</v>
      </c>
      <c r="N24">
        <f t="shared" si="2"/>
        <v>0.71942728090355978</v>
      </c>
    </row>
    <row r="25" spans="2:14" x14ac:dyDescent="0.2">
      <c r="B25" s="186"/>
    </row>
    <row r="26" spans="2:14" x14ac:dyDescent="0.2">
      <c r="B26" s="119" t="s">
        <v>320</v>
      </c>
    </row>
    <row r="27" spans="2:14" x14ac:dyDescent="0.2">
      <c r="B27" s="116" t="s">
        <v>321</v>
      </c>
      <c r="C27" s="116" t="s">
        <v>92</v>
      </c>
      <c r="D27" s="116" t="s">
        <v>93</v>
      </c>
      <c r="E27" s="116" t="s">
        <v>94</v>
      </c>
      <c r="F27" s="116" t="s">
        <v>95</v>
      </c>
      <c r="G27" s="116" t="s">
        <v>96</v>
      </c>
      <c r="H27" s="116" t="s">
        <v>97</v>
      </c>
      <c r="I27" s="116" t="s">
        <v>98</v>
      </c>
      <c r="J27" s="116" t="s">
        <v>99</v>
      </c>
      <c r="K27" s="116" t="s">
        <v>100</v>
      </c>
      <c r="L27" s="116" t="s">
        <v>101</v>
      </c>
      <c r="M27" s="116" t="s">
        <v>102</v>
      </c>
      <c r="N27" s="116" t="s">
        <v>103</v>
      </c>
    </row>
    <row r="28" spans="2:14" x14ac:dyDescent="0.2">
      <c r="B28" s="116" t="s">
        <v>104</v>
      </c>
      <c r="C28">
        <f>IF(C19&lt;=raw_materials!$D17,raw_materials!$C17,IF(C19&lt;=raw_materials!$F17,raw_materials!$E17,IF(C19&lt;=raw_materials!$H17,raw_materials!$G17,0)))</f>
        <v>1</v>
      </c>
      <c r="D28">
        <f>IF(D19&lt;=raw_materials!$D17,raw_materials!$C17,IF(D19&lt;=raw_materials!$F17,raw_materials!$E17,IF(D19&lt;=raw_materials!$H17,raw_materials!$G17,0)))</f>
        <v>1</v>
      </c>
      <c r="E28">
        <f>IF(E19&lt;=raw_materials!$D17,raw_materials!$C17,IF(E19&lt;=raw_materials!$F17,raw_materials!$E17,IF(E19&lt;=raw_materials!$H17,raw_materials!$G17,0)))</f>
        <v>1</v>
      </c>
      <c r="F28">
        <f>IF(F19&lt;=raw_materials!$D17,raw_materials!$C17,IF(F19&lt;=raw_materials!$F17,raw_materials!$E17,IF(F19&lt;=raw_materials!$H17,raw_materials!$G17,0)))</f>
        <v>1</v>
      </c>
      <c r="G28">
        <f>IF(G19&lt;=raw_materials!$D17,raw_materials!$C17,IF(G19&lt;=raw_materials!$F17,raw_materials!$E17,IF(G19&lt;=raw_materials!$H17,raw_materials!$G17,0)))</f>
        <v>1</v>
      </c>
      <c r="H28">
        <f>IF(H19&lt;=raw_materials!$D17,raw_materials!$C17,IF(H19&lt;=raw_materials!$F17,raw_materials!$E17,IF(H19&lt;=raw_materials!$H17,raw_materials!$G17,0)))</f>
        <v>1</v>
      </c>
      <c r="I28">
        <f>IF(I19&lt;=raw_materials!$D17,raw_materials!$C17,IF(I19&lt;=raw_materials!$F17,raw_materials!$E17,IF(I19&lt;=raw_materials!$H17,raw_materials!$G17,0)))</f>
        <v>1</v>
      </c>
      <c r="J28">
        <f>IF(J19&lt;=raw_materials!$D17,raw_materials!$C17,IF(J19&lt;=raw_materials!$F17,raw_materials!$E17,IF(J19&lt;=raw_materials!$H17,raw_materials!$G17,0)))</f>
        <v>1</v>
      </c>
      <c r="K28">
        <f>IF(K19&lt;=raw_materials!$D17,raw_materials!$C17,IF(K19&lt;=raw_materials!$F17,raw_materials!$E17,IF(K19&lt;=raw_materials!$H17,raw_materials!$G17,0)))</f>
        <v>1</v>
      </c>
      <c r="L28">
        <f>IF(L19&lt;=raw_materials!$D17,raw_materials!$C17,IF(L19&lt;=raw_materials!$F17,raw_materials!$E17,IF(L19&lt;=raw_materials!$H17,raw_materials!$G17,0)))</f>
        <v>1</v>
      </c>
      <c r="M28">
        <f>IF(M19&lt;=raw_materials!$D17,raw_materials!$C17,IF(M19&lt;=raw_materials!$F17,raw_materials!$E17,IF(M19&lt;=raw_materials!$H17,raw_materials!$G17,0)))</f>
        <v>1</v>
      </c>
      <c r="N28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16" t="s">
        <v>105</v>
      </c>
      <c r="C29">
        <f>IF(C20&lt;=raw_materials!$D18,raw_materials!$C18,IF(C20&lt;=raw_materials!$F18,raw_materials!$E18,IF(C20&lt;=raw_materials!$H18,raw_materials!$G18,0)))</f>
        <v>1</v>
      </c>
      <c r="D29">
        <f>IF(D20&lt;=raw_materials!$D18,raw_materials!$C18,IF(D20&lt;=raw_materials!$F18,raw_materials!$E18,IF(D20&lt;=raw_materials!$H18,raw_materials!$G18,0)))</f>
        <v>1</v>
      </c>
      <c r="E29">
        <f>IF(E20&lt;=raw_materials!$D18,raw_materials!$C18,IF(E20&lt;=raw_materials!$F18,raw_materials!$E18,IF(E20&lt;=raw_materials!$H18,raw_materials!$G18,0)))</f>
        <v>1</v>
      </c>
      <c r="F29">
        <f>IF(F20&lt;=raw_materials!$D18,raw_materials!$C18,IF(F20&lt;=raw_materials!$F18,raw_materials!$E18,IF(F20&lt;=raw_materials!$H18,raw_materials!$G18,0)))</f>
        <v>1</v>
      </c>
      <c r="G29">
        <f>IF(G20&lt;=raw_materials!$D18,raw_materials!$C18,IF(G20&lt;=raw_materials!$F18,raw_materials!$E18,IF(G20&lt;=raw_materials!$H18,raw_materials!$G18,0)))</f>
        <v>1</v>
      </c>
      <c r="H29">
        <f>IF(H20&lt;=raw_materials!$D18,raw_materials!$C18,IF(H20&lt;=raw_materials!$F18,raw_materials!$E18,IF(H20&lt;=raw_materials!$H18,raw_materials!$G18,0)))</f>
        <v>1</v>
      </c>
      <c r="I29">
        <f>IF(I20&lt;=raw_materials!$D18,raw_materials!$C18,IF(I20&lt;=raw_materials!$F18,raw_materials!$E18,IF(I20&lt;=raw_materials!$H18,raw_materials!$G18,0)))</f>
        <v>1</v>
      </c>
      <c r="J29">
        <f>IF(J20&lt;=raw_materials!$D18,raw_materials!$C18,IF(J20&lt;=raw_materials!$F18,raw_materials!$E18,IF(J20&lt;=raw_materials!$H18,raw_materials!$G18,0)))</f>
        <v>1</v>
      </c>
      <c r="K29">
        <f>IF(K20&lt;=raw_materials!$D18,raw_materials!$C18,IF(K20&lt;=raw_materials!$F18,raw_materials!$E18,IF(K20&lt;=raw_materials!$H18,raw_materials!$G18,0)))</f>
        <v>1</v>
      </c>
      <c r="L29">
        <f>IF(L20&lt;=raw_materials!$D18,raw_materials!$C18,IF(L20&lt;=raw_materials!$F18,raw_materials!$E18,IF(L20&lt;=raw_materials!$H18,raw_materials!$G18,0)))</f>
        <v>1</v>
      </c>
      <c r="M29">
        <f>IF(M20&lt;=raw_materials!$D18,raw_materials!$C18,IF(M20&lt;=raw_materials!$F18,raw_materials!$E18,IF(M20&lt;=raw_materials!$H18,raw_materials!$G18,0)))</f>
        <v>1</v>
      </c>
      <c r="N29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16" t="s">
        <v>106</v>
      </c>
      <c r="C30">
        <f>IF(C21&lt;=raw_materials!$D19,raw_materials!$C19,IF(C21&lt;=raw_materials!$F19,raw_materials!$E19,IF(C21&lt;=raw_materials!$H19,raw_materials!$G19,0)))</f>
        <v>1</v>
      </c>
      <c r="D30">
        <f>IF(D21&lt;=raw_materials!$D19,raw_materials!$C19,IF(D21&lt;=raw_materials!$F19,raw_materials!$E19,IF(D21&lt;=raw_materials!$H19,raw_materials!$G19,0)))</f>
        <v>1</v>
      </c>
      <c r="E30">
        <f>IF(E21&lt;=raw_materials!$D19,raw_materials!$C19,IF(E21&lt;=raw_materials!$F19,raw_materials!$E19,IF(E21&lt;=raw_materials!$H19,raw_materials!$G19,0)))</f>
        <v>1</v>
      </c>
      <c r="F30">
        <f>IF(F21&lt;=raw_materials!$D19,raw_materials!$C19,IF(F21&lt;=raw_materials!$F19,raw_materials!$E19,IF(F21&lt;=raw_materials!$H19,raw_materials!$G19,0)))</f>
        <v>1</v>
      </c>
      <c r="G30">
        <f>IF(G21&lt;=raw_materials!$D19,raw_materials!$C19,IF(G21&lt;=raw_materials!$F19,raw_materials!$E19,IF(G21&lt;=raw_materials!$H19,raw_materials!$G19,0)))</f>
        <v>1</v>
      </c>
      <c r="H30">
        <f>IF(H21&lt;=raw_materials!$D19,raw_materials!$C19,IF(H21&lt;=raw_materials!$F19,raw_materials!$E19,IF(H21&lt;=raw_materials!$H19,raw_materials!$G19,0)))</f>
        <v>1</v>
      </c>
      <c r="I30">
        <f>IF(I21&lt;=raw_materials!$D19,raw_materials!$C19,IF(I21&lt;=raw_materials!$F19,raw_materials!$E19,IF(I21&lt;=raw_materials!$H19,raw_materials!$G19,0)))</f>
        <v>1</v>
      </c>
      <c r="J30">
        <f>IF(J21&lt;=raw_materials!$D19,raw_materials!$C19,IF(J21&lt;=raw_materials!$F19,raw_materials!$E19,IF(J21&lt;=raw_materials!$H19,raw_materials!$G19,0)))</f>
        <v>1</v>
      </c>
      <c r="K30">
        <f>IF(K21&lt;=raw_materials!$D19,raw_materials!$C19,IF(K21&lt;=raw_materials!$F19,raw_materials!$E19,IF(K21&lt;=raw_materials!$H19,raw_materials!$G19,0)))</f>
        <v>1</v>
      </c>
      <c r="L30">
        <f>IF(L21&lt;=raw_materials!$D19,raw_materials!$C19,IF(L21&lt;=raw_materials!$F19,raw_materials!$E19,IF(L21&lt;=raw_materials!$H19,raw_materials!$G19,0)))</f>
        <v>1</v>
      </c>
      <c r="M30">
        <f>IF(M21&lt;=raw_materials!$D19,raw_materials!$C19,IF(M21&lt;=raw_materials!$F19,raw_materials!$E19,IF(M21&lt;=raw_materials!$H19,raw_materials!$G19,0)))</f>
        <v>1</v>
      </c>
      <c r="N30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16" t="s">
        <v>107</v>
      </c>
      <c r="C31">
        <f>IF(C22&lt;=raw_materials!$D20,raw_materials!$C20,IF(C22&lt;=raw_materials!$F20,raw_materials!$E20,IF(C22&lt;=raw_materials!$H20,raw_materials!$G20,0)))</f>
        <v>1</v>
      </c>
      <c r="D31">
        <f>IF(D22&lt;=raw_materials!$D20,raw_materials!$C20,IF(D22&lt;=raw_materials!$F20,raw_materials!$E20,IF(D22&lt;=raw_materials!$H20,raw_materials!$G20,0)))</f>
        <v>1</v>
      </c>
      <c r="E31">
        <f>IF(E22&lt;=raw_materials!$D20,raw_materials!$C20,IF(E22&lt;=raw_materials!$F20,raw_materials!$E20,IF(E22&lt;=raw_materials!$H20,raw_materials!$G20,0)))</f>
        <v>1</v>
      </c>
      <c r="F31">
        <f>IF(F22&lt;=raw_materials!$D20,raw_materials!$C20,IF(F22&lt;=raw_materials!$F20,raw_materials!$E20,IF(F22&lt;=raw_materials!$H20,raw_materials!$G20,0)))</f>
        <v>1</v>
      </c>
      <c r="G31">
        <f>IF(G22&lt;=raw_materials!$D20,raw_materials!$C20,IF(G22&lt;=raw_materials!$F20,raw_materials!$E20,IF(G22&lt;=raw_materials!$H20,raw_materials!$G20,0)))</f>
        <v>1</v>
      </c>
      <c r="H31">
        <f>IF(H22&lt;=raw_materials!$D20,raw_materials!$C20,IF(H22&lt;=raw_materials!$F20,raw_materials!$E20,IF(H22&lt;=raw_materials!$H20,raw_materials!$G20,0)))</f>
        <v>1</v>
      </c>
      <c r="I31">
        <f>IF(I22&lt;=raw_materials!$D20,raw_materials!$C20,IF(I22&lt;=raw_materials!$F20,raw_materials!$E20,IF(I22&lt;=raw_materials!$H20,raw_materials!$G20,0)))</f>
        <v>1</v>
      </c>
      <c r="J31">
        <f>IF(J22&lt;=raw_materials!$D20,raw_materials!$C20,IF(J22&lt;=raw_materials!$F20,raw_materials!$E20,IF(J22&lt;=raw_materials!$H20,raw_materials!$G20,0)))</f>
        <v>1</v>
      </c>
      <c r="K31">
        <f>IF(K22&lt;=raw_materials!$D20,raw_materials!$C20,IF(K22&lt;=raw_materials!$F20,raw_materials!$E20,IF(K22&lt;=raw_materials!$H20,raw_materials!$G20,0)))</f>
        <v>1</v>
      </c>
      <c r="L31">
        <f>IF(L22&lt;=raw_materials!$D20,raw_materials!$C20,IF(L22&lt;=raw_materials!$F20,raw_materials!$E20,IF(L22&lt;=raw_materials!$H20,raw_materials!$G20,0)))</f>
        <v>1</v>
      </c>
      <c r="M31">
        <f>IF(M22&lt;=raw_materials!$D20,raw_materials!$C20,IF(M22&lt;=raw_materials!$F20,raw_materials!$E20,IF(M22&lt;=raw_materials!$H20,raw_materials!$G20,0)))</f>
        <v>1</v>
      </c>
      <c r="N31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16" t="s">
        <v>108</v>
      </c>
      <c r="C32">
        <f>IF(C23&lt;=raw_materials!$D21,raw_materials!$C21,IF(C23&lt;=raw_materials!$F21,raw_materials!$E21,IF(C23&lt;=raw_materials!$H21,raw_materials!$G21,0)))</f>
        <v>1</v>
      </c>
      <c r="D32">
        <f>IF(D23&lt;=raw_materials!$D21,raw_materials!$C21,IF(D23&lt;=raw_materials!$F21,raw_materials!$E21,IF(D23&lt;=raw_materials!$H21,raw_materials!$G21,0)))</f>
        <v>1</v>
      </c>
      <c r="E32">
        <f>IF(E23&lt;=raw_materials!$D21,raw_materials!$C21,IF(E23&lt;=raw_materials!$F21,raw_materials!$E21,IF(E23&lt;=raw_materials!$H21,raw_materials!$G21,0)))</f>
        <v>1</v>
      </c>
      <c r="F32">
        <f>IF(F23&lt;=raw_materials!$D21,raw_materials!$C21,IF(F23&lt;=raw_materials!$F21,raw_materials!$E21,IF(F23&lt;=raw_materials!$H21,raw_materials!$G21,0)))</f>
        <v>1</v>
      </c>
      <c r="G32">
        <f>IF(G23&lt;=raw_materials!$D21,raw_materials!$C21,IF(G23&lt;=raw_materials!$F21,raw_materials!$E21,IF(G23&lt;=raw_materials!$H21,raw_materials!$G21,0)))</f>
        <v>1</v>
      </c>
      <c r="H32">
        <f>IF(H23&lt;=raw_materials!$D21,raw_materials!$C21,IF(H23&lt;=raw_materials!$F21,raw_materials!$E21,IF(H23&lt;=raw_materials!$H21,raw_materials!$G21,0)))</f>
        <v>1</v>
      </c>
      <c r="I32">
        <f>IF(I23&lt;=raw_materials!$D21,raw_materials!$C21,IF(I23&lt;=raw_materials!$F21,raw_materials!$E21,IF(I23&lt;=raw_materials!$H21,raw_materials!$G21,0)))</f>
        <v>1</v>
      </c>
      <c r="J32">
        <f>IF(J23&lt;=raw_materials!$D21,raw_materials!$C21,IF(J23&lt;=raw_materials!$F21,raw_materials!$E21,IF(J23&lt;=raw_materials!$H21,raw_materials!$G21,0)))</f>
        <v>1</v>
      </c>
      <c r="K32">
        <f>IF(K23&lt;=raw_materials!$D21,raw_materials!$C21,IF(K23&lt;=raw_materials!$F21,raw_materials!$E21,IF(K23&lt;=raw_materials!$H21,raw_materials!$G21,0)))</f>
        <v>1</v>
      </c>
      <c r="L32">
        <f>IF(L23&lt;=raw_materials!$D21,raw_materials!$C21,IF(L23&lt;=raw_materials!$F21,raw_materials!$E21,IF(L23&lt;=raw_materials!$H21,raw_materials!$G21,0)))</f>
        <v>1</v>
      </c>
      <c r="M32">
        <f>IF(M23&lt;=raw_materials!$D21,raw_materials!$C21,IF(M23&lt;=raw_materials!$F21,raw_materials!$E21,IF(M23&lt;=raw_materials!$H21,raw_materials!$G21,0)))</f>
        <v>1</v>
      </c>
      <c r="N32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16" t="s">
        <v>109</v>
      </c>
      <c r="C33">
        <f>IF(C24&lt;=raw_materials!$D22,raw_materials!$C22,IF(C24&lt;=raw_materials!$F22,raw_materials!$E22,IF(C24&lt;=raw_materials!$H22,raw_materials!$G22,0)))</f>
        <v>1</v>
      </c>
      <c r="D33">
        <f>IF(D24&lt;=raw_materials!$D22,raw_materials!$C22,IF(D24&lt;=raw_materials!$F22,raw_materials!$E22,IF(D24&lt;=raw_materials!$H22,raw_materials!$G22,0)))</f>
        <v>1</v>
      </c>
      <c r="E33">
        <f>IF(E24&lt;=raw_materials!$D22,raw_materials!$C22,IF(E24&lt;=raw_materials!$F22,raw_materials!$E22,IF(E24&lt;=raw_materials!$H22,raw_materials!$G22,0)))</f>
        <v>1</v>
      </c>
      <c r="F33">
        <f>IF(F24&lt;=raw_materials!$D22,raw_materials!$C22,IF(F24&lt;=raw_materials!$F22,raw_materials!$E22,IF(F24&lt;=raw_materials!$H22,raw_materials!$G22,0)))</f>
        <v>1</v>
      </c>
      <c r="G33">
        <f>IF(G24&lt;=raw_materials!$D22,raw_materials!$C22,IF(G24&lt;=raw_materials!$F22,raw_materials!$E22,IF(G24&lt;=raw_materials!$H22,raw_materials!$G22,0)))</f>
        <v>1</v>
      </c>
      <c r="H33">
        <f>IF(H24&lt;=raw_materials!$D22,raw_materials!$C22,IF(H24&lt;=raw_materials!$F22,raw_materials!$E22,IF(H24&lt;=raw_materials!$H22,raw_materials!$G22,0)))</f>
        <v>1</v>
      </c>
      <c r="I33">
        <f>IF(I24&lt;=raw_materials!$D22,raw_materials!$C22,IF(I24&lt;=raw_materials!$F22,raw_materials!$E22,IF(I24&lt;=raw_materials!$H22,raw_materials!$G22,0)))</f>
        <v>1</v>
      </c>
      <c r="J33">
        <f>IF(J24&lt;=raw_materials!$D22,raw_materials!$C22,IF(J24&lt;=raw_materials!$F22,raw_materials!$E22,IF(J24&lt;=raw_materials!$H22,raw_materials!$G22,0)))</f>
        <v>1</v>
      </c>
      <c r="K33">
        <f>IF(K24&lt;=raw_materials!$D22,raw_materials!$C22,IF(K24&lt;=raw_materials!$F22,raw_materials!$E22,IF(K24&lt;=raw_materials!$H22,raw_materials!$G22,0)))</f>
        <v>1</v>
      </c>
      <c r="L33">
        <f>IF(L24&lt;=raw_materials!$D22,raw_materials!$C22,IF(L24&lt;=raw_materials!$F22,raw_materials!$E22,IF(L24&lt;=raw_materials!$H22,raw_materials!$G22,0)))</f>
        <v>1</v>
      </c>
      <c r="M33">
        <f>IF(M24&lt;=raw_materials!$D22,raw_materials!$C22,IF(M24&lt;=raw_materials!$F22,raw_materials!$E22,IF(M24&lt;=raw_materials!$H22,raw_materials!$G22,0)))</f>
        <v>1</v>
      </c>
      <c r="N33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18" t="s">
        <v>322</v>
      </c>
    </row>
    <row r="36" spans="2:50" x14ac:dyDescent="0.2">
      <c r="B36" s="184" t="s">
        <v>274</v>
      </c>
      <c r="C36" s="184" t="s">
        <v>92</v>
      </c>
      <c r="D36" s="117"/>
      <c r="E36" s="117"/>
      <c r="F36" s="117"/>
      <c r="G36" s="184" t="s">
        <v>93</v>
      </c>
      <c r="H36" s="117"/>
      <c r="I36" s="117"/>
      <c r="J36" s="117"/>
      <c r="K36" s="184" t="s">
        <v>94</v>
      </c>
      <c r="L36" s="117"/>
      <c r="M36" s="117"/>
      <c r="N36" s="117"/>
      <c r="O36" s="184" t="s">
        <v>95</v>
      </c>
      <c r="P36" s="117"/>
      <c r="Q36" s="117"/>
      <c r="R36" s="117"/>
      <c r="S36" s="184" t="s">
        <v>96</v>
      </c>
      <c r="T36" s="117"/>
      <c r="U36" s="117"/>
      <c r="V36" s="117"/>
      <c r="W36" s="184" t="s">
        <v>97</v>
      </c>
      <c r="X36" s="117"/>
      <c r="Y36" s="117"/>
      <c r="Z36" s="117"/>
      <c r="AA36" s="184" t="s">
        <v>98</v>
      </c>
      <c r="AB36" s="117"/>
      <c r="AC36" s="117"/>
      <c r="AD36" s="117"/>
      <c r="AE36" s="184" t="s">
        <v>99</v>
      </c>
      <c r="AF36" s="117"/>
      <c r="AG36" s="117"/>
      <c r="AH36" s="117"/>
      <c r="AI36" s="184" t="s">
        <v>100</v>
      </c>
      <c r="AJ36" s="117"/>
      <c r="AK36" s="117"/>
      <c r="AL36" s="117"/>
      <c r="AM36" s="184" t="s">
        <v>101</v>
      </c>
      <c r="AN36" s="117"/>
      <c r="AO36" s="117"/>
      <c r="AP36" s="117"/>
      <c r="AQ36" s="184" t="s">
        <v>102</v>
      </c>
      <c r="AR36" s="117"/>
      <c r="AS36" s="117"/>
      <c r="AT36" s="117"/>
      <c r="AU36" s="184" t="s">
        <v>103</v>
      </c>
      <c r="AV36" s="117"/>
      <c r="AW36" s="117"/>
      <c r="AX36" s="117"/>
    </row>
    <row r="37" spans="2:50" x14ac:dyDescent="0.2">
      <c r="B37" s="184" t="s">
        <v>323</v>
      </c>
      <c r="C37" s="184">
        <v>1</v>
      </c>
      <c r="D37" s="184">
        <v>2</v>
      </c>
      <c r="E37" s="184">
        <v>3</v>
      </c>
      <c r="F37" s="184">
        <v>4</v>
      </c>
      <c r="G37" s="184">
        <v>1</v>
      </c>
      <c r="H37" s="184">
        <v>2</v>
      </c>
      <c r="I37" s="184">
        <v>3</v>
      </c>
      <c r="J37" s="184">
        <v>4</v>
      </c>
      <c r="K37" s="184">
        <v>1</v>
      </c>
      <c r="L37" s="184">
        <v>2</v>
      </c>
      <c r="M37" s="184">
        <v>3</v>
      </c>
      <c r="N37" s="184">
        <v>4</v>
      </c>
      <c r="O37" s="184">
        <v>1</v>
      </c>
      <c r="P37" s="184">
        <v>2</v>
      </c>
      <c r="Q37" s="184">
        <v>3</v>
      </c>
      <c r="R37" s="184">
        <v>4</v>
      </c>
      <c r="S37" s="184">
        <v>1</v>
      </c>
      <c r="T37" s="184">
        <v>2</v>
      </c>
      <c r="U37" s="184">
        <v>3</v>
      </c>
      <c r="V37" s="184">
        <v>4</v>
      </c>
      <c r="W37" s="184">
        <v>1</v>
      </c>
      <c r="X37" s="184">
        <v>2</v>
      </c>
      <c r="Y37" s="184">
        <v>3</v>
      </c>
      <c r="Z37" s="184">
        <v>4</v>
      </c>
      <c r="AA37" s="184">
        <v>1</v>
      </c>
      <c r="AB37" s="184">
        <v>2</v>
      </c>
      <c r="AC37" s="184">
        <v>3</v>
      </c>
      <c r="AD37" s="184">
        <v>4</v>
      </c>
      <c r="AE37" s="184">
        <v>1</v>
      </c>
      <c r="AF37" s="184">
        <v>2</v>
      </c>
      <c r="AG37" s="184">
        <v>3</v>
      </c>
      <c r="AH37" s="184">
        <v>4</v>
      </c>
      <c r="AI37" s="184">
        <v>1</v>
      </c>
      <c r="AJ37" s="184">
        <v>2</v>
      </c>
      <c r="AK37" s="184">
        <v>3</v>
      </c>
      <c r="AL37" s="184">
        <v>4</v>
      </c>
      <c r="AM37" s="184">
        <v>1</v>
      </c>
      <c r="AN37" s="184">
        <v>2</v>
      </c>
      <c r="AO37" s="184">
        <v>3</v>
      </c>
      <c r="AP37" s="184">
        <v>4</v>
      </c>
      <c r="AQ37" s="184">
        <v>1</v>
      </c>
      <c r="AR37" s="184">
        <v>2</v>
      </c>
      <c r="AS37" s="184">
        <v>3</v>
      </c>
      <c r="AT37" s="184">
        <v>4</v>
      </c>
      <c r="AU37" s="184">
        <v>1</v>
      </c>
      <c r="AV37" s="184">
        <v>2</v>
      </c>
      <c r="AW37" s="184">
        <v>3</v>
      </c>
      <c r="AX37" s="184">
        <v>4</v>
      </c>
    </row>
    <row r="38" spans="2:50" x14ac:dyDescent="0.2">
      <c r="B38" s="184" t="s">
        <v>104</v>
      </c>
      <c r="C38">
        <v>9023.8314618400818</v>
      </c>
      <c r="D38">
        <v>10428.307442850562</v>
      </c>
      <c r="E38">
        <v>9065.1147169126434</v>
      </c>
      <c r="F38">
        <v>10087.858074818208</v>
      </c>
      <c r="G38">
        <v>17692.179235395437</v>
      </c>
      <c r="H38">
        <v>10131.765933739784</v>
      </c>
      <c r="I38">
        <v>17768.978908664292</v>
      </c>
      <c r="J38">
        <v>17807.338642222287</v>
      </c>
      <c r="K38">
        <v>25493.804885647136</v>
      </c>
      <c r="L38">
        <v>25548.495829201689</v>
      </c>
      <c r="M38">
        <v>25603.119238151201</v>
      </c>
      <c r="N38">
        <v>25657.666324691218</v>
      </c>
      <c r="O38">
        <v>25712.128310447646</v>
      </c>
      <c r="P38">
        <v>25766.496428023554</v>
      </c>
      <c r="Q38">
        <v>25820.761922544945</v>
      </c>
      <c r="R38">
        <v>25874.916053205223</v>
      </c>
      <c r="S38">
        <v>25928.950094808049</v>
      </c>
      <c r="T38">
        <v>25982.855339308269</v>
      </c>
      <c r="U38">
        <v>26036.623097350748</v>
      </c>
      <c r="V38">
        <v>26090.24469980675</v>
      </c>
      <c r="W38">
        <v>26143.711499307632</v>
      </c>
      <c r="X38">
        <v>26197.014871775551</v>
      </c>
      <c r="Y38">
        <v>26250.146217950878</v>
      </c>
      <c r="Z38">
        <v>26303.096964916222</v>
      </c>
      <c r="AA38">
        <v>26355.858567616488</v>
      </c>
      <c r="AB38">
        <v>18485.895757262515</v>
      </c>
      <c r="AC38">
        <v>26460.780308405316</v>
      </c>
      <c r="AD38">
        <v>26512.923509318131</v>
      </c>
      <c r="AE38">
        <v>26564.8436946238</v>
      </c>
      <c r="AF38">
        <v>26616.532481229282</v>
      </c>
      <c r="AG38">
        <v>26667.981522929855</v>
      </c>
      <c r="AH38">
        <v>26719.182511895149</v>
      </c>
      <c r="AI38">
        <v>26770.127180149142</v>
      </c>
      <c r="AJ38">
        <v>26820.807301044035</v>
      </c>
      <c r="AK38">
        <v>10748.485876291024</v>
      </c>
      <c r="AL38">
        <v>26921.341209603564</v>
      </c>
      <c r="AM38">
        <v>26971.178763785614</v>
      </c>
      <c r="AN38">
        <v>27020.719306543244</v>
      </c>
      <c r="AO38">
        <v>27069.954839740756</v>
      </c>
      <c r="AP38">
        <v>18983.2141906877</v>
      </c>
      <c r="AQ38">
        <v>27167.47913646403</v>
      </c>
      <c r="AR38">
        <v>27215.752159530173</v>
      </c>
      <c r="AS38">
        <v>27263.688694937566</v>
      </c>
      <c r="AT38">
        <v>27311.281008823513</v>
      </c>
      <c r="AU38">
        <v>27358.521424379818</v>
      </c>
      <c r="AV38">
        <v>27405.40232323145</v>
      </c>
      <c r="AW38">
        <v>27451.916146805794</v>
      </c>
      <c r="AX38">
        <v>27498.055397691911</v>
      </c>
    </row>
    <row r="39" spans="2:50" x14ac:dyDescent="0.2">
      <c r="B39" s="184" t="s">
        <v>105</v>
      </c>
      <c r="C39">
        <v>15032.941508406904</v>
      </c>
      <c r="D39">
        <v>10546.123036103019</v>
      </c>
      <c r="E39">
        <v>6039.5361390750204</v>
      </c>
      <c r="F39">
        <v>15131.787112227312</v>
      </c>
      <c r="G39">
        <v>15164.725058910377</v>
      </c>
      <c r="H39">
        <v>15197.648900609674</v>
      </c>
      <c r="I39">
        <v>15230.553350283679</v>
      </c>
      <c r="J39">
        <v>15263.433121904818</v>
      </c>
      <c r="K39">
        <v>15296.282931388283</v>
      </c>
      <c r="L39">
        <v>10730.368248264709</v>
      </c>
      <c r="M39">
        <v>15361.87154289072</v>
      </c>
      <c r="N39">
        <v>15394.599794814729</v>
      </c>
      <c r="O39">
        <v>15427.276986268587</v>
      </c>
      <c r="P39">
        <v>15459.897856814132</v>
      </c>
      <c r="Q39">
        <v>15492.457153526968</v>
      </c>
      <c r="R39">
        <v>15524.949631923135</v>
      </c>
      <c r="S39">
        <v>15557.370056884829</v>
      </c>
      <c r="T39">
        <v>15589.713203584963</v>
      </c>
      <c r="U39">
        <v>10935.381700887314</v>
      </c>
      <c r="V39">
        <v>10957.902773918835</v>
      </c>
      <c r="W39">
        <v>10980.358829709205</v>
      </c>
      <c r="X39">
        <v>15718.208923065331</v>
      </c>
      <c r="Y39">
        <v>15750.087730770527</v>
      </c>
      <c r="Z39">
        <v>15781.858178949733</v>
      </c>
      <c r="AA39">
        <v>15813.515140569893</v>
      </c>
      <c r="AB39">
        <v>15845.053506225015</v>
      </c>
      <c r="AC39">
        <v>15876.468185043188</v>
      </c>
      <c r="AD39">
        <v>11135.427873913615</v>
      </c>
      <c r="AE39">
        <v>11157.234351741996</v>
      </c>
      <c r="AF39">
        <v>15969.919488737569</v>
      </c>
      <c r="AG39">
        <v>16000.788913757913</v>
      </c>
      <c r="AH39">
        <v>16031.509507137089</v>
      </c>
      <c r="AI39">
        <v>16062.076308089485</v>
      </c>
      <c r="AJ39">
        <v>16092.48438062642</v>
      </c>
      <c r="AK39">
        <v>16122.728814436536</v>
      </c>
      <c r="AL39">
        <v>16152.80472576214</v>
      </c>
      <c r="AM39">
        <v>16182.707258271368</v>
      </c>
      <c r="AN39">
        <v>16212.431583925947</v>
      </c>
      <c r="AO39">
        <v>1624.1972903844453</v>
      </c>
      <c r="AP39">
        <v>1627.1326449160888</v>
      </c>
      <c r="AQ39">
        <v>16300.487481878417</v>
      </c>
      <c r="AR39">
        <v>16329.451295718105</v>
      </c>
      <c r="AS39">
        <v>16358.213216962538</v>
      </c>
      <c r="AT39">
        <v>16386.768605294106</v>
      </c>
      <c r="AU39">
        <v>16415.112854627889</v>
      </c>
      <c r="AV39">
        <v>16443.241393938872</v>
      </c>
      <c r="AW39">
        <v>16471.149688083475</v>
      </c>
      <c r="AX39">
        <v>16498.833238615145</v>
      </c>
    </row>
    <row r="40" spans="2:50" x14ac:dyDescent="0.2">
      <c r="B40" s="184" t="s">
        <v>106</v>
      </c>
      <c r="C40">
        <v>5010.9805028023011</v>
      </c>
      <c r="D40">
        <v>5021.9633505252477</v>
      </c>
      <c r="E40">
        <v>5032.946782562517</v>
      </c>
      <c r="F40">
        <v>5043.9290374091042</v>
      </c>
      <c r="G40">
        <v>5054.9083529701256</v>
      </c>
      <c r="H40">
        <v>5065.8829668698918</v>
      </c>
      <c r="I40">
        <v>5076.851116761226</v>
      </c>
      <c r="J40">
        <v>5087.8110406349388</v>
      </c>
      <c r="K40">
        <v>5098.7609771294274</v>
      </c>
      <c r="L40">
        <v>5109.6991658403376</v>
      </c>
      <c r="M40">
        <v>5120.6238476302397</v>
      </c>
      <c r="N40">
        <v>5131.5332649382435</v>
      </c>
      <c r="O40">
        <v>5142.4256620895294</v>
      </c>
      <c r="P40">
        <v>3607.3094999232972</v>
      </c>
      <c r="Q40">
        <v>5164.1523845089887</v>
      </c>
      <c r="R40">
        <v>5174.9832106410449</v>
      </c>
      <c r="S40">
        <v>5185.7900189616103</v>
      </c>
      <c r="T40">
        <v>5196.5710678616542</v>
      </c>
      <c r="U40">
        <v>5207.3246194701496</v>
      </c>
      <c r="V40">
        <v>5218.0489399613498</v>
      </c>
      <c r="W40">
        <v>5228.7422998615266</v>
      </c>
      <c r="X40">
        <v>5239.40297435511</v>
      </c>
      <c r="Y40">
        <v>5250.0292435901756</v>
      </c>
      <c r="Z40">
        <v>5260.6193929832443</v>
      </c>
      <c r="AA40">
        <v>5271.1717135232975</v>
      </c>
      <c r="AB40">
        <v>5281.6845020750052</v>
      </c>
      <c r="AC40">
        <v>5292.156061681063</v>
      </c>
      <c r="AD40">
        <v>5302.5847018636268</v>
      </c>
      <c r="AE40">
        <v>5312.9687389247601</v>
      </c>
      <c r="AF40">
        <v>5323.3064962458566</v>
      </c>
      <c r="AG40">
        <v>5333.5963045859717</v>
      </c>
      <c r="AH40">
        <v>5343.8365023790293</v>
      </c>
      <c r="AI40">
        <v>5354.0254360298286</v>
      </c>
      <c r="AJ40">
        <v>5364.1614602088066</v>
      </c>
      <c r="AK40">
        <v>5374.2429381455113</v>
      </c>
      <c r="AL40">
        <v>5384.2682419207131</v>
      </c>
      <c r="AM40">
        <v>5394.2357527571221</v>
      </c>
      <c r="AN40">
        <v>5404.1438613086484</v>
      </c>
      <c r="AO40">
        <v>5413.9909679481507</v>
      </c>
      <c r="AP40">
        <v>5423.7754830536296</v>
      </c>
      <c r="AQ40">
        <v>5433.4958272928061</v>
      </c>
      <c r="AR40">
        <v>5443.150431906035</v>
      </c>
      <c r="AS40">
        <v>5452.7377389875128</v>
      </c>
      <c r="AT40">
        <v>5462.2562017647024</v>
      </c>
      <c r="AU40">
        <v>5471.7042848759638</v>
      </c>
      <c r="AV40">
        <v>3836.7563252524028</v>
      </c>
      <c r="AW40">
        <v>5490.3832293611586</v>
      </c>
      <c r="AX40">
        <v>5499.611079538382</v>
      </c>
    </row>
    <row r="41" spans="2:50" x14ac:dyDescent="0.2">
      <c r="B41" s="184" t="s">
        <v>107</v>
      </c>
      <c r="C41">
        <v>3006.5883016813805</v>
      </c>
      <c r="D41">
        <v>3013.1780103151486</v>
      </c>
      <c r="E41">
        <v>3019.7680695375102</v>
      </c>
      <c r="F41">
        <v>3026.3574224454624</v>
      </c>
      <c r="G41">
        <v>3032.9450117820752</v>
      </c>
      <c r="H41">
        <v>3039.5297801219349</v>
      </c>
      <c r="I41">
        <v>3046.1106700567357</v>
      </c>
      <c r="J41">
        <v>3052.6866243809636</v>
      </c>
      <c r="K41">
        <v>3059.2565862776564</v>
      </c>
      <c r="L41">
        <v>3065.8194995042027</v>
      </c>
      <c r="M41">
        <v>3072.3743085781439</v>
      </c>
      <c r="N41">
        <v>3078.9199589629461</v>
      </c>
      <c r="O41">
        <v>3085.4553972537178</v>
      </c>
      <c r="P41">
        <v>3091.9795713628264</v>
      </c>
      <c r="Q41">
        <v>3098.4914307053937</v>
      </c>
      <c r="R41">
        <v>3104.9899263846269</v>
      </c>
      <c r="S41">
        <v>3111.4740113769658</v>
      </c>
      <c r="T41">
        <v>3117.9426407169926</v>
      </c>
      <c r="U41">
        <v>3124.3947716820899</v>
      </c>
      <c r="V41">
        <v>3130.8293639768099</v>
      </c>
      <c r="W41">
        <v>3137.2453799169161</v>
      </c>
      <c r="X41">
        <v>1257.4567138452264</v>
      </c>
      <c r="Y41">
        <v>1260.0070184616422</v>
      </c>
      <c r="Z41">
        <v>3156.3716357899466</v>
      </c>
      <c r="AA41">
        <v>3162.7030281139782</v>
      </c>
      <c r="AB41">
        <v>3169.010701245003</v>
      </c>
      <c r="AC41">
        <v>3175.2936370086377</v>
      </c>
      <c r="AD41">
        <v>3181.5508211181759</v>
      </c>
      <c r="AE41">
        <v>3187.7812433548561</v>
      </c>
      <c r="AF41">
        <v>3193.9838977475138</v>
      </c>
      <c r="AG41">
        <v>320.01577827515831</v>
      </c>
      <c r="AH41">
        <v>3206.3019014274178</v>
      </c>
      <c r="AI41">
        <v>3212.4152616178967</v>
      </c>
      <c r="AJ41">
        <v>3218.496876125284</v>
      </c>
      <c r="AK41">
        <v>3224.5457628873069</v>
      </c>
      <c r="AL41">
        <v>3230.5609451524278</v>
      </c>
      <c r="AM41">
        <v>3236.5414516542737</v>
      </c>
      <c r="AN41">
        <v>3242.486316785189</v>
      </c>
      <c r="AO41">
        <v>3248.3945807688906</v>
      </c>
      <c r="AP41">
        <v>3254.2652898321776</v>
      </c>
      <c r="AQ41">
        <v>2282.0682474629784</v>
      </c>
      <c r="AR41">
        <v>3265.8902591436208</v>
      </c>
      <c r="AS41">
        <v>327.16426433925079</v>
      </c>
      <c r="AT41">
        <v>327.73537210588216</v>
      </c>
      <c r="AU41">
        <v>328.30225709255785</v>
      </c>
      <c r="AV41">
        <v>3288.648278787774</v>
      </c>
      <c r="AW41">
        <v>3294.2299376166952</v>
      </c>
      <c r="AX41">
        <v>3299.7666477230291</v>
      </c>
    </row>
    <row r="42" spans="2:50" x14ac:dyDescent="0.2">
      <c r="B42" s="184" t="s">
        <v>108</v>
      </c>
      <c r="C42">
        <v>10000000</v>
      </c>
      <c r="D42">
        <v>10000000</v>
      </c>
      <c r="E42">
        <v>10000000</v>
      </c>
      <c r="F42">
        <v>10000000</v>
      </c>
      <c r="G42">
        <v>10000000</v>
      </c>
      <c r="H42">
        <v>10000000</v>
      </c>
      <c r="I42">
        <v>10000000</v>
      </c>
      <c r="J42">
        <v>10000000</v>
      </c>
      <c r="K42">
        <v>10000000</v>
      </c>
      <c r="L42">
        <v>10000000</v>
      </c>
      <c r="M42">
        <v>10000000</v>
      </c>
      <c r="N42">
        <v>10000000</v>
      </c>
      <c r="O42">
        <v>10000000</v>
      </c>
      <c r="P42">
        <v>10000000</v>
      </c>
      <c r="Q42">
        <v>10000000</v>
      </c>
      <c r="R42">
        <v>10000000</v>
      </c>
      <c r="S42">
        <v>10000000</v>
      </c>
      <c r="T42">
        <v>10000000</v>
      </c>
      <c r="U42">
        <v>10000000</v>
      </c>
      <c r="V42">
        <v>10000000</v>
      </c>
      <c r="W42">
        <v>10000000</v>
      </c>
      <c r="X42">
        <v>10000000</v>
      </c>
      <c r="Y42">
        <v>10000000</v>
      </c>
      <c r="Z42">
        <v>10000000</v>
      </c>
      <c r="AA42">
        <v>10000000</v>
      </c>
      <c r="AB42">
        <v>10000000</v>
      </c>
      <c r="AC42">
        <v>10000000</v>
      </c>
      <c r="AD42">
        <v>10000000</v>
      </c>
      <c r="AE42">
        <v>10000000</v>
      </c>
      <c r="AF42">
        <v>10000000</v>
      </c>
      <c r="AG42">
        <v>10000000</v>
      </c>
      <c r="AH42">
        <v>10000000</v>
      </c>
      <c r="AI42">
        <v>10000000</v>
      </c>
      <c r="AJ42">
        <v>10000000</v>
      </c>
      <c r="AK42">
        <v>10000000</v>
      </c>
      <c r="AL42">
        <v>10000000</v>
      </c>
      <c r="AM42">
        <v>10000000</v>
      </c>
      <c r="AN42">
        <v>10000000</v>
      </c>
      <c r="AO42">
        <v>10000000</v>
      </c>
      <c r="AP42">
        <v>10000000</v>
      </c>
      <c r="AQ42">
        <v>10000000</v>
      </c>
      <c r="AR42">
        <v>10000000</v>
      </c>
      <c r="AS42">
        <v>10000000</v>
      </c>
      <c r="AT42">
        <v>10000000</v>
      </c>
      <c r="AU42">
        <v>10000000</v>
      </c>
      <c r="AV42">
        <v>10000000</v>
      </c>
      <c r="AW42">
        <v>10000000</v>
      </c>
      <c r="AX42">
        <v>10000000</v>
      </c>
    </row>
    <row r="43" spans="2:50" x14ac:dyDescent="0.2">
      <c r="B43" s="184" t="s">
        <v>109</v>
      </c>
      <c r="C43">
        <v>10000000</v>
      </c>
      <c r="D43">
        <v>10000000</v>
      </c>
      <c r="E43">
        <v>10000000</v>
      </c>
      <c r="F43">
        <v>10000000</v>
      </c>
      <c r="G43">
        <v>10000000</v>
      </c>
      <c r="H43">
        <v>10000000</v>
      </c>
      <c r="I43">
        <v>10000000</v>
      </c>
      <c r="J43">
        <v>10000000</v>
      </c>
      <c r="K43">
        <v>10000000</v>
      </c>
      <c r="L43">
        <v>10000000</v>
      </c>
      <c r="M43">
        <v>10000000</v>
      </c>
      <c r="N43">
        <v>10000000</v>
      </c>
      <c r="O43">
        <v>10000000</v>
      </c>
      <c r="P43">
        <v>10000000</v>
      </c>
      <c r="Q43">
        <v>10000000</v>
      </c>
      <c r="R43">
        <v>10000000</v>
      </c>
      <c r="S43">
        <v>10000000</v>
      </c>
      <c r="T43">
        <v>10000000</v>
      </c>
      <c r="U43">
        <v>10000000</v>
      </c>
      <c r="V43">
        <v>10000000</v>
      </c>
      <c r="W43">
        <v>10000000</v>
      </c>
      <c r="X43">
        <v>10000000</v>
      </c>
      <c r="Y43">
        <v>10000000</v>
      </c>
      <c r="Z43">
        <v>10000000</v>
      </c>
      <c r="AA43">
        <v>10000000</v>
      </c>
      <c r="AB43">
        <v>10000000</v>
      </c>
      <c r="AC43">
        <v>10000000</v>
      </c>
      <c r="AD43">
        <v>10000000</v>
      </c>
      <c r="AE43">
        <v>10000000</v>
      </c>
      <c r="AF43">
        <v>10000000</v>
      </c>
      <c r="AG43">
        <v>10000000</v>
      </c>
      <c r="AH43">
        <v>10000000</v>
      </c>
      <c r="AI43">
        <v>10000000</v>
      </c>
      <c r="AJ43">
        <v>10000000</v>
      </c>
      <c r="AK43">
        <v>10000000</v>
      </c>
      <c r="AL43">
        <v>10000000</v>
      </c>
      <c r="AM43">
        <v>10000000</v>
      </c>
      <c r="AN43">
        <v>10000000</v>
      </c>
      <c r="AO43">
        <v>10000000</v>
      </c>
      <c r="AP43">
        <v>10000000</v>
      </c>
      <c r="AQ43">
        <v>10000000</v>
      </c>
      <c r="AR43">
        <v>10000000</v>
      </c>
      <c r="AS43">
        <v>10000000</v>
      </c>
      <c r="AT43">
        <v>10000000</v>
      </c>
      <c r="AU43">
        <v>10000000</v>
      </c>
      <c r="AV43">
        <v>10000000</v>
      </c>
      <c r="AW43">
        <v>10000000</v>
      </c>
      <c r="AX43">
        <v>10000000</v>
      </c>
    </row>
    <row r="45" spans="2:50" x14ac:dyDescent="0.2">
      <c r="B45" s="118" t="s">
        <v>324</v>
      </c>
    </row>
    <row r="46" spans="2:50" x14ac:dyDescent="0.2">
      <c r="B46" s="116" t="s">
        <v>274</v>
      </c>
      <c r="C46" s="116" t="s">
        <v>92</v>
      </c>
      <c r="D46" s="117"/>
      <c r="E46" s="117"/>
      <c r="F46" s="117"/>
      <c r="G46" s="116" t="s">
        <v>93</v>
      </c>
      <c r="H46" s="117"/>
      <c r="I46" s="117"/>
      <c r="J46" s="117"/>
      <c r="K46" s="116" t="s">
        <v>94</v>
      </c>
      <c r="L46" s="117"/>
      <c r="M46" s="117"/>
      <c r="N46" s="117"/>
      <c r="O46" s="116" t="s">
        <v>95</v>
      </c>
      <c r="P46" s="117"/>
      <c r="Q46" s="117"/>
      <c r="R46" s="117"/>
      <c r="S46" s="116" t="s">
        <v>96</v>
      </c>
      <c r="T46" s="117"/>
      <c r="U46" s="117"/>
      <c r="V46" s="117"/>
      <c r="W46" s="116" t="s">
        <v>97</v>
      </c>
      <c r="X46" s="117"/>
      <c r="Y46" s="117"/>
      <c r="Z46" s="117"/>
      <c r="AA46" s="116" t="s">
        <v>98</v>
      </c>
      <c r="AB46" s="117"/>
      <c r="AC46" s="117"/>
      <c r="AD46" s="117"/>
      <c r="AE46" s="116" t="s">
        <v>99</v>
      </c>
      <c r="AF46" s="117"/>
      <c r="AG46" s="117"/>
      <c r="AH46" s="117"/>
      <c r="AI46" s="116" t="s">
        <v>100</v>
      </c>
      <c r="AJ46" s="117"/>
      <c r="AK46" s="117"/>
      <c r="AL46" s="117"/>
      <c r="AM46" s="116" t="s">
        <v>101</v>
      </c>
      <c r="AN46" s="117"/>
      <c r="AO46" s="117"/>
      <c r="AP46" s="117"/>
      <c r="AQ46" s="116" t="s">
        <v>102</v>
      </c>
      <c r="AR46" s="117"/>
      <c r="AS46" s="117"/>
      <c r="AT46" s="117"/>
      <c r="AU46" s="116" t="s">
        <v>103</v>
      </c>
      <c r="AV46" s="117"/>
      <c r="AW46" s="117"/>
    </row>
    <row r="47" spans="2:50" x14ac:dyDescent="0.2">
      <c r="B47" s="116" t="s">
        <v>325</v>
      </c>
      <c r="C47" s="116">
        <v>1</v>
      </c>
      <c r="D47" s="116">
        <v>2</v>
      </c>
      <c r="E47" s="116">
        <v>3</v>
      </c>
      <c r="F47" s="116">
        <v>4</v>
      </c>
      <c r="G47" s="116">
        <v>1</v>
      </c>
      <c r="H47" s="116">
        <v>2</v>
      </c>
      <c r="I47" s="116">
        <v>3</v>
      </c>
      <c r="J47" s="116">
        <v>4</v>
      </c>
      <c r="K47" s="116">
        <v>1</v>
      </c>
      <c r="L47" s="116">
        <v>2</v>
      </c>
      <c r="M47" s="116">
        <v>3</v>
      </c>
      <c r="N47" s="116">
        <v>4</v>
      </c>
      <c r="O47" s="116">
        <v>1</v>
      </c>
      <c r="P47" s="116">
        <v>2</v>
      </c>
      <c r="Q47" s="116">
        <v>3</v>
      </c>
      <c r="R47" s="116">
        <v>4</v>
      </c>
      <c r="S47" s="116">
        <v>1</v>
      </c>
      <c r="T47" s="116">
        <v>2</v>
      </c>
      <c r="U47" s="116">
        <v>3</v>
      </c>
      <c r="V47" s="116">
        <v>4</v>
      </c>
      <c r="W47" s="116">
        <v>1</v>
      </c>
      <c r="X47" s="116">
        <v>2</v>
      </c>
      <c r="Y47" s="116">
        <v>3</v>
      </c>
      <c r="Z47" s="116">
        <v>4</v>
      </c>
      <c r="AA47" s="116">
        <v>1</v>
      </c>
      <c r="AB47" s="116">
        <v>2</v>
      </c>
      <c r="AC47" s="116">
        <v>3</v>
      </c>
      <c r="AD47" s="116">
        <v>4</v>
      </c>
      <c r="AE47" s="116">
        <v>1</v>
      </c>
      <c r="AF47" s="116">
        <v>2</v>
      </c>
      <c r="AG47" s="116">
        <v>3</v>
      </c>
      <c r="AH47" s="116">
        <v>4</v>
      </c>
      <c r="AI47" s="116">
        <v>1</v>
      </c>
      <c r="AJ47" s="116">
        <v>2</v>
      </c>
      <c r="AK47" s="116">
        <v>3</v>
      </c>
      <c r="AL47" s="116">
        <v>4</v>
      </c>
      <c r="AM47" s="116">
        <v>1</v>
      </c>
      <c r="AN47" s="116">
        <v>2</v>
      </c>
      <c r="AO47" s="116">
        <v>3</v>
      </c>
      <c r="AP47" s="116">
        <v>4</v>
      </c>
      <c r="AQ47" s="116">
        <v>1</v>
      </c>
      <c r="AR47" s="116">
        <v>2</v>
      </c>
      <c r="AS47" s="116">
        <v>3</v>
      </c>
      <c r="AT47" s="116">
        <v>4</v>
      </c>
      <c r="AU47" s="116">
        <v>1</v>
      </c>
      <c r="AV47" s="116">
        <v>2</v>
      </c>
      <c r="AW47" s="116">
        <v>3</v>
      </c>
      <c r="AX47" s="116">
        <v>4</v>
      </c>
    </row>
    <row r="48" spans="2:50" x14ac:dyDescent="0.2">
      <c r="B48" s="116" t="s">
        <v>104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</row>
    <row r="49" spans="2:51" x14ac:dyDescent="0.2">
      <c r="B49" s="116" t="s">
        <v>105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</row>
    <row r="50" spans="2:51" x14ac:dyDescent="0.2">
      <c r="B50" s="116" t="s">
        <v>106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 s="126"/>
    </row>
    <row r="51" spans="2:51" x14ac:dyDescent="0.2">
      <c r="B51" s="116" t="s">
        <v>107</v>
      </c>
      <c r="C51">
        <v>3006.5883016813805</v>
      </c>
      <c r="D51">
        <v>3013.1780103151486</v>
      </c>
      <c r="E51">
        <v>3019.7680695375102</v>
      </c>
      <c r="F51">
        <v>3026.3574224454624</v>
      </c>
      <c r="G51">
        <v>3032.9450117820752</v>
      </c>
      <c r="H51">
        <v>3039.5297801219349</v>
      </c>
      <c r="I51">
        <v>3046.1106700567357</v>
      </c>
      <c r="J51">
        <v>3052.6866243809636</v>
      </c>
      <c r="K51">
        <v>3059.2565862776564</v>
      </c>
      <c r="L51">
        <v>3065.8194995042027</v>
      </c>
      <c r="M51">
        <v>3066.0264252190664</v>
      </c>
      <c r="N51">
        <v>3066.0264252190664</v>
      </c>
      <c r="O51">
        <v>3066.0264252190664</v>
      </c>
      <c r="P51">
        <v>3066.0264252190664</v>
      </c>
      <c r="Q51">
        <v>3066.0264252190664</v>
      </c>
      <c r="R51">
        <v>3066.0264252190664</v>
      </c>
      <c r="S51">
        <v>3066.0264252190664</v>
      </c>
      <c r="T51">
        <v>3066.0264252190664</v>
      </c>
      <c r="U51">
        <v>3066.0264252190664</v>
      </c>
      <c r="V51">
        <v>3066.0264252190664</v>
      </c>
      <c r="W51">
        <v>3066.0264252190664</v>
      </c>
      <c r="X51">
        <v>1257.4567138452264</v>
      </c>
      <c r="Y51">
        <v>1260.0070184616422</v>
      </c>
      <c r="Z51">
        <v>3066.0264252190664</v>
      </c>
      <c r="AA51">
        <v>3066.0264252190664</v>
      </c>
      <c r="AB51">
        <v>3066.0264252190664</v>
      </c>
      <c r="AC51">
        <v>3066.0264252190664</v>
      </c>
      <c r="AD51">
        <v>3066.0264252190664</v>
      </c>
      <c r="AE51">
        <v>3066.0264252190664</v>
      </c>
      <c r="AF51">
        <v>3066.0264252190664</v>
      </c>
      <c r="AG51">
        <v>320.01577827515831</v>
      </c>
      <c r="AH51">
        <v>3066.0264252190664</v>
      </c>
      <c r="AI51">
        <v>3066.0264252190664</v>
      </c>
      <c r="AJ51">
        <v>3066.0264252190664</v>
      </c>
      <c r="AK51">
        <v>3066.0264252190664</v>
      </c>
      <c r="AL51">
        <v>3066.0264252190664</v>
      </c>
      <c r="AM51">
        <v>3066.0264252190664</v>
      </c>
      <c r="AN51">
        <v>3066.0264252190664</v>
      </c>
      <c r="AO51">
        <v>3066.0264252190664</v>
      </c>
      <c r="AP51">
        <v>3066.0264252190664</v>
      </c>
      <c r="AQ51">
        <v>2282.0682474629784</v>
      </c>
      <c r="AR51">
        <v>3066.0264252190664</v>
      </c>
      <c r="AS51">
        <v>327.16426433925079</v>
      </c>
      <c r="AT51">
        <v>327.73537210588216</v>
      </c>
      <c r="AU51">
        <v>328.30225709255785</v>
      </c>
      <c r="AV51">
        <v>3066.0264252190664</v>
      </c>
      <c r="AW51">
        <v>3066.0264252190664</v>
      </c>
      <c r="AX51">
        <v>3066.0264252190664</v>
      </c>
      <c r="AY51" s="9"/>
    </row>
    <row r="52" spans="2:51" x14ac:dyDescent="0.2">
      <c r="B52" s="116" t="s">
        <v>108</v>
      </c>
      <c r="C52">
        <v>3546.9956418034985</v>
      </c>
      <c r="D52">
        <v>3546.9956418034985</v>
      </c>
      <c r="E52">
        <v>3546.9956418034985</v>
      </c>
      <c r="F52">
        <v>3546.9956418034985</v>
      </c>
      <c r="G52">
        <v>3546.9956418034985</v>
      </c>
      <c r="H52">
        <v>3546.9956418034985</v>
      </c>
      <c r="I52">
        <v>3546.9956418034985</v>
      </c>
      <c r="J52">
        <v>3546.9956418034985</v>
      </c>
      <c r="K52">
        <v>3546.9956418034985</v>
      </c>
      <c r="L52">
        <v>3546.9956418034985</v>
      </c>
      <c r="M52">
        <v>3546.9956418034985</v>
      </c>
      <c r="N52">
        <v>3546.9956418034985</v>
      </c>
      <c r="O52">
        <v>3546.9956418034985</v>
      </c>
      <c r="P52">
        <v>3546.9956418034985</v>
      </c>
      <c r="Q52">
        <v>3546.9956418034985</v>
      </c>
      <c r="R52">
        <v>3546.9956418034985</v>
      </c>
      <c r="S52">
        <v>3546.9956418034985</v>
      </c>
      <c r="T52">
        <v>3546.9956418034985</v>
      </c>
      <c r="U52">
        <v>3546.9956418034985</v>
      </c>
      <c r="V52">
        <v>3546.9956418034985</v>
      </c>
      <c r="W52">
        <v>3546.9956418034985</v>
      </c>
      <c r="X52">
        <v>3546.9956418034985</v>
      </c>
      <c r="Y52">
        <v>3546.9956418034985</v>
      </c>
      <c r="Z52">
        <v>3546.9956418034985</v>
      </c>
      <c r="AA52">
        <v>3546.9956418034985</v>
      </c>
      <c r="AB52">
        <v>3546.9956418034985</v>
      </c>
      <c r="AC52">
        <v>3546.9956418034985</v>
      </c>
      <c r="AD52">
        <v>3546.9956418034985</v>
      </c>
      <c r="AE52">
        <v>3546.9956418034985</v>
      </c>
      <c r="AF52">
        <v>3546.9956418034985</v>
      </c>
      <c r="AG52">
        <v>3546.9956418034985</v>
      </c>
      <c r="AH52">
        <v>3546.9956418034985</v>
      </c>
      <c r="AI52">
        <v>3546.9956418034985</v>
      </c>
      <c r="AJ52">
        <v>3546.9956418034985</v>
      </c>
      <c r="AK52">
        <v>3546.9956418034985</v>
      </c>
      <c r="AL52">
        <v>3546.9956418034985</v>
      </c>
      <c r="AM52">
        <v>3546.9956418034985</v>
      </c>
      <c r="AN52">
        <v>3546.9956418034985</v>
      </c>
      <c r="AO52">
        <v>3546.9956418034985</v>
      </c>
      <c r="AP52">
        <v>3546.9956418034985</v>
      </c>
      <c r="AQ52">
        <v>3546.9956418034985</v>
      </c>
      <c r="AR52">
        <v>3546.9956418034985</v>
      </c>
      <c r="AS52">
        <v>3546.9956418034985</v>
      </c>
      <c r="AT52">
        <v>3546.9956418034985</v>
      </c>
      <c r="AU52">
        <v>3546.9956418034985</v>
      </c>
      <c r="AV52">
        <v>3546.9956418034985</v>
      </c>
      <c r="AW52">
        <v>3546.9956418034985</v>
      </c>
      <c r="AX52">
        <v>3546.9956418034985</v>
      </c>
    </row>
    <row r="53" spans="2:51" x14ac:dyDescent="0.2">
      <c r="B53" s="116" t="s">
        <v>109</v>
      </c>
      <c r="C53">
        <v>2985.5848733451789</v>
      </c>
      <c r="D53">
        <v>2985.5848733451789</v>
      </c>
      <c r="E53">
        <v>2985.5848733451789</v>
      </c>
      <c r="F53">
        <v>2985.5848733451789</v>
      </c>
      <c r="G53">
        <v>2985.5848733451789</v>
      </c>
      <c r="H53">
        <v>2985.5848733451789</v>
      </c>
      <c r="I53">
        <v>2985.5848733451789</v>
      </c>
      <c r="J53">
        <v>2985.5848733451789</v>
      </c>
      <c r="K53">
        <v>2985.5848733451789</v>
      </c>
      <c r="L53">
        <v>2985.5848733451789</v>
      </c>
      <c r="M53">
        <v>2985.5848733451789</v>
      </c>
      <c r="N53">
        <v>2985.5848733451789</v>
      </c>
      <c r="O53">
        <v>2985.5848733451789</v>
      </c>
      <c r="P53">
        <v>2985.5848733451789</v>
      </c>
      <c r="Q53">
        <v>2985.5848733451789</v>
      </c>
      <c r="R53">
        <v>2985.5848733451789</v>
      </c>
      <c r="S53">
        <v>2985.5848733451789</v>
      </c>
      <c r="T53">
        <v>2985.5848733451789</v>
      </c>
      <c r="U53">
        <v>2985.5848733451789</v>
      </c>
      <c r="V53">
        <v>2985.5848733451789</v>
      </c>
      <c r="W53">
        <v>2985.5848733451789</v>
      </c>
      <c r="X53">
        <v>2985.5848733451789</v>
      </c>
      <c r="Y53">
        <v>2985.5848733451789</v>
      </c>
      <c r="Z53">
        <v>2985.5848733451789</v>
      </c>
      <c r="AA53">
        <v>2985.5848733451789</v>
      </c>
      <c r="AB53">
        <v>2985.5848733451789</v>
      </c>
      <c r="AC53">
        <v>2985.5848733451789</v>
      </c>
      <c r="AD53">
        <v>2985.5848733451789</v>
      </c>
      <c r="AE53">
        <v>2985.5848733451789</v>
      </c>
      <c r="AF53">
        <v>2985.5848733451789</v>
      </c>
      <c r="AG53">
        <v>2985.5848733451789</v>
      </c>
      <c r="AH53">
        <v>2985.5848733451789</v>
      </c>
      <c r="AI53">
        <v>2985.5848733451789</v>
      </c>
      <c r="AJ53">
        <v>2985.5848733451789</v>
      </c>
      <c r="AK53">
        <v>2985.5848733451789</v>
      </c>
      <c r="AL53">
        <v>2985.5848733451789</v>
      </c>
      <c r="AM53">
        <v>2985.5848733451789</v>
      </c>
      <c r="AN53">
        <v>2985.5848733451789</v>
      </c>
      <c r="AO53">
        <v>2985.5848733451789</v>
      </c>
      <c r="AP53">
        <v>2985.5848733451789</v>
      </c>
      <c r="AQ53">
        <v>2985.5848733451789</v>
      </c>
      <c r="AR53">
        <v>2985.5848733451789</v>
      </c>
      <c r="AS53">
        <v>2985.5848733451789</v>
      </c>
      <c r="AT53">
        <v>2985.5848733451789</v>
      </c>
      <c r="AU53">
        <v>2985.5848733451789</v>
      </c>
      <c r="AV53">
        <v>2985.5848733451789</v>
      </c>
      <c r="AW53">
        <v>2985.5848733451789</v>
      </c>
      <c r="AX53">
        <v>2985.5848733451789</v>
      </c>
    </row>
    <row r="55" spans="2:51" x14ac:dyDescent="0.2">
      <c r="B55" s="53" t="s">
        <v>326</v>
      </c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</row>
    <row r="56" spans="2:51" x14ac:dyDescent="0.2">
      <c r="B56" s="120" t="s">
        <v>274</v>
      </c>
      <c r="C56" s="120" t="s">
        <v>92</v>
      </c>
      <c r="D56" s="117"/>
      <c r="E56" s="117"/>
      <c r="F56" s="117"/>
      <c r="G56" s="120" t="s">
        <v>93</v>
      </c>
      <c r="H56" s="117"/>
      <c r="I56" s="117"/>
      <c r="J56" s="117"/>
      <c r="K56" s="120" t="s">
        <v>94</v>
      </c>
      <c r="L56" s="117"/>
      <c r="M56" s="117"/>
      <c r="N56" s="117"/>
      <c r="O56" s="120" t="s">
        <v>95</v>
      </c>
      <c r="P56" s="117"/>
      <c r="Q56" s="117"/>
      <c r="R56" s="117"/>
      <c r="S56" s="120" t="s">
        <v>96</v>
      </c>
      <c r="T56" s="117"/>
      <c r="U56" s="117"/>
      <c r="V56" s="117"/>
      <c r="W56" s="120" t="s">
        <v>97</v>
      </c>
      <c r="X56" s="117"/>
      <c r="Y56" s="117"/>
      <c r="Z56" s="117"/>
      <c r="AA56" s="120" t="s">
        <v>98</v>
      </c>
      <c r="AB56" s="117"/>
      <c r="AC56" s="117"/>
      <c r="AD56" s="117"/>
      <c r="AE56" s="120" t="s">
        <v>99</v>
      </c>
      <c r="AF56" s="117"/>
      <c r="AG56" s="117"/>
      <c r="AH56" s="117"/>
      <c r="AI56" s="120" t="s">
        <v>100</v>
      </c>
      <c r="AJ56" s="117"/>
      <c r="AK56" s="117"/>
      <c r="AL56" s="117"/>
      <c r="AM56" s="120" t="s">
        <v>101</v>
      </c>
      <c r="AN56" s="117"/>
      <c r="AO56" s="117"/>
      <c r="AP56" s="117"/>
      <c r="AQ56" s="120" t="s">
        <v>102</v>
      </c>
      <c r="AR56" s="117"/>
      <c r="AS56" s="117"/>
      <c r="AT56" s="117"/>
      <c r="AU56" s="120" t="s">
        <v>103</v>
      </c>
      <c r="AV56" s="117"/>
      <c r="AW56" s="117"/>
    </row>
    <row r="57" spans="2:51" x14ac:dyDescent="0.2">
      <c r="B57" s="120" t="s">
        <v>325</v>
      </c>
      <c r="C57" s="120">
        <v>1</v>
      </c>
      <c r="D57" s="120">
        <v>2</v>
      </c>
      <c r="E57" s="120">
        <v>3</v>
      </c>
      <c r="F57" s="120">
        <v>4</v>
      </c>
      <c r="G57" s="120">
        <v>1</v>
      </c>
      <c r="H57" s="120">
        <v>2</v>
      </c>
      <c r="I57" s="120">
        <v>3</v>
      </c>
      <c r="J57" s="120">
        <v>4</v>
      </c>
      <c r="K57" s="120">
        <v>1</v>
      </c>
      <c r="L57" s="120">
        <v>2</v>
      </c>
      <c r="M57" s="120">
        <v>3</v>
      </c>
      <c r="N57" s="120">
        <v>4</v>
      </c>
      <c r="O57" s="120">
        <v>1</v>
      </c>
      <c r="P57" s="120">
        <v>2</v>
      </c>
      <c r="Q57" s="120">
        <v>3</v>
      </c>
      <c r="R57" s="120">
        <v>4</v>
      </c>
      <c r="S57" s="120">
        <v>1</v>
      </c>
      <c r="T57" s="120">
        <v>2</v>
      </c>
      <c r="U57" s="120">
        <v>3</v>
      </c>
      <c r="V57" s="120">
        <v>4</v>
      </c>
      <c r="W57" s="120">
        <v>1</v>
      </c>
      <c r="X57" s="120">
        <v>2</v>
      </c>
      <c r="Y57" s="120">
        <v>3</v>
      </c>
      <c r="Z57" s="120">
        <v>4</v>
      </c>
      <c r="AA57" s="120">
        <v>1</v>
      </c>
      <c r="AB57" s="120">
        <v>2</v>
      </c>
      <c r="AC57" s="120">
        <v>3</v>
      </c>
      <c r="AD57" s="120">
        <v>4</v>
      </c>
      <c r="AE57" s="120">
        <v>1</v>
      </c>
      <c r="AF57" s="120">
        <v>2</v>
      </c>
      <c r="AG57" s="120">
        <v>3</v>
      </c>
      <c r="AH57" s="120">
        <v>4</v>
      </c>
      <c r="AI57" s="120">
        <v>1</v>
      </c>
      <c r="AJ57" s="120">
        <v>2</v>
      </c>
      <c r="AK57" s="120">
        <v>3</v>
      </c>
      <c r="AL57" s="120">
        <v>4</v>
      </c>
      <c r="AM57" s="120">
        <v>1</v>
      </c>
      <c r="AN57" s="120">
        <v>2</v>
      </c>
      <c r="AO57" s="120">
        <v>3</v>
      </c>
      <c r="AP57" s="120">
        <v>4</v>
      </c>
      <c r="AQ57" s="120">
        <v>1</v>
      </c>
      <c r="AR57" s="120">
        <v>2</v>
      </c>
      <c r="AS57" s="120">
        <v>3</v>
      </c>
      <c r="AT57" s="120">
        <v>4</v>
      </c>
      <c r="AU57" s="120">
        <v>1</v>
      </c>
      <c r="AV57" s="120">
        <v>2</v>
      </c>
      <c r="AW57" s="120">
        <v>3</v>
      </c>
      <c r="AX57" s="120">
        <v>4</v>
      </c>
    </row>
    <row r="58" spans="2:51" x14ac:dyDescent="0.2">
      <c r="B58" s="120" t="s">
        <v>104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</row>
    <row r="59" spans="2:51" x14ac:dyDescent="0.2">
      <c r="B59" s="120" t="s">
        <v>105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</row>
    <row r="60" spans="2:51" x14ac:dyDescent="0.2">
      <c r="B60" s="120" t="s">
        <v>106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</row>
    <row r="61" spans="2:51" x14ac:dyDescent="0.2">
      <c r="B61" s="120" t="s">
        <v>107</v>
      </c>
      <c r="C61">
        <v>4162062.8894170607</v>
      </c>
      <c r="D61">
        <v>4171185.1166742281</v>
      </c>
      <c r="E61">
        <v>4180307.8292561639</v>
      </c>
      <c r="F61">
        <v>4189429.5640770323</v>
      </c>
      <c r="G61">
        <v>4236534.6190168625</v>
      </c>
      <c r="H61">
        <v>4245732.4775080811</v>
      </c>
      <c r="I61">
        <v>4254924.9184934665</v>
      </c>
      <c r="J61">
        <v>4264110.465227562</v>
      </c>
      <c r="K61">
        <v>4384801.3531720061</v>
      </c>
      <c r="L61">
        <v>4394207.9099562885</v>
      </c>
      <c r="M61">
        <v>4394504.4944790164</v>
      </c>
      <c r="N61">
        <v>4394504.4944790164</v>
      </c>
      <c r="O61">
        <v>4268674.7065706039</v>
      </c>
      <c r="P61">
        <v>4268674.7065706039</v>
      </c>
      <c r="Q61">
        <v>4268674.7065706039</v>
      </c>
      <c r="R61">
        <v>4268674.7065706039</v>
      </c>
      <c r="S61">
        <v>4270185.2431398025</v>
      </c>
      <c r="T61">
        <v>4270185.2431398025</v>
      </c>
      <c r="U61">
        <v>4270185.2431398025</v>
      </c>
      <c r="V61">
        <v>4270185.2431398025</v>
      </c>
      <c r="W61">
        <v>5118686.3976277867</v>
      </c>
      <c r="X61">
        <v>2099305.6432334599</v>
      </c>
      <c r="Y61">
        <v>2103563.339593308</v>
      </c>
      <c r="Z61">
        <v>5118686.3976277867</v>
      </c>
      <c r="AA61">
        <v>4325860.1626289869</v>
      </c>
      <c r="AB61">
        <v>4325860.1626289869</v>
      </c>
      <c r="AC61">
        <v>4325860.1626289869</v>
      </c>
      <c r="AD61">
        <v>4325860.1626289869</v>
      </c>
      <c r="AE61">
        <v>4730181.6632324709</v>
      </c>
      <c r="AF61">
        <v>4730181.6632324709</v>
      </c>
      <c r="AG61">
        <v>493711.58509635687</v>
      </c>
      <c r="AH61">
        <v>4730181.6632324709</v>
      </c>
      <c r="AI61">
        <v>4194536.5790789695</v>
      </c>
      <c r="AJ61">
        <v>4194536.5790789695</v>
      </c>
      <c r="AK61">
        <v>4194536.5790789695</v>
      </c>
      <c r="AL61">
        <v>4194536.5790789695</v>
      </c>
      <c r="AM61">
        <v>4005126.9790323675</v>
      </c>
      <c r="AN61">
        <v>4005126.9790323675</v>
      </c>
      <c r="AO61">
        <v>4005126.9790323675</v>
      </c>
      <c r="AP61">
        <v>4005126.9790323675</v>
      </c>
      <c r="AQ61">
        <v>4735334.4930033209</v>
      </c>
      <c r="AR61">
        <v>6362062.442234233</v>
      </c>
      <c r="AS61">
        <v>678871.99584237835</v>
      </c>
      <c r="AT61">
        <v>680057.05518911697</v>
      </c>
      <c r="AU61">
        <v>479331.26386371214</v>
      </c>
      <c r="AV61">
        <v>4476491.6770750675</v>
      </c>
      <c r="AW61">
        <v>4476491.6770750675</v>
      </c>
      <c r="AX61">
        <v>4476491.6770750675</v>
      </c>
    </row>
    <row r="62" spans="2:51" x14ac:dyDescent="0.2">
      <c r="B62" s="120" t="s">
        <v>108</v>
      </c>
      <c r="C62">
        <v>5344006.0355598321</v>
      </c>
      <c r="D62">
        <v>5344006.0355598321</v>
      </c>
      <c r="E62">
        <v>5344006.0355598321</v>
      </c>
      <c r="F62">
        <v>5344006.0355598321</v>
      </c>
      <c r="G62">
        <v>5363606.2205617987</v>
      </c>
      <c r="H62">
        <v>5363606.2205617987</v>
      </c>
      <c r="I62">
        <v>5363606.2205617987</v>
      </c>
      <c r="J62">
        <v>5363606.2205617987</v>
      </c>
      <c r="K62">
        <v>5494958.6119571263</v>
      </c>
      <c r="L62">
        <v>5494958.6119571263</v>
      </c>
      <c r="M62">
        <v>5494958.6119571263</v>
      </c>
      <c r="N62">
        <v>5494958.6119571263</v>
      </c>
      <c r="O62">
        <v>5430100.4761262946</v>
      </c>
      <c r="P62">
        <v>5430100.4761262946</v>
      </c>
      <c r="Q62">
        <v>5430100.4761262946</v>
      </c>
      <c r="R62">
        <v>5430100.4761262946</v>
      </c>
      <c r="S62">
        <v>5603676.0751251923</v>
      </c>
      <c r="T62">
        <v>5603676.0751251923</v>
      </c>
      <c r="U62">
        <v>5603676.0751251923</v>
      </c>
      <c r="V62">
        <v>5603676.0751251923</v>
      </c>
      <c r="W62">
        <v>5651462.5493183145</v>
      </c>
      <c r="X62">
        <v>5651462.5493183145</v>
      </c>
      <c r="Y62">
        <v>5651462.5493183145</v>
      </c>
      <c r="Z62">
        <v>5651462.5493183145</v>
      </c>
      <c r="AA62">
        <v>5441976.3370016767</v>
      </c>
      <c r="AB62">
        <v>5441976.3370016767</v>
      </c>
      <c r="AC62">
        <v>5441976.3370016767</v>
      </c>
      <c r="AD62">
        <v>5441976.3370016767</v>
      </c>
      <c r="AE62">
        <v>5554458.2379681347</v>
      </c>
      <c r="AF62">
        <v>5554458.2379681347</v>
      </c>
      <c r="AG62">
        <v>5554458.2379681347</v>
      </c>
      <c r="AH62">
        <v>5554458.2379681347</v>
      </c>
      <c r="AI62">
        <v>5571688.2983844494</v>
      </c>
      <c r="AJ62">
        <v>5571688.2983844494</v>
      </c>
      <c r="AK62">
        <v>5571688.2983844494</v>
      </c>
      <c r="AL62">
        <v>5571688.2983844494</v>
      </c>
      <c r="AM62">
        <v>5753630.5704205474</v>
      </c>
      <c r="AN62">
        <v>5753630.5704205474</v>
      </c>
      <c r="AO62">
        <v>5753630.5704205474</v>
      </c>
      <c r="AP62">
        <v>5753630.5704205474</v>
      </c>
      <c r="AQ62">
        <v>5601693.1060896683</v>
      </c>
      <c r="AR62">
        <v>5601693.1060896683</v>
      </c>
      <c r="AS62">
        <v>5601693.1060896683</v>
      </c>
      <c r="AT62">
        <v>5601693.1060896683</v>
      </c>
      <c r="AU62">
        <v>5759186.8364211936</v>
      </c>
      <c r="AV62">
        <v>5759186.8364211936</v>
      </c>
      <c r="AW62">
        <v>5759186.8364211936</v>
      </c>
      <c r="AX62">
        <v>5759186.8364211936</v>
      </c>
    </row>
    <row r="63" spans="2:51" x14ac:dyDescent="0.2">
      <c r="B63" s="120" t="s">
        <v>109</v>
      </c>
      <c r="C63">
        <v>4671647.1349415481</v>
      </c>
      <c r="D63">
        <v>4671647.1349415481</v>
      </c>
      <c r="E63">
        <v>4671647.1349415481</v>
      </c>
      <c r="F63">
        <v>4671647.1349415481</v>
      </c>
      <c r="G63">
        <v>4222882.9439189676</v>
      </c>
      <c r="H63">
        <v>4222882.9439189676</v>
      </c>
      <c r="I63">
        <v>4222882.9439189676</v>
      </c>
      <c r="J63">
        <v>4222882.9439189676</v>
      </c>
      <c r="K63">
        <v>4465953.6332553122</v>
      </c>
      <c r="L63">
        <v>4465953.6332553122</v>
      </c>
      <c r="M63">
        <v>4465953.6332553122</v>
      </c>
      <c r="N63">
        <v>4465953.6332553122</v>
      </c>
      <c r="O63">
        <v>4626991.9639987694</v>
      </c>
      <c r="P63">
        <v>4626991.9639987694</v>
      </c>
      <c r="Q63">
        <v>4626991.9639987694</v>
      </c>
      <c r="R63">
        <v>4626991.9639987694</v>
      </c>
      <c r="S63">
        <v>4708420.9224045789</v>
      </c>
      <c r="T63">
        <v>4708420.9224045789</v>
      </c>
      <c r="U63">
        <v>4708420.9224045789</v>
      </c>
      <c r="V63">
        <v>4708420.9224045789</v>
      </c>
      <c r="W63">
        <v>4813188.4433104694</v>
      </c>
      <c r="X63">
        <v>4813188.4433104694</v>
      </c>
      <c r="Y63">
        <v>4813188.4433104694</v>
      </c>
      <c r="Z63">
        <v>4813188.4433104694</v>
      </c>
      <c r="AA63">
        <v>4290044.9283576198</v>
      </c>
      <c r="AB63">
        <v>4290044.9283576198</v>
      </c>
      <c r="AC63">
        <v>4290044.9283576198</v>
      </c>
      <c r="AD63">
        <v>4290044.9283576198</v>
      </c>
      <c r="AE63">
        <v>4722734.8065197384</v>
      </c>
      <c r="AF63">
        <v>4722734.8065197384</v>
      </c>
      <c r="AG63">
        <v>4722734.8065197384</v>
      </c>
      <c r="AH63">
        <v>4722734.8065197384</v>
      </c>
      <c r="AI63">
        <v>4549334.7573963618</v>
      </c>
      <c r="AJ63">
        <v>4549334.7573963618</v>
      </c>
      <c r="AK63">
        <v>4549334.7573963618</v>
      </c>
      <c r="AL63">
        <v>4549334.7573963618</v>
      </c>
      <c r="AM63">
        <v>4433041.2197120534</v>
      </c>
      <c r="AN63">
        <v>4433041.2197120534</v>
      </c>
      <c r="AO63">
        <v>4433041.2197120534</v>
      </c>
      <c r="AP63">
        <v>4433041.2197120534</v>
      </c>
      <c r="AQ63">
        <v>4729735.7788857426</v>
      </c>
      <c r="AR63">
        <v>4729735.7788857426</v>
      </c>
      <c r="AS63">
        <v>4729735.7788857426</v>
      </c>
      <c r="AT63">
        <v>4729735.7788857426</v>
      </c>
      <c r="AU63">
        <v>4295822.414675042</v>
      </c>
      <c r="AV63">
        <v>4295822.414675042</v>
      </c>
      <c r="AW63">
        <v>4295822.414675042</v>
      </c>
      <c r="AX63">
        <v>4295822.414675042</v>
      </c>
    </row>
    <row r="64" spans="2:51" x14ac:dyDescent="0.2">
      <c r="B64" s="117"/>
    </row>
    <row r="65" spans="1:14" x14ac:dyDescent="0.2">
      <c r="B65" s="119" t="s">
        <v>327</v>
      </c>
    </row>
    <row r="66" spans="1:14" x14ac:dyDescent="0.2">
      <c r="B66" s="116" t="s">
        <v>328</v>
      </c>
      <c r="C66" s="116" t="s">
        <v>92</v>
      </c>
      <c r="D66" s="116" t="s">
        <v>93</v>
      </c>
      <c r="E66" s="116" t="s">
        <v>94</v>
      </c>
      <c r="F66" s="116" t="s">
        <v>95</v>
      </c>
      <c r="G66" s="116" t="s">
        <v>96</v>
      </c>
      <c r="H66" s="116" t="s">
        <v>97</v>
      </c>
      <c r="I66" s="116" t="s">
        <v>98</v>
      </c>
      <c r="J66" s="116" t="s">
        <v>99</v>
      </c>
      <c r="K66" s="116" t="s">
        <v>100</v>
      </c>
      <c r="L66" s="116" t="s">
        <v>101</v>
      </c>
      <c r="M66" s="116" t="s">
        <v>102</v>
      </c>
      <c r="N66" s="116" t="s">
        <v>103</v>
      </c>
    </row>
    <row r="67" spans="1:14" x14ac:dyDescent="0.2">
      <c r="B67" s="116" t="s">
        <v>329</v>
      </c>
      <c r="C67">
        <v>8333.3333333333321</v>
      </c>
      <c r="D67">
        <v>8333.3333333333321</v>
      </c>
      <c r="E67">
        <v>8333.3333333333321</v>
      </c>
      <c r="F67">
        <v>8333.3333333333321</v>
      </c>
      <c r="G67">
        <v>8333.3333333333321</v>
      </c>
      <c r="H67">
        <v>8333.3333333333321</v>
      </c>
      <c r="I67">
        <v>8333.3333333333321</v>
      </c>
      <c r="J67">
        <v>8333.3333333333321</v>
      </c>
      <c r="K67">
        <v>8333.3333333333321</v>
      </c>
      <c r="L67">
        <v>8333.3333333333321</v>
      </c>
      <c r="M67">
        <v>8333.3333333333321</v>
      </c>
      <c r="N67">
        <v>8333.3333333333321</v>
      </c>
    </row>
    <row r="68" spans="1:14" x14ac:dyDescent="0.2">
      <c r="B68" s="116" t="s">
        <v>330</v>
      </c>
      <c r="C68">
        <v>16666.666666666664</v>
      </c>
      <c r="D68">
        <v>16666.666666666664</v>
      </c>
      <c r="E68">
        <v>16666.666666666664</v>
      </c>
      <c r="F68">
        <v>16666.666666666664</v>
      </c>
      <c r="G68">
        <v>16666.666666666664</v>
      </c>
      <c r="H68">
        <v>16666.666666666664</v>
      </c>
      <c r="I68">
        <v>16666.666666666664</v>
      </c>
      <c r="J68">
        <v>16666.666666666664</v>
      </c>
      <c r="K68">
        <v>16666.666666666664</v>
      </c>
      <c r="L68">
        <v>16666.666666666664</v>
      </c>
      <c r="M68">
        <v>16666.666666666664</v>
      </c>
      <c r="N68">
        <v>16666.666666666664</v>
      </c>
    </row>
    <row r="70" spans="1:14" x14ac:dyDescent="0.2">
      <c r="B70" s="119" t="s">
        <v>331</v>
      </c>
    </row>
    <row r="71" spans="1:14" x14ac:dyDescent="0.2">
      <c r="A71" s="120" t="s">
        <v>121</v>
      </c>
      <c r="B71" s="120" t="s">
        <v>332</v>
      </c>
      <c r="C71" s="120" t="s">
        <v>22</v>
      </c>
      <c r="D71" s="120" t="s">
        <v>59</v>
      </c>
    </row>
    <row r="72" spans="1:14" x14ac:dyDescent="0.2">
      <c r="A72" s="120" t="s">
        <v>104</v>
      </c>
      <c r="B72" s="120" t="s">
        <v>92</v>
      </c>
      <c r="C72">
        <v>938828.22540979029</v>
      </c>
      <c r="D72">
        <v>3460516.227608311</v>
      </c>
    </row>
    <row r="73" spans="1:14" x14ac:dyDescent="0.2">
      <c r="B73" s="120" t="s">
        <v>93</v>
      </c>
      <c r="C73">
        <v>938828.22540979029</v>
      </c>
      <c r="D73">
        <v>3460516.227608311</v>
      </c>
    </row>
    <row r="74" spans="1:14" x14ac:dyDescent="0.2">
      <c r="B74" s="120" t="s">
        <v>94</v>
      </c>
      <c r="C74">
        <v>938828.22540979029</v>
      </c>
      <c r="D74">
        <v>3460516.227608311</v>
      </c>
    </row>
    <row r="75" spans="1:14" x14ac:dyDescent="0.2">
      <c r="B75" s="120" t="s">
        <v>95</v>
      </c>
      <c r="C75">
        <v>938828.22540979029</v>
      </c>
      <c r="D75">
        <v>3460516.227608311</v>
      </c>
    </row>
    <row r="76" spans="1:14" x14ac:dyDescent="0.2">
      <c r="B76" s="120" t="s">
        <v>96</v>
      </c>
      <c r="C76">
        <v>938828.22540979029</v>
      </c>
      <c r="D76">
        <v>3460516.227608311</v>
      </c>
    </row>
    <row r="77" spans="1:14" x14ac:dyDescent="0.2">
      <c r="B77" s="120" t="s">
        <v>97</v>
      </c>
      <c r="C77">
        <v>938828.22540979029</v>
      </c>
      <c r="D77">
        <v>3460516.227608311</v>
      </c>
    </row>
    <row r="78" spans="1:14" x14ac:dyDescent="0.2">
      <c r="B78" s="120" t="s">
        <v>98</v>
      </c>
      <c r="C78">
        <v>938828.22540979029</v>
      </c>
      <c r="D78">
        <v>3460516.227608311</v>
      </c>
    </row>
    <row r="79" spans="1:14" x14ac:dyDescent="0.2">
      <c r="B79" s="120" t="s">
        <v>99</v>
      </c>
      <c r="C79">
        <v>938828.22540979029</v>
      </c>
      <c r="D79">
        <v>3460516.227608311</v>
      </c>
    </row>
    <row r="80" spans="1:14" x14ac:dyDescent="0.2">
      <c r="B80" s="120" t="s">
        <v>100</v>
      </c>
      <c r="C80">
        <v>938828.22540979029</v>
      </c>
      <c r="D80">
        <v>3460516.227608311</v>
      </c>
    </row>
    <row r="81" spans="2:50" x14ac:dyDescent="0.2">
      <c r="B81" s="120" t="s">
        <v>101</v>
      </c>
      <c r="C81">
        <v>938828.22540979029</v>
      </c>
      <c r="D81">
        <v>3460516.227608311</v>
      </c>
    </row>
    <row r="82" spans="2:50" x14ac:dyDescent="0.2">
      <c r="B82" s="120" t="s">
        <v>102</v>
      </c>
      <c r="C82">
        <v>938828.22540979029</v>
      </c>
      <c r="D82">
        <v>3460516.227608311</v>
      </c>
    </row>
    <row r="83" spans="2:50" x14ac:dyDescent="0.2">
      <c r="B83" s="120" t="s">
        <v>103</v>
      </c>
      <c r="C83">
        <v>938828.22540979029</v>
      </c>
      <c r="D83">
        <v>3460516.227608311</v>
      </c>
    </row>
    <row r="85" spans="2:50" x14ac:dyDescent="0.2">
      <c r="B85" s="118" t="s">
        <v>333</v>
      </c>
    </row>
    <row r="86" spans="2:50" x14ac:dyDescent="0.2">
      <c r="B86" s="116" t="s">
        <v>274</v>
      </c>
      <c r="C86" s="116" t="s">
        <v>92</v>
      </c>
      <c r="D86" s="117"/>
      <c r="E86" s="117"/>
      <c r="F86" s="117"/>
      <c r="G86" s="116" t="s">
        <v>93</v>
      </c>
      <c r="H86" s="117"/>
      <c r="I86" s="117"/>
      <c r="J86" s="117"/>
      <c r="K86" s="116" t="s">
        <v>94</v>
      </c>
      <c r="L86" s="117"/>
      <c r="M86" s="117"/>
      <c r="N86" s="117"/>
      <c r="O86" s="116" t="s">
        <v>95</v>
      </c>
      <c r="P86" s="117"/>
      <c r="Q86" s="117"/>
      <c r="R86" s="117"/>
      <c r="S86" s="116" t="s">
        <v>96</v>
      </c>
      <c r="T86" s="117"/>
      <c r="U86" s="117"/>
      <c r="V86" s="117"/>
      <c r="W86" s="116" t="s">
        <v>97</v>
      </c>
      <c r="X86" s="117"/>
      <c r="Y86" s="117"/>
      <c r="Z86" s="117"/>
      <c r="AA86" s="116" t="s">
        <v>98</v>
      </c>
      <c r="AB86" s="117"/>
      <c r="AC86" s="117"/>
      <c r="AD86" s="117"/>
      <c r="AE86" s="116" t="s">
        <v>99</v>
      </c>
      <c r="AF86" s="117"/>
      <c r="AG86" s="117"/>
      <c r="AH86" s="117"/>
      <c r="AI86" s="116" t="s">
        <v>100</v>
      </c>
      <c r="AJ86" s="117"/>
      <c r="AK86" s="117"/>
      <c r="AL86" s="117"/>
      <c r="AM86" s="116" t="s">
        <v>101</v>
      </c>
      <c r="AN86" s="117"/>
      <c r="AO86" s="117"/>
      <c r="AP86" s="117"/>
      <c r="AQ86" s="116" t="s">
        <v>102</v>
      </c>
      <c r="AR86" s="117"/>
      <c r="AS86" s="117"/>
      <c r="AT86" s="117"/>
      <c r="AU86" s="116" t="s">
        <v>103</v>
      </c>
      <c r="AV86" s="117"/>
      <c r="AW86" s="117"/>
    </row>
    <row r="87" spans="2:50" x14ac:dyDescent="0.2">
      <c r="B87" s="116" t="s">
        <v>334</v>
      </c>
      <c r="C87" s="116">
        <v>1</v>
      </c>
      <c r="D87" s="116">
        <v>2</v>
      </c>
      <c r="E87" s="116">
        <v>3</v>
      </c>
      <c r="F87" s="116">
        <v>4</v>
      </c>
      <c r="G87" s="116">
        <v>1</v>
      </c>
      <c r="H87" s="116">
        <v>2</v>
      </c>
      <c r="I87" s="116">
        <v>3</v>
      </c>
      <c r="J87" s="116">
        <v>4</v>
      </c>
      <c r="K87" s="116">
        <v>1</v>
      </c>
      <c r="L87" s="116">
        <v>2</v>
      </c>
      <c r="M87" s="116">
        <v>3</v>
      </c>
      <c r="N87" s="116">
        <v>4</v>
      </c>
      <c r="O87" s="116">
        <v>1</v>
      </c>
      <c r="P87" s="116">
        <v>2</v>
      </c>
      <c r="Q87" s="116">
        <v>3</v>
      </c>
      <c r="R87" s="116">
        <v>4</v>
      </c>
      <c r="S87" s="116">
        <v>1</v>
      </c>
      <c r="T87" s="116">
        <v>2</v>
      </c>
      <c r="U87" s="116">
        <v>3</v>
      </c>
      <c r="V87" s="116">
        <v>4</v>
      </c>
      <c r="W87" s="116">
        <v>1</v>
      </c>
      <c r="X87" s="116">
        <v>2</v>
      </c>
      <c r="Y87" s="116">
        <v>3</v>
      </c>
      <c r="Z87" s="116">
        <v>4</v>
      </c>
      <c r="AA87" s="116">
        <v>1</v>
      </c>
      <c r="AB87" s="116">
        <v>2</v>
      </c>
      <c r="AC87" s="116">
        <v>3</v>
      </c>
      <c r="AD87" s="116">
        <v>4</v>
      </c>
      <c r="AE87" s="116">
        <v>1</v>
      </c>
      <c r="AF87" s="116">
        <v>2</v>
      </c>
      <c r="AG87" s="116">
        <v>3</v>
      </c>
      <c r="AH87" s="116">
        <v>4</v>
      </c>
      <c r="AI87" s="116">
        <v>1</v>
      </c>
      <c r="AJ87" s="116">
        <v>2</v>
      </c>
      <c r="AK87" s="116">
        <v>3</v>
      </c>
      <c r="AL87" s="116">
        <v>4</v>
      </c>
      <c r="AM87" s="116">
        <v>1</v>
      </c>
      <c r="AN87" s="116">
        <v>2</v>
      </c>
      <c r="AO87" s="116">
        <v>3</v>
      </c>
      <c r="AP87" s="116">
        <v>4</v>
      </c>
      <c r="AQ87" s="116">
        <v>1</v>
      </c>
      <c r="AR87" s="116">
        <v>2</v>
      </c>
      <c r="AS87" s="116">
        <v>3</v>
      </c>
      <c r="AT87" s="116">
        <v>4</v>
      </c>
      <c r="AU87" s="116">
        <v>1</v>
      </c>
      <c r="AV87" s="116">
        <v>2</v>
      </c>
      <c r="AW87" s="116">
        <v>3</v>
      </c>
      <c r="AX87" s="116">
        <v>4</v>
      </c>
    </row>
    <row r="88" spans="2:50" x14ac:dyDescent="0.2">
      <c r="B88" s="116" t="s">
        <v>104</v>
      </c>
      <c r="C88">
        <f>C48+$C$67/4</f>
        <v>2083.333333333333</v>
      </c>
      <c r="D88">
        <f>D48+$C$67/4</f>
        <v>2083.333333333333</v>
      </c>
      <c r="E88">
        <f>E48+$C$67/4</f>
        <v>2083.333333333333</v>
      </c>
      <c r="F88">
        <f>F48+$C$67/4</f>
        <v>2083.333333333333</v>
      </c>
      <c r="G88">
        <f>G48+$D$67/4</f>
        <v>2083.333333333333</v>
      </c>
      <c r="H88">
        <f>H48+$D$67/4</f>
        <v>2083.333333333333</v>
      </c>
      <c r="I88">
        <f>I48+$D$67/4</f>
        <v>2083.333333333333</v>
      </c>
      <c r="J88">
        <f>J48+$D$67/4</f>
        <v>2083.333333333333</v>
      </c>
      <c r="K88">
        <f>K48+$E$67/4</f>
        <v>2083.333333333333</v>
      </c>
      <c r="L88">
        <f>L48+$E$67/4</f>
        <v>2083.333333333333</v>
      </c>
      <c r="M88">
        <f>M48+$E$67/4</f>
        <v>2083.333333333333</v>
      </c>
      <c r="N88">
        <f>N48+$E$67/4</f>
        <v>2083.333333333333</v>
      </c>
      <c r="O88">
        <f>O48+$F$67/4</f>
        <v>2083.333333333333</v>
      </c>
      <c r="P88">
        <f>P48+$F$67/4</f>
        <v>2083.333333333333</v>
      </c>
      <c r="Q88">
        <f>Q48+$F$67/4</f>
        <v>2083.333333333333</v>
      </c>
      <c r="R88">
        <f>R48+$F$67/4</f>
        <v>2083.333333333333</v>
      </c>
      <c r="S88">
        <f>S48+$G$67/4</f>
        <v>2083.333333333333</v>
      </c>
      <c r="T88">
        <f>T48+$G$67/4</f>
        <v>2083.333333333333</v>
      </c>
      <c r="U88">
        <f>U48+$G$67/4</f>
        <v>2083.333333333333</v>
      </c>
      <c r="V88">
        <f>V48+$G$67/4</f>
        <v>2083.333333333333</v>
      </c>
      <c r="W88">
        <f>W48+$H$67/4</f>
        <v>2083.333333333333</v>
      </c>
      <c r="X88">
        <f>X48+$H$67/4</f>
        <v>2083.333333333333</v>
      </c>
      <c r="Y88">
        <f>Y48+$H$67/4</f>
        <v>2083.333333333333</v>
      </c>
      <c r="Z88">
        <f>Z48+$H$67/4</f>
        <v>2083.333333333333</v>
      </c>
      <c r="AA88">
        <f>AA48+$I$67/4</f>
        <v>2083.333333333333</v>
      </c>
      <c r="AB88">
        <f>AB48+$I$67/4</f>
        <v>2083.333333333333</v>
      </c>
      <c r="AC88">
        <f>AC48+$I$67/4</f>
        <v>2083.333333333333</v>
      </c>
      <c r="AD88">
        <f>AD48+$I$67/4</f>
        <v>2083.333333333333</v>
      </c>
      <c r="AE88">
        <f>AE48+$J$67/4</f>
        <v>2083.333333333333</v>
      </c>
      <c r="AF88">
        <f>AF48+$J$67/4</f>
        <v>2083.333333333333</v>
      </c>
      <c r="AG88">
        <f>AG48+$J$67/4</f>
        <v>2083.333333333333</v>
      </c>
      <c r="AH88">
        <f>AH48+$J$67/4</f>
        <v>2083.333333333333</v>
      </c>
      <c r="AI88">
        <f>AI48+$K$67/4</f>
        <v>2083.333333333333</v>
      </c>
      <c r="AJ88">
        <f>AJ48+$K$67/4</f>
        <v>2083.333333333333</v>
      </c>
      <c r="AK88">
        <f>AK48+$K$67/4</f>
        <v>2083.333333333333</v>
      </c>
      <c r="AL88">
        <f>AL48+$K$67/4</f>
        <v>2083.333333333333</v>
      </c>
      <c r="AM88">
        <f>AM48+$L$67/4</f>
        <v>2083.333333333333</v>
      </c>
      <c r="AN88">
        <f>AN48+$L$67/4</f>
        <v>2083.333333333333</v>
      </c>
      <c r="AO88">
        <f>AO48+$L$67/4</f>
        <v>2083.333333333333</v>
      </c>
      <c r="AP88">
        <f>AP48+$L$67/4</f>
        <v>2083.333333333333</v>
      </c>
      <c r="AQ88">
        <f>AQ48+$M$67/4</f>
        <v>2083.333333333333</v>
      </c>
      <c r="AR88">
        <f>AR48+$M$67/4</f>
        <v>2083.333333333333</v>
      </c>
      <c r="AS88">
        <f>AS48+$M$67/4</f>
        <v>2083.333333333333</v>
      </c>
      <c r="AT88">
        <f>AT48+$M$67/4</f>
        <v>2083.333333333333</v>
      </c>
      <c r="AU88">
        <f>AU48+$N$67/4</f>
        <v>2083.333333333333</v>
      </c>
      <c r="AV88">
        <f>AV48+$N$67/4</f>
        <v>2083.333333333333</v>
      </c>
      <c r="AW88">
        <f>AW48+$N$67/4</f>
        <v>2083.333333333333</v>
      </c>
      <c r="AX88">
        <f>AX48+$N$67/4</f>
        <v>2083.333333333333</v>
      </c>
    </row>
    <row r="89" spans="2:50" x14ac:dyDescent="0.2">
      <c r="B89" s="116" t="s">
        <v>105</v>
      </c>
      <c r="C89">
        <f>C49</f>
        <v>0</v>
      </c>
      <c r="D89">
        <f t="shared" ref="D89:AX93" si="3">D49</f>
        <v>0</v>
      </c>
      <c r="E89">
        <f t="shared" si="3"/>
        <v>0</v>
      </c>
      <c r="F89">
        <f t="shared" si="3"/>
        <v>0</v>
      </c>
      <c r="G89">
        <f t="shared" si="3"/>
        <v>0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  <c r="P89">
        <f t="shared" si="3"/>
        <v>0</v>
      </c>
      <c r="Q89">
        <f t="shared" si="3"/>
        <v>0</v>
      </c>
      <c r="R89">
        <f t="shared" si="3"/>
        <v>0</v>
      </c>
      <c r="S89">
        <f t="shared" si="3"/>
        <v>0</v>
      </c>
      <c r="T89">
        <f t="shared" si="3"/>
        <v>0</v>
      </c>
      <c r="U89">
        <f t="shared" si="3"/>
        <v>0</v>
      </c>
      <c r="V89">
        <f t="shared" si="3"/>
        <v>0</v>
      </c>
      <c r="W89">
        <f t="shared" si="3"/>
        <v>0</v>
      </c>
      <c r="X89">
        <f t="shared" si="3"/>
        <v>0</v>
      </c>
      <c r="Y89">
        <f t="shared" si="3"/>
        <v>0</v>
      </c>
      <c r="Z89">
        <f t="shared" si="3"/>
        <v>0</v>
      </c>
      <c r="AA89">
        <f t="shared" si="3"/>
        <v>0</v>
      </c>
      <c r="AB89">
        <f t="shared" si="3"/>
        <v>0</v>
      </c>
      <c r="AC89">
        <f t="shared" si="3"/>
        <v>0</v>
      </c>
      <c r="AD89">
        <f t="shared" si="3"/>
        <v>0</v>
      </c>
      <c r="AE89">
        <f t="shared" si="3"/>
        <v>0</v>
      </c>
      <c r="AF89">
        <f t="shared" si="3"/>
        <v>0</v>
      </c>
      <c r="AG89">
        <f t="shared" si="3"/>
        <v>0</v>
      </c>
      <c r="AH89">
        <f t="shared" si="3"/>
        <v>0</v>
      </c>
      <c r="AI89">
        <f t="shared" si="3"/>
        <v>0</v>
      </c>
      <c r="AJ89">
        <f t="shared" si="3"/>
        <v>0</v>
      </c>
      <c r="AK89">
        <f t="shared" si="3"/>
        <v>0</v>
      </c>
      <c r="AL89">
        <f t="shared" si="3"/>
        <v>0</v>
      </c>
      <c r="AM89">
        <f t="shared" si="3"/>
        <v>0</v>
      </c>
      <c r="AN89">
        <f t="shared" si="3"/>
        <v>0</v>
      </c>
      <c r="AO89">
        <f t="shared" si="3"/>
        <v>0</v>
      </c>
      <c r="AP89">
        <f t="shared" si="3"/>
        <v>0</v>
      </c>
      <c r="AQ89">
        <f t="shared" si="3"/>
        <v>0</v>
      </c>
      <c r="AR89">
        <f t="shared" si="3"/>
        <v>0</v>
      </c>
      <c r="AS89">
        <f t="shared" si="3"/>
        <v>0</v>
      </c>
      <c r="AT89">
        <f t="shared" si="3"/>
        <v>0</v>
      </c>
      <c r="AU89">
        <f t="shared" si="3"/>
        <v>0</v>
      </c>
      <c r="AV89">
        <f t="shared" si="3"/>
        <v>0</v>
      </c>
      <c r="AW89">
        <f t="shared" si="3"/>
        <v>0</v>
      </c>
      <c r="AX89">
        <f t="shared" si="3"/>
        <v>0</v>
      </c>
    </row>
    <row r="90" spans="2:50" x14ac:dyDescent="0.2">
      <c r="B90" s="116" t="s">
        <v>106</v>
      </c>
      <c r="C90">
        <f t="shared" ref="C90:R93" si="4">C50</f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3"/>
        <v>0</v>
      </c>
      <c r="T90">
        <f t="shared" si="3"/>
        <v>0</v>
      </c>
      <c r="U90">
        <f t="shared" si="3"/>
        <v>0</v>
      </c>
      <c r="V90">
        <f t="shared" si="3"/>
        <v>0</v>
      </c>
      <c r="W90">
        <f t="shared" si="3"/>
        <v>0</v>
      </c>
      <c r="X90">
        <f t="shared" si="3"/>
        <v>0</v>
      </c>
      <c r="Y90">
        <f t="shared" si="3"/>
        <v>0</v>
      </c>
      <c r="Z90">
        <f t="shared" si="3"/>
        <v>0</v>
      </c>
      <c r="AA90">
        <f t="shared" si="3"/>
        <v>0</v>
      </c>
      <c r="AB90">
        <f t="shared" si="3"/>
        <v>0</v>
      </c>
      <c r="AC90">
        <f t="shared" si="3"/>
        <v>0</v>
      </c>
      <c r="AD90">
        <f t="shared" si="3"/>
        <v>0</v>
      </c>
      <c r="AE90">
        <f t="shared" si="3"/>
        <v>0</v>
      </c>
      <c r="AF90">
        <f t="shared" si="3"/>
        <v>0</v>
      </c>
      <c r="AG90">
        <f t="shared" si="3"/>
        <v>0</v>
      </c>
      <c r="AH90">
        <f t="shared" si="3"/>
        <v>0</v>
      </c>
      <c r="AI90">
        <f t="shared" si="3"/>
        <v>0</v>
      </c>
      <c r="AJ90">
        <f t="shared" si="3"/>
        <v>0</v>
      </c>
      <c r="AK90">
        <f t="shared" si="3"/>
        <v>0</v>
      </c>
      <c r="AL90">
        <f t="shared" si="3"/>
        <v>0</v>
      </c>
      <c r="AM90">
        <f t="shared" si="3"/>
        <v>0</v>
      </c>
      <c r="AN90">
        <f t="shared" si="3"/>
        <v>0</v>
      </c>
      <c r="AO90">
        <f t="shared" si="3"/>
        <v>0</v>
      </c>
      <c r="AP90">
        <f t="shared" si="3"/>
        <v>0</v>
      </c>
      <c r="AQ90">
        <f t="shared" si="3"/>
        <v>0</v>
      </c>
      <c r="AR90">
        <f t="shared" si="3"/>
        <v>0</v>
      </c>
      <c r="AS90">
        <f t="shared" si="3"/>
        <v>0</v>
      </c>
      <c r="AT90">
        <f t="shared" si="3"/>
        <v>0</v>
      </c>
      <c r="AU90">
        <f t="shared" si="3"/>
        <v>0</v>
      </c>
      <c r="AV90">
        <f t="shared" si="3"/>
        <v>0</v>
      </c>
      <c r="AW90">
        <f t="shared" si="3"/>
        <v>0</v>
      </c>
      <c r="AX90">
        <f t="shared" si="3"/>
        <v>0</v>
      </c>
    </row>
    <row r="91" spans="2:50" x14ac:dyDescent="0.2">
      <c r="B91" s="116" t="s">
        <v>107</v>
      </c>
      <c r="C91">
        <f t="shared" si="4"/>
        <v>3006.5883016813805</v>
      </c>
      <c r="D91">
        <f t="shared" si="3"/>
        <v>3013.1780103151486</v>
      </c>
      <c r="E91">
        <f t="shared" si="3"/>
        <v>3019.7680695375102</v>
      </c>
      <c r="F91">
        <f t="shared" si="3"/>
        <v>3026.3574224454624</v>
      </c>
      <c r="G91">
        <f t="shared" si="3"/>
        <v>3032.9450117820752</v>
      </c>
      <c r="H91">
        <f t="shared" si="3"/>
        <v>3039.5297801219349</v>
      </c>
      <c r="I91">
        <f t="shared" si="3"/>
        <v>3046.1106700567357</v>
      </c>
      <c r="J91">
        <f t="shared" si="3"/>
        <v>3052.6866243809636</v>
      </c>
      <c r="K91">
        <f t="shared" si="3"/>
        <v>3059.2565862776564</v>
      </c>
      <c r="L91">
        <f t="shared" si="3"/>
        <v>3065.8194995042027</v>
      </c>
      <c r="M91">
        <f t="shared" si="3"/>
        <v>3066.0264252190664</v>
      </c>
      <c r="N91">
        <f t="shared" si="3"/>
        <v>3066.0264252190664</v>
      </c>
      <c r="O91">
        <f t="shared" si="3"/>
        <v>3066.0264252190664</v>
      </c>
      <c r="P91">
        <f t="shared" si="3"/>
        <v>3066.0264252190664</v>
      </c>
      <c r="Q91">
        <f t="shared" si="3"/>
        <v>3066.0264252190664</v>
      </c>
      <c r="R91">
        <f t="shared" si="3"/>
        <v>3066.0264252190664</v>
      </c>
      <c r="S91">
        <f t="shared" si="3"/>
        <v>3066.0264252190664</v>
      </c>
      <c r="T91">
        <f t="shared" si="3"/>
        <v>3066.0264252190664</v>
      </c>
      <c r="U91">
        <f t="shared" si="3"/>
        <v>3066.0264252190664</v>
      </c>
      <c r="V91">
        <f t="shared" si="3"/>
        <v>3066.0264252190664</v>
      </c>
      <c r="W91">
        <f t="shared" si="3"/>
        <v>3066.0264252190664</v>
      </c>
      <c r="X91">
        <f t="shared" si="3"/>
        <v>1257.4567138452264</v>
      </c>
      <c r="Y91">
        <f t="shared" si="3"/>
        <v>1260.0070184616422</v>
      </c>
      <c r="Z91">
        <f t="shared" si="3"/>
        <v>3066.0264252190664</v>
      </c>
      <c r="AA91">
        <f t="shared" si="3"/>
        <v>3066.0264252190664</v>
      </c>
      <c r="AB91">
        <f t="shared" si="3"/>
        <v>3066.0264252190664</v>
      </c>
      <c r="AC91">
        <f t="shared" si="3"/>
        <v>3066.0264252190664</v>
      </c>
      <c r="AD91">
        <f t="shared" si="3"/>
        <v>3066.0264252190664</v>
      </c>
      <c r="AE91">
        <f t="shared" si="3"/>
        <v>3066.0264252190664</v>
      </c>
      <c r="AF91">
        <f t="shared" si="3"/>
        <v>3066.0264252190664</v>
      </c>
      <c r="AG91">
        <f t="shared" si="3"/>
        <v>320.01577827515831</v>
      </c>
      <c r="AH91">
        <f t="shared" si="3"/>
        <v>3066.0264252190664</v>
      </c>
      <c r="AI91">
        <f t="shared" si="3"/>
        <v>3066.0264252190664</v>
      </c>
      <c r="AJ91">
        <f t="shared" si="3"/>
        <v>3066.0264252190664</v>
      </c>
      <c r="AK91">
        <f t="shared" si="3"/>
        <v>3066.0264252190664</v>
      </c>
      <c r="AL91">
        <f t="shared" si="3"/>
        <v>3066.0264252190664</v>
      </c>
      <c r="AM91">
        <f t="shared" si="3"/>
        <v>3066.0264252190664</v>
      </c>
      <c r="AN91">
        <f t="shared" si="3"/>
        <v>3066.0264252190664</v>
      </c>
      <c r="AO91">
        <f t="shared" si="3"/>
        <v>3066.0264252190664</v>
      </c>
      <c r="AP91">
        <f t="shared" si="3"/>
        <v>3066.0264252190664</v>
      </c>
      <c r="AQ91">
        <f t="shared" si="3"/>
        <v>2282.0682474629784</v>
      </c>
      <c r="AR91">
        <f t="shared" si="3"/>
        <v>3066.0264252190664</v>
      </c>
      <c r="AS91">
        <f t="shared" si="3"/>
        <v>327.16426433925079</v>
      </c>
      <c r="AT91">
        <f t="shared" si="3"/>
        <v>327.73537210588216</v>
      </c>
      <c r="AU91">
        <f t="shared" si="3"/>
        <v>328.30225709255785</v>
      </c>
      <c r="AV91">
        <f t="shared" si="3"/>
        <v>3066.0264252190664</v>
      </c>
      <c r="AW91">
        <f t="shared" si="3"/>
        <v>3066.0264252190664</v>
      </c>
      <c r="AX91">
        <f t="shared" si="3"/>
        <v>3066.0264252190664</v>
      </c>
    </row>
    <row r="92" spans="2:50" x14ac:dyDescent="0.2">
      <c r="B92" s="116" t="s">
        <v>108</v>
      </c>
      <c r="C92">
        <f t="shared" si="4"/>
        <v>3546.9956418034985</v>
      </c>
      <c r="D92">
        <f t="shared" si="4"/>
        <v>3546.9956418034985</v>
      </c>
      <c r="E92">
        <f t="shared" si="4"/>
        <v>3546.9956418034985</v>
      </c>
      <c r="F92">
        <f t="shared" si="4"/>
        <v>3546.9956418034985</v>
      </c>
      <c r="G92">
        <f t="shared" si="4"/>
        <v>3546.9956418034985</v>
      </c>
      <c r="H92">
        <f t="shared" si="4"/>
        <v>3546.9956418034985</v>
      </c>
      <c r="I92">
        <f t="shared" si="4"/>
        <v>3546.9956418034985</v>
      </c>
      <c r="J92">
        <f t="shared" si="4"/>
        <v>3546.9956418034985</v>
      </c>
      <c r="K92">
        <f t="shared" si="4"/>
        <v>3546.9956418034985</v>
      </c>
      <c r="L92">
        <f t="shared" si="4"/>
        <v>3546.9956418034985</v>
      </c>
      <c r="M92">
        <f t="shared" si="4"/>
        <v>3546.9956418034985</v>
      </c>
      <c r="N92">
        <f t="shared" si="4"/>
        <v>3546.9956418034985</v>
      </c>
      <c r="O92">
        <f t="shared" si="4"/>
        <v>3546.9956418034985</v>
      </c>
      <c r="P92">
        <f t="shared" si="4"/>
        <v>3546.9956418034985</v>
      </c>
      <c r="Q92">
        <f t="shared" si="4"/>
        <v>3546.9956418034985</v>
      </c>
      <c r="R92">
        <f t="shared" si="4"/>
        <v>3546.9956418034985</v>
      </c>
      <c r="S92">
        <f t="shared" si="3"/>
        <v>3546.9956418034985</v>
      </c>
      <c r="T92">
        <f t="shared" si="3"/>
        <v>3546.9956418034985</v>
      </c>
      <c r="U92">
        <f t="shared" si="3"/>
        <v>3546.9956418034985</v>
      </c>
      <c r="V92">
        <f t="shared" si="3"/>
        <v>3546.9956418034985</v>
      </c>
      <c r="W92">
        <f t="shared" si="3"/>
        <v>3546.9956418034985</v>
      </c>
      <c r="X92">
        <f t="shared" si="3"/>
        <v>3546.9956418034985</v>
      </c>
      <c r="Y92">
        <f t="shared" si="3"/>
        <v>3546.9956418034985</v>
      </c>
      <c r="Z92">
        <f t="shared" si="3"/>
        <v>3546.9956418034985</v>
      </c>
      <c r="AA92">
        <f t="shared" si="3"/>
        <v>3546.9956418034985</v>
      </c>
      <c r="AB92">
        <f t="shared" si="3"/>
        <v>3546.9956418034985</v>
      </c>
      <c r="AC92">
        <f t="shared" si="3"/>
        <v>3546.9956418034985</v>
      </c>
      <c r="AD92">
        <f t="shared" si="3"/>
        <v>3546.9956418034985</v>
      </c>
      <c r="AE92">
        <f t="shared" si="3"/>
        <v>3546.9956418034985</v>
      </c>
      <c r="AF92">
        <f t="shared" si="3"/>
        <v>3546.9956418034985</v>
      </c>
      <c r="AG92">
        <f t="shared" si="3"/>
        <v>3546.9956418034985</v>
      </c>
      <c r="AH92">
        <f t="shared" si="3"/>
        <v>3546.9956418034985</v>
      </c>
      <c r="AI92">
        <f t="shared" si="3"/>
        <v>3546.9956418034985</v>
      </c>
      <c r="AJ92">
        <f t="shared" si="3"/>
        <v>3546.9956418034985</v>
      </c>
      <c r="AK92">
        <f t="shared" si="3"/>
        <v>3546.9956418034985</v>
      </c>
      <c r="AL92">
        <f t="shared" si="3"/>
        <v>3546.9956418034985</v>
      </c>
      <c r="AM92">
        <f t="shared" si="3"/>
        <v>3546.9956418034985</v>
      </c>
      <c r="AN92">
        <f t="shared" si="3"/>
        <v>3546.9956418034985</v>
      </c>
      <c r="AO92">
        <f t="shared" si="3"/>
        <v>3546.9956418034985</v>
      </c>
      <c r="AP92">
        <f t="shared" si="3"/>
        <v>3546.9956418034985</v>
      </c>
      <c r="AQ92">
        <f t="shared" si="3"/>
        <v>3546.9956418034985</v>
      </c>
      <c r="AR92">
        <f t="shared" si="3"/>
        <v>3546.9956418034985</v>
      </c>
      <c r="AS92">
        <f t="shared" si="3"/>
        <v>3546.9956418034985</v>
      </c>
      <c r="AT92">
        <f t="shared" si="3"/>
        <v>3546.9956418034985</v>
      </c>
      <c r="AU92">
        <f t="shared" si="3"/>
        <v>3546.9956418034985</v>
      </c>
      <c r="AV92">
        <f t="shared" si="3"/>
        <v>3546.9956418034985</v>
      </c>
      <c r="AW92">
        <f t="shared" si="3"/>
        <v>3546.9956418034985</v>
      </c>
      <c r="AX92">
        <f t="shared" si="3"/>
        <v>3546.9956418034985</v>
      </c>
    </row>
    <row r="93" spans="2:50" x14ac:dyDescent="0.2">
      <c r="B93" s="116" t="s">
        <v>109</v>
      </c>
      <c r="C93">
        <f t="shared" si="4"/>
        <v>2985.5848733451789</v>
      </c>
      <c r="D93">
        <f t="shared" si="4"/>
        <v>2985.5848733451789</v>
      </c>
      <c r="E93">
        <f t="shared" si="4"/>
        <v>2985.5848733451789</v>
      </c>
      <c r="F93">
        <f t="shared" si="4"/>
        <v>2985.5848733451789</v>
      </c>
      <c r="G93">
        <f t="shared" si="4"/>
        <v>2985.5848733451789</v>
      </c>
      <c r="H93">
        <f t="shared" si="4"/>
        <v>2985.5848733451789</v>
      </c>
      <c r="I93">
        <f t="shared" si="4"/>
        <v>2985.5848733451789</v>
      </c>
      <c r="J93">
        <f t="shared" si="4"/>
        <v>2985.5848733451789</v>
      </c>
      <c r="K93">
        <f t="shared" si="4"/>
        <v>2985.5848733451789</v>
      </c>
      <c r="L93">
        <f t="shared" si="4"/>
        <v>2985.5848733451789</v>
      </c>
      <c r="M93">
        <f t="shared" si="4"/>
        <v>2985.5848733451789</v>
      </c>
      <c r="N93">
        <f t="shared" si="4"/>
        <v>2985.5848733451789</v>
      </c>
      <c r="O93">
        <f t="shared" si="4"/>
        <v>2985.5848733451789</v>
      </c>
      <c r="P93">
        <f t="shared" si="4"/>
        <v>2985.5848733451789</v>
      </c>
      <c r="Q93">
        <f t="shared" si="4"/>
        <v>2985.5848733451789</v>
      </c>
      <c r="R93">
        <f t="shared" si="4"/>
        <v>2985.5848733451789</v>
      </c>
      <c r="S93">
        <f t="shared" si="3"/>
        <v>2985.5848733451789</v>
      </c>
      <c r="T93">
        <f t="shared" si="3"/>
        <v>2985.5848733451789</v>
      </c>
      <c r="U93">
        <f t="shared" si="3"/>
        <v>2985.5848733451789</v>
      </c>
      <c r="V93">
        <f t="shared" si="3"/>
        <v>2985.5848733451789</v>
      </c>
      <c r="W93">
        <f t="shared" si="3"/>
        <v>2985.5848733451789</v>
      </c>
      <c r="X93">
        <f t="shared" si="3"/>
        <v>2985.5848733451789</v>
      </c>
      <c r="Y93">
        <f t="shared" si="3"/>
        <v>2985.5848733451789</v>
      </c>
      <c r="Z93">
        <f t="shared" si="3"/>
        <v>2985.5848733451789</v>
      </c>
      <c r="AA93">
        <f t="shared" si="3"/>
        <v>2985.5848733451789</v>
      </c>
      <c r="AB93">
        <f t="shared" si="3"/>
        <v>2985.5848733451789</v>
      </c>
      <c r="AC93">
        <f t="shared" si="3"/>
        <v>2985.5848733451789</v>
      </c>
      <c r="AD93">
        <f t="shared" si="3"/>
        <v>2985.5848733451789</v>
      </c>
      <c r="AE93">
        <f t="shared" si="3"/>
        <v>2985.5848733451789</v>
      </c>
      <c r="AF93">
        <f t="shared" si="3"/>
        <v>2985.5848733451789</v>
      </c>
      <c r="AG93">
        <f t="shared" si="3"/>
        <v>2985.5848733451789</v>
      </c>
      <c r="AH93">
        <f t="shared" si="3"/>
        <v>2985.5848733451789</v>
      </c>
      <c r="AI93">
        <f t="shared" si="3"/>
        <v>2985.5848733451789</v>
      </c>
      <c r="AJ93">
        <f t="shared" si="3"/>
        <v>2985.5848733451789</v>
      </c>
      <c r="AK93">
        <f t="shared" si="3"/>
        <v>2985.5848733451789</v>
      </c>
      <c r="AL93">
        <f t="shared" si="3"/>
        <v>2985.5848733451789</v>
      </c>
      <c r="AM93">
        <f t="shared" si="3"/>
        <v>2985.5848733451789</v>
      </c>
      <c r="AN93">
        <f t="shared" si="3"/>
        <v>2985.5848733451789</v>
      </c>
      <c r="AO93">
        <f t="shared" si="3"/>
        <v>2985.5848733451789</v>
      </c>
      <c r="AP93">
        <f t="shared" si="3"/>
        <v>2985.5848733451789</v>
      </c>
      <c r="AQ93">
        <f t="shared" si="3"/>
        <v>2985.5848733451789</v>
      </c>
      <c r="AR93">
        <f t="shared" si="3"/>
        <v>2985.5848733451789</v>
      </c>
      <c r="AS93">
        <f t="shared" si="3"/>
        <v>2985.5848733451789</v>
      </c>
      <c r="AT93">
        <f t="shared" si="3"/>
        <v>2985.5848733451789</v>
      </c>
      <c r="AU93">
        <f t="shared" si="3"/>
        <v>2985.5848733451789</v>
      </c>
      <c r="AV93">
        <f t="shared" si="3"/>
        <v>2985.5848733451789</v>
      </c>
      <c r="AW93">
        <f t="shared" si="3"/>
        <v>2985.5848733451789</v>
      </c>
      <c r="AX93">
        <f t="shared" si="3"/>
        <v>2985.5848733451789</v>
      </c>
    </row>
    <row r="94" spans="2:50" x14ac:dyDescent="0.2">
      <c r="B94" s="117"/>
    </row>
    <row r="95" spans="2:50" x14ac:dyDescent="0.2">
      <c r="B95" s="53" t="s">
        <v>335</v>
      </c>
    </row>
    <row r="96" spans="2:50" x14ac:dyDescent="0.2">
      <c r="B96" s="29"/>
      <c r="C96" s="120" t="s">
        <v>92</v>
      </c>
      <c r="D96" s="117"/>
      <c r="E96" s="117"/>
      <c r="F96" s="117"/>
      <c r="G96" s="120" t="s">
        <v>93</v>
      </c>
      <c r="H96" s="117"/>
      <c r="I96" s="117"/>
      <c r="J96" s="117"/>
      <c r="K96" s="120" t="s">
        <v>94</v>
      </c>
      <c r="L96" s="117"/>
      <c r="M96" s="117"/>
      <c r="N96" s="117"/>
      <c r="O96" s="120" t="s">
        <v>95</v>
      </c>
      <c r="P96" s="117"/>
      <c r="Q96" s="117"/>
      <c r="R96" s="117"/>
      <c r="S96" s="120" t="s">
        <v>96</v>
      </c>
      <c r="T96" s="117"/>
      <c r="U96" s="117"/>
      <c r="V96" s="117"/>
      <c r="W96" s="120" t="s">
        <v>97</v>
      </c>
      <c r="X96" s="117"/>
      <c r="Y96" s="117"/>
      <c r="Z96" s="117"/>
      <c r="AA96" s="120" t="s">
        <v>98</v>
      </c>
      <c r="AB96" s="117"/>
      <c r="AC96" s="117"/>
      <c r="AD96" s="117"/>
      <c r="AE96" s="120" t="s">
        <v>99</v>
      </c>
      <c r="AF96" s="117"/>
      <c r="AG96" s="117"/>
      <c r="AH96" s="117"/>
      <c r="AI96" s="120" t="s">
        <v>100</v>
      </c>
      <c r="AJ96" s="117"/>
      <c r="AK96" s="117"/>
      <c r="AL96" s="117"/>
      <c r="AM96" s="120" t="s">
        <v>101</v>
      </c>
      <c r="AN96" s="117"/>
      <c r="AO96" s="117"/>
      <c r="AP96" s="117"/>
      <c r="AQ96" s="120" t="s">
        <v>102</v>
      </c>
      <c r="AR96" s="117"/>
      <c r="AS96" s="117"/>
      <c r="AT96" s="117"/>
      <c r="AU96" s="120" t="s">
        <v>103</v>
      </c>
      <c r="AV96" s="117"/>
      <c r="AW96" s="117"/>
    </row>
    <row r="97" spans="1:50" x14ac:dyDescent="0.2">
      <c r="A97" s="188" t="s">
        <v>121</v>
      </c>
      <c r="B97" s="188" t="s">
        <v>336</v>
      </c>
      <c r="C97" s="120">
        <v>1</v>
      </c>
      <c r="D97" s="120">
        <v>2</v>
      </c>
      <c r="E97" s="120">
        <v>3</v>
      </c>
      <c r="F97" s="120">
        <v>4</v>
      </c>
      <c r="G97" s="120">
        <v>1</v>
      </c>
      <c r="H97" s="120">
        <v>2</v>
      </c>
      <c r="I97" s="120">
        <v>3</v>
      </c>
      <c r="J97" s="120">
        <v>4</v>
      </c>
      <c r="K97" s="120">
        <v>1</v>
      </c>
      <c r="L97" s="120">
        <v>2</v>
      </c>
      <c r="M97" s="120">
        <v>3</v>
      </c>
      <c r="N97" s="120">
        <v>4</v>
      </c>
      <c r="O97" s="120">
        <v>1</v>
      </c>
      <c r="P97" s="120">
        <v>2</v>
      </c>
      <c r="Q97" s="120">
        <v>3</v>
      </c>
      <c r="R97" s="120">
        <v>4</v>
      </c>
      <c r="S97" s="120">
        <v>1</v>
      </c>
      <c r="T97" s="120">
        <v>2</v>
      </c>
      <c r="U97" s="120">
        <v>3</v>
      </c>
      <c r="V97" s="120">
        <v>4</v>
      </c>
      <c r="W97" s="120">
        <v>1</v>
      </c>
      <c r="X97" s="120">
        <v>2</v>
      </c>
      <c r="Y97" s="120">
        <v>3</v>
      </c>
      <c r="Z97" s="120">
        <v>4</v>
      </c>
      <c r="AA97" s="120">
        <v>1</v>
      </c>
      <c r="AB97" s="120">
        <v>2</v>
      </c>
      <c r="AC97" s="120">
        <v>3</v>
      </c>
      <c r="AD97" s="120">
        <v>4</v>
      </c>
      <c r="AE97" s="120">
        <v>1</v>
      </c>
      <c r="AF97" s="120">
        <v>2</v>
      </c>
      <c r="AG97" s="120">
        <v>3</v>
      </c>
      <c r="AH97" s="120">
        <v>4</v>
      </c>
      <c r="AI97" s="120">
        <v>1</v>
      </c>
      <c r="AJ97" s="120">
        <v>2</v>
      </c>
      <c r="AK97" s="120">
        <v>3</v>
      </c>
      <c r="AL97" s="120">
        <v>4</v>
      </c>
      <c r="AM97" s="120">
        <v>1</v>
      </c>
      <c r="AN97" s="120">
        <v>2</v>
      </c>
      <c r="AO97" s="120">
        <v>3</v>
      </c>
      <c r="AP97" s="120">
        <v>4</v>
      </c>
      <c r="AQ97" s="120">
        <v>1</v>
      </c>
      <c r="AR97" s="120">
        <v>2</v>
      </c>
      <c r="AS97" s="120">
        <v>3</v>
      </c>
      <c r="AT97" s="120">
        <v>4</v>
      </c>
      <c r="AU97" s="120">
        <v>1</v>
      </c>
      <c r="AV97" s="120">
        <v>2</v>
      </c>
      <c r="AW97" s="120">
        <v>3</v>
      </c>
      <c r="AX97" s="120">
        <v>4</v>
      </c>
    </row>
    <row r="98" spans="1:50" x14ac:dyDescent="0.2">
      <c r="A98" s="120" t="s">
        <v>104</v>
      </c>
      <c r="B98" s="120" t="s">
        <v>5</v>
      </c>
      <c r="C98">
        <v>12800.053796938801</v>
      </c>
      <c r="D98">
        <v>12800.053796938801</v>
      </c>
      <c r="E98">
        <v>12800.053796938801</v>
      </c>
      <c r="F98">
        <v>12800.053796938801</v>
      </c>
      <c r="G98">
        <v>12800.053796938801</v>
      </c>
      <c r="H98">
        <v>12800.053796938801</v>
      </c>
      <c r="I98">
        <v>12800.053796938801</v>
      </c>
      <c r="J98">
        <v>12800.053796938801</v>
      </c>
      <c r="K98">
        <v>12800.053796938801</v>
      </c>
      <c r="L98">
        <v>12800.053796938801</v>
      </c>
      <c r="M98">
        <v>12800.053796938801</v>
      </c>
      <c r="N98">
        <v>12800.053796938801</v>
      </c>
      <c r="O98">
        <v>12800.053796938801</v>
      </c>
      <c r="P98">
        <v>12800.053796938801</v>
      </c>
      <c r="Q98">
        <v>12800.053796938801</v>
      </c>
      <c r="R98">
        <v>12800.053796938801</v>
      </c>
      <c r="S98">
        <v>12800.053796938801</v>
      </c>
      <c r="T98">
        <v>12800.053796938801</v>
      </c>
      <c r="U98">
        <v>12800.053796938801</v>
      </c>
      <c r="V98">
        <v>12800.053796938801</v>
      </c>
      <c r="W98">
        <v>12800.053796938801</v>
      </c>
      <c r="X98">
        <v>12800.053796938801</v>
      </c>
      <c r="Y98">
        <v>12800.053796938801</v>
      </c>
      <c r="Z98">
        <v>12800.053796938801</v>
      </c>
      <c r="AA98">
        <v>12800.053796938801</v>
      </c>
      <c r="AB98">
        <v>12800.053796938801</v>
      </c>
      <c r="AC98">
        <v>12800.053796938801</v>
      </c>
      <c r="AD98">
        <v>12800.053796938801</v>
      </c>
      <c r="AE98">
        <v>12800.053796938801</v>
      </c>
      <c r="AF98">
        <v>12800.053796938801</v>
      </c>
      <c r="AG98">
        <v>12800.053796938801</v>
      </c>
      <c r="AH98">
        <v>12800.053796938801</v>
      </c>
      <c r="AI98">
        <v>12800.053796938801</v>
      </c>
      <c r="AJ98">
        <v>12800.053796938801</v>
      </c>
      <c r="AK98">
        <v>12800.053796938801</v>
      </c>
      <c r="AL98">
        <v>12800.053796938801</v>
      </c>
      <c r="AM98">
        <v>12800.053796938801</v>
      </c>
      <c r="AN98">
        <v>12800.053796938801</v>
      </c>
      <c r="AO98">
        <v>12800.053796938801</v>
      </c>
      <c r="AP98">
        <v>12800.053796938801</v>
      </c>
      <c r="AQ98">
        <v>12800.053796938801</v>
      </c>
      <c r="AR98">
        <v>12800.053796938801</v>
      </c>
      <c r="AS98">
        <v>12800.053796938801</v>
      </c>
      <c r="AT98">
        <v>12800.053796938801</v>
      </c>
      <c r="AU98">
        <v>12800.053796938801</v>
      </c>
      <c r="AV98">
        <v>12800.053796938801</v>
      </c>
      <c r="AW98">
        <v>12800.053796938801</v>
      </c>
      <c r="AX98">
        <v>12800.053796938801</v>
      </c>
    </row>
    <row r="99" spans="1:50" x14ac:dyDescent="0.2">
      <c r="B99" s="120" t="s">
        <v>10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</row>
    <row r="100" spans="1:50" x14ac:dyDescent="0.2">
      <c r="B100" s="120" t="s">
        <v>12</v>
      </c>
      <c r="C100">
        <v>87633.129531612925</v>
      </c>
      <c r="D100">
        <v>87633.129531612925</v>
      </c>
      <c r="E100">
        <v>87633.129531612925</v>
      </c>
      <c r="F100">
        <v>87633.129531612925</v>
      </c>
      <c r="G100">
        <v>87633.129531612925</v>
      </c>
      <c r="H100">
        <v>87633.129531612925</v>
      </c>
      <c r="I100">
        <v>87633.129531612925</v>
      </c>
      <c r="J100">
        <v>87633.129531612925</v>
      </c>
      <c r="K100">
        <v>87633.129531612925</v>
      </c>
      <c r="L100">
        <v>87633.129531612925</v>
      </c>
      <c r="M100">
        <v>87633.129531612925</v>
      </c>
      <c r="N100">
        <v>87633.129531612925</v>
      </c>
      <c r="O100">
        <v>87633.129531612925</v>
      </c>
      <c r="P100">
        <v>87633.129531612925</v>
      </c>
      <c r="Q100">
        <v>87633.129531612925</v>
      </c>
      <c r="R100">
        <v>87633.129531612925</v>
      </c>
      <c r="S100">
        <v>87633.129531612925</v>
      </c>
      <c r="T100">
        <v>87633.129531612925</v>
      </c>
      <c r="U100">
        <v>87633.129531612925</v>
      </c>
      <c r="V100">
        <v>87633.129531612925</v>
      </c>
      <c r="W100">
        <v>87633.129531612925</v>
      </c>
      <c r="X100">
        <v>87633.129531612925</v>
      </c>
      <c r="Y100">
        <v>87633.129531612925</v>
      </c>
      <c r="Z100">
        <v>87633.129531612925</v>
      </c>
      <c r="AA100">
        <v>87633.129531612925</v>
      </c>
      <c r="AB100">
        <v>87633.129531612925</v>
      </c>
      <c r="AC100">
        <v>87633.129531612925</v>
      </c>
      <c r="AD100">
        <v>87633.129531612925</v>
      </c>
      <c r="AE100">
        <v>87633.129531612925</v>
      </c>
      <c r="AF100">
        <v>87633.129531612925</v>
      </c>
      <c r="AG100">
        <v>87633.129531612925</v>
      </c>
      <c r="AH100">
        <v>87633.129531612925</v>
      </c>
      <c r="AI100">
        <v>87633.129531612925</v>
      </c>
      <c r="AJ100">
        <v>87633.129531612925</v>
      </c>
      <c r="AK100">
        <v>87633.129531612925</v>
      </c>
      <c r="AL100">
        <v>87633.129531612925</v>
      </c>
      <c r="AM100">
        <v>87633.129531612925</v>
      </c>
      <c r="AN100">
        <v>87633.129531612925</v>
      </c>
      <c r="AO100">
        <v>87633.129531612925</v>
      </c>
      <c r="AP100">
        <v>87633.129531612925</v>
      </c>
      <c r="AQ100">
        <v>87633.129531612925</v>
      </c>
      <c r="AR100">
        <v>87633.129531612925</v>
      </c>
      <c r="AS100">
        <v>87633.129531612925</v>
      </c>
      <c r="AT100">
        <v>87633.129531612925</v>
      </c>
      <c r="AU100">
        <v>87633.129531612925</v>
      </c>
      <c r="AV100">
        <v>87633.129531612925</v>
      </c>
      <c r="AW100">
        <v>87633.129531612925</v>
      </c>
      <c r="AX100">
        <v>87633.129531612925</v>
      </c>
    </row>
    <row r="101" spans="1:50" x14ac:dyDescent="0.2">
      <c r="B101" s="120" t="s">
        <v>22</v>
      </c>
      <c r="C101">
        <v>140027.34657599306</v>
      </c>
      <c r="D101">
        <v>140027.34657599306</v>
      </c>
      <c r="E101">
        <v>140027.34657599306</v>
      </c>
      <c r="F101">
        <v>140027.34657599306</v>
      </c>
      <c r="G101">
        <v>140027.34657599306</v>
      </c>
      <c r="H101">
        <v>140027.34657599306</v>
      </c>
      <c r="I101">
        <v>140027.34657599306</v>
      </c>
      <c r="J101">
        <v>140027.34657599306</v>
      </c>
      <c r="K101">
        <v>140027.34657599306</v>
      </c>
      <c r="L101">
        <v>140027.34657599306</v>
      </c>
      <c r="M101">
        <v>140027.34657599306</v>
      </c>
      <c r="N101">
        <v>140027.34657599306</v>
      </c>
      <c r="O101">
        <v>140027.34657599306</v>
      </c>
      <c r="P101">
        <v>140027.34657599306</v>
      </c>
      <c r="Q101">
        <v>140027.34657599306</v>
      </c>
      <c r="R101">
        <v>140027.34657599306</v>
      </c>
      <c r="S101">
        <v>140027.34657599306</v>
      </c>
      <c r="T101">
        <v>140027.34657599306</v>
      </c>
      <c r="U101">
        <v>140027.34657599306</v>
      </c>
      <c r="V101">
        <v>140027.34657599306</v>
      </c>
      <c r="W101">
        <v>140027.34657599306</v>
      </c>
      <c r="X101">
        <v>140027.34657599306</v>
      </c>
      <c r="Y101">
        <v>140027.34657599306</v>
      </c>
      <c r="Z101">
        <v>140027.34657599306</v>
      </c>
      <c r="AA101">
        <v>140027.34657599306</v>
      </c>
      <c r="AB101">
        <v>140027.34657599306</v>
      </c>
      <c r="AC101">
        <v>140027.34657599306</v>
      </c>
      <c r="AD101">
        <v>140027.34657599306</v>
      </c>
      <c r="AE101">
        <v>140027.34657599306</v>
      </c>
      <c r="AF101">
        <v>140027.34657599306</v>
      </c>
      <c r="AG101">
        <v>140027.34657599306</v>
      </c>
      <c r="AH101">
        <v>140027.34657599306</v>
      </c>
      <c r="AI101">
        <v>140027.34657599306</v>
      </c>
      <c r="AJ101">
        <v>140027.34657599306</v>
      </c>
      <c r="AK101">
        <v>140027.34657599306</v>
      </c>
      <c r="AL101">
        <v>140027.34657599306</v>
      </c>
      <c r="AM101">
        <v>140027.34657599306</v>
      </c>
      <c r="AN101">
        <v>140027.34657599306</v>
      </c>
      <c r="AO101">
        <v>140027.34657599306</v>
      </c>
      <c r="AP101">
        <v>140027.34657599306</v>
      </c>
      <c r="AQ101">
        <v>140027.34657599306</v>
      </c>
      <c r="AR101">
        <v>140027.34657599306</v>
      </c>
      <c r="AS101">
        <v>140027.34657599306</v>
      </c>
      <c r="AT101">
        <v>140027.34657599306</v>
      </c>
      <c r="AU101">
        <v>140027.34657599306</v>
      </c>
      <c r="AV101">
        <v>140027.34657599306</v>
      </c>
      <c r="AW101">
        <v>140027.34657599306</v>
      </c>
      <c r="AX101">
        <v>140027.34657599306</v>
      </c>
    </row>
    <row r="102" spans="1:50" x14ac:dyDescent="0.2">
      <c r="B102" s="120" t="s">
        <v>59</v>
      </c>
      <c r="C102">
        <v>296422.31396012683</v>
      </c>
      <c r="D102">
        <v>296422.31396012683</v>
      </c>
      <c r="E102">
        <v>296422.31396012683</v>
      </c>
      <c r="F102">
        <v>296422.31396012683</v>
      </c>
      <c r="G102">
        <v>296422.31396012683</v>
      </c>
      <c r="H102">
        <v>296422.31396012683</v>
      </c>
      <c r="I102">
        <v>296422.31396012683</v>
      </c>
      <c r="J102">
        <v>296422.31396012683</v>
      </c>
      <c r="K102">
        <v>296422.31396012683</v>
      </c>
      <c r="L102">
        <v>296422.31396012683</v>
      </c>
      <c r="M102">
        <v>296422.31396012683</v>
      </c>
      <c r="N102">
        <v>296422.31396012683</v>
      </c>
      <c r="O102">
        <v>296422.31396012683</v>
      </c>
      <c r="P102">
        <v>296422.31396012683</v>
      </c>
      <c r="Q102">
        <v>296422.31396012683</v>
      </c>
      <c r="R102">
        <v>296422.31396012683</v>
      </c>
      <c r="S102">
        <v>296422.31396012683</v>
      </c>
      <c r="T102">
        <v>296422.31396012683</v>
      </c>
      <c r="U102">
        <v>296422.31396012683</v>
      </c>
      <c r="V102">
        <v>296422.31396012683</v>
      </c>
      <c r="W102">
        <v>296422.31396012683</v>
      </c>
      <c r="X102">
        <v>296422.31396012683</v>
      </c>
      <c r="Y102">
        <v>296422.31396012683</v>
      </c>
      <c r="Z102">
        <v>296422.31396012683</v>
      </c>
      <c r="AA102">
        <v>296422.31396012683</v>
      </c>
      <c r="AB102">
        <v>296422.31396012683</v>
      </c>
      <c r="AC102">
        <v>296422.31396012683</v>
      </c>
      <c r="AD102">
        <v>296422.31396012683</v>
      </c>
      <c r="AE102">
        <v>296422.31396012683</v>
      </c>
      <c r="AF102">
        <v>296422.31396012683</v>
      </c>
      <c r="AG102">
        <v>296422.31396012683</v>
      </c>
      <c r="AH102">
        <v>296422.31396012683</v>
      </c>
      <c r="AI102">
        <v>296422.31396012683</v>
      </c>
      <c r="AJ102">
        <v>296422.31396012683</v>
      </c>
      <c r="AK102">
        <v>296422.31396012683</v>
      </c>
      <c r="AL102">
        <v>296422.31396012683</v>
      </c>
      <c r="AM102">
        <v>296422.31396012683</v>
      </c>
      <c r="AN102">
        <v>296422.31396012683</v>
      </c>
      <c r="AO102">
        <v>296422.31396012683</v>
      </c>
      <c r="AP102">
        <v>296422.31396012683</v>
      </c>
      <c r="AQ102">
        <v>296422.31396012683</v>
      </c>
      <c r="AR102">
        <v>296422.31396012683</v>
      </c>
      <c r="AS102">
        <v>296422.31396012683</v>
      </c>
      <c r="AT102">
        <v>296422.31396012683</v>
      </c>
      <c r="AU102">
        <v>296422.31396012683</v>
      </c>
      <c r="AV102">
        <v>296422.31396012683</v>
      </c>
      <c r="AW102">
        <v>296422.31396012683</v>
      </c>
      <c r="AX102">
        <v>296422.31396012683</v>
      </c>
    </row>
    <row r="103" spans="1:50" x14ac:dyDescent="0.2">
      <c r="B103" t="s">
        <v>278</v>
      </c>
      <c r="C103" s="120">
        <f>SUM(C$98:C$102)</f>
        <v>536882.84386467165</v>
      </c>
      <c r="D103" s="120">
        <f t="shared" ref="D103:AX103" si="5">SUM(D$98:D$102)</f>
        <v>536882.84386467165</v>
      </c>
      <c r="E103" s="120">
        <f t="shared" si="5"/>
        <v>536882.84386467165</v>
      </c>
      <c r="F103" s="120">
        <f t="shared" si="5"/>
        <v>536882.84386467165</v>
      </c>
      <c r="G103" s="120">
        <f t="shared" si="5"/>
        <v>536882.84386467165</v>
      </c>
      <c r="H103" s="120">
        <f t="shared" si="5"/>
        <v>536882.84386467165</v>
      </c>
      <c r="I103" s="120">
        <f t="shared" si="5"/>
        <v>536882.84386467165</v>
      </c>
      <c r="J103" s="120">
        <f t="shared" si="5"/>
        <v>536882.84386467165</v>
      </c>
      <c r="K103" s="120">
        <f t="shared" si="5"/>
        <v>536882.84386467165</v>
      </c>
      <c r="L103" s="120">
        <f t="shared" si="5"/>
        <v>536882.84386467165</v>
      </c>
      <c r="M103" s="120">
        <f t="shared" si="5"/>
        <v>536882.84386467165</v>
      </c>
      <c r="N103" s="120">
        <f t="shared" si="5"/>
        <v>536882.84386467165</v>
      </c>
      <c r="O103" s="120">
        <f t="shared" si="5"/>
        <v>536882.84386467165</v>
      </c>
      <c r="P103" s="120">
        <f t="shared" si="5"/>
        <v>536882.84386467165</v>
      </c>
      <c r="Q103" s="120">
        <f t="shared" si="5"/>
        <v>536882.84386467165</v>
      </c>
      <c r="R103" s="120">
        <f t="shared" si="5"/>
        <v>536882.84386467165</v>
      </c>
      <c r="S103" s="120">
        <f t="shared" si="5"/>
        <v>536882.84386467165</v>
      </c>
      <c r="T103" s="120">
        <f t="shared" si="5"/>
        <v>536882.84386467165</v>
      </c>
      <c r="U103" s="120">
        <f t="shared" si="5"/>
        <v>536882.84386467165</v>
      </c>
      <c r="V103" s="120">
        <f t="shared" si="5"/>
        <v>536882.84386467165</v>
      </c>
      <c r="W103" s="120">
        <f t="shared" si="5"/>
        <v>536882.84386467165</v>
      </c>
      <c r="X103" s="120">
        <f t="shared" si="5"/>
        <v>536882.84386467165</v>
      </c>
      <c r="Y103" s="120">
        <f t="shared" si="5"/>
        <v>536882.84386467165</v>
      </c>
      <c r="Z103" s="120">
        <f t="shared" si="5"/>
        <v>536882.84386467165</v>
      </c>
      <c r="AA103" s="120">
        <f t="shared" si="5"/>
        <v>536882.84386467165</v>
      </c>
      <c r="AB103" s="120">
        <f t="shared" si="5"/>
        <v>536882.84386467165</v>
      </c>
      <c r="AC103" s="120">
        <f t="shared" si="5"/>
        <v>536882.84386467165</v>
      </c>
      <c r="AD103" s="120">
        <f t="shared" si="5"/>
        <v>536882.84386467165</v>
      </c>
      <c r="AE103" s="120">
        <f t="shared" si="5"/>
        <v>536882.84386467165</v>
      </c>
      <c r="AF103" s="120">
        <f t="shared" si="5"/>
        <v>536882.84386467165</v>
      </c>
      <c r="AG103" s="120">
        <f t="shared" si="5"/>
        <v>536882.84386467165</v>
      </c>
      <c r="AH103" s="120">
        <f t="shared" si="5"/>
        <v>536882.84386467165</v>
      </c>
      <c r="AI103" s="120">
        <f t="shared" si="5"/>
        <v>536882.84386467165</v>
      </c>
      <c r="AJ103" s="120">
        <f t="shared" si="5"/>
        <v>536882.84386467165</v>
      </c>
      <c r="AK103" s="120">
        <f t="shared" si="5"/>
        <v>536882.84386467165</v>
      </c>
      <c r="AL103" s="120">
        <f t="shared" si="5"/>
        <v>536882.84386467165</v>
      </c>
      <c r="AM103" s="120">
        <f t="shared" si="5"/>
        <v>536882.84386467165</v>
      </c>
      <c r="AN103" s="120">
        <f t="shared" si="5"/>
        <v>536882.84386467165</v>
      </c>
      <c r="AO103" s="120">
        <f t="shared" si="5"/>
        <v>536882.84386467165</v>
      </c>
      <c r="AP103" s="120">
        <f t="shared" si="5"/>
        <v>536882.84386467165</v>
      </c>
      <c r="AQ103" s="120">
        <f t="shared" si="5"/>
        <v>536882.84386467165</v>
      </c>
      <c r="AR103" s="120">
        <f t="shared" si="5"/>
        <v>536882.84386467165</v>
      </c>
      <c r="AS103" s="120">
        <f t="shared" si="5"/>
        <v>536882.84386467165</v>
      </c>
      <c r="AT103" s="120">
        <f t="shared" si="5"/>
        <v>536882.84386467165</v>
      </c>
      <c r="AU103" s="120">
        <f t="shared" si="5"/>
        <v>536882.84386467165</v>
      </c>
      <c r="AV103" s="120">
        <f t="shared" si="5"/>
        <v>536882.84386467165</v>
      </c>
      <c r="AW103" s="120">
        <f t="shared" si="5"/>
        <v>536882.84386467165</v>
      </c>
      <c r="AX103" s="120">
        <f t="shared" si="5"/>
        <v>536882.84386467165</v>
      </c>
    </row>
    <row r="104" spans="1:50" x14ac:dyDescent="0.2">
      <c r="A104" s="120" t="s">
        <v>105</v>
      </c>
      <c r="B104" s="120" t="s">
        <v>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</row>
    <row r="105" spans="1:50" x14ac:dyDescent="0.2">
      <c r="B105" s="120" t="s">
        <v>10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</row>
    <row r="106" spans="1:50" x14ac:dyDescent="0.2">
      <c r="B106" s="120" t="s">
        <v>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</row>
    <row r="107" spans="1:50" x14ac:dyDescent="0.2">
      <c r="B107" s="120" t="s">
        <v>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</row>
    <row r="108" spans="1:50" x14ac:dyDescent="0.2">
      <c r="B108" s="120" t="s">
        <v>59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</row>
    <row r="109" spans="1:50" x14ac:dyDescent="0.2">
      <c r="B109" s="117" t="s">
        <v>278</v>
      </c>
      <c r="C109" s="120">
        <f>SUM(C$104:C$108)</f>
        <v>0</v>
      </c>
      <c r="D109" s="120">
        <f t="shared" ref="D109:AX109" si="6">SUM(D$104:D$108)</f>
        <v>0</v>
      </c>
      <c r="E109" s="120">
        <f t="shared" si="6"/>
        <v>0</v>
      </c>
      <c r="F109" s="120">
        <f t="shared" si="6"/>
        <v>0</v>
      </c>
      <c r="G109" s="120">
        <f t="shared" si="6"/>
        <v>0</v>
      </c>
      <c r="H109" s="120">
        <f t="shared" si="6"/>
        <v>0</v>
      </c>
      <c r="I109" s="120">
        <f t="shared" si="6"/>
        <v>0</v>
      </c>
      <c r="J109" s="120">
        <f t="shared" si="6"/>
        <v>0</v>
      </c>
      <c r="K109" s="120">
        <f t="shared" si="6"/>
        <v>0</v>
      </c>
      <c r="L109" s="120">
        <f t="shared" si="6"/>
        <v>0</v>
      </c>
      <c r="M109" s="120">
        <f t="shared" si="6"/>
        <v>0</v>
      </c>
      <c r="N109" s="120">
        <f t="shared" si="6"/>
        <v>0</v>
      </c>
      <c r="O109" s="120">
        <f t="shared" si="6"/>
        <v>0</v>
      </c>
      <c r="P109" s="120">
        <f t="shared" si="6"/>
        <v>0</v>
      </c>
      <c r="Q109" s="120">
        <f t="shared" si="6"/>
        <v>0</v>
      </c>
      <c r="R109" s="120">
        <f t="shared" si="6"/>
        <v>0</v>
      </c>
      <c r="S109" s="120">
        <f t="shared" si="6"/>
        <v>0</v>
      </c>
      <c r="T109" s="120">
        <f t="shared" si="6"/>
        <v>0</v>
      </c>
      <c r="U109" s="120">
        <f t="shared" si="6"/>
        <v>0</v>
      </c>
      <c r="V109" s="120">
        <f t="shared" si="6"/>
        <v>0</v>
      </c>
      <c r="W109" s="120">
        <f t="shared" si="6"/>
        <v>0</v>
      </c>
      <c r="X109" s="120">
        <f t="shared" si="6"/>
        <v>0</v>
      </c>
      <c r="Y109" s="120">
        <f t="shared" si="6"/>
        <v>0</v>
      </c>
      <c r="Z109" s="120">
        <f t="shared" si="6"/>
        <v>0</v>
      </c>
      <c r="AA109" s="120">
        <f t="shared" si="6"/>
        <v>0</v>
      </c>
      <c r="AB109" s="120">
        <f t="shared" si="6"/>
        <v>0</v>
      </c>
      <c r="AC109" s="120">
        <f t="shared" si="6"/>
        <v>0</v>
      </c>
      <c r="AD109" s="120">
        <f t="shared" si="6"/>
        <v>0</v>
      </c>
      <c r="AE109" s="120">
        <f t="shared" si="6"/>
        <v>0</v>
      </c>
      <c r="AF109" s="120">
        <f t="shared" si="6"/>
        <v>0</v>
      </c>
      <c r="AG109" s="120">
        <f t="shared" si="6"/>
        <v>0</v>
      </c>
      <c r="AH109" s="120">
        <f t="shared" si="6"/>
        <v>0</v>
      </c>
      <c r="AI109" s="120">
        <f t="shared" si="6"/>
        <v>0</v>
      </c>
      <c r="AJ109" s="120">
        <f t="shared" si="6"/>
        <v>0</v>
      </c>
      <c r="AK109" s="120">
        <f t="shared" si="6"/>
        <v>0</v>
      </c>
      <c r="AL109" s="120">
        <f t="shared" si="6"/>
        <v>0</v>
      </c>
      <c r="AM109" s="120">
        <f t="shared" si="6"/>
        <v>0</v>
      </c>
      <c r="AN109" s="120">
        <f t="shared" si="6"/>
        <v>0</v>
      </c>
      <c r="AO109" s="120">
        <f t="shared" si="6"/>
        <v>0</v>
      </c>
      <c r="AP109" s="120">
        <f t="shared" si="6"/>
        <v>0</v>
      </c>
      <c r="AQ109" s="120">
        <f t="shared" si="6"/>
        <v>0</v>
      </c>
      <c r="AR109" s="120">
        <f t="shared" si="6"/>
        <v>0</v>
      </c>
      <c r="AS109" s="120">
        <f t="shared" si="6"/>
        <v>0</v>
      </c>
      <c r="AT109" s="120">
        <f t="shared" si="6"/>
        <v>0</v>
      </c>
      <c r="AU109" s="120">
        <f t="shared" si="6"/>
        <v>0</v>
      </c>
      <c r="AV109" s="120">
        <f t="shared" si="6"/>
        <v>0</v>
      </c>
      <c r="AW109" s="120">
        <f t="shared" si="6"/>
        <v>0</v>
      </c>
      <c r="AX109" s="120">
        <f t="shared" si="6"/>
        <v>0</v>
      </c>
    </row>
    <row r="110" spans="1:50" x14ac:dyDescent="0.2">
      <c r="A110" s="120" t="s">
        <v>106</v>
      </c>
      <c r="B110" s="120" t="s">
        <v>5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</row>
    <row r="111" spans="1:50" x14ac:dyDescent="0.2">
      <c r="B111" s="120" t="s">
        <v>10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</row>
    <row r="112" spans="1:50" x14ac:dyDescent="0.2">
      <c r="B112" s="120" t="s">
        <v>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</row>
    <row r="113" spans="1:50" x14ac:dyDescent="0.2">
      <c r="B113" s="120" t="s">
        <v>22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</row>
    <row r="114" spans="1:50" x14ac:dyDescent="0.2">
      <c r="B114" s="120" t="s">
        <v>59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</row>
    <row r="115" spans="1:50" x14ac:dyDescent="0.2">
      <c r="B115" t="s">
        <v>278</v>
      </c>
      <c r="C115" s="120">
        <f>SUM(C$110:C$114)</f>
        <v>0</v>
      </c>
      <c r="D115" s="120">
        <f t="shared" ref="D115:AX115" si="7">SUM(D$110:D$114)</f>
        <v>0</v>
      </c>
      <c r="E115" s="120">
        <f t="shared" si="7"/>
        <v>0</v>
      </c>
      <c r="F115" s="120">
        <f t="shared" si="7"/>
        <v>0</v>
      </c>
      <c r="G115" s="120">
        <f t="shared" si="7"/>
        <v>0</v>
      </c>
      <c r="H115" s="120">
        <f t="shared" si="7"/>
        <v>0</v>
      </c>
      <c r="I115" s="120">
        <f t="shared" si="7"/>
        <v>0</v>
      </c>
      <c r="J115" s="120">
        <f t="shared" si="7"/>
        <v>0</v>
      </c>
      <c r="K115" s="120">
        <f t="shared" si="7"/>
        <v>0</v>
      </c>
      <c r="L115" s="120">
        <f t="shared" si="7"/>
        <v>0</v>
      </c>
      <c r="M115" s="120">
        <f t="shared" si="7"/>
        <v>0</v>
      </c>
      <c r="N115" s="120">
        <f t="shared" si="7"/>
        <v>0</v>
      </c>
      <c r="O115" s="120">
        <f t="shared" si="7"/>
        <v>0</v>
      </c>
      <c r="P115" s="120">
        <f t="shared" si="7"/>
        <v>0</v>
      </c>
      <c r="Q115" s="120">
        <f t="shared" si="7"/>
        <v>0</v>
      </c>
      <c r="R115" s="120">
        <f t="shared" si="7"/>
        <v>0</v>
      </c>
      <c r="S115" s="120">
        <f t="shared" si="7"/>
        <v>0</v>
      </c>
      <c r="T115" s="120">
        <f t="shared" si="7"/>
        <v>0</v>
      </c>
      <c r="U115" s="120">
        <f t="shared" si="7"/>
        <v>0</v>
      </c>
      <c r="V115" s="120">
        <f t="shared" si="7"/>
        <v>0</v>
      </c>
      <c r="W115" s="120">
        <f t="shared" si="7"/>
        <v>0</v>
      </c>
      <c r="X115" s="120">
        <f t="shared" si="7"/>
        <v>0</v>
      </c>
      <c r="Y115" s="120">
        <f t="shared" si="7"/>
        <v>0</v>
      </c>
      <c r="Z115" s="120">
        <f t="shared" si="7"/>
        <v>0</v>
      </c>
      <c r="AA115" s="120">
        <f t="shared" si="7"/>
        <v>0</v>
      </c>
      <c r="AB115" s="120">
        <f t="shared" si="7"/>
        <v>0</v>
      </c>
      <c r="AC115" s="120">
        <f t="shared" si="7"/>
        <v>0</v>
      </c>
      <c r="AD115" s="120">
        <f t="shared" si="7"/>
        <v>0</v>
      </c>
      <c r="AE115" s="120">
        <f t="shared" si="7"/>
        <v>0</v>
      </c>
      <c r="AF115" s="120">
        <f t="shared" si="7"/>
        <v>0</v>
      </c>
      <c r="AG115" s="120">
        <f t="shared" si="7"/>
        <v>0</v>
      </c>
      <c r="AH115" s="120">
        <f t="shared" si="7"/>
        <v>0</v>
      </c>
      <c r="AI115" s="120">
        <f t="shared" si="7"/>
        <v>0</v>
      </c>
      <c r="AJ115" s="120">
        <f t="shared" si="7"/>
        <v>0</v>
      </c>
      <c r="AK115" s="120">
        <f t="shared" si="7"/>
        <v>0</v>
      </c>
      <c r="AL115" s="120">
        <f t="shared" si="7"/>
        <v>0</v>
      </c>
      <c r="AM115" s="120">
        <f t="shared" si="7"/>
        <v>0</v>
      </c>
      <c r="AN115" s="120">
        <f t="shared" si="7"/>
        <v>0</v>
      </c>
      <c r="AO115" s="120">
        <f t="shared" si="7"/>
        <v>0</v>
      </c>
      <c r="AP115" s="120">
        <f t="shared" si="7"/>
        <v>0</v>
      </c>
      <c r="AQ115" s="120">
        <f t="shared" si="7"/>
        <v>0</v>
      </c>
      <c r="AR115" s="120">
        <f t="shared" si="7"/>
        <v>0</v>
      </c>
      <c r="AS115" s="120">
        <f t="shared" si="7"/>
        <v>0</v>
      </c>
      <c r="AT115" s="120">
        <f t="shared" si="7"/>
        <v>0</v>
      </c>
      <c r="AU115" s="120">
        <f t="shared" si="7"/>
        <v>0</v>
      </c>
      <c r="AV115" s="120">
        <f t="shared" si="7"/>
        <v>0</v>
      </c>
      <c r="AW115" s="120">
        <f t="shared" si="7"/>
        <v>0</v>
      </c>
      <c r="AX115" s="120">
        <f t="shared" si="7"/>
        <v>0</v>
      </c>
    </row>
    <row r="116" spans="1:50" x14ac:dyDescent="0.2">
      <c r="A116" s="120" t="s">
        <v>107</v>
      </c>
      <c r="B116" s="120" t="s">
        <v>5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</row>
    <row r="117" spans="1:50" x14ac:dyDescent="0.2">
      <c r="B117" s="120" t="s">
        <v>10</v>
      </c>
      <c r="C117">
        <v>12185.122846493821</v>
      </c>
      <c r="D117">
        <v>12211.829665375597</v>
      </c>
      <c r="E117">
        <v>12238.537905125362</v>
      </c>
      <c r="F117">
        <v>12265.243282318972</v>
      </c>
      <c r="G117">
        <v>12291.941512097883</v>
      </c>
      <c r="H117">
        <v>12318.628308920725</v>
      </c>
      <c r="I117">
        <v>12345.299387315446</v>
      </c>
      <c r="J117">
        <v>12371.95046263189</v>
      </c>
      <c r="K117">
        <v>12398.577251794617</v>
      </c>
      <c r="L117">
        <v>12425.175474055915</v>
      </c>
      <c r="M117">
        <v>12426.014104091928</v>
      </c>
      <c r="N117">
        <v>12426.014104091928</v>
      </c>
      <c r="O117">
        <v>12426.014104091928</v>
      </c>
      <c r="P117">
        <v>12426.014104091928</v>
      </c>
      <c r="Q117">
        <v>12426.014104091928</v>
      </c>
      <c r="R117">
        <v>12426.014104091928</v>
      </c>
      <c r="S117">
        <v>12426.014104091928</v>
      </c>
      <c r="T117">
        <v>12426.014104091928</v>
      </c>
      <c r="U117">
        <v>12426.014104091928</v>
      </c>
      <c r="V117">
        <v>12426.014104091928</v>
      </c>
      <c r="W117">
        <v>12426.014104091928</v>
      </c>
      <c r="X117">
        <v>5096.2296779322314</v>
      </c>
      <c r="Y117">
        <v>5106.5655709541079</v>
      </c>
      <c r="Z117">
        <v>12426.014104091928</v>
      </c>
      <c r="AA117">
        <v>12426.014104091928</v>
      </c>
      <c r="AB117">
        <v>12426.014104091928</v>
      </c>
      <c r="AC117">
        <v>12426.014104091928</v>
      </c>
      <c r="AD117">
        <v>12426.014104091928</v>
      </c>
      <c r="AE117">
        <v>12426.014104091928</v>
      </c>
      <c r="AF117">
        <v>12426.014104091928</v>
      </c>
      <c r="AG117">
        <v>1296.9622641445276</v>
      </c>
      <c r="AH117">
        <v>12426.014104091928</v>
      </c>
      <c r="AI117">
        <v>12426.014104091928</v>
      </c>
      <c r="AJ117">
        <v>12426.014104091928</v>
      </c>
      <c r="AK117">
        <v>12426.014104091928</v>
      </c>
      <c r="AL117">
        <v>12426.014104091928</v>
      </c>
      <c r="AM117">
        <v>12426.014104091928</v>
      </c>
      <c r="AN117">
        <v>12426.014104091928</v>
      </c>
      <c r="AO117">
        <v>12426.014104091928</v>
      </c>
      <c r="AP117">
        <v>12426.014104091928</v>
      </c>
      <c r="AQ117">
        <v>9248.7827228851165</v>
      </c>
      <c r="AR117">
        <v>12426.014104091928</v>
      </c>
      <c r="AS117">
        <v>1325.933700243279</v>
      </c>
      <c r="AT117">
        <v>1328.2482899365532</v>
      </c>
      <c r="AU117">
        <v>1330.545765516636</v>
      </c>
      <c r="AV117">
        <v>12426.014104091928</v>
      </c>
      <c r="AW117">
        <v>12426.014104091928</v>
      </c>
      <c r="AX117">
        <v>12426.014104091928</v>
      </c>
    </row>
    <row r="118" spans="1:50" x14ac:dyDescent="0.2">
      <c r="B118" s="120" t="s">
        <v>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</row>
    <row r="119" spans="1:50" x14ac:dyDescent="0.2">
      <c r="B119" s="120" t="s">
        <v>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</row>
    <row r="120" spans="1:50" x14ac:dyDescent="0.2">
      <c r="B120" s="120" t="s">
        <v>59</v>
      </c>
      <c r="C120">
        <v>1238944.6453504853</v>
      </c>
      <c r="D120">
        <v>1241660.109992472</v>
      </c>
      <c r="E120">
        <v>1244375.7191038097</v>
      </c>
      <c r="F120">
        <v>1247091.0371595165</v>
      </c>
      <c r="G120">
        <v>1249805.6284887649</v>
      </c>
      <c r="H120">
        <v>1252519.0573513003</v>
      </c>
      <c r="I120">
        <v>1255230.8880139161</v>
      </c>
      <c r="J120">
        <v>1257940.6848269736</v>
      </c>
      <c r="K120">
        <v>1260648.0123009454</v>
      </c>
      <c r="L120">
        <v>1263352.4351829814</v>
      </c>
      <c r="M120">
        <v>1263437.7044252891</v>
      </c>
      <c r="N120">
        <v>1263437.7044252891</v>
      </c>
      <c r="O120">
        <v>1263437.7044252891</v>
      </c>
      <c r="P120">
        <v>1263437.7044252891</v>
      </c>
      <c r="Q120">
        <v>1263437.7044252891</v>
      </c>
      <c r="R120">
        <v>1263437.7044252891</v>
      </c>
      <c r="S120">
        <v>1263437.7044252891</v>
      </c>
      <c r="T120">
        <v>1263437.7044252891</v>
      </c>
      <c r="U120">
        <v>1263437.7044252891</v>
      </c>
      <c r="V120">
        <v>1263437.7044252891</v>
      </c>
      <c r="W120">
        <v>1263437.7044252891</v>
      </c>
      <c r="X120">
        <v>518168.47072388406</v>
      </c>
      <c r="Y120">
        <v>519219.39154558553</v>
      </c>
      <c r="Z120">
        <v>1263437.7044252891</v>
      </c>
      <c r="AA120">
        <v>1263437.7044252891</v>
      </c>
      <c r="AB120">
        <v>1263437.7044252891</v>
      </c>
      <c r="AC120">
        <v>1263437.7044252891</v>
      </c>
      <c r="AD120">
        <v>1263437.7044252891</v>
      </c>
      <c r="AE120">
        <v>1263437.7044252891</v>
      </c>
      <c r="AF120">
        <v>1263437.7044252891</v>
      </c>
      <c r="AG120">
        <v>131871.00964237444</v>
      </c>
      <c r="AH120">
        <v>1263437.7044252891</v>
      </c>
      <c r="AI120">
        <v>1263437.7044252891</v>
      </c>
      <c r="AJ120">
        <v>1263437.7044252891</v>
      </c>
      <c r="AK120">
        <v>1263437.7044252891</v>
      </c>
      <c r="AL120">
        <v>1263437.7044252891</v>
      </c>
      <c r="AM120">
        <v>1263437.7044252891</v>
      </c>
      <c r="AN120">
        <v>1263437.7044252891</v>
      </c>
      <c r="AO120">
        <v>1263437.7044252891</v>
      </c>
      <c r="AP120">
        <v>1263437.7044252891</v>
      </c>
      <c r="AQ120">
        <v>940386.89432054106</v>
      </c>
      <c r="AR120">
        <v>1263437.7044252891</v>
      </c>
      <c r="AS120">
        <v>134816.73338064516</v>
      </c>
      <c r="AT120">
        <v>135052.07351982893</v>
      </c>
      <c r="AU120">
        <v>135285.67355026171</v>
      </c>
      <c r="AV120">
        <v>1263437.7044252891</v>
      </c>
      <c r="AW120">
        <v>1263437.7044252891</v>
      </c>
      <c r="AX120">
        <v>1263437.7044252891</v>
      </c>
    </row>
    <row r="121" spans="1:50" x14ac:dyDescent="0.2">
      <c r="B121" t="s">
        <v>278</v>
      </c>
      <c r="C121" s="120">
        <f>SUM(C$116:C$120)</f>
        <v>1251129.7681969791</v>
      </c>
      <c r="D121" s="120">
        <f t="shared" ref="D121:AX121" si="8">SUM(D$116:D$120)</f>
        <v>1253871.9396578476</v>
      </c>
      <c r="E121" s="120">
        <f t="shared" si="8"/>
        <v>1256614.2570089351</v>
      </c>
      <c r="F121" s="120">
        <f t="shared" si="8"/>
        <v>1259356.2804418355</v>
      </c>
      <c r="G121" s="120">
        <f t="shared" si="8"/>
        <v>1262097.5700008627</v>
      </c>
      <c r="H121" s="120">
        <f t="shared" si="8"/>
        <v>1264837.6856602209</v>
      </c>
      <c r="I121" s="120">
        <f t="shared" si="8"/>
        <v>1267576.1874012316</v>
      </c>
      <c r="J121" s="120">
        <f t="shared" si="8"/>
        <v>1270312.6352896055</v>
      </c>
      <c r="K121" s="120">
        <f t="shared" si="8"/>
        <v>1273046.5895527399</v>
      </c>
      <c r="L121" s="120">
        <f t="shared" si="8"/>
        <v>1275777.6106570372</v>
      </c>
      <c r="M121" s="120">
        <f t="shared" si="8"/>
        <v>1275863.7185293811</v>
      </c>
      <c r="N121" s="120">
        <f t="shared" si="8"/>
        <v>1275863.7185293811</v>
      </c>
      <c r="O121" s="120">
        <f t="shared" si="8"/>
        <v>1275863.7185293811</v>
      </c>
      <c r="P121" s="120">
        <f t="shared" si="8"/>
        <v>1275863.7185293811</v>
      </c>
      <c r="Q121" s="120">
        <f t="shared" si="8"/>
        <v>1275863.7185293811</v>
      </c>
      <c r="R121" s="120">
        <f t="shared" si="8"/>
        <v>1275863.7185293811</v>
      </c>
      <c r="S121" s="120">
        <f t="shared" si="8"/>
        <v>1275863.7185293811</v>
      </c>
      <c r="T121" s="120">
        <f t="shared" si="8"/>
        <v>1275863.7185293811</v>
      </c>
      <c r="U121" s="120">
        <f t="shared" si="8"/>
        <v>1275863.7185293811</v>
      </c>
      <c r="V121" s="120">
        <f t="shared" si="8"/>
        <v>1275863.7185293811</v>
      </c>
      <c r="W121" s="120">
        <f t="shared" si="8"/>
        <v>1275863.7185293811</v>
      </c>
      <c r="X121" s="120">
        <f t="shared" si="8"/>
        <v>523264.70040181628</v>
      </c>
      <c r="Y121" s="120">
        <f t="shared" si="8"/>
        <v>524325.95711653959</v>
      </c>
      <c r="Z121" s="120">
        <f t="shared" si="8"/>
        <v>1275863.7185293811</v>
      </c>
      <c r="AA121" s="120">
        <f t="shared" si="8"/>
        <v>1275863.7185293811</v>
      </c>
      <c r="AB121" s="120">
        <f t="shared" si="8"/>
        <v>1275863.7185293811</v>
      </c>
      <c r="AC121" s="120">
        <f t="shared" si="8"/>
        <v>1275863.7185293811</v>
      </c>
      <c r="AD121" s="120">
        <f t="shared" si="8"/>
        <v>1275863.7185293811</v>
      </c>
      <c r="AE121" s="120">
        <f t="shared" si="8"/>
        <v>1275863.7185293811</v>
      </c>
      <c r="AF121" s="120">
        <f t="shared" si="8"/>
        <v>1275863.7185293811</v>
      </c>
      <c r="AG121" s="120">
        <f t="shared" si="8"/>
        <v>133167.97190651897</v>
      </c>
      <c r="AH121" s="120">
        <f t="shared" si="8"/>
        <v>1275863.7185293811</v>
      </c>
      <c r="AI121" s="120">
        <f t="shared" si="8"/>
        <v>1275863.7185293811</v>
      </c>
      <c r="AJ121" s="120">
        <f t="shared" si="8"/>
        <v>1275863.7185293811</v>
      </c>
      <c r="AK121" s="120">
        <f t="shared" si="8"/>
        <v>1275863.7185293811</v>
      </c>
      <c r="AL121" s="120">
        <f t="shared" si="8"/>
        <v>1275863.7185293811</v>
      </c>
      <c r="AM121" s="120">
        <f t="shared" si="8"/>
        <v>1275863.7185293811</v>
      </c>
      <c r="AN121" s="120">
        <f t="shared" si="8"/>
        <v>1275863.7185293811</v>
      </c>
      <c r="AO121" s="120">
        <f t="shared" si="8"/>
        <v>1275863.7185293811</v>
      </c>
      <c r="AP121" s="120">
        <f t="shared" si="8"/>
        <v>1275863.7185293811</v>
      </c>
      <c r="AQ121" s="120">
        <f t="shared" si="8"/>
        <v>949635.6770434262</v>
      </c>
      <c r="AR121" s="120">
        <f t="shared" si="8"/>
        <v>1275863.7185293811</v>
      </c>
      <c r="AS121" s="120">
        <f t="shared" si="8"/>
        <v>136142.66708088844</v>
      </c>
      <c r="AT121" s="120">
        <f t="shared" si="8"/>
        <v>136380.32180976548</v>
      </c>
      <c r="AU121" s="120">
        <f t="shared" si="8"/>
        <v>136616.21931577835</v>
      </c>
      <c r="AV121" s="120">
        <f t="shared" si="8"/>
        <v>1275863.7185293811</v>
      </c>
      <c r="AW121" s="120">
        <f t="shared" si="8"/>
        <v>1275863.7185293811</v>
      </c>
      <c r="AX121" s="120">
        <f t="shared" si="8"/>
        <v>1275863.7185293811</v>
      </c>
    </row>
    <row r="122" spans="1:50" x14ac:dyDescent="0.2">
      <c r="A122" s="120" t="s">
        <v>108</v>
      </c>
      <c r="B122" s="120" t="s">
        <v>5</v>
      </c>
      <c r="C122">
        <v>21792.83281564428</v>
      </c>
      <c r="D122">
        <v>21792.83281564428</v>
      </c>
      <c r="E122">
        <v>21792.83281564428</v>
      </c>
      <c r="F122">
        <v>21792.83281564428</v>
      </c>
      <c r="G122">
        <v>21792.83281564428</v>
      </c>
      <c r="H122">
        <v>21792.83281564428</v>
      </c>
      <c r="I122">
        <v>21792.83281564428</v>
      </c>
      <c r="J122">
        <v>21792.83281564428</v>
      </c>
      <c r="K122">
        <v>21792.83281564428</v>
      </c>
      <c r="L122">
        <v>21792.83281564428</v>
      </c>
      <c r="M122">
        <v>21792.83281564428</v>
      </c>
      <c r="N122">
        <v>21792.83281564428</v>
      </c>
      <c r="O122">
        <v>21792.83281564428</v>
      </c>
      <c r="P122">
        <v>21792.83281564428</v>
      </c>
      <c r="Q122">
        <v>21792.83281564428</v>
      </c>
      <c r="R122">
        <v>21792.83281564428</v>
      </c>
      <c r="S122">
        <v>21792.83281564428</v>
      </c>
      <c r="T122">
        <v>21792.83281564428</v>
      </c>
      <c r="U122">
        <v>21792.83281564428</v>
      </c>
      <c r="V122">
        <v>21792.83281564428</v>
      </c>
      <c r="W122">
        <v>21792.83281564428</v>
      </c>
      <c r="X122">
        <v>21792.83281564428</v>
      </c>
      <c r="Y122">
        <v>21792.83281564428</v>
      </c>
      <c r="Z122">
        <v>21792.83281564428</v>
      </c>
      <c r="AA122">
        <v>21792.83281564428</v>
      </c>
      <c r="AB122">
        <v>21792.83281564428</v>
      </c>
      <c r="AC122">
        <v>21792.83281564428</v>
      </c>
      <c r="AD122">
        <v>21792.83281564428</v>
      </c>
      <c r="AE122">
        <v>21792.83281564428</v>
      </c>
      <c r="AF122">
        <v>21792.83281564428</v>
      </c>
      <c r="AG122">
        <v>21792.83281564428</v>
      </c>
      <c r="AH122">
        <v>21792.83281564428</v>
      </c>
      <c r="AI122">
        <v>21792.83281564428</v>
      </c>
      <c r="AJ122">
        <v>21792.83281564428</v>
      </c>
      <c r="AK122">
        <v>21792.83281564428</v>
      </c>
      <c r="AL122">
        <v>21792.83281564428</v>
      </c>
      <c r="AM122">
        <v>21792.83281564428</v>
      </c>
      <c r="AN122">
        <v>21792.83281564428</v>
      </c>
      <c r="AO122">
        <v>21792.83281564428</v>
      </c>
      <c r="AP122">
        <v>21792.83281564428</v>
      </c>
      <c r="AQ122">
        <v>21792.83281564428</v>
      </c>
      <c r="AR122">
        <v>21792.83281564428</v>
      </c>
      <c r="AS122">
        <v>21792.83281564428</v>
      </c>
      <c r="AT122">
        <v>21792.83281564428</v>
      </c>
      <c r="AU122">
        <v>21792.83281564428</v>
      </c>
      <c r="AV122">
        <v>21792.83281564428</v>
      </c>
      <c r="AW122">
        <v>21792.83281564428</v>
      </c>
      <c r="AX122">
        <v>21792.83281564428</v>
      </c>
    </row>
    <row r="123" spans="1:50" x14ac:dyDescent="0.2">
      <c r="B123" s="120" t="s">
        <v>10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</row>
    <row r="124" spans="1:50" x14ac:dyDescent="0.2">
      <c r="B124" s="120" t="s">
        <v>12</v>
      </c>
      <c r="C124">
        <v>149200.47769259161</v>
      </c>
      <c r="D124">
        <v>149200.47769259161</v>
      </c>
      <c r="E124">
        <v>149200.47769259161</v>
      </c>
      <c r="F124">
        <v>149200.47769259161</v>
      </c>
      <c r="G124">
        <v>149200.47769259161</v>
      </c>
      <c r="H124">
        <v>149200.47769259161</v>
      </c>
      <c r="I124">
        <v>149200.47769259161</v>
      </c>
      <c r="J124">
        <v>149200.47769259161</v>
      </c>
      <c r="K124">
        <v>149200.47769259161</v>
      </c>
      <c r="L124">
        <v>149200.47769259161</v>
      </c>
      <c r="M124">
        <v>149200.47769259161</v>
      </c>
      <c r="N124">
        <v>149200.47769259161</v>
      </c>
      <c r="O124">
        <v>149200.47769259161</v>
      </c>
      <c r="P124">
        <v>149200.47769259161</v>
      </c>
      <c r="Q124">
        <v>149200.47769259161</v>
      </c>
      <c r="R124">
        <v>149200.47769259161</v>
      </c>
      <c r="S124">
        <v>149200.47769259161</v>
      </c>
      <c r="T124">
        <v>149200.47769259161</v>
      </c>
      <c r="U124">
        <v>149200.47769259161</v>
      </c>
      <c r="V124">
        <v>149200.47769259161</v>
      </c>
      <c r="W124">
        <v>149200.47769259161</v>
      </c>
      <c r="X124">
        <v>149200.47769259161</v>
      </c>
      <c r="Y124">
        <v>149200.47769259161</v>
      </c>
      <c r="Z124">
        <v>149200.47769259161</v>
      </c>
      <c r="AA124">
        <v>149200.47769259161</v>
      </c>
      <c r="AB124">
        <v>149200.47769259161</v>
      </c>
      <c r="AC124">
        <v>149200.47769259161</v>
      </c>
      <c r="AD124">
        <v>149200.47769259161</v>
      </c>
      <c r="AE124">
        <v>149200.47769259161</v>
      </c>
      <c r="AF124">
        <v>149200.47769259161</v>
      </c>
      <c r="AG124">
        <v>149200.47769259161</v>
      </c>
      <c r="AH124">
        <v>149200.47769259161</v>
      </c>
      <c r="AI124">
        <v>149200.47769259161</v>
      </c>
      <c r="AJ124">
        <v>149200.47769259161</v>
      </c>
      <c r="AK124">
        <v>149200.47769259161</v>
      </c>
      <c r="AL124">
        <v>149200.47769259161</v>
      </c>
      <c r="AM124">
        <v>149200.47769259161</v>
      </c>
      <c r="AN124">
        <v>149200.47769259161</v>
      </c>
      <c r="AO124">
        <v>149200.47769259161</v>
      </c>
      <c r="AP124">
        <v>149200.47769259161</v>
      </c>
      <c r="AQ124">
        <v>149200.47769259161</v>
      </c>
      <c r="AR124">
        <v>149200.47769259161</v>
      </c>
      <c r="AS124">
        <v>149200.47769259161</v>
      </c>
      <c r="AT124">
        <v>149200.47769259161</v>
      </c>
      <c r="AU124">
        <v>149200.47769259161</v>
      </c>
      <c r="AV124">
        <v>149200.47769259161</v>
      </c>
      <c r="AW124">
        <v>149200.47769259161</v>
      </c>
      <c r="AX124">
        <v>149200.47769259161</v>
      </c>
    </row>
    <row r="125" spans="1:50" x14ac:dyDescent="0.2">
      <c r="B125" s="120" t="s">
        <v>22</v>
      </c>
      <c r="C125">
        <v>238404.66625841058</v>
      </c>
      <c r="D125">
        <v>238404.66625841058</v>
      </c>
      <c r="E125">
        <v>238404.66625841058</v>
      </c>
      <c r="F125">
        <v>238404.66625841058</v>
      </c>
      <c r="G125">
        <v>238404.66625841058</v>
      </c>
      <c r="H125">
        <v>238404.66625841058</v>
      </c>
      <c r="I125">
        <v>238404.66625841058</v>
      </c>
      <c r="J125">
        <v>238404.66625841058</v>
      </c>
      <c r="K125">
        <v>238404.66625841058</v>
      </c>
      <c r="L125">
        <v>238404.66625841058</v>
      </c>
      <c r="M125">
        <v>238404.66625841058</v>
      </c>
      <c r="N125">
        <v>238404.66625841058</v>
      </c>
      <c r="O125">
        <v>238404.66625841058</v>
      </c>
      <c r="P125">
        <v>238404.66625841058</v>
      </c>
      <c r="Q125">
        <v>238404.66625841058</v>
      </c>
      <c r="R125">
        <v>238404.66625841058</v>
      </c>
      <c r="S125">
        <v>238404.66625841058</v>
      </c>
      <c r="T125">
        <v>238404.66625841058</v>
      </c>
      <c r="U125">
        <v>238404.66625841058</v>
      </c>
      <c r="V125">
        <v>238404.66625841058</v>
      </c>
      <c r="W125">
        <v>238404.66625841058</v>
      </c>
      <c r="X125">
        <v>238404.66625841058</v>
      </c>
      <c r="Y125">
        <v>238404.66625841058</v>
      </c>
      <c r="Z125">
        <v>238404.66625841058</v>
      </c>
      <c r="AA125">
        <v>238404.66625841058</v>
      </c>
      <c r="AB125">
        <v>238404.66625841058</v>
      </c>
      <c r="AC125">
        <v>238404.66625841058</v>
      </c>
      <c r="AD125">
        <v>238404.66625841058</v>
      </c>
      <c r="AE125">
        <v>238404.66625841058</v>
      </c>
      <c r="AF125">
        <v>238404.66625841058</v>
      </c>
      <c r="AG125">
        <v>238404.66625841058</v>
      </c>
      <c r="AH125">
        <v>238404.66625841058</v>
      </c>
      <c r="AI125">
        <v>238404.66625841058</v>
      </c>
      <c r="AJ125">
        <v>238404.66625841058</v>
      </c>
      <c r="AK125">
        <v>238404.66625841058</v>
      </c>
      <c r="AL125">
        <v>238404.66625841058</v>
      </c>
      <c r="AM125">
        <v>238404.66625841058</v>
      </c>
      <c r="AN125">
        <v>238404.66625841058</v>
      </c>
      <c r="AO125">
        <v>238404.66625841058</v>
      </c>
      <c r="AP125">
        <v>238404.66625841058</v>
      </c>
      <c r="AQ125">
        <v>238404.66625841058</v>
      </c>
      <c r="AR125">
        <v>238404.66625841058</v>
      </c>
      <c r="AS125">
        <v>238404.66625841058</v>
      </c>
      <c r="AT125">
        <v>238404.66625841058</v>
      </c>
      <c r="AU125">
        <v>238404.66625841058</v>
      </c>
      <c r="AV125">
        <v>238404.66625841058</v>
      </c>
      <c r="AW125">
        <v>238404.66625841058</v>
      </c>
      <c r="AX125">
        <v>238404.66625841058</v>
      </c>
    </row>
    <row r="126" spans="1:50" x14ac:dyDescent="0.2">
      <c r="B126" s="120" t="s">
        <v>59</v>
      </c>
      <c r="C126">
        <v>504676.15475994162</v>
      </c>
      <c r="D126">
        <v>504676.15475994162</v>
      </c>
      <c r="E126">
        <v>504676.15475994162</v>
      </c>
      <c r="F126">
        <v>504676.15475994162</v>
      </c>
      <c r="G126">
        <v>504676.15475994162</v>
      </c>
      <c r="H126">
        <v>504676.15475994162</v>
      </c>
      <c r="I126">
        <v>504676.15475994162</v>
      </c>
      <c r="J126">
        <v>504676.15475994162</v>
      </c>
      <c r="K126">
        <v>504676.15475994162</v>
      </c>
      <c r="L126">
        <v>504676.15475994162</v>
      </c>
      <c r="M126">
        <v>504676.15475994162</v>
      </c>
      <c r="N126">
        <v>504676.15475994162</v>
      </c>
      <c r="O126">
        <v>504676.15475994162</v>
      </c>
      <c r="P126">
        <v>504676.15475994162</v>
      </c>
      <c r="Q126">
        <v>504676.15475994162</v>
      </c>
      <c r="R126">
        <v>504676.15475994162</v>
      </c>
      <c r="S126">
        <v>504676.15475994162</v>
      </c>
      <c r="T126">
        <v>504676.15475994162</v>
      </c>
      <c r="U126">
        <v>504676.15475994162</v>
      </c>
      <c r="V126">
        <v>504676.15475994162</v>
      </c>
      <c r="W126">
        <v>504676.15475994162</v>
      </c>
      <c r="X126">
        <v>504676.15475994162</v>
      </c>
      <c r="Y126">
        <v>504676.15475994162</v>
      </c>
      <c r="Z126">
        <v>504676.15475994162</v>
      </c>
      <c r="AA126">
        <v>504676.15475994162</v>
      </c>
      <c r="AB126">
        <v>504676.15475994162</v>
      </c>
      <c r="AC126">
        <v>504676.15475994162</v>
      </c>
      <c r="AD126">
        <v>504676.15475994162</v>
      </c>
      <c r="AE126">
        <v>504676.15475994162</v>
      </c>
      <c r="AF126">
        <v>504676.15475994162</v>
      </c>
      <c r="AG126">
        <v>504676.15475994162</v>
      </c>
      <c r="AH126">
        <v>504676.15475994162</v>
      </c>
      <c r="AI126">
        <v>504676.15475994162</v>
      </c>
      <c r="AJ126">
        <v>504676.15475994162</v>
      </c>
      <c r="AK126">
        <v>504676.15475994162</v>
      </c>
      <c r="AL126">
        <v>504676.15475994162</v>
      </c>
      <c r="AM126">
        <v>504676.15475994162</v>
      </c>
      <c r="AN126">
        <v>504676.15475994162</v>
      </c>
      <c r="AO126">
        <v>504676.15475994162</v>
      </c>
      <c r="AP126">
        <v>504676.15475994162</v>
      </c>
      <c r="AQ126">
        <v>504676.15475994162</v>
      </c>
      <c r="AR126">
        <v>504676.15475994162</v>
      </c>
      <c r="AS126">
        <v>504676.15475994162</v>
      </c>
      <c r="AT126">
        <v>504676.15475994162</v>
      </c>
      <c r="AU126">
        <v>504676.15475994162</v>
      </c>
      <c r="AV126">
        <v>504676.15475994162</v>
      </c>
      <c r="AW126">
        <v>504676.15475994162</v>
      </c>
      <c r="AX126">
        <v>504676.15475994162</v>
      </c>
    </row>
    <row r="127" spans="1:50" x14ac:dyDescent="0.2">
      <c r="B127" t="s">
        <v>278</v>
      </c>
      <c r="C127" s="120">
        <f>SUM(C$122:C$126)</f>
        <v>914074.13152658811</v>
      </c>
      <c r="D127" s="120">
        <f t="shared" ref="D127:AX127" si="9">SUM(D$122:D$126)</f>
        <v>914074.13152658811</v>
      </c>
      <c r="E127" s="120">
        <f t="shared" si="9"/>
        <v>914074.13152658811</v>
      </c>
      <c r="F127" s="120">
        <f t="shared" si="9"/>
        <v>914074.13152658811</v>
      </c>
      <c r="G127" s="120">
        <f t="shared" si="9"/>
        <v>914074.13152658811</v>
      </c>
      <c r="H127" s="120">
        <f t="shared" si="9"/>
        <v>914074.13152658811</v>
      </c>
      <c r="I127" s="120">
        <f t="shared" si="9"/>
        <v>914074.13152658811</v>
      </c>
      <c r="J127" s="120">
        <f t="shared" si="9"/>
        <v>914074.13152658811</v>
      </c>
      <c r="K127" s="120">
        <f t="shared" si="9"/>
        <v>914074.13152658811</v>
      </c>
      <c r="L127" s="120">
        <f t="shared" si="9"/>
        <v>914074.13152658811</v>
      </c>
      <c r="M127" s="120">
        <f t="shared" si="9"/>
        <v>914074.13152658811</v>
      </c>
      <c r="N127" s="120">
        <f t="shared" si="9"/>
        <v>914074.13152658811</v>
      </c>
      <c r="O127" s="120">
        <f t="shared" si="9"/>
        <v>914074.13152658811</v>
      </c>
      <c r="P127" s="120">
        <f t="shared" si="9"/>
        <v>914074.13152658811</v>
      </c>
      <c r="Q127" s="120">
        <f t="shared" si="9"/>
        <v>914074.13152658811</v>
      </c>
      <c r="R127" s="120">
        <f t="shared" si="9"/>
        <v>914074.13152658811</v>
      </c>
      <c r="S127" s="120">
        <f t="shared" si="9"/>
        <v>914074.13152658811</v>
      </c>
      <c r="T127" s="120">
        <f t="shared" si="9"/>
        <v>914074.13152658811</v>
      </c>
      <c r="U127" s="120">
        <f t="shared" si="9"/>
        <v>914074.13152658811</v>
      </c>
      <c r="V127" s="120">
        <f t="shared" si="9"/>
        <v>914074.13152658811</v>
      </c>
      <c r="W127" s="120">
        <f t="shared" si="9"/>
        <v>914074.13152658811</v>
      </c>
      <c r="X127" s="120">
        <f t="shared" si="9"/>
        <v>914074.13152658811</v>
      </c>
      <c r="Y127" s="120">
        <f t="shared" si="9"/>
        <v>914074.13152658811</v>
      </c>
      <c r="Z127" s="120">
        <f t="shared" si="9"/>
        <v>914074.13152658811</v>
      </c>
      <c r="AA127" s="120">
        <f t="shared" si="9"/>
        <v>914074.13152658811</v>
      </c>
      <c r="AB127" s="120">
        <f t="shared" si="9"/>
        <v>914074.13152658811</v>
      </c>
      <c r="AC127" s="120">
        <f t="shared" si="9"/>
        <v>914074.13152658811</v>
      </c>
      <c r="AD127" s="120">
        <f t="shared" si="9"/>
        <v>914074.13152658811</v>
      </c>
      <c r="AE127" s="120">
        <f t="shared" si="9"/>
        <v>914074.13152658811</v>
      </c>
      <c r="AF127" s="120">
        <f t="shared" si="9"/>
        <v>914074.13152658811</v>
      </c>
      <c r="AG127" s="120">
        <f t="shared" si="9"/>
        <v>914074.13152658811</v>
      </c>
      <c r="AH127" s="120">
        <f t="shared" si="9"/>
        <v>914074.13152658811</v>
      </c>
      <c r="AI127" s="120">
        <f t="shared" si="9"/>
        <v>914074.13152658811</v>
      </c>
      <c r="AJ127" s="120">
        <f t="shared" si="9"/>
        <v>914074.13152658811</v>
      </c>
      <c r="AK127" s="120">
        <f t="shared" si="9"/>
        <v>914074.13152658811</v>
      </c>
      <c r="AL127" s="120">
        <f t="shared" si="9"/>
        <v>914074.13152658811</v>
      </c>
      <c r="AM127" s="120">
        <f t="shared" si="9"/>
        <v>914074.13152658811</v>
      </c>
      <c r="AN127" s="120">
        <f t="shared" si="9"/>
        <v>914074.13152658811</v>
      </c>
      <c r="AO127" s="120">
        <f t="shared" si="9"/>
        <v>914074.13152658811</v>
      </c>
      <c r="AP127" s="120">
        <f t="shared" si="9"/>
        <v>914074.13152658811</v>
      </c>
      <c r="AQ127" s="120">
        <f t="shared" si="9"/>
        <v>914074.13152658811</v>
      </c>
      <c r="AR127" s="120">
        <f t="shared" si="9"/>
        <v>914074.13152658811</v>
      </c>
      <c r="AS127" s="120">
        <f t="shared" si="9"/>
        <v>914074.13152658811</v>
      </c>
      <c r="AT127" s="120">
        <f t="shared" si="9"/>
        <v>914074.13152658811</v>
      </c>
      <c r="AU127" s="120">
        <f t="shared" si="9"/>
        <v>914074.13152658811</v>
      </c>
      <c r="AV127" s="120">
        <f t="shared" si="9"/>
        <v>914074.13152658811</v>
      </c>
      <c r="AW127" s="120">
        <f t="shared" si="9"/>
        <v>914074.13152658811</v>
      </c>
      <c r="AX127" s="120">
        <f t="shared" si="9"/>
        <v>914074.13152658811</v>
      </c>
    </row>
    <row r="128" spans="1:50" x14ac:dyDescent="0.2">
      <c r="A128" s="120" t="s">
        <v>109</v>
      </c>
      <c r="B128" s="120" t="s">
        <v>5</v>
      </c>
      <c r="C128">
        <v>18343.510557189602</v>
      </c>
      <c r="D128">
        <v>18343.510557189602</v>
      </c>
      <c r="E128">
        <v>18343.510557189602</v>
      </c>
      <c r="F128">
        <v>18343.510557189602</v>
      </c>
      <c r="G128">
        <v>18343.510557189602</v>
      </c>
      <c r="H128">
        <v>18343.510557189602</v>
      </c>
      <c r="I128">
        <v>18343.510557189602</v>
      </c>
      <c r="J128">
        <v>18343.510557189602</v>
      </c>
      <c r="K128">
        <v>18343.510557189602</v>
      </c>
      <c r="L128">
        <v>18343.510557189602</v>
      </c>
      <c r="M128">
        <v>18343.510557189602</v>
      </c>
      <c r="N128">
        <v>18343.510557189602</v>
      </c>
      <c r="O128">
        <v>18343.510557189602</v>
      </c>
      <c r="P128">
        <v>18343.510557189602</v>
      </c>
      <c r="Q128">
        <v>18343.510557189602</v>
      </c>
      <c r="R128">
        <v>18343.510557189602</v>
      </c>
      <c r="S128">
        <v>18343.510557189602</v>
      </c>
      <c r="T128">
        <v>18343.510557189602</v>
      </c>
      <c r="U128">
        <v>18343.510557189602</v>
      </c>
      <c r="V128">
        <v>18343.510557189602</v>
      </c>
      <c r="W128">
        <v>18343.510557189602</v>
      </c>
      <c r="X128">
        <v>18343.510557189602</v>
      </c>
      <c r="Y128">
        <v>18343.510557189602</v>
      </c>
      <c r="Z128">
        <v>18343.510557189602</v>
      </c>
      <c r="AA128">
        <v>18343.510557189602</v>
      </c>
      <c r="AB128">
        <v>18343.510557189602</v>
      </c>
      <c r="AC128">
        <v>18343.510557189602</v>
      </c>
      <c r="AD128">
        <v>18343.510557189602</v>
      </c>
      <c r="AE128">
        <v>18343.510557189602</v>
      </c>
      <c r="AF128">
        <v>18343.510557189602</v>
      </c>
      <c r="AG128">
        <v>18343.510557189602</v>
      </c>
      <c r="AH128">
        <v>18343.510557189602</v>
      </c>
      <c r="AI128">
        <v>18343.510557189602</v>
      </c>
      <c r="AJ128">
        <v>18343.510557189602</v>
      </c>
      <c r="AK128">
        <v>18343.510557189602</v>
      </c>
      <c r="AL128">
        <v>18343.510557189602</v>
      </c>
      <c r="AM128">
        <v>18343.510557189602</v>
      </c>
      <c r="AN128">
        <v>18343.510557189602</v>
      </c>
      <c r="AO128">
        <v>18343.510557189602</v>
      </c>
      <c r="AP128">
        <v>18343.510557189602</v>
      </c>
      <c r="AQ128">
        <v>18343.510557189602</v>
      </c>
      <c r="AR128">
        <v>18343.510557189602</v>
      </c>
      <c r="AS128">
        <v>18343.510557189602</v>
      </c>
      <c r="AT128">
        <v>18343.510557189602</v>
      </c>
      <c r="AU128">
        <v>18343.510557189602</v>
      </c>
      <c r="AV128">
        <v>18343.510557189602</v>
      </c>
      <c r="AW128">
        <v>18343.510557189602</v>
      </c>
      <c r="AX128">
        <v>18343.510557189602</v>
      </c>
    </row>
    <row r="129" spans="2:50" x14ac:dyDescent="0.2">
      <c r="B129" s="120" t="s">
        <v>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</row>
    <row r="130" spans="2:50" x14ac:dyDescent="0.2">
      <c r="B130" s="120" t="s">
        <v>12</v>
      </c>
      <c r="C130">
        <v>125585.35004807149</v>
      </c>
      <c r="D130">
        <v>125585.35004807149</v>
      </c>
      <c r="E130">
        <v>125585.35004807149</v>
      </c>
      <c r="F130">
        <v>125585.35004807149</v>
      </c>
      <c r="G130">
        <v>125585.35004807149</v>
      </c>
      <c r="H130">
        <v>125585.35004807149</v>
      </c>
      <c r="I130">
        <v>125585.35004807149</v>
      </c>
      <c r="J130">
        <v>125585.35004807149</v>
      </c>
      <c r="K130">
        <v>125585.35004807149</v>
      </c>
      <c r="L130">
        <v>125585.35004807149</v>
      </c>
      <c r="M130">
        <v>125585.35004807149</v>
      </c>
      <c r="N130">
        <v>125585.35004807149</v>
      </c>
      <c r="O130">
        <v>125585.35004807149</v>
      </c>
      <c r="P130">
        <v>125585.35004807149</v>
      </c>
      <c r="Q130">
        <v>125585.35004807149</v>
      </c>
      <c r="R130">
        <v>125585.35004807149</v>
      </c>
      <c r="S130">
        <v>125585.35004807149</v>
      </c>
      <c r="T130">
        <v>125585.35004807149</v>
      </c>
      <c r="U130">
        <v>125585.35004807149</v>
      </c>
      <c r="V130">
        <v>125585.35004807149</v>
      </c>
      <c r="W130">
        <v>125585.35004807149</v>
      </c>
      <c r="X130">
        <v>125585.35004807149</v>
      </c>
      <c r="Y130">
        <v>125585.35004807149</v>
      </c>
      <c r="Z130">
        <v>125585.35004807149</v>
      </c>
      <c r="AA130">
        <v>125585.35004807149</v>
      </c>
      <c r="AB130">
        <v>125585.35004807149</v>
      </c>
      <c r="AC130">
        <v>125585.35004807149</v>
      </c>
      <c r="AD130">
        <v>125585.35004807149</v>
      </c>
      <c r="AE130">
        <v>125585.35004807149</v>
      </c>
      <c r="AF130">
        <v>125585.35004807149</v>
      </c>
      <c r="AG130">
        <v>125585.35004807149</v>
      </c>
      <c r="AH130">
        <v>125585.35004807149</v>
      </c>
      <c r="AI130">
        <v>125585.35004807149</v>
      </c>
      <c r="AJ130">
        <v>125585.35004807149</v>
      </c>
      <c r="AK130">
        <v>125585.35004807149</v>
      </c>
      <c r="AL130">
        <v>125585.35004807149</v>
      </c>
      <c r="AM130">
        <v>125585.35004807149</v>
      </c>
      <c r="AN130">
        <v>125585.35004807149</v>
      </c>
      <c r="AO130">
        <v>125585.35004807149</v>
      </c>
      <c r="AP130">
        <v>125585.35004807149</v>
      </c>
      <c r="AQ130">
        <v>125585.35004807149</v>
      </c>
      <c r="AR130">
        <v>125585.35004807149</v>
      </c>
      <c r="AS130">
        <v>125585.35004807149</v>
      </c>
      <c r="AT130">
        <v>125585.35004807149</v>
      </c>
      <c r="AU130">
        <v>125585.35004807149</v>
      </c>
      <c r="AV130">
        <v>125585.35004807149</v>
      </c>
      <c r="AW130">
        <v>125585.35004807149</v>
      </c>
      <c r="AX130">
        <v>125585.35004807149</v>
      </c>
    </row>
    <row r="131" spans="2:50" x14ac:dyDescent="0.2">
      <c r="B131" s="120" t="s">
        <v>22</v>
      </c>
      <c r="C131">
        <v>200670.49334013491</v>
      </c>
      <c r="D131">
        <v>200670.49334013491</v>
      </c>
      <c r="E131">
        <v>200670.49334013491</v>
      </c>
      <c r="F131">
        <v>200670.49334013491</v>
      </c>
      <c r="G131">
        <v>200670.49334013491</v>
      </c>
      <c r="H131">
        <v>200670.49334013491</v>
      </c>
      <c r="I131">
        <v>200670.49334013491</v>
      </c>
      <c r="J131">
        <v>200670.49334013491</v>
      </c>
      <c r="K131">
        <v>200670.49334013491</v>
      </c>
      <c r="L131">
        <v>200670.49334013491</v>
      </c>
      <c r="M131">
        <v>200670.49334013491</v>
      </c>
      <c r="N131">
        <v>200670.49334013491</v>
      </c>
      <c r="O131">
        <v>200670.49334013491</v>
      </c>
      <c r="P131">
        <v>200670.49334013491</v>
      </c>
      <c r="Q131">
        <v>200670.49334013491</v>
      </c>
      <c r="R131">
        <v>200670.49334013491</v>
      </c>
      <c r="S131">
        <v>200670.49334013491</v>
      </c>
      <c r="T131">
        <v>200670.49334013491</v>
      </c>
      <c r="U131">
        <v>200670.49334013491</v>
      </c>
      <c r="V131">
        <v>200670.49334013491</v>
      </c>
      <c r="W131">
        <v>200670.49334013491</v>
      </c>
      <c r="X131">
        <v>200670.49334013491</v>
      </c>
      <c r="Y131">
        <v>200670.49334013491</v>
      </c>
      <c r="Z131">
        <v>200670.49334013491</v>
      </c>
      <c r="AA131">
        <v>200670.49334013491</v>
      </c>
      <c r="AB131">
        <v>200670.49334013491</v>
      </c>
      <c r="AC131">
        <v>200670.49334013491</v>
      </c>
      <c r="AD131">
        <v>200670.49334013491</v>
      </c>
      <c r="AE131">
        <v>200670.49334013491</v>
      </c>
      <c r="AF131">
        <v>200670.49334013491</v>
      </c>
      <c r="AG131">
        <v>200670.49334013491</v>
      </c>
      <c r="AH131">
        <v>200670.49334013491</v>
      </c>
      <c r="AI131">
        <v>200670.49334013491</v>
      </c>
      <c r="AJ131">
        <v>200670.49334013491</v>
      </c>
      <c r="AK131">
        <v>200670.49334013491</v>
      </c>
      <c r="AL131">
        <v>200670.49334013491</v>
      </c>
      <c r="AM131">
        <v>200670.49334013491</v>
      </c>
      <c r="AN131">
        <v>200670.49334013491</v>
      </c>
      <c r="AO131">
        <v>200670.49334013491</v>
      </c>
      <c r="AP131">
        <v>200670.49334013491</v>
      </c>
      <c r="AQ131">
        <v>200670.49334013491</v>
      </c>
      <c r="AR131">
        <v>200670.49334013491</v>
      </c>
      <c r="AS131">
        <v>200670.49334013491</v>
      </c>
      <c r="AT131">
        <v>200670.49334013491</v>
      </c>
      <c r="AU131">
        <v>200670.49334013491</v>
      </c>
      <c r="AV131">
        <v>200670.49334013491</v>
      </c>
      <c r="AW131">
        <v>200670.49334013491</v>
      </c>
      <c r="AX131">
        <v>200670.49334013491</v>
      </c>
    </row>
    <row r="132" spans="2:50" x14ac:dyDescent="0.2">
      <c r="B132" s="120" t="s">
        <v>59</v>
      </c>
      <c r="C132">
        <v>424797.10880703857</v>
      </c>
      <c r="D132">
        <v>424797.10880703857</v>
      </c>
      <c r="E132">
        <v>424797.10880703857</v>
      </c>
      <c r="F132">
        <v>424797.10880703857</v>
      </c>
      <c r="G132">
        <v>424797.10880703857</v>
      </c>
      <c r="H132">
        <v>424797.10880703857</v>
      </c>
      <c r="I132">
        <v>424797.10880703857</v>
      </c>
      <c r="J132">
        <v>424797.10880703857</v>
      </c>
      <c r="K132">
        <v>424797.10880703857</v>
      </c>
      <c r="L132">
        <v>424797.10880703857</v>
      </c>
      <c r="M132">
        <v>424797.10880703857</v>
      </c>
      <c r="N132">
        <v>424797.10880703857</v>
      </c>
      <c r="O132">
        <v>424797.10880703857</v>
      </c>
      <c r="P132">
        <v>424797.10880703857</v>
      </c>
      <c r="Q132">
        <v>424797.10880703857</v>
      </c>
      <c r="R132">
        <v>424797.10880703857</v>
      </c>
      <c r="S132">
        <v>424797.10880703857</v>
      </c>
      <c r="T132">
        <v>424797.10880703857</v>
      </c>
      <c r="U132">
        <v>424797.10880703857</v>
      </c>
      <c r="V132">
        <v>424797.10880703857</v>
      </c>
      <c r="W132">
        <v>424797.10880703857</v>
      </c>
      <c r="X132">
        <v>424797.10880703857</v>
      </c>
      <c r="Y132">
        <v>424797.10880703857</v>
      </c>
      <c r="Z132">
        <v>424797.10880703857</v>
      </c>
      <c r="AA132">
        <v>424797.10880703857</v>
      </c>
      <c r="AB132">
        <v>424797.10880703857</v>
      </c>
      <c r="AC132">
        <v>424797.10880703857</v>
      </c>
      <c r="AD132">
        <v>424797.10880703857</v>
      </c>
      <c r="AE132">
        <v>424797.10880703857</v>
      </c>
      <c r="AF132">
        <v>424797.10880703857</v>
      </c>
      <c r="AG132">
        <v>424797.10880703857</v>
      </c>
      <c r="AH132">
        <v>424797.10880703857</v>
      </c>
      <c r="AI132">
        <v>424797.10880703857</v>
      </c>
      <c r="AJ132">
        <v>424797.10880703857</v>
      </c>
      <c r="AK132">
        <v>424797.10880703857</v>
      </c>
      <c r="AL132">
        <v>424797.10880703857</v>
      </c>
      <c r="AM132">
        <v>424797.10880703857</v>
      </c>
      <c r="AN132">
        <v>424797.10880703857</v>
      </c>
      <c r="AO132">
        <v>424797.10880703857</v>
      </c>
      <c r="AP132">
        <v>424797.10880703857</v>
      </c>
      <c r="AQ132">
        <v>424797.10880703857</v>
      </c>
      <c r="AR132">
        <v>424797.10880703857</v>
      </c>
      <c r="AS132">
        <v>424797.10880703857</v>
      </c>
      <c r="AT132">
        <v>424797.10880703857</v>
      </c>
      <c r="AU132">
        <v>424797.10880703857</v>
      </c>
      <c r="AV132">
        <v>424797.10880703857</v>
      </c>
      <c r="AW132">
        <v>424797.10880703857</v>
      </c>
      <c r="AX132">
        <v>424797.10880703857</v>
      </c>
    </row>
    <row r="133" spans="2:50" x14ac:dyDescent="0.2">
      <c r="B133" t="s">
        <v>278</v>
      </c>
      <c r="C133" s="120">
        <f>SUM(C$128:C$132)</f>
        <v>769396.46275243466</v>
      </c>
      <c r="D133" s="120">
        <f t="shared" ref="D133:AX133" si="10">SUM(D$128:D$132)</f>
        <v>769396.46275243466</v>
      </c>
      <c r="E133" s="120">
        <f t="shared" si="10"/>
        <v>769396.46275243466</v>
      </c>
      <c r="F133" s="120">
        <f t="shared" si="10"/>
        <v>769396.46275243466</v>
      </c>
      <c r="G133" s="120">
        <f t="shared" si="10"/>
        <v>769396.46275243466</v>
      </c>
      <c r="H133" s="120">
        <f t="shared" si="10"/>
        <v>769396.46275243466</v>
      </c>
      <c r="I133" s="120">
        <f t="shared" si="10"/>
        <v>769396.46275243466</v>
      </c>
      <c r="J133" s="120">
        <f t="shared" si="10"/>
        <v>769396.46275243466</v>
      </c>
      <c r="K133" s="120">
        <f t="shared" si="10"/>
        <v>769396.46275243466</v>
      </c>
      <c r="L133" s="120">
        <f t="shared" si="10"/>
        <v>769396.46275243466</v>
      </c>
      <c r="M133" s="120">
        <f t="shared" si="10"/>
        <v>769396.46275243466</v>
      </c>
      <c r="N133" s="120">
        <f t="shared" si="10"/>
        <v>769396.46275243466</v>
      </c>
      <c r="O133" s="120">
        <f t="shared" si="10"/>
        <v>769396.46275243466</v>
      </c>
      <c r="P133" s="120">
        <f t="shared" si="10"/>
        <v>769396.46275243466</v>
      </c>
      <c r="Q133" s="120">
        <f t="shared" si="10"/>
        <v>769396.46275243466</v>
      </c>
      <c r="R133" s="120">
        <f t="shared" si="10"/>
        <v>769396.46275243466</v>
      </c>
      <c r="S133" s="120">
        <f t="shared" si="10"/>
        <v>769396.46275243466</v>
      </c>
      <c r="T133" s="120">
        <f t="shared" si="10"/>
        <v>769396.46275243466</v>
      </c>
      <c r="U133" s="120">
        <f t="shared" si="10"/>
        <v>769396.46275243466</v>
      </c>
      <c r="V133" s="120">
        <f t="shared" si="10"/>
        <v>769396.46275243466</v>
      </c>
      <c r="W133" s="120">
        <f t="shared" si="10"/>
        <v>769396.46275243466</v>
      </c>
      <c r="X133" s="120">
        <f t="shared" si="10"/>
        <v>769396.46275243466</v>
      </c>
      <c r="Y133" s="120">
        <f t="shared" si="10"/>
        <v>769396.46275243466</v>
      </c>
      <c r="Z133" s="120">
        <f t="shared" si="10"/>
        <v>769396.46275243466</v>
      </c>
      <c r="AA133" s="120">
        <f t="shared" si="10"/>
        <v>769396.46275243466</v>
      </c>
      <c r="AB133" s="120">
        <f t="shared" si="10"/>
        <v>769396.46275243466</v>
      </c>
      <c r="AC133" s="120">
        <f t="shared" si="10"/>
        <v>769396.46275243466</v>
      </c>
      <c r="AD133" s="120">
        <f t="shared" si="10"/>
        <v>769396.46275243466</v>
      </c>
      <c r="AE133" s="120">
        <f t="shared" si="10"/>
        <v>769396.46275243466</v>
      </c>
      <c r="AF133" s="120">
        <f t="shared" si="10"/>
        <v>769396.46275243466</v>
      </c>
      <c r="AG133" s="120">
        <f t="shared" si="10"/>
        <v>769396.46275243466</v>
      </c>
      <c r="AH133" s="120">
        <f t="shared" si="10"/>
        <v>769396.46275243466</v>
      </c>
      <c r="AI133" s="120">
        <f t="shared" si="10"/>
        <v>769396.46275243466</v>
      </c>
      <c r="AJ133" s="120">
        <f t="shared" si="10"/>
        <v>769396.46275243466</v>
      </c>
      <c r="AK133" s="120">
        <f t="shared" si="10"/>
        <v>769396.46275243466</v>
      </c>
      <c r="AL133" s="120">
        <f t="shared" si="10"/>
        <v>769396.46275243466</v>
      </c>
      <c r="AM133" s="120">
        <f t="shared" si="10"/>
        <v>769396.46275243466</v>
      </c>
      <c r="AN133" s="120">
        <f t="shared" si="10"/>
        <v>769396.46275243466</v>
      </c>
      <c r="AO133" s="120">
        <f t="shared" si="10"/>
        <v>769396.46275243466</v>
      </c>
      <c r="AP133" s="120">
        <f t="shared" si="10"/>
        <v>769396.46275243466</v>
      </c>
      <c r="AQ133" s="120">
        <f t="shared" si="10"/>
        <v>769396.46275243466</v>
      </c>
      <c r="AR133" s="120">
        <f t="shared" si="10"/>
        <v>769396.46275243466</v>
      </c>
      <c r="AS133" s="120">
        <f t="shared" si="10"/>
        <v>769396.46275243466</v>
      </c>
      <c r="AT133" s="120">
        <f t="shared" si="10"/>
        <v>769396.46275243466</v>
      </c>
      <c r="AU133" s="120">
        <f t="shared" si="10"/>
        <v>769396.46275243466</v>
      </c>
      <c r="AV133" s="120">
        <f t="shared" si="10"/>
        <v>769396.46275243466</v>
      </c>
      <c r="AW133" s="120">
        <f t="shared" si="10"/>
        <v>769396.46275243466</v>
      </c>
      <c r="AX133" s="120">
        <f t="shared" si="10"/>
        <v>769396.46275243466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2" t="s">
        <v>5</v>
      </c>
      <c r="E2" s="125"/>
    </row>
    <row r="3" spans="1:52" x14ac:dyDescent="0.2">
      <c r="A3" t="s">
        <v>286</v>
      </c>
      <c r="B3" s="122">
        <v>345</v>
      </c>
      <c r="E3" s="125"/>
    </row>
    <row r="4" spans="1:52" x14ac:dyDescent="0.2">
      <c r="A4" s="1"/>
      <c r="C4" s="9" t="s">
        <v>287</v>
      </c>
    </row>
    <row r="5" spans="1:52" x14ac:dyDescent="0.2">
      <c r="B5" s="121"/>
      <c r="C5" s="126">
        <v>0</v>
      </c>
      <c r="D5" s="126">
        <v>1</v>
      </c>
      <c r="E5" s="126">
        <v>2</v>
      </c>
      <c r="F5" s="126">
        <v>3</v>
      </c>
      <c r="G5" s="126">
        <v>4</v>
      </c>
      <c r="H5" s="126">
        <v>5</v>
      </c>
      <c r="I5" s="126">
        <v>6</v>
      </c>
      <c r="J5" s="126">
        <v>7</v>
      </c>
      <c r="K5" s="126">
        <v>8</v>
      </c>
      <c r="L5" s="126">
        <v>9</v>
      </c>
      <c r="M5" s="126">
        <v>10</v>
      </c>
      <c r="N5" s="126">
        <v>11</v>
      </c>
      <c r="O5" s="126">
        <v>12</v>
      </c>
      <c r="P5" s="126">
        <v>13</v>
      </c>
      <c r="Q5" s="126">
        <v>14</v>
      </c>
      <c r="R5" s="126">
        <v>15</v>
      </c>
      <c r="S5" s="126">
        <v>16</v>
      </c>
      <c r="T5" s="126">
        <v>17</v>
      </c>
      <c r="U5" s="126">
        <v>18</v>
      </c>
      <c r="V5" s="126">
        <v>19</v>
      </c>
      <c r="W5" s="126">
        <v>20</v>
      </c>
      <c r="X5" s="126">
        <v>21</v>
      </c>
      <c r="Y5" s="126">
        <v>22</v>
      </c>
      <c r="Z5" s="126">
        <v>23</v>
      </c>
      <c r="AA5" s="126">
        <v>24</v>
      </c>
      <c r="AB5" s="126">
        <v>25</v>
      </c>
      <c r="AC5" s="126">
        <v>26</v>
      </c>
      <c r="AD5" s="126">
        <v>27</v>
      </c>
      <c r="AE5" s="126">
        <v>28</v>
      </c>
      <c r="AF5" s="126">
        <v>29</v>
      </c>
      <c r="AG5" s="126">
        <v>30</v>
      </c>
      <c r="AH5" s="126">
        <v>31</v>
      </c>
      <c r="AI5" s="126">
        <v>32</v>
      </c>
      <c r="AJ5" s="126">
        <v>33</v>
      </c>
      <c r="AK5" s="126">
        <v>34</v>
      </c>
      <c r="AL5" s="126">
        <v>35</v>
      </c>
      <c r="AM5" s="126">
        <v>36</v>
      </c>
      <c r="AN5" s="126">
        <v>37</v>
      </c>
      <c r="AO5" s="126">
        <v>38</v>
      </c>
      <c r="AP5" s="126">
        <v>39</v>
      </c>
      <c r="AQ5" s="126">
        <v>40</v>
      </c>
      <c r="AR5" s="126">
        <v>41</v>
      </c>
      <c r="AS5" s="126">
        <v>42</v>
      </c>
      <c r="AT5" s="126">
        <v>43</v>
      </c>
      <c r="AU5" s="126">
        <v>44</v>
      </c>
      <c r="AV5" s="126">
        <v>45</v>
      </c>
      <c r="AW5" s="126">
        <v>46</v>
      </c>
      <c r="AX5" s="126">
        <v>47</v>
      </c>
      <c r="AY5" s="126">
        <v>48</v>
      </c>
    </row>
    <row r="6" spans="1:52" x14ac:dyDescent="0.2">
      <c r="A6" s="1" t="s">
        <v>304</v>
      </c>
      <c r="B6" s="128"/>
      <c r="C6" s="127" t="s">
        <v>288</v>
      </c>
      <c r="D6" s="126" t="s">
        <v>289</v>
      </c>
      <c r="E6" s="126" t="s">
        <v>289</v>
      </c>
      <c r="F6" s="126" t="s">
        <v>289</v>
      </c>
      <c r="G6" s="126" t="s">
        <v>289</v>
      </c>
      <c r="H6" s="126" t="s">
        <v>289</v>
      </c>
      <c r="I6" s="126" t="s">
        <v>289</v>
      </c>
      <c r="J6" s="126" t="s">
        <v>289</v>
      </c>
      <c r="K6" s="126" t="s">
        <v>289</v>
      </c>
      <c r="L6" s="126" t="s">
        <v>289</v>
      </c>
      <c r="M6" s="126" t="s">
        <v>289</v>
      </c>
      <c r="N6" s="126" t="s">
        <v>289</v>
      </c>
      <c r="O6" s="126" t="s">
        <v>289</v>
      </c>
      <c r="P6" s="126" t="s">
        <v>289</v>
      </c>
      <c r="Q6" s="126" t="s">
        <v>289</v>
      </c>
      <c r="R6" s="126" t="s">
        <v>289</v>
      </c>
      <c r="S6" s="126" t="s">
        <v>289</v>
      </c>
      <c r="T6" s="126" t="s">
        <v>289</v>
      </c>
      <c r="U6" s="126" t="s">
        <v>289</v>
      </c>
      <c r="V6" s="126" t="s">
        <v>289</v>
      </c>
      <c r="W6" s="126" t="s">
        <v>289</v>
      </c>
      <c r="X6" s="126" t="s">
        <v>289</v>
      </c>
      <c r="Y6" s="126" t="s">
        <v>289</v>
      </c>
      <c r="Z6" s="126" t="s">
        <v>289</v>
      </c>
      <c r="AA6" s="126" t="s">
        <v>289</v>
      </c>
      <c r="AB6" s="126" t="s">
        <v>289</v>
      </c>
      <c r="AC6" s="126" t="s">
        <v>289</v>
      </c>
      <c r="AD6" s="126" t="s">
        <v>289</v>
      </c>
      <c r="AE6" s="126" t="s">
        <v>289</v>
      </c>
      <c r="AF6" s="126" t="s">
        <v>289</v>
      </c>
      <c r="AG6" s="126" t="s">
        <v>289</v>
      </c>
      <c r="AH6" s="126" t="s">
        <v>289</v>
      </c>
      <c r="AI6" s="126" t="s">
        <v>289</v>
      </c>
      <c r="AJ6" s="126" t="s">
        <v>289</v>
      </c>
      <c r="AK6" s="126" t="s">
        <v>289</v>
      </c>
      <c r="AL6" s="126" t="s">
        <v>289</v>
      </c>
      <c r="AM6" s="126" t="s">
        <v>289</v>
      </c>
      <c r="AN6" s="126" t="s">
        <v>289</v>
      </c>
      <c r="AO6" s="126" t="s">
        <v>289</v>
      </c>
      <c r="AP6" s="126" t="s">
        <v>289</v>
      </c>
      <c r="AQ6" s="126" t="s">
        <v>289</v>
      </c>
      <c r="AR6" s="126" t="s">
        <v>289</v>
      </c>
      <c r="AS6" s="126" t="s">
        <v>289</v>
      </c>
      <c r="AT6" s="126" t="s">
        <v>289</v>
      </c>
      <c r="AU6" s="126" t="s">
        <v>289</v>
      </c>
      <c r="AV6" s="126" t="s">
        <v>289</v>
      </c>
      <c r="AW6" s="126" t="s">
        <v>289</v>
      </c>
      <c r="AX6" s="126" t="s">
        <v>289</v>
      </c>
      <c r="AY6" s="9" t="s">
        <v>290</v>
      </c>
      <c r="AZ6" s="156" t="s">
        <v>150</v>
      </c>
    </row>
    <row r="7" spans="1:52" x14ac:dyDescent="0.2">
      <c r="A7" s="129" t="s">
        <v>125</v>
      </c>
      <c r="B7" s="157">
        <v>1</v>
      </c>
      <c r="C7" s="158" t="s">
        <v>293</v>
      </c>
      <c r="D7" s="158">
        <v>529.99997166372327</v>
      </c>
      <c r="E7" s="158">
        <v>529.99997166372327</v>
      </c>
      <c r="F7" s="158">
        <v>529.99997166372327</v>
      </c>
      <c r="G7" s="158">
        <v>529.99997166372327</v>
      </c>
      <c r="H7" s="158">
        <v>529.99997166372327</v>
      </c>
      <c r="I7" s="158">
        <v>529.99997166372327</v>
      </c>
      <c r="J7" s="158">
        <v>529.99997166372327</v>
      </c>
      <c r="K7" s="158">
        <v>529.99997166372327</v>
      </c>
      <c r="L7" s="158">
        <v>529.99997166372327</v>
      </c>
      <c r="M7" s="158">
        <v>529.99997166372327</v>
      </c>
      <c r="N7" s="158">
        <v>529.99997166372327</v>
      </c>
      <c r="O7" s="158">
        <v>529.99997166372327</v>
      </c>
      <c r="P7" s="158">
        <v>529.99997166372327</v>
      </c>
      <c r="Q7" s="158">
        <v>529.99997166372327</v>
      </c>
      <c r="R7" s="158">
        <v>529.99997166372327</v>
      </c>
      <c r="S7" s="158">
        <v>529.99997166372327</v>
      </c>
      <c r="T7" s="158">
        <v>529.99997166372327</v>
      </c>
      <c r="U7" s="158">
        <v>529.99997166372327</v>
      </c>
      <c r="V7" s="158">
        <v>529.99997166372327</v>
      </c>
      <c r="W7" s="158">
        <v>529.99997166372327</v>
      </c>
      <c r="X7" s="158">
        <v>529.99997166372327</v>
      </c>
      <c r="Y7" s="158">
        <v>529.99997166372327</v>
      </c>
      <c r="Z7" s="158">
        <v>529.99997166372327</v>
      </c>
      <c r="AA7" s="158">
        <v>529.99997166372327</v>
      </c>
      <c r="AB7" s="158">
        <v>529.99997166372327</v>
      </c>
      <c r="AC7" s="158">
        <v>529.99997166372327</v>
      </c>
      <c r="AD7" s="158">
        <v>529.99997166372327</v>
      </c>
      <c r="AE7" s="158">
        <v>529.99997166372327</v>
      </c>
      <c r="AF7" s="158">
        <v>529.99997166372327</v>
      </c>
      <c r="AG7" s="158">
        <v>529.99997166372327</v>
      </c>
      <c r="AH7" s="158">
        <v>529.99997166372327</v>
      </c>
      <c r="AI7" s="158">
        <v>529.99997166372327</v>
      </c>
      <c r="AJ7" s="158">
        <v>529.99997166372327</v>
      </c>
      <c r="AK7" s="158">
        <v>529.99997166372327</v>
      </c>
      <c r="AL7" s="158">
        <v>529.99997166372327</v>
      </c>
      <c r="AM7" s="158">
        <v>529.99997166372327</v>
      </c>
      <c r="AN7" s="158">
        <v>529.99997166372327</v>
      </c>
      <c r="AO7" s="158">
        <v>529.99997166372327</v>
      </c>
      <c r="AP7" s="158">
        <v>529.99997166372327</v>
      </c>
      <c r="AQ7" s="158">
        <v>529.99997166372327</v>
      </c>
      <c r="AR7" s="158">
        <v>529.99997166372327</v>
      </c>
      <c r="AS7" s="158">
        <v>529.99997166372327</v>
      </c>
      <c r="AT7" s="158">
        <v>529.99997166372327</v>
      </c>
      <c r="AU7" s="158">
        <v>529.99997166372327</v>
      </c>
      <c r="AV7" s="158">
        <v>529.99997166372327</v>
      </c>
      <c r="AW7" s="158">
        <v>529.99997166372327</v>
      </c>
      <c r="AX7" s="158">
        <v>529.99997166372327</v>
      </c>
      <c r="AY7" s="158">
        <v>529.99997166372327</v>
      </c>
      <c r="AZ7" s="121"/>
    </row>
    <row r="8" spans="1:52" x14ac:dyDescent="0.2">
      <c r="A8" s="159"/>
      <c r="B8" s="160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61"/>
    </row>
    <row r="9" spans="1:52" x14ac:dyDescent="0.2">
      <c r="A9" s="1" t="s">
        <v>294</v>
      </c>
      <c r="B9" s="162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1"/>
    </row>
    <row r="10" spans="1:52" x14ac:dyDescent="0.2">
      <c r="A10" s="163" t="s">
        <v>125</v>
      </c>
      <c r="B10" s="164">
        <v>1</v>
      </c>
      <c r="C10" s="158" t="s">
        <v>293</v>
      </c>
      <c r="D10" s="158">
        <f t="shared" ref="D10:AY10" si="0">MAX(SUM(D$14:D$16)+D$7-$B$3,0)</f>
        <v>184.99997166372327</v>
      </c>
      <c r="E10" s="158">
        <f t="shared" si="0"/>
        <v>184.99997166372327</v>
      </c>
      <c r="F10" s="158">
        <f t="shared" si="0"/>
        <v>184.99997166372327</v>
      </c>
      <c r="G10" s="158">
        <f t="shared" si="0"/>
        <v>184.99997166372327</v>
      </c>
      <c r="H10" s="158">
        <f t="shared" si="0"/>
        <v>184.99997166372327</v>
      </c>
      <c r="I10" s="158">
        <f t="shared" si="0"/>
        <v>184.99997166372327</v>
      </c>
      <c r="J10" s="158">
        <f t="shared" si="0"/>
        <v>184.99997166372327</v>
      </c>
      <c r="K10" s="158">
        <f t="shared" si="0"/>
        <v>184.99997166372327</v>
      </c>
      <c r="L10" s="158">
        <f t="shared" si="0"/>
        <v>184.99997166372327</v>
      </c>
      <c r="M10" s="158">
        <f t="shared" si="0"/>
        <v>184.99997166372327</v>
      </c>
      <c r="N10" s="158">
        <f t="shared" si="0"/>
        <v>184.99997166372327</v>
      </c>
      <c r="O10" s="158">
        <f t="shared" si="0"/>
        <v>184.99997166372327</v>
      </c>
      <c r="P10" s="158">
        <f t="shared" si="0"/>
        <v>184.99997166372327</v>
      </c>
      <c r="Q10" s="158">
        <f t="shared" si="0"/>
        <v>184.99997166372327</v>
      </c>
      <c r="R10" s="158">
        <f t="shared" si="0"/>
        <v>184.99997166372327</v>
      </c>
      <c r="S10" s="158">
        <f t="shared" si="0"/>
        <v>184.99997166372327</v>
      </c>
      <c r="T10" s="158">
        <f t="shared" si="0"/>
        <v>184.99997166372327</v>
      </c>
      <c r="U10" s="158">
        <f t="shared" si="0"/>
        <v>184.99997166372327</v>
      </c>
      <c r="V10" s="158">
        <f t="shared" si="0"/>
        <v>184.99997166372327</v>
      </c>
      <c r="W10" s="158">
        <f t="shared" si="0"/>
        <v>184.99997166372327</v>
      </c>
      <c r="X10" s="158">
        <f t="shared" si="0"/>
        <v>184.99997166372327</v>
      </c>
      <c r="Y10" s="158">
        <f t="shared" si="0"/>
        <v>184.99997166372327</v>
      </c>
      <c r="Z10" s="158">
        <f t="shared" si="0"/>
        <v>184.99997166372327</v>
      </c>
      <c r="AA10" s="158">
        <f t="shared" si="0"/>
        <v>184.99997166372327</v>
      </c>
      <c r="AB10" s="158">
        <f t="shared" si="0"/>
        <v>184.99997166372327</v>
      </c>
      <c r="AC10" s="158">
        <f t="shared" si="0"/>
        <v>184.99997166372327</v>
      </c>
      <c r="AD10" s="158">
        <f t="shared" si="0"/>
        <v>184.99997166372327</v>
      </c>
      <c r="AE10" s="158">
        <f t="shared" si="0"/>
        <v>184.99997166372327</v>
      </c>
      <c r="AF10" s="158">
        <f t="shared" si="0"/>
        <v>184.99997166372327</v>
      </c>
      <c r="AG10" s="158">
        <f t="shared" si="0"/>
        <v>184.99997166372327</v>
      </c>
      <c r="AH10" s="158">
        <f t="shared" si="0"/>
        <v>184.99997166372327</v>
      </c>
      <c r="AI10" s="158">
        <f t="shared" si="0"/>
        <v>184.99997166372327</v>
      </c>
      <c r="AJ10" s="158">
        <f t="shared" si="0"/>
        <v>184.99997166372327</v>
      </c>
      <c r="AK10" s="158">
        <f t="shared" si="0"/>
        <v>184.99997166372327</v>
      </c>
      <c r="AL10" s="158">
        <f t="shared" si="0"/>
        <v>529.99997166372327</v>
      </c>
      <c r="AM10" s="158">
        <f t="shared" si="0"/>
        <v>184.99997166372327</v>
      </c>
      <c r="AN10" s="158">
        <f t="shared" si="0"/>
        <v>184.99997166372327</v>
      </c>
      <c r="AO10" s="158">
        <f t="shared" si="0"/>
        <v>184.99997166372327</v>
      </c>
      <c r="AP10" s="158">
        <f t="shared" si="0"/>
        <v>184.99997166372327</v>
      </c>
      <c r="AQ10" s="158">
        <f t="shared" si="0"/>
        <v>184.99997166372327</v>
      </c>
      <c r="AR10" s="158">
        <f t="shared" si="0"/>
        <v>184.99997166372327</v>
      </c>
      <c r="AS10" s="158">
        <f t="shared" si="0"/>
        <v>184.99997166372327</v>
      </c>
      <c r="AT10" s="158">
        <f t="shared" si="0"/>
        <v>184.99997166372327</v>
      </c>
      <c r="AU10" s="158">
        <f t="shared" si="0"/>
        <v>184.99997166372327</v>
      </c>
      <c r="AV10" s="158">
        <f t="shared" si="0"/>
        <v>184.99997166372327</v>
      </c>
      <c r="AW10" s="158">
        <f t="shared" si="0"/>
        <v>184.99997166372327</v>
      </c>
      <c r="AX10" s="158">
        <f t="shared" si="0"/>
        <v>184.99997166372327</v>
      </c>
      <c r="AY10" s="158">
        <f t="shared" si="0"/>
        <v>184.99997166372327</v>
      </c>
      <c r="AZ10" s="165">
        <f>SUM($D10:$AY10)</f>
        <v>9224.9986398587098</v>
      </c>
    </row>
    <row r="11" spans="1:52" x14ac:dyDescent="0.2">
      <c r="C11" s="125"/>
    </row>
    <row r="12" spans="1:52" x14ac:dyDescent="0.2">
      <c r="A12" s="166" t="s">
        <v>295</v>
      </c>
      <c r="B12" s="160"/>
      <c r="C12" s="125"/>
    </row>
    <row r="13" spans="1:52" x14ac:dyDescent="0.2">
      <c r="A13" s="136" t="s">
        <v>125</v>
      </c>
      <c r="B13" s="137">
        <v>1</v>
      </c>
      <c r="C13" s="138">
        <v>345</v>
      </c>
      <c r="D13" s="152">
        <f t="shared" ref="D13:AY13" si="1">D$7-D$10</f>
        <v>345</v>
      </c>
      <c r="E13" s="152">
        <f t="shared" si="1"/>
        <v>345</v>
      </c>
      <c r="F13" s="152">
        <f t="shared" si="1"/>
        <v>345</v>
      </c>
      <c r="G13" s="152">
        <f t="shared" si="1"/>
        <v>345</v>
      </c>
      <c r="H13" s="152">
        <f t="shared" si="1"/>
        <v>345</v>
      </c>
      <c r="I13" s="152">
        <f t="shared" si="1"/>
        <v>345</v>
      </c>
      <c r="J13" s="152">
        <f t="shared" si="1"/>
        <v>345</v>
      </c>
      <c r="K13" s="152">
        <f t="shared" si="1"/>
        <v>345</v>
      </c>
      <c r="L13" s="152">
        <f t="shared" si="1"/>
        <v>345</v>
      </c>
      <c r="M13" s="152">
        <f t="shared" si="1"/>
        <v>345</v>
      </c>
      <c r="N13" s="152">
        <f t="shared" si="1"/>
        <v>345</v>
      </c>
      <c r="O13" s="152">
        <f t="shared" si="1"/>
        <v>345</v>
      </c>
      <c r="P13" s="152">
        <f t="shared" si="1"/>
        <v>345</v>
      </c>
      <c r="Q13" s="152">
        <f t="shared" si="1"/>
        <v>345</v>
      </c>
      <c r="R13" s="152">
        <f t="shared" si="1"/>
        <v>345</v>
      </c>
      <c r="S13" s="152">
        <f t="shared" si="1"/>
        <v>345</v>
      </c>
      <c r="T13" s="152">
        <f t="shared" si="1"/>
        <v>345</v>
      </c>
      <c r="U13" s="152">
        <f t="shared" si="1"/>
        <v>345</v>
      </c>
      <c r="V13" s="152">
        <f t="shared" si="1"/>
        <v>345</v>
      </c>
      <c r="W13" s="152">
        <f t="shared" si="1"/>
        <v>345</v>
      </c>
      <c r="X13" s="152">
        <f t="shared" si="1"/>
        <v>345</v>
      </c>
      <c r="Y13" s="152">
        <f t="shared" si="1"/>
        <v>345</v>
      </c>
      <c r="Z13" s="152">
        <f t="shared" si="1"/>
        <v>345</v>
      </c>
      <c r="AA13" s="152">
        <f t="shared" si="1"/>
        <v>345</v>
      </c>
      <c r="AB13" s="152">
        <f t="shared" si="1"/>
        <v>345</v>
      </c>
      <c r="AC13" s="152">
        <f t="shared" si="1"/>
        <v>345</v>
      </c>
      <c r="AD13" s="152">
        <f t="shared" si="1"/>
        <v>345</v>
      </c>
      <c r="AE13" s="152">
        <f t="shared" si="1"/>
        <v>345</v>
      </c>
      <c r="AF13" s="152">
        <f t="shared" si="1"/>
        <v>345</v>
      </c>
      <c r="AG13" s="152">
        <f t="shared" si="1"/>
        <v>345</v>
      </c>
      <c r="AH13" s="152">
        <f t="shared" si="1"/>
        <v>345</v>
      </c>
      <c r="AI13" s="152">
        <f t="shared" si="1"/>
        <v>345</v>
      </c>
      <c r="AJ13" s="152">
        <f t="shared" si="1"/>
        <v>345</v>
      </c>
      <c r="AK13" s="152">
        <f t="shared" si="1"/>
        <v>345</v>
      </c>
      <c r="AL13" s="152">
        <f t="shared" si="1"/>
        <v>0</v>
      </c>
      <c r="AM13" s="152">
        <f t="shared" si="1"/>
        <v>345</v>
      </c>
      <c r="AN13" s="152">
        <f t="shared" si="1"/>
        <v>345</v>
      </c>
      <c r="AO13" s="152">
        <f t="shared" si="1"/>
        <v>345</v>
      </c>
      <c r="AP13" s="152">
        <f t="shared" si="1"/>
        <v>345</v>
      </c>
      <c r="AQ13" s="152">
        <f t="shared" si="1"/>
        <v>345</v>
      </c>
      <c r="AR13" s="152">
        <f t="shared" si="1"/>
        <v>345</v>
      </c>
      <c r="AS13" s="152">
        <f t="shared" si="1"/>
        <v>345</v>
      </c>
      <c r="AT13" s="152">
        <f t="shared" si="1"/>
        <v>345</v>
      </c>
      <c r="AU13" s="152">
        <f t="shared" si="1"/>
        <v>345</v>
      </c>
      <c r="AV13" s="152">
        <f t="shared" si="1"/>
        <v>345</v>
      </c>
      <c r="AW13" s="152">
        <f t="shared" si="1"/>
        <v>345</v>
      </c>
      <c r="AX13" s="152">
        <f t="shared" si="1"/>
        <v>345</v>
      </c>
      <c r="AY13" s="152">
        <f t="shared" si="1"/>
        <v>345</v>
      </c>
      <c r="AZ13" s="124"/>
    </row>
    <row r="14" spans="1:52" x14ac:dyDescent="0.2">
      <c r="A14" s="125"/>
      <c r="B14" s="134">
        <v>2</v>
      </c>
      <c r="C14" s="125">
        <v>0</v>
      </c>
      <c r="D14" s="121">
        <f>IF(C$20="Yes",C13,0)</f>
        <v>0</v>
      </c>
      <c r="E14" s="121">
        <f t="shared" ref="E14:AY17" si="2">IF(D$20="Yes",D13,0)</f>
        <v>0</v>
      </c>
      <c r="F14" s="121">
        <f t="shared" si="2"/>
        <v>0</v>
      </c>
      <c r="G14" s="121">
        <f t="shared" si="2"/>
        <v>0</v>
      </c>
      <c r="H14" s="121">
        <f t="shared" si="2"/>
        <v>0</v>
      </c>
      <c r="I14" s="121">
        <f t="shared" si="2"/>
        <v>0</v>
      </c>
      <c r="J14" s="121">
        <f t="shared" si="2"/>
        <v>0</v>
      </c>
      <c r="K14" s="121">
        <f t="shared" si="2"/>
        <v>0</v>
      </c>
      <c r="L14" s="121">
        <f t="shared" si="2"/>
        <v>0</v>
      </c>
      <c r="M14" s="121">
        <f t="shared" si="2"/>
        <v>0</v>
      </c>
      <c r="N14" s="121">
        <f t="shared" si="2"/>
        <v>0</v>
      </c>
      <c r="O14" s="121">
        <f t="shared" si="2"/>
        <v>0</v>
      </c>
      <c r="P14" s="121">
        <f t="shared" si="2"/>
        <v>0</v>
      </c>
      <c r="Q14" s="121">
        <f t="shared" si="2"/>
        <v>0</v>
      </c>
      <c r="R14" s="121">
        <f t="shared" si="2"/>
        <v>0</v>
      </c>
      <c r="S14" s="121">
        <f t="shared" si="2"/>
        <v>0</v>
      </c>
      <c r="T14" s="121">
        <f t="shared" si="2"/>
        <v>0</v>
      </c>
      <c r="U14" s="121">
        <f t="shared" si="2"/>
        <v>0</v>
      </c>
      <c r="V14" s="121">
        <f t="shared" si="2"/>
        <v>0</v>
      </c>
      <c r="W14" s="121">
        <f t="shared" si="2"/>
        <v>0</v>
      </c>
      <c r="X14" s="121">
        <f t="shared" si="2"/>
        <v>0</v>
      </c>
      <c r="Y14" s="121">
        <f t="shared" si="2"/>
        <v>0</v>
      </c>
      <c r="Z14" s="121">
        <f t="shared" si="2"/>
        <v>0</v>
      </c>
      <c r="AA14" s="121">
        <f t="shared" si="2"/>
        <v>0</v>
      </c>
      <c r="AB14" s="121">
        <f t="shared" si="2"/>
        <v>0</v>
      </c>
      <c r="AC14" s="121">
        <f t="shared" si="2"/>
        <v>0</v>
      </c>
      <c r="AD14" s="121">
        <f t="shared" si="2"/>
        <v>0</v>
      </c>
      <c r="AE14" s="121">
        <f t="shared" si="2"/>
        <v>0</v>
      </c>
      <c r="AF14" s="121">
        <f t="shared" si="2"/>
        <v>0</v>
      </c>
      <c r="AG14" s="121">
        <f t="shared" si="2"/>
        <v>0</v>
      </c>
      <c r="AH14" s="121">
        <f t="shared" si="2"/>
        <v>0</v>
      </c>
      <c r="AI14" s="121">
        <f t="shared" si="2"/>
        <v>0</v>
      </c>
      <c r="AJ14" s="121">
        <f t="shared" si="2"/>
        <v>0</v>
      </c>
      <c r="AK14" s="121">
        <f t="shared" si="2"/>
        <v>0</v>
      </c>
      <c r="AL14" s="121">
        <f t="shared" si="2"/>
        <v>345</v>
      </c>
      <c r="AM14" s="121">
        <f t="shared" si="2"/>
        <v>0</v>
      </c>
      <c r="AN14" s="121">
        <f t="shared" si="2"/>
        <v>0</v>
      </c>
      <c r="AO14" s="121">
        <f t="shared" si="2"/>
        <v>0</v>
      </c>
      <c r="AP14" s="121">
        <f t="shared" si="2"/>
        <v>0</v>
      </c>
      <c r="AQ14" s="121">
        <f t="shared" si="2"/>
        <v>0</v>
      </c>
      <c r="AR14" s="121">
        <f t="shared" si="2"/>
        <v>0</v>
      </c>
      <c r="AS14" s="121">
        <f t="shared" si="2"/>
        <v>0</v>
      </c>
      <c r="AT14" s="121">
        <f t="shared" si="2"/>
        <v>0</v>
      </c>
      <c r="AU14" s="121">
        <f t="shared" si="2"/>
        <v>0</v>
      </c>
      <c r="AV14" s="121">
        <f t="shared" si="2"/>
        <v>0</v>
      </c>
      <c r="AW14" s="121">
        <f t="shared" si="2"/>
        <v>0</v>
      </c>
      <c r="AX14" s="121">
        <f t="shared" si="2"/>
        <v>0</v>
      </c>
      <c r="AY14" s="121">
        <f t="shared" si="2"/>
        <v>0</v>
      </c>
      <c r="AZ14" s="124"/>
    </row>
    <row r="15" spans="1:52" x14ac:dyDescent="0.2">
      <c r="A15" s="125"/>
      <c r="B15" s="141">
        <v>3</v>
      </c>
      <c r="C15" s="125">
        <v>0</v>
      </c>
      <c r="D15" s="121">
        <f>IF(C$20="Yes",C14,0)</f>
        <v>0</v>
      </c>
      <c r="E15" s="121">
        <f t="shared" si="2"/>
        <v>0</v>
      </c>
      <c r="F15" s="121">
        <f t="shared" si="2"/>
        <v>0</v>
      </c>
      <c r="G15" s="121">
        <f t="shared" si="2"/>
        <v>0</v>
      </c>
      <c r="H15" s="121">
        <f t="shared" si="2"/>
        <v>0</v>
      </c>
      <c r="I15" s="121">
        <f t="shared" si="2"/>
        <v>0</v>
      </c>
      <c r="J15" s="121">
        <f t="shared" si="2"/>
        <v>0</v>
      </c>
      <c r="K15" s="121">
        <f t="shared" si="2"/>
        <v>0</v>
      </c>
      <c r="L15" s="121">
        <f t="shared" si="2"/>
        <v>0</v>
      </c>
      <c r="M15" s="121">
        <f t="shared" si="2"/>
        <v>0</v>
      </c>
      <c r="N15" s="121">
        <f t="shared" si="2"/>
        <v>0</v>
      </c>
      <c r="O15" s="121">
        <f t="shared" si="2"/>
        <v>0</v>
      </c>
      <c r="P15" s="121">
        <f t="shared" si="2"/>
        <v>0</v>
      </c>
      <c r="Q15" s="121">
        <f t="shared" si="2"/>
        <v>0</v>
      </c>
      <c r="R15" s="121">
        <f t="shared" si="2"/>
        <v>0</v>
      </c>
      <c r="S15" s="121">
        <f t="shared" si="2"/>
        <v>0</v>
      </c>
      <c r="T15" s="121">
        <f t="shared" si="2"/>
        <v>0</v>
      </c>
      <c r="U15" s="121">
        <f t="shared" si="2"/>
        <v>0</v>
      </c>
      <c r="V15" s="121">
        <f t="shared" si="2"/>
        <v>0</v>
      </c>
      <c r="W15" s="121">
        <f t="shared" si="2"/>
        <v>0</v>
      </c>
      <c r="X15" s="121">
        <f t="shared" si="2"/>
        <v>0</v>
      </c>
      <c r="Y15" s="121">
        <f t="shared" si="2"/>
        <v>0</v>
      </c>
      <c r="Z15" s="121">
        <f t="shared" si="2"/>
        <v>0</v>
      </c>
      <c r="AA15" s="121">
        <f t="shared" si="2"/>
        <v>0</v>
      </c>
      <c r="AB15" s="121">
        <f t="shared" si="2"/>
        <v>0</v>
      </c>
      <c r="AC15" s="121">
        <f t="shared" si="2"/>
        <v>0</v>
      </c>
      <c r="AD15" s="121">
        <f t="shared" si="2"/>
        <v>0</v>
      </c>
      <c r="AE15" s="121">
        <f t="shared" si="2"/>
        <v>0</v>
      </c>
      <c r="AF15" s="121">
        <f t="shared" si="2"/>
        <v>0</v>
      </c>
      <c r="AG15" s="121">
        <f t="shared" si="2"/>
        <v>0</v>
      </c>
      <c r="AH15" s="121">
        <f t="shared" si="2"/>
        <v>0</v>
      </c>
      <c r="AI15" s="121">
        <f t="shared" si="2"/>
        <v>0</v>
      </c>
      <c r="AJ15" s="121">
        <f t="shared" si="2"/>
        <v>0</v>
      </c>
      <c r="AK15" s="121">
        <f t="shared" si="2"/>
        <v>0</v>
      </c>
      <c r="AL15" s="121">
        <f t="shared" si="2"/>
        <v>0</v>
      </c>
      <c r="AM15" s="121">
        <f t="shared" si="2"/>
        <v>0</v>
      </c>
      <c r="AN15" s="121">
        <f t="shared" si="2"/>
        <v>0</v>
      </c>
      <c r="AO15" s="121">
        <f t="shared" si="2"/>
        <v>0</v>
      </c>
      <c r="AP15" s="121">
        <f t="shared" si="2"/>
        <v>0</v>
      </c>
      <c r="AQ15" s="121">
        <f t="shared" si="2"/>
        <v>0</v>
      </c>
      <c r="AR15" s="121">
        <f t="shared" si="2"/>
        <v>0</v>
      </c>
      <c r="AS15" s="121">
        <f t="shared" si="2"/>
        <v>0</v>
      </c>
      <c r="AT15" s="121">
        <f t="shared" si="2"/>
        <v>0</v>
      </c>
      <c r="AU15" s="121">
        <f t="shared" si="2"/>
        <v>0</v>
      </c>
      <c r="AV15" s="121">
        <f t="shared" si="2"/>
        <v>0</v>
      </c>
      <c r="AW15" s="121">
        <f t="shared" si="2"/>
        <v>0</v>
      </c>
      <c r="AX15" s="121">
        <f t="shared" si="2"/>
        <v>0</v>
      </c>
      <c r="AY15" s="121">
        <f t="shared" si="2"/>
        <v>0</v>
      </c>
      <c r="AZ15" s="124"/>
    </row>
    <row r="16" spans="1:52" x14ac:dyDescent="0.2">
      <c r="A16" s="125"/>
      <c r="B16" s="144">
        <v>4</v>
      </c>
      <c r="C16" s="125">
        <v>0</v>
      </c>
      <c r="D16" s="121">
        <f>IF(C$20="Yes",C15,0)</f>
        <v>0</v>
      </c>
      <c r="E16" s="121">
        <f t="shared" si="2"/>
        <v>0</v>
      </c>
      <c r="F16" s="121">
        <f t="shared" si="2"/>
        <v>0</v>
      </c>
      <c r="G16" s="121">
        <f t="shared" si="2"/>
        <v>0</v>
      </c>
      <c r="H16" s="121">
        <f t="shared" si="2"/>
        <v>0</v>
      </c>
      <c r="I16" s="121">
        <f t="shared" si="2"/>
        <v>0</v>
      </c>
      <c r="J16" s="121">
        <f t="shared" si="2"/>
        <v>0</v>
      </c>
      <c r="K16" s="121">
        <f t="shared" si="2"/>
        <v>0</v>
      </c>
      <c r="L16" s="121">
        <f t="shared" si="2"/>
        <v>0</v>
      </c>
      <c r="M16" s="121">
        <f t="shared" si="2"/>
        <v>0</v>
      </c>
      <c r="N16" s="121">
        <f t="shared" si="2"/>
        <v>0</v>
      </c>
      <c r="O16" s="121">
        <f t="shared" si="2"/>
        <v>0</v>
      </c>
      <c r="P16" s="121">
        <f t="shared" si="2"/>
        <v>0</v>
      </c>
      <c r="Q16" s="121">
        <f t="shared" si="2"/>
        <v>0</v>
      </c>
      <c r="R16" s="121">
        <f t="shared" si="2"/>
        <v>0</v>
      </c>
      <c r="S16" s="121">
        <f t="shared" si="2"/>
        <v>0</v>
      </c>
      <c r="T16" s="121">
        <f t="shared" si="2"/>
        <v>0</v>
      </c>
      <c r="U16" s="121">
        <f t="shared" si="2"/>
        <v>0</v>
      </c>
      <c r="V16" s="121">
        <f t="shared" si="2"/>
        <v>0</v>
      </c>
      <c r="W16" s="121">
        <f t="shared" si="2"/>
        <v>0</v>
      </c>
      <c r="X16" s="121">
        <f t="shared" si="2"/>
        <v>0</v>
      </c>
      <c r="Y16" s="121">
        <f t="shared" si="2"/>
        <v>0</v>
      </c>
      <c r="Z16" s="121">
        <f t="shared" si="2"/>
        <v>0</v>
      </c>
      <c r="AA16" s="121">
        <f t="shared" si="2"/>
        <v>0</v>
      </c>
      <c r="AB16" s="121">
        <f t="shared" si="2"/>
        <v>0</v>
      </c>
      <c r="AC16" s="121">
        <f t="shared" si="2"/>
        <v>0</v>
      </c>
      <c r="AD16" s="121">
        <f t="shared" si="2"/>
        <v>0</v>
      </c>
      <c r="AE16" s="121">
        <f t="shared" si="2"/>
        <v>0</v>
      </c>
      <c r="AF16" s="121">
        <f t="shared" si="2"/>
        <v>0</v>
      </c>
      <c r="AG16" s="121">
        <f t="shared" si="2"/>
        <v>0</v>
      </c>
      <c r="AH16" s="121">
        <f t="shared" si="2"/>
        <v>0</v>
      </c>
      <c r="AI16" s="121">
        <f t="shared" si="2"/>
        <v>0</v>
      </c>
      <c r="AJ16" s="121">
        <f t="shared" si="2"/>
        <v>0</v>
      </c>
      <c r="AK16" s="121">
        <f t="shared" si="2"/>
        <v>0</v>
      </c>
      <c r="AL16" s="121">
        <f t="shared" si="2"/>
        <v>0</v>
      </c>
      <c r="AM16" s="121">
        <f t="shared" si="2"/>
        <v>0</v>
      </c>
      <c r="AN16" s="121">
        <f t="shared" si="2"/>
        <v>0</v>
      </c>
      <c r="AO16" s="121">
        <f t="shared" si="2"/>
        <v>0</v>
      </c>
      <c r="AP16" s="121">
        <f t="shared" si="2"/>
        <v>0</v>
      </c>
      <c r="AQ16" s="121">
        <f t="shared" si="2"/>
        <v>0</v>
      </c>
      <c r="AR16" s="121">
        <f t="shared" si="2"/>
        <v>0</v>
      </c>
      <c r="AS16" s="121">
        <f t="shared" si="2"/>
        <v>0</v>
      </c>
      <c r="AT16" s="121">
        <f t="shared" si="2"/>
        <v>0</v>
      </c>
      <c r="AU16" s="121">
        <f t="shared" si="2"/>
        <v>0</v>
      </c>
      <c r="AV16" s="121">
        <f t="shared" si="2"/>
        <v>0</v>
      </c>
      <c r="AW16" s="121">
        <f t="shared" si="2"/>
        <v>0</v>
      </c>
      <c r="AX16" s="121">
        <f t="shared" si="2"/>
        <v>0</v>
      </c>
      <c r="AY16" s="121">
        <f t="shared" si="2"/>
        <v>0</v>
      </c>
      <c r="AZ16" s="142"/>
    </row>
    <row r="17" spans="1:52" x14ac:dyDescent="0.2">
      <c r="A17" s="139"/>
      <c r="B17" s="146" t="s">
        <v>296</v>
      </c>
      <c r="C17" s="139">
        <v>0</v>
      </c>
      <c r="D17" s="128">
        <f>IF(C$20="Yes",C16,0)</f>
        <v>0</v>
      </c>
      <c r="E17" s="128">
        <f t="shared" si="2"/>
        <v>0</v>
      </c>
      <c r="F17" s="128">
        <f t="shared" si="2"/>
        <v>0</v>
      </c>
      <c r="G17" s="128">
        <f t="shared" si="2"/>
        <v>0</v>
      </c>
      <c r="H17" s="128">
        <f t="shared" si="2"/>
        <v>0</v>
      </c>
      <c r="I17" s="128">
        <f t="shared" si="2"/>
        <v>0</v>
      </c>
      <c r="J17" s="128">
        <f t="shared" si="2"/>
        <v>0</v>
      </c>
      <c r="K17" s="128">
        <f t="shared" si="2"/>
        <v>0</v>
      </c>
      <c r="L17" s="128">
        <f t="shared" si="2"/>
        <v>0</v>
      </c>
      <c r="M17" s="128">
        <f t="shared" si="2"/>
        <v>0</v>
      </c>
      <c r="N17" s="128">
        <f t="shared" si="2"/>
        <v>0</v>
      </c>
      <c r="O17" s="128">
        <f t="shared" si="2"/>
        <v>0</v>
      </c>
      <c r="P17" s="128">
        <f t="shared" si="2"/>
        <v>0</v>
      </c>
      <c r="Q17" s="128">
        <f t="shared" si="2"/>
        <v>0</v>
      </c>
      <c r="R17" s="128">
        <f t="shared" si="2"/>
        <v>0</v>
      </c>
      <c r="S17" s="128">
        <f t="shared" si="2"/>
        <v>0</v>
      </c>
      <c r="T17" s="128">
        <f t="shared" si="2"/>
        <v>0</v>
      </c>
      <c r="U17" s="128">
        <f t="shared" si="2"/>
        <v>0</v>
      </c>
      <c r="V17" s="128">
        <f t="shared" si="2"/>
        <v>0</v>
      </c>
      <c r="W17" s="128">
        <f t="shared" si="2"/>
        <v>0</v>
      </c>
      <c r="X17" s="128">
        <f t="shared" si="2"/>
        <v>0</v>
      </c>
      <c r="Y17" s="128">
        <f t="shared" si="2"/>
        <v>0</v>
      </c>
      <c r="Z17" s="128">
        <f t="shared" si="2"/>
        <v>0</v>
      </c>
      <c r="AA17" s="128">
        <f t="shared" si="2"/>
        <v>0</v>
      </c>
      <c r="AB17" s="128">
        <f t="shared" si="2"/>
        <v>0</v>
      </c>
      <c r="AC17" s="128">
        <f t="shared" si="2"/>
        <v>0</v>
      </c>
      <c r="AD17" s="128">
        <f t="shared" si="2"/>
        <v>0</v>
      </c>
      <c r="AE17" s="128">
        <f t="shared" si="2"/>
        <v>0</v>
      </c>
      <c r="AF17" s="128">
        <f t="shared" si="2"/>
        <v>0</v>
      </c>
      <c r="AG17" s="128">
        <f t="shared" si="2"/>
        <v>0</v>
      </c>
      <c r="AH17" s="128">
        <f t="shared" si="2"/>
        <v>0</v>
      </c>
      <c r="AI17" s="128">
        <f t="shared" si="2"/>
        <v>0</v>
      </c>
      <c r="AJ17" s="128">
        <f t="shared" si="2"/>
        <v>0</v>
      </c>
      <c r="AK17" s="128">
        <f t="shared" si="2"/>
        <v>0</v>
      </c>
      <c r="AL17" s="128">
        <f t="shared" si="2"/>
        <v>0</v>
      </c>
      <c r="AM17" s="128">
        <f t="shared" si="2"/>
        <v>0</v>
      </c>
      <c r="AN17" s="128">
        <f t="shared" si="2"/>
        <v>0</v>
      </c>
      <c r="AO17" s="128">
        <f t="shared" si="2"/>
        <v>0</v>
      </c>
      <c r="AP17" s="128">
        <f t="shared" si="2"/>
        <v>0</v>
      </c>
      <c r="AQ17" s="128">
        <f t="shared" si="2"/>
        <v>0</v>
      </c>
      <c r="AR17" s="128">
        <f t="shared" si="2"/>
        <v>0</v>
      </c>
      <c r="AS17" s="128">
        <f t="shared" si="2"/>
        <v>0</v>
      </c>
      <c r="AT17" s="128">
        <f t="shared" si="2"/>
        <v>0</v>
      </c>
      <c r="AU17" s="128">
        <f t="shared" si="2"/>
        <v>0</v>
      </c>
      <c r="AV17" s="128">
        <f t="shared" si="2"/>
        <v>0</v>
      </c>
      <c r="AW17" s="128">
        <f t="shared" si="2"/>
        <v>0</v>
      </c>
      <c r="AX17" s="128">
        <f t="shared" si="2"/>
        <v>0</v>
      </c>
      <c r="AY17" s="128">
        <f t="shared" si="2"/>
        <v>0</v>
      </c>
      <c r="AZ17" s="165">
        <f>SUM($D$17:$AY$17)</f>
        <v>0</v>
      </c>
    </row>
    <row r="18" spans="1:52" x14ac:dyDescent="0.2">
      <c r="A18" s="121"/>
      <c r="B18" s="167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  <c r="AM18" s="152"/>
      <c r="AN18" s="152"/>
      <c r="AO18" s="152"/>
      <c r="AP18" s="152"/>
      <c r="AQ18" s="152"/>
      <c r="AR18" s="152"/>
      <c r="AS18" s="152"/>
      <c r="AT18" s="152"/>
      <c r="AU18" s="152"/>
      <c r="AV18" s="152"/>
      <c r="AW18" s="152"/>
      <c r="AX18" s="152"/>
      <c r="AY18" s="152"/>
      <c r="AZ18" s="121"/>
    </row>
    <row r="19" spans="1:52" x14ac:dyDescent="0.2">
      <c r="A19" s="1" t="s">
        <v>116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</row>
    <row r="20" spans="1:52" s="125" customFormat="1" x14ac:dyDescent="0.2">
      <c r="A20" s="129" t="s">
        <v>305</v>
      </c>
      <c r="B20" s="168" t="s">
        <v>306</v>
      </c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 t="s">
        <v>339</v>
      </c>
      <c r="AL20" s="131"/>
      <c r="AM20" s="131"/>
      <c r="AN20" s="131"/>
      <c r="AO20" s="131"/>
      <c r="AP20" s="131"/>
      <c r="AQ20" s="131"/>
      <c r="AR20" s="131"/>
      <c r="AS20" s="131"/>
      <c r="AT20" s="131"/>
      <c r="AU20" s="131"/>
      <c r="AV20" s="131"/>
      <c r="AW20" s="131"/>
      <c r="AX20" s="131"/>
      <c r="AY20" s="131"/>
      <c r="AZ20" s="122"/>
    </row>
    <row r="21" spans="1:52" s="125" customFormat="1" x14ac:dyDescent="0.2">
      <c r="A21" s="169" t="s">
        <v>133</v>
      </c>
      <c r="B21" s="170">
        <f>shipping_manufacturing!$C$19/100</f>
        <v>1</v>
      </c>
      <c r="C21" s="170" t="s">
        <v>293</v>
      </c>
      <c r="D21" s="121">
        <f>IF(C$20="Yes",0,SUM(C$13:C$16)*$B$21)</f>
        <v>345</v>
      </c>
      <c r="E21" s="121">
        <f t="shared" ref="E21:AY21" si="3">IF(D$20="Yes",0,SUM(D$13:D$16)*$B$21)</f>
        <v>345</v>
      </c>
      <c r="F21" s="121">
        <f t="shared" si="3"/>
        <v>345</v>
      </c>
      <c r="G21" s="121">
        <f t="shared" si="3"/>
        <v>345</v>
      </c>
      <c r="H21" s="121">
        <f t="shared" si="3"/>
        <v>345</v>
      </c>
      <c r="I21" s="121">
        <f t="shared" si="3"/>
        <v>345</v>
      </c>
      <c r="J21" s="121">
        <f t="shared" si="3"/>
        <v>345</v>
      </c>
      <c r="K21" s="121">
        <f t="shared" si="3"/>
        <v>345</v>
      </c>
      <c r="L21" s="121">
        <f t="shared" si="3"/>
        <v>345</v>
      </c>
      <c r="M21" s="121">
        <f t="shared" si="3"/>
        <v>345</v>
      </c>
      <c r="N21" s="121">
        <f t="shared" si="3"/>
        <v>345</v>
      </c>
      <c r="O21" s="121">
        <f t="shared" si="3"/>
        <v>345</v>
      </c>
      <c r="P21" s="121">
        <f t="shared" si="3"/>
        <v>345</v>
      </c>
      <c r="Q21" s="121">
        <f t="shared" si="3"/>
        <v>345</v>
      </c>
      <c r="R21" s="121">
        <f t="shared" si="3"/>
        <v>345</v>
      </c>
      <c r="S21" s="121">
        <f t="shared" si="3"/>
        <v>345</v>
      </c>
      <c r="T21" s="121">
        <f t="shared" si="3"/>
        <v>345</v>
      </c>
      <c r="U21" s="121">
        <f t="shared" si="3"/>
        <v>345</v>
      </c>
      <c r="V21" s="121">
        <f t="shared" si="3"/>
        <v>345</v>
      </c>
      <c r="W21" s="121">
        <f t="shared" si="3"/>
        <v>345</v>
      </c>
      <c r="X21" s="121">
        <f t="shared" si="3"/>
        <v>345</v>
      </c>
      <c r="Y21" s="121">
        <f t="shared" si="3"/>
        <v>345</v>
      </c>
      <c r="Z21" s="121">
        <f t="shared" si="3"/>
        <v>345</v>
      </c>
      <c r="AA21" s="121">
        <f t="shared" si="3"/>
        <v>345</v>
      </c>
      <c r="AB21" s="121">
        <f t="shared" si="3"/>
        <v>345</v>
      </c>
      <c r="AC21" s="121">
        <f t="shared" si="3"/>
        <v>345</v>
      </c>
      <c r="AD21" s="121">
        <f t="shared" si="3"/>
        <v>345</v>
      </c>
      <c r="AE21" s="121">
        <f t="shared" si="3"/>
        <v>345</v>
      </c>
      <c r="AF21" s="121">
        <f t="shared" si="3"/>
        <v>345</v>
      </c>
      <c r="AG21" s="121">
        <f t="shared" si="3"/>
        <v>345</v>
      </c>
      <c r="AH21" s="121">
        <f t="shared" si="3"/>
        <v>345</v>
      </c>
      <c r="AI21" s="121">
        <f t="shared" si="3"/>
        <v>345</v>
      </c>
      <c r="AJ21" s="121">
        <f t="shared" si="3"/>
        <v>345</v>
      </c>
      <c r="AK21" s="121">
        <f t="shared" si="3"/>
        <v>345</v>
      </c>
      <c r="AL21" s="121">
        <f t="shared" si="3"/>
        <v>0</v>
      </c>
      <c r="AM21" s="121">
        <f t="shared" si="3"/>
        <v>345</v>
      </c>
      <c r="AN21" s="121">
        <f t="shared" si="3"/>
        <v>345</v>
      </c>
      <c r="AO21" s="121">
        <f t="shared" si="3"/>
        <v>345</v>
      </c>
      <c r="AP21" s="121">
        <f t="shared" si="3"/>
        <v>345</v>
      </c>
      <c r="AQ21" s="121">
        <f t="shared" si="3"/>
        <v>345</v>
      </c>
      <c r="AR21" s="121">
        <f t="shared" si="3"/>
        <v>345</v>
      </c>
      <c r="AS21" s="121">
        <f t="shared" si="3"/>
        <v>345</v>
      </c>
      <c r="AT21" s="121">
        <f t="shared" si="3"/>
        <v>345</v>
      </c>
      <c r="AU21" s="121">
        <f t="shared" si="3"/>
        <v>345</v>
      </c>
      <c r="AV21" s="121">
        <f t="shared" si="3"/>
        <v>345</v>
      </c>
      <c r="AW21" s="121">
        <f t="shared" si="3"/>
        <v>345</v>
      </c>
      <c r="AX21" s="121">
        <f t="shared" si="3"/>
        <v>345</v>
      </c>
      <c r="AY21" s="121">
        <f t="shared" si="3"/>
        <v>345</v>
      </c>
      <c r="AZ21" s="171">
        <f>SUM($D21:$AY21)</f>
        <v>16215</v>
      </c>
    </row>
    <row r="22" spans="1:52" s="125" customFormat="1" x14ac:dyDescent="0.2">
      <c r="A22" s="172" t="s">
        <v>123</v>
      </c>
      <c r="B22" s="173">
        <f>1-$B$21</f>
        <v>0</v>
      </c>
      <c r="C22" s="173" t="s">
        <v>293</v>
      </c>
      <c r="D22" s="128">
        <f>IF(C$20="Yes",0,SUM(C$13:C$16)*$B$22)</f>
        <v>0</v>
      </c>
      <c r="E22" s="128">
        <f t="shared" ref="E22:AY22" si="4">IF(D$20="Yes",0,SUM(D$13:D$16)*$B$22)</f>
        <v>0</v>
      </c>
      <c r="F22" s="128">
        <f t="shared" si="4"/>
        <v>0</v>
      </c>
      <c r="G22" s="128">
        <f t="shared" si="4"/>
        <v>0</v>
      </c>
      <c r="H22" s="128">
        <f t="shared" si="4"/>
        <v>0</v>
      </c>
      <c r="I22" s="128">
        <f t="shared" si="4"/>
        <v>0</v>
      </c>
      <c r="J22" s="128">
        <f t="shared" si="4"/>
        <v>0</v>
      </c>
      <c r="K22" s="128">
        <f t="shared" si="4"/>
        <v>0</v>
      </c>
      <c r="L22" s="128">
        <f t="shared" si="4"/>
        <v>0</v>
      </c>
      <c r="M22" s="128">
        <f t="shared" si="4"/>
        <v>0</v>
      </c>
      <c r="N22" s="128">
        <f t="shared" si="4"/>
        <v>0</v>
      </c>
      <c r="O22" s="128">
        <f t="shared" si="4"/>
        <v>0</v>
      </c>
      <c r="P22" s="128">
        <f t="shared" si="4"/>
        <v>0</v>
      </c>
      <c r="Q22" s="128">
        <f t="shared" si="4"/>
        <v>0</v>
      </c>
      <c r="R22" s="128">
        <f t="shared" si="4"/>
        <v>0</v>
      </c>
      <c r="S22" s="128">
        <f t="shared" si="4"/>
        <v>0</v>
      </c>
      <c r="T22" s="128">
        <f t="shared" si="4"/>
        <v>0</v>
      </c>
      <c r="U22" s="128">
        <f t="shared" si="4"/>
        <v>0</v>
      </c>
      <c r="V22" s="128">
        <f t="shared" si="4"/>
        <v>0</v>
      </c>
      <c r="W22" s="128">
        <f t="shared" si="4"/>
        <v>0</v>
      </c>
      <c r="X22" s="128">
        <f t="shared" si="4"/>
        <v>0</v>
      </c>
      <c r="Y22" s="128">
        <f t="shared" si="4"/>
        <v>0</v>
      </c>
      <c r="Z22" s="128">
        <f t="shared" si="4"/>
        <v>0</v>
      </c>
      <c r="AA22" s="128">
        <f t="shared" si="4"/>
        <v>0</v>
      </c>
      <c r="AB22" s="128">
        <f t="shared" si="4"/>
        <v>0</v>
      </c>
      <c r="AC22" s="128">
        <f t="shared" si="4"/>
        <v>0</v>
      </c>
      <c r="AD22" s="128">
        <f t="shared" si="4"/>
        <v>0</v>
      </c>
      <c r="AE22" s="128">
        <f t="shared" si="4"/>
        <v>0</v>
      </c>
      <c r="AF22" s="128">
        <f t="shared" si="4"/>
        <v>0</v>
      </c>
      <c r="AG22" s="128">
        <f t="shared" si="4"/>
        <v>0</v>
      </c>
      <c r="AH22" s="128">
        <f t="shared" si="4"/>
        <v>0</v>
      </c>
      <c r="AI22" s="128">
        <f t="shared" si="4"/>
        <v>0</v>
      </c>
      <c r="AJ22" s="128">
        <f t="shared" si="4"/>
        <v>0</v>
      </c>
      <c r="AK22" s="128">
        <f t="shared" si="4"/>
        <v>0</v>
      </c>
      <c r="AL22" s="128">
        <f t="shared" si="4"/>
        <v>0</v>
      </c>
      <c r="AM22" s="128">
        <f t="shared" si="4"/>
        <v>0</v>
      </c>
      <c r="AN22" s="128">
        <f t="shared" si="4"/>
        <v>0</v>
      </c>
      <c r="AO22" s="128">
        <f t="shared" si="4"/>
        <v>0</v>
      </c>
      <c r="AP22" s="128">
        <f t="shared" si="4"/>
        <v>0</v>
      </c>
      <c r="AQ22" s="128">
        <f t="shared" si="4"/>
        <v>0</v>
      </c>
      <c r="AR22" s="128">
        <f t="shared" si="4"/>
        <v>0</v>
      </c>
      <c r="AS22" s="128">
        <f t="shared" si="4"/>
        <v>0</v>
      </c>
      <c r="AT22" s="128">
        <f t="shared" si="4"/>
        <v>0</v>
      </c>
      <c r="AU22" s="128">
        <f t="shared" si="4"/>
        <v>0</v>
      </c>
      <c r="AV22" s="128">
        <f t="shared" si="4"/>
        <v>0</v>
      </c>
      <c r="AW22" s="128">
        <f t="shared" si="4"/>
        <v>0</v>
      </c>
      <c r="AX22" s="128">
        <f t="shared" si="4"/>
        <v>0</v>
      </c>
      <c r="AY22" s="128">
        <f t="shared" si="4"/>
        <v>0</v>
      </c>
      <c r="AZ22" s="155">
        <f t="shared" ref="AZ22:AZ30" si="5">SUM($D22:$AY22)</f>
        <v>0</v>
      </c>
    </row>
    <row r="23" spans="1:52" x14ac:dyDescent="0.2">
      <c r="A23" s="174" t="s">
        <v>307</v>
      </c>
      <c r="B23" s="138">
        <v>2000</v>
      </c>
      <c r="C23" t="s">
        <v>293</v>
      </c>
      <c r="D23">
        <f>D$21*$B$23</f>
        <v>690000</v>
      </c>
      <c r="E23">
        <f t="shared" ref="E23:AY23" si="6">E$21*$B$23</f>
        <v>690000</v>
      </c>
      <c r="F23">
        <f t="shared" si="6"/>
        <v>690000</v>
      </c>
      <c r="G23">
        <f t="shared" si="6"/>
        <v>690000</v>
      </c>
      <c r="H23">
        <f t="shared" si="6"/>
        <v>690000</v>
      </c>
      <c r="I23">
        <f t="shared" si="6"/>
        <v>690000</v>
      </c>
      <c r="J23">
        <f t="shared" si="6"/>
        <v>690000</v>
      </c>
      <c r="K23">
        <f t="shared" si="6"/>
        <v>690000</v>
      </c>
      <c r="L23">
        <f t="shared" si="6"/>
        <v>690000</v>
      </c>
      <c r="M23">
        <f t="shared" si="6"/>
        <v>690000</v>
      </c>
      <c r="N23">
        <f t="shared" si="6"/>
        <v>690000</v>
      </c>
      <c r="O23">
        <f t="shared" si="6"/>
        <v>690000</v>
      </c>
      <c r="P23">
        <f t="shared" si="6"/>
        <v>690000</v>
      </c>
      <c r="Q23">
        <f t="shared" si="6"/>
        <v>690000</v>
      </c>
      <c r="R23">
        <f t="shared" si="6"/>
        <v>690000</v>
      </c>
      <c r="S23">
        <f t="shared" si="6"/>
        <v>690000</v>
      </c>
      <c r="T23">
        <f t="shared" si="6"/>
        <v>690000</v>
      </c>
      <c r="U23">
        <f t="shared" si="6"/>
        <v>690000</v>
      </c>
      <c r="V23">
        <f t="shared" si="6"/>
        <v>690000</v>
      </c>
      <c r="W23">
        <f t="shared" si="6"/>
        <v>690000</v>
      </c>
      <c r="X23">
        <f t="shared" si="6"/>
        <v>690000</v>
      </c>
      <c r="Y23">
        <f t="shared" si="6"/>
        <v>690000</v>
      </c>
      <c r="Z23">
        <f t="shared" si="6"/>
        <v>690000</v>
      </c>
      <c r="AA23">
        <f t="shared" si="6"/>
        <v>690000</v>
      </c>
      <c r="AB23">
        <f t="shared" si="6"/>
        <v>690000</v>
      </c>
      <c r="AC23">
        <f t="shared" si="6"/>
        <v>690000</v>
      </c>
      <c r="AD23">
        <f t="shared" si="6"/>
        <v>690000</v>
      </c>
      <c r="AE23">
        <f t="shared" si="6"/>
        <v>690000</v>
      </c>
      <c r="AF23">
        <f t="shared" si="6"/>
        <v>690000</v>
      </c>
      <c r="AG23">
        <f t="shared" si="6"/>
        <v>690000</v>
      </c>
      <c r="AH23">
        <f t="shared" si="6"/>
        <v>690000</v>
      </c>
      <c r="AI23">
        <f t="shared" si="6"/>
        <v>690000</v>
      </c>
      <c r="AJ23">
        <f t="shared" si="6"/>
        <v>690000</v>
      </c>
      <c r="AK23">
        <f t="shared" si="6"/>
        <v>690000</v>
      </c>
      <c r="AL23">
        <f t="shared" si="6"/>
        <v>0</v>
      </c>
      <c r="AM23">
        <f t="shared" si="6"/>
        <v>690000</v>
      </c>
      <c r="AN23">
        <f t="shared" si="6"/>
        <v>690000</v>
      </c>
      <c r="AO23">
        <f t="shared" si="6"/>
        <v>690000</v>
      </c>
      <c r="AP23">
        <f t="shared" si="6"/>
        <v>690000</v>
      </c>
      <c r="AQ23">
        <f t="shared" si="6"/>
        <v>690000</v>
      </c>
      <c r="AR23">
        <f t="shared" si="6"/>
        <v>690000</v>
      </c>
      <c r="AS23">
        <f t="shared" si="6"/>
        <v>690000</v>
      </c>
      <c r="AT23">
        <f t="shared" si="6"/>
        <v>690000</v>
      </c>
      <c r="AU23">
        <f t="shared" si="6"/>
        <v>690000</v>
      </c>
      <c r="AV23">
        <f t="shared" si="6"/>
        <v>690000</v>
      </c>
      <c r="AW23">
        <f t="shared" si="6"/>
        <v>690000</v>
      </c>
      <c r="AX23">
        <f t="shared" si="6"/>
        <v>690000</v>
      </c>
      <c r="AY23">
        <f t="shared" si="6"/>
        <v>690000</v>
      </c>
      <c r="AZ23" s="153">
        <f t="shared" si="5"/>
        <v>32430000</v>
      </c>
    </row>
    <row r="24" spans="1:52" s="125" customFormat="1" x14ac:dyDescent="0.2">
      <c r="A24" s="175" t="s">
        <v>308</v>
      </c>
      <c r="B24" s="176">
        <v>1000</v>
      </c>
      <c r="C24" s="170" t="s">
        <v>293</v>
      </c>
      <c r="D24" s="121">
        <f>D$22*$B$24</f>
        <v>0</v>
      </c>
      <c r="E24" s="121">
        <f t="shared" ref="E24:AY24" si="7">E$22*$B$24</f>
        <v>0</v>
      </c>
      <c r="F24" s="121">
        <f t="shared" si="7"/>
        <v>0</v>
      </c>
      <c r="G24" s="121">
        <f t="shared" si="7"/>
        <v>0</v>
      </c>
      <c r="H24" s="121">
        <f t="shared" si="7"/>
        <v>0</v>
      </c>
      <c r="I24" s="121">
        <f t="shared" si="7"/>
        <v>0</v>
      </c>
      <c r="J24" s="121">
        <f t="shared" si="7"/>
        <v>0</v>
      </c>
      <c r="K24" s="121">
        <f t="shared" si="7"/>
        <v>0</v>
      </c>
      <c r="L24" s="121">
        <f t="shared" si="7"/>
        <v>0</v>
      </c>
      <c r="M24" s="121">
        <f t="shared" si="7"/>
        <v>0</v>
      </c>
      <c r="N24" s="121">
        <f t="shared" si="7"/>
        <v>0</v>
      </c>
      <c r="O24" s="121">
        <f t="shared" si="7"/>
        <v>0</v>
      </c>
      <c r="P24" s="121">
        <f t="shared" si="7"/>
        <v>0</v>
      </c>
      <c r="Q24" s="121">
        <f t="shared" si="7"/>
        <v>0</v>
      </c>
      <c r="R24" s="121">
        <f t="shared" si="7"/>
        <v>0</v>
      </c>
      <c r="S24" s="121">
        <f t="shared" si="7"/>
        <v>0</v>
      </c>
      <c r="T24" s="121">
        <f t="shared" si="7"/>
        <v>0</v>
      </c>
      <c r="U24" s="121">
        <f t="shared" si="7"/>
        <v>0</v>
      </c>
      <c r="V24" s="121">
        <f t="shared" si="7"/>
        <v>0</v>
      </c>
      <c r="W24" s="121">
        <f t="shared" si="7"/>
        <v>0</v>
      </c>
      <c r="X24" s="121">
        <f t="shared" si="7"/>
        <v>0</v>
      </c>
      <c r="Y24" s="121">
        <f t="shared" si="7"/>
        <v>0</v>
      </c>
      <c r="Z24" s="121">
        <f t="shared" si="7"/>
        <v>0</v>
      </c>
      <c r="AA24" s="121">
        <f t="shared" si="7"/>
        <v>0</v>
      </c>
      <c r="AB24" s="121">
        <f t="shared" si="7"/>
        <v>0</v>
      </c>
      <c r="AC24" s="121">
        <f t="shared" si="7"/>
        <v>0</v>
      </c>
      <c r="AD24" s="121">
        <f t="shared" si="7"/>
        <v>0</v>
      </c>
      <c r="AE24" s="121">
        <f t="shared" si="7"/>
        <v>0</v>
      </c>
      <c r="AF24" s="121">
        <f t="shared" si="7"/>
        <v>0</v>
      </c>
      <c r="AG24" s="121">
        <f t="shared" si="7"/>
        <v>0</v>
      </c>
      <c r="AH24" s="121">
        <f t="shared" si="7"/>
        <v>0</v>
      </c>
      <c r="AI24" s="121">
        <f t="shared" si="7"/>
        <v>0</v>
      </c>
      <c r="AJ24" s="121">
        <f t="shared" si="7"/>
        <v>0</v>
      </c>
      <c r="AK24" s="121">
        <f t="shared" si="7"/>
        <v>0</v>
      </c>
      <c r="AL24" s="121">
        <f t="shared" si="7"/>
        <v>0</v>
      </c>
      <c r="AM24" s="121">
        <f t="shared" si="7"/>
        <v>0</v>
      </c>
      <c r="AN24" s="121">
        <f t="shared" si="7"/>
        <v>0</v>
      </c>
      <c r="AO24" s="121">
        <f t="shared" si="7"/>
        <v>0</v>
      </c>
      <c r="AP24" s="121">
        <f t="shared" si="7"/>
        <v>0</v>
      </c>
      <c r="AQ24" s="121">
        <f t="shared" si="7"/>
        <v>0</v>
      </c>
      <c r="AR24" s="121">
        <f t="shared" si="7"/>
        <v>0</v>
      </c>
      <c r="AS24" s="121">
        <f t="shared" si="7"/>
        <v>0</v>
      </c>
      <c r="AT24" s="121">
        <f t="shared" si="7"/>
        <v>0</v>
      </c>
      <c r="AU24" s="121">
        <f t="shared" si="7"/>
        <v>0</v>
      </c>
      <c r="AV24" s="121">
        <f t="shared" si="7"/>
        <v>0</v>
      </c>
      <c r="AW24" s="121">
        <f t="shared" si="7"/>
        <v>0</v>
      </c>
      <c r="AX24" s="121">
        <f t="shared" si="7"/>
        <v>0</v>
      </c>
      <c r="AY24" s="121">
        <f t="shared" si="7"/>
        <v>0</v>
      </c>
      <c r="AZ24" s="155">
        <f t="shared" si="5"/>
        <v>0</v>
      </c>
    </row>
    <row r="25" spans="1:52" x14ac:dyDescent="0.2"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21"/>
    </row>
    <row r="26" spans="1:52" x14ac:dyDescent="0.2">
      <c r="A26" s="177" t="s">
        <v>18</v>
      </c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</row>
    <row r="27" spans="1:52" x14ac:dyDescent="0.2">
      <c r="B27" s="149" t="s">
        <v>309</v>
      </c>
      <c r="C27" s="138">
        <v>0</v>
      </c>
      <c r="D27" s="138">
        <f>C$27-C$28+C$29</f>
        <v>11</v>
      </c>
      <c r="E27" s="138">
        <f t="shared" ref="E27:AY27" si="8">D27-D28+D29</f>
        <v>0</v>
      </c>
      <c r="F27" s="138">
        <f t="shared" si="8"/>
        <v>11</v>
      </c>
      <c r="G27" s="138">
        <f t="shared" si="8"/>
        <v>0</v>
      </c>
      <c r="H27" s="138">
        <f t="shared" si="8"/>
        <v>11</v>
      </c>
      <c r="I27" s="138">
        <f t="shared" si="8"/>
        <v>0</v>
      </c>
      <c r="J27" s="138">
        <f t="shared" si="8"/>
        <v>11</v>
      </c>
      <c r="K27" s="138">
        <f t="shared" si="8"/>
        <v>0</v>
      </c>
      <c r="L27" s="138">
        <f t="shared" si="8"/>
        <v>11</v>
      </c>
      <c r="M27" s="138">
        <f t="shared" si="8"/>
        <v>0</v>
      </c>
      <c r="N27" s="138">
        <f t="shared" si="8"/>
        <v>11</v>
      </c>
      <c r="O27" s="138">
        <f t="shared" si="8"/>
        <v>0</v>
      </c>
      <c r="P27" s="138">
        <f t="shared" si="8"/>
        <v>11</v>
      </c>
      <c r="Q27" s="138">
        <f t="shared" si="8"/>
        <v>0</v>
      </c>
      <c r="R27" s="138">
        <f t="shared" si="8"/>
        <v>11</v>
      </c>
      <c r="S27" s="138">
        <f t="shared" si="8"/>
        <v>0</v>
      </c>
      <c r="T27" s="138">
        <f t="shared" si="8"/>
        <v>11</v>
      </c>
      <c r="U27" s="138">
        <f t="shared" si="8"/>
        <v>0</v>
      </c>
      <c r="V27" s="138">
        <f t="shared" si="8"/>
        <v>11</v>
      </c>
      <c r="W27" s="138">
        <f t="shared" si="8"/>
        <v>0</v>
      </c>
      <c r="X27" s="138">
        <f t="shared" si="8"/>
        <v>11</v>
      </c>
      <c r="Y27" s="138">
        <f t="shared" si="8"/>
        <v>0</v>
      </c>
      <c r="Z27" s="138">
        <f t="shared" si="8"/>
        <v>11</v>
      </c>
      <c r="AA27" s="138">
        <f t="shared" si="8"/>
        <v>0</v>
      </c>
      <c r="AB27" s="138">
        <f t="shared" si="8"/>
        <v>11</v>
      </c>
      <c r="AC27" s="138">
        <f t="shared" si="8"/>
        <v>0</v>
      </c>
      <c r="AD27" s="138">
        <f t="shared" si="8"/>
        <v>11</v>
      </c>
      <c r="AE27" s="138">
        <f t="shared" si="8"/>
        <v>0</v>
      </c>
      <c r="AF27" s="138">
        <f t="shared" si="8"/>
        <v>11</v>
      </c>
      <c r="AG27" s="138">
        <f t="shared" si="8"/>
        <v>0</v>
      </c>
      <c r="AH27" s="138">
        <f t="shared" si="8"/>
        <v>11</v>
      </c>
      <c r="AI27" s="138">
        <f t="shared" si="8"/>
        <v>0</v>
      </c>
      <c r="AJ27" s="138">
        <f t="shared" si="8"/>
        <v>11</v>
      </c>
      <c r="AK27" s="138">
        <f t="shared" si="8"/>
        <v>0</v>
      </c>
      <c r="AL27" s="138">
        <f t="shared" si="8"/>
        <v>11</v>
      </c>
      <c r="AM27" s="138">
        <f t="shared" si="8"/>
        <v>11</v>
      </c>
      <c r="AN27" s="138">
        <f t="shared" si="8"/>
        <v>0</v>
      </c>
      <c r="AO27" s="138">
        <f t="shared" si="8"/>
        <v>11</v>
      </c>
      <c r="AP27" s="138">
        <f t="shared" si="8"/>
        <v>0</v>
      </c>
      <c r="AQ27" s="138">
        <f t="shared" si="8"/>
        <v>11</v>
      </c>
      <c r="AR27" s="138">
        <f t="shared" si="8"/>
        <v>0</v>
      </c>
      <c r="AS27" s="138">
        <f t="shared" si="8"/>
        <v>11</v>
      </c>
      <c r="AT27" s="138">
        <f t="shared" si="8"/>
        <v>0</v>
      </c>
      <c r="AU27" s="138">
        <f t="shared" si="8"/>
        <v>11</v>
      </c>
      <c r="AV27" s="138">
        <f t="shared" si="8"/>
        <v>0</v>
      </c>
      <c r="AW27" s="138">
        <f t="shared" si="8"/>
        <v>11</v>
      </c>
      <c r="AX27" s="138">
        <f t="shared" si="8"/>
        <v>0</v>
      </c>
      <c r="AY27" s="178">
        <f t="shared" si="8"/>
        <v>11</v>
      </c>
      <c r="AZ27" s="121"/>
    </row>
    <row r="28" spans="1:52" x14ac:dyDescent="0.2">
      <c r="B28" s="179" t="s">
        <v>310</v>
      </c>
      <c r="C28" s="125">
        <v>0</v>
      </c>
      <c r="D28" s="125">
        <v>11</v>
      </c>
      <c r="E28" s="125">
        <v>0</v>
      </c>
      <c r="F28" s="125">
        <v>11</v>
      </c>
      <c r="G28" s="125">
        <v>0</v>
      </c>
      <c r="H28" s="125">
        <v>11</v>
      </c>
      <c r="I28" s="125">
        <v>0</v>
      </c>
      <c r="J28" s="125">
        <v>11</v>
      </c>
      <c r="K28" s="125">
        <v>0</v>
      </c>
      <c r="L28" s="125">
        <v>11</v>
      </c>
      <c r="M28" s="125">
        <v>0</v>
      </c>
      <c r="N28" s="125">
        <v>11</v>
      </c>
      <c r="O28" s="125">
        <v>0</v>
      </c>
      <c r="P28" s="125">
        <v>11</v>
      </c>
      <c r="Q28" s="125">
        <v>0</v>
      </c>
      <c r="R28" s="125">
        <v>11</v>
      </c>
      <c r="S28" s="125">
        <v>0</v>
      </c>
      <c r="T28" s="125">
        <v>11</v>
      </c>
      <c r="U28" s="125">
        <v>0</v>
      </c>
      <c r="V28" s="125">
        <v>11</v>
      </c>
      <c r="W28" s="125">
        <v>0</v>
      </c>
      <c r="X28" s="125">
        <v>11</v>
      </c>
      <c r="Y28" s="125">
        <v>0</v>
      </c>
      <c r="Z28" s="125">
        <v>11</v>
      </c>
      <c r="AA28" s="125">
        <v>0</v>
      </c>
      <c r="AB28" s="125">
        <v>11</v>
      </c>
      <c r="AC28" s="125">
        <v>0</v>
      </c>
      <c r="AD28" s="125">
        <v>11</v>
      </c>
      <c r="AE28" s="125">
        <v>0</v>
      </c>
      <c r="AF28" s="125">
        <v>11</v>
      </c>
      <c r="AG28" s="125">
        <v>0</v>
      </c>
      <c r="AH28" s="125">
        <v>11</v>
      </c>
      <c r="AI28" s="125">
        <v>0</v>
      </c>
      <c r="AJ28" s="125">
        <v>11</v>
      </c>
      <c r="AK28" s="125">
        <v>0</v>
      </c>
      <c r="AL28" s="125">
        <v>0</v>
      </c>
      <c r="AM28" s="125">
        <v>11</v>
      </c>
      <c r="AN28" s="125">
        <v>0</v>
      </c>
      <c r="AO28" s="125">
        <v>11</v>
      </c>
      <c r="AP28" s="125">
        <v>0</v>
      </c>
      <c r="AQ28" s="125">
        <v>11</v>
      </c>
      <c r="AR28" s="125">
        <v>0</v>
      </c>
      <c r="AS28" s="125">
        <v>11</v>
      </c>
      <c r="AT28" s="125">
        <v>0</v>
      </c>
      <c r="AU28" s="125">
        <v>11</v>
      </c>
      <c r="AV28" s="125">
        <v>0</v>
      </c>
      <c r="AW28" s="125">
        <v>11</v>
      </c>
      <c r="AX28" s="125">
        <v>0</v>
      </c>
      <c r="AY28" s="180">
        <v>11</v>
      </c>
      <c r="AZ28" s="121"/>
    </row>
    <row r="29" spans="1:52" x14ac:dyDescent="0.2">
      <c r="B29" s="150" t="s">
        <v>311</v>
      </c>
      <c r="C29" s="139">
        <v>11</v>
      </c>
      <c r="D29" s="139">
        <f>C$28</f>
        <v>0</v>
      </c>
      <c r="E29" s="139">
        <f t="shared" ref="E29:AY29" si="9">D$28</f>
        <v>11</v>
      </c>
      <c r="F29" s="139">
        <f t="shared" si="9"/>
        <v>0</v>
      </c>
      <c r="G29" s="139">
        <f t="shared" si="9"/>
        <v>11</v>
      </c>
      <c r="H29" s="139">
        <f t="shared" si="9"/>
        <v>0</v>
      </c>
      <c r="I29" s="139">
        <f t="shared" si="9"/>
        <v>11</v>
      </c>
      <c r="J29" s="139">
        <f t="shared" si="9"/>
        <v>0</v>
      </c>
      <c r="K29" s="139">
        <f t="shared" si="9"/>
        <v>11</v>
      </c>
      <c r="L29" s="139">
        <f t="shared" si="9"/>
        <v>0</v>
      </c>
      <c r="M29" s="139">
        <f t="shared" si="9"/>
        <v>11</v>
      </c>
      <c r="N29" s="139">
        <f t="shared" si="9"/>
        <v>0</v>
      </c>
      <c r="O29" s="139">
        <f t="shared" si="9"/>
        <v>11</v>
      </c>
      <c r="P29" s="139">
        <f t="shared" si="9"/>
        <v>0</v>
      </c>
      <c r="Q29" s="139">
        <f t="shared" si="9"/>
        <v>11</v>
      </c>
      <c r="R29" s="139">
        <f t="shared" si="9"/>
        <v>0</v>
      </c>
      <c r="S29" s="139">
        <f t="shared" si="9"/>
        <v>11</v>
      </c>
      <c r="T29" s="139">
        <f t="shared" si="9"/>
        <v>0</v>
      </c>
      <c r="U29" s="139">
        <f t="shared" si="9"/>
        <v>11</v>
      </c>
      <c r="V29" s="139">
        <f t="shared" si="9"/>
        <v>0</v>
      </c>
      <c r="W29" s="139">
        <f t="shared" si="9"/>
        <v>11</v>
      </c>
      <c r="X29" s="139">
        <f t="shared" si="9"/>
        <v>0</v>
      </c>
      <c r="Y29" s="139">
        <f t="shared" si="9"/>
        <v>11</v>
      </c>
      <c r="Z29" s="139">
        <f t="shared" si="9"/>
        <v>0</v>
      </c>
      <c r="AA29" s="139">
        <f t="shared" si="9"/>
        <v>11</v>
      </c>
      <c r="AB29" s="139">
        <f t="shared" si="9"/>
        <v>0</v>
      </c>
      <c r="AC29" s="139">
        <f t="shared" si="9"/>
        <v>11</v>
      </c>
      <c r="AD29" s="139">
        <f t="shared" si="9"/>
        <v>0</v>
      </c>
      <c r="AE29" s="139">
        <f t="shared" si="9"/>
        <v>11</v>
      </c>
      <c r="AF29" s="139">
        <f t="shared" si="9"/>
        <v>0</v>
      </c>
      <c r="AG29" s="139">
        <f t="shared" si="9"/>
        <v>11</v>
      </c>
      <c r="AH29" s="139">
        <f t="shared" si="9"/>
        <v>0</v>
      </c>
      <c r="AI29" s="139">
        <f t="shared" si="9"/>
        <v>11</v>
      </c>
      <c r="AJ29" s="139">
        <f t="shared" si="9"/>
        <v>0</v>
      </c>
      <c r="AK29" s="139">
        <f t="shared" si="9"/>
        <v>11</v>
      </c>
      <c r="AL29" s="139">
        <f t="shared" si="9"/>
        <v>0</v>
      </c>
      <c r="AM29" s="139">
        <f t="shared" si="9"/>
        <v>0</v>
      </c>
      <c r="AN29" s="139">
        <f t="shared" si="9"/>
        <v>11</v>
      </c>
      <c r="AO29" s="139">
        <f t="shared" si="9"/>
        <v>0</v>
      </c>
      <c r="AP29" s="139">
        <f t="shared" si="9"/>
        <v>11</v>
      </c>
      <c r="AQ29" s="139">
        <f t="shared" si="9"/>
        <v>0</v>
      </c>
      <c r="AR29" s="139">
        <f t="shared" si="9"/>
        <v>11</v>
      </c>
      <c r="AS29" s="139">
        <f t="shared" si="9"/>
        <v>0</v>
      </c>
      <c r="AT29" s="139">
        <f t="shared" si="9"/>
        <v>11</v>
      </c>
      <c r="AU29" s="139">
        <f t="shared" si="9"/>
        <v>0</v>
      </c>
      <c r="AV29" s="139">
        <f t="shared" si="9"/>
        <v>11</v>
      </c>
      <c r="AW29" s="139">
        <f t="shared" si="9"/>
        <v>0</v>
      </c>
      <c r="AX29" s="139">
        <f t="shared" si="9"/>
        <v>11</v>
      </c>
      <c r="AY29" s="181">
        <f t="shared" si="9"/>
        <v>0</v>
      </c>
      <c r="AZ29" s="182"/>
    </row>
    <row r="30" spans="1:52" x14ac:dyDescent="0.2">
      <c r="A30" s="183" t="s">
        <v>312</v>
      </c>
      <c r="B30" s="158">
        <v>10</v>
      </c>
      <c r="C30" s="131" t="s">
        <v>293</v>
      </c>
      <c r="D30" s="131">
        <f>D$27*$B$30</f>
        <v>110</v>
      </c>
      <c r="E30" s="131">
        <f t="shared" ref="E30:AY30" si="10">E$27*$B$30</f>
        <v>0</v>
      </c>
      <c r="F30" s="131">
        <f t="shared" si="10"/>
        <v>110</v>
      </c>
      <c r="G30" s="131">
        <f t="shared" si="10"/>
        <v>0</v>
      </c>
      <c r="H30" s="131">
        <f t="shared" si="10"/>
        <v>110</v>
      </c>
      <c r="I30" s="131">
        <f t="shared" si="10"/>
        <v>0</v>
      </c>
      <c r="J30" s="131">
        <f t="shared" si="10"/>
        <v>110</v>
      </c>
      <c r="K30" s="131">
        <f t="shared" si="10"/>
        <v>0</v>
      </c>
      <c r="L30" s="131">
        <f t="shared" si="10"/>
        <v>110</v>
      </c>
      <c r="M30" s="131">
        <f t="shared" si="10"/>
        <v>0</v>
      </c>
      <c r="N30" s="131">
        <f t="shared" si="10"/>
        <v>110</v>
      </c>
      <c r="O30" s="131">
        <f t="shared" si="10"/>
        <v>0</v>
      </c>
      <c r="P30" s="131">
        <f t="shared" si="10"/>
        <v>110</v>
      </c>
      <c r="Q30" s="131">
        <f t="shared" si="10"/>
        <v>0</v>
      </c>
      <c r="R30" s="131">
        <f>R$27*$B$30</f>
        <v>110</v>
      </c>
      <c r="S30" s="131">
        <f t="shared" si="10"/>
        <v>0</v>
      </c>
      <c r="T30" s="131">
        <f t="shared" si="10"/>
        <v>110</v>
      </c>
      <c r="U30" s="131">
        <f t="shared" si="10"/>
        <v>0</v>
      </c>
      <c r="V30" s="131">
        <f t="shared" si="10"/>
        <v>110</v>
      </c>
      <c r="W30" s="131">
        <f t="shared" si="10"/>
        <v>0</v>
      </c>
      <c r="X30" s="131">
        <f t="shared" si="10"/>
        <v>110</v>
      </c>
      <c r="Y30" s="131">
        <f t="shared" si="10"/>
        <v>0</v>
      </c>
      <c r="Z30" s="131">
        <f t="shared" si="10"/>
        <v>110</v>
      </c>
      <c r="AA30" s="131">
        <f t="shared" si="10"/>
        <v>0</v>
      </c>
      <c r="AB30" s="131">
        <f t="shared" si="10"/>
        <v>110</v>
      </c>
      <c r="AC30" s="131">
        <f t="shared" si="10"/>
        <v>0</v>
      </c>
      <c r="AD30" s="131">
        <f t="shared" si="10"/>
        <v>110</v>
      </c>
      <c r="AE30" s="131">
        <f>AE$27*$B$30</f>
        <v>0</v>
      </c>
      <c r="AF30" s="131">
        <f t="shared" si="10"/>
        <v>110</v>
      </c>
      <c r="AG30" s="131">
        <f t="shared" si="10"/>
        <v>0</v>
      </c>
      <c r="AH30" s="131">
        <f t="shared" si="10"/>
        <v>110</v>
      </c>
      <c r="AI30" s="131">
        <f t="shared" si="10"/>
        <v>0</v>
      </c>
      <c r="AJ30" s="131">
        <f t="shared" si="10"/>
        <v>110</v>
      </c>
      <c r="AK30" s="131">
        <f t="shared" si="10"/>
        <v>0</v>
      </c>
      <c r="AL30" s="131">
        <f t="shared" si="10"/>
        <v>110</v>
      </c>
      <c r="AM30" s="131">
        <f t="shared" si="10"/>
        <v>110</v>
      </c>
      <c r="AN30" s="131">
        <f t="shared" si="10"/>
        <v>0</v>
      </c>
      <c r="AO30" s="131">
        <f t="shared" si="10"/>
        <v>110</v>
      </c>
      <c r="AP30" s="131">
        <f t="shared" si="10"/>
        <v>0</v>
      </c>
      <c r="AQ30" s="131">
        <f t="shared" si="10"/>
        <v>110</v>
      </c>
      <c r="AR30" s="131">
        <f t="shared" si="10"/>
        <v>0</v>
      </c>
      <c r="AS30" s="131">
        <f t="shared" si="10"/>
        <v>110</v>
      </c>
      <c r="AT30" s="131">
        <f t="shared" si="10"/>
        <v>0</v>
      </c>
      <c r="AU30" s="131">
        <f t="shared" si="10"/>
        <v>110</v>
      </c>
      <c r="AV30" s="131">
        <f t="shared" si="10"/>
        <v>0</v>
      </c>
      <c r="AW30" s="131">
        <f t="shared" si="10"/>
        <v>110</v>
      </c>
      <c r="AX30" s="131">
        <f t="shared" si="10"/>
        <v>0</v>
      </c>
      <c r="AY30" s="131">
        <f t="shared" si="10"/>
        <v>110</v>
      </c>
      <c r="AZ30" s="155">
        <f t="shared" si="5"/>
        <v>2750</v>
      </c>
    </row>
    <row r="32" spans="1:52" x14ac:dyDescent="0.2">
      <c r="A32" s="1" t="s">
        <v>300</v>
      </c>
    </row>
    <row r="33" spans="1:52" x14ac:dyDescent="0.2">
      <c r="A33" s="149" t="s">
        <v>22</v>
      </c>
      <c r="B33" s="149" t="s">
        <v>341</v>
      </c>
      <c r="C33" s="138"/>
      <c r="D33" s="138">
        <f>D$21*shipping_manufacturing!$D$27/100</f>
        <v>0</v>
      </c>
      <c r="E33" s="138">
        <f>E$21*shipping_manufacturing!$D$27/100</f>
        <v>0</v>
      </c>
      <c r="F33" s="138">
        <f>F$21*shipping_manufacturing!$D$27/100</f>
        <v>0</v>
      </c>
      <c r="G33" s="138">
        <f>G$21*shipping_manufacturing!$D$27/100</f>
        <v>0</v>
      </c>
      <c r="H33" s="138">
        <f>H$21*shipping_manufacturing!$D$27/100</f>
        <v>0</v>
      </c>
      <c r="I33" s="138">
        <f>I$21*shipping_manufacturing!$D$27/100</f>
        <v>0</v>
      </c>
      <c r="J33" s="138">
        <f>J$21*shipping_manufacturing!$D$27/100</f>
        <v>0</v>
      </c>
      <c r="K33" s="138">
        <f>K$21*shipping_manufacturing!$D$27/100</f>
        <v>0</v>
      </c>
      <c r="L33" s="138">
        <f>L$21*shipping_manufacturing!$D$27/100</f>
        <v>0</v>
      </c>
      <c r="M33" s="138">
        <f>M$21*shipping_manufacturing!$D$27/100</f>
        <v>0</v>
      </c>
      <c r="N33" s="138">
        <f>N$21*shipping_manufacturing!$D$27/100</f>
        <v>0</v>
      </c>
      <c r="O33" s="138">
        <f>O$21*shipping_manufacturing!$D$27/100</f>
        <v>0</v>
      </c>
      <c r="P33" s="138">
        <f>P$21*shipping_manufacturing!$D$27/100</f>
        <v>0</v>
      </c>
      <c r="Q33" s="138">
        <f>Q$21*shipping_manufacturing!$D$27/100</f>
        <v>0</v>
      </c>
      <c r="R33" s="138">
        <f>R$21*shipping_manufacturing!$D$27/100</f>
        <v>0</v>
      </c>
      <c r="S33" s="138">
        <f>S$21*shipping_manufacturing!$D$27/100</f>
        <v>0</v>
      </c>
      <c r="T33" s="138">
        <f>T$21*shipping_manufacturing!$D$27/100</f>
        <v>0</v>
      </c>
      <c r="U33" s="138">
        <f>U$21*shipping_manufacturing!$D$27/100</f>
        <v>0</v>
      </c>
      <c r="V33" s="138">
        <f>V$21*shipping_manufacturing!$D$27/100</f>
        <v>0</v>
      </c>
      <c r="W33" s="138">
        <f>W$21*shipping_manufacturing!$D$27/100</f>
        <v>0</v>
      </c>
      <c r="X33" s="138">
        <f>X$21*shipping_manufacturing!$D$27/100</f>
        <v>0</v>
      </c>
      <c r="Y33" s="138">
        <f>Y$21*shipping_manufacturing!$D$27/100</f>
        <v>0</v>
      </c>
      <c r="Z33" s="138">
        <f>Z$21*shipping_manufacturing!$D$27/100</f>
        <v>0</v>
      </c>
      <c r="AA33" s="138">
        <f>AA$21*shipping_manufacturing!$D$27/100</f>
        <v>0</v>
      </c>
      <c r="AB33" s="138">
        <f>AB$21*shipping_manufacturing!$D$27/100</f>
        <v>0</v>
      </c>
      <c r="AC33" s="138">
        <f>AC$21*shipping_manufacturing!$D$27/100</f>
        <v>0</v>
      </c>
      <c r="AD33" s="138">
        <f>AD$21*shipping_manufacturing!$D$27/100</f>
        <v>0</v>
      </c>
      <c r="AE33" s="138">
        <f>AE$21*shipping_manufacturing!$D$27/100</f>
        <v>0</v>
      </c>
      <c r="AF33" s="138">
        <f>AF$21*shipping_manufacturing!$D$27/100</f>
        <v>0</v>
      </c>
      <c r="AG33" s="138">
        <f>AG$21*shipping_manufacturing!$D$27/100</f>
        <v>0</v>
      </c>
      <c r="AH33" s="138">
        <f>AH$21*shipping_manufacturing!$D$27/100</f>
        <v>0</v>
      </c>
      <c r="AI33" s="138">
        <f>AI$21*shipping_manufacturing!$D$27/100</f>
        <v>0</v>
      </c>
      <c r="AJ33" s="138">
        <f>AJ$21*shipping_manufacturing!$D$27/100</f>
        <v>0</v>
      </c>
      <c r="AK33" s="138">
        <f>AK$21*shipping_manufacturing!$D$27/100</f>
        <v>0</v>
      </c>
      <c r="AL33" s="138">
        <f>AL$21*shipping_manufacturing!$D$27/100</f>
        <v>0</v>
      </c>
      <c r="AM33" s="138">
        <f>AM$21*shipping_manufacturing!$D$27/100</f>
        <v>0</v>
      </c>
      <c r="AN33" s="138">
        <f>AN$21*shipping_manufacturing!$D$27/100</f>
        <v>0</v>
      </c>
      <c r="AO33" s="138">
        <f>AO$21*shipping_manufacturing!$D$27/100</f>
        <v>0</v>
      </c>
      <c r="AP33" s="138">
        <f>AP$21*shipping_manufacturing!$D$27/100</f>
        <v>0</v>
      </c>
      <c r="AQ33" s="138">
        <f>AQ$21*shipping_manufacturing!$D$27/100</f>
        <v>0</v>
      </c>
      <c r="AR33" s="138">
        <f>AR$21*shipping_manufacturing!$D$27/100</f>
        <v>0</v>
      </c>
      <c r="AS33" s="138">
        <f>AS$21*shipping_manufacturing!$D$27/100</f>
        <v>0</v>
      </c>
      <c r="AT33" s="138">
        <f>AT$21*shipping_manufacturing!$D$27/100</f>
        <v>0</v>
      </c>
      <c r="AU33" s="138">
        <f>AU$21*shipping_manufacturing!$D$27/100</f>
        <v>0</v>
      </c>
      <c r="AV33" s="138">
        <f>AV$21*shipping_manufacturing!$D$27/100</f>
        <v>0</v>
      </c>
      <c r="AW33" s="138">
        <f>AW$21*shipping_manufacturing!$D$27/100</f>
        <v>0</v>
      </c>
      <c r="AX33" s="138">
        <f>AX$21*shipping_manufacturing!$D$27/100</f>
        <v>0</v>
      </c>
      <c r="AY33" s="138">
        <f>AY$21*shipping_manufacturing!$D$27/100</f>
        <v>0</v>
      </c>
    </row>
    <row r="34" spans="1:52" x14ac:dyDescent="0.2">
      <c r="A34" s="127" t="s">
        <v>340</v>
      </c>
      <c r="B34" s="179" t="s">
        <v>342</v>
      </c>
      <c r="C34" s="125"/>
      <c r="D34" s="125">
        <f>D$22*shipping_manufacturing!$E$27/100</f>
        <v>0</v>
      </c>
      <c r="E34" s="125">
        <f>E$22*shipping_manufacturing!$E$27/100</f>
        <v>0</v>
      </c>
      <c r="F34" s="125">
        <f>F$22*shipping_manufacturing!$E$27/100</f>
        <v>0</v>
      </c>
      <c r="G34" s="125">
        <f>G$22*shipping_manufacturing!$E$27/100</f>
        <v>0</v>
      </c>
      <c r="H34" s="125">
        <f>H$22*shipping_manufacturing!$E$27/100</f>
        <v>0</v>
      </c>
      <c r="I34" s="125">
        <f>I$22*shipping_manufacturing!$E$27/100</f>
        <v>0</v>
      </c>
      <c r="J34" s="125">
        <f>J$22*shipping_manufacturing!$E$27/100</f>
        <v>0</v>
      </c>
      <c r="K34" s="125">
        <f>K$22*shipping_manufacturing!$E$27/100</f>
        <v>0</v>
      </c>
      <c r="L34" s="125">
        <f>L$22*shipping_manufacturing!$E$27/100</f>
        <v>0</v>
      </c>
      <c r="M34" s="125">
        <f>M$22*shipping_manufacturing!$E$27/100</f>
        <v>0</v>
      </c>
      <c r="N34" s="125">
        <f>N$22*shipping_manufacturing!$E$27/100</f>
        <v>0</v>
      </c>
      <c r="O34" s="125">
        <f>O$22*shipping_manufacturing!$E$27/100</f>
        <v>0</v>
      </c>
      <c r="P34" s="125">
        <f>P$22*shipping_manufacturing!$E$27/100</f>
        <v>0</v>
      </c>
      <c r="Q34" s="125">
        <f>Q$22*shipping_manufacturing!$E$27/100</f>
        <v>0</v>
      </c>
      <c r="R34" s="125">
        <f>R$22*shipping_manufacturing!$E$27/100</f>
        <v>0</v>
      </c>
      <c r="S34" s="125">
        <f>S$22*shipping_manufacturing!$E$27/100</f>
        <v>0</v>
      </c>
      <c r="T34" s="125">
        <f>T$22*shipping_manufacturing!$E$27/100</f>
        <v>0</v>
      </c>
      <c r="U34" s="125">
        <f>U$22*shipping_manufacturing!$E$27/100</f>
        <v>0</v>
      </c>
      <c r="V34" s="125">
        <f>V$22*shipping_manufacturing!$E$27/100</f>
        <v>0</v>
      </c>
      <c r="W34" s="125">
        <f>W$22*shipping_manufacturing!$E$27/100</f>
        <v>0</v>
      </c>
      <c r="X34" s="125">
        <f>X$22*shipping_manufacturing!$E$27/100</f>
        <v>0</v>
      </c>
      <c r="Y34" s="125">
        <f>Y$22*shipping_manufacturing!$E$27/100</f>
        <v>0</v>
      </c>
      <c r="Z34" s="125">
        <f>Z$22*shipping_manufacturing!$E$27/100</f>
        <v>0</v>
      </c>
      <c r="AA34" s="125">
        <f>AA$22*shipping_manufacturing!$E$27/100</f>
        <v>0</v>
      </c>
      <c r="AB34" s="125">
        <f>AB$22*shipping_manufacturing!$E$27/100</f>
        <v>0</v>
      </c>
      <c r="AC34" s="125">
        <f>AC$22*shipping_manufacturing!$E$27/100</f>
        <v>0</v>
      </c>
      <c r="AD34" s="125">
        <f>AD$22*shipping_manufacturing!$E$27/100</f>
        <v>0</v>
      </c>
      <c r="AE34" s="125">
        <f>AE$22*shipping_manufacturing!$E$27/100</f>
        <v>0</v>
      </c>
      <c r="AF34" s="125">
        <f>AF$22*shipping_manufacturing!$E$27/100</f>
        <v>0</v>
      </c>
      <c r="AG34" s="125">
        <f>AG$22*shipping_manufacturing!$E$27/100</f>
        <v>0</v>
      </c>
      <c r="AH34" s="125">
        <f>AH$22*shipping_manufacturing!$E$27/100</f>
        <v>0</v>
      </c>
      <c r="AI34" s="125">
        <f>AI$22*shipping_manufacturing!$E$27/100</f>
        <v>0</v>
      </c>
      <c r="AJ34" s="125">
        <f>AJ$22*shipping_manufacturing!$E$27/100</f>
        <v>0</v>
      </c>
      <c r="AK34" s="125">
        <f>AK$22*shipping_manufacturing!$E$27/100</f>
        <v>0</v>
      </c>
      <c r="AL34" s="125">
        <f>AL$22*shipping_manufacturing!$E$27/100</f>
        <v>0</v>
      </c>
      <c r="AM34" s="125">
        <f>AM$22*shipping_manufacturing!$E$27/100</f>
        <v>0</v>
      </c>
      <c r="AN34" s="125">
        <f>AN$22*shipping_manufacturing!$E$27/100</f>
        <v>0</v>
      </c>
      <c r="AO34" s="125">
        <f>AO$22*shipping_manufacturing!$E$27/100</f>
        <v>0</v>
      </c>
      <c r="AP34" s="125">
        <f>AP$22*shipping_manufacturing!$E$27/100</f>
        <v>0</v>
      </c>
      <c r="AQ34" s="125">
        <f>AQ$22*shipping_manufacturing!$E$27/100</f>
        <v>0</v>
      </c>
      <c r="AR34" s="125">
        <f>AR$22*shipping_manufacturing!$E$27/100</f>
        <v>0</v>
      </c>
      <c r="AS34" s="125">
        <f>AS$22*shipping_manufacturing!$E$27/100</f>
        <v>0</v>
      </c>
      <c r="AT34" s="125">
        <f>AT$22*shipping_manufacturing!$E$27/100</f>
        <v>0</v>
      </c>
      <c r="AU34" s="125">
        <f>AU$22*shipping_manufacturing!$E$27/100</f>
        <v>0</v>
      </c>
      <c r="AV34" s="125">
        <f>AV$22*shipping_manufacturing!$E$27/100</f>
        <v>0</v>
      </c>
      <c r="AW34" s="125">
        <f>AW$22*shipping_manufacturing!$E$27/100</f>
        <v>0</v>
      </c>
      <c r="AX34" s="125">
        <f>AX$22*shipping_manufacturing!$E$27/100</f>
        <v>0</v>
      </c>
      <c r="AY34" s="125">
        <f>AY$22*shipping_manufacturing!$E$27/100</f>
        <v>0</v>
      </c>
    </row>
    <row r="35" spans="1:52" x14ac:dyDescent="0.2">
      <c r="A35" s="125">
        <v>1335</v>
      </c>
      <c r="B35" s="179" t="s">
        <v>343</v>
      </c>
      <c r="C35" s="125"/>
      <c r="D35" s="125">
        <f>SUM(D33:D34)</f>
        <v>0</v>
      </c>
      <c r="E35" s="125">
        <f t="shared" ref="E35:AY35" si="11">SUM(E33:E34)</f>
        <v>0</v>
      </c>
      <c r="F35" s="125">
        <f t="shared" si="11"/>
        <v>0</v>
      </c>
      <c r="G35" s="125">
        <f t="shared" si="11"/>
        <v>0</v>
      </c>
      <c r="H35" s="125">
        <f t="shared" si="11"/>
        <v>0</v>
      </c>
      <c r="I35" s="125">
        <f t="shared" si="11"/>
        <v>0</v>
      </c>
      <c r="J35" s="125">
        <f t="shared" si="11"/>
        <v>0</v>
      </c>
      <c r="K35" s="125">
        <f t="shared" si="11"/>
        <v>0</v>
      </c>
      <c r="L35" s="125">
        <f t="shared" si="11"/>
        <v>0</v>
      </c>
      <c r="M35" s="125">
        <f t="shared" si="11"/>
        <v>0</v>
      </c>
      <c r="N35" s="125">
        <f t="shared" si="11"/>
        <v>0</v>
      </c>
      <c r="O35" s="125">
        <f t="shared" si="11"/>
        <v>0</v>
      </c>
      <c r="P35" s="125">
        <f t="shared" si="11"/>
        <v>0</v>
      </c>
      <c r="Q35" s="125">
        <f t="shared" si="11"/>
        <v>0</v>
      </c>
      <c r="R35" s="125">
        <f t="shared" si="11"/>
        <v>0</v>
      </c>
      <c r="S35" s="125">
        <f t="shared" si="11"/>
        <v>0</v>
      </c>
      <c r="T35" s="125">
        <f t="shared" si="11"/>
        <v>0</v>
      </c>
      <c r="U35" s="125">
        <f t="shared" si="11"/>
        <v>0</v>
      </c>
      <c r="V35" s="125">
        <f t="shared" si="11"/>
        <v>0</v>
      </c>
      <c r="W35" s="125">
        <f t="shared" si="11"/>
        <v>0</v>
      </c>
      <c r="X35" s="125">
        <f t="shared" si="11"/>
        <v>0</v>
      </c>
      <c r="Y35" s="125">
        <f t="shared" si="11"/>
        <v>0</v>
      </c>
      <c r="Z35" s="125">
        <f t="shared" si="11"/>
        <v>0</v>
      </c>
      <c r="AA35" s="125">
        <f t="shared" si="11"/>
        <v>0</v>
      </c>
      <c r="AB35" s="125">
        <f t="shared" si="11"/>
        <v>0</v>
      </c>
      <c r="AC35" s="125">
        <f t="shared" si="11"/>
        <v>0</v>
      </c>
      <c r="AD35" s="125">
        <f t="shared" si="11"/>
        <v>0</v>
      </c>
      <c r="AE35" s="125">
        <f t="shared" si="11"/>
        <v>0</v>
      </c>
      <c r="AF35" s="125">
        <f t="shared" si="11"/>
        <v>0</v>
      </c>
      <c r="AG35" s="125">
        <f t="shared" si="11"/>
        <v>0</v>
      </c>
      <c r="AH35" s="125">
        <f t="shared" si="11"/>
        <v>0</v>
      </c>
      <c r="AI35" s="125">
        <f t="shared" si="11"/>
        <v>0</v>
      </c>
      <c r="AJ35" s="125">
        <f t="shared" si="11"/>
        <v>0</v>
      </c>
      <c r="AK35" s="125">
        <f t="shared" si="11"/>
        <v>0</v>
      </c>
      <c r="AL35" s="125">
        <f t="shared" si="11"/>
        <v>0</v>
      </c>
      <c r="AM35" s="125">
        <f t="shared" si="11"/>
        <v>0</v>
      </c>
      <c r="AN35" s="125">
        <f t="shared" si="11"/>
        <v>0</v>
      </c>
      <c r="AO35" s="125">
        <f t="shared" si="11"/>
        <v>0</v>
      </c>
      <c r="AP35" s="125">
        <f t="shared" si="11"/>
        <v>0</v>
      </c>
      <c r="AQ35" s="125">
        <f t="shared" si="11"/>
        <v>0</v>
      </c>
      <c r="AR35" s="125">
        <f t="shared" si="11"/>
        <v>0</v>
      </c>
      <c r="AS35" s="125">
        <f t="shared" si="11"/>
        <v>0</v>
      </c>
      <c r="AT35" s="125">
        <f t="shared" si="11"/>
        <v>0</v>
      </c>
      <c r="AU35" s="125">
        <f t="shared" si="11"/>
        <v>0</v>
      </c>
      <c r="AV35" s="125">
        <f t="shared" si="11"/>
        <v>0</v>
      </c>
      <c r="AW35" s="125">
        <f t="shared" si="11"/>
        <v>0</v>
      </c>
      <c r="AX35" s="125">
        <f t="shared" si="11"/>
        <v>0</v>
      </c>
      <c r="AY35" s="125">
        <f t="shared" si="11"/>
        <v>0</v>
      </c>
    </row>
    <row r="36" spans="1:52" x14ac:dyDescent="0.2">
      <c r="A36" s="125"/>
      <c r="B36" s="179" t="s">
        <v>344</v>
      </c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</row>
    <row r="37" spans="1:52" x14ac:dyDescent="0.2">
      <c r="A37" s="125"/>
      <c r="B37" s="179" t="s">
        <v>345</v>
      </c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</row>
    <row r="38" spans="1:52" x14ac:dyDescent="0.2">
      <c r="A38" s="125"/>
      <c r="B38" s="179" t="s">
        <v>346</v>
      </c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</row>
    <row r="39" spans="1:52" x14ac:dyDescent="0.2">
      <c r="A39" s="125"/>
      <c r="B39" s="179" t="s">
        <v>347</v>
      </c>
      <c r="C39" s="125"/>
      <c r="D39" s="125">
        <f>D33-D36</f>
        <v>0</v>
      </c>
      <c r="E39" s="125">
        <f t="shared" ref="E39:AY39" si="12">E33-E36</f>
        <v>0</v>
      </c>
      <c r="F39" s="125">
        <f t="shared" si="12"/>
        <v>0</v>
      </c>
      <c r="G39" s="125">
        <f t="shared" si="12"/>
        <v>0</v>
      </c>
      <c r="H39" s="125">
        <f t="shared" si="12"/>
        <v>0</v>
      </c>
      <c r="I39" s="125">
        <f t="shared" si="12"/>
        <v>0</v>
      </c>
      <c r="J39" s="125">
        <f t="shared" si="12"/>
        <v>0</v>
      </c>
      <c r="K39" s="125">
        <f t="shared" si="12"/>
        <v>0</v>
      </c>
      <c r="L39" s="125">
        <f t="shared" si="12"/>
        <v>0</v>
      </c>
      <c r="M39" s="125">
        <f t="shared" si="12"/>
        <v>0</v>
      </c>
      <c r="N39" s="125">
        <f t="shared" si="12"/>
        <v>0</v>
      </c>
      <c r="O39" s="125">
        <f t="shared" si="12"/>
        <v>0</v>
      </c>
      <c r="P39" s="125">
        <f t="shared" si="12"/>
        <v>0</v>
      </c>
      <c r="Q39" s="125">
        <f t="shared" si="12"/>
        <v>0</v>
      </c>
      <c r="R39" s="125">
        <f t="shared" si="12"/>
        <v>0</v>
      </c>
      <c r="S39" s="125">
        <f t="shared" si="12"/>
        <v>0</v>
      </c>
      <c r="T39" s="125">
        <f t="shared" si="12"/>
        <v>0</v>
      </c>
      <c r="U39" s="125">
        <f t="shared" si="12"/>
        <v>0</v>
      </c>
      <c r="V39" s="125">
        <f t="shared" si="12"/>
        <v>0</v>
      </c>
      <c r="W39" s="125">
        <f t="shared" si="12"/>
        <v>0</v>
      </c>
      <c r="X39" s="125">
        <f t="shared" si="12"/>
        <v>0</v>
      </c>
      <c r="Y39" s="125">
        <f t="shared" si="12"/>
        <v>0</v>
      </c>
      <c r="Z39" s="125">
        <f t="shared" si="12"/>
        <v>0</v>
      </c>
      <c r="AA39" s="125">
        <f t="shared" si="12"/>
        <v>0</v>
      </c>
      <c r="AB39" s="125">
        <f t="shared" si="12"/>
        <v>0</v>
      </c>
      <c r="AC39" s="125">
        <f t="shared" si="12"/>
        <v>0</v>
      </c>
      <c r="AD39" s="125">
        <f t="shared" si="12"/>
        <v>0</v>
      </c>
      <c r="AE39" s="125">
        <f t="shared" si="12"/>
        <v>0</v>
      </c>
      <c r="AF39" s="125">
        <f t="shared" si="12"/>
        <v>0</v>
      </c>
      <c r="AG39" s="125">
        <f t="shared" si="12"/>
        <v>0</v>
      </c>
      <c r="AH39" s="125">
        <f t="shared" si="12"/>
        <v>0</v>
      </c>
      <c r="AI39" s="125">
        <f t="shared" si="12"/>
        <v>0</v>
      </c>
      <c r="AJ39" s="125">
        <f t="shared" si="12"/>
        <v>0</v>
      </c>
      <c r="AK39" s="125">
        <f t="shared" si="12"/>
        <v>0</v>
      </c>
      <c r="AL39" s="125">
        <f t="shared" si="12"/>
        <v>0</v>
      </c>
      <c r="AM39" s="125">
        <f t="shared" si="12"/>
        <v>0</v>
      </c>
      <c r="AN39" s="125">
        <f t="shared" si="12"/>
        <v>0</v>
      </c>
      <c r="AO39" s="125">
        <f t="shared" si="12"/>
        <v>0</v>
      </c>
      <c r="AP39" s="125">
        <f t="shared" si="12"/>
        <v>0</v>
      </c>
      <c r="AQ39" s="125">
        <f t="shared" si="12"/>
        <v>0</v>
      </c>
      <c r="AR39" s="125">
        <f t="shared" si="12"/>
        <v>0</v>
      </c>
      <c r="AS39" s="125">
        <f t="shared" si="12"/>
        <v>0</v>
      </c>
      <c r="AT39" s="125">
        <f t="shared" si="12"/>
        <v>0</v>
      </c>
      <c r="AU39" s="125">
        <f t="shared" si="12"/>
        <v>0</v>
      </c>
      <c r="AV39" s="125">
        <f t="shared" si="12"/>
        <v>0</v>
      </c>
      <c r="AW39" s="125">
        <f t="shared" si="12"/>
        <v>0</v>
      </c>
      <c r="AX39" s="125">
        <f t="shared" si="12"/>
        <v>0</v>
      </c>
      <c r="AY39" s="125">
        <f t="shared" si="12"/>
        <v>0</v>
      </c>
    </row>
    <row r="40" spans="1:52" x14ac:dyDescent="0.2">
      <c r="A40" s="125"/>
      <c r="B40" s="179" t="s">
        <v>348</v>
      </c>
      <c r="C40" s="125"/>
      <c r="D40" s="125">
        <f>D34-D37</f>
        <v>0</v>
      </c>
      <c r="E40" s="125">
        <f t="shared" ref="E40:AY40" si="13">E34-E37</f>
        <v>0</v>
      </c>
      <c r="F40" s="125">
        <f t="shared" si="13"/>
        <v>0</v>
      </c>
      <c r="G40" s="125">
        <f t="shared" si="13"/>
        <v>0</v>
      </c>
      <c r="H40" s="125">
        <f t="shared" si="13"/>
        <v>0</v>
      </c>
      <c r="I40" s="125">
        <f t="shared" si="13"/>
        <v>0</v>
      </c>
      <c r="J40" s="125">
        <f t="shared" si="13"/>
        <v>0</v>
      </c>
      <c r="K40" s="125">
        <f t="shared" si="13"/>
        <v>0</v>
      </c>
      <c r="L40" s="125">
        <f t="shared" si="13"/>
        <v>0</v>
      </c>
      <c r="M40" s="125">
        <f t="shared" si="13"/>
        <v>0</v>
      </c>
      <c r="N40" s="125">
        <f t="shared" si="13"/>
        <v>0</v>
      </c>
      <c r="O40" s="125">
        <f t="shared" si="13"/>
        <v>0</v>
      </c>
      <c r="P40" s="125">
        <f t="shared" si="13"/>
        <v>0</v>
      </c>
      <c r="Q40" s="125">
        <f t="shared" si="13"/>
        <v>0</v>
      </c>
      <c r="R40" s="125">
        <f t="shared" si="13"/>
        <v>0</v>
      </c>
      <c r="S40" s="125">
        <f t="shared" si="13"/>
        <v>0</v>
      </c>
      <c r="T40" s="125">
        <f t="shared" si="13"/>
        <v>0</v>
      </c>
      <c r="U40" s="125">
        <f t="shared" si="13"/>
        <v>0</v>
      </c>
      <c r="V40" s="125">
        <f t="shared" si="13"/>
        <v>0</v>
      </c>
      <c r="W40" s="125">
        <f t="shared" si="13"/>
        <v>0</v>
      </c>
      <c r="X40" s="125">
        <f t="shared" si="13"/>
        <v>0</v>
      </c>
      <c r="Y40" s="125">
        <f t="shared" si="13"/>
        <v>0</v>
      </c>
      <c r="Z40" s="125">
        <f t="shared" si="13"/>
        <v>0</v>
      </c>
      <c r="AA40" s="125">
        <f t="shared" si="13"/>
        <v>0</v>
      </c>
      <c r="AB40" s="125">
        <f t="shared" si="13"/>
        <v>0</v>
      </c>
      <c r="AC40" s="125">
        <f t="shared" si="13"/>
        <v>0</v>
      </c>
      <c r="AD40" s="125">
        <f t="shared" si="13"/>
        <v>0</v>
      </c>
      <c r="AE40" s="125">
        <f t="shared" si="13"/>
        <v>0</v>
      </c>
      <c r="AF40" s="125">
        <f t="shared" si="13"/>
        <v>0</v>
      </c>
      <c r="AG40" s="125">
        <f t="shared" si="13"/>
        <v>0</v>
      </c>
      <c r="AH40" s="125">
        <f t="shared" si="13"/>
        <v>0</v>
      </c>
      <c r="AI40" s="125">
        <f t="shared" si="13"/>
        <v>0</v>
      </c>
      <c r="AJ40" s="125">
        <f t="shared" si="13"/>
        <v>0</v>
      </c>
      <c r="AK40" s="125">
        <f t="shared" si="13"/>
        <v>0</v>
      </c>
      <c r="AL40" s="125">
        <f t="shared" si="13"/>
        <v>0</v>
      </c>
      <c r="AM40" s="125">
        <f t="shared" si="13"/>
        <v>0</v>
      </c>
      <c r="AN40" s="125">
        <f t="shared" si="13"/>
        <v>0</v>
      </c>
      <c r="AO40" s="125">
        <f t="shared" si="13"/>
        <v>0</v>
      </c>
      <c r="AP40" s="125">
        <f t="shared" si="13"/>
        <v>0</v>
      </c>
      <c r="AQ40" s="125">
        <f t="shared" si="13"/>
        <v>0</v>
      </c>
      <c r="AR40" s="125">
        <f t="shared" si="13"/>
        <v>0</v>
      </c>
      <c r="AS40" s="125">
        <f t="shared" si="13"/>
        <v>0</v>
      </c>
      <c r="AT40" s="125">
        <f t="shared" si="13"/>
        <v>0</v>
      </c>
      <c r="AU40" s="125">
        <f t="shared" si="13"/>
        <v>0</v>
      </c>
      <c r="AV40" s="125">
        <f t="shared" si="13"/>
        <v>0</v>
      </c>
      <c r="AW40" s="125">
        <f t="shared" si="13"/>
        <v>0</v>
      </c>
      <c r="AX40" s="125">
        <f t="shared" si="13"/>
        <v>0</v>
      </c>
      <c r="AY40" s="125">
        <f t="shared" si="13"/>
        <v>0</v>
      </c>
    </row>
    <row r="41" spans="1:52" x14ac:dyDescent="0.2">
      <c r="A41" s="125"/>
      <c r="B41" s="179" t="s">
        <v>349</v>
      </c>
      <c r="C41" s="125"/>
      <c r="D41" s="125">
        <v>2</v>
      </c>
      <c r="E41" s="125">
        <v>1</v>
      </c>
      <c r="F41" s="125">
        <v>1</v>
      </c>
      <c r="G41" s="125">
        <v>1</v>
      </c>
      <c r="H41" s="125">
        <v>1</v>
      </c>
      <c r="I41" s="125">
        <v>1</v>
      </c>
      <c r="J41" s="125">
        <v>1</v>
      </c>
      <c r="K41" s="125">
        <v>1</v>
      </c>
      <c r="L41" s="125">
        <v>1</v>
      </c>
      <c r="M41" s="125">
        <v>2</v>
      </c>
      <c r="N41" s="125">
        <v>1</v>
      </c>
      <c r="O41" s="125">
        <v>2</v>
      </c>
      <c r="P41" s="125">
        <v>3</v>
      </c>
      <c r="Q41" s="125">
        <v>1</v>
      </c>
      <c r="R41" s="125">
        <v>3</v>
      </c>
      <c r="S41" s="125">
        <v>1</v>
      </c>
      <c r="T41" s="125">
        <v>1</v>
      </c>
      <c r="U41" s="125">
        <v>1</v>
      </c>
      <c r="V41" s="125">
        <v>3</v>
      </c>
      <c r="W41" s="125">
        <v>2</v>
      </c>
      <c r="X41" s="125">
        <v>1</v>
      </c>
      <c r="Y41" s="125">
        <v>3</v>
      </c>
      <c r="Z41" s="125">
        <v>1</v>
      </c>
      <c r="AA41" s="125">
        <v>1</v>
      </c>
      <c r="AB41" s="125">
        <v>1</v>
      </c>
      <c r="AC41" s="125">
        <v>1</v>
      </c>
      <c r="AD41" s="125">
        <v>1</v>
      </c>
      <c r="AE41" s="125">
        <v>1</v>
      </c>
      <c r="AF41" s="125">
        <v>1</v>
      </c>
      <c r="AG41" s="125">
        <v>2</v>
      </c>
      <c r="AH41" s="125">
        <v>1</v>
      </c>
      <c r="AI41" s="125">
        <v>1</v>
      </c>
      <c r="AJ41" s="125">
        <v>2</v>
      </c>
      <c r="AK41" s="125">
        <v>1</v>
      </c>
      <c r="AL41" s="125">
        <v>1</v>
      </c>
      <c r="AM41" s="125">
        <v>1</v>
      </c>
      <c r="AN41" s="125">
        <v>1</v>
      </c>
      <c r="AO41" s="125">
        <v>3</v>
      </c>
      <c r="AP41" s="125">
        <v>1</v>
      </c>
      <c r="AQ41" s="125">
        <v>1</v>
      </c>
      <c r="AR41" s="125">
        <v>2</v>
      </c>
      <c r="AS41" s="125">
        <v>3</v>
      </c>
      <c r="AT41" s="125">
        <v>3</v>
      </c>
      <c r="AU41" s="125">
        <v>2</v>
      </c>
      <c r="AV41" s="125">
        <v>2</v>
      </c>
      <c r="AW41" s="125">
        <v>2</v>
      </c>
      <c r="AX41" s="125">
        <v>2</v>
      </c>
      <c r="AY41" s="125">
        <v>3</v>
      </c>
    </row>
    <row r="42" spans="1:52" x14ac:dyDescent="0.2">
      <c r="A42" s="125"/>
      <c r="B42" s="190" t="s">
        <v>350</v>
      </c>
      <c r="C42" s="125"/>
      <c r="D42" s="125">
        <v>0</v>
      </c>
      <c r="E42" s="125">
        <v>0</v>
      </c>
      <c r="F42" s="125">
        <v>0</v>
      </c>
      <c r="G42" s="125">
        <v>0</v>
      </c>
      <c r="H42" s="125">
        <v>0</v>
      </c>
      <c r="I42" s="125">
        <v>0</v>
      </c>
      <c r="J42" s="125">
        <v>0</v>
      </c>
      <c r="K42" s="125">
        <v>0</v>
      </c>
      <c r="L42" s="125">
        <v>0</v>
      </c>
      <c r="M42" s="125">
        <v>0</v>
      </c>
      <c r="N42" s="125">
        <v>0</v>
      </c>
      <c r="O42" s="125">
        <v>0</v>
      </c>
      <c r="P42" s="125">
        <v>0</v>
      </c>
      <c r="Q42" s="125">
        <v>0</v>
      </c>
      <c r="R42" s="125">
        <v>0</v>
      </c>
      <c r="S42" s="125">
        <v>0</v>
      </c>
      <c r="T42" s="125">
        <v>0</v>
      </c>
      <c r="U42" s="125">
        <v>0</v>
      </c>
      <c r="V42" s="125">
        <v>0</v>
      </c>
      <c r="W42" s="125">
        <v>0</v>
      </c>
      <c r="X42" s="125">
        <v>0</v>
      </c>
      <c r="Y42" s="125">
        <v>0</v>
      </c>
      <c r="Z42" s="125">
        <v>0</v>
      </c>
      <c r="AA42" s="125">
        <v>0</v>
      </c>
      <c r="AB42" s="125">
        <v>0</v>
      </c>
      <c r="AC42" s="125">
        <v>0</v>
      </c>
      <c r="AD42" s="125">
        <v>0</v>
      </c>
      <c r="AE42" s="125">
        <v>0</v>
      </c>
      <c r="AF42" s="125">
        <v>0</v>
      </c>
      <c r="AG42" s="125">
        <v>0</v>
      </c>
      <c r="AH42" s="125">
        <v>0</v>
      </c>
      <c r="AI42" s="125">
        <v>0</v>
      </c>
      <c r="AJ42" s="125">
        <v>0</v>
      </c>
      <c r="AK42" s="125">
        <v>0</v>
      </c>
      <c r="AL42" s="125">
        <v>0</v>
      </c>
      <c r="AM42" s="125">
        <v>0</v>
      </c>
      <c r="AN42" s="125">
        <v>0</v>
      </c>
      <c r="AO42" s="125">
        <v>0</v>
      </c>
      <c r="AP42" s="125">
        <v>0</v>
      </c>
      <c r="AQ42" s="125">
        <v>0</v>
      </c>
      <c r="AR42" s="125">
        <v>0</v>
      </c>
      <c r="AS42" s="125">
        <v>0</v>
      </c>
      <c r="AT42" s="125">
        <v>0</v>
      </c>
      <c r="AU42" s="125">
        <v>0</v>
      </c>
      <c r="AV42" s="125">
        <v>0</v>
      </c>
      <c r="AW42" s="125">
        <v>0</v>
      </c>
      <c r="AX42" s="125">
        <v>0</v>
      </c>
      <c r="AY42" s="125">
        <v>0</v>
      </c>
      <c r="AZ42">
        <f>SUM($D$42:$AY$42)</f>
        <v>0</v>
      </c>
    </row>
    <row r="43" spans="1:52" x14ac:dyDescent="0.2">
      <c r="A43" s="125"/>
      <c r="B43" s="190" t="s">
        <v>351</v>
      </c>
      <c r="C43" s="125"/>
      <c r="D43" s="125">
        <v>0</v>
      </c>
      <c r="E43" s="125">
        <v>0</v>
      </c>
      <c r="F43" s="125">
        <v>0</v>
      </c>
      <c r="G43" s="125">
        <v>0</v>
      </c>
      <c r="H43" s="125">
        <v>0</v>
      </c>
      <c r="I43" s="125">
        <v>0</v>
      </c>
      <c r="J43" s="125">
        <v>0</v>
      </c>
      <c r="K43" s="125">
        <v>0</v>
      </c>
      <c r="L43" s="125">
        <v>0</v>
      </c>
      <c r="M43" s="125">
        <v>0</v>
      </c>
      <c r="N43" s="125">
        <v>0</v>
      </c>
      <c r="O43" s="125">
        <v>0</v>
      </c>
      <c r="P43" s="125">
        <v>0</v>
      </c>
      <c r="Q43" s="125">
        <v>0</v>
      </c>
      <c r="R43" s="125">
        <v>0</v>
      </c>
      <c r="S43" s="125">
        <v>0</v>
      </c>
      <c r="T43" s="125">
        <v>0</v>
      </c>
      <c r="U43" s="125">
        <v>0</v>
      </c>
      <c r="V43" s="125">
        <v>0</v>
      </c>
      <c r="W43" s="125">
        <v>0</v>
      </c>
      <c r="X43" s="125">
        <v>0</v>
      </c>
      <c r="Y43" s="125">
        <v>0</v>
      </c>
      <c r="Z43" s="125">
        <v>0</v>
      </c>
      <c r="AA43" s="125">
        <v>0</v>
      </c>
      <c r="AB43" s="125">
        <v>0</v>
      </c>
      <c r="AC43" s="125">
        <v>0</v>
      </c>
      <c r="AD43" s="125">
        <v>0</v>
      </c>
      <c r="AE43" s="125">
        <v>0</v>
      </c>
      <c r="AF43" s="125">
        <v>0</v>
      </c>
      <c r="AG43" s="125">
        <v>0</v>
      </c>
      <c r="AH43" s="125">
        <v>0</v>
      </c>
      <c r="AI43" s="125">
        <v>0</v>
      </c>
      <c r="AJ43" s="125">
        <v>0</v>
      </c>
      <c r="AK43" s="125">
        <v>0</v>
      </c>
      <c r="AL43" s="125">
        <v>0</v>
      </c>
      <c r="AM43" s="125">
        <v>0</v>
      </c>
      <c r="AN43" s="125">
        <v>0</v>
      </c>
      <c r="AO43" s="125">
        <v>0</v>
      </c>
      <c r="AP43" s="125">
        <v>0</v>
      </c>
      <c r="AQ43" s="125">
        <v>0</v>
      </c>
      <c r="AR43" s="125">
        <v>0</v>
      </c>
      <c r="AS43" s="125">
        <v>0</v>
      </c>
      <c r="AT43" s="125">
        <v>0</v>
      </c>
      <c r="AU43" s="125">
        <v>0</v>
      </c>
      <c r="AV43" s="125">
        <v>0</v>
      </c>
      <c r="AW43" s="125">
        <v>0</v>
      </c>
      <c r="AX43" s="125">
        <v>0</v>
      </c>
      <c r="AY43" s="125">
        <v>0</v>
      </c>
      <c r="AZ43">
        <f>SUM($D$43:$AY$43)</f>
        <v>0</v>
      </c>
    </row>
    <row r="44" spans="1:52" x14ac:dyDescent="0.2">
      <c r="A44" s="149" t="s">
        <v>59</v>
      </c>
      <c r="B44" s="149" t="s">
        <v>341</v>
      </c>
      <c r="C44" s="138"/>
      <c r="D44" s="138">
        <f>D$21*shipping_manufacturing!$D$28/100</f>
        <v>345</v>
      </c>
      <c r="E44" s="138">
        <f>E$21*shipping_manufacturing!$D$28/100</f>
        <v>345</v>
      </c>
      <c r="F44" s="138">
        <f>F$21*shipping_manufacturing!$D$28/100</f>
        <v>345</v>
      </c>
      <c r="G44" s="138">
        <f>G$21*shipping_manufacturing!$D$28/100</f>
        <v>345</v>
      </c>
      <c r="H44" s="138">
        <f>H$21*shipping_manufacturing!$D$28/100</f>
        <v>345</v>
      </c>
      <c r="I44" s="138">
        <f>I$21*shipping_manufacturing!$D$28/100</f>
        <v>345</v>
      </c>
      <c r="J44" s="138">
        <f>J$21*shipping_manufacturing!$D$28/100</f>
        <v>345</v>
      </c>
      <c r="K44" s="138">
        <f>K$21*shipping_manufacturing!$D$28/100</f>
        <v>345</v>
      </c>
      <c r="L44" s="138">
        <f>L$21*shipping_manufacturing!$D$28/100</f>
        <v>345</v>
      </c>
      <c r="M44" s="138">
        <f>M$21*shipping_manufacturing!$D$28/100</f>
        <v>345</v>
      </c>
      <c r="N44" s="138">
        <f>N$21*shipping_manufacturing!$D$28/100</f>
        <v>345</v>
      </c>
      <c r="O44" s="138">
        <f>O$21*shipping_manufacturing!$D$28/100</f>
        <v>345</v>
      </c>
      <c r="P44" s="138">
        <f>P$21*shipping_manufacturing!$D$28/100</f>
        <v>345</v>
      </c>
      <c r="Q44" s="138">
        <f>Q$21*shipping_manufacturing!$D$28/100</f>
        <v>345</v>
      </c>
      <c r="R44" s="138">
        <f>R$21*shipping_manufacturing!$D$28/100</f>
        <v>345</v>
      </c>
      <c r="S44" s="138">
        <f>S$21*shipping_manufacturing!$D$28/100</f>
        <v>345</v>
      </c>
      <c r="T44" s="138">
        <f>T$21*shipping_manufacturing!$D$28/100</f>
        <v>345</v>
      </c>
      <c r="U44" s="138">
        <f>U$21*shipping_manufacturing!$D$28/100</f>
        <v>345</v>
      </c>
      <c r="V44" s="138">
        <f>V$21*shipping_manufacturing!$D$28/100</f>
        <v>345</v>
      </c>
      <c r="W44" s="138">
        <f>W$21*shipping_manufacturing!$D$28/100</f>
        <v>345</v>
      </c>
      <c r="X44" s="138">
        <f>X$21*shipping_manufacturing!$D$28/100</f>
        <v>345</v>
      </c>
      <c r="Y44" s="138">
        <f>Y$21*shipping_manufacturing!$D$28/100</f>
        <v>345</v>
      </c>
      <c r="Z44" s="138">
        <f>Z$21*shipping_manufacturing!$D$28/100</f>
        <v>345</v>
      </c>
      <c r="AA44" s="138">
        <f>AA$21*shipping_manufacturing!$D$28/100</f>
        <v>345</v>
      </c>
      <c r="AB44" s="138">
        <f>AB$21*shipping_manufacturing!$D$28/100</f>
        <v>345</v>
      </c>
      <c r="AC44" s="138">
        <f>AC$21*shipping_manufacturing!$D$28/100</f>
        <v>345</v>
      </c>
      <c r="AD44" s="138">
        <f>AD$21*shipping_manufacturing!$D$28/100</f>
        <v>345</v>
      </c>
      <c r="AE44" s="138">
        <f>AE$21*shipping_manufacturing!$D$28/100</f>
        <v>345</v>
      </c>
      <c r="AF44" s="138">
        <f>AF$21*shipping_manufacturing!$D$28/100</f>
        <v>345</v>
      </c>
      <c r="AG44" s="138">
        <f>AG$21*shipping_manufacturing!$D$28/100</f>
        <v>345</v>
      </c>
      <c r="AH44" s="138">
        <f>AH$21*shipping_manufacturing!$D$28/100</f>
        <v>345</v>
      </c>
      <c r="AI44" s="138">
        <f>AI$21*shipping_manufacturing!$D$28/100</f>
        <v>345</v>
      </c>
      <c r="AJ44" s="138">
        <f>AJ$21*shipping_manufacturing!$D$28/100</f>
        <v>345</v>
      </c>
      <c r="AK44" s="138">
        <f>AK$21*shipping_manufacturing!$D$28/100</f>
        <v>345</v>
      </c>
      <c r="AL44" s="138">
        <f>AL$21*shipping_manufacturing!$D$28/100</f>
        <v>0</v>
      </c>
      <c r="AM44" s="138">
        <f>AM$21*shipping_manufacturing!$D$28/100</f>
        <v>345</v>
      </c>
      <c r="AN44" s="138">
        <f>AN$21*shipping_manufacturing!$D$28/100</f>
        <v>345</v>
      </c>
      <c r="AO44" s="138">
        <f>AO$21*shipping_manufacturing!$D$28/100</f>
        <v>345</v>
      </c>
      <c r="AP44" s="138">
        <f>AP$21*shipping_manufacturing!$D$28/100</f>
        <v>345</v>
      </c>
      <c r="AQ44" s="138">
        <f>AQ$21*shipping_manufacturing!$D$28/100</f>
        <v>345</v>
      </c>
      <c r="AR44" s="138">
        <f>AR$21*shipping_manufacturing!$D$28/100</f>
        <v>345</v>
      </c>
      <c r="AS44" s="138">
        <f>AS$21*shipping_manufacturing!$D$28/100</f>
        <v>345</v>
      </c>
      <c r="AT44" s="138">
        <f>AT$21*shipping_manufacturing!$D$28/100</f>
        <v>345</v>
      </c>
      <c r="AU44" s="138">
        <f>AU$21*shipping_manufacturing!$D$28/100</f>
        <v>345</v>
      </c>
      <c r="AV44" s="138">
        <f>AV$21*shipping_manufacturing!$D$28/100</f>
        <v>345</v>
      </c>
      <c r="AW44" s="138">
        <f>AW$21*shipping_manufacturing!$D$28/100</f>
        <v>345</v>
      </c>
      <c r="AX44" s="138">
        <f>AX$21*shipping_manufacturing!$D$28/100</f>
        <v>345</v>
      </c>
      <c r="AY44" s="138">
        <f>AY$21*shipping_manufacturing!$D$28/100</f>
        <v>345</v>
      </c>
    </row>
    <row r="45" spans="1:52" x14ac:dyDescent="0.2">
      <c r="A45" s="127" t="s">
        <v>340</v>
      </c>
      <c r="B45" s="179" t="s">
        <v>342</v>
      </c>
      <c r="C45" s="125"/>
      <c r="D45" s="125">
        <f>D$22*shipping_manufacturing!$E$28/100</f>
        <v>0</v>
      </c>
      <c r="E45" s="125">
        <f>E$22*shipping_manufacturing!$E$28/100</f>
        <v>0</v>
      </c>
      <c r="F45" s="125">
        <f>F$22*shipping_manufacturing!$E$28/100</f>
        <v>0</v>
      </c>
      <c r="G45" s="125">
        <f>G$22*shipping_manufacturing!$E$28/100</f>
        <v>0</v>
      </c>
      <c r="H45" s="125">
        <f>H$22*shipping_manufacturing!$E$28/100</f>
        <v>0</v>
      </c>
      <c r="I45" s="125">
        <f>I$22*shipping_manufacturing!$E$28/100</f>
        <v>0</v>
      </c>
      <c r="J45" s="125">
        <f>J$22*shipping_manufacturing!$E$28/100</f>
        <v>0</v>
      </c>
      <c r="K45" s="125">
        <f>K$22*shipping_manufacturing!$E$28/100</f>
        <v>0</v>
      </c>
      <c r="L45" s="125">
        <f>L$22*shipping_manufacturing!$E$28/100</f>
        <v>0</v>
      </c>
      <c r="M45" s="125">
        <f>M$22*shipping_manufacturing!$E$28/100</f>
        <v>0</v>
      </c>
      <c r="N45" s="125">
        <f>N$22*shipping_manufacturing!$E$28/100</f>
        <v>0</v>
      </c>
      <c r="O45" s="125">
        <f>O$22*shipping_manufacturing!$E$28/100</f>
        <v>0</v>
      </c>
      <c r="P45" s="125">
        <f>P$22*shipping_manufacturing!$E$28/100</f>
        <v>0</v>
      </c>
      <c r="Q45" s="125">
        <f>Q$22*shipping_manufacturing!$E$28/100</f>
        <v>0</v>
      </c>
      <c r="R45" s="125">
        <f>R$22*shipping_manufacturing!$E$28/100</f>
        <v>0</v>
      </c>
      <c r="S45" s="125">
        <f>S$22*shipping_manufacturing!$E$28/100</f>
        <v>0</v>
      </c>
      <c r="T45" s="125">
        <f>T$22*shipping_manufacturing!$E$28/100</f>
        <v>0</v>
      </c>
      <c r="U45" s="125">
        <f>U$22*shipping_manufacturing!$E$28/100</f>
        <v>0</v>
      </c>
      <c r="V45" s="125">
        <f>V$22*shipping_manufacturing!$E$28/100</f>
        <v>0</v>
      </c>
      <c r="W45" s="125">
        <f>W$22*shipping_manufacturing!$E$28/100</f>
        <v>0</v>
      </c>
      <c r="X45" s="125">
        <f>X$22*shipping_manufacturing!$E$28/100</f>
        <v>0</v>
      </c>
      <c r="Y45" s="125">
        <f>Y$22*shipping_manufacturing!$E$28/100</f>
        <v>0</v>
      </c>
      <c r="Z45" s="125">
        <f>Z$22*shipping_manufacturing!$E$28/100</f>
        <v>0</v>
      </c>
      <c r="AA45" s="125">
        <f>AA$22*shipping_manufacturing!$E$28/100</f>
        <v>0</v>
      </c>
      <c r="AB45" s="125">
        <f>AB$22*shipping_manufacturing!$E$28/100</f>
        <v>0</v>
      </c>
      <c r="AC45" s="125">
        <f>AC$22*shipping_manufacturing!$E$28/100</f>
        <v>0</v>
      </c>
      <c r="AD45" s="125">
        <f>AD$22*shipping_manufacturing!$E$28/100</f>
        <v>0</v>
      </c>
      <c r="AE45" s="125">
        <f>AE$22*shipping_manufacturing!$E$28/100</f>
        <v>0</v>
      </c>
      <c r="AF45" s="125">
        <f>AF$22*shipping_manufacturing!$E$28/100</f>
        <v>0</v>
      </c>
      <c r="AG45" s="125">
        <f>AG$22*shipping_manufacturing!$E$28/100</f>
        <v>0</v>
      </c>
      <c r="AH45" s="125">
        <f>AH$22*shipping_manufacturing!$E$28/100</f>
        <v>0</v>
      </c>
      <c r="AI45" s="125">
        <f>AI$22*shipping_manufacturing!$E$28/100</f>
        <v>0</v>
      </c>
      <c r="AJ45" s="125">
        <f>AJ$22*shipping_manufacturing!$E$28/100</f>
        <v>0</v>
      </c>
      <c r="AK45" s="125">
        <f>AK$22*shipping_manufacturing!$E$28/100</f>
        <v>0</v>
      </c>
      <c r="AL45" s="125">
        <f>AL$22*shipping_manufacturing!$E$28/100</f>
        <v>0</v>
      </c>
      <c r="AM45" s="125">
        <f>AM$22*shipping_manufacturing!$E$28/100</f>
        <v>0</v>
      </c>
      <c r="AN45" s="125">
        <f>AN$22*shipping_manufacturing!$E$28/100</f>
        <v>0</v>
      </c>
      <c r="AO45" s="125">
        <f>AO$22*shipping_manufacturing!$E$28/100</f>
        <v>0</v>
      </c>
      <c r="AP45" s="125">
        <f>AP$22*shipping_manufacturing!$E$28/100</f>
        <v>0</v>
      </c>
      <c r="AQ45" s="125">
        <f>AQ$22*shipping_manufacturing!$E$28/100</f>
        <v>0</v>
      </c>
      <c r="AR45" s="125">
        <f>AR$22*shipping_manufacturing!$E$28/100</f>
        <v>0</v>
      </c>
      <c r="AS45" s="125">
        <f>AS$22*shipping_manufacturing!$E$28/100</f>
        <v>0</v>
      </c>
      <c r="AT45" s="125">
        <f>AT$22*shipping_manufacturing!$E$28/100</f>
        <v>0</v>
      </c>
      <c r="AU45" s="125">
        <f>AU$22*shipping_manufacturing!$E$28/100</f>
        <v>0</v>
      </c>
      <c r="AV45" s="125">
        <f>AV$22*shipping_manufacturing!$E$28/100</f>
        <v>0</v>
      </c>
      <c r="AW45" s="125">
        <f>AW$22*shipping_manufacturing!$E$28/100</f>
        <v>0</v>
      </c>
      <c r="AX45" s="125">
        <f>AX$22*shipping_manufacturing!$E$28/100</f>
        <v>0</v>
      </c>
      <c r="AY45" s="125">
        <f>AY$22*shipping_manufacturing!$E$28/100</f>
        <v>0</v>
      </c>
    </row>
    <row r="46" spans="1:52" x14ac:dyDescent="0.2">
      <c r="A46" s="125">
        <v>718</v>
      </c>
      <c r="B46" s="179" t="s">
        <v>343</v>
      </c>
      <c r="C46" s="125"/>
      <c r="D46" s="125">
        <f>SUM(D44:D45)</f>
        <v>345</v>
      </c>
      <c r="E46" s="125">
        <f t="shared" ref="E46:AY46" si="14">SUM(E44:E45)</f>
        <v>345</v>
      </c>
      <c r="F46" s="125">
        <f t="shared" si="14"/>
        <v>345</v>
      </c>
      <c r="G46" s="125">
        <f t="shared" si="14"/>
        <v>345</v>
      </c>
      <c r="H46" s="125">
        <f t="shared" si="14"/>
        <v>345</v>
      </c>
      <c r="I46" s="125">
        <f t="shared" si="14"/>
        <v>345</v>
      </c>
      <c r="J46" s="125">
        <f t="shared" si="14"/>
        <v>345</v>
      </c>
      <c r="K46" s="125">
        <f t="shared" si="14"/>
        <v>345</v>
      </c>
      <c r="L46" s="125">
        <f t="shared" si="14"/>
        <v>345</v>
      </c>
      <c r="M46" s="125">
        <f t="shared" si="14"/>
        <v>345</v>
      </c>
      <c r="N46" s="125">
        <f t="shared" si="14"/>
        <v>345</v>
      </c>
      <c r="O46" s="125">
        <f t="shared" si="14"/>
        <v>345</v>
      </c>
      <c r="P46" s="125">
        <f t="shared" si="14"/>
        <v>345</v>
      </c>
      <c r="Q46" s="125">
        <f t="shared" si="14"/>
        <v>345</v>
      </c>
      <c r="R46" s="125">
        <f t="shared" si="14"/>
        <v>345</v>
      </c>
      <c r="S46" s="125">
        <f t="shared" si="14"/>
        <v>345</v>
      </c>
      <c r="T46" s="125">
        <f t="shared" si="14"/>
        <v>345</v>
      </c>
      <c r="U46" s="125">
        <f t="shared" si="14"/>
        <v>345</v>
      </c>
      <c r="V46" s="125">
        <f t="shared" si="14"/>
        <v>345</v>
      </c>
      <c r="W46" s="125">
        <f t="shared" si="14"/>
        <v>345</v>
      </c>
      <c r="X46" s="125">
        <f t="shared" si="14"/>
        <v>345</v>
      </c>
      <c r="Y46" s="125">
        <f t="shared" si="14"/>
        <v>345</v>
      </c>
      <c r="Z46" s="125">
        <f t="shared" si="14"/>
        <v>345</v>
      </c>
      <c r="AA46" s="125">
        <f t="shared" si="14"/>
        <v>345</v>
      </c>
      <c r="AB46" s="125">
        <f t="shared" si="14"/>
        <v>345</v>
      </c>
      <c r="AC46" s="125">
        <f t="shared" si="14"/>
        <v>345</v>
      </c>
      <c r="AD46" s="125">
        <f t="shared" si="14"/>
        <v>345</v>
      </c>
      <c r="AE46" s="125">
        <f t="shared" si="14"/>
        <v>345</v>
      </c>
      <c r="AF46" s="125">
        <f t="shared" si="14"/>
        <v>345</v>
      </c>
      <c r="AG46" s="125">
        <f t="shared" si="14"/>
        <v>345</v>
      </c>
      <c r="AH46" s="125">
        <f t="shared" si="14"/>
        <v>345</v>
      </c>
      <c r="AI46" s="125">
        <f t="shared" si="14"/>
        <v>345</v>
      </c>
      <c r="AJ46" s="125">
        <f t="shared" si="14"/>
        <v>345</v>
      </c>
      <c r="AK46" s="125">
        <f t="shared" si="14"/>
        <v>345</v>
      </c>
      <c r="AL46" s="125">
        <f t="shared" si="14"/>
        <v>0</v>
      </c>
      <c r="AM46" s="125">
        <f t="shared" si="14"/>
        <v>345</v>
      </c>
      <c r="AN46" s="125">
        <f t="shared" si="14"/>
        <v>345</v>
      </c>
      <c r="AO46" s="125">
        <f t="shared" si="14"/>
        <v>345</v>
      </c>
      <c r="AP46" s="125">
        <f t="shared" si="14"/>
        <v>345</v>
      </c>
      <c r="AQ46" s="125">
        <f t="shared" si="14"/>
        <v>345</v>
      </c>
      <c r="AR46" s="125">
        <f t="shared" si="14"/>
        <v>345</v>
      </c>
      <c r="AS46" s="125">
        <f t="shared" si="14"/>
        <v>345</v>
      </c>
      <c r="AT46" s="125">
        <f t="shared" si="14"/>
        <v>345</v>
      </c>
      <c r="AU46" s="125">
        <f t="shared" si="14"/>
        <v>345</v>
      </c>
      <c r="AV46" s="125">
        <f t="shared" si="14"/>
        <v>345</v>
      </c>
      <c r="AW46" s="125">
        <f t="shared" si="14"/>
        <v>345</v>
      </c>
      <c r="AX46" s="125">
        <f t="shared" si="14"/>
        <v>345</v>
      </c>
      <c r="AY46" s="125">
        <f t="shared" si="14"/>
        <v>345</v>
      </c>
    </row>
    <row r="47" spans="1:52" x14ac:dyDescent="0.2">
      <c r="A47" s="125"/>
      <c r="B47" s="179" t="s">
        <v>344</v>
      </c>
      <c r="C47" s="125"/>
      <c r="D47" s="125">
        <v>330</v>
      </c>
      <c r="E47" s="125"/>
      <c r="F47" s="125">
        <v>330</v>
      </c>
      <c r="G47" s="125"/>
      <c r="H47" s="125">
        <v>330</v>
      </c>
      <c r="I47" s="125"/>
      <c r="J47" s="125">
        <v>330</v>
      </c>
      <c r="K47" s="125"/>
      <c r="L47" s="125">
        <v>330</v>
      </c>
      <c r="M47" s="125"/>
      <c r="N47" s="125">
        <v>330</v>
      </c>
      <c r="O47" s="125"/>
      <c r="P47" s="125">
        <v>330</v>
      </c>
      <c r="Q47" s="125"/>
      <c r="R47" s="125">
        <v>330</v>
      </c>
      <c r="S47" s="125"/>
      <c r="T47" s="125">
        <v>330</v>
      </c>
      <c r="U47" s="125"/>
      <c r="V47" s="125">
        <v>330</v>
      </c>
      <c r="W47" s="125"/>
      <c r="X47" s="125">
        <v>330</v>
      </c>
      <c r="Y47" s="125"/>
      <c r="Z47" s="125">
        <v>330</v>
      </c>
      <c r="AA47" s="125"/>
      <c r="AB47" s="125">
        <v>330</v>
      </c>
      <c r="AC47" s="125"/>
      <c r="AD47" s="125">
        <v>330</v>
      </c>
      <c r="AE47" s="125"/>
      <c r="AF47" s="125">
        <v>330</v>
      </c>
      <c r="AG47" s="125"/>
      <c r="AH47" s="125">
        <v>330</v>
      </c>
      <c r="AI47" s="125"/>
      <c r="AJ47" s="125">
        <v>330</v>
      </c>
      <c r="AK47" s="125"/>
      <c r="AL47" s="125"/>
      <c r="AM47" s="125">
        <v>330</v>
      </c>
      <c r="AN47" s="125"/>
      <c r="AO47" s="125">
        <v>330</v>
      </c>
      <c r="AP47" s="125"/>
      <c r="AQ47" s="125">
        <v>330</v>
      </c>
      <c r="AR47" s="125"/>
      <c r="AS47" s="125">
        <v>330</v>
      </c>
      <c r="AT47" s="125"/>
      <c r="AU47" s="125">
        <v>330</v>
      </c>
      <c r="AV47" s="125"/>
      <c r="AW47" s="125">
        <v>330</v>
      </c>
      <c r="AX47" s="125"/>
      <c r="AY47" s="125">
        <v>330</v>
      </c>
    </row>
    <row r="48" spans="1:52" x14ac:dyDescent="0.2">
      <c r="A48" s="125"/>
      <c r="B48" s="179" t="s">
        <v>345</v>
      </c>
      <c r="C48" s="125"/>
      <c r="D48" s="125">
        <v>0</v>
      </c>
      <c r="E48" s="125"/>
      <c r="F48" s="125">
        <v>0</v>
      </c>
      <c r="G48" s="125"/>
      <c r="H48" s="125">
        <v>0</v>
      </c>
      <c r="I48" s="125"/>
      <c r="J48" s="125">
        <v>0</v>
      </c>
      <c r="K48" s="125"/>
      <c r="L48" s="125">
        <v>0</v>
      </c>
      <c r="M48" s="125"/>
      <c r="N48" s="125">
        <v>0</v>
      </c>
      <c r="O48" s="125"/>
      <c r="P48" s="125">
        <v>0</v>
      </c>
      <c r="Q48" s="125"/>
      <c r="R48" s="125">
        <v>0</v>
      </c>
      <c r="S48" s="125"/>
      <c r="T48" s="125">
        <v>0</v>
      </c>
      <c r="U48" s="125"/>
      <c r="V48" s="125">
        <v>0</v>
      </c>
      <c r="W48" s="125"/>
      <c r="X48" s="125">
        <v>0</v>
      </c>
      <c r="Y48" s="125"/>
      <c r="Z48" s="125">
        <v>0</v>
      </c>
      <c r="AA48" s="125"/>
      <c r="AB48" s="125">
        <v>0</v>
      </c>
      <c r="AC48" s="125"/>
      <c r="AD48" s="125">
        <v>0</v>
      </c>
      <c r="AE48" s="125"/>
      <c r="AF48" s="125">
        <v>0</v>
      </c>
      <c r="AG48" s="125"/>
      <c r="AH48" s="125">
        <v>0</v>
      </c>
      <c r="AI48" s="125"/>
      <c r="AJ48" s="125">
        <v>0</v>
      </c>
      <c r="AK48" s="125"/>
      <c r="AL48" s="125"/>
      <c r="AM48" s="125">
        <v>0</v>
      </c>
      <c r="AN48" s="125"/>
      <c r="AO48" s="125">
        <v>0</v>
      </c>
      <c r="AP48" s="125"/>
      <c r="AQ48" s="125">
        <v>0</v>
      </c>
      <c r="AR48" s="125"/>
      <c r="AS48" s="125">
        <v>0</v>
      </c>
      <c r="AT48" s="125"/>
      <c r="AU48" s="125">
        <v>0</v>
      </c>
      <c r="AV48" s="125"/>
      <c r="AW48" s="125">
        <v>0</v>
      </c>
      <c r="AX48" s="125"/>
      <c r="AY48" s="125">
        <v>0</v>
      </c>
    </row>
    <row r="49" spans="1:52" x14ac:dyDescent="0.2">
      <c r="A49" s="125"/>
      <c r="B49" s="179" t="s">
        <v>346</v>
      </c>
      <c r="C49" s="125"/>
      <c r="D49" s="125">
        <v>11</v>
      </c>
      <c r="E49" s="125"/>
      <c r="F49" s="125">
        <v>11</v>
      </c>
      <c r="G49" s="125"/>
      <c r="H49" s="125">
        <v>11</v>
      </c>
      <c r="I49" s="125"/>
      <c r="J49" s="125">
        <v>11</v>
      </c>
      <c r="K49" s="125"/>
      <c r="L49" s="125">
        <v>11</v>
      </c>
      <c r="M49" s="125"/>
      <c r="N49" s="125">
        <v>11</v>
      </c>
      <c r="O49" s="125"/>
      <c r="P49" s="125">
        <v>11</v>
      </c>
      <c r="Q49" s="125"/>
      <c r="R49" s="125">
        <v>11</v>
      </c>
      <c r="S49" s="125"/>
      <c r="T49" s="125">
        <v>11</v>
      </c>
      <c r="U49" s="125"/>
      <c r="V49" s="125">
        <v>11</v>
      </c>
      <c r="W49" s="125"/>
      <c r="X49" s="125">
        <v>11</v>
      </c>
      <c r="Y49" s="125"/>
      <c r="Z49" s="125">
        <v>11</v>
      </c>
      <c r="AA49" s="125"/>
      <c r="AB49" s="125">
        <v>11</v>
      </c>
      <c r="AC49" s="125"/>
      <c r="AD49" s="125">
        <v>11</v>
      </c>
      <c r="AE49" s="125"/>
      <c r="AF49" s="125">
        <v>11</v>
      </c>
      <c r="AG49" s="125"/>
      <c r="AH49" s="125">
        <v>11</v>
      </c>
      <c r="AI49" s="125"/>
      <c r="AJ49" s="125">
        <v>11</v>
      </c>
      <c r="AK49" s="125"/>
      <c r="AL49" s="125"/>
      <c r="AM49" s="125">
        <v>11</v>
      </c>
      <c r="AN49" s="125"/>
      <c r="AO49" s="125">
        <v>11</v>
      </c>
      <c r="AP49" s="125"/>
      <c r="AQ49" s="125">
        <v>11</v>
      </c>
      <c r="AR49" s="125"/>
      <c r="AS49" s="125">
        <v>11</v>
      </c>
      <c r="AT49" s="125"/>
      <c r="AU49" s="125">
        <v>11</v>
      </c>
      <c r="AV49" s="125"/>
      <c r="AW49" s="125">
        <v>11</v>
      </c>
      <c r="AX49" s="125"/>
      <c r="AY49" s="125">
        <v>11</v>
      </c>
    </row>
    <row r="50" spans="1:52" x14ac:dyDescent="0.2">
      <c r="A50" s="125"/>
      <c r="B50" s="179" t="s">
        <v>347</v>
      </c>
      <c r="C50" s="125"/>
      <c r="D50" s="125">
        <f>D44-D47</f>
        <v>15</v>
      </c>
      <c r="E50" s="125">
        <f t="shared" ref="E50:AY50" si="15">E44-E47</f>
        <v>345</v>
      </c>
      <c r="F50" s="125">
        <f t="shared" si="15"/>
        <v>15</v>
      </c>
      <c r="G50" s="125">
        <f t="shared" si="15"/>
        <v>345</v>
      </c>
      <c r="H50" s="125">
        <f t="shared" si="15"/>
        <v>15</v>
      </c>
      <c r="I50" s="125">
        <f t="shared" si="15"/>
        <v>345</v>
      </c>
      <c r="J50" s="125">
        <f t="shared" si="15"/>
        <v>15</v>
      </c>
      <c r="K50" s="125">
        <f t="shared" si="15"/>
        <v>345</v>
      </c>
      <c r="L50" s="125">
        <f t="shared" si="15"/>
        <v>15</v>
      </c>
      <c r="M50" s="125">
        <f t="shared" si="15"/>
        <v>345</v>
      </c>
      <c r="N50" s="125">
        <f t="shared" si="15"/>
        <v>15</v>
      </c>
      <c r="O50" s="125">
        <f t="shared" si="15"/>
        <v>345</v>
      </c>
      <c r="P50" s="125">
        <f t="shared" si="15"/>
        <v>15</v>
      </c>
      <c r="Q50" s="125">
        <f t="shared" si="15"/>
        <v>345</v>
      </c>
      <c r="R50" s="125">
        <f t="shared" si="15"/>
        <v>15</v>
      </c>
      <c r="S50" s="125">
        <f t="shared" si="15"/>
        <v>345</v>
      </c>
      <c r="T50" s="125">
        <f t="shared" si="15"/>
        <v>15</v>
      </c>
      <c r="U50" s="125">
        <f t="shared" si="15"/>
        <v>345</v>
      </c>
      <c r="V50" s="125">
        <f t="shared" si="15"/>
        <v>15</v>
      </c>
      <c r="W50" s="125">
        <f t="shared" si="15"/>
        <v>345</v>
      </c>
      <c r="X50" s="125">
        <f t="shared" si="15"/>
        <v>15</v>
      </c>
      <c r="Y50" s="125">
        <f t="shared" si="15"/>
        <v>345</v>
      </c>
      <c r="Z50" s="125">
        <f t="shared" si="15"/>
        <v>15</v>
      </c>
      <c r="AA50" s="125">
        <f t="shared" si="15"/>
        <v>345</v>
      </c>
      <c r="AB50" s="125">
        <f t="shared" si="15"/>
        <v>15</v>
      </c>
      <c r="AC50" s="125">
        <f t="shared" si="15"/>
        <v>345</v>
      </c>
      <c r="AD50" s="125">
        <f t="shared" si="15"/>
        <v>15</v>
      </c>
      <c r="AE50" s="125">
        <f t="shared" si="15"/>
        <v>345</v>
      </c>
      <c r="AF50" s="125">
        <f t="shared" si="15"/>
        <v>15</v>
      </c>
      <c r="AG50" s="125">
        <f t="shared" si="15"/>
        <v>345</v>
      </c>
      <c r="AH50" s="125">
        <f t="shared" si="15"/>
        <v>15</v>
      </c>
      <c r="AI50" s="125">
        <f t="shared" si="15"/>
        <v>345</v>
      </c>
      <c r="AJ50" s="125">
        <f t="shared" si="15"/>
        <v>15</v>
      </c>
      <c r="AK50" s="125">
        <f t="shared" si="15"/>
        <v>345</v>
      </c>
      <c r="AL50" s="125">
        <f t="shared" si="15"/>
        <v>0</v>
      </c>
      <c r="AM50" s="125">
        <f t="shared" si="15"/>
        <v>15</v>
      </c>
      <c r="AN50" s="125">
        <f t="shared" si="15"/>
        <v>345</v>
      </c>
      <c r="AO50" s="125">
        <f t="shared" si="15"/>
        <v>15</v>
      </c>
      <c r="AP50" s="125">
        <f t="shared" si="15"/>
        <v>345</v>
      </c>
      <c r="AQ50" s="125">
        <f t="shared" si="15"/>
        <v>15</v>
      </c>
      <c r="AR50" s="125">
        <f t="shared" si="15"/>
        <v>345</v>
      </c>
      <c r="AS50" s="125">
        <f t="shared" si="15"/>
        <v>15</v>
      </c>
      <c r="AT50" s="125">
        <f t="shared" si="15"/>
        <v>345</v>
      </c>
      <c r="AU50" s="125">
        <f t="shared" si="15"/>
        <v>15</v>
      </c>
      <c r="AV50" s="125">
        <f t="shared" si="15"/>
        <v>345</v>
      </c>
      <c r="AW50" s="125">
        <f t="shared" si="15"/>
        <v>15</v>
      </c>
      <c r="AX50" s="125">
        <f t="shared" si="15"/>
        <v>345</v>
      </c>
      <c r="AY50" s="125">
        <f t="shared" si="15"/>
        <v>15</v>
      </c>
    </row>
    <row r="51" spans="1:52" x14ac:dyDescent="0.2">
      <c r="A51" s="125"/>
      <c r="B51" s="179" t="s">
        <v>348</v>
      </c>
      <c r="C51" s="125"/>
      <c r="D51" s="125">
        <f>D45-D48</f>
        <v>0</v>
      </c>
      <c r="E51" s="125">
        <f t="shared" ref="E51:AY51" si="16">E45-E48</f>
        <v>0</v>
      </c>
      <c r="F51" s="125">
        <f t="shared" si="16"/>
        <v>0</v>
      </c>
      <c r="G51" s="125">
        <f t="shared" si="16"/>
        <v>0</v>
      </c>
      <c r="H51" s="125">
        <f t="shared" si="16"/>
        <v>0</v>
      </c>
      <c r="I51" s="125">
        <f t="shared" si="16"/>
        <v>0</v>
      </c>
      <c r="J51" s="125">
        <f t="shared" si="16"/>
        <v>0</v>
      </c>
      <c r="K51" s="125">
        <f t="shared" si="16"/>
        <v>0</v>
      </c>
      <c r="L51" s="125">
        <f t="shared" si="16"/>
        <v>0</v>
      </c>
      <c r="M51" s="125">
        <f t="shared" si="16"/>
        <v>0</v>
      </c>
      <c r="N51" s="125">
        <f t="shared" si="16"/>
        <v>0</v>
      </c>
      <c r="O51" s="125">
        <f t="shared" si="16"/>
        <v>0</v>
      </c>
      <c r="P51" s="125">
        <f t="shared" si="16"/>
        <v>0</v>
      </c>
      <c r="Q51" s="125">
        <f t="shared" si="16"/>
        <v>0</v>
      </c>
      <c r="R51" s="125">
        <f t="shared" si="16"/>
        <v>0</v>
      </c>
      <c r="S51" s="125">
        <f t="shared" si="16"/>
        <v>0</v>
      </c>
      <c r="T51" s="125">
        <f t="shared" si="16"/>
        <v>0</v>
      </c>
      <c r="U51" s="125">
        <f t="shared" si="16"/>
        <v>0</v>
      </c>
      <c r="V51" s="125">
        <f t="shared" si="16"/>
        <v>0</v>
      </c>
      <c r="W51" s="125">
        <f t="shared" si="16"/>
        <v>0</v>
      </c>
      <c r="X51" s="125">
        <f t="shared" si="16"/>
        <v>0</v>
      </c>
      <c r="Y51" s="125">
        <f t="shared" si="16"/>
        <v>0</v>
      </c>
      <c r="Z51" s="125">
        <f t="shared" si="16"/>
        <v>0</v>
      </c>
      <c r="AA51" s="125">
        <f t="shared" si="16"/>
        <v>0</v>
      </c>
      <c r="AB51" s="125">
        <f t="shared" si="16"/>
        <v>0</v>
      </c>
      <c r="AC51" s="125">
        <f t="shared" si="16"/>
        <v>0</v>
      </c>
      <c r="AD51" s="125">
        <f t="shared" si="16"/>
        <v>0</v>
      </c>
      <c r="AE51" s="125">
        <f t="shared" si="16"/>
        <v>0</v>
      </c>
      <c r="AF51" s="125">
        <f t="shared" si="16"/>
        <v>0</v>
      </c>
      <c r="AG51" s="125">
        <f t="shared" si="16"/>
        <v>0</v>
      </c>
      <c r="AH51" s="125">
        <f t="shared" si="16"/>
        <v>0</v>
      </c>
      <c r="AI51" s="125">
        <f t="shared" si="16"/>
        <v>0</v>
      </c>
      <c r="AJ51" s="125">
        <f t="shared" si="16"/>
        <v>0</v>
      </c>
      <c r="AK51" s="125">
        <f t="shared" si="16"/>
        <v>0</v>
      </c>
      <c r="AL51" s="125">
        <f t="shared" si="16"/>
        <v>0</v>
      </c>
      <c r="AM51" s="125">
        <f t="shared" si="16"/>
        <v>0</v>
      </c>
      <c r="AN51" s="125">
        <f t="shared" si="16"/>
        <v>0</v>
      </c>
      <c r="AO51" s="125">
        <f t="shared" si="16"/>
        <v>0</v>
      </c>
      <c r="AP51" s="125">
        <f t="shared" si="16"/>
        <v>0</v>
      </c>
      <c r="AQ51" s="125">
        <f t="shared" si="16"/>
        <v>0</v>
      </c>
      <c r="AR51" s="125">
        <f t="shared" si="16"/>
        <v>0</v>
      </c>
      <c r="AS51" s="125">
        <f t="shared" si="16"/>
        <v>0</v>
      </c>
      <c r="AT51" s="125">
        <f t="shared" si="16"/>
        <v>0</v>
      </c>
      <c r="AU51" s="125">
        <f t="shared" si="16"/>
        <v>0</v>
      </c>
      <c r="AV51" s="125">
        <f t="shared" si="16"/>
        <v>0</v>
      </c>
      <c r="AW51" s="125">
        <f t="shared" si="16"/>
        <v>0</v>
      </c>
      <c r="AX51" s="125">
        <f t="shared" si="16"/>
        <v>0</v>
      </c>
      <c r="AY51" s="125">
        <f t="shared" si="16"/>
        <v>0</v>
      </c>
    </row>
    <row r="52" spans="1:52" x14ac:dyDescent="0.2">
      <c r="A52" s="125"/>
      <c r="B52" s="179" t="s">
        <v>349</v>
      </c>
      <c r="C52" s="125"/>
      <c r="D52" s="125">
        <v>1</v>
      </c>
      <c r="E52" s="125">
        <v>2</v>
      </c>
      <c r="F52" s="125">
        <v>1</v>
      </c>
      <c r="G52" s="125">
        <v>1</v>
      </c>
      <c r="H52" s="125">
        <v>2</v>
      </c>
      <c r="I52" s="125">
        <v>2</v>
      </c>
      <c r="J52" s="125">
        <v>2</v>
      </c>
      <c r="K52" s="125">
        <v>1</v>
      </c>
      <c r="L52" s="125">
        <v>1</v>
      </c>
      <c r="M52" s="125">
        <v>2</v>
      </c>
      <c r="N52" s="125">
        <v>1</v>
      </c>
      <c r="O52" s="125">
        <v>2</v>
      </c>
      <c r="P52" s="125">
        <v>2</v>
      </c>
      <c r="Q52" s="125">
        <v>2</v>
      </c>
      <c r="R52" s="125">
        <v>1</v>
      </c>
      <c r="S52" s="125">
        <v>1</v>
      </c>
      <c r="T52" s="125">
        <v>2</v>
      </c>
      <c r="U52" s="125">
        <v>1</v>
      </c>
      <c r="V52" s="125">
        <v>3</v>
      </c>
      <c r="W52" s="125">
        <v>3</v>
      </c>
      <c r="X52" s="125">
        <v>3</v>
      </c>
      <c r="Y52" s="125">
        <v>1</v>
      </c>
      <c r="Z52" s="125">
        <v>1</v>
      </c>
      <c r="AA52" s="125">
        <v>2</v>
      </c>
      <c r="AB52" s="125">
        <v>1</v>
      </c>
      <c r="AC52" s="125">
        <v>2</v>
      </c>
      <c r="AD52" s="125">
        <v>1</v>
      </c>
      <c r="AE52" s="125">
        <v>1</v>
      </c>
      <c r="AF52" s="125">
        <v>1</v>
      </c>
      <c r="AG52" s="125">
        <v>2</v>
      </c>
      <c r="AH52" s="125">
        <v>1</v>
      </c>
      <c r="AI52" s="125">
        <v>2</v>
      </c>
      <c r="AJ52" s="125">
        <v>3</v>
      </c>
      <c r="AK52" s="125">
        <v>1</v>
      </c>
      <c r="AL52" s="125">
        <v>2</v>
      </c>
      <c r="AM52" s="125">
        <v>2</v>
      </c>
      <c r="AN52" s="125">
        <v>1</v>
      </c>
      <c r="AO52" s="125">
        <v>3</v>
      </c>
      <c r="AP52" s="125">
        <v>2</v>
      </c>
      <c r="AQ52" s="125">
        <v>1</v>
      </c>
      <c r="AR52" s="125">
        <v>2</v>
      </c>
      <c r="AS52" s="125">
        <v>1</v>
      </c>
      <c r="AT52" s="125">
        <v>1</v>
      </c>
      <c r="AU52" s="125">
        <v>1</v>
      </c>
      <c r="AV52" s="125">
        <v>2</v>
      </c>
      <c r="AW52" s="125">
        <v>1</v>
      </c>
      <c r="AX52" s="125">
        <v>1</v>
      </c>
      <c r="AY52" s="125">
        <v>1</v>
      </c>
    </row>
    <row r="53" spans="1:52" x14ac:dyDescent="0.2">
      <c r="A53" s="125"/>
      <c r="B53" s="190" t="s">
        <v>350</v>
      </c>
      <c r="C53" s="125"/>
      <c r="D53" s="125">
        <v>284328</v>
      </c>
      <c r="E53" s="125">
        <v>0</v>
      </c>
      <c r="F53" s="125">
        <v>284328</v>
      </c>
      <c r="G53" s="125">
        <v>0</v>
      </c>
      <c r="H53" s="125">
        <v>284328</v>
      </c>
      <c r="I53" s="125">
        <v>0</v>
      </c>
      <c r="J53" s="125">
        <v>284328</v>
      </c>
      <c r="K53" s="125">
        <v>0</v>
      </c>
      <c r="L53" s="125">
        <v>284328</v>
      </c>
      <c r="M53" s="125">
        <v>0</v>
      </c>
      <c r="N53" s="125">
        <v>284328</v>
      </c>
      <c r="O53" s="125">
        <v>0</v>
      </c>
      <c r="P53" s="125">
        <v>284328</v>
      </c>
      <c r="Q53" s="125">
        <v>0</v>
      </c>
      <c r="R53" s="125">
        <v>284328</v>
      </c>
      <c r="S53" s="125">
        <v>0</v>
      </c>
      <c r="T53" s="125">
        <v>284328</v>
      </c>
      <c r="U53" s="125">
        <v>0</v>
      </c>
      <c r="V53" s="125">
        <v>284328</v>
      </c>
      <c r="W53" s="125">
        <v>0</v>
      </c>
      <c r="X53" s="125">
        <v>284328</v>
      </c>
      <c r="Y53" s="125">
        <v>0</v>
      </c>
      <c r="Z53" s="125">
        <v>284328</v>
      </c>
      <c r="AA53" s="125">
        <v>0</v>
      </c>
      <c r="AB53" s="125">
        <v>284328</v>
      </c>
      <c r="AC53" s="125">
        <v>0</v>
      </c>
      <c r="AD53" s="125">
        <v>284328</v>
      </c>
      <c r="AE53" s="125">
        <v>0</v>
      </c>
      <c r="AF53" s="125">
        <v>284328</v>
      </c>
      <c r="AG53" s="125">
        <v>0</v>
      </c>
      <c r="AH53" s="125">
        <v>284328</v>
      </c>
      <c r="AI53" s="125">
        <v>0</v>
      </c>
      <c r="AJ53" s="125">
        <v>284328</v>
      </c>
      <c r="AK53" s="125">
        <v>0</v>
      </c>
      <c r="AL53" s="125">
        <v>0</v>
      </c>
      <c r="AM53" s="125">
        <v>284328</v>
      </c>
      <c r="AN53" s="125">
        <v>0</v>
      </c>
      <c r="AO53" s="125">
        <v>284328</v>
      </c>
      <c r="AP53" s="125">
        <v>0</v>
      </c>
      <c r="AQ53" s="125">
        <v>284328</v>
      </c>
      <c r="AR53" s="125">
        <v>0</v>
      </c>
      <c r="AS53" s="125">
        <v>284328</v>
      </c>
      <c r="AT53" s="125">
        <v>0</v>
      </c>
      <c r="AU53" s="125">
        <v>284328</v>
      </c>
      <c r="AV53" s="125">
        <v>0</v>
      </c>
      <c r="AW53" s="125">
        <v>284328</v>
      </c>
      <c r="AX53" s="125">
        <v>0</v>
      </c>
      <c r="AY53" s="125">
        <v>284328</v>
      </c>
      <c r="AZ53">
        <f>SUM($D$53:$AY$53)</f>
        <v>6823872</v>
      </c>
    </row>
    <row r="54" spans="1:52" x14ac:dyDescent="0.2">
      <c r="A54" s="139"/>
      <c r="B54" s="154" t="s">
        <v>351</v>
      </c>
      <c r="C54" s="139"/>
      <c r="D54" s="139">
        <v>7000.5</v>
      </c>
      <c r="E54" s="139">
        <v>161011.5</v>
      </c>
      <c r="F54" s="139">
        <v>7000.5</v>
      </c>
      <c r="G54" s="139">
        <v>161011.5</v>
      </c>
      <c r="H54" s="139">
        <v>7000.5</v>
      </c>
      <c r="I54" s="139">
        <v>161011.5</v>
      </c>
      <c r="J54" s="139">
        <v>7000.5</v>
      </c>
      <c r="K54" s="139">
        <v>161011.5</v>
      </c>
      <c r="L54" s="139">
        <v>7000.5</v>
      </c>
      <c r="M54" s="139">
        <v>161011.5</v>
      </c>
      <c r="N54" s="139">
        <v>7000.5</v>
      </c>
      <c r="O54" s="139">
        <v>161011.5</v>
      </c>
      <c r="P54" s="139">
        <v>7000.5</v>
      </c>
      <c r="Q54" s="139">
        <v>161011.5</v>
      </c>
      <c r="R54" s="139">
        <v>7000.5</v>
      </c>
      <c r="S54" s="139">
        <v>161011.5</v>
      </c>
      <c r="T54" s="139">
        <v>7000.5</v>
      </c>
      <c r="U54" s="139">
        <v>161011.5</v>
      </c>
      <c r="V54" s="139">
        <v>7000.5</v>
      </c>
      <c r="W54" s="139">
        <v>161011.5</v>
      </c>
      <c r="X54" s="139">
        <v>7000.5</v>
      </c>
      <c r="Y54" s="139">
        <v>161011.5</v>
      </c>
      <c r="Z54" s="139">
        <v>7000.5</v>
      </c>
      <c r="AA54" s="139">
        <v>161011.5</v>
      </c>
      <c r="AB54" s="139">
        <v>7000.5</v>
      </c>
      <c r="AC54" s="139">
        <v>161011.5</v>
      </c>
      <c r="AD54" s="139">
        <v>7000.5</v>
      </c>
      <c r="AE54" s="139">
        <v>161011.5</v>
      </c>
      <c r="AF54" s="139">
        <v>7000.5</v>
      </c>
      <c r="AG54" s="139">
        <v>161011.5</v>
      </c>
      <c r="AH54" s="139">
        <v>7000.5</v>
      </c>
      <c r="AI54" s="139">
        <v>161011.5</v>
      </c>
      <c r="AJ54" s="139">
        <v>7000.5</v>
      </c>
      <c r="AK54" s="139">
        <v>161011.5</v>
      </c>
      <c r="AL54" s="139">
        <v>0</v>
      </c>
      <c r="AM54" s="139">
        <v>7000.5</v>
      </c>
      <c r="AN54" s="139">
        <v>161011.5</v>
      </c>
      <c r="AO54" s="139">
        <v>7000.5</v>
      </c>
      <c r="AP54" s="139">
        <v>161011.5</v>
      </c>
      <c r="AQ54" s="139">
        <v>7000.5</v>
      </c>
      <c r="AR54" s="139">
        <v>161011.5</v>
      </c>
      <c r="AS54" s="139">
        <v>7000.5</v>
      </c>
      <c r="AT54" s="139">
        <v>161011.5</v>
      </c>
      <c r="AU54" s="139">
        <v>7000.5</v>
      </c>
      <c r="AV54" s="139">
        <v>161011.5</v>
      </c>
      <c r="AW54" s="139">
        <v>7000.5</v>
      </c>
      <c r="AX54" s="139">
        <v>161011.5</v>
      </c>
      <c r="AY54" s="139">
        <v>7000.5</v>
      </c>
      <c r="AZ54">
        <f>SUM($D$54:$AY$54)</f>
        <v>3871276.5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2" t="s">
        <v>10</v>
      </c>
      <c r="E2" s="125"/>
    </row>
    <row r="3" spans="1:52" x14ac:dyDescent="0.2">
      <c r="A3" t="s">
        <v>286</v>
      </c>
      <c r="B3" s="122">
        <v>500</v>
      </c>
      <c r="E3" s="125"/>
    </row>
    <row r="4" spans="1:52" x14ac:dyDescent="0.2">
      <c r="A4" s="1"/>
      <c r="C4" s="9" t="s">
        <v>287</v>
      </c>
    </row>
    <row r="5" spans="1:52" x14ac:dyDescent="0.2">
      <c r="B5" s="121"/>
      <c r="C5" s="126">
        <v>0</v>
      </c>
      <c r="D5" s="126">
        <v>1</v>
      </c>
      <c r="E5" s="126">
        <v>2</v>
      </c>
      <c r="F5" s="126">
        <v>3</v>
      </c>
      <c r="G5" s="126">
        <v>4</v>
      </c>
      <c r="H5" s="126">
        <v>5</v>
      </c>
      <c r="I5" s="126">
        <v>6</v>
      </c>
      <c r="J5" s="126">
        <v>7</v>
      </c>
      <c r="K5" s="126">
        <v>8</v>
      </c>
      <c r="L5" s="126">
        <v>9</v>
      </c>
      <c r="M5" s="126">
        <v>10</v>
      </c>
      <c r="N5" s="126">
        <v>11</v>
      </c>
      <c r="O5" s="126">
        <v>12</v>
      </c>
      <c r="P5" s="126">
        <v>13</v>
      </c>
      <c r="Q5" s="126">
        <v>14</v>
      </c>
      <c r="R5" s="126">
        <v>15</v>
      </c>
      <c r="S5" s="126">
        <v>16</v>
      </c>
      <c r="T5" s="126">
        <v>17</v>
      </c>
      <c r="U5" s="126">
        <v>18</v>
      </c>
      <c r="V5" s="126">
        <v>19</v>
      </c>
      <c r="W5" s="126">
        <v>20</v>
      </c>
      <c r="X5" s="126">
        <v>21</v>
      </c>
      <c r="Y5" s="126">
        <v>22</v>
      </c>
      <c r="Z5" s="126">
        <v>23</v>
      </c>
      <c r="AA5" s="126">
        <v>24</v>
      </c>
      <c r="AB5" s="126">
        <v>25</v>
      </c>
      <c r="AC5" s="126">
        <v>26</v>
      </c>
      <c r="AD5" s="126">
        <v>27</v>
      </c>
      <c r="AE5" s="126">
        <v>28</v>
      </c>
      <c r="AF5" s="126">
        <v>29</v>
      </c>
      <c r="AG5" s="126">
        <v>30</v>
      </c>
      <c r="AH5" s="126">
        <v>31</v>
      </c>
      <c r="AI5" s="126">
        <v>32</v>
      </c>
      <c r="AJ5" s="126">
        <v>33</v>
      </c>
      <c r="AK5" s="126">
        <v>34</v>
      </c>
      <c r="AL5" s="126">
        <v>35</v>
      </c>
      <c r="AM5" s="126">
        <v>36</v>
      </c>
      <c r="AN5" s="126">
        <v>37</v>
      </c>
      <c r="AO5" s="126">
        <v>38</v>
      </c>
      <c r="AP5" s="126">
        <v>39</v>
      </c>
      <c r="AQ5" s="126">
        <v>40</v>
      </c>
      <c r="AR5" s="126">
        <v>41</v>
      </c>
      <c r="AS5" s="126">
        <v>42</v>
      </c>
      <c r="AT5" s="126">
        <v>43</v>
      </c>
      <c r="AU5" s="126">
        <v>44</v>
      </c>
      <c r="AV5" s="126">
        <v>45</v>
      </c>
      <c r="AW5" s="126">
        <v>46</v>
      </c>
      <c r="AX5" s="126">
        <v>47</v>
      </c>
      <c r="AY5" s="126">
        <v>48</v>
      </c>
    </row>
    <row r="6" spans="1:52" x14ac:dyDescent="0.2">
      <c r="A6" s="1" t="s">
        <v>304</v>
      </c>
      <c r="B6" s="128"/>
      <c r="C6" s="127" t="s">
        <v>288</v>
      </c>
      <c r="D6" s="126" t="s">
        <v>289</v>
      </c>
      <c r="E6" s="126" t="s">
        <v>289</v>
      </c>
      <c r="F6" s="126" t="s">
        <v>289</v>
      </c>
      <c r="G6" s="126" t="s">
        <v>289</v>
      </c>
      <c r="H6" s="126" t="s">
        <v>289</v>
      </c>
      <c r="I6" s="126" t="s">
        <v>289</v>
      </c>
      <c r="J6" s="126" t="s">
        <v>289</v>
      </c>
      <c r="K6" s="126" t="s">
        <v>289</v>
      </c>
      <c r="L6" s="126" t="s">
        <v>289</v>
      </c>
      <c r="M6" s="126" t="s">
        <v>289</v>
      </c>
      <c r="N6" s="126" t="s">
        <v>289</v>
      </c>
      <c r="O6" s="126" t="s">
        <v>289</v>
      </c>
      <c r="P6" s="126" t="s">
        <v>289</v>
      </c>
      <c r="Q6" s="126" t="s">
        <v>289</v>
      </c>
      <c r="R6" s="126" t="s">
        <v>289</v>
      </c>
      <c r="S6" s="126" t="s">
        <v>289</v>
      </c>
      <c r="T6" s="126" t="s">
        <v>289</v>
      </c>
      <c r="U6" s="126" t="s">
        <v>289</v>
      </c>
      <c r="V6" s="126" t="s">
        <v>289</v>
      </c>
      <c r="W6" s="126" t="s">
        <v>289</v>
      </c>
      <c r="X6" s="126" t="s">
        <v>289</v>
      </c>
      <c r="Y6" s="126" t="s">
        <v>289</v>
      </c>
      <c r="Z6" s="126" t="s">
        <v>289</v>
      </c>
      <c r="AA6" s="126" t="s">
        <v>289</v>
      </c>
      <c r="AB6" s="126" t="s">
        <v>289</v>
      </c>
      <c r="AC6" s="126" t="s">
        <v>289</v>
      </c>
      <c r="AD6" s="126" t="s">
        <v>289</v>
      </c>
      <c r="AE6" s="126" t="s">
        <v>289</v>
      </c>
      <c r="AF6" s="126" t="s">
        <v>289</v>
      </c>
      <c r="AG6" s="126" t="s">
        <v>289</v>
      </c>
      <c r="AH6" s="126" t="s">
        <v>289</v>
      </c>
      <c r="AI6" s="126" t="s">
        <v>289</v>
      </c>
      <c r="AJ6" s="126" t="s">
        <v>289</v>
      </c>
      <c r="AK6" s="126" t="s">
        <v>289</v>
      </c>
      <c r="AL6" s="126" t="s">
        <v>289</v>
      </c>
      <c r="AM6" s="126" t="s">
        <v>289</v>
      </c>
      <c r="AN6" s="126" t="s">
        <v>289</v>
      </c>
      <c r="AO6" s="126" t="s">
        <v>289</v>
      </c>
      <c r="AP6" s="126" t="s">
        <v>289</v>
      </c>
      <c r="AQ6" s="126" t="s">
        <v>289</v>
      </c>
      <c r="AR6" s="126" t="s">
        <v>289</v>
      </c>
      <c r="AS6" s="126" t="s">
        <v>289</v>
      </c>
      <c r="AT6" s="126" t="s">
        <v>289</v>
      </c>
      <c r="AU6" s="126" t="s">
        <v>289</v>
      </c>
      <c r="AV6" s="126" t="s">
        <v>289</v>
      </c>
      <c r="AW6" s="126" t="s">
        <v>289</v>
      </c>
      <c r="AX6" s="126" t="s">
        <v>289</v>
      </c>
      <c r="AY6" s="9" t="s">
        <v>290</v>
      </c>
      <c r="AZ6" s="156" t="s">
        <v>150</v>
      </c>
    </row>
    <row r="7" spans="1:52" x14ac:dyDescent="0.2">
      <c r="A7" s="129" t="s">
        <v>125</v>
      </c>
      <c r="B7" s="157">
        <v>1</v>
      </c>
      <c r="C7" s="158" t="s">
        <v>293</v>
      </c>
      <c r="D7" s="158">
        <v>629.3968412445156</v>
      </c>
      <c r="E7" s="158">
        <v>630.77632569088826</v>
      </c>
      <c r="F7" s="158">
        <v>632.15588352920258</v>
      </c>
      <c r="G7" s="158">
        <v>633.53529350821134</v>
      </c>
      <c r="H7" s="158">
        <v>634.91433430257666</v>
      </c>
      <c r="I7" s="158">
        <v>636.29278455169026</v>
      </c>
      <c r="J7" s="158">
        <v>637.67042289852509</v>
      </c>
      <c r="K7" s="158">
        <v>639.0470280285067</v>
      </c>
      <c r="L7" s="158">
        <v>640.42237870839961</v>
      </c>
      <c r="M7" s="158">
        <v>641.79625382520226</v>
      </c>
      <c r="N7" s="158">
        <v>641.83957149235164</v>
      </c>
      <c r="O7" s="158">
        <v>641.83957149235164</v>
      </c>
      <c r="P7" s="158">
        <v>641.83957149235164</v>
      </c>
      <c r="Q7" s="158">
        <v>641.83957149235164</v>
      </c>
      <c r="R7" s="158">
        <v>641.83957149235164</v>
      </c>
      <c r="S7" s="158">
        <v>641.83957149235164</v>
      </c>
      <c r="T7" s="158">
        <v>641.83957149235164</v>
      </c>
      <c r="U7" s="158">
        <v>641.83957149235164</v>
      </c>
      <c r="V7" s="158">
        <v>641.83957149235164</v>
      </c>
      <c r="W7" s="158">
        <v>641.83957149235164</v>
      </c>
      <c r="X7" s="158">
        <v>641.83957149235164</v>
      </c>
      <c r="Y7" s="158">
        <v>263.23500402542516</v>
      </c>
      <c r="Z7" s="158">
        <v>263.76888279721629</v>
      </c>
      <c r="AA7" s="158">
        <v>641.83957149235164</v>
      </c>
      <c r="AB7" s="158">
        <v>641.83957149235164</v>
      </c>
      <c r="AC7" s="158">
        <v>641.83957149235164</v>
      </c>
      <c r="AD7" s="158">
        <v>641.83957149235164</v>
      </c>
      <c r="AE7" s="158">
        <v>641.83957149235164</v>
      </c>
      <c r="AF7" s="158">
        <v>641.83957149235164</v>
      </c>
      <c r="AG7" s="158">
        <v>641.83957149235164</v>
      </c>
      <c r="AH7" s="158">
        <v>66.991852486804106</v>
      </c>
      <c r="AI7" s="158">
        <v>641.83957149235164</v>
      </c>
      <c r="AJ7" s="158">
        <v>641.83957149235164</v>
      </c>
      <c r="AK7" s="158">
        <v>641.83957149235164</v>
      </c>
      <c r="AL7" s="158">
        <v>641.83957149235164</v>
      </c>
      <c r="AM7" s="158">
        <v>641.83957149235164</v>
      </c>
      <c r="AN7" s="158">
        <v>641.83957149235164</v>
      </c>
      <c r="AO7" s="158">
        <v>641.83957149235164</v>
      </c>
      <c r="AP7" s="158">
        <v>641.83957149235164</v>
      </c>
      <c r="AQ7" s="158">
        <v>641.83957149235164</v>
      </c>
      <c r="AR7" s="158">
        <v>477.72638031431387</v>
      </c>
      <c r="AS7" s="158">
        <v>641.83957149235164</v>
      </c>
      <c r="AT7" s="158">
        <v>68.488310962979284</v>
      </c>
      <c r="AU7" s="158">
        <v>68.60786621573105</v>
      </c>
      <c r="AV7" s="158">
        <v>68.726537475032856</v>
      </c>
      <c r="AW7" s="158">
        <v>641.83957149235164</v>
      </c>
      <c r="AX7" s="158">
        <v>641.83957149235164</v>
      </c>
      <c r="AY7" s="158">
        <v>641.83957149235164</v>
      </c>
      <c r="AZ7" s="121"/>
    </row>
    <row r="8" spans="1:52" x14ac:dyDescent="0.2">
      <c r="A8" s="159"/>
      <c r="B8" s="160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61"/>
    </row>
    <row r="9" spans="1:52" x14ac:dyDescent="0.2">
      <c r="A9" s="1" t="s">
        <v>294</v>
      </c>
      <c r="B9" s="162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1"/>
    </row>
    <row r="10" spans="1:52" x14ac:dyDescent="0.2">
      <c r="A10" s="163" t="s">
        <v>125</v>
      </c>
      <c r="B10" s="164">
        <v>1</v>
      </c>
      <c r="C10" s="158" t="s">
        <v>293</v>
      </c>
      <c r="D10" s="158">
        <f t="shared" ref="D10:AY10" si="0">MAX(SUM(D$14:D$16)+D$7-$B$3,0)</f>
        <v>129.3968412445156</v>
      </c>
      <c r="E10" s="158">
        <f t="shared" si="0"/>
        <v>130.77632569088826</v>
      </c>
      <c r="F10" s="158">
        <f t="shared" si="0"/>
        <v>132.15588352920258</v>
      </c>
      <c r="G10" s="158">
        <f t="shared" si="0"/>
        <v>633.53529350821145</v>
      </c>
      <c r="H10" s="158">
        <f t="shared" si="0"/>
        <v>134.91433430257666</v>
      </c>
      <c r="I10" s="158">
        <f t="shared" si="0"/>
        <v>136.29278455169026</v>
      </c>
      <c r="J10" s="158">
        <f t="shared" si="0"/>
        <v>137.67042289852509</v>
      </c>
      <c r="K10" s="158">
        <f t="shared" si="0"/>
        <v>139.0470280285067</v>
      </c>
      <c r="L10" s="158">
        <f t="shared" si="0"/>
        <v>140.42237870839961</v>
      </c>
      <c r="M10" s="158">
        <f t="shared" si="0"/>
        <v>141.79625382520226</v>
      </c>
      <c r="N10" s="158">
        <f t="shared" si="0"/>
        <v>141.83957149235164</v>
      </c>
      <c r="O10" s="158">
        <f t="shared" si="0"/>
        <v>141.83957149235164</v>
      </c>
      <c r="P10" s="158">
        <f t="shared" si="0"/>
        <v>141.83957149235164</v>
      </c>
      <c r="Q10" s="158">
        <f t="shared" si="0"/>
        <v>141.83957149235164</v>
      </c>
      <c r="R10" s="158">
        <f t="shared" si="0"/>
        <v>641.83957149235175</v>
      </c>
      <c r="S10" s="158">
        <f t="shared" si="0"/>
        <v>141.83957149235164</v>
      </c>
      <c r="T10" s="158">
        <f t="shared" si="0"/>
        <v>141.83957149235164</v>
      </c>
      <c r="U10" s="158">
        <f t="shared" si="0"/>
        <v>141.83957149235164</v>
      </c>
      <c r="V10" s="158">
        <f t="shared" si="0"/>
        <v>641.83957149235175</v>
      </c>
      <c r="W10" s="158">
        <f t="shared" si="0"/>
        <v>141.83957149235164</v>
      </c>
      <c r="X10" s="158">
        <f t="shared" si="0"/>
        <v>141.83957149235164</v>
      </c>
      <c r="Y10" s="158">
        <f t="shared" si="0"/>
        <v>0</v>
      </c>
      <c r="Z10" s="158">
        <f t="shared" si="0"/>
        <v>0</v>
      </c>
      <c r="AA10" s="158">
        <f t="shared" si="0"/>
        <v>141.83957149235164</v>
      </c>
      <c r="AB10" s="158">
        <f t="shared" si="0"/>
        <v>141.83957149235164</v>
      </c>
      <c r="AC10" s="158">
        <f t="shared" si="0"/>
        <v>141.83957149235164</v>
      </c>
      <c r="AD10" s="158">
        <f t="shared" si="0"/>
        <v>141.83957149235164</v>
      </c>
      <c r="AE10" s="158">
        <f t="shared" si="0"/>
        <v>141.83957149235164</v>
      </c>
      <c r="AF10" s="158">
        <f t="shared" si="0"/>
        <v>141.83957149235164</v>
      </c>
      <c r="AG10" s="158">
        <f t="shared" si="0"/>
        <v>141.83957149235164</v>
      </c>
      <c r="AH10" s="158">
        <f t="shared" si="0"/>
        <v>0</v>
      </c>
      <c r="AI10" s="158">
        <f t="shared" si="0"/>
        <v>141.83957149235164</v>
      </c>
      <c r="AJ10" s="158">
        <f t="shared" si="0"/>
        <v>141.83957149235164</v>
      </c>
      <c r="AK10" s="158">
        <f t="shared" si="0"/>
        <v>141.83957149235164</v>
      </c>
      <c r="AL10" s="158">
        <f t="shared" si="0"/>
        <v>141.83957149235164</v>
      </c>
      <c r="AM10" s="158">
        <f t="shared" si="0"/>
        <v>141.83957149235164</v>
      </c>
      <c r="AN10" s="158">
        <f t="shared" si="0"/>
        <v>141.83957149235164</v>
      </c>
      <c r="AO10" s="158">
        <f t="shared" si="0"/>
        <v>141.83957149235164</v>
      </c>
      <c r="AP10" s="158">
        <f t="shared" si="0"/>
        <v>141.83957149235164</v>
      </c>
      <c r="AQ10" s="158">
        <f t="shared" si="0"/>
        <v>141.83957149235164</v>
      </c>
      <c r="AR10" s="158">
        <f t="shared" si="0"/>
        <v>0</v>
      </c>
      <c r="AS10" s="158">
        <f t="shared" si="0"/>
        <v>141.83957149235164</v>
      </c>
      <c r="AT10" s="158">
        <f t="shared" si="0"/>
        <v>68.488310962979313</v>
      </c>
      <c r="AU10" s="158">
        <f t="shared" si="0"/>
        <v>0</v>
      </c>
      <c r="AV10" s="158">
        <f t="shared" si="0"/>
        <v>0</v>
      </c>
      <c r="AW10" s="158">
        <f t="shared" si="0"/>
        <v>141.83957149235164</v>
      </c>
      <c r="AX10" s="158">
        <f t="shared" si="0"/>
        <v>141.83957149235164</v>
      </c>
      <c r="AY10" s="158">
        <f t="shared" si="0"/>
        <v>141.83957149235164</v>
      </c>
      <c r="AZ10" s="165">
        <f>SUM($D10:$AY10)</f>
        <v>7321.5225735136019</v>
      </c>
    </row>
    <row r="11" spans="1:52" x14ac:dyDescent="0.2">
      <c r="C11" s="125"/>
    </row>
    <row r="12" spans="1:52" x14ac:dyDescent="0.2">
      <c r="A12" s="166" t="s">
        <v>295</v>
      </c>
      <c r="B12" s="160"/>
      <c r="C12" s="125"/>
    </row>
    <row r="13" spans="1:52" x14ac:dyDescent="0.2">
      <c r="A13" s="136" t="s">
        <v>125</v>
      </c>
      <c r="B13" s="137">
        <v>1</v>
      </c>
      <c r="C13" s="138">
        <v>500</v>
      </c>
      <c r="D13" s="152">
        <f t="shared" ref="D13:AY13" si="1">D$7-D$10</f>
        <v>500</v>
      </c>
      <c r="E13" s="152">
        <f t="shared" si="1"/>
        <v>500</v>
      </c>
      <c r="F13" s="152">
        <f t="shared" si="1"/>
        <v>500</v>
      </c>
      <c r="G13" s="152">
        <f t="shared" si="1"/>
        <v>0</v>
      </c>
      <c r="H13" s="152">
        <f t="shared" si="1"/>
        <v>500</v>
      </c>
      <c r="I13" s="152">
        <f t="shared" si="1"/>
        <v>500</v>
      </c>
      <c r="J13" s="152">
        <f t="shared" si="1"/>
        <v>500</v>
      </c>
      <c r="K13" s="152">
        <f t="shared" si="1"/>
        <v>500</v>
      </c>
      <c r="L13" s="152">
        <f t="shared" si="1"/>
        <v>500</v>
      </c>
      <c r="M13" s="152">
        <f t="shared" si="1"/>
        <v>500</v>
      </c>
      <c r="N13" s="152">
        <f t="shared" si="1"/>
        <v>500</v>
      </c>
      <c r="O13" s="152">
        <f t="shared" si="1"/>
        <v>500</v>
      </c>
      <c r="P13" s="152">
        <f t="shared" si="1"/>
        <v>500</v>
      </c>
      <c r="Q13" s="152">
        <f t="shared" si="1"/>
        <v>500</v>
      </c>
      <c r="R13" s="152">
        <f t="shared" si="1"/>
        <v>0</v>
      </c>
      <c r="S13" s="152">
        <f t="shared" si="1"/>
        <v>500</v>
      </c>
      <c r="T13" s="152">
        <f t="shared" si="1"/>
        <v>500</v>
      </c>
      <c r="U13" s="152">
        <f t="shared" si="1"/>
        <v>500</v>
      </c>
      <c r="V13" s="152">
        <f t="shared" si="1"/>
        <v>0</v>
      </c>
      <c r="W13" s="152">
        <f t="shared" si="1"/>
        <v>500</v>
      </c>
      <c r="X13" s="152">
        <f t="shared" si="1"/>
        <v>500</v>
      </c>
      <c r="Y13" s="152">
        <f t="shared" si="1"/>
        <v>263.23500402542516</v>
      </c>
      <c r="Z13" s="152">
        <f t="shared" si="1"/>
        <v>263.76888279721629</v>
      </c>
      <c r="AA13" s="152">
        <f t="shared" si="1"/>
        <v>500</v>
      </c>
      <c r="AB13" s="152">
        <f t="shared" si="1"/>
        <v>500</v>
      </c>
      <c r="AC13" s="152">
        <f t="shared" si="1"/>
        <v>500</v>
      </c>
      <c r="AD13" s="152">
        <f t="shared" si="1"/>
        <v>500</v>
      </c>
      <c r="AE13" s="152">
        <f t="shared" si="1"/>
        <v>500</v>
      </c>
      <c r="AF13" s="152">
        <f t="shared" si="1"/>
        <v>500</v>
      </c>
      <c r="AG13" s="152">
        <f t="shared" si="1"/>
        <v>500</v>
      </c>
      <c r="AH13" s="152">
        <f t="shared" si="1"/>
        <v>66.991852486804106</v>
      </c>
      <c r="AI13" s="152">
        <f t="shared" si="1"/>
        <v>500</v>
      </c>
      <c r="AJ13" s="152">
        <f t="shared" si="1"/>
        <v>500</v>
      </c>
      <c r="AK13" s="152">
        <f t="shared" si="1"/>
        <v>500</v>
      </c>
      <c r="AL13" s="152">
        <f t="shared" si="1"/>
        <v>500</v>
      </c>
      <c r="AM13" s="152">
        <f t="shared" si="1"/>
        <v>500</v>
      </c>
      <c r="AN13" s="152">
        <f t="shared" si="1"/>
        <v>500</v>
      </c>
      <c r="AO13" s="152">
        <f t="shared" si="1"/>
        <v>500</v>
      </c>
      <c r="AP13" s="152">
        <f t="shared" si="1"/>
        <v>500</v>
      </c>
      <c r="AQ13" s="152">
        <f t="shared" si="1"/>
        <v>500</v>
      </c>
      <c r="AR13" s="152">
        <f t="shared" si="1"/>
        <v>477.72638031431387</v>
      </c>
      <c r="AS13" s="152">
        <f t="shared" si="1"/>
        <v>500</v>
      </c>
      <c r="AT13" s="152">
        <f t="shared" si="1"/>
        <v>0</v>
      </c>
      <c r="AU13" s="152">
        <f t="shared" si="1"/>
        <v>68.60786621573105</v>
      </c>
      <c r="AV13" s="152">
        <f t="shared" si="1"/>
        <v>68.726537475032856</v>
      </c>
      <c r="AW13" s="152">
        <f t="shared" si="1"/>
        <v>500</v>
      </c>
      <c r="AX13" s="152">
        <f t="shared" si="1"/>
        <v>500</v>
      </c>
      <c r="AY13" s="152">
        <f t="shared" si="1"/>
        <v>500</v>
      </c>
      <c r="AZ13" s="124"/>
    </row>
    <row r="14" spans="1:52" x14ac:dyDescent="0.2">
      <c r="A14" s="125"/>
      <c r="B14" s="134">
        <v>2</v>
      </c>
      <c r="C14" s="125">
        <v>0</v>
      </c>
      <c r="D14" s="121">
        <f>IF(C$20="Yes",C13,0)</f>
        <v>0</v>
      </c>
      <c r="E14" s="121">
        <f t="shared" ref="E14:AY17" si="2">IF(D$20="Yes",D13,0)</f>
        <v>0</v>
      </c>
      <c r="F14" s="121">
        <f t="shared" si="2"/>
        <v>0</v>
      </c>
      <c r="G14" s="121">
        <f t="shared" si="2"/>
        <v>500</v>
      </c>
      <c r="H14" s="121">
        <f t="shared" si="2"/>
        <v>0</v>
      </c>
      <c r="I14" s="121">
        <f t="shared" si="2"/>
        <v>0</v>
      </c>
      <c r="J14" s="121">
        <f t="shared" si="2"/>
        <v>0</v>
      </c>
      <c r="K14" s="121">
        <f t="shared" si="2"/>
        <v>0</v>
      </c>
      <c r="L14" s="121">
        <f t="shared" si="2"/>
        <v>0</v>
      </c>
      <c r="M14" s="121">
        <f t="shared" si="2"/>
        <v>0</v>
      </c>
      <c r="N14" s="121">
        <f t="shared" si="2"/>
        <v>0</v>
      </c>
      <c r="O14" s="121">
        <f t="shared" si="2"/>
        <v>0</v>
      </c>
      <c r="P14" s="121">
        <f t="shared" si="2"/>
        <v>0</v>
      </c>
      <c r="Q14" s="121">
        <f t="shared" si="2"/>
        <v>0</v>
      </c>
      <c r="R14" s="121">
        <f t="shared" si="2"/>
        <v>500</v>
      </c>
      <c r="S14" s="121">
        <f t="shared" si="2"/>
        <v>0</v>
      </c>
      <c r="T14" s="121">
        <f t="shared" si="2"/>
        <v>0</v>
      </c>
      <c r="U14" s="121">
        <f t="shared" si="2"/>
        <v>0</v>
      </c>
      <c r="V14" s="121">
        <f t="shared" si="2"/>
        <v>500</v>
      </c>
      <c r="W14" s="121">
        <f t="shared" si="2"/>
        <v>0</v>
      </c>
      <c r="X14" s="121">
        <f t="shared" si="2"/>
        <v>0</v>
      </c>
      <c r="Y14" s="121">
        <f t="shared" si="2"/>
        <v>0</v>
      </c>
      <c r="Z14" s="121">
        <f t="shared" si="2"/>
        <v>0</v>
      </c>
      <c r="AA14" s="121">
        <f t="shared" si="2"/>
        <v>0</v>
      </c>
      <c r="AB14" s="121">
        <f t="shared" si="2"/>
        <v>0</v>
      </c>
      <c r="AC14" s="121">
        <f t="shared" si="2"/>
        <v>0</v>
      </c>
      <c r="AD14" s="121">
        <f t="shared" si="2"/>
        <v>0</v>
      </c>
      <c r="AE14" s="121">
        <f t="shared" si="2"/>
        <v>0</v>
      </c>
      <c r="AF14" s="121">
        <f t="shared" si="2"/>
        <v>0</v>
      </c>
      <c r="AG14" s="121">
        <f t="shared" si="2"/>
        <v>0</v>
      </c>
      <c r="AH14" s="121">
        <f t="shared" si="2"/>
        <v>0</v>
      </c>
      <c r="AI14" s="121">
        <f t="shared" si="2"/>
        <v>0</v>
      </c>
      <c r="AJ14" s="121">
        <f t="shared" si="2"/>
        <v>0</v>
      </c>
      <c r="AK14" s="121">
        <f t="shared" si="2"/>
        <v>0</v>
      </c>
      <c r="AL14" s="121">
        <f t="shared" si="2"/>
        <v>0</v>
      </c>
      <c r="AM14" s="121">
        <f t="shared" si="2"/>
        <v>0</v>
      </c>
      <c r="AN14" s="121">
        <f t="shared" si="2"/>
        <v>0</v>
      </c>
      <c r="AO14" s="121">
        <f t="shared" si="2"/>
        <v>0</v>
      </c>
      <c r="AP14" s="121">
        <f t="shared" si="2"/>
        <v>0</v>
      </c>
      <c r="AQ14" s="121">
        <f t="shared" si="2"/>
        <v>0</v>
      </c>
      <c r="AR14" s="121">
        <f t="shared" si="2"/>
        <v>0</v>
      </c>
      <c r="AS14" s="121">
        <f t="shared" si="2"/>
        <v>0</v>
      </c>
      <c r="AT14" s="121">
        <f t="shared" si="2"/>
        <v>500</v>
      </c>
      <c r="AU14" s="121">
        <f t="shared" si="2"/>
        <v>0</v>
      </c>
      <c r="AV14" s="121">
        <f t="shared" si="2"/>
        <v>0</v>
      </c>
      <c r="AW14" s="121">
        <f t="shared" si="2"/>
        <v>0</v>
      </c>
      <c r="AX14" s="121">
        <f t="shared" si="2"/>
        <v>0</v>
      </c>
      <c r="AY14" s="121">
        <f t="shared" si="2"/>
        <v>0</v>
      </c>
      <c r="AZ14" s="124"/>
    </row>
    <row r="15" spans="1:52" x14ac:dyDescent="0.2">
      <c r="A15" s="125"/>
      <c r="B15" s="141">
        <v>3</v>
      </c>
      <c r="C15" s="125">
        <v>0</v>
      </c>
      <c r="D15" s="121">
        <f>IF(C$20="Yes",C14,0)</f>
        <v>0</v>
      </c>
      <c r="E15" s="121">
        <f t="shared" si="2"/>
        <v>0</v>
      </c>
      <c r="F15" s="121">
        <f t="shared" si="2"/>
        <v>0</v>
      </c>
      <c r="G15" s="121">
        <f t="shared" si="2"/>
        <v>0</v>
      </c>
      <c r="H15" s="121">
        <f t="shared" si="2"/>
        <v>0</v>
      </c>
      <c r="I15" s="121">
        <f t="shared" si="2"/>
        <v>0</v>
      </c>
      <c r="J15" s="121">
        <f t="shared" si="2"/>
        <v>0</v>
      </c>
      <c r="K15" s="121">
        <f t="shared" si="2"/>
        <v>0</v>
      </c>
      <c r="L15" s="121">
        <f t="shared" si="2"/>
        <v>0</v>
      </c>
      <c r="M15" s="121">
        <f t="shared" si="2"/>
        <v>0</v>
      </c>
      <c r="N15" s="121">
        <f t="shared" si="2"/>
        <v>0</v>
      </c>
      <c r="O15" s="121">
        <f t="shared" si="2"/>
        <v>0</v>
      </c>
      <c r="P15" s="121">
        <f t="shared" si="2"/>
        <v>0</v>
      </c>
      <c r="Q15" s="121">
        <f t="shared" si="2"/>
        <v>0</v>
      </c>
      <c r="R15" s="121">
        <f t="shared" si="2"/>
        <v>0</v>
      </c>
      <c r="S15" s="121">
        <f t="shared" si="2"/>
        <v>0</v>
      </c>
      <c r="T15" s="121">
        <f t="shared" si="2"/>
        <v>0</v>
      </c>
      <c r="U15" s="121">
        <f t="shared" si="2"/>
        <v>0</v>
      </c>
      <c r="V15" s="121">
        <f t="shared" si="2"/>
        <v>0</v>
      </c>
      <c r="W15" s="121">
        <f t="shared" si="2"/>
        <v>0</v>
      </c>
      <c r="X15" s="121">
        <f t="shared" si="2"/>
        <v>0</v>
      </c>
      <c r="Y15" s="121">
        <f t="shared" si="2"/>
        <v>0</v>
      </c>
      <c r="Z15" s="121">
        <f t="shared" si="2"/>
        <v>0</v>
      </c>
      <c r="AA15" s="121">
        <f t="shared" si="2"/>
        <v>0</v>
      </c>
      <c r="AB15" s="121">
        <f t="shared" si="2"/>
        <v>0</v>
      </c>
      <c r="AC15" s="121">
        <f t="shared" si="2"/>
        <v>0</v>
      </c>
      <c r="AD15" s="121">
        <f t="shared" si="2"/>
        <v>0</v>
      </c>
      <c r="AE15" s="121">
        <f t="shared" si="2"/>
        <v>0</v>
      </c>
      <c r="AF15" s="121">
        <f t="shared" si="2"/>
        <v>0</v>
      </c>
      <c r="AG15" s="121">
        <f t="shared" si="2"/>
        <v>0</v>
      </c>
      <c r="AH15" s="121">
        <f t="shared" si="2"/>
        <v>0</v>
      </c>
      <c r="AI15" s="121">
        <f t="shared" si="2"/>
        <v>0</v>
      </c>
      <c r="AJ15" s="121">
        <f t="shared" si="2"/>
        <v>0</v>
      </c>
      <c r="AK15" s="121">
        <f t="shared" si="2"/>
        <v>0</v>
      </c>
      <c r="AL15" s="121">
        <f t="shared" si="2"/>
        <v>0</v>
      </c>
      <c r="AM15" s="121">
        <f t="shared" si="2"/>
        <v>0</v>
      </c>
      <c r="AN15" s="121">
        <f t="shared" si="2"/>
        <v>0</v>
      </c>
      <c r="AO15" s="121">
        <f t="shared" si="2"/>
        <v>0</v>
      </c>
      <c r="AP15" s="121">
        <f t="shared" si="2"/>
        <v>0</v>
      </c>
      <c r="AQ15" s="121">
        <f t="shared" si="2"/>
        <v>0</v>
      </c>
      <c r="AR15" s="121">
        <f t="shared" si="2"/>
        <v>0</v>
      </c>
      <c r="AS15" s="121">
        <f t="shared" si="2"/>
        <v>0</v>
      </c>
      <c r="AT15" s="121">
        <f t="shared" si="2"/>
        <v>0</v>
      </c>
      <c r="AU15" s="121">
        <f t="shared" si="2"/>
        <v>0</v>
      </c>
      <c r="AV15" s="121">
        <f t="shared" si="2"/>
        <v>0</v>
      </c>
      <c r="AW15" s="121">
        <f t="shared" si="2"/>
        <v>0</v>
      </c>
      <c r="AX15" s="121">
        <f t="shared" si="2"/>
        <v>0</v>
      </c>
      <c r="AY15" s="121">
        <f t="shared" si="2"/>
        <v>0</v>
      </c>
      <c r="AZ15" s="124"/>
    </row>
    <row r="16" spans="1:52" x14ac:dyDescent="0.2">
      <c r="A16" s="125"/>
      <c r="B16" s="144">
        <v>4</v>
      </c>
      <c r="C16" s="125">
        <v>0</v>
      </c>
      <c r="D16" s="121">
        <f>IF(C$20="Yes",C15,0)</f>
        <v>0</v>
      </c>
      <c r="E16" s="121">
        <f t="shared" si="2"/>
        <v>0</v>
      </c>
      <c r="F16" s="121">
        <f t="shared" si="2"/>
        <v>0</v>
      </c>
      <c r="G16" s="121">
        <f t="shared" si="2"/>
        <v>0</v>
      </c>
      <c r="H16" s="121">
        <f t="shared" si="2"/>
        <v>0</v>
      </c>
      <c r="I16" s="121">
        <f t="shared" si="2"/>
        <v>0</v>
      </c>
      <c r="J16" s="121">
        <f t="shared" si="2"/>
        <v>0</v>
      </c>
      <c r="K16" s="121">
        <f t="shared" si="2"/>
        <v>0</v>
      </c>
      <c r="L16" s="121">
        <f t="shared" si="2"/>
        <v>0</v>
      </c>
      <c r="M16" s="121">
        <f t="shared" si="2"/>
        <v>0</v>
      </c>
      <c r="N16" s="121">
        <f t="shared" si="2"/>
        <v>0</v>
      </c>
      <c r="O16" s="121">
        <f t="shared" si="2"/>
        <v>0</v>
      </c>
      <c r="P16" s="121">
        <f t="shared" si="2"/>
        <v>0</v>
      </c>
      <c r="Q16" s="121">
        <f t="shared" si="2"/>
        <v>0</v>
      </c>
      <c r="R16" s="121">
        <f t="shared" si="2"/>
        <v>0</v>
      </c>
      <c r="S16" s="121">
        <f t="shared" si="2"/>
        <v>0</v>
      </c>
      <c r="T16" s="121">
        <f t="shared" si="2"/>
        <v>0</v>
      </c>
      <c r="U16" s="121">
        <f t="shared" si="2"/>
        <v>0</v>
      </c>
      <c r="V16" s="121">
        <f t="shared" si="2"/>
        <v>0</v>
      </c>
      <c r="W16" s="121">
        <f t="shared" si="2"/>
        <v>0</v>
      </c>
      <c r="X16" s="121">
        <f t="shared" si="2"/>
        <v>0</v>
      </c>
      <c r="Y16" s="121">
        <f t="shared" si="2"/>
        <v>0</v>
      </c>
      <c r="Z16" s="121">
        <f t="shared" si="2"/>
        <v>0</v>
      </c>
      <c r="AA16" s="121">
        <f t="shared" si="2"/>
        <v>0</v>
      </c>
      <c r="AB16" s="121">
        <f t="shared" si="2"/>
        <v>0</v>
      </c>
      <c r="AC16" s="121">
        <f t="shared" si="2"/>
        <v>0</v>
      </c>
      <c r="AD16" s="121">
        <f t="shared" si="2"/>
        <v>0</v>
      </c>
      <c r="AE16" s="121">
        <f t="shared" si="2"/>
        <v>0</v>
      </c>
      <c r="AF16" s="121">
        <f t="shared" si="2"/>
        <v>0</v>
      </c>
      <c r="AG16" s="121">
        <f t="shared" si="2"/>
        <v>0</v>
      </c>
      <c r="AH16" s="121">
        <f t="shared" si="2"/>
        <v>0</v>
      </c>
      <c r="AI16" s="121">
        <f t="shared" si="2"/>
        <v>0</v>
      </c>
      <c r="AJ16" s="121">
        <f t="shared" si="2"/>
        <v>0</v>
      </c>
      <c r="AK16" s="121">
        <f t="shared" si="2"/>
        <v>0</v>
      </c>
      <c r="AL16" s="121">
        <f t="shared" si="2"/>
        <v>0</v>
      </c>
      <c r="AM16" s="121">
        <f t="shared" si="2"/>
        <v>0</v>
      </c>
      <c r="AN16" s="121">
        <f t="shared" si="2"/>
        <v>0</v>
      </c>
      <c r="AO16" s="121">
        <f t="shared" si="2"/>
        <v>0</v>
      </c>
      <c r="AP16" s="121">
        <f t="shared" si="2"/>
        <v>0</v>
      </c>
      <c r="AQ16" s="121">
        <f t="shared" si="2"/>
        <v>0</v>
      </c>
      <c r="AR16" s="121">
        <f t="shared" si="2"/>
        <v>0</v>
      </c>
      <c r="AS16" s="121">
        <f t="shared" si="2"/>
        <v>0</v>
      </c>
      <c r="AT16" s="121">
        <f t="shared" si="2"/>
        <v>0</v>
      </c>
      <c r="AU16" s="121">
        <f t="shared" si="2"/>
        <v>0</v>
      </c>
      <c r="AV16" s="121">
        <f t="shared" si="2"/>
        <v>0</v>
      </c>
      <c r="AW16" s="121">
        <f t="shared" si="2"/>
        <v>0</v>
      </c>
      <c r="AX16" s="121">
        <f t="shared" si="2"/>
        <v>0</v>
      </c>
      <c r="AY16" s="121">
        <f t="shared" si="2"/>
        <v>0</v>
      </c>
      <c r="AZ16" s="142"/>
    </row>
    <row r="17" spans="1:52" x14ac:dyDescent="0.2">
      <c r="A17" s="139"/>
      <c r="B17" s="146" t="s">
        <v>296</v>
      </c>
      <c r="C17" s="139">
        <v>0</v>
      </c>
      <c r="D17" s="128">
        <f>IF(C$20="Yes",C16,0)</f>
        <v>0</v>
      </c>
      <c r="E17" s="128">
        <f t="shared" si="2"/>
        <v>0</v>
      </c>
      <c r="F17" s="128">
        <f t="shared" si="2"/>
        <v>0</v>
      </c>
      <c r="G17" s="128">
        <f t="shared" si="2"/>
        <v>0</v>
      </c>
      <c r="H17" s="128">
        <f t="shared" si="2"/>
        <v>0</v>
      </c>
      <c r="I17" s="128">
        <f t="shared" si="2"/>
        <v>0</v>
      </c>
      <c r="J17" s="128">
        <f t="shared" si="2"/>
        <v>0</v>
      </c>
      <c r="K17" s="128">
        <f t="shared" si="2"/>
        <v>0</v>
      </c>
      <c r="L17" s="128">
        <f t="shared" si="2"/>
        <v>0</v>
      </c>
      <c r="M17" s="128">
        <f t="shared" si="2"/>
        <v>0</v>
      </c>
      <c r="N17" s="128">
        <f t="shared" si="2"/>
        <v>0</v>
      </c>
      <c r="O17" s="128">
        <f t="shared" si="2"/>
        <v>0</v>
      </c>
      <c r="P17" s="128">
        <f t="shared" si="2"/>
        <v>0</v>
      </c>
      <c r="Q17" s="128">
        <f t="shared" si="2"/>
        <v>0</v>
      </c>
      <c r="R17" s="128">
        <f t="shared" si="2"/>
        <v>0</v>
      </c>
      <c r="S17" s="128">
        <f t="shared" si="2"/>
        <v>0</v>
      </c>
      <c r="T17" s="128">
        <f t="shared" si="2"/>
        <v>0</v>
      </c>
      <c r="U17" s="128">
        <f t="shared" si="2"/>
        <v>0</v>
      </c>
      <c r="V17" s="128">
        <f t="shared" si="2"/>
        <v>0</v>
      </c>
      <c r="W17" s="128">
        <f t="shared" si="2"/>
        <v>0</v>
      </c>
      <c r="X17" s="128">
        <f t="shared" si="2"/>
        <v>0</v>
      </c>
      <c r="Y17" s="128">
        <f t="shared" si="2"/>
        <v>0</v>
      </c>
      <c r="Z17" s="128">
        <f t="shared" si="2"/>
        <v>0</v>
      </c>
      <c r="AA17" s="128">
        <f t="shared" si="2"/>
        <v>0</v>
      </c>
      <c r="AB17" s="128">
        <f t="shared" si="2"/>
        <v>0</v>
      </c>
      <c r="AC17" s="128">
        <f t="shared" si="2"/>
        <v>0</v>
      </c>
      <c r="AD17" s="128">
        <f t="shared" si="2"/>
        <v>0</v>
      </c>
      <c r="AE17" s="128">
        <f t="shared" si="2"/>
        <v>0</v>
      </c>
      <c r="AF17" s="128">
        <f t="shared" si="2"/>
        <v>0</v>
      </c>
      <c r="AG17" s="128">
        <f t="shared" si="2"/>
        <v>0</v>
      </c>
      <c r="AH17" s="128">
        <f t="shared" si="2"/>
        <v>0</v>
      </c>
      <c r="AI17" s="128">
        <f t="shared" si="2"/>
        <v>0</v>
      </c>
      <c r="AJ17" s="128">
        <f t="shared" si="2"/>
        <v>0</v>
      </c>
      <c r="AK17" s="128">
        <f t="shared" si="2"/>
        <v>0</v>
      </c>
      <c r="AL17" s="128">
        <f t="shared" si="2"/>
        <v>0</v>
      </c>
      <c r="AM17" s="128">
        <f t="shared" si="2"/>
        <v>0</v>
      </c>
      <c r="AN17" s="128">
        <f t="shared" si="2"/>
        <v>0</v>
      </c>
      <c r="AO17" s="128">
        <f t="shared" si="2"/>
        <v>0</v>
      </c>
      <c r="AP17" s="128">
        <f t="shared" si="2"/>
        <v>0</v>
      </c>
      <c r="AQ17" s="128">
        <f t="shared" si="2"/>
        <v>0</v>
      </c>
      <c r="AR17" s="128">
        <f t="shared" si="2"/>
        <v>0</v>
      </c>
      <c r="AS17" s="128">
        <f t="shared" si="2"/>
        <v>0</v>
      </c>
      <c r="AT17" s="128">
        <f t="shared" si="2"/>
        <v>0</v>
      </c>
      <c r="AU17" s="128">
        <f t="shared" si="2"/>
        <v>0</v>
      </c>
      <c r="AV17" s="128">
        <f t="shared" si="2"/>
        <v>0</v>
      </c>
      <c r="AW17" s="128">
        <f t="shared" si="2"/>
        <v>0</v>
      </c>
      <c r="AX17" s="128">
        <f t="shared" si="2"/>
        <v>0</v>
      </c>
      <c r="AY17" s="128">
        <f t="shared" si="2"/>
        <v>0</v>
      </c>
      <c r="AZ17" s="165">
        <f>SUM($D$17:$AY$17)</f>
        <v>0</v>
      </c>
    </row>
    <row r="18" spans="1:52" x14ac:dyDescent="0.2">
      <c r="A18" s="121"/>
      <c r="B18" s="167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  <c r="AM18" s="152"/>
      <c r="AN18" s="152"/>
      <c r="AO18" s="152"/>
      <c r="AP18" s="152"/>
      <c r="AQ18" s="152"/>
      <c r="AR18" s="152"/>
      <c r="AS18" s="152"/>
      <c r="AT18" s="152"/>
      <c r="AU18" s="152"/>
      <c r="AV18" s="152"/>
      <c r="AW18" s="152"/>
      <c r="AX18" s="152"/>
      <c r="AY18" s="152"/>
      <c r="AZ18" s="121"/>
    </row>
    <row r="19" spans="1:52" x14ac:dyDescent="0.2">
      <c r="A19" s="1" t="s">
        <v>116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</row>
    <row r="20" spans="1:52" s="125" customFormat="1" x14ac:dyDescent="0.2">
      <c r="A20" s="129" t="s">
        <v>305</v>
      </c>
      <c r="B20" s="168" t="s">
        <v>306</v>
      </c>
      <c r="C20" s="131"/>
      <c r="D20" s="131"/>
      <c r="E20" s="131"/>
      <c r="F20" s="131" t="s">
        <v>339</v>
      </c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 t="s">
        <v>339</v>
      </c>
      <c r="R20" s="131"/>
      <c r="S20" s="131"/>
      <c r="T20" s="131"/>
      <c r="U20" s="131" t="s">
        <v>339</v>
      </c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/>
      <c r="AO20" s="131"/>
      <c r="AP20" s="131"/>
      <c r="AQ20" s="131"/>
      <c r="AR20" s="131"/>
      <c r="AS20" s="131" t="s">
        <v>339</v>
      </c>
      <c r="AT20" s="131"/>
      <c r="AU20" s="131"/>
      <c r="AV20" s="131"/>
      <c r="AW20" s="131"/>
      <c r="AX20" s="131"/>
      <c r="AY20" s="131" t="s">
        <v>339</v>
      </c>
      <c r="AZ20" s="122"/>
    </row>
    <row r="21" spans="1:52" s="125" customFormat="1" x14ac:dyDescent="0.2">
      <c r="A21" s="169" t="s">
        <v>133</v>
      </c>
      <c r="B21" s="170">
        <f>shipping_manufacturing!$E$19/100</f>
        <v>1</v>
      </c>
      <c r="C21" s="170" t="s">
        <v>293</v>
      </c>
      <c r="D21" s="121">
        <f>IF(C$20="Yes",0,SUM(C$13:C$16)*$B$21)</f>
        <v>500</v>
      </c>
      <c r="E21" s="121">
        <f t="shared" ref="E21:AY21" si="3">IF(D$20="Yes",0,SUM(D$13:D$16)*$B$21)</f>
        <v>500</v>
      </c>
      <c r="F21" s="121">
        <f t="shared" si="3"/>
        <v>500</v>
      </c>
      <c r="G21" s="121">
        <f t="shared" si="3"/>
        <v>0</v>
      </c>
      <c r="H21" s="121">
        <f t="shared" si="3"/>
        <v>500</v>
      </c>
      <c r="I21" s="121">
        <f t="shared" si="3"/>
        <v>500</v>
      </c>
      <c r="J21" s="121">
        <f t="shared" si="3"/>
        <v>500</v>
      </c>
      <c r="K21" s="121">
        <f t="shared" si="3"/>
        <v>500</v>
      </c>
      <c r="L21" s="121">
        <f t="shared" si="3"/>
        <v>500</v>
      </c>
      <c r="M21" s="121">
        <f t="shared" si="3"/>
        <v>500</v>
      </c>
      <c r="N21" s="121">
        <f t="shared" si="3"/>
        <v>500</v>
      </c>
      <c r="O21" s="121">
        <f t="shared" si="3"/>
        <v>500</v>
      </c>
      <c r="P21" s="121">
        <f t="shared" si="3"/>
        <v>500</v>
      </c>
      <c r="Q21" s="121">
        <f t="shared" si="3"/>
        <v>500</v>
      </c>
      <c r="R21" s="121">
        <f t="shared" si="3"/>
        <v>0</v>
      </c>
      <c r="S21" s="121">
        <f t="shared" si="3"/>
        <v>500</v>
      </c>
      <c r="T21" s="121">
        <f t="shared" si="3"/>
        <v>500</v>
      </c>
      <c r="U21" s="121">
        <f t="shared" si="3"/>
        <v>500</v>
      </c>
      <c r="V21" s="121">
        <f t="shared" si="3"/>
        <v>0</v>
      </c>
      <c r="W21" s="121">
        <f t="shared" si="3"/>
        <v>500</v>
      </c>
      <c r="X21" s="121">
        <f t="shared" si="3"/>
        <v>500</v>
      </c>
      <c r="Y21" s="121">
        <f t="shared" si="3"/>
        <v>500</v>
      </c>
      <c r="Z21" s="121">
        <f t="shared" si="3"/>
        <v>263.23500402542516</v>
      </c>
      <c r="AA21" s="121">
        <f t="shared" si="3"/>
        <v>263.76888279721629</v>
      </c>
      <c r="AB21" s="121">
        <f t="shared" si="3"/>
        <v>500</v>
      </c>
      <c r="AC21" s="121">
        <f t="shared" si="3"/>
        <v>500</v>
      </c>
      <c r="AD21" s="121">
        <f t="shared" si="3"/>
        <v>500</v>
      </c>
      <c r="AE21" s="121">
        <f t="shared" si="3"/>
        <v>500</v>
      </c>
      <c r="AF21" s="121">
        <f t="shared" si="3"/>
        <v>500</v>
      </c>
      <c r="AG21" s="121">
        <f t="shared" si="3"/>
        <v>500</v>
      </c>
      <c r="AH21" s="121">
        <f t="shared" si="3"/>
        <v>500</v>
      </c>
      <c r="AI21" s="121">
        <f t="shared" si="3"/>
        <v>66.991852486804106</v>
      </c>
      <c r="AJ21" s="121">
        <f t="shared" si="3"/>
        <v>500</v>
      </c>
      <c r="AK21" s="121">
        <f t="shared" si="3"/>
        <v>500</v>
      </c>
      <c r="AL21" s="121">
        <f t="shared" si="3"/>
        <v>500</v>
      </c>
      <c r="AM21" s="121">
        <f t="shared" si="3"/>
        <v>500</v>
      </c>
      <c r="AN21" s="121">
        <f t="shared" si="3"/>
        <v>500</v>
      </c>
      <c r="AO21" s="121">
        <f t="shared" si="3"/>
        <v>500</v>
      </c>
      <c r="AP21" s="121">
        <f t="shared" si="3"/>
        <v>500</v>
      </c>
      <c r="AQ21" s="121">
        <f t="shared" si="3"/>
        <v>500</v>
      </c>
      <c r="AR21" s="121">
        <f t="shared" si="3"/>
        <v>500</v>
      </c>
      <c r="AS21" s="121">
        <f t="shared" si="3"/>
        <v>477.72638031431387</v>
      </c>
      <c r="AT21" s="121">
        <f t="shared" si="3"/>
        <v>0</v>
      </c>
      <c r="AU21" s="121">
        <f t="shared" si="3"/>
        <v>500</v>
      </c>
      <c r="AV21" s="121">
        <f t="shared" si="3"/>
        <v>68.60786621573105</v>
      </c>
      <c r="AW21" s="121">
        <f t="shared" si="3"/>
        <v>68.726537475032856</v>
      </c>
      <c r="AX21" s="121">
        <f t="shared" si="3"/>
        <v>500</v>
      </c>
      <c r="AY21" s="121">
        <f t="shared" si="3"/>
        <v>500</v>
      </c>
      <c r="AZ21" s="171">
        <f>SUM($D21:$AY21)</f>
        <v>20209.056523314521</v>
      </c>
    </row>
    <row r="22" spans="1:52" s="125" customFormat="1" x14ac:dyDescent="0.2">
      <c r="A22" s="172" t="s">
        <v>123</v>
      </c>
      <c r="B22" s="173">
        <f>1-$B$21</f>
        <v>0</v>
      </c>
      <c r="C22" s="173" t="s">
        <v>293</v>
      </c>
      <c r="D22" s="128">
        <f>IF(C$20="Yes",0,SUM(C$13:C$16)*$B$22)</f>
        <v>0</v>
      </c>
      <c r="E22" s="128">
        <f t="shared" ref="E22:AY22" si="4">IF(D$20="Yes",0,SUM(D$13:D$16)*$B$22)</f>
        <v>0</v>
      </c>
      <c r="F22" s="128">
        <f t="shared" si="4"/>
        <v>0</v>
      </c>
      <c r="G22" s="128">
        <f t="shared" si="4"/>
        <v>0</v>
      </c>
      <c r="H22" s="128">
        <f t="shared" si="4"/>
        <v>0</v>
      </c>
      <c r="I22" s="128">
        <f t="shared" si="4"/>
        <v>0</v>
      </c>
      <c r="J22" s="128">
        <f t="shared" si="4"/>
        <v>0</v>
      </c>
      <c r="K22" s="128">
        <f t="shared" si="4"/>
        <v>0</v>
      </c>
      <c r="L22" s="128">
        <f t="shared" si="4"/>
        <v>0</v>
      </c>
      <c r="M22" s="128">
        <f t="shared" si="4"/>
        <v>0</v>
      </c>
      <c r="N22" s="128">
        <f t="shared" si="4"/>
        <v>0</v>
      </c>
      <c r="O22" s="128">
        <f t="shared" si="4"/>
        <v>0</v>
      </c>
      <c r="P22" s="128">
        <f t="shared" si="4"/>
        <v>0</v>
      </c>
      <c r="Q22" s="128">
        <f t="shared" si="4"/>
        <v>0</v>
      </c>
      <c r="R22" s="128">
        <f t="shared" si="4"/>
        <v>0</v>
      </c>
      <c r="S22" s="128">
        <f t="shared" si="4"/>
        <v>0</v>
      </c>
      <c r="T22" s="128">
        <f t="shared" si="4"/>
        <v>0</v>
      </c>
      <c r="U22" s="128">
        <f t="shared" si="4"/>
        <v>0</v>
      </c>
      <c r="V22" s="128">
        <f t="shared" si="4"/>
        <v>0</v>
      </c>
      <c r="W22" s="128">
        <f t="shared" si="4"/>
        <v>0</v>
      </c>
      <c r="X22" s="128">
        <f t="shared" si="4"/>
        <v>0</v>
      </c>
      <c r="Y22" s="128">
        <f t="shared" si="4"/>
        <v>0</v>
      </c>
      <c r="Z22" s="128">
        <f t="shared" si="4"/>
        <v>0</v>
      </c>
      <c r="AA22" s="128">
        <f t="shared" si="4"/>
        <v>0</v>
      </c>
      <c r="AB22" s="128">
        <f t="shared" si="4"/>
        <v>0</v>
      </c>
      <c r="AC22" s="128">
        <f t="shared" si="4"/>
        <v>0</v>
      </c>
      <c r="AD22" s="128">
        <f t="shared" si="4"/>
        <v>0</v>
      </c>
      <c r="AE22" s="128">
        <f t="shared" si="4"/>
        <v>0</v>
      </c>
      <c r="AF22" s="128">
        <f t="shared" si="4"/>
        <v>0</v>
      </c>
      <c r="AG22" s="128">
        <f t="shared" si="4"/>
        <v>0</v>
      </c>
      <c r="AH22" s="128">
        <f t="shared" si="4"/>
        <v>0</v>
      </c>
      <c r="AI22" s="128">
        <f t="shared" si="4"/>
        <v>0</v>
      </c>
      <c r="AJ22" s="128">
        <f t="shared" si="4"/>
        <v>0</v>
      </c>
      <c r="AK22" s="128">
        <f t="shared" si="4"/>
        <v>0</v>
      </c>
      <c r="AL22" s="128">
        <f t="shared" si="4"/>
        <v>0</v>
      </c>
      <c r="AM22" s="128">
        <f t="shared" si="4"/>
        <v>0</v>
      </c>
      <c r="AN22" s="128">
        <f t="shared" si="4"/>
        <v>0</v>
      </c>
      <c r="AO22" s="128">
        <f t="shared" si="4"/>
        <v>0</v>
      </c>
      <c r="AP22" s="128">
        <f t="shared" si="4"/>
        <v>0</v>
      </c>
      <c r="AQ22" s="128">
        <f t="shared" si="4"/>
        <v>0</v>
      </c>
      <c r="AR22" s="128">
        <f t="shared" si="4"/>
        <v>0</v>
      </c>
      <c r="AS22" s="128">
        <f t="shared" si="4"/>
        <v>0</v>
      </c>
      <c r="AT22" s="128">
        <f t="shared" si="4"/>
        <v>0</v>
      </c>
      <c r="AU22" s="128">
        <f t="shared" si="4"/>
        <v>0</v>
      </c>
      <c r="AV22" s="128">
        <f t="shared" si="4"/>
        <v>0</v>
      </c>
      <c r="AW22" s="128">
        <f t="shared" si="4"/>
        <v>0</v>
      </c>
      <c r="AX22" s="128">
        <f t="shared" si="4"/>
        <v>0</v>
      </c>
      <c r="AY22" s="128">
        <f t="shared" si="4"/>
        <v>0</v>
      </c>
      <c r="AZ22" s="155">
        <f t="shared" ref="AZ22:AZ30" si="5">SUM($D22:$AY22)</f>
        <v>0</v>
      </c>
    </row>
    <row r="23" spans="1:52" x14ac:dyDescent="0.2">
      <c r="A23" s="174" t="s">
        <v>307</v>
      </c>
      <c r="B23" s="138">
        <v>2000</v>
      </c>
      <c r="C23" t="s">
        <v>293</v>
      </c>
      <c r="D23">
        <f>D$21*$B$23</f>
        <v>1000000</v>
      </c>
      <c r="E23">
        <f t="shared" ref="E23:AY23" si="6">E$21*$B$23</f>
        <v>1000000</v>
      </c>
      <c r="F23">
        <f t="shared" si="6"/>
        <v>1000000</v>
      </c>
      <c r="G23">
        <f t="shared" si="6"/>
        <v>0</v>
      </c>
      <c r="H23">
        <f t="shared" si="6"/>
        <v>1000000</v>
      </c>
      <c r="I23">
        <f t="shared" si="6"/>
        <v>1000000</v>
      </c>
      <c r="J23">
        <f t="shared" si="6"/>
        <v>1000000</v>
      </c>
      <c r="K23">
        <f t="shared" si="6"/>
        <v>1000000</v>
      </c>
      <c r="L23">
        <f t="shared" si="6"/>
        <v>1000000</v>
      </c>
      <c r="M23">
        <f t="shared" si="6"/>
        <v>1000000</v>
      </c>
      <c r="N23">
        <f t="shared" si="6"/>
        <v>1000000</v>
      </c>
      <c r="O23">
        <f t="shared" si="6"/>
        <v>1000000</v>
      </c>
      <c r="P23">
        <f t="shared" si="6"/>
        <v>1000000</v>
      </c>
      <c r="Q23">
        <f t="shared" si="6"/>
        <v>1000000</v>
      </c>
      <c r="R23">
        <f t="shared" si="6"/>
        <v>0</v>
      </c>
      <c r="S23">
        <f t="shared" si="6"/>
        <v>1000000</v>
      </c>
      <c r="T23">
        <f t="shared" si="6"/>
        <v>1000000</v>
      </c>
      <c r="U23">
        <f t="shared" si="6"/>
        <v>1000000</v>
      </c>
      <c r="V23">
        <f t="shared" si="6"/>
        <v>0</v>
      </c>
      <c r="W23">
        <f t="shared" si="6"/>
        <v>1000000</v>
      </c>
      <c r="X23">
        <f t="shared" si="6"/>
        <v>1000000</v>
      </c>
      <c r="Y23">
        <f t="shared" si="6"/>
        <v>1000000</v>
      </c>
      <c r="Z23">
        <f t="shared" si="6"/>
        <v>526470.00805085036</v>
      </c>
      <c r="AA23">
        <f t="shared" si="6"/>
        <v>527537.7655944326</v>
      </c>
      <c r="AB23">
        <f t="shared" si="6"/>
        <v>1000000</v>
      </c>
      <c r="AC23">
        <f t="shared" si="6"/>
        <v>1000000</v>
      </c>
      <c r="AD23">
        <f t="shared" si="6"/>
        <v>1000000</v>
      </c>
      <c r="AE23">
        <f t="shared" si="6"/>
        <v>1000000</v>
      </c>
      <c r="AF23">
        <f t="shared" si="6"/>
        <v>1000000</v>
      </c>
      <c r="AG23">
        <f t="shared" si="6"/>
        <v>1000000</v>
      </c>
      <c r="AH23">
        <f t="shared" si="6"/>
        <v>1000000</v>
      </c>
      <c r="AI23">
        <f t="shared" si="6"/>
        <v>133983.70497360823</v>
      </c>
      <c r="AJ23">
        <f t="shared" si="6"/>
        <v>1000000</v>
      </c>
      <c r="AK23">
        <f t="shared" si="6"/>
        <v>1000000</v>
      </c>
      <c r="AL23">
        <f t="shared" si="6"/>
        <v>1000000</v>
      </c>
      <c r="AM23">
        <f t="shared" si="6"/>
        <v>1000000</v>
      </c>
      <c r="AN23">
        <f t="shared" si="6"/>
        <v>1000000</v>
      </c>
      <c r="AO23">
        <f t="shared" si="6"/>
        <v>1000000</v>
      </c>
      <c r="AP23">
        <f t="shared" si="6"/>
        <v>1000000</v>
      </c>
      <c r="AQ23">
        <f t="shared" si="6"/>
        <v>1000000</v>
      </c>
      <c r="AR23">
        <f t="shared" si="6"/>
        <v>1000000</v>
      </c>
      <c r="AS23">
        <f t="shared" si="6"/>
        <v>955452.76062862773</v>
      </c>
      <c r="AT23">
        <f t="shared" si="6"/>
        <v>0</v>
      </c>
      <c r="AU23">
        <f t="shared" si="6"/>
        <v>1000000</v>
      </c>
      <c r="AV23">
        <f t="shared" si="6"/>
        <v>137215.73243146209</v>
      </c>
      <c r="AW23">
        <f t="shared" si="6"/>
        <v>137453.07495006573</v>
      </c>
      <c r="AX23">
        <f t="shared" si="6"/>
        <v>1000000</v>
      </c>
      <c r="AY23">
        <f t="shared" si="6"/>
        <v>1000000</v>
      </c>
      <c r="AZ23" s="153">
        <f t="shared" si="5"/>
        <v>40418113.046629049</v>
      </c>
    </row>
    <row r="24" spans="1:52" s="125" customFormat="1" x14ac:dyDescent="0.2">
      <c r="A24" s="175" t="s">
        <v>308</v>
      </c>
      <c r="B24" s="176">
        <v>1000</v>
      </c>
      <c r="C24" s="170" t="s">
        <v>293</v>
      </c>
      <c r="D24" s="121">
        <f>D$22*$B$24</f>
        <v>0</v>
      </c>
      <c r="E24" s="121">
        <f t="shared" ref="E24:AY24" si="7">E$22*$B$24</f>
        <v>0</v>
      </c>
      <c r="F24" s="121">
        <f t="shared" si="7"/>
        <v>0</v>
      </c>
      <c r="G24" s="121">
        <f t="shared" si="7"/>
        <v>0</v>
      </c>
      <c r="H24" s="121">
        <f t="shared" si="7"/>
        <v>0</v>
      </c>
      <c r="I24" s="121">
        <f t="shared" si="7"/>
        <v>0</v>
      </c>
      <c r="J24" s="121">
        <f t="shared" si="7"/>
        <v>0</v>
      </c>
      <c r="K24" s="121">
        <f t="shared" si="7"/>
        <v>0</v>
      </c>
      <c r="L24" s="121">
        <f t="shared" si="7"/>
        <v>0</v>
      </c>
      <c r="M24" s="121">
        <f t="shared" si="7"/>
        <v>0</v>
      </c>
      <c r="N24" s="121">
        <f t="shared" si="7"/>
        <v>0</v>
      </c>
      <c r="O24" s="121">
        <f t="shared" si="7"/>
        <v>0</v>
      </c>
      <c r="P24" s="121">
        <f t="shared" si="7"/>
        <v>0</v>
      </c>
      <c r="Q24" s="121">
        <f t="shared" si="7"/>
        <v>0</v>
      </c>
      <c r="R24" s="121">
        <f t="shared" si="7"/>
        <v>0</v>
      </c>
      <c r="S24" s="121">
        <f t="shared" si="7"/>
        <v>0</v>
      </c>
      <c r="T24" s="121">
        <f t="shared" si="7"/>
        <v>0</v>
      </c>
      <c r="U24" s="121">
        <f t="shared" si="7"/>
        <v>0</v>
      </c>
      <c r="V24" s="121">
        <f t="shared" si="7"/>
        <v>0</v>
      </c>
      <c r="W24" s="121">
        <f t="shared" si="7"/>
        <v>0</v>
      </c>
      <c r="X24" s="121">
        <f t="shared" si="7"/>
        <v>0</v>
      </c>
      <c r="Y24" s="121">
        <f t="shared" si="7"/>
        <v>0</v>
      </c>
      <c r="Z24" s="121">
        <f t="shared" si="7"/>
        <v>0</v>
      </c>
      <c r="AA24" s="121">
        <f t="shared" si="7"/>
        <v>0</v>
      </c>
      <c r="AB24" s="121">
        <f t="shared" si="7"/>
        <v>0</v>
      </c>
      <c r="AC24" s="121">
        <f t="shared" si="7"/>
        <v>0</v>
      </c>
      <c r="AD24" s="121">
        <f t="shared" si="7"/>
        <v>0</v>
      </c>
      <c r="AE24" s="121">
        <f t="shared" si="7"/>
        <v>0</v>
      </c>
      <c r="AF24" s="121">
        <f t="shared" si="7"/>
        <v>0</v>
      </c>
      <c r="AG24" s="121">
        <f t="shared" si="7"/>
        <v>0</v>
      </c>
      <c r="AH24" s="121">
        <f t="shared" si="7"/>
        <v>0</v>
      </c>
      <c r="AI24" s="121">
        <f t="shared" si="7"/>
        <v>0</v>
      </c>
      <c r="AJ24" s="121">
        <f t="shared" si="7"/>
        <v>0</v>
      </c>
      <c r="AK24" s="121">
        <f t="shared" si="7"/>
        <v>0</v>
      </c>
      <c r="AL24" s="121">
        <f t="shared" si="7"/>
        <v>0</v>
      </c>
      <c r="AM24" s="121">
        <f t="shared" si="7"/>
        <v>0</v>
      </c>
      <c r="AN24" s="121">
        <f t="shared" si="7"/>
        <v>0</v>
      </c>
      <c r="AO24" s="121">
        <f t="shared" si="7"/>
        <v>0</v>
      </c>
      <c r="AP24" s="121">
        <f t="shared" si="7"/>
        <v>0</v>
      </c>
      <c r="AQ24" s="121">
        <f t="shared" si="7"/>
        <v>0</v>
      </c>
      <c r="AR24" s="121">
        <f t="shared" si="7"/>
        <v>0</v>
      </c>
      <c r="AS24" s="121">
        <f t="shared" si="7"/>
        <v>0</v>
      </c>
      <c r="AT24" s="121">
        <f t="shared" si="7"/>
        <v>0</v>
      </c>
      <c r="AU24" s="121">
        <f t="shared" si="7"/>
        <v>0</v>
      </c>
      <c r="AV24" s="121">
        <f t="shared" si="7"/>
        <v>0</v>
      </c>
      <c r="AW24" s="121">
        <f t="shared" si="7"/>
        <v>0</v>
      </c>
      <c r="AX24" s="121">
        <f t="shared" si="7"/>
        <v>0</v>
      </c>
      <c r="AY24" s="121">
        <f t="shared" si="7"/>
        <v>0</v>
      </c>
      <c r="AZ24" s="155">
        <f t="shared" si="5"/>
        <v>0</v>
      </c>
    </row>
    <row r="25" spans="1:52" x14ac:dyDescent="0.2"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21"/>
    </row>
    <row r="26" spans="1:52" x14ac:dyDescent="0.2">
      <c r="A26" s="177" t="s">
        <v>18</v>
      </c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</row>
    <row r="27" spans="1:52" x14ac:dyDescent="0.2">
      <c r="B27" s="149" t="s">
        <v>309</v>
      </c>
      <c r="C27" s="138">
        <v>17</v>
      </c>
      <c r="D27" s="138">
        <f>C$27-C$28+C$29</f>
        <v>5</v>
      </c>
      <c r="E27" s="138">
        <f t="shared" ref="E27:AY27" si="8">D27-D28+D29</f>
        <v>17</v>
      </c>
      <c r="F27" s="138">
        <f t="shared" si="8"/>
        <v>5</v>
      </c>
      <c r="G27" s="138">
        <f t="shared" si="8"/>
        <v>17</v>
      </c>
      <c r="H27" s="138">
        <f t="shared" si="8"/>
        <v>22</v>
      </c>
      <c r="I27" s="138">
        <f t="shared" si="8"/>
        <v>5</v>
      </c>
      <c r="J27" s="138">
        <f t="shared" si="8"/>
        <v>17</v>
      </c>
      <c r="K27" s="138">
        <f t="shared" si="8"/>
        <v>5</v>
      </c>
      <c r="L27" s="138">
        <f t="shared" si="8"/>
        <v>17</v>
      </c>
      <c r="M27" s="138">
        <f t="shared" si="8"/>
        <v>5</v>
      </c>
      <c r="N27" s="138">
        <f t="shared" si="8"/>
        <v>17</v>
      </c>
      <c r="O27" s="138">
        <f t="shared" si="8"/>
        <v>5</v>
      </c>
      <c r="P27" s="138">
        <f t="shared" si="8"/>
        <v>17</v>
      </c>
      <c r="Q27" s="138">
        <f t="shared" si="8"/>
        <v>5</v>
      </c>
      <c r="R27" s="138">
        <f t="shared" si="8"/>
        <v>17</v>
      </c>
      <c r="S27" s="138">
        <f t="shared" si="8"/>
        <v>22</v>
      </c>
      <c r="T27" s="138">
        <f t="shared" si="8"/>
        <v>5</v>
      </c>
      <c r="U27" s="138">
        <f t="shared" si="8"/>
        <v>17</v>
      </c>
      <c r="V27" s="138">
        <f t="shared" si="8"/>
        <v>5</v>
      </c>
      <c r="W27" s="138">
        <f t="shared" si="8"/>
        <v>22</v>
      </c>
      <c r="X27" s="138">
        <f t="shared" si="8"/>
        <v>5</v>
      </c>
      <c r="Y27" s="138">
        <f t="shared" si="8"/>
        <v>17</v>
      </c>
      <c r="Z27" s="138">
        <f t="shared" si="8"/>
        <v>5</v>
      </c>
      <c r="AA27" s="138">
        <f t="shared" si="8"/>
        <v>17</v>
      </c>
      <c r="AB27" s="138">
        <f t="shared" si="8"/>
        <v>13</v>
      </c>
      <c r="AC27" s="138">
        <f t="shared" si="8"/>
        <v>9</v>
      </c>
      <c r="AD27" s="138">
        <f t="shared" si="8"/>
        <v>13</v>
      </c>
      <c r="AE27" s="138">
        <f t="shared" si="8"/>
        <v>9</v>
      </c>
      <c r="AF27" s="138">
        <f t="shared" si="8"/>
        <v>13</v>
      </c>
      <c r="AG27" s="138">
        <f t="shared" si="8"/>
        <v>9</v>
      </c>
      <c r="AH27" s="138">
        <f t="shared" si="8"/>
        <v>13</v>
      </c>
      <c r="AI27" s="138">
        <f t="shared" si="8"/>
        <v>9</v>
      </c>
      <c r="AJ27" s="138">
        <f t="shared" si="8"/>
        <v>19</v>
      </c>
      <c r="AK27" s="138">
        <f t="shared" si="8"/>
        <v>5</v>
      </c>
      <c r="AL27" s="138">
        <f t="shared" si="8"/>
        <v>17</v>
      </c>
      <c r="AM27" s="138">
        <f t="shared" si="8"/>
        <v>5</v>
      </c>
      <c r="AN27" s="138">
        <f t="shared" si="8"/>
        <v>17</v>
      </c>
      <c r="AO27" s="138">
        <f t="shared" si="8"/>
        <v>5</v>
      </c>
      <c r="AP27" s="138">
        <f t="shared" si="8"/>
        <v>17</v>
      </c>
      <c r="AQ27" s="138">
        <f t="shared" si="8"/>
        <v>5</v>
      </c>
      <c r="AR27" s="138">
        <f t="shared" si="8"/>
        <v>17</v>
      </c>
      <c r="AS27" s="138">
        <f t="shared" si="8"/>
        <v>5</v>
      </c>
      <c r="AT27" s="138">
        <f t="shared" si="8"/>
        <v>17</v>
      </c>
      <c r="AU27" s="138">
        <f t="shared" si="8"/>
        <v>22</v>
      </c>
      <c r="AV27" s="138">
        <f t="shared" si="8"/>
        <v>5</v>
      </c>
      <c r="AW27" s="138">
        <f t="shared" si="8"/>
        <v>19</v>
      </c>
      <c r="AX27" s="138">
        <f t="shared" si="8"/>
        <v>19</v>
      </c>
      <c r="AY27" s="178">
        <f t="shared" si="8"/>
        <v>5</v>
      </c>
      <c r="AZ27" s="121"/>
    </row>
    <row r="28" spans="1:52" x14ac:dyDescent="0.2">
      <c r="B28" s="179" t="s">
        <v>310</v>
      </c>
      <c r="C28" s="125">
        <v>17</v>
      </c>
      <c r="D28" s="125">
        <v>5</v>
      </c>
      <c r="E28" s="125">
        <v>17</v>
      </c>
      <c r="F28" s="125">
        <v>5</v>
      </c>
      <c r="G28" s="125">
        <v>0</v>
      </c>
      <c r="H28" s="125">
        <v>17</v>
      </c>
      <c r="I28" s="125">
        <v>5</v>
      </c>
      <c r="J28" s="125">
        <v>17</v>
      </c>
      <c r="K28" s="125">
        <v>5</v>
      </c>
      <c r="L28" s="125">
        <v>17</v>
      </c>
      <c r="M28" s="125">
        <v>5</v>
      </c>
      <c r="N28" s="125">
        <v>17</v>
      </c>
      <c r="O28" s="125">
        <v>5</v>
      </c>
      <c r="P28" s="125">
        <v>17</v>
      </c>
      <c r="Q28" s="125">
        <v>5</v>
      </c>
      <c r="R28" s="125">
        <v>0</v>
      </c>
      <c r="S28" s="125">
        <v>17</v>
      </c>
      <c r="T28" s="125">
        <v>5</v>
      </c>
      <c r="U28" s="125">
        <v>17</v>
      </c>
      <c r="V28" s="125">
        <v>0</v>
      </c>
      <c r="W28" s="125">
        <v>17</v>
      </c>
      <c r="X28" s="125">
        <v>5</v>
      </c>
      <c r="Y28" s="125">
        <v>17</v>
      </c>
      <c r="Z28" s="125">
        <v>5</v>
      </c>
      <c r="AA28" s="125">
        <v>9</v>
      </c>
      <c r="AB28" s="125">
        <v>13</v>
      </c>
      <c r="AC28" s="125">
        <v>9</v>
      </c>
      <c r="AD28" s="125">
        <v>13</v>
      </c>
      <c r="AE28" s="125">
        <v>9</v>
      </c>
      <c r="AF28" s="125">
        <v>13</v>
      </c>
      <c r="AG28" s="125">
        <v>9</v>
      </c>
      <c r="AH28" s="125">
        <v>13</v>
      </c>
      <c r="AI28" s="125">
        <v>3</v>
      </c>
      <c r="AJ28" s="125">
        <v>17</v>
      </c>
      <c r="AK28" s="125">
        <v>5</v>
      </c>
      <c r="AL28" s="125">
        <v>17</v>
      </c>
      <c r="AM28" s="125">
        <v>5</v>
      </c>
      <c r="AN28" s="125">
        <v>17</v>
      </c>
      <c r="AO28" s="125">
        <v>5</v>
      </c>
      <c r="AP28" s="125">
        <v>17</v>
      </c>
      <c r="AQ28" s="125">
        <v>5</v>
      </c>
      <c r="AR28" s="125">
        <v>17</v>
      </c>
      <c r="AS28" s="125">
        <v>5</v>
      </c>
      <c r="AT28" s="125">
        <v>0</v>
      </c>
      <c r="AU28" s="125">
        <v>17</v>
      </c>
      <c r="AV28" s="125">
        <v>3</v>
      </c>
      <c r="AW28" s="125">
        <v>3</v>
      </c>
      <c r="AX28" s="125">
        <v>17</v>
      </c>
      <c r="AY28" s="180">
        <v>5</v>
      </c>
      <c r="AZ28" s="121"/>
    </row>
    <row r="29" spans="1:52" x14ac:dyDescent="0.2">
      <c r="B29" s="150" t="s">
        <v>311</v>
      </c>
      <c r="C29" s="139">
        <v>5</v>
      </c>
      <c r="D29" s="139">
        <f>C$28</f>
        <v>17</v>
      </c>
      <c r="E29" s="139">
        <f t="shared" ref="E29:AY29" si="9">D$28</f>
        <v>5</v>
      </c>
      <c r="F29" s="139">
        <f t="shared" si="9"/>
        <v>17</v>
      </c>
      <c r="G29" s="139">
        <f t="shared" si="9"/>
        <v>5</v>
      </c>
      <c r="H29" s="139">
        <f t="shared" si="9"/>
        <v>0</v>
      </c>
      <c r="I29" s="139">
        <f t="shared" si="9"/>
        <v>17</v>
      </c>
      <c r="J29" s="139">
        <f t="shared" si="9"/>
        <v>5</v>
      </c>
      <c r="K29" s="139">
        <f t="shared" si="9"/>
        <v>17</v>
      </c>
      <c r="L29" s="139">
        <f t="shared" si="9"/>
        <v>5</v>
      </c>
      <c r="M29" s="139">
        <f t="shared" si="9"/>
        <v>17</v>
      </c>
      <c r="N29" s="139">
        <f t="shared" si="9"/>
        <v>5</v>
      </c>
      <c r="O29" s="139">
        <f t="shared" si="9"/>
        <v>17</v>
      </c>
      <c r="P29" s="139">
        <f t="shared" si="9"/>
        <v>5</v>
      </c>
      <c r="Q29" s="139">
        <f t="shared" si="9"/>
        <v>17</v>
      </c>
      <c r="R29" s="139">
        <f t="shared" si="9"/>
        <v>5</v>
      </c>
      <c r="S29" s="139">
        <f t="shared" si="9"/>
        <v>0</v>
      </c>
      <c r="T29" s="139">
        <f t="shared" si="9"/>
        <v>17</v>
      </c>
      <c r="U29" s="139">
        <f t="shared" si="9"/>
        <v>5</v>
      </c>
      <c r="V29" s="139">
        <f t="shared" si="9"/>
        <v>17</v>
      </c>
      <c r="W29" s="139">
        <f t="shared" si="9"/>
        <v>0</v>
      </c>
      <c r="X29" s="139">
        <f t="shared" si="9"/>
        <v>17</v>
      </c>
      <c r="Y29" s="139">
        <f t="shared" si="9"/>
        <v>5</v>
      </c>
      <c r="Z29" s="139">
        <f t="shared" si="9"/>
        <v>17</v>
      </c>
      <c r="AA29" s="139">
        <f t="shared" si="9"/>
        <v>5</v>
      </c>
      <c r="AB29" s="139">
        <f t="shared" si="9"/>
        <v>9</v>
      </c>
      <c r="AC29" s="139">
        <f t="shared" si="9"/>
        <v>13</v>
      </c>
      <c r="AD29" s="139">
        <f t="shared" si="9"/>
        <v>9</v>
      </c>
      <c r="AE29" s="139">
        <f t="shared" si="9"/>
        <v>13</v>
      </c>
      <c r="AF29" s="139">
        <f t="shared" si="9"/>
        <v>9</v>
      </c>
      <c r="AG29" s="139">
        <f t="shared" si="9"/>
        <v>13</v>
      </c>
      <c r="AH29" s="139">
        <f t="shared" si="9"/>
        <v>9</v>
      </c>
      <c r="AI29" s="139">
        <f t="shared" si="9"/>
        <v>13</v>
      </c>
      <c r="AJ29" s="139">
        <f t="shared" si="9"/>
        <v>3</v>
      </c>
      <c r="AK29" s="139">
        <f t="shared" si="9"/>
        <v>17</v>
      </c>
      <c r="AL29" s="139">
        <f t="shared" si="9"/>
        <v>5</v>
      </c>
      <c r="AM29" s="139">
        <f t="shared" si="9"/>
        <v>17</v>
      </c>
      <c r="AN29" s="139">
        <f t="shared" si="9"/>
        <v>5</v>
      </c>
      <c r="AO29" s="139">
        <f t="shared" si="9"/>
        <v>17</v>
      </c>
      <c r="AP29" s="139">
        <f t="shared" si="9"/>
        <v>5</v>
      </c>
      <c r="AQ29" s="139">
        <f t="shared" si="9"/>
        <v>17</v>
      </c>
      <c r="AR29" s="139">
        <f t="shared" si="9"/>
        <v>5</v>
      </c>
      <c r="AS29" s="139">
        <f t="shared" si="9"/>
        <v>17</v>
      </c>
      <c r="AT29" s="139">
        <f t="shared" si="9"/>
        <v>5</v>
      </c>
      <c r="AU29" s="139">
        <f t="shared" si="9"/>
        <v>0</v>
      </c>
      <c r="AV29" s="139">
        <f t="shared" si="9"/>
        <v>17</v>
      </c>
      <c r="AW29" s="139">
        <f t="shared" si="9"/>
        <v>3</v>
      </c>
      <c r="AX29" s="139">
        <f t="shared" si="9"/>
        <v>3</v>
      </c>
      <c r="AY29" s="181">
        <f t="shared" si="9"/>
        <v>17</v>
      </c>
      <c r="AZ29" s="182"/>
    </row>
    <row r="30" spans="1:52" x14ac:dyDescent="0.2">
      <c r="A30" s="183" t="s">
        <v>312</v>
      </c>
      <c r="B30" s="158">
        <v>10</v>
      </c>
      <c r="C30" s="131" t="s">
        <v>293</v>
      </c>
      <c r="D30" s="131">
        <f>D$27*$B$30</f>
        <v>50</v>
      </c>
      <c r="E30" s="131">
        <f t="shared" ref="E30:AY30" si="10">E$27*$B$30</f>
        <v>170</v>
      </c>
      <c r="F30" s="131">
        <f t="shared" si="10"/>
        <v>50</v>
      </c>
      <c r="G30" s="131">
        <f t="shared" si="10"/>
        <v>170</v>
      </c>
      <c r="H30" s="131">
        <f t="shared" si="10"/>
        <v>220</v>
      </c>
      <c r="I30" s="131">
        <f t="shared" si="10"/>
        <v>50</v>
      </c>
      <c r="J30" s="131">
        <f t="shared" si="10"/>
        <v>170</v>
      </c>
      <c r="K30" s="131">
        <f t="shared" si="10"/>
        <v>50</v>
      </c>
      <c r="L30" s="131">
        <f t="shared" si="10"/>
        <v>170</v>
      </c>
      <c r="M30" s="131">
        <f t="shared" si="10"/>
        <v>50</v>
      </c>
      <c r="N30" s="131">
        <f t="shared" si="10"/>
        <v>170</v>
      </c>
      <c r="O30" s="131">
        <f t="shared" si="10"/>
        <v>50</v>
      </c>
      <c r="P30" s="131">
        <f t="shared" si="10"/>
        <v>170</v>
      </c>
      <c r="Q30" s="131">
        <f t="shared" si="10"/>
        <v>50</v>
      </c>
      <c r="R30" s="131">
        <f>R$27*$B$30</f>
        <v>170</v>
      </c>
      <c r="S30" s="131">
        <f t="shared" si="10"/>
        <v>220</v>
      </c>
      <c r="T30" s="131">
        <f t="shared" si="10"/>
        <v>50</v>
      </c>
      <c r="U30" s="131">
        <f t="shared" si="10"/>
        <v>170</v>
      </c>
      <c r="V30" s="131">
        <f t="shared" si="10"/>
        <v>50</v>
      </c>
      <c r="W30" s="131">
        <f t="shared" si="10"/>
        <v>220</v>
      </c>
      <c r="X30" s="131">
        <f t="shared" si="10"/>
        <v>50</v>
      </c>
      <c r="Y30" s="131">
        <f t="shared" si="10"/>
        <v>170</v>
      </c>
      <c r="Z30" s="131">
        <f t="shared" si="10"/>
        <v>50</v>
      </c>
      <c r="AA30" s="131">
        <f t="shared" si="10"/>
        <v>170</v>
      </c>
      <c r="AB30" s="131">
        <f t="shared" si="10"/>
        <v>130</v>
      </c>
      <c r="AC30" s="131">
        <f t="shared" si="10"/>
        <v>90</v>
      </c>
      <c r="AD30" s="131">
        <f t="shared" si="10"/>
        <v>130</v>
      </c>
      <c r="AE30" s="131">
        <f>AE$27*$B$30</f>
        <v>90</v>
      </c>
      <c r="AF30" s="131">
        <f t="shared" si="10"/>
        <v>130</v>
      </c>
      <c r="AG30" s="131">
        <f t="shared" si="10"/>
        <v>90</v>
      </c>
      <c r="AH30" s="131">
        <f t="shared" si="10"/>
        <v>130</v>
      </c>
      <c r="AI30" s="131">
        <f t="shared" si="10"/>
        <v>90</v>
      </c>
      <c r="AJ30" s="131">
        <f t="shared" si="10"/>
        <v>190</v>
      </c>
      <c r="AK30" s="131">
        <f t="shared" si="10"/>
        <v>50</v>
      </c>
      <c r="AL30" s="131">
        <f t="shared" si="10"/>
        <v>170</v>
      </c>
      <c r="AM30" s="131">
        <f t="shared" si="10"/>
        <v>50</v>
      </c>
      <c r="AN30" s="131">
        <f t="shared" si="10"/>
        <v>170</v>
      </c>
      <c r="AO30" s="131">
        <f t="shared" si="10"/>
        <v>50</v>
      </c>
      <c r="AP30" s="131">
        <f t="shared" si="10"/>
        <v>170</v>
      </c>
      <c r="AQ30" s="131">
        <f t="shared" si="10"/>
        <v>50</v>
      </c>
      <c r="AR30" s="131">
        <f t="shared" si="10"/>
        <v>170</v>
      </c>
      <c r="AS30" s="131">
        <f t="shared" si="10"/>
        <v>50</v>
      </c>
      <c r="AT30" s="131">
        <f t="shared" si="10"/>
        <v>170</v>
      </c>
      <c r="AU30" s="131">
        <f t="shared" si="10"/>
        <v>220</v>
      </c>
      <c r="AV30" s="131">
        <f t="shared" si="10"/>
        <v>50</v>
      </c>
      <c r="AW30" s="131">
        <f t="shared" si="10"/>
        <v>190</v>
      </c>
      <c r="AX30" s="131">
        <f t="shared" si="10"/>
        <v>190</v>
      </c>
      <c r="AY30" s="131">
        <f t="shared" si="10"/>
        <v>50</v>
      </c>
      <c r="AZ30" s="155">
        <f t="shared" si="5"/>
        <v>5780</v>
      </c>
    </row>
    <row r="32" spans="1:52" x14ac:dyDescent="0.2">
      <c r="A32" s="1" t="s">
        <v>300</v>
      </c>
    </row>
    <row r="33" spans="1:52" x14ac:dyDescent="0.2">
      <c r="A33" s="149" t="s">
        <v>22</v>
      </c>
      <c r="B33" s="149" t="s">
        <v>341</v>
      </c>
      <c r="C33" s="138"/>
      <c r="D33" s="138">
        <f>D$21*shipping_manufacturing!$F$27/100</f>
        <v>0</v>
      </c>
      <c r="E33" s="138">
        <f>E$21*shipping_manufacturing!$F$27/100</f>
        <v>0</v>
      </c>
      <c r="F33" s="138">
        <f>F$21*shipping_manufacturing!$F$27/100</f>
        <v>0</v>
      </c>
      <c r="G33" s="138">
        <f>G$21*shipping_manufacturing!$F$27/100</f>
        <v>0</v>
      </c>
      <c r="H33" s="138">
        <f>H$21*shipping_manufacturing!$F$27/100</f>
        <v>0</v>
      </c>
      <c r="I33" s="138">
        <f>I$21*shipping_manufacturing!$F$27/100</f>
        <v>0</v>
      </c>
      <c r="J33" s="138">
        <f>J$21*shipping_manufacturing!$F$27/100</f>
        <v>0</v>
      </c>
      <c r="K33" s="138">
        <f>K$21*shipping_manufacturing!$F$27/100</f>
        <v>0</v>
      </c>
      <c r="L33" s="138">
        <f>L$21*shipping_manufacturing!$F$27/100</f>
        <v>0</v>
      </c>
      <c r="M33" s="138">
        <f>M$21*shipping_manufacturing!$F$27/100</f>
        <v>0</v>
      </c>
      <c r="N33" s="138">
        <f>N$21*shipping_manufacturing!$F$27/100</f>
        <v>0</v>
      </c>
      <c r="O33" s="138">
        <f>O$21*shipping_manufacturing!$F$27/100</f>
        <v>0</v>
      </c>
      <c r="P33" s="138">
        <f>P$21*shipping_manufacturing!$F$27/100</f>
        <v>0</v>
      </c>
      <c r="Q33" s="138">
        <f>Q$21*shipping_manufacturing!$F$27/100</f>
        <v>0</v>
      </c>
      <c r="R33" s="138">
        <f>R$21*shipping_manufacturing!$F$27/100</f>
        <v>0</v>
      </c>
      <c r="S33" s="138">
        <f>S$21*shipping_manufacturing!$F$27/100</f>
        <v>0</v>
      </c>
      <c r="T33" s="138">
        <f>T$21*shipping_manufacturing!$F$27/100</f>
        <v>0</v>
      </c>
      <c r="U33" s="138">
        <f>U$21*shipping_manufacturing!$F$27/100</f>
        <v>0</v>
      </c>
      <c r="V33" s="138">
        <f>V$21*shipping_manufacturing!$F$27/100</f>
        <v>0</v>
      </c>
      <c r="W33" s="138">
        <f>W$21*shipping_manufacturing!$F$27/100</f>
        <v>0</v>
      </c>
      <c r="X33" s="138">
        <f>X$21*shipping_manufacturing!$F$27/100</f>
        <v>0</v>
      </c>
      <c r="Y33" s="138">
        <f>Y$21*shipping_manufacturing!$F$27/100</f>
        <v>0</v>
      </c>
      <c r="Z33" s="138">
        <f>Z$21*shipping_manufacturing!$F$27/100</f>
        <v>0</v>
      </c>
      <c r="AA33" s="138">
        <f>AA$21*shipping_manufacturing!$F$27/100</f>
        <v>0</v>
      </c>
      <c r="AB33" s="138">
        <f>AB$21*shipping_manufacturing!$F$27/100</f>
        <v>0</v>
      </c>
      <c r="AC33" s="138">
        <f>AC$21*shipping_manufacturing!$F$27/100</f>
        <v>0</v>
      </c>
      <c r="AD33" s="138">
        <f>AD$21*shipping_manufacturing!$F$27/100</f>
        <v>0</v>
      </c>
      <c r="AE33" s="138">
        <f>AE$21*shipping_manufacturing!$F$27/100</f>
        <v>0</v>
      </c>
      <c r="AF33" s="138">
        <f>AF$21*shipping_manufacturing!$F$27/100</f>
        <v>0</v>
      </c>
      <c r="AG33" s="138">
        <f>AG$21*shipping_manufacturing!$F$27/100</f>
        <v>0</v>
      </c>
      <c r="AH33" s="138">
        <f>AH$21*shipping_manufacturing!$F$27/100</f>
        <v>0</v>
      </c>
      <c r="AI33" s="138">
        <f>AI$21*shipping_manufacturing!$F$27/100</f>
        <v>0</v>
      </c>
      <c r="AJ33" s="138">
        <f>AJ$21*shipping_manufacturing!$F$27/100</f>
        <v>0</v>
      </c>
      <c r="AK33" s="138">
        <f>AK$21*shipping_manufacturing!$F$27/100</f>
        <v>0</v>
      </c>
      <c r="AL33" s="138">
        <f>AL$21*shipping_manufacturing!$F$27/100</f>
        <v>0</v>
      </c>
      <c r="AM33" s="138">
        <f>AM$21*shipping_manufacturing!$F$27/100</f>
        <v>0</v>
      </c>
      <c r="AN33" s="138">
        <f>AN$21*shipping_manufacturing!$F$27/100</f>
        <v>0</v>
      </c>
      <c r="AO33" s="138">
        <f>AO$21*shipping_manufacturing!$F$27/100</f>
        <v>0</v>
      </c>
      <c r="AP33" s="138">
        <f>AP$21*shipping_manufacturing!$F$27/100</f>
        <v>0</v>
      </c>
      <c r="AQ33" s="138">
        <f>AQ$21*shipping_manufacturing!$F$27/100</f>
        <v>0</v>
      </c>
      <c r="AR33" s="138">
        <f>AR$21*shipping_manufacturing!$F$27/100</f>
        <v>0</v>
      </c>
      <c r="AS33" s="138">
        <f>AS$21*shipping_manufacturing!$F$27/100</f>
        <v>0</v>
      </c>
      <c r="AT33" s="138">
        <f>AT$21*shipping_manufacturing!$F$27/100</f>
        <v>0</v>
      </c>
      <c r="AU33" s="138">
        <f>AU$21*shipping_manufacturing!$F$27/100</f>
        <v>0</v>
      </c>
      <c r="AV33" s="138">
        <f>AV$21*shipping_manufacturing!$F$27/100</f>
        <v>0</v>
      </c>
      <c r="AW33" s="138">
        <f>AW$21*shipping_manufacturing!$F$27/100</f>
        <v>0</v>
      </c>
      <c r="AX33" s="138">
        <f>AX$21*shipping_manufacturing!$F$27/100</f>
        <v>0</v>
      </c>
      <c r="AY33" s="138">
        <f>AY$21*shipping_manufacturing!$F$27/100</f>
        <v>0</v>
      </c>
    </row>
    <row r="34" spans="1:52" x14ac:dyDescent="0.2">
      <c r="A34" s="127" t="s">
        <v>340</v>
      </c>
      <c r="B34" s="179" t="s">
        <v>342</v>
      </c>
      <c r="C34" s="125"/>
      <c r="D34" s="125">
        <f>D$22*shipping_manufacturing!$G$27/100</f>
        <v>0</v>
      </c>
      <c r="E34" s="125">
        <f>E$22*shipping_manufacturing!$G$27/100</f>
        <v>0</v>
      </c>
      <c r="F34" s="125">
        <f>F$22*shipping_manufacturing!$G$27/100</f>
        <v>0</v>
      </c>
      <c r="G34" s="125">
        <f>G$22*shipping_manufacturing!$G$27/100</f>
        <v>0</v>
      </c>
      <c r="H34" s="125">
        <f>H$22*shipping_manufacturing!$G$27/100</f>
        <v>0</v>
      </c>
      <c r="I34" s="125">
        <f>I$22*shipping_manufacturing!$G$27/100</f>
        <v>0</v>
      </c>
      <c r="J34" s="125">
        <f>J$22*shipping_manufacturing!$G$27/100</f>
        <v>0</v>
      </c>
      <c r="K34" s="125">
        <f>K$22*shipping_manufacturing!$G$27/100</f>
        <v>0</v>
      </c>
      <c r="L34" s="125">
        <f>L$22*shipping_manufacturing!$G$27/100</f>
        <v>0</v>
      </c>
      <c r="M34" s="125">
        <f>M$22*shipping_manufacturing!$G$27/100</f>
        <v>0</v>
      </c>
      <c r="N34" s="125">
        <f>N$22*shipping_manufacturing!$G$27/100</f>
        <v>0</v>
      </c>
      <c r="O34" s="125">
        <f>O$22*shipping_manufacturing!$G$27/100</f>
        <v>0</v>
      </c>
      <c r="P34" s="125">
        <f>P$22*shipping_manufacturing!$G$27/100</f>
        <v>0</v>
      </c>
      <c r="Q34" s="125">
        <f>Q$22*shipping_manufacturing!$G$27/100</f>
        <v>0</v>
      </c>
      <c r="R34" s="125">
        <f>R$22*shipping_manufacturing!$G$27/100</f>
        <v>0</v>
      </c>
      <c r="S34" s="125">
        <f>S$22*shipping_manufacturing!$G$27/100</f>
        <v>0</v>
      </c>
      <c r="T34" s="125">
        <f>T$22*shipping_manufacturing!$G$27/100</f>
        <v>0</v>
      </c>
      <c r="U34" s="125">
        <f>U$22*shipping_manufacturing!$G$27/100</f>
        <v>0</v>
      </c>
      <c r="V34" s="125">
        <f>V$22*shipping_manufacturing!$G$27/100</f>
        <v>0</v>
      </c>
      <c r="W34" s="125">
        <f>W$22*shipping_manufacturing!$G$27/100</f>
        <v>0</v>
      </c>
      <c r="X34" s="125">
        <f>X$22*shipping_manufacturing!$G$27/100</f>
        <v>0</v>
      </c>
      <c r="Y34" s="125">
        <f>Y$22*shipping_manufacturing!$G$27/100</f>
        <v>0</v>
      </c>
      <c r="Z34" s="125">
        <f>Z$22*shipping_manufacturing!$G$27/100</f>
        <v>0</v>
      </c>
      <c r="AA34" s="125">
        <f>AA$22*shipping_manufacturing!$G$27/100</f>
        <v>0</v>
      </c>
      <c r="AB34" s="125">
        <f>AB$22*shipping_manufacturing!$G$27/100</f>
        <v>0</v>
      </c>
      <c r="AC34" s="125">
        <f>AC$22*shipping_manufacturing!$G$27/100</f>
        <v>0</v>
      </c>
      <c r="AD34" s="125">
        <f>AD$22*shipping_manufacturing!$G$27/100</f>
        <v>0</v>
      </c>
      <c r="AE34" s="125">
        <f>AE$22*shipping_manufacturing!$G$27/100</f>
        <v>0</v>
      </c>
      <c r="AF34" s="125">
        <f>AF$22*shipping_manufacturing!$G$27/100</f>
        <v>0</v>
      </c>
      <c r="AG34" s="125">
        <f>AG$22*shipping_manufacturing!$G$27/100</f>
        <v>0</v>
      </c>
      <c r="AH34" s="125">
        <f>AH$22*shipping_manufacturing!$G$27/100</f>
        <v>0</v>
      </c>
      <c r="AI34" s="125">
        <f>AI$22*shipping_manufacturing!$G$27/100</f>
        <v>0</v>
      </c>
      <c r="AJ34" s="125">
        <f>AJ$22*shipping_manufacturing!$G$27/100</f>
        <v>0</v>
      </c>
      <c r="AK34" s="125">
        <f>AK$22*shipping_manufacturing!$G$27/100</f>
        <v>0</v>
      </c>
      <c r="AL34" s="125">
        <f>AL$22*shipping_manufacturing!$G$27/100</f>
        <v>0</v>
      </c>
      <c r="AM34" s="125">
        <f>AM$22*shipping_manufacturing!$G$27/100</f>
        <v>0</v>
      </c>
      <c r="AN34" s="125">
        <f>AN$22*shipping_manufacturing!$G$27/100</f>
        <v>0</v>
      </c>
      <c r="AO34" s="125">
        <f>AO$22*shipping_manufacturing!$G$27/100</f>
        <v>0</v>
      </c>
      <c r="AP34" s="125">
        <f>AP$22*shipping_manufacturing!$G$27/100</f>
        <v>0</v>
      </c>
      <c r="AQ34" s="125">
        <f>AQ$22*shipping_manufacturing!$G$27/100</f>
        <v>0</v>
      </c>
      <c r="AR34" s="125">
        <f>AR$22*shipping_manufacturing!$G$27/100</f>
        <v>0</v>
      </c>
      <c r="AS34" s="125">
        <f>AS$22*shipping_manufacturing!$G$27/100</f>
        <v>0</v>
      </c>
      <c r="AT34" s="125">
        <f>AT$22*shipping_manufacturing!$G$27/100</f>
        <v>0</v>
      </c>
      <c r="AU34" s="125">
        <f>AU$22*shipping_manufacturing!$G$27/100</f>
        <v>0</v>
      </c>
      <c r="AV34" s="125">
        <f>AV$22*shipping_manufacturing!$G$27/100</f>
        <v>0</v>
      </c>
      <c r="AW34" s="125">
        <f>AW$22*shipping_manufacturing!$G$27/100</f>
        <v>0</v>
      </c>
      <c r="AX34" s="125">
        <f>AX$22*shipping_manufacturing!$G$27/100</f>
        <v>0</v>
      </c>
      <c r="AY34" s="125">
        <f>AY$22*shipping_manufacturing!$G$27/100</f>
        <v>0</v>
      </c>
    </row>
    <row r="35" spans="1:52" x14ac:dyDescent="0.2">
      <c r="A35" s="125">
        <v>1225</v>
      </c>
      <c r="B35" s="179" t="s">
        <v>343</v>
      </c>
      <c r="C35" s="125"/>
      <c r="D35" s="125">
        <f>SUM(D33:D34)</f>
        <v>0</v>
      </c>
      <c r="E35" s="125">
        <f t="shared" ref="E35:AY35" si="11">SUM(E33:E34)</f>
        <v>0</v>
      </c>
      <c r="F35" s="125">
        <f t="shared" si="11"/>
        <v>0</v>
      </c>
      <c r="G35" s="125">
        <f t="shared" si="11"/>
        <v>0</v>
      </c>
      <c r="H35" s="125">
        <f t="shared" si="11"/>
        <v>0</v>
      </c>
      <c r="I35" s="125">
        <f t="shared" si="11"/>
        <v>0</v>
      </c>
      <c r="J35" s="125">
        <f t="shared" si="11"/>
        <v>0</v>
      </c>
      <c r="K35" s="125">
        <f t="shared" si="11"/>
        <v>0</v>
      </c>
      <c r="L35" s="125">
        <f t="shared" si="11"/>
        <v>0</v>
      </c>
      <c r="M35" s="125">
        <f t="shared" si="11"/>
        <v>0</v>
      </c>
      <c r="N35" s="125">
        <f t="shared" si="11"/>
        <v>0</v>
      </c>
      <c r="O35" s="125">
        <f t="shared" si="11"/>
        <v>0</v>
      </c>
      <c r="P35" s="125">
        <f t="shared" si="11"/>
        <v>0</v>
      </c>
      <c r="Q35" s="125">
        <f t="shared" si="11"/>
        <v>0</v>
      </c>
      <c r="R35" s="125">
        <f t="shared" si="11"/>
        <v>0</v>
      </c>
      <c r="S35" s="125">
        <f t="shared" si="11"/>
        <v>0</v>
      </c>
      <c r="T35" s="125">
        <f t="shared" si="11"/>
        <v>0</v>
      </c>
      <c r="U35" s="125">
        <f t="shared" si="11"/>
        <v>0</v>
      </c>
      <c r="V35" s="125">
        <f t="shared" si="11"/>
        <v>0</v>
      </c>
      <c r="W35" s="125">
        <f t="shared" si="11"/>
        <v>0</v>
      </c>
      <c r="X35" s="125">
        <f t="shared" si="11"/>
        <v>0</v>
      </c>
      <c r="Y35" s="125">
        <f t="shared" si="11"/>
        <v>0</v>
      </c>
      <c r="Z35" s="125">
        <f t="shared" si="11"/>
        <v>0</v>
      </c>
      <c r="AA35" s="125">
        <f t="shared" si="11"/>
        <v>0</v>
      </c>
      <c r="AB35" s="125">
        <f t="shared" si="11"/>
        <v>0</v>
      </c>
      <c r="AC35" s="125">
        <f t="shared" si="11"/>
        <v>0</v>
      </c>
      <c r="AD35" s="125">
        <f t="shared" si="11"/>
        <v>0</v>
      </c>
      <c r="AE35" s="125">
        <f t="shared" si="11"/>
        <v>0</v>
      </c>
      <c r="AF35" s="125">
        <f t="shared" si="11"/>
        <v>0</v>
      </c>
      <c r="AG35" s="125">
        <f t="shared" si="11"/>
        <v>0</v>
      </c>
      <c r="AH35" s="125">
        <f t="shared" si="11"/>
        <v>0</v>
      </c>
      <c r="AI35" s="125">
        <f t="shared" si="11"/>
        <v>0</v>
      </c>
      <c r="AJ35" s="125">
        <f t="shared" si="11"/>
        <v>0</v>
      </c>
      <c r="AK35" s="125">
        <f t="shared" si="11"/>
        <v>0</v>
      </c>
      <c r="AL35" s="125">
        <f t="shared" si="11"/>
        <v>0</v>
      </c>
      <c r="AM35" s="125">
        <f t="shared" si="11"/>
        <v>0</v>
      </c>
      <c r="AN35" s="125">
        <f t="shared" si="11"/>
        <v>0</v>
      </c>
      <c r="AO35" s="125">
        <f t="shared" si="11"/>
        <v>0</v>
      </c>
      <c r="AP35" s="125">
        <f t="shared" si="11"/>
        <v>0</v>
      </c>
      <c r="AQ35" s="125">
        <f t="shared" si="11"/>
        <v>0</v>
      </c>
      <c r="AR35" s="125">
        <f t="shared" si="11"/>
        <v>0</v>
      </c>
      <c r="AS35" s="125">
        <f t="shared" si="11"/>
        <v>0</v>
      </c>
      <c r="AT35" s="125">
        <f t="shared" si="11"/>
        <v>0</v>
      </c>
      <c r="AU35" s="125">
        <f t="shared" si="11"/>
        <v>0</v>
      </c>
      <c r="AV35" s="125">
        <f t="shared" si="11"/>
        <v>0</v>
      </c>
      <c r="AW35" s="125">
        <f t="shared" si="11"/>
        <v>0</v>
      </c>
      <c r="AX35" s="125">
        <f t="shared" si="11"/>
        <v>0</v>
      </c>
      <c r="AY35" s="125">
        <f t="shared" si="11"/>
        <v>0</v>
      </c>
    </row>
    <row r="36" spans="1:52" x14ac:dyDescent="0.2">
      <c r="A36" s="125"/>
      <c r="B36" s="179" t="s">
        <v>344</v>
      </c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25"/>
      <c r="AO36" s="125"/>
      <c r="AP36" s="125"/>
      <c r="AQ36" s="125"/>
      <c r="AR36" s="125"/>
      <c r="AS36" s="125"/>
      <c r="AT36" s="125"/>
      <c r="AU36" s="125"/>
      <c r="AV36" s="125"/>
      <c r="AW36" s="125"/>
      <c r="AX36" s="125"/>
      <c r="AY36" s="125"/>
    </row>
    <row r="37" spans="1:52" x14ac:dyDescent="0.2">
      <c r="A37" s="125"/>
      <c r="B37" s="179" t="s">
        <v>345</v>
      </c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</row>
    <row r="38" spans="1:52" x14ac:dyDescent="0.2">
      <c r="A38" s="125"/>
      <c r="B38" s="179" t="s">
        <v>346</v>
      </c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25"/>
      <c r="AO38" s="125"/>
      <c r="AP38" s="125"/>
      <c r="AQ38" s="125"/>
      <c r="AR38" s="125"/>
      <c r="AS38" s="125"/>
      <c r="AT38" s="125"/>
      <c r="AU38" s="125"/>
      <c r="AV38" s="125"/>
      <c r="AW38" s="125"/>
      <c r="AX38" s="125"/>
      <c r="AY38" s="125"/>
    </row>
    <row r="39" spans="1:52" x14ac:dyDescent="0.2">
      <c r="A39" s="125"/>
      <c r="B39" s="179" t="s">
        <v>347</v>
      </c>
      <c r="C39" s="125"/>
      <c r="D39" s="125">
        <f>D33-D36</f>
        <v>0</v>
      </c>
      <c r="E39" s="125">
        <f t="shared" ref="E39:AY39" si="12">E33-E36</f>
        <v>0</v>
      </c>
      <c r="F39" s="125">
        <f t="shared" si="12"/>
        <v>0</v>
      </c>
      <c r="G39" s="125">
        <f t="shared" si="12"/>
        <v>0</v>
      </c>
      <c r="H39" s="125">
        <f t="shared" si="12"/>
        <v>0</v>
      </c>
      <c r="I39" s="125">
        <f t="shared" si="12"/>
        <v>0</v>
      </c>
      <c r="J39" s="125">
        <f t="shared" si="12"/>
        <v>0</v>
      </c>
      <c r="K39" s="125">
        <f t="shared" si="12"/>
        <v>0</v>
      </c>
      <c r="L39" s="125">
        <f t="shared" si="12"/>
        <v>0</v>
      </c>
      <c r="M39" s="125">
        <f t="shared" si="12"/>
        <v>0</v>
      </c>
      <c r="N39" s="125">
        <f t="shared" si="12"/>
        <v>0</v>
      </c>
      <c r="O39" s="125">
        <f t="shared" si="12"/>
        <v>0</v>
      </c>
      <c r="P39" s="125">
        <f t="shared" si="12"/>
        <v>0</v>
      </c>
      <c r="Q39" s="125">
        <f t="shared" si="12"/>
        <v>0</v>
      </c>
      <c r="R39" s="125">
        <f t="shared" si="12"/>
        <v>0</v>
      </c>
      <c r="S39" s="125">
        <f t="shared" si="12"/>
        <v>0</v>
      </c>
      <c r="T39" s="125">
        <f t="shared" si="12"/>
        <v>0</v>
      </c>
      <c r="U39" s="125">
        <f t="shared" si="12"/>
        <v>0</v>
      </c>
      <c r="V39" s="125">
        <f t="shared" si="12"/>
        <v>0</v>
      </c>
      <c r="W39" s="125">
        <f t="shared" si="12"/>
        <v>0</v>
      </c>
      <c r="X39" s="125">
        <f t="shared" si="12"/>
        <v>0</v>
      </c>
      <c r="Y39" s="125">
        <f t="shared" si="12"/>
        <v>0</v>
      </c>
      <c r="Z39" s="125">
        <f t="shared" si="12"/>
        <v>0</v>
      </c>
      <c r="AA39" s="125">
        <f t="shared" si="12"/>
        <v>0</v>
      </c>
      <c r="AB39" s="125">
        <f t="shared" si="12"/>
        <v>0</v>
      </c>
      <c r="AC39" s="125">
        <f t="shared" si="12"/>
        <v>0</v>
      </c>
      <c r="AD39" s="125">
        <f t="shared" si="12"/>
        <v>0</v>
      </c>
      <c r="AE39" s="125">
        <f t="shared" si="12"/>
        <v>0</v>
      </c>
      <c r="AF39" s="125">
        <f t="shared" si="12"/>
        <v>0</v>
      </c>
      <c r="AG39" s="125">
        <f t="shared" si="12"/>
        <v>0</v>
      </c>
      <c r="AH39" s="125">
        <f t="shared" si="12"/>
        <v>0</v>
      </c>
      <c r="AI39" s="125">
        <f t="shared" si="12"/>
        <v>0</v>
      </c>
      <c r="AJ39" s="125">
        <f t="shared" si="12"/>
        <v>0</v>
      </c>
      <c r="AK39" s="125">
        <f t="shared" si="12"/>
        <v>0</v>
      </c>
      <c r="AL39" s="125">
        <f t="shared" si="12"/>
        <v>0</v>
      </c>
      <c r="AM39" s="125">
        <f t="shared" si="12"/>
        <v>0</v>
      </c>
      <c r="AN39" s="125">
        <f t="shared" si="12"/>
        <v>0</v>
      </c>
      <c r="AO39" s="125">
        <f t="shared" si="12"/>
        <v>0</v>
      </c>
      <c r="AP39" s="125">
        <f t="shared" si="12"/>
        <v>0</v>
      </c>
      <c r="AQ39" s="125">
        <f t="shared" si="12"/>
        <v>0</v>
      </c>
      <c r="AR39" s="125">
        <f t="shared" si="12"/>
        <v>0</v>
      </c>
      <c r="AS39" s="125">
        <f t="shared" si="12"/>
        <v>0</v>
      </c>
      <c r="AT39" s="125">
        <f t="shared" si="12"/>
        <v>0</v>
      </c>
      <c r="AU39" s="125">
        <f t="shared" si="12"/>
        <v>0</v>
      </c>
      <c r="AV39" s="125">
        <f t="shared" si="12"/>
        <v>0</v>
      </c>
      <c r="AW39" s="125">
        <f t="shared" si="12"/>
        <v>0</v>
      </c>
      <c r="AX39" s="125">
        <f t="shared" si="12"/>
        <v>0</v>
      </c>
      <c r="AY39" s="125">
        <f t="shared" si="12"/>
        <v>0</v>
      </c>
    </row>
    <row r="40" spans="1:52" x14ac:dyDescent="0.2">
      <c r="A40" s="125"/>
      <c r="B40" s="179" t="s">
        <v>348</v>
      </c>
      <c r="C40" s="125"/>
      <c r="D40" s="125">
        <f>D34-D37</f>
        <v>0</v>
      </c>
      <c r="E40" s="125">
        <f t="shared" ref="E40:AY40" si="13">E34-E37</f>
        <v>0</v>
      </c>
      <c r="F40" s="125">
        <f t="shared" si="13"/>
        <v>0</v>
      </c>
      <c r="G40" s="125">
        <f t="shared" si="13"/>
        <v>0</v>
      </c>
      <c r="H40" s="125">
        <f t="shared" si="13"/>
        <v>0</v>
      </c>
      <c r="I40" s="125">
        <f t="shared" si="13"/>
        <v>0</v>
      </c>
      <c r="J40" s="125">
        <f t="shared" si="13"/>
        <v>0</v>
      </c>
      <c r="K40" s="125">
        <f t="shared" si="13"/>
        <v>0</v>
      </c>
      <c r="L40" s="125">
        <f t="shared" si="13"/>
        <v>0</v>
      </c>
      <c r="M40" s="125">
        <f t="shared" si="13"/>
        <v>0</v>
      </c>
      <c r="N40" s="125">
        <f t="shared" si="13"/>
        <v>0</v>
      </c>
      <c r="O40" s="125">
        <f t="shared" si="13"/>
        <v>0</v>
      </c>
      <c r="P40" s="125">
        <f t="shared" si="13"/>
        <v>0</v>
      </c>
      <c r="Q40" s="125">
        <f t="shared" si="13"/>
        <v>0</v>
      </c>
      <c r="R40" s="125">
        <f t="shared" si="13"/>
        <v>0</v>
      </c>
      <c r="S40" s="125">
        <f t="shared" si="13"/>
        <v>0</v>
      </c>
      <c r="T40" s="125">
        <f t="shared" si="13"/>
        <v>0</v>
      </c>
      <c r="U40" s="125">
        <f t="shared" si="13"/>
        <v>0</v>
      </c>
      <c r="V40" s="125">
        <f t="shared" si="13"/>
        <v>0</v>
      </c>
      <c r="W40" s="125">
        <f t="shared" si="13"/>
        <v>0</v>
      </c>
      <c r="X40" s="125">
        <f t="shared" si="13"/>
        <v>0</v>
      </c>
      <c r="Y40" s="125">
        <f t="shared" si="13"/>
        <v>0</v>
      </c>
      <c r="Z40" s="125">
        <f t="shared" si="13"/>
        <v>0</v>
      </c>
      <c r="AA40" s="125">
        <f t="shared" si="13"/>
        <v>0</v>
      </c>
      <c r="AB40" s="125">
        <f t="shared" si="13"/>
        <v>0</v>
      </c>
      <c r="AC40" s="125">
        <f t="shared" si="13"/>
        <v>0</v>
      </c>
      <c r="AD40" s="125">
        <f t="shared" si="13"/>
        <v>0</v>
      </c>
      <c r="AE40" s="125">
        <f t="shared" si="13"/>
        <v>0</v>
      </c>
      <c r="AF40" s="125">
        <f t="shared" si="13"/>
        <v>0</v>
      </c>
      <c r="AG40" s="125">
        <f t="shared" si="13"/>
        <v>0</v>
      </c>
      <c r="AH40" s="125">
        <f t="shared" si="13"/>
        <v>0</v>
      </c>
      <c r="AI40" s="125">
        <f t="shared" si="13"/>
        <v>0</v>
      </c>
      <c r="AJ40" s="125">
        <f t="shared" si="13"/>
        <v>0</v>
      </c>
      <c r="AK40" s="125">
        <f t="shared" si="13"/>
        <v>0</v>
      </c>
      <c r="AL40" s="125">
        <f t="shared" si="13"/>
        <v>0</v>
      </c>
      <c r="AM40" s="125">
        <f t="shared" si="13"/>
        <v>0</v>
      </c>
      <c r="AN40" s="125">
        <f t="shared" si="13"/>
        <v>0</v>
      </c>
      <c r="AO40" s="125">
        <f t="shared" si="13"/>
        <v>0</v>
      </c>
      <c r="AP40" s="125">
        <f t="shared" si="13"/>
        <v>0</v>
      </c>
      <c r="AQ40" s="125">
        <f t="shared" si="13"/>
        <v>0</v>
      </c>
      <c r="AR40" s="125">
        <f t="shared" si="13"/>
        <v>0</v>
      </c>
      <c r="AS40" s="125">
        <f t="shared" si="13"/>
        <v>0</v>
      </c>
      <c r="AT40" s="125">
        <f t="shared" si="13"/>
        <v>0</v>
      </c>
      <c r="AU40" s="125">
        <f t="shared" si="13"/>
        <v>0</v>
      </c>
      <c r="AV40" s="125">
        <f t="shared" si="13"/>
        <v>0</v>
      </c>
      <c r="AW40" s="125">
        <f t="shared" si="13"/>
        <v>0</v>
      </c>
      <c r="AX40" s="125">
        <f t="shared" si="13"/>
        <v>0</v>
      </c>
      <c r="AY40" s="125">
        <f t="shared" si="13"/>
        <v>0</v>
      </c>
    </row>
    <row r="41" spans="1:52" x14ac:dyDescent="0.2">
      <c r="A41" s="125"/>
      <c r="B41" s="179" t="s">
        <v>349</v>
      </c>
      <c r="C41" s="125"/>
      <c r="D41" s="125">
        <v>1</v>
      </c>
      <c r="E41" s="125">
        <v>1</v>
      </c>
      <c r="F41" s="125">
        <v>3</v>
      </c>
      <c r="G41" s="125">
        <v>2</v>
      </c>
      <c r="H41" s="125">
        <v>1</v>
      </c>
      <c r="I41" s="125">
        <v>2</v>
      </c>
      <c r="J41" s="125">
        <v>1</v>
      </c>
      <c r="K41" s="125">
        <v>1</v>
      </c>
      <c r="L41" s="125">
        <v>1</v>
      </c>
      <c r="M41" s="125">
        <v>1</v>
      </c>
      <c r="N41" s="125">
        <v>1</v>
      </c>
      <c r="O41" s="125">
        <v>1</v>
      </c>
      <c r="P41" s="125">
        <v>3</v>
      </c>
      <c r="Q41" s="125">
        <v>2</v>
      </c>
      <c r="R41" s="125">
        <v>1</v>
      </c>
      <c r="S41" s="125">
        <v>2</v>
      </c>
      <c r="T41" s="125">
        <v>2</v>
      </c>
      <c r="U41" s="125">
        <v>1</v>
      </c>
      <c r="V41" s="125">
        <v>1</v>
      </c>
      <c r="W41" s="125">
        <v>2</v>
      </c>
      <c r="X41" s="125">
        <v>3</v>
      </c>
      <c r="Y41" s="125">
        <v>2</v>
      </c>
      <c r="Z41" s="125">
        <v>1</v>
      </c>
      <c r="AA41" s="125">
        <v>1</v>
      </c>
      <c r="AB41" s="125">
        <v>1</v>
      </c>
      <c r="AC41" s="125">
        <v>1</v>
      </c>
      <c r="AD41" s="125">
        <v>1</v>
      </c>
      <c r="AE41" s="125">
        <v>1</v>
      </c>
      <c r="AF41" s="125">
        <v>3</v>
      </c>
      <c r="AG41" s="125">
        <v>1</v>
      </c>
      <c r="AH41" s="125">
        <v>1</v>
      </c>
      <c r="AI41" s="125">
        <v>1</v>
      </c>
      <c r="AJ41" s="125">
        <v>1</v>
      </c>
      <c r="AK41" s="125">
        <v>1</v>
      </c>
      <c r="AL41" s="125">
        <v>2</v>
      </c>
      <c r="AM41" s="125">
        <v>2</v>
      </c>
      <c r="AN41" s="125">
        <v>1</v>
      </c>
      <c r="AO41" s="125">
        <v>1</v>
      </c>
      <c r="AP41" s="125">
        <v>1</v>
      </c>
      <c r="AQ41" s="125">
        <v>1</v>
      </c>
      <c r="AR41" s="125">
        <v>1</v>
      </c>
      <c r="AS41" s="125">
        <v>1</v>
      </c>
      <c r="AT41" s="125">
        <v>2</v>
      </c>
      <c r="AU41" s="125">
        <v>2</v>
      </c>
      <c r="AV41" s="125">
        <v>1</v>
      </c>
      <c r="AW41" s="125">
        <v>1</v>
      </c>
      <c r="AX41" s="125">
        <v>1</v>
      </c>
      <c r="AY41" s="125">
        <v>1</v>
      </c>
    </row>
    <row r="42" spans="1:52" x14ac:dyDescent="0.2">
      <c r="A42" s="125"/>
      <c r="B42" s="190" t="s">
        <v>350</v>
      </c>
      <c r="C42" s="125"/>
      <c r="D42" s="125">
        <v>0</v>
      </c>
      <c r="E42" s="125">
        <v>0</v>
      </c>
      <c r="F42" s="125">
        <v>0</v>
      </c>
      <c r="G42" s="125">
        <v>0</v>
      </c>
      <c r="H42" s="125">
        <v>0</v>
      </c>
      <c r="I42" s="125">
        <v>0</v>
      </c>
      <c r="J42" s="125">
        <v>0</v>
      </c>
      <c r="K42" s="125">
        <v>0</v>
      </c>
      <c r="L42" s="125">
        <v>0</v>
      </c>
      <c r="M42" s="125">
        <v>0</v>
      </c>
      <c r="N42" s="125">
        <v>0</v>
      </c>
      <c r="O42" s="125">
        <v>0</v>
      </c>
      <c r="P42" s="125">
        <v>0</v>
      </c>
      <c r="Q42" s="125">
        <v>0</v>
      </c>
      <c r="R42" s="125">
        <v>0</v>
      </c>
      <c r="S42" s="125">
        <v>0</v>
      </c>
      <c r="T42" s="125">
        <v>0</v>
      </c>
      <c r="U42" s="125">
        <v>0</v>
      </c>
      <c r="V42" s="125">
        <v>0</v>
      </c>
      <c r="W42" s="125">
        <v>0</v>
      </c>
      <c r="X42" s="125">
        <v>0</v>
      </c>
      <c r="Y42" s="125">
        <v>0</v>
      </c>
      <c r="Z42" s="125">
        <v>0</v>
      </c>
      <c r="AA42" s="125">
        <v>0</v>
      </c>
      <c r="AB42" s="125">
        <v>0</v>
      </c>
      <c r="AC42" s="125">
        <v>0</v>
      </c>
      <c r="AD42" s="125">
        <v>0</v>
      </c>
      <c r="AE42" s="125">
        <v>0</v>
      </c>
      <c r="AF42" s="125">
        <v>0</v>
      </c>
      <c r="AG42" s="125">
        <v>0</v>
      </c>
      <c r="AH42" s="125">
        <v>0</v>
      </c>
      <c r="AI42" s="125">
        <v>0</v>
      </c>
      <c r="AJ42" s="125">
        <v>0</v>
      </c>
      <c r="AK42" s="125">
        <v>0</v>
      </c>
      <c r="AL42" s="125">
        <v>0</v>
      </c>
      <c r="AM42" s="125">
        <v>0</v>
      </c>
      <c r="AN42" s="125">
        <v>0</v>
      </c>
      <c r="AO42" s="125">
        <v>0</v>
      </c>
      <c r="AP42" s="125">
        <v>0</v>
      </c>
      <c r="AQ42" s="125">
        <v>0</v>
      </c>
      <c r="AR42" s="125">
        <v>0</v>
      </c>
      <c r="AS42" s="125">
        <v>0</v>
      </c>
      <c r="AT42" s="125">
        <v>0</v>
      </c>
      <c r="AU42" s="125">
        <v>0</v>
      </c>
      <c r="AV42" s="125">
        <v>0</v>
      </c>
      <c r="AW42" s="125">
        <v>0</v>
      </c>
      <c r="AX42" s="125">
        <v>0</v>
      </c>
      <c r="AY42" s="125">
        <v>0</v>
      </c>
      <c r="AZ42">
        <f>SUM($D$42:$AY$42)</f>
        <v>0</v>
      </c>
    </row>
    <row r="43" spans="1:52" x14ac:dyDescent="0.2">
      <c r="A43" s="125"/>
      <c r="B43" s="190" t="s">
        <v>351</v>
      </c>
      <c r="C43" s="125"/>
      <c r="D43" s="125">
        <v>0</v>
      </c>
      <c r="E43" s="125">
        <v>0</v>
      </c>
      <c r="F43" s="125">
        <v>0</v>
      </c>
      <c r="G43" s="125">
        <v>0</v>
      </c>
      <c r="H43" s="125">
        <v>0</v>
      </c>
      <c r="I43" s="125">
        <v>0</v>
      </c>
      <c r="J43" s="125">
        <v>0</v>
      </c>
      <c r="K43" s="125">
        <v>0</v>
      </c>
      <c r="L43" s="125">
        <v>0</v>
      </c>
      <c r="M43" s="125">
        <v>0</v>
      </c>
      <c r="N43" s="125">
        <v>0</v>
      </c>
      <c r="O43" s="125">
        <v>0</v>
      </c>
      <c r="P43" s="125">
        <v>0</v>
      </c>
      <c r="Q43" s="125">
        <v>0</v>
      </c>
      <c r="R43" s="125">
        <v>0</v>
      </c>
      <c r="S43" s="125">
        <v>0</v>
      </c>
      <c r="T43" s="125">
        <v>0</v>
      </c>
      <c r="U43" s="125">
        <v>0</v>
      </c>
      <c r="V43" s="125">
        <v>0</v>
      </c>
      <c r="W43" s="125">
        <v>0</v>
      </c>
      <c r="X43" s="125">
        <v>0</v>
      </c>
      <c r="Y43" s="125">
        <v>0</v>
      </c>
      <c r="Z43" s="125">
        <v>0</v>
      </c>
      <c r="AA43" s="125">
        <v>0</v>
      </c>
      <c r="AB43" s="125">
        <v>0</v>
      </c>
      <c r="AC43" s="125">
        <v>0</v>
      </c>
      <c r="AD43" s="125">
        <v>0</v>
      </c>
      <c r="AE43" s="125">
        <v>0</v>
      </c>
      <c r="AF43" s="125">
        <v>0</v>
      </c>
      <c r="AG43" s="125">
        <v>0</v>
      </c>
      <c r="AH43" s="125">
        <v>0</v>
      </c>
      <c r="AI43" s="125">
        <v>0</v>
      </c>
      <c r="AJ43" s="125">
        <v>0</v>
      </c>
      <c r="AK43" s="125">
        <v>0</v>
      </c>
      <c r="AL43" s="125">
        <v>0</v>
      </c>
      <c r="AM43" s="125">
        <v>0</v>
      </c>
      <c r="AN43" s="125">
        <v>0</v>
      </c>
      <c r="AO43" s="125">
        <v>0</v>
      </c>
      <c r="AP43" s="125">
        <v>0</v>
      </c>
      <c r="AQ43" s="125">
        <v>0</v>
      </c>
      <c r="AR43" s="125">
        <v>0</v>
      </c>
      <c r="AS43" s="125">
        <v>0</v>
      </c>
      <c r="AT43" s="125">
        <v>0</v>
      </c>
      <c r="AU43" s="125">
        <v>0</v>
      </c>
      <c r="AV43" s="125">
        <v>0</v>
      </c>
      <c r="AW43" s="125">
        <v>0</v>
      </c>
      <c r="AX43" s="125">
        <v>0</v>
      </c>
      <c r="AY43" s="125">
        <v>0</v>
      </c>
      <c r="AZ43">
        <f>SUM($D$43:$AY$43)</f>
        <v>0</v>
      </c>
    </row>
    <row r="44" spans="1:52" x14ac:dyDescent="0.2">
      <c r="A44" s="149" t="s">
        <v>59</v>
      </c>
      <c r="B44" s="149" t="s">
        <v>341</v>
      </c>
      <c r="C44" s="138"/>
      <c r="D44" s="138">
        <f>D$21*shipping_manufacturing!$F$28/100</f>
        <v>500</v>
      </c>
      <c r="E44" s="138">
        <f>E$21*shipping_manufacturing!$F$28/100</f>
        <v>500</v>
      </c>
      <c r="F44" s="138">
        <f>F$21*shipping_manufacturing!$F$28/100</f>
        <v>500</v>
      </c>
      <c r="G44" s="138">
        <f>G$21*shipping_manufacturing!$F$28/100</f>
        <v>0</v>
      </c>
      <c r="H44" s="138">
        <f>H$21*shipping_manufacturing!$F$28/100</f>
        <v>500</v>
      </c>
      <c r="I44" s="138">
        <f>I$21*shipping_manufacturing!$F$28/100</f>
        <v>500</v>
      </c>
      <c r="J44" s="138">
        <f>J$21*shipping_manufacturing!$F$28/100</f>
        <v>500</v>
      </c>
      <c r="K44" s="138">
        <f>K$21*shipping_manufacturing!$F$28/100</f>
        <v>500</v>
      </c>
      <c r="L44" s="138">
        <f>L$21*shipping_manufacturing!$F$28/100</f>
        <v>500</v>
      </c>
      <c r="M44" s="138">
        <f>M$21*shipping_manufacturing!$F$28/100</f>
        <v>500</v>
      </c>
      <c r="N44" s="138">
        <f>N$21*shipping_manufacturing!$F$28/100</f>
        <v>500</v>
      </c>
      <c r="O44" s="138">
        <f>O$21*shipping_manufacturing!$F$28/100</f>
        <v>500</v>
      </c>
      <c r="P44" s="138">
        <f>P$21*shipping_manufacturing!$F$28/100</f>
        <v>500</v>
      </c>
      <c r="Q44" s="138">
        <f>Q$21*shipping_manufacturing!$F$28/100</f>
        <v>500</v>
      </c>
      <c r="R44" s="138">
        <f>R$21*shipping_manufacturing!$F$28/100</f>
        <v>0</v>
      </c>
      <c r="S44" s="138">
        <f>S$21*shipping_manufacturing!$F$28/100</f>
        <v>500</v>
      </c>
      <c r="T44" s="138">
        <f>T$21*shipping_manufacturing!$F$28/100</f>
        <v>500</v>
      </c>
      <c r="U44" s="138">
        <f>U$21*shipping_manufacturing!$F$28/100</f>
        <v>500</v>
      </c>
      <c r="V44" s="138">
        <f>V$21*shipping_manufacturing!$F$28/100</f>
        <v>0</v>
      </c>
      <c r="W44" s="138">
        <f>W$21*shipping_manufacturing!$F$28/100</f>
        <v>500</v>
      </c>
      <c r="X44" s="138">
        <f>X$21*shipping_manufacturing!$F$28/100</f>
        <v>500</v>
      </c>
      <c r="Y44" s="138">
        <f>Y$21*shipping_manufacturing!$F$28/100</f>
        <v>500</v>
      </c>
      <c r="Z44" s="138">
        <f>Z$21*shipping_manufacturing!$F$28/100</f>
        <v>263.23500402542516</v>
      </c>
      <c r="AA44" s="138">
        <f>AA$21*shipping_manufacturing!$F$28/100</f>
        <v>263.76888279721629</v>
      </c>
      <c r="AB44" s="138">
        <f>AB$21*shipping_manufacturing!$F$28/100</f>
        <v>500</v>
      </c>
      <c r="AC44" s="138">
        <f>AC$21*shipping_manufacturing!$F$28/100</f>
        <v>500</v>
      </c>
      <c r="AD44" s="138">
        <f>AD$21*shipping_manufacturing!$F$28/100</f>
        <v>500</v>
      </c>
      <c r="AE44" s="138">
        <f>AE$21*shipping_manufacturing!$F$28/100</f>
        <v>500</v>
      </c>
      <c r="AF44" s="138">
        <f>AF$21*shipping_manufacturing!$F$28/100</f>
        <v>500</v>
      </c>
      <c r="AG44" s="138">
        <f>AG$21*shipping_manufacturing!$F$28/100</f>
        <v>500</v>
      </c>
      <c r="AH44" s="138">
        <f>AH$21*shipping_manufacturing!$F$28/100</f>
        <v>500</v>
      </c>
      <c r="AI44" s="138">
        <f>AI$21*shipping_manufacturing!$F$28/100</f>
        <v>66.991852486804106</v>
      </c>
      <c r="AJ44" s="138">
        <f>AJ$21*shipping_manufacturing!$F$28/100</f>
        <v>500</v>
      </c>
      <c r="AK44" s="138">
        <f>AK$21*shipping_manufacturing!$F$28/100</f>
        <v>500</v>
      </c>
      <c r="AL44" s="138">
        <f>AL$21*shipping_manufacturing!$F$28/100</f>
        <v>500</v>
      </c>
      <c r="AM44" s="138">
        <f>AM$21*shipping_manufacturing!$F$28/100</f>
        <v>500</v>
      </c>
      <c r="AN44" s="138">
        <f>AN$21*shipping_manufacturing!$F$28/100</f>
        <v>500</v>
      </c>
      <c r="AO44" s="138">
        <f>AO$21*shipping_manufacturing!$F$28/100</f>
        <v>500</v>
      </c>
      <c r="AP44" s="138">
        <f>AP$21*shipping_manufacturing!$F$28/100</f>
        <v>500</v>
      </c>
      <c r="AQ44" s="138">
        <f>AQ$21*shipping_manufacturing!$F$28/100</f>
        <v>500</v>
      </c>
      <c r="AR44" s="138">
        <f>AR$21*shipping_manufacturing!$F$28/100</f>
        <v>500</v>
      </c>
      <c r="AS44" s="138">
        <f>AS$21*shipping_manufacturing!$F$28/100</f>
        <v>477.72638031431387</v>
      </c>
      <c r="AT44" s="138">
        <f>AT$21*shipping_manufacturing!$F$28/100</f>
        <v>0</v>
      </c>
      <c r="AU44" s="138">
        <f>AU$21*shipping_manufacturing!$F$28/100</f>
        <v>500</v>
      </c>
      <c r="AV44" s="138">
        <f>AV$21*shipping_manufacturing!$F$28/100</f>
        <v>68.60786621573105</v>
      </c>
      <c r="AW44" s="138">
        <f>AW$21*shipping_manufacturing!$F$28/100</f>
        <v>68.726537475032856</v>
      </c>
      <c r="AX44" s="138">
        <f>AX$21*shipping_manufacturing!$F$28/100</f>
        <v>500</v>
      </c>
      <c r="AY44" s="138">
        <f>AY$21*shipping_manufacturing!$F$28/100</f>
        <v>500</v>
      </c>
    </row>
    <row r="45" spans="1:52" x14ac:dyDescent="0.2">
      <c r="A45" s="127" t="s">
        <v>340</v>
      </c>
      <c r="B45" s="179" t="s">
        <v>342</v>
      </c>
      <c r="C45" s="125"/>
      <c r="D45" s="125">
        <f>D$22*shipping_manufacturing!$G$28/100</f>
        <v>0</v>
      </c>
      <c r="E45" s="125">
        <f>E$22*shipping_manufacturing!$G$28/100</f>
        <v>0</v>
      </c>
      <c r="F45" s="125">
        <f>F$22*shipping_manufacturing!$G$28/100</f>
        <v>0</v>
      </c>
      <c r="G45" s="125">
        <f>G$22*shipping_manufacturing!$G$28/100</f>
        <v>0</v>
      </c>
      <c r="H45" s="125">
        <f>H$22*shipping_manufacturing!$G$28/100</f>
        <v>0</v>
      </c>
      <c r="I45" s="125">
        <f>I$22*shipping_manufacturing!$G$28/100</f>
        <v>0</v>
      </c>
      <c r="J45" s="125">
        <f>J$22*shipping_manufacturing!$G$28/100</f>
        <v>0</v>
      </c>
      <c r="K45" s="125">
        <f>K$22*shipping_manufacturing!$G$28/100</f>
        <v>0</v>
      </c>
      <c r="L45" s="125">
        <f>L$22*shipping_manufacturing!$G$28/100</f>
        <v>0</v>
      </c>
      <c r="M45" s="125">
        <f>M$22*shipping_manufacturing!$G$28/100</f>
        <v>0</v>
      </c>
      <c r="N45" s="125">
        <f>N$22*shipping_manufacturing!$G$28/100</f>
        <v>0</v>
      </c>
      <c r="O45" s="125">
        <f>O$22*shipping_manufacturing!$G$28/100</f>
        <v>0</v>
      </c>
      <c r="P45" s="125">
        <f>P$22*shipping_manufacturing!$G$28/100</f>
        <v>0</v>
      </c>
      <c r="Q45" s="125">
        <f>Q$22*shipping_manufacturing!$G$28/100</f>
        <v>0</v>
      </c>
      <c r="R45" s="125">
        <f>R$22*shipping_manufacturing!$G$28/100</f>
        <v>0</v>
      </c>
      <c r="S45" s="125">
        <f>S$22*shipping_manufacturing!$G$28/100</f>
        <v>0</v>
      </c>
      <c r="T45" s="125">
        <f>T$22*shipping_manufacturing!$G$28/100</f>
        <v>0</v>
      </c>
      <c r="U45" s="125">
        <f>U$22*shipping_manufacturing!$G$28/100</f>
        <v>0</v>
      </c>
      <c r="V45" s="125">
        <f>V$22*shipping_manufacturing!$G$28/100</f>
        <v>0</v>
      </c>
      <c r="W45" s="125">
        <f>W$22*shipping_manufacturing!$G$28/100</f>
        <v>0</v>
      </c>
      <c r="X45" s="125">
        <f>X$22*shipping_manufacturing!$G$28/100</f>
        <v>0</v>
      </c>
      <c r="Y45" s="125">
        <f>Y$22*shipping_manufacturing!$G$28/100</f>
        <v>0</v>
      </c>
      <c r="Z45" s="125">
        <f>Z$22*shipping_manufacturing!$G$28/100</f>
        <v>0</v>
      </c>
      <c r="AA45" s="125">
        <f>AA$22*shipping_manufacturing!$G$28/100</f>
        <v>0</v>
      </c>
      <c r="AB45" s="125">
        <f>AB$22*shipping_manufacturing!$G$28/100</f>
        <v>0</v>
      </c>
      <c r="AC45" s="125">
        <f>AC$22*shipping_manufacturing!$G$28/100</f>
        <v>0</v>
      </c>
      <c r="AD45" s="125">
        <f>AD$22*shipping_manufacturing!$G$28/100</f>
        <v>0</v>
      </c>
      <c r="AE45" s="125">
        <f>AE$22*shipping_manufacturing!$G$28/100</f>
        <v>0</v>
      </c>
      <c r="AF45" s="125">
        <f>AF$22*shipping_manufacturing!$G$28/100</f>
        <v>0</v>
      </c>
      <c r="AG45" s="125">
        <f>AG$22*shipping_manufacturing!$G$28/100</f>
        <v>0</v>
      </c>
      <c r="AH45" s="125">
        <f>AH$22*shipping_manufacturing!$G$28/100</f>
        <v>0</v>
      </c>
      <c r="AI45" s="125">
        <f>AI$22*shipping_manufacturing!$G$28/100</f>
        <v>0</v>
      </c>
      <c r="AJ45" s="125">
        <f>AJ$22*shipping_manufacturing!$G$28/100</f>
        <v>0</v>
      </c>
      <c r="AK45" s="125">
        <f>AK$22*shipping_manufacturing!$G$28/100</f>
        <v>0</v>
      </c>
      <c r="AL45" s="125">
        <f>AL$22*shipping_manufacturing!$G$28/100</f>
        <v>0</v>
      </c>
      <c r="AM45" s="125">
        <f>AM$22*shipping_manufacturing!$G$28/100</f>
        <v>0</v>
      </c>
      <c r="AN45" s="125">
        <f>AN$22*shipping_manufacturing!$G$28/100</f>
        <v>0</v>
      </c>
      <c r="AO45" s="125">
        <f>AO$22*shipping_manufacturing!$G$28/100</f>
        <v>0</v>
      </c>
      <c r="AP45" s="125">
        <f>AP$22*shipping_manufacturing!$G$28/100</f>
        <v>0</v>
      </c>
      <c r="AQ45" s="125">
        <f>AQ$22*shipping_manufacturing!$G$28/100</f>
        <v>0</v>
      </c>
      <c r="AR45" s="125">
        <f>AR$22*shipping_manufacturing!$G$28/100</f>
        <v>0</v>
      </c>
      <c r="AS45" s="125">
        <f>AS$22*shipping_manufacturing!$G$28/100</f>
        <v>0</v>
      </c>
      <c r="AT45" s="125">
        <f>AT$22*shipping_manufacturing!$G$28/100</f>
        <v>0</v>
      </c>
      <c r="AU45" s="125">
        <f>AU$22*shipping_manufacturing!$G$28/100</f>
        <v>0</v>
      </c>
      <c r="AV45" s="125">
        <f>AV$22*shipping_manufacturing!$G$28/100</f>
        <v>0</v>
      </c>
      <c r="AW45" s="125">
        <f>AW$22*shipping_manufacturing!$G$28/100</f>
        <v>0</v>
      </c>
      <c r="AX45" s="125">
        <f>AX$22*shipping_manufacturing!$G$28/100</f>
        <v>0</v>
      </c>
      <c r="AY45" s="125">
        <f>AY$22*shipping_manufacturing!$G$28/100</f>
        <v>0</v>
      </c>
    </row>
    <row r="46" spans="1:52" x14ac:dyDescent="0.2">
      <c r="A46" s="125">
        <v>2339</v>
      </c>
      <c r="B46" s="179" t="s">
        <v>343</v>
      </c>
      <c r="C46" s="125"/>
      <c r="D46" s="125">
        <f>SUM(D44:D45)</f>
        <v>500</v>
      </c>
      <c r="E46" s="125">
        <f t="shared" ref="E46:AY46" si="14">SUM(E44:E45)</f>
        <v>500</v>
      </c>
      <c r="F46" s="125">
        <f t="shared" si="14"/>
        <v>500</v>
      </c>
      <c r="G46" s="125">
        <f t="shared" si="14"/>
        <v>0</v>
      </c>
      <c r="H46" s="125">
        <f t="shared" si="14"/>
        <v>500</v>
      </c>
      <c r="I46" s="125">
        <f t="shared" si="14"/>
        <v>500</v>
      </c>
      <c r="J46" s="125">
        <f t="shared" si="14"/>
        <v>500</v>
      </c>
      <c r="K46" s="125">
        <f t="shared" si="14"/>
        <v>500</v>
      </c>
      <c r="L46" s="125">
        <f t="shared" si="14"/>
        <v>500</v>
      </c>
      <c r="M46" s="125">
        <f t="shared" si="14"/>
        <v>500</v>
      </c>
      <c r="N46" s="125">
        <f t="shared" si="14"/>
        <v>500</v>
      </c>
      <c r="O46" s="125">
        <f t="shared" si="14"/>
        <v>500</v>
      </c>
      <c r="P46" s="125">
        <f t="shared" si="14"/>
        <v>500</v>
      </c>
      <c r="Q46" s="125">
        <f t="shared" si="14"/>
        <v>500</v>
      </c>
      <c r="R46" s="125">
        <f t="shared" si="14"/>
        <v>0</v>
      </c>
      <c r="S46" s="125">
        <f t="shared" si="14"/>
        <v>500</v>
      </c>
      <c r="T46" s="125">
        <f t="shared" si="14"/>
        <v>500</v>
      </c>
      <c r="U46" s="125">
        <f t="shared" si="14"/>
        <v>500</v>
      </c>
      <c r="V46" s="125">
        <f t="shared" si="14"/>
        <v>0</v>
      </c>
      <c r="W46" s="125">
        <f t="shared" si="14"/>
        <v>500</v>
      </c>
      <c r="X46" s="125">
        <f t="shared" si="14"/>
        <v>500</v>
      </c>
      <c r="Y46" s="125">
        <f t="shared" si="14"/>
        <v>500</v>
      </c>
      <c r="Z46" s="125">
        <f t="shared" si="14"/>
        <v>263.23500402542516</v>
      </c>
      <c r="AA46" s="125">
        <f t="shared" si="14"/>
        <v>263.76888279721629</v>
      </c>
      <c r="AB46" s="125">
        <f t="shared" si="14"/>
        <v>500</v>
      </c>
      <c r="AC46" s="125">
        <f t="shared" si="14"/>
        <v>500</v>
      </c>
      <c r="AD46" s="125">
        <f t="shared" si="14"/>
        <v>500</v>
      </c>
      <c r="AE46" s="125">
        <f t="shared" si="14"/>
        <v>500</v>
      </c>
      <c r="AF46" s="125">
        <f t="shared" si="14"/>
        <v>500</v>
      </c>
      <c r="AG46" s="125">
        <f t="shared" si="14"/>
        <v>500</v>
      </c>
      <c r="AH46" s="125">
        <f t="shared" si="14"/>
        <v>500</v>
      </c>
      <c r="AI46" s="125">
        <f t="shared" si="14"/>
        <v>66.991852486804106</v>
      </c>
      <c r="AJ46" s="125">
        <f t="shared" si="14"/>
        <v>500</v>
      </c>
      <c r="AK46" s="125">
        <f t="shared" si="14"/>
        <v>500</v>
      </c>
      <c r="AL46" s="125">
        <f t="shared" si="14"/>
        <v>500</v>
      </c>
      <c r="AM46" s="125">
        <f t="shared" si="14"/>
        <v>500</v>
      </c>
      <c r="AN46" s="125">
        <f t="shared" si="14"/>
        <v>500</v>
      </c>
      <c r="AO46" s="125">
        <f t="shared" si="14"/>
        <v>500</v>
      </c>
      <c r="AP46" s="125">
        <f t="shared" si="14"/>
        <v>500</v>
      </c>
      <c r="AQ46" s="125">
        <f t="shared" si="14"/>
        <v>500</v>
      </c>
      <c r="AR46" s="125">
        <f t="shared" si="14"/>
        <v>500</v>
      </c>
      <c r="AS46" s="125">
        <f t="shared" si="14"/>
        <v>477.72638031431387</v>
      </c>
      <c r="AT46" s="125">
        <f t="shared" si="14"/>
        <v>0</v>
      </c>
      <c r="AU46" s="125">
        <f t="shared" si="14"/>
        <v>500</v>
      </c>
      <c r="AV46" s="125">
        <f t="shared" si="14"/>
        <v>68.60786621573105</v>
      </c>
      <c r="AW46" s="125">
        <f t="shared" si="14"/>
        <v>68.726537475032856</v>
      </c>
      <c r="AX46" s="125">
        <f t="shared" si="14"/>
        <v>500</v>
      </c>
      <c r="AY46" s="125">
        <f t="shared" si="14"/>
        <v>500</v>
      </c>
    </row>
    <row r="47" spans="1:52" x14ac:dyDescent="0.2">
      <c r="A47" s="125"/>
      <c r="B47" s="179" t="s">
        <v>344</v>
      </c>
      <c r="C47" s="125"/>
      <c r="D47" s="125">
        <v>150</v>
      </c>
      <c r="E47" s="125">
        <v>500</v>
      </c>
      <c r="F47" s="125">
        <v>150</v>
      </c>
      <c r="G47" s="125"/>
      <c r="H47" s="125">
        <v>500</v>
      </c>
      <c r="I47" s="125">
        <v>150</v>
      </c>
      <c r="J47" s="125">
        <v>500</v>
      </c>
      <c r="K47" s="125">
        <v>150</v>
      </c>
      <c r="L47" s="125">
        <v>500</v>
      </c>
      <c r="M47" s="125">
        <v>150</v>
      </c>
      <c r="N47" s="125">
        <v>500</v>
      </c>
      <c r="O47" s="125">
        <v>150</v>
      </c>
      <c r="P47" s="125">
        <v>500</v>
      </c>
      <c r="Q47" s="125">
        <v>150</v>
      </c>
      <c r="R47" s="125"/>
      <c r="S47" s="125">
        <v>500</v>
      </c>
      <c r="T47" s="125">
        <v>150</v>
      </c>
      <c r="U47" s="125">
        <v>500</v>
      </c>
      <c r="V47" s="125"/>
      <c r="W47" s="125">
        <v>500</v>
      </c>
      <c r="X47" s="125">
        <v>150</v>
      </c>
      <c r="Y47" s="125">
        <v>500</v>
      </c>
      <c r="Z47" s="125">
        <v>150</v>
      </c>
      <c r="AA47" s="125">
        <v>263.76888279721629</v>
      </c>
      <c r="AB47" s="125">
        <v>390</v>
      </c>
      <c r="AC47" s="125">
        <v>270</v>
      </c>
      <c r="AD47" s="125">
        <v>390</v>
      </c>
      <c r="AE47" s="125">
        <v>270</v>
      </c>
      <c r="AF47" s="125">
        <v>390</v>
      </c>
      <c r="AG47" s="125">
        <v>270</v>
      </c>
      <c r="AH47" s="125">
        <v>390</v>
      </c>
      <c r="AI47" s="125">
        <v>66.991852486804106</v>
      </c>
      <c r="AJ47" s="125">
        <v>500</v>
      </c>
      <c r="AK47" s="125">
        <v>150</v>
      </c>
      <c r="AL47" s="125">
        <v>500</v>
      </c>
      <c r="AM47" s="125">
        <v>150</v>
      </c>
      <c r="AN47" s="125">
        <v>500</v>
      </c>
      <c r="AO47" s="125">
        <v>150</v>
      </c>
      <c r="AP47" s="125">
        <v>500</v>
      </c>
      <c r="AQ47" s="125">
        <v>150</v>
      </c>
      <c r="AR47" s="125">
        <v>500</v>
      </c>
      <c r="AS47" s="125">
        <v>150</v>
      </c>
      <c r="AT47" s="125"/>
      <c r="AU47" s="125">
        <v>500</v>
      </c>
      <c r="AV47" s="125">
        <v>68.60786621573105</v>
      </c>
      <c r="AW47" s="125">
        <v>68.726537475032856</v>
      </c>
      <c r="AX47" s="125">
        <v>500</v>
      </c>
      <c r="AY47" s="125">
        <v>150</v>
      </c>
    </row>
    <row r="48" spans="1:52" x14ac:dyDescent="0.2">
      <c r="A48" s="125"/>
      <c r="B48" s="179" t="s">
        <v>345</v>
      </c>
      <c r="C48" s="125"/>
      <c r="D48" s="125">
        <v>0</v>
      </c>
      <c r="E48" s="125">
        <v>0</v>
      </c>
      <c r="F48" s="125">
        <v>0</v>
      </c>
      <c r="G48" s="125"/>
      <c r="H48" s="125">
        <v>0</v>
      </c>
      <c r="I48" s="125">
        <v>0</v>
      </c>
      <c r="J48" s="125">
        <v>0</v>
      </c>
      <c r="K48" s="125">
        <v>0</v>
      </c>
      <c r="L48" s="125">
        <v>0</v>
      </c>
      <c r="M48" s="125">
        <v>0</v>
      </c>
      <c r="N48" s="125">
        <v>0</v>
      </c>
      <c r="O48" s="125">
        <v>0</v>
      </c>
      <c r="P48" s="125">
        <v>0</v>
      </c>
      <c r="Q48" s="125">
        <v>0</v>
      </c>
      <c r="R48" s="125"/>
      <c r="S48" s="125">
        <v>0</v>
      </c>
      <c r="T48" s="125">
        <v>0</v>
      </c>
      <c r="U48" s="125">
        <v>0</v>
      </c>
      <c r="V48" s="125"/>
      <c r="W48" s="125">
        <v>0</v>
      </c>
      <c r="X48" s="125">
        <v>0</v>
      </c>
      <c r="Y48" s="125">
        <v>0</v>
      </c>
      <c r="Z48" s="125">
        <v>0</v>
      </c>
      <c r="AA48" s="125">
        <v>0</v>
      </c>
      <c r="AB48" s="125">
        <v>0</v>
      </c>
      <c r="AC48" s="125">
        <v>0</v>
      </c>
      <c r="AD48" s="125">
        <v>0</v>
      </c>
      <c r="AE48" s="125">
        <v>0</v>
      </c>
      <c r="AF48" s="125">
        <v>0</v>
      </c>
      <c r="AG48" s="125">
        <v>0</v>
      </c>
      <c r="AH48" s="125">
        <v>0</v>
      </c>
      <c r="AI48" s="125">
        <v>0</v>
      </c>
      <c r="AJ48" s="125">
        <v>0</v>
      </c>
      <c r="AK48" s="125">
        <v>0</v>
      </c>
      <c r="AL48" s="125">
        <v>0</v>
      </c>
      <c r="AM48" s="125">
        <v>0</v>
      </c>
      <c r="AN48" s="125">
        <v>0</v>
      </c>
      <c r="AO48" s="125">
        <v>0</v>
      </c>
      <c r="AP48" s="125">
        <v>0</v>
      </c>
      <c r="AQ48" s="125">
        <v>0</v>
      </c>
      <c r="AR48" s="125">
        <v>0</v>
      </c>
      <c r="AS48" s="125">
        <v>0</v>
      </c>
      <c r="AT48" s="125"/>
      <c r="AU48" s="125">
        <v>0</v>
      </c>
      <c r="AV48" s="125">
        <v>0</v>
      </c>
      <c r="AW48" s="125">
        <v>0</v>
      </c>
      <c r="AX48" s="125">
        <v>0</v>
      </c>
      <c r="AY48" s="125">
        <v>0</v>
      </c>
    </row>
    <row r="49" spans="1:52" x14ac:dyDescent="0.2">
      <c r="A49" s="125"/>
      <c r="B49" s="179" t="s">
        <v>346</v>
      </c>
      <c r="C49" s="125"/>
      <c r="D49" s="125">
        <v>5</v>
      </c>
      <c r="E49" s="125">
        <v>17</v>
      </c>
      <c r="F49" s="125">
        <v>5</v>
      </c>
      <c r="G49" s="125"/>
      <c r="H49" s="125">
        <v>17</v>
      </c>
      <c r="I49" s="125">
        <v>5</v>
      </c>
      <c r="J49" s="125">
        <v>17</v>
      </c>
      <c r="K49" s="125">
        <v>5</v>
      </c>
      <c r="L49" s="125">
        <v>17</v>
      </c>
      <c r="M49" s="125">
        <v>5</v>
      </c>
      <c r="N49" s="125">
        <v>17</v>
      </c>
      <c r="O49" s="125">
        <v>5</v>
      </c>
      <c r="P49" s="125">
        <v>17</v>
      </c>
      <c r="Q49" s="125">
        <v>5</v>
      </c>
      <c r="R49" s="125"/>
      <c r="S49" s="125">
        <v>17</v>
      </c>
      <c r="T49" s="125">
        <v>5</v>
      </c>
      <c r="U49" s="125">
        <v>17</v>
      </c>
      <c r="V49" s="125"/>
      <c r="W49" s="125">
        <v>17</v>
      </c>
      <c r="X49" s="125">
        <v>5</v>
      </c>
      <c r="Y49" s="125">
        <v>17</v>
      </c>
      <c r="Z49" s="125">
        <v>5</v>
      </c>
      <c r="AA49" s="125">
        <v>9</v>
      </c>
      <c r="AB49" s="125">
        <v>13</v>
      </c>
      <c r="AC49" s="125">
        <v>9</v>
      </c>
      <c r="AD49" s="125">
        <v>13</v>
      </c>
      <c r="AE49" s="125">
        <v>9</v>
      </c>
      <c r="AF49" s="125">
        <v>13</v>
      </c>
      <c r="AG49" s="125">
        <v>9</v>
      </c>
      <c r="AH49" s="125">
        <v>13</v>
      </c>
      <c r="AI49" s="125">
        <v>3</v>
      </c>
      <c r="AJ49" s="125">
        <v>17</v>
      </c>
      <c r="AK49" s="125">
        <v>5</v>
      </c>
      <c r="AL49" s="125">
        <v>17</v>
      </c>
      <c r="AM49" s="125">
        <v>5</v>
      </c>
      <c r="AN49" s="125">
        <v>17</v>
      </c>
      <c r="AO49" s="125">
        <v>5</v>
      </c>
      <c r="AP49" s="125">
        <v>17</v>
      </c>
      <c r="AQ49" s="125">
        <v>5</v>
      </c>
      <c r="AR49" s="125">
        <v>17</v>
      </c>
      <c r="AS49" s="125">
        <v>5</v>
      </c>
      <c r="AT49" s="125"/>
      <c r="AU49" s="125">
        <v>17</v>
      </c>
      <c r="AV49" s="125">
        <v>3</v>
      </c>
      <c r="AW49" s="125">
        <v>3</v>
      </c>
      <c r="AX49" s="125">
        <v>17</v>
      </c>
      <c r="AY49" s="125">
        <v>5</v>
      </c>
    </row>
    <row r="50" spans="1:52" x14ac:dyDescent="0.2">
      <c r="A50" s="125"/>
      <c r="B50" s="179" t="s">
        <v>347</v>
      </c>
      <c r="C50" s="125"/>
      <c r="D50" s="125">
        <f>D44-D47</f>
        <v>350</v>
      </c>
      <c r="E50" s="125">
        <f t="shared" ref="E50:AY50" si="15">E44-E47</f>
        <v>0</v>
      </c>
      <c r="F50" s="125">
        <f t="shared" si="15"/>
        <v>350</v>
      </c>
      <c r="G50" s="125">
        <f t="shared" si="15"/>
        <v>0</v>
      </c>
      <c r="H50" s="125">
        <f t="shared" si="15"/>
        <v>0</v>
      </c>
      <c r="I50" s="125">
        <f t="shared" si="15"/>
        <v>350</v>
      </c>
      <c r="J50" s="125">
        <f t="shared" si="15"/>
        <v>0</v>
      </c>
      <c r="K50" s="125">
        <f t="shared" si="15"/>
        <v>350</v>
      </c>
      <c r="L50" s="125">
        <f t="shared" si="15"/>
        <v>0</v>
      </c>
      <c r="M50" s="125">
        <f t="shared" si="15"/>
        <v>350</v>
      </c>
      <c r="N50" s="125">
        <f t="shared" si="15"/>
        <v>0</v>
      </c>
      <c r="O50" s="125">
        <f t="shared" si="15"/>
        <v>350</v>
      </c>
      <c r="P50" s="125">
        <f t="shared" si="15"/>
        <v>0</v>
      </c>
      <c r="Q50" s="125">
        <f t="shared" si="15"/>
        <v>350</v>
      </c>
      <c r="R50" s="125">
        <f t="shared" si="15"/>
        <v>0</v>
      </c>
      <c r="S50" s="125">
        <f t="shared" si="15"/>
        <v>0</v>
      </c>
      <c r="T50" s="125">
        <f t="shared" si="15"/>
        <v>350</v>
      </c>
      <c r="U50" s="125">
        <f t="shared" si="15"/>
        <v>0</v>
      </c>
      <c r="V50" s="125">
        <f t="shared" si="15"/>
        <v>0</v>
      </c>
      <c r="W50" s="125">
        <f t="shared" si="15"/>
        <v>0</v>
      </c>
      <c r="X50" s="125">
        <f t="shared" si="15"/>
        <v>350</v>
      </c>
      <c r="Y50" s="125">
        <f t="shared" si="15"/>
        <v>0</v>
      </c>
      <c r="Z50" s="125">
        <f t="shared" si="15"/>
        <v>113.23500402542516</v>
      </c>
      <c r="AA50" s="125">
        <f t="shared" si="15"/>
        <v>0</v>
      </c>
      <c r="AB50" s="125">
        <f t="shared" si="15"/>
        <v>110</v>
      </c>
      <c r="AC50" s="125">
        <f t="shared" si="15"/>
        <v>230</v>
      </c>
      <c r="AD50" s="125">
        <f t="shared" si="15"/>
        <v>110</v>
      </c>
      <c r="AE50" s="125">
        <f t="shared" si="15"/>
        <v>230</v>
      </c>
      <c r="AF50" s="125">
        <f t="shared" si="15"/>
        <v>110</v>
      </c>
      <c r="AG50" s="125">
        <f t="shared" si="15"/>
        <v>230</v>
      </c>
      <c r="AH50" s="125">
        <f t="shared" si="15"/>
        <v>110</v>
      </c>
      <c r="AI50" s="125">
        <f t="shared" si="15"/>
        <v>0</v>
      </c>
      <c r="AJ50" s="125">
        <f t="shared" si="15"/>
        <v>0</v>
      </c>
      <c r="AK50" s="125">
        <f t="shared" si="15"/>
        <v>350</v>
      </c>
      <c r="AL50" s="125">
        <f t="shared" si="15"/>
        <v>0</v>
      </c>
      <c r="AM50" s="125">
        <f t="shared" si="15"/>
        <v>350</v>
      </c>
      <c r="AN50" s="125">
        <f t="shared" si="15"/>
        <v>0</v>
      </c>
      <c r="AO50" s="125">
        <f t="shared" si="15"/>
        <v>350</v>
      </c>
      <c r="AP50" s="125">
        <f t="shared" si="15"/>
        <v>0</v>
      </c>
      <c r="AQ50" s="125">
        <f t="shared" si="15"/>
        <v>350</v>
      </c>
      <c r="AR50" s="125">
        <f t="shared" si="15"/>
        <v>0</v>
      </c>
      <c r="AS50" s="125">
        <f t="shared" si="15"/>
        <v>327.72638031431387</v>
      </c>
      <c r="AT50" s="125">
        <f t="shared" si="15"/>
        <v>0</v>
      </c>
      <c r="AU50" s="125">
        <f t="shared" si="15"/>
        <v>0</v>
      </c>
      <c r="AV50" s="125">
        <f t="shared" si="15"/>
        <v>0</v>
      </c>
      <c r="AW50" s="125">
        <f t="shared" si="15"/>
        <v>0</v>
      </c>
      <c r="AX50" s="125">
        <f t="shared" si="15"/>
        <v>0</v>
      </c>
      <c r="AY50" s="125">
        <f t="shared" si="15"/>
        <v>350</v>
      </c>
    </row>
    <row r="51" spans="1:52" x14ac:dyDescent="0.2">
      <c r="A51" s="125"/>
      <c r="B51" s="179" t="s">
        <v>348</v>
      </c>
      <c r="C51" s="125"/>
      <c r="D51" s="125">
        <f>D45-D48</f>
        <v>0</v>
      </c>
      <c r="E51" s="125">
        <f t="shared" ref="E51:AY51" si="16">E45-E48</f>
        <v>0</v>
      </c>
      <c r="F51" s="125">
        <f t="shared" si="16"/>
        <v>0</v>
      </c>
      <c r="G51" s="125">
        <f t="shared" si="16"/>
        <v>0</v>
      </c>
      <c r="H51" s="125">
        <f t="shared" si="16"/>
        <v>0</v>
      </c>
      <c r="I51" s="125">
        <f t="shared" si="16"/>
        <v>0</v>
      </c>
      <c r="J51" s="125">
        <f t="shared" si="16"/>
        <v>0</v>
      </c>
      <c r="K51" s="125">
        <f t="shared" si="16"/>
        <v>0</v>
      </c>
      <c r="L51" s="125">
        <f t="shared" si="16"/>
        <v>0</v>
      </c>
      <c r="M51" s="125">
        <f t="shared" si="16"/>
        <v>0</v>
      </c>
      <c r="N51" s="125">
        <f t="shared" si="16"/>
        <v>0</v>
      </c>
      <c r="O51" s="125">
        <f t="shared" si="16"/>
        <v>0</v>
      </c>
      <c r="P51" s="125">
        <f t="shared" si="16"/>
        <v>0</v>
      </c>
      <c r="Q51" s="125">
        <f t="shared" si="16"/>
        <v>0</v>
      </c>
      <c r="R51" s="125">
        <f t="shared" si="16"/>
        <v>0</v>
      </c>
      <c r="S51" s="125">
        <f t="shared" si="16"/>
        <v>0</v>
      </c>
      <c r="T51" s="125">
        <f t="shared" si="16"/>
        <v>0</v>
      </c>
      <c r="U51" s="125">
        <f t="shared" si="16"/>
        <v>0</v>
      </c>
      <c r="V51" s="125">
        <f t="shared" si="16"/>
        <v>0</v>
      </c>
      <c r="W51" s="125">
        <f t="shared" si="16"/>
        <v>0</v>
      </c>
      <c r="X51" s="125">
        <f t="shared" si="16"/>
        <v>0</v>
      </c>
      <c r="Y51" s="125">
        <f t="shared" si="16"/>
        <v>0</v>
      </c>
      <c r="Z51" s="125">
        <f t="shared" si="16"/>
        <v>0</v>
      </c>
      <c r="AA51" s="125">
        <f t="shared" si="16"/>
        <v>0</v>
      </c>
      <c r="AB51" s="125">
        <f t="shared" si="16"/>
        <v>0</v>
      </c>
      <c r="AC51" s="125">
        <f t="shared" si="16"/>
        <v>0</v>
      </c>
      <c r="AD51" s="125">
        <f t="shared" si="16"/>
        <v>0</v>
      </c>
      <c r="AE51" s="125">
        <f t="shared" si="16"/>
        <v>0</v>
      </c>
      <c r="AF51" s="125">
        <f t="shared" si="16"/>
        <v>0</v>
      </c>
      <c r="AG51" s="125">
        <f t="shared" si="16"/>
        <v>0</v>
      </c>
      <c r="AH51" s="125">
        <f t="shared" si="16"/>
        <v>0</v>
      </c>
      <c r="AI51" s="125">
        <f t="shared" si="16"/>
        <v>0</v>
      </c>
      <c r="AJ51" s="125">
        <f t="shared" si="16"/>
        <v>0</v>
      </c>
      <c r="AK51" s="125">
        <f t="shared" si="16"/>
        <v>0</v>
      </c>
      <c r="AL51" s="125">
        <f t="shared" si="16"/>
        <v>0</v>
      </c>
      <c r="AM51" s="125">
        <f t="shared" si="16"/>
        <v>0</v>
      </c>
      <c r="AN51" s="125">
        <f t="shared" si="16"/>
        <v>0</v>
      </c>
      <c r="AO51" s="125">
        <f t="shared" si="16"/>
        <v>0</v>
      </c>
      <c r="AP51" s="125">
        <f t="shared" si="16"/>
        <v>0</v>
      </c>
      <c r="AQ51" s="125">
        <f t="shared" si="16"/>
        <v>0</v>
      </c>
      <c r="AR51" s="125">
        <f t="shared" si="16"/>
        <v>0</v>
      </c>
      <c r="AS51" s="125">
        <f t="shared" si="16"/>
        <v>0</v>
      </c>
      <c r="AT51" s="125">
        <f t="shared" si="16"/>
        <v>0</v>
      </c>
      <c r="AU51" s="125">
        <f t="shared" si="16"/>
        <v>0</v>
      </c>
      <c r="AV51" s="125">
        <f t="shared" si="16"/>
        <v>0</v>
      </c>
      <c r="AW51" s="125">
        <f t="shared" si="16"/>
        <v>0</v>
      </c>
      <c r="AX51" s="125">
        <f t="shared" si="16"/>
        <v>0</v>
      </c>
      <c r="AY51" s="125">
        <f t="shared" si="16"/>
        <v>0</v>
      </c>
    </row>
    <row r="52" spans="1:52" x14ac:dyDescent="0.2">
      <c r="A52" s="125"/>
      <c r="B52" s="179" t="s">
        <v>349</v>
      </c>
      <c r="C52" s="125"/>
      <c r="D52" s="125">
        <v>3</v>
      </c>
      <c r="E52" s="125">
        <v>3</v>
      </c>
      <c r="F52" s="125">
        <v>4</v>
      </c>
      <c r="G52" s="125">
        <v>2</v>
      </c>
      <c r="H52" s="125">
        <v>2</v>
      </c>
      <c r="I52" s="125">
        <v>3</v>
      </c>
      <c r="J52" s="125">
        <v>2</v>
      </c>
      <c r="K52" s="125">
        <v>2</v>
      </c>
      <c r="L52" s="125">
        <v>3</v>
      </c>
      <c r="M52" s="125">
        <v>2</v>
      </c>
      <c r="N52" s="125">
        <v>4</v>
      </c>
      <c r="O52" s="125">
        <v>2</v>
      </c>
      <c r="P52" s="125">
        <v>3</v>
      </c>
      <c r="Q52" s="125">
        <v>2</v>
      </c>
      <c r="R52" s="125">
        <v>2</v>
      </c>
      <c r="S52" s="125">
        <v>3</v>
      </c>
      <c r="T52" s="125">
        <v>2</v>
      </c>
      <c r="U52" s="125">
        <v>2</v>
      </c>
      <c r="V52" s="125">
        <v>3</v>
      </c>
      <c r="W52" s="125">
        <v>2</v>
      </c>
      <c r="X52" s="125">
        <v>2</v>
      </c>
      <c r="Y52" s="125">
        <v>2</v>
      </c>
      <c r="Z52" s="125">
        <v>2</v>
      </c>
      <c r="AA52" s="125">
        <v>2</v>
      </c>
      <c r="AB52" s="125">
        <v>3</v>
      </c>
      <c r="AC52" s="125">
        <v>4</v>
      </c>
      <c r="AD52" s="125">
        <v>2</v>
      </c>
      <c r="AE52" s="125">
        <v>2</v>
      </c>
      <c r="AF52" s="125">
        <v>2</v>
      </c>
      <c r="AG52" s="125">
        <v>3</v>
      </c>
      <c r="AH52" s="125">
        <v>3</v>
      </c>
      <c r="AI52" s="125">
        <v>4</v>
      </c>
      <c r="AJ52" s="125">
        <v>2</v>
      </c>
      <c r="AK52" s="125">
        <v>2</v>
      </c>
      <c r="AL52" s="125">
        <v>2</v>
      </c>
      <c r="AM52" s="125">
        <v>3</v>
      </c>
      <c r="AN52" s="125">
        <v>2</v>
      </c>
      <c r="AO52" s="125">
        <v>2</v>
      </c>
      <c r="AP52" s="125">
        <v>2</v>
      </c>
      <c r="AQ52" s="125">
        <v>2</v>
      </c>
      <c r="AR52" s="125">
        <v>4</v>
      </c>
      <c r="AS52" s="125">
        <v>2</v>
      </c>
      <c r="AT52" s="125">
        <v>4</v>
      </c>
      <c r="AU52" s="125">
        <v>3</v>
      </c>
      <c r="AV52" s="125">
        <v>3</v>
      </c>
      <c r="AW52" s="125">
        <v>3</v>
      </c>
      <c r="AX52" s="125">
        <v>3</v>
      </c>
      <c r="AY52" s="125">
        <v>2</v>
      </c>
    </row>
    <row r="53" spans="1:52" x14ac:dyDescent="0.2">
      <c r="A53" s="125"/>
      <c r="B53" s="190" t="s">
        <v>350</v>
      </c>
      <c r="C53" s="125"/>
      <c r="D53" s="125">
        <v>421020</v>
      </c>
      <c r="E53" s="125">
        <v>1431468</v>
      </c>
      <c r="F53" s="125">
        <v>421020</v>
      </c>
      <c r="G53" s="125">
        <v>0</v>
      </c>
      <c r="H53" s="125">
        <v>1431468</v>
      </c>
      <c r="I53" s="125">
        <v>421020</v>
      </c>
      <c r="J53" s="125">
        <v>1431468</v>
      </c>
      <c r="K53" s="125">
        <v>421020</v>
      </c>
      <c r="L53" s="125">
        <v>1431468</v>
      </c>
      <c r="M53" s="125">
        <v>421020</v>
      </c>
      <c r="N53" s="125">
        <v>1431468</v>
      </c>
      <c r="O53" s="125">
        <v>421020</v>
      </c>
      <c r="P53" s="125">
        <v>1431468</v>
      </c>
      <c r="Q53" s="125">
        <v>421020</v>
      </c>
      <c r="R53" s="125">
        <v>0</v>
      </c>
      <c r="S53" s="125">
        <v>1431468</v>
      </c>
      <c r="T53" s="125">
        <v>421020</v>
      </c>
      <c r="U53" s="125">
        <v>1431468</v>
      </c>
      <c r="V53" s="125">
        <v>0</v>
      </c>
      <c r="W53" s="125">
        <v>1431468</v>
      </c>
      <c r="X53" s="125">
        <v>421020</v>
      </c>
      <c r="Y53" s="125">
        <v>1431468</v>
      </c>
      <c r="Z53" s="125">
        <v>421020</v>
      </c>
      <c r="AA53" s="125">
        <v>757836</v>
      </c>
      <c r="AB53" s="125">
        <v>1094652</v>
      </c>
      <c r="AC53" s="125">
        <v>757836</v>
      </c>
      <c r="AD53" s="125">
        <v>1094652</v>
      </c>
      <c r="AE53" s="125">
        <v>757836</v>
      </c>
      <c r="AF53" s="125">
        <v>1094652</v>
      </c>
      <c r="AG53" s="125">
        <v>757836</v>
      </c>
      <c r="AH53" s="125">
        <v>1094652</v>
      </c>
      <c r="AI53" s="125">
        <v>252612</v>
      </c>
      <c r="AJ53" s="125">
        <v>1431468</v>
      </c>
      <c r="AK53" s="125">
        <v>421020</v>
      </c>
      <c r="AL53" s="125">
        <v>1431468</v>
      </c>
      <c r="AM53" s="125">
        <v>421020</v>
      </c>
      <c r="AN53" s="125">
        <v>1431468</v>
      </c>
      <c r="AO53" s="125">
        <v>421020</v>
      </c>
      <c r="AP53" s="125">
        <v>1431468</v>
      </c>
      <c r="AQ53" s="125">
        <v>421020</v>
      </c>
      <c r="AR53" s="125">
        <v>1431468</v>
      </c>
      <c r="AS53" s="125">
        <v>421020</v>
      </c>
      <c r="AT53" s="125">
        <v>0</v>
      </c>
      <c r="AU53" s="125">
        <v>1431468</v>
      </c>
      <c r="AV53" s="125">
        <v>252612</v>
      </c>
      <c r="AW53" s="125">
        <v>252612</v>
      </c>
      <c r="AX53" s="125">
        <v>1431468</v>
      </c>
      <c r="AY53" s="125">
        <v>421020</v>
      </c>
      <c r="AZ53">
        <f>SUM($D$53:$AY$53)</f>
        <v>39239064</v>
      </c>
    </row>
    <row r="54" spans="1:52" x14ac:dyDescent="0.2">
      <c r="A54" s="139"/>
      <c r="B54" s="154" t="s">
        <v>351</v>
      </c>
      <c r="C54" s="139"/>
      <c r="D54" s="139">
        <v>532122.5</v>
      </c>
      <c r="E54" s="139">
        <v>0</v>
      </c>
      <c r="F54" s="139">
        <v>532122.5</v>
      </c>
      <c r="G54" s="139">
        <v>0</v>
      </c>
      <c r="H54" s="139">
        <v>0</v>
      </c>
      <c r="I54" s="139">
        <v>532122.5</v>
      </c>
      <c r="J54" s="139">
        <v>0</v>
      </c>
      <c r="K54" s="139">
        <v>532122.5</v>
      </c>
      <c r="L54" s="139">
        <v>0</v>
      </c>
      <c r="M54" s="139">
        <v>532122.5</v>
      </c>
      <c r="N54" s="139">
        <v>0</v>
      </c>
      <c r="O54" s="139">
        <v>532122.5</v>
      </c>
      <c r="P54" s="139">
        <v>0</v>
      </c>
      <c r="Q54" s="139">
        <v>532122.5</v>
      </c>
      <c r="R54" s="139">
        <v>0</v>
      </c>
      <c r="S54" s="139">
        <v>0</v>
      </c>
      <c r="T54" s="139">
        <v>532122.5</v>
      </c>
      <c r="U54" s="139">
        <v>0</v>
      </c>
      <c r="V54" s="139">
        <v>0</v>
      </c>
      <c r="W54" s="139">
        <v>0</v>
      </c>
      <c r="X54" s="139">
        <v>532122.5</v>
      </c>
      <c r="Y54" s="139">
        <v>0</v>
      </c>
      <c r="Z54" s="139">
        <v>172156.83837005516</v>
      </c>
      <c r="AA54" s="139">
        <v>0</v>
      </c>
      <c r="AB54" s="139">
        <v>167238.5</v>
      </c>
      <c r="AC54" s="139">
        <v>349680.5</v>
      </c>
      <c r="AD54" s="139">
        <v>167238.5</v>
      </c>
      <c r="AE54" s="139">
        <v>349680.5</v>
      </c>
      <c r="AF54" s="139">
        <v>167238.5</v>
      </c>
      <c r="AG54" s="139">
        <v>349680.5</v>
      </c>
      <c r="AH54" s="139">
        <v>167238.5</v>
      </c>
      <c r="AI54" s="139">
        <v>0</v>
      </c>
      <c r="AJ54" s="139">
        <v>0</v>
      </c>
      <c r="AK54" s="139">
        <v>532122.5</v>
      </c>
      <c r="AL54" s="139">
        <v>0</v>
      </c>
      <c r="AM54" s="139">
        <v>532122.5</v>
      </c>
      <c r="AN54" s="139">
        <v>0</v>
      </c>
      <c r="AO54" s="139">
        <v>532122.5</v>
      </c>
      <c r="AP54" s="139">
        <v>0</v>
      </c>
      <c r="AQ54" s="139">
        <v>532122.5</v>
      </c>
      <c r="AR54" s="139">
        <v>0</v>
      </c>
      <c r="AS54" s="139">
        <v>498258.80231086712</v>
      </c>
      <c r="AT54" s="139">
        <v>0</v>
      </c>
      <c r="AU54" s="139">
        <v>0</v>
      </c>
      <c r="AV54" s="139">
        <v>0</v>
      </c>
      <c r="AW54" s="139">
        <v>0</v>
      </c>
      <c r="AX54" s="139">
        <v>0</v>
      </c>
      <c r="AY54" s="139">
        <v>532122.5</v>
      </c>
      <c r="AZ54">
        <f>SUM($D$54:$AY$54)</f>
        <v>9838126.1406809222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customWidth="1"/>
    <col min="2" max="2" width="17.7109375" customWidth="1"/>
    <col min="52" max="52" width="10.7109375" customWidth="1"/>
  </cols>
  <sheetData>
    <row r="1" spans="1:52" x14ac:dyDescent="0.2">
      <c r="A1" s="1" t="s">
        <v>118</v>
      </c>
    </row>
    <row r="2" spans="1:52" x14ac:dyDescent="0.2">
      <c r="A2" t="s">
        <v>303</v>
      </c>
      <c r="B2" s="122" t="s">
        <v>12</v>
      </c>
      <c r="E2" s="125"/>
    </row>
    <row r="3" spans="1:52" x14ac:dyDescent="0.2">
      <c r="A3" t="s">
        <v>286</v>
      </c>
      <c r="B3" s="122">
        <v>3589</v>
      </c>
      <c r="E3" s="125"/>
    </row>
    <row r="4" spans="1:52" x14ac:dyDescent="0.2">
      <c r="A4" s="1"/>
      <c r="C4" s="9" t="s">
        <v>287</v>
      </c>
    </row>
    <row r="5" spans="1:52" x14ac:dyDescent="0.2">
      <c r="B5" s="121"/>
      <c r="C5" s="126">
        <v>0</v>
      </c>
      <c r="D5" s="126">
        <v>1</v>
      </c>
      <c r="E5" s="126">
        <v>2</v>
      </c>
      <c r="F5" s="126">
        <v>3</v>
      </c>
      <c r="G5" s="126">
        <v>4</v>
      </c>
      <c r="H5" s="126">
        <v>5</v>
      </c>
      <c r="I5" s="126">
        <v>6</v>
      </c>
      <c r="J5" s="126">
        <v>7</v>
      </c>
      <c r="K5" s="126">
        <v>8</v>
      </c>
      <c r="L5" s="126">
        <v>9</v>
      </c>
      <c r="M5" s="126">
        <v>10</v>
      </c>
      <c r="N5" s="126">
        <v>11</v>
      </c>
      <c r="O5" s="126">
        <v>12</v>
      </c>
      <c r="P5" s="126">
        <v>13</v>
      </c>
      <c r="Q5" s="126">
        <v>14</v>
      </c>
      <c r="R5" s="126">
        <v>15</v>
      </c>
      <c r="S5" s="126">
        <v>16</v>
      </c>
      <c r="T5" s="126">
        <v>17</v>
      </c>
      <c r="U5" s="126">
        <v>18</v>
      </c>
      <c r="V5" s="126">
        <v>19</v>
      </c>
      <c r="W5" s="126">
        <v>20</v>
      </c>
      <c r="X5" s="126">
        <v>21</v>
      </c>
      <c r="Y5" s="126">
        <v>22</v>
      </c>
      <c r="Z5" s="126">
        <v>23</v>
      </c>
      <c r="AA5" s="126">
        <v>24</v>
      </c>
      <c r="AB5" s="126">
        <v>25</v>
      </c>
      <c r="AC5" s="126">
        <v>26</v>
      </c>
      <c r="AD5" s="126">
        <v>27</v>
      </c>
      <c r="AE5" s="126">
        <v>28</v>
      </c>
      <c r="AF5" s="126">
        <v>29</v>
      </c>
      <c r="AG5" s="126">
        <v>30</v>
      </c>
      <c r="AH5" s="126">
        <v>31</v>
      </c>
      <c r="AI5" s="126">
        <v>32</v>
      </c>
      <c r="AJ5" s="126">
        <v>33</v>
      </c>
      <c r="AK5" s="126">
        <v>34</v>
      </c>
      <c r="AL5" s="126">
        <v>35</v>
      </c>
      <c r="AM5" s="126">
        <v>36</v>
      </c>
      <c r="AN5" s="126">
        <v>37</v>
      </c>
      <c r="AO5" s="126">
        <v>38</v>
      </c>
      <c r="AP5" s="126">
        <v>39</v>
      </c>
      <c r="AQ5" s="126">
        <v>40</v>
      </c>
      <c r="AR5" s="126">
        <v>41</v>
      </c>
      <c r="AS5" s="126">
        <v>42</v>
      </c>
      <c r="AT5" s="126">
        <v>43</v>
      </c>
      <c r="AU5" s="126">
        <v>44</v>
      </c>
      <c r="AV5" s="126">
        <v>45</v>
      </c>
      <c r="AW5" s="126">
        <v>46</v>
      </c>
      <c r="AX5" s="126">
        <v>47</v>
      </c>
      <c r="AY5" s="126">
        <v>48</v>
      </c>
    </row>
    <row r="6" spans="1:52" x14ac:dyDescent="0.2">
      <c r="A6" s="1" t="s">
        <v>304</v>
      </c>
      <c r="B6" s="128"/>
      <c r="C6" s="127" t="s">
        <v>288</v>
      </c>
      <c r="D6" s="126" t="s">
        <v>289</v>
      </c>
      <c r="E6" s="126" t="s">
        <v>289</v>
      </c>
      <c r="F6" s="126" t="s">
        <v>289</v>
      </c>
      <c r="G6" s="126" t="s">
        <v>289</v>
      </c>
      <c r="H6" s="126" t="s">
        <v>289</v>
      </c>
      <c r="I6" s="126" t="s">
        <v>289</v>
      </c>
      <c r="J6" s="126" t="s">
        <v>289</v>
      </c>
      <c r="K6" s="126" t="s">
        <v>289</v>
      </c>
      <c r="L6" s="126" t="s">
        <v>289</v>
      </c>
      <c r="M6" s="126" t="s">
        <v>289</v>
      </c>
      <c r="N6" s="126" t="s">
        <v>289</v>
      </c>
      <c r="O6" s="126" t="s">
        <v>289</v>
      </c>
      <c r="P6" s="126" t="s">
        <v>289</v>
      </c>
      <c r="Q6" s="126" t="s">
        <v>289</v>
      </c>
      <c r="R6" s="126" t="s">
        <v>289</v>
      </c>
      <c r="S6" s="126" t="s">
        <v>289</v>
      </c>
      <c r="T6" s="126" t="s">
        <v>289</v>
      </c>
      <c r="U6" s="126" t="s">
        <v>289</v>
      </c>
      <c r="V6" s="126" t="s">
        <v>289</v>
      </c>
      <c r="W6" s="126" t="s">
        <v>289</v>
      </c>
      <c r="X6" s="126" t="s">
        <v>289</v>
      </c>
      <c r="Y6" s="126" t="s">
        <v>289</v>
      </c>
      <c r="Z6" s="126" t="s">
        <v>289</v>
      </c>
      <c r="AA6" s="126" t="s">
        <v>289</v>
      </c>
      <c r="AB6" s="126" t="s">
        <v>289</v>
      </c>
      <c r="AC6" s="126" t="s">
        <v>289</v>
      </c>
      <c r="AD6" s="126" t="s">
        <v>289</v>
      </c>
      <c r="AE6" s="126" t="s">
        <v>289</v>
      </c>
      <c r="AF6" s="126" t="s">
        <v>289</v>
      </c>
      <c r="AG6" s="126" t="s">
        <v>289</v>
      </c>
      <c r="AH6" s="126" t="s">
        <v>289</v>
      </c>
      <c r="AI6" s="126" t="s">
        <v>289</v>
      </c>
      <c r="AJ6" s="126" t="s">
        <v>289</v>
      </c>
      <c r="AK6" s="126" t="s">
        <v>289</v>
      </c>
      <c r="AL6" s="126" t="s">
        <v>289</v>
      </c>
      <c r="AM6" s="126" t="s">
        <v>289</v>
      </c>
      <c r="AN6" s="126" t="s">
        <v>289</v>
      </c>
      <c r="AO6" s="126" t="s">
        <v>289</v>
      </c>
      <c r="AP6" s="126" t="s">
        <v>289</v>
      </c>
      <c r="AQ6" s="126" t="s">
        <v>289</v>
      </c>
      <c r="AR6" s="126" t="s">
        <v>289</v>
      </c>
      <c r="AS6" s="126" t="s">
        <v>289</v>
      </c>
      <c r="AT6" s="126" t="s">
        <v>289</v>
      </c>
      <c r="AU6" s="126" t="s">
        <v>289</v>
      </c>
      <c r="AV6" s="126" t="s">
        <v>289</v>
      </c>
      <c r="AW6" s="126" t="s">
        <v>289</v>
      </c>
      <c r="AX6" s="126" t="s">
        <v>289</v>
      </c>
      <c r="AY6" s="9" t="s">
        <v>290</v>
      </c>
      <c r="AZ6" s="156" t="s">
        <v>150</v>
      </c>
    </row>
    <row r="7" spans="1:52" x14ac:dyDescent="0.2">
      <c r="A7" s="129" t="s">
        <v>125</v>
      </c>
      <c r="B7" s="157">
        <v>1</v>
      </c>
      <c r="C7" s="158" t="s">
        <v>293</v>
      </c>
      <c r="D7" s="158">
        <v>1418.9137783739568</v>
      </c>
      <c r="E7" s="158">
        <v>1418.9137783739568</v>
      </c>
      <c r="F7" s="158">
        <v>1418.9137783739568</v>
      </c>
      <c r="G7" s="158">
        <v>1418.9137783739568</v>
      </c>
      <c r="H7" s="158">
        <v>1418.9137783739568</v>
      </c>
      <c r="I7" s="158">
        <v>1418.9137783739568</v>
      </c>
      <c r="J7" s="158">
        <v>1418.9137783739568</v>
      </c>
      <c r="K7" s="158">
        <v>1418.9137783739568</v>
      </c>
      <c r="L7" s="158">
        <v>1418.9137783739568</v>
      </c>
      <c r="M7" s="158">
        <v>1418.9137783739568</v>
      </c>
      <c r="N7" s="158">
        <v>1418.9137783739568</v>
      </c>
      <c r="O7" s="158">
        <v>1418.9137783739568</v>
      </c>
      <c r="P7" s="158">
        <v>1418.9137783739568</v>
      </c>
      <c r="Q7" s="158">
        <v>1418.9137783739568</v>
      </c>
      <c r="R7" s="158">
        <v>1418.9137783739568</v>
      </c>
      <c r="S7" s="158">
        <v>1418.9137783739568</v>
      </c>
      <c r="T7" s="158">
        <v>1418.9137783739568</v>
      </c>
      <c r="U7" s="158">
        <v>1418.9137783739568</v>
      </c>
      <c r="V7" s="158">
        <v>1418.9137783739568</v>
      </c>
      <c r="W7" s="158">
        <v>1418.9137783739568</v>
      </c>
      <c r="X7" s="158">
        <v>1418.9137783739568</v>
      </c>
      <c r="Y7" s="158">
        <v>1418.9137783739568</v>
      </c>
      <c r="Z7" s="158">
        <v>1418.9137783739568</v>
      </c>
      <c r="AA7" s="158">
        <v>1418.9137783739568</v>
      </c>
      <c r="AB7" s="158">
        <v>1418.9137783739568</v>
      </c>
      <c r="AC7" s="158">
        <v>1418.9137783739568</v>
      </c>
      <c r="AD7" s="158">
        <v>1418.9137783739568</v>
      </c>
      <c r="AE7" s="158">
        <v>1418.9137783739568</v>
      </c>
      <c r="AF7" s="158">
        <v>1418.9137783739568</v>
      </c>
      <c r="AG7" s="158">
        <v>1418.9137783739568</v>
      </c>
      <c r="AH7" s="158">
        <v>1418.9137783739568</v>
      </c>
      <c r="AI7" s="158">
        <v>1418.9137783739568</v>
      </c>
      <c r="AJ7" s="158">
        <v>1418.9137783739568</v>
      </c>
      <c r="AK7" s="158">
        <v>1418.9137783739568</v>
      </c>
      <c r="AL7" s="158">
        <v>1418.9137783739568</v>
      </c>
      <c r="AM7" s="158">
        <v>1418.9137783739568</v>
      </c>
      <c r="AN7" s="158">
        <v>1418.9137783739568</v>
      </c>
      <c r="AO7" s="158">
        <v>1418.9137783739568</v>
      </c>
      <c r="AP7" s="158">
        <v>1418.9137783739568</v>
      </c>
      <c r="AQ7" s="158">
        <v>1418.9137783739568</v>
      </c>
      <c r="AR7" s="158">
        <v>1418.9137783739568</v>
      </c>
      <c r="AS7" s="158">
        <v>1418.9137783739568</v>
      </c>
      <c r="AT7" s="158">
        <v>1418.9137783739568</v>
      </c>
      <c r="AU7" s="158">
        <v>1418.9137783739568</v>
      </c>
      <c r="AV7" s="158">
        <v>1418.9137783739568</v>
      </c>
      <c r="AW7" s="158">
        <v>1418.9137783739568</v>
      </c>
      <c r="AX7" s="158">
        <v>1418.9137783739568</v>
      </c>
      <c r="AY7" s="158">
        <v>1418.9137783739568</v>
      </c>
      <c r="AZ7" s="121"/>
    </row>
    <row r="8" spans="1:52" x14ac:dyDescent="0.2">
      <c r="A8" s="159"/>
      <c r="B8" s="160"/>
      <c r="C8" s="159"/>
      <c r="D8" s="159"/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  <c r="R8" s="159"/>
      <c r="S8" s="159"/>
      <c r="T8" s="159"/>
      <c r="U8" s="159"/>
      <c r="V8" s="159"/>
      <c r="W8" s="159"/>
      <c r="X8" s="159"/>
      <c r="Y8" s="159"/>
      <c r="Z8" s="159"/>
      <c r="AA8" s="159"/>
      <c r="AB8" s="159"/>
      <c r="AC8" s="159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59"/>
      <c r="AU8" s="159"/>
      <c r="AV8" s="159"/>
      <c r="AW8" s="159"/>
      <c r="AX8" s="159"/>
      <c r="AY8" s="159"/>
      <c r="AZ8" s="161"/>
    </row>
    <row r="9" spans="1:52" x14ac:dyDescent="0.2">
      <c r="A9" s="1" t="s">
        <v>294</v>
      </c>
      <c r="B9" s="162"/>
      <c r="C9" s="121"/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1"/>
      <c r="AR9" s="121"/>
      <c r="AS9" s="121"/>
      <c r="AT9" s="121"/>
      <c r="AU9" s="121"/>
      <c r="AV9" s="121"/>
      <c r="AW9" s="121"/>
      <c r="AX9" s="121"/>
      <c r="AY9" s="121"/>
      <c r="AZ9" s="121"/>
    </row>
    <row r="10" spans="1:52" x14ac:dyDescent="0.2">
      <c r="A10" s="163" t="s">
        <v>125</v>
      </c>
      <c r="B10" s="164">
        <v>1</v>
      </c>
      <c r="C10" s="158" t="s">
        <v>293</v>
      </c>
      <c r="D10" s="158">
        <f t="shared" ref="D10:AY10" si="0">MAX(SUM(D$14:D$16)+D$7-$B$3,0)</f>
        <v>0</v>
      </c>
      <c r="E10" s="158">
        <f t="shared" si="0"/>
        <v>0</v>
      </c>
      <c r="F10" s="158">
        <f t="shared" si="0"/>
        <v>0</v>
      </c>
      <c r="G10" s="158">
        <f t="shared" si="0"/>
        <v>0</v>
      </c>
      <c r="H10" s="158">
        <f t="shared" si="0"/>
        <v>0</v>
      </c>
      <c r="I10" s="158">
        <f t="shared" si="0"/>
        <v>0</v>
      </c>
      <c r="J10" s="158">
        <f t="shared" si="0"/>
        <v>0</v>
      </c>
      <c r="K10" s="158">
        <f t="shared" si="0"/>
        <v>0</v>
      </c>
      <c r="L10" s="158">
        <f t="shared" si="0"/>
        <v>0</v>
      </c>
      <c r="M10" s="158">
        <f t="shared" si="0"/>
        <v>0</v>
      </c>
      <c r="N10" s="158">
        <f t="shared" si="0"/>
        <v>0</v>
      </c>
      <c r="O10" s="158">
        <f t="shared" si="0"/>
        <v>0</v>
      </c>
      <c r="P10" s="158">
        <f t="shared" si="0"/>
        <v>0</v>
      </c>
      <c r="Q10" s="158">
        <f t="shared" si="0"/>
        <v>0</v>
      </c>
      <c r="R10" s="158">
        <f t="shared" si="0"/>
        <v>0</v>
      </c>
      <c r="S10" s="158">
        <f t="shared" si="0"/>
        <v>0</v>
      </c>
      <c r="T10" s="158">
        <f t="shared" si="0"/>
        <v>0</v>
      </c>
      <c r="U10" s="158">
        <f t="shared" si="0"/>
        <v>0</v>
      </c>
      <c r="V10" s="158">
        <f t="shared" si="0"/>
        <v>0</v>
      </c>
      <c r="W10" s="158">
        <f t="shared" si="0"/>
        <v>0</v>
      </c>
      <c r="X10" s="158">
        <f t="shared" si="0"/>
        <v>0</v>
      </c>
      <c r="Y10" s="158">
        <f t="shared" si="0"/>
        <v>0</v>
      </c>
      <c r="Z10" s="158">
        <f t="shared" si="0"/>
        <v>0</v>
      </c>
      <c r="AA10" s="158">
        <f t="shared" si="0"/>
        <v>0</v>
      </c>
      <c r="AB10" s="158">
        <f t="shared" si="0"/>
        <v>0</v>
      </c>
      <c r="AC10" s="158">
        <f t="shared" si="0"/>
        <v>0</v>
      </c>
      <c r="AD10" s="158">
        <f t="shared" si="0"/>
        <v>0</v>
      </c>
      <c r="AE10" s="158">
        <f t="shared" si="0"/>
        <v>0</v>
      </c>
      <c r="AF10" s="158">
        <f t="shared" si="0"/>
        <v>0</v>
      </c>
      <c r="AG10" s="158">
        <f t="shared" si="0"/>
        <v>0</v>
      </c>
      <c r="AH10" s="158">
        <f t="shared" si="0"/>
        <v>0</v>
      </c>
      <c r="AI10" s="158">
        <f t="shared" si="0"/>
        <v>0</v>
      </c>
      <c r="AJ10" s="158">
        <f t="shared" si="0"/>
        <v>0</v>
      </c>
      <c r="AK10" s="158">
        <f t="shared" si="0"/>
        <v>0</v>
      </c>
      <c r="AL10" s="158">
        <f t="shared" si="0"/>
        <v>0</v>
      </c>
      <c r="AM10" s="158">
        <f t="shared" si="0"/>
        <v>0</v>
      </c>
      <c r="AN10" s="158">
        <f t="shared" si="0"/>
        <v>0</v>
      </c>
      <c r="AO10" s="158">
        <f t="shared" si="0"/>
        <v>0</v>
      </c>
      <c r="AP10" s="158">
        <f t="shared" si="0"/>
        <v>0</v>
      </c>
      <c r="AQ10" s="158">
        <f t="shared" si="0"/>
        <v>0</v>
      </c>
      <c r="AR10" s="158">
        <f t="shared" si="0"/>
        <v>0</v>
      </c>
      <c r="AS10" s="158">
        <f t="shared" si="0"/>
        <v>0</v>
      </c>
      <c r="AT10" s="158">
        <f t="shared" si="0"/>
        <v>0</v>
      </c>
      <c r="AU10" s="158">
        <f t="shared" si="0"/>
        <v>0</v>
      </c>
      <c r="AV10" s="158">
        <f t="shared" si="0"/>
        <v>0</v>
      </c>
      <c r="AW10" s="158">
        <f t="shared" si="0"/>
        <v>0</v>
      </c>
      <c r="AX10" s="158">
        <f t="shared" si="0"/>
        <v>0</v>
      </c>
      <c r="AY10" s="158">
        <f t="shared" si="0"/>
        <v>0</v>
      </c>
      <c r="AZ10" s="165">
        <f>SUM($D10:$AY10)</f>
        <v>0</v>
      </c>
    </row>
    <row r="11" spans="1:52" x14ac:dyDescent="0.2">
      <c r="C11" s="125"/>
    </row>
    <row r="12" spans="1:52" x14ac:dyDescent="0.2">
      <c r="A12" s="166" t="s">
        <v>295</v>
      </c>
      <c r="B12" s="160"/>
      <c r="C12" s="125"/>
    </row>
    <row r="13" spans="1:52" x14ac:dyDescent="0.2">
      <c r="A13" s="136" t="s">
        <v>125</v>
      </c>
      <c r="B13" s="137">
        <v>1</v>
      </c>
      <c r="C13" s="138">
        <v>2615.8396286779675</v>
      </c>
      <c r="D13" s="152">
        <f t="shared" ref="D13:AY13" si="1">D$7-D$10</f>
        <v>1418.9137783739568</v>
      </c>
      <c r="E13" s="152">
        <f t="shared" si="1"/>
        <v>1418.9137783739568</v>
      </c>
      <c r="F13" s="152">
        <f t="shared" si="1"/>
        <v>1418.9137783739568</v>
      </c>
      <c r="G13" s="152">
        <f t="shared" si="1"/>
        <v>1418.9137783739568</v>
      </c>
      <c r="H13" s="152">
        <f t="shared" si="1"/>
        <v>1418.9137783739568</v>
      </c>
      <c r="I13" s="152">
        <f t="shared" si="1"/>
        <v>1418.9137783739568</v>
      </c>
      <c r="J13" s="152">
        <f t="shared" si="1"/>
        <v>1418.9137783739568</v>
      </c>
      <c r="K13" s="152">
        <f t="shared" si="1"/>
        <v>1418.9137783739568</v>
      </c>
      <c r="L13" s="152">
        <f t="shared" si="1"/>
        <v>1418.9137783739568</v>
      </c>
      <c r="M13" s="152">
        <f t="shared" si="1"/>
        <v>1418.9137783739568</v>
      </c>
      <c r="N13" s="152">
        <f t="shared" si="1"/>
        <v>1418.9137783739568</v>
      </c>
      <c r="O13" s="152">
        <f t="shared" si="1"/>
        <v>1418.9137783739568</v>
      </c>
      <c r="P13" s="152">
        <f t="shared" si="1"/>
        <v>1418.9137783739568</v>
      </c>
      <c r="Q13" s="152">
        <f t="shared" si="1"/>
        <v>1418.9137783739568</v>
      </c>
      <c r="R13" s="152">
        <f t="shared" si="1"/>
        <v>1418.9137783739568</v>
      </c>
      <c r="S13" s="152">
        <f t="shared" si="1"/>
        <v>1418.9137783739568</v>
      </c>
      <c r="T13" s="152">
        <f t="shared" si="1"/>
        <v>1418.9137783739568</v>
      </c>
      <c r="U13" s="152">
        <f t="shared" si="1"/>
        <v>1418.9137783739568</v>
      </c>
      <c r="V13" s="152">
        <f t="shared" si="1"/>
        <v>1418.9137783739568</v>
      </c>
      <c r="W13" s="152">
        <f t="shared" si="1"/>
        <v>1418.9137783739568</v>
      </c>
      <c r="X13" s="152">
        <f t="shared" si="1"/>
        <v>1418.9137783739568</v>
      </c>
      <c r="Y13" s="152">
        <f t="shared" si="1"/>
        <v>1418.9137783739568</v>
      </c>
      <c r="Z13" s="152">
        <f t="shared" si="1"/>
        <v>1418.9137783739568</v>
      </c>
      <c r="AA13" s="152">
        <f t="shared" si="1"/>
        <v>1418.9137783739568</v>
      </c>
      <c r="AB13" s="152">
        <f t="shared" si="1"/>
        <v>1418.9137783739568</v>
      </c>
      <c r="AC13" s="152">
        <f t="shared" si="1"/>
        <v>1418.9137783739568</v>
      </c>
      <c r="AD13" s="152">
        <f t="shared" si="1"/>
        <v>1418.9137783739568</v>
      </c>
      <c r="AE13" s="152">
        <f t="shared" si="1"/>
        <v>1418.9137783739568</v>
      </c>
      <c r="AF13" s="152">
        <f t="shared" si="1"/>
        <v>1418.9137783739568</v>
      </c>
      <c r="AG13" s="152">
        <f t="shared" si="1"/>
        <v>1418.9137783739568</v>
      </c>
      <c r="AH13" s="152">
        <f t="shared" si="1"/>
        <v>1418.9137783739568</v>
      </c>
      <c r="AI13" s="152">
        <f t="shared" si="1"/>
        <v>1418.9137783739568</v>
      </c>
      <c r="AJ13" s="152">
        <f t="shared" si="1"/>
        <v>1418.9137783739568</v>
      </c>
      <c r="AK13" s="152">
        <f t="shared" si="1"/>
        <v>1418.9137783739568</v>
      </c>
      <c r="AL13" s="152">
        <f t="shared" si="1"/>
        <v>1418.9137783739568</v>
      </c>
      <c r="AM13" s="152">
        <f t="shared" si="1"/>
        <v>1418.9137783739568</v>
      </c>
      <c r="AN13" s="152">
        <f t="shared" si="1"/>
        <v>1418.9137783739568</v>
      </c>
      <c r="AO13" s="152">
        <f t="shared" si="1"/>
        <v>1418.9137783739568</v>
      </c>
      <c r="AP13" s="152">
        <f t="shared" si="1"/>
        <v>1418.9137783739568</v>
      </c>
      <c r="AQ13" s="152">
        <f t="shared" si="1"/>
        <v>1418.9137783739568</v>
      </c>
      <c r="AR13" s="152">
        <f t="shared" si="1"/>
        <v>1418.9137783739568</v>
      </c>
      <c r="AS13" s="152">
        <f t="shared" si="1"/>
        <v>1418.9137783739568</v>
      </c>
      <c r="AT13" s="152">
        <f t="shared" si="1"/>
        <v>1418.9137783739568</v>
      </c>
      <c r="AU13" s="152">
        <f t="shared" si="1"/>
        <v>1418.9137783739568</v>
      </c>
      <c r="AV13" s="152">
        <f t="shared" si="1"/>
        <v>1418.9137783739568</v>
      </c>
      <c r="AW13" s="152">
        <f t="shared" si="1"/>
        <v>1418.9137783739568</v>
      </c>
      <c r="AX13" s="152">
        <f t="shared" si="1"/>
        <v>1418.9137783739568</v>
      </c>
      <c r="AY13" s="152">
        <f t="shared" si="1"/>
        <v>1418.9137783739568</v>
      </c>
      <c r="AZ13" s="124"/>
    </row>
    <row r="14" spans="1:52" x14ac:dyDescent="0.2">
      <c r="A14" s="125"/>
      <c r="B14" s="134">
        <v>2</v>
      </c>
      <c r="C14" s="125">
        <v>0</v>
      </c>
      <c r="D14" s="121">
        <f>IF(C$20="Yes",C13,0)</f>
        <v>0</v>
      </c>
      <c r="E14" s="121">
        <f t="shared" ref="E14:AY17" si="2">IF(D$20="Yes",D13,0)</f>
        <v>1418.9137783739568</v>
      </c>
      <c r="F14" s="121">
        <f t="shared" si="2"/>
        <v>0</v>
      </c>
      <c r="G14" s="121">
        <f t="shared" si="2"/>
        <v>0</v>
      </c>
      <c r="H14" s="121">
        <f t="shared" si="2"/>
        <v>0</v>
      </c>
      <c r="I14" s="121">
        <f t="shared" si="2"/>
        <v>0</v>
      </c>
      <c r="J14" s="121">
        <f t="shared" si="2"/>
        <v>0</v>
      </c>
      <c r="K14" s="121">
        <f t="shared" si="2"/>
        <v>0</v>
      </c>
      <c r="L14" s="121">
        <f t="shared" si="2"/>
        <v>0</v>
      </c>
      <c r="M14" s="121">
        <f t="shared" si="2"/>
        <v>0</v>
      </c>
      <c r="N14" s="121">
        <f t="shared" si="2"/>
        <v>0</v>
      </c>
      <c r="O14" s="121">
        <f t="shared" si="2"/>
        <v>0</v>
      </c>
      <c r="P14" s="121">
        <f t="shared" si="2"/>
        <v>1418.9137783739568</v>
      </c>
      <c r="Q14" s="121">
        <f t="shared" si="2"/>
        <v>0</v>
      </c>
      <c r="R14" s="121">
        <f t="shared" si="2"/>
        <v>0</v>
      </c>
      <c r="S14" s="121">
        <f t="shared" si="2"/>
        <v>0</v>
      </c>
      <c r="T14" s="121">
        <f t="shared" si="2"/>
        <v>1418.9137783739568</v>
      </c>
      <c r="U14" s="121">
        <f t="shared" si="2"/>
        <v>0</v>
      </c>
      <c r="V14" s="121">
        <f t="shared" si="2"/>
        <v>0</v>
      </c>
      <c r="W14" s="121">
        <f t="shared" si="2"/>
        <v>0</v>
      </c>
      <c r="X14" s="121">
        <f t="shared" si="2"/>
        <v>1418.9137783739568</v>
      </c>
      <c r="Y14" s="121">
        <f t="shared" si="2"/>
        <v>0</v>
      </c>
      <c r="Z14" s="121">
        <f t="shared" si="2"/>
        <v>0</v>
      </c>
      <c r="AA14" s="121">
        <f t="shared" si="2"/>
        <v>0</v>
      </c>
      <c r="AB14" s="121">
        <f t="shared" si="2"/>
        <v>0</v>
      </c>
      <c r="AC14" s="121">
        <f t="shared" si="2"/>
        <v>0</v>
      </c>
      <c r="AD14" s="121">
        <f t="shared" si="2"/>
        <v>0</v>
      </c>
      <c r="AE14" s="121">
        <f t="shared" si="2"/>
        <v>0</v>
      </c>
      <c r="AF14" s="121">
        <f t="shared" si="2"/>
        <v>0</v>
      </c>
      <c r="AG14" s="121">
        <f t="shared" si="2"/>
        <v>0</v>
      </c>
      <c r="AH14" s="121">
        <f t="shared" si="2"/>
        <v>0</v>
      </c>
      <c r="AI14" s="121">
        <f t="shared" si="2"/>
        <v>0</v>
      </c>
      <c r="AJ14" s="121">
        <f t="shared" si="2"/>
        <v>0</v>
      </c>
      <c r="AK14" s="121">
        <f t="shared" si="2"/>
        <v>1418.9137783739568</v>
      </c>
      <c r="AL14" s="121">
        <f t="shared" si="2"/>
        <v>0</v>
      </c>
      <c r="AM14" s="121">
        <f t="shared" si="2"/>
        <v>0</v>
      </c>
      <c r="AN14" s="121">
        <f t="shared" si="2"/>
        <v>1418.9137783739568</v>
      </c>
      <c r="AO14" s="121">
        <f t="shared" si="2"/>
        <v>0</v>
      </c>
      <c r="AP14" s="121">
        <f t="shared" si="2"/>
        <v>0</v>
      </c>
      <c r="AQ14" s="121">
        <f t="shared" si="2"/>
        <v>0</v>
      </c>
      <c r="AR14" s="121">
        <f t="shared" si="2"/>
        <v>0</v>
      </c>
      <c r="AS14" s="121">
        <f t="shared" si="2"/>
        <v>0</v>
      </c>
      <c r="AT14" s="121">
        <f t="shared" si="2"/>
        <v>0</v>
      </c>
      <c r="AU14" s="121">
        <f t="shared" si="2"/>
        <v>0</v>
      </c>
      <c r="AV14" s="121">
        <f t="shared" si="2"/>
        <v>0</v>
      </c>
      <c r="AW14" s="121">
        <f t="shared" si="2"/>
        <v>0</v>
      </c>
      <c r="AX14" s="121">
        <f t="shared" si="2"/>
        <v>1418.9137783739568</v>
      </c>
      <c r="AY14" s="121">
        <f t="shared" si="2"/>
        <v>0</v>
      </c>
      <c r="AZ14" s="124"/>
    </row>
    <row r="15" spans="1:52" x14ac:dyDescent="0.2">
      <c r="A15" s="125"/>
      <c r="B15" s="141">
        <v>3</v>
      </c>
      <c r="C15" s="125">
        <v>0</v>
      </c>
      <c r="D15" s="121">
        <f>IF(C$20="Yes",C14,0)</f>
        <v>0</v>
      </c>
      <c r="E15" s="121">
        <f t="shared" si="2"/>
        <v>0</v>
      </c>
      <c r="F15" s="121">
        <f t="shared" si="2"/>
        <v>0</v>
      </c>
      <c r="G15" s="121">
        <f t="shared" si="2"/>
        <v>0</v>
      </c>
      <c r="H15" s="121">
        <f t="shared" si="2"/>
        <v>0</v>
      </c>
      <c r="I15" s="121">
        <f t="shared" si="2"/>
        <v>0</v>
      </c>
      <c r="J15" s="121">
        <f t="shared" si="2"/>
        <v>0</v>
      </c>
      <c r="K15" s="121">
        <f t="shared" si="2"/>
        <v>0</v>
      </c>
      <c r="L15" s="121">
        <f t="shared" si="2"/>
        <v>0</v>
      </c>
      <c r="M15" s="121">
        <f t="shared" si="2"/>
        <v>0</v>
      </c>
      <c r="N15" s="121">
        <f t="shared" si="2"/>
        <v>0</v>
      </c>
      <c r="O15" s="121">
        <f t="shared" si="2"/>
        <v>0</v>
      </c>
      <c r="P15" s="121">
        <f t="shared" si="2"/>
        <v>0</v>
      </c>
      <c r="Q15" s="121">
        <f t="shared" si="2"/>
        <v>0</v>
      </c>
      <c r="R15" s="121">
        <f t="shared" si="2"/>
        <v>0</v>
      </c>
      <c r="S15" s="121">
        <f t="shared" si="2"/>
        <v>0</v>
      </c>
      <c r="T15" s="121">
        <f t="shared" si="2"/>
        <v>0</v>
      </c>
      <c r="U15" s="121">
        <f t="shared" si="2"/>
        <v>0</v>
      </c>
      <c r="V15" s="121">
        <f t="shared" si="2"/>
        <v>0</v>
      </c>
      <c r="W15" s="121">
        <f t="shared" si="2"/>
        <v>0</v>
      </c>
      <c r="X15" s="121">
        <f t="shared" si="2"/>
        <v>0</v>
      </c>
      <c r="Y15" s="121">
        <f t="shared" si="2"/>
        <v>0</v>
      </c>
      <c r="Z15" s="121">
        <f t="shared" si="2"/>
        <v>0</v>
      </c>
      <c r="AA15" s="121">
        <f t="shared" si="2"/>
        <v>0</v>
      </c>
      <c r="AB15" s="121">
        <f t="shared" si="2"/>
        <v>0</v>
      </c>
      <c r="AC15" s="121">
        <f t="shared" si="2"/>
        <v>0</v>
      </c>
      <c r="AD15" s="121">
        <f t="shared" si="2"/>
        <v>0</v>
      </c>
      <c r="AE15" s="121">
        <f t="shared" si="2"/>
        <v>0</v>
      </c>
      <c r="AF15" s="121">
        <f t="shared" si="2"/>
        <v>0</v>
      </c>
      <c r="AG15" s="121">
        <f t="shared" si="2"/>
        <v>0</v>
      </c>
      <c r="AH15" s="121">
        <f t="shared" si="2"/>
        <v>0</v>
      </c>
      <c r="AI15" s="121">
        <f t="shared" si="2"/>
        <v>0</v>
      </c>
      <c r="AJ15" s="121">
        <f t="shared" si="2"/>
        <v>0</v>
      </c>
      <c r="AK15" s="121">
        <f t="shared" si="2"/>
        <v>0</v>
      </c>
      <c r="AL15" s="121">
        <f t="shared" si="2"/>
        <v>0</v>
      </c>
      <c r="AM15" s="121">
        <f t="shared" si="2"/>
        <v>0</v>
      </c>
      <c r="AN15" s="121">
        <f t="shared" si="2"/>
        <v>0</v>
      </c>
      <c r="AO15" s="121">
        <f t="shared" si="2"/>
        <v>0</v>
      </c>
      <c r="AP15" s="121">
        <f t="shared" si="2"/>
        <v>0</v>
      </c>
      <c r="AQ15" s="121">
        <f t="shared" si="2"/>
        <v>0</v>
      </c>
      <c r="AR15" s="121">
        <f t="shared" si="2"/>
        <v>0</v>
      </c>
      <c r="AS15" s="121">
        <f t="shared" si="2"/>
        <v>0</v>
      </c>
      <c r="AT15" s="121">
        <f t="shared" si="2"/>
        <v>0</v>
      </c>
      <c r="AU15" s="121">
        <f t="shared" si="2"/>
        <v>0</v>
      </c>
      <c r="AV15" s="121">
        <f t="shared" si="2"/>
        <v>0</v>
      </c>
      <c r="AW15" s="121">
        <f t="shared" si="2"/>
        <v>0</v>
      </c>
      <c r="AX15" s="121">
        <f t="shared" si="2"/>
        <v>0</v>
      </c>
      <c r="AY15" s="121">
        <f t="shared" si="2"/>
        <v>0</v>
      </c>
      <c r="AZ15" s="124"/>
    </row>
    <row r="16" spans="1:52" x14ac:dyDescent="0.2">
      <c r="A16" s="125"/>
      <c r="B16" s="144">
        <v>4</v>
      </c>
      <c r="C16" s="125">
        <v>0</v>
      </c>
      <c r="D16" s="121">
        <f>IF(C$20="Yes",C15,0)</f>
        <v>0</v>
      </c>
      <c r="E16" s="121">
        <f t="shared" si="2"/>
        <v>0</v>
      </c>
      <c r="F16" s="121">
        <f t="shared" si="2"/>
        <v>0</v>
      </c>
      <c r="G16" s="121">
        <f t="shared" si="2"/>
        <v>0</v>
      </c>
      <c r="H16" s="121">
        <f t="shared" si="2"/>
        <v>0</v>
      </c>
      <c r="I16" s="121">
        <f t="shared" si="2"/>
        <v>0</v>
      </c>
      <c r="J16" s="121">
        <f t="shared" si="2"/>
        <v>0</v>
      </c>
      <c r="K16" s="121">
        <f t="shared" si="2"/>
        <v>0</v>
      </c>
      <c r="L16" s="121">
        <f t="shared" si="2"/>
        <v>0</v>
      </c>
      <c r="M16" s="121">
        <f t="shared" si="2"/>
        <v>0</v>
      </c>
      <c r="N16" s="121">
        <f t="shared" si="2"/>
        <v>0</v>
      </c>
      <c r="O16" s="121">
        <f t="shared" si="2"/>
        <v>0</v>
      </c>
      <c r="P16" s="121">
        <f t="shared" si="2"/>
        <v>0</v>
      </c>
      <c r="Q16" s="121">
        <f t="shared" si="2"/>
        <v>0</v>
      </c>
      <c r="R16" s="121">
        <f t="shared" si="2"/>
        <v>0</v>
      </c>
      <c r="S16" s="121">
        <f t="shared" si="2"/>
        <v>0</v>
      </c>
      <c r="T16" s="121">
        <f t="shared" si="2"/>
        <v>0</v>
      </c>
      <c r="U16" s="121">
        <f t="shared" si="2"/>
        <v>0</v>
      </c>
      <c r="V16" s="121">
        <f t="shared" si="2"/>
        <v>0</v>
      </c>
      <c r="W16" s="121">
        <f t="shared" si="2"/>
        <v>0</v>
      </c>
      <c r="X16" s="121">
        <f t="shared" si="2"/>
        <v>0</v>
      </c>
      <c r="Y16" s="121">
        <f t="shared" si="2"/>
        <v>0</v>
      </c>
      <c r="Z16" s="121">
        <f t="shared" si="2"/>
        <v>0</v>
      </c>
      <c r="AA16" s="121">
        <f t="shared" si="2"/>
        <v>0</v>
      </c>
      <c r="AB16" s="121">
        <f t="shared" si="2"/>
        <v>0</v>
      </c>
      <c r="AC16" s="121">
        <f t="shared" si="2"/>
        <v>0</v>
      </c>
      <c r="AD16" s="121">
        <f t="shared" si="2"/>
        <v>0</v>
      </c>
      <c r="AE16" s="121">
        <f t="shared" si="2"/>
        <v>0</v>
      </c>
      <c r="AF16" s="121">
        <f t="shared" si="2"/>
        <v>0</v>
      </c>
      <c r="AG16" s="121">
        <f t="shared" si="2"/>
        <v>0</v>
      </c>
      <c r="AH16" s="121">
        <f t="shared" si="2"/>
        <v>0</v>
      </c>
      <c r="AI16" s="121">
        <f t="shared" si="2"/>
        <v>0</v>
      </c>
      <c r="AJ16" s="121">
        <f t="shared" si="2"/>
        <v>0</v>
      </c>
      <c r="AK16" s="121">
        <f t="shared" si="2"/>
        <v>0</v>
      </c>
      <c r="AL16" s="121">
        <f t="shared" si="2"/>
        <v>0</v>
      </c>
      <c r="AM16" s="121">
        <f t="shared" si="2"/>
        <v>0</v>
      </c>
      <c r="AN16" s="121">
        <f t="shared" si="2"/>
        <v>0</v>
      </c>
      <c r="AO16" s="121">
        <f t="shared" si="2"/>
        <v>0</v>
      </c>
      <c r="AP16" s="121">
        <f t="shared" si="2"/>
        <v>0</v>
      </c>
      <c r="AQ16" s="121">
        <f t="shared" si="2"/>
        <v>0</v>
      </c>
      <c r="AR16" s="121">
        <f t="shared" si="2"/>
        <v>0</v>
      </c>
      <c r="AS16" s="121">
        <f t="shared" si="2"/>
        <v>0</v>
      </c>
      <c r="AT16" s="121">
        <f t="shared" si="2"/>
        <v>0</v>
      </c>
      <c r="AU16" s="121">
        <f t="shared" si="2"/>
        <v>0</v>
      </c>
      <c r="AV16" s="121">
        <f t="shared" si="2"/>
        <v>0</v>
      </c>
      <c r="AW16" s="121">
        <f t="shared" si="2"/>
        <v>0</v>
      </c>
      <c r="AX16" s="121">
        <f t="shared" si="2"/>
        <v>0</v>
      </c>
      <c r="AY16" s="121">
        <f t="shared" si="2"/>
        <v>0</v>
      </c>
      <c r="AZ16" s="142"/>
    </row>
    <row r="17" spans="1:52" x14ac:dyDescent="0.2">
      <c r="A17" s="139"/>
      <c r="B17" s="146" t="s">
        <v>296</v>
      </c>
      <c r="C17" s="139">
        <v>0</v>
      </c>
      <c r="D17" s="128">
        <f>IF(C$20="Yes",C16,0)</f>
        <v>0</v>
      </c>
      <c r="E17" s="128">
        <f t="shared" si="2"/>
        <v>0</v>
      </c>
      <c r="F17" s="128">
        <f t="shared" si="2"/>
        <v>0</v>
      </c>
      <c r="G17" s="128">
        <f t="shared" si="2"/>
        <v>0</v>
      </c>
      <c r="H17" s="128">
        <f t="shared" si="2"/>
        <v>0</v>
      </c>
      <c r="I17" s="128">
        <f t="shared" si="2"/>
        <v>0</v>
      </c>
      <c r="J17" s="128">
        <f t="shared" si="2"/>
        <v>0</v>
      </c>
      <c r="K17" s="128">
        <f t="shared" si="2"/>
        <v>0</v>
      </c>
      <c r="L17" s="128">
        <f t="shared" si="2"/>
        <v>0</v>
      </c>
      <c r="M17" s="128">
        <f t="shared" si="2"/>
        <v>0</v>
      </c>
      <c r="N17" s="128">
        <f t="shared" si="2"/>
        <v>0</v>
      </c>
      <c r="O17" s="128">
        <f t="shared" si="2"/>
        <v>0</v>
      </c>
      <c r="P17" s="128">
        <f t="shared" si="2"/>
        <v>0</v>
      </c>
      <c r="Q17" s="128">
        <f t="shared" si="2"/>
        <v>0</v>
      </c>
      <c r="R17" s="128">
        <f t="shared" si="2"/>
        <v>0</v>
      </c>
      <c r="S17" s="128">
        <f t="shared" si="2"/>
        <v>0</v>
      </c>
      <c r="T17" s="128">
        <f t="shared" si="2"/>
        <v>0</v>
      </c>
      <c r="U17" s="128">
        <f t="shared" si="2"/>
        <v>0</v>
      </c>
      <c r="V17" s="128">
        <f t="shared" si="2"/>
        <v>0</v>
      </c>
      <c r="W17" s="128">
        <f t="shared" si="2"/>
        <v>0</v>
      </c>
      <c r="X17" s="128">
        <f t="shared" si="2"/>
        <v>0</v>
      </c>
      <c r="Y17" s="128">
        <f t="shared" si="2"/>
        <v>0</v>
      </c>
      <c r="Z17" s="128">
        <f t="shared" si="2"/>
        <v>0</v>
      </c>
      <c r="AA17" s="128">
        <f t="shared" si="2"/>
        <v>0</v>
      </c>
      <c r="AB17" s="128">
        <f t="shared" si="2"/>
        <v>0</v>
      </c>
      <c r="AC17" s="128">
        <f t="shared" si="2"/>
        <v>0</v>
      </c>
      <c r="AD17" s="128">
        <f t="shared" si="2"/>
        <v>0</v>
      </c>
      <c r="AE17" s="128">
        <f t="shared" si="2"/>
        <v>0</v>
      </c>
      <c r="AF17" s="128">
        <f t="shared" si="2"/>
        <v>0</v>
      </c>
      <c r="AG17" s="128">
        <f t="shared" si="2"/>
        <v>0</v>
      </c>
      <c r="AH17" s="128">
        <f t="shared" si="2"/>
        <v>0</v>
      </c>
      <c r="AI17" s="128">
        <f t="shared" si="2"/>
        <v>0</v>
      </c>
      <c r="AJ17" s="128">
        <f t="shared" si="2"/>
        <v>0</v>
      </c>
      <c r="AK17" s="128">
        <f t="shared" si="2"/>
        <v>0</v>
      </c>
      <c r="AL17" s="128">
        <f t="shared" si="2"/>
        <v>0</v>
      </c>
      <c r="AM17" s="128">
        <f t="shared" si="2"/>
        <v>0</v>
      </c>
      <c r="AN17" s="128">
        <f t="shared" si="2"/>
        <v>0</v>
      </c>
      <c r="AO17" s="128">
        <f t="shared" si="2"/>
        <v>0</v>
      </c>
      <c r="AP17" s="128">
        <f t="shared" si="2"/>
        <v>0</v>
      </c>
      <c r="AQ17" s="128">
        <f t="shared" si="2"/>
        <v>0</v>
      </c>
      <c r="AR17" s="128">
        <f t="shared" si="2"/>
        <v>0</v>
      </c>
      <c r="AS17" s="128">
        <f t="shared" si="2"/>
        <v>0</v>
      </c>
      <c r="AT17" s="128">
        <f t="shared" si="2"/>
        <v>0</v>
      </c>
      <c r="AU17" s="128">
        <f t="shared" si="2"/>
        <v>0</v>
      </c>
      <c r="AV17" s="128">
        <f t="shared" si="2"/>
        <v>0</v>
      </c>
      <c r="AW17" s="128">
        <f t="shared" si="2"/>
        <v>0</v>
      </c>
      <c r="AX17" s="128">
        <f t="shared" si="2"/>
        <v>0</v>
      </c>
      <c r="AY17" s="128">
        <f t="shared" si="2"/>
        <v>0</v>
      </c>
      <c r="AZ17" s="165">
        <f>SUM($D$17:$AY$17)</f>
        <v>0</v>
      </c>
    </row>
    <row r="18" spans="1:52" x14ac:dyDescent="0.2">
      <c r="A18" s="121"/>
      <c r="B18" s="167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52"/>
      <c r="R18" s="152"/>
      <c r="S18" s="152"/>
      <c r="T18" s="152"/>
      <c r="U18" s="152"/>
      <c r="V18" s="152"/>
      <c r="W18" s="152"/>
      <c r="X18" s="152"/>
      <c r="Y18" s="152"/>
      <c r="Z18" s="152"/>
      <c r="AA18" s="152"/>
      <c r="AB18" s="152"/>
      <c r="AC18" s="152"/>
      <c r="AD18" s="152"/>
      <c r="AE18" s="152"/>
      <c r="AF18" s="152"/>
      <c r="AG18" s="152"/>
      <c r="AH18" s="152"/>
      <c r="AI18" s="152"/>
      <c r="AJ18" s="152"/>
      <c r="AK18" s="152"/>
      <c r="AL18" s="152"/>
      <c r="AM18" s="152"/>
      <c r="AN18" s="152"/>
      <c r="AO18" s="152"/>
      <c r="AP18" s="152"/>
      <c r="AQ18" s="152"/>
      <c r="AR18" s="152"/>
      <c r="AS18" s="152"/>
      <c r="AT18" s="152"/>
      <c r="AU18" s="152"/>
      <c r="AV18" s="152"/>
      <c r="AW18" s="152"/>
      <c r="AX18" s="152"/>
      <c r="AY18" s="152"/>
      <c r="AZ18" s="121"/>
    </row>
    <row r="19" spans="1:52" x14ac:dyDescent="0.2">
      <c r="A19" s="1" t="s">
        <v>116</v>
      </c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</row>
    <row r="20" spans="1:52" s="125" customFormat="1" x14ac:dyDescent="0.2">
      <c r="A20" s="129" t="s">
        <v>305</v>
      </c>
      <c r="B20" s="168" t="s">
        <v>306</v>
      </c>
      <c r="C20" s="131"/>
      <c r="D20" s="131" t="s">
        <v>339</v>
      </c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 t="s">
        <v>339</v>
      </c>
      <c r="P20" s="131"/>
      <c r="Q20" s="131"/>
      <c r="R20" s="131"/>
      <c r="S20" s="131" t="s">
        <v>339</v>
      </c>
      <c r="T20" s="131"/>
      <c r="U20" s="131"/>
      <c r="V20" s="131"/>
      <c r="W20" s="131" t="s">
        <v>339</v>
      </c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 t="s">
        <v>339</v>
      </c>
      <c r="AK20" s="131"/>
      <c r="AL20" s="131"/>
      <c r="AM20" s="131" t="s">
        <v>339</v>
      </c>
      <c r="AN20" s="131"/>
      <c r="AO20" s="131"/>
      <c r="AP20" s="131"/>
      <c r="AQ20" s="131"/>
      <c r="AR20" s="131"/>
      <c r="AS20" s="131"/>
      <c r="AT20" s="131"/>
      <c r="AU20" s="131"/>
      <c r="AV20" s="131"/>
      <c r="AW20" s="131" t="s">
        <v>339</v>
      </c>
      <c r="AX20" s="131"/>
      <c r="AY20" s="131"/>
      <c r="AZ20" s="122"/>
    </row>
    <row r="21" spans="1:52" s="125" customFormat="1" x14ac:dyDescent="0.2">
      <c r="A21" s="169" t="s">
        <v>133</v>
      </c>
      <c r="B21" s="170">
        <f>shipping_manufacturing!$G$19/100</f>
        <v>1</v>
      </c>
      <c r="C21" s="170" t="s">
        <v>293</v>
      </c>
      <c r="D21" s="121">
        <f>IF(C$20="Yes",0,SUM(C$13:C$16)*$B$21)</f>
        <v>2615.8396286779675</v>
      </c>
      <c r="E21" s="121">
        <f t="shared" ref="E21:AY21" si="3">IF(D$20="Yes",0,SUM(D$13:D$16)*$B$21)</f>
        <v>0</v>
      </c>
      <c r="F21" s="121">
        <f t="shared" si="3"/>
        <v>2837.8275567479136</v>
      </c>
      <c r="G21" s="121">
        <f t="shared" si="3"/>
        <v>1418.9137783739568</v>
      </c>
      <c r="H21" s="121">
        <f t="shared" si="3"/>
        <v>1418.9137783739568</v>
      </c>
      <c r="I21" s="121">
        <f t="shared" si="3"/>
        <v>1418.9137783739568</v>
      </c>
      <c r="J21" s="121">
        <f t="shared" si="3"/>
        <v>1418.9137783739568</v>
      </c>
      <c r="K21" s="121">
        <f t="shared" si="3"/>
        <v>1418.9137783739568</v>
      </c>
      <c r="L21" s="121">
        <f t="shared" si="3"/>
        <v>1418.9137783739568</v>
      </c>
      <c r="M21" s="121">
        <f t="shared" si="3"/>
        <v>1418.9137783739568</v>
      </c>
      <c r="N21" s="121">
        <f t="shared" si="3"/>
        <v>1418.9137783739568</v>
      </c>
      <c r="O21" s="121">
        <f t="shared" si="3"/>
        <v>1418.9137783739568</v>
      </c>
      <c r="P21" s="121">
        <f t="shared" si="3"/>
        <v>0</v>
      </c>
      <c r="Q21" s="121">
        <f t="shared" si="3"/>
        <v>2837.8275567479136</v>
      </c>
      <c r="R21" s="121">
        <f t="shared" si="3"/>
        <v>1418.9137783739568</v>
      </c>
      <c r="S21" s="121">
        <f t="shared" si="3"/>
        <v>1418.9137783739568</v>
      </c>
      <c r="T21" s="121">
        <f t="shared" si="3"/>
        <v>0</v>
      </c>
      <c r="U21" s="121">
        <f t="shared" si="3"/>
        <v>2837.8275567479136</v>
      </c>
      <c r="V21" s="121">
        <f t="shared" si="3"/>
        <v>1418.9137783739568</v>
      </c>
      <c r="W21" s="121">
        <f t="shared" si="3"/>
        <v>1418.9137783739568</v>
      </c>
      <c r="X21" s="121">
        <f t="shared" si="3"/>
        <v>0</v>
      </c>
      <c r="Y21" s="121">
        <f t="shared" si="3"/>
        <v>2837.8275567479136</v>
      </c>
      <c r="Z21" s="121">
        <f t="shared" si="3"/>
        <v>1418.9137783739568</v>
      </c>
      <c r="AA21" s="121">
        <f t="shared" si="3"/>
        <v>1418.9137783739568</v>
      </c>
      <c r="AB21" s="121">
        <f t="shared" si="3"/>
        <v>1418.9137783739568</v>
      </c>
      <c r="AC21" s="121">
        <f t="shared" si="3"/>
        <v>1418.9137783739568</v>
      </c>
      <c r="AD21" s="121">
        <f t="shared" si="3"/>
        <v>1418.9137783739568</v>
      </c>
      <c r="AE21" s="121">
        <f t="shared" si="3"/>
        <v>1418.9137783739568</v>
      </c>
      <c r="AF21" s="121">
        <f t="shared" si="3"/>
        <v>1418.9137783739568</v>
      </c>
      <c r="AG21" s="121">
        <f t="shared" si="3"/>
        <v>1418.9137783739568</v>
      </c>
      <c r="AH21" s="121">
        <f t="shared" si="3"/>
        <v>1418.9137783739568</v>
      </c>
      <c r="AI21" s="121">
        <f t="shared" si="3"/>
        <v>1418.9137783739568</v>
      </c>
      <c r="AJ21" s="121">
        <f t="shared" si="3"/>
        <v>1418.9137783739568</v>
      </c>
      <c r="AK21" s="121">
        <f t="shared" si="3"/>
        <v>0</v>
      </c>
      <c r="AL21" s="121">
        <f t="shared" si="3"/>
        <v>2837.8275567479136</v>
      </c>
      <c r="AM21" s="121">
        <f t="shared" si="3"/>
        <v>1418.9137783739568</v>
      </c>
      <c r="AN21" s="121">
        <f t="shared" si="3"/>
        <v>0</v>
      </c>
      <c r="AO21" s="121">
        <f t="shared" si="3"/>
        <v>2837.8275567479136</v>
      </c>
      <c r="AP21" s="121">
        <f t="shared" si="3"/>
        <v>1418.9137783739568</v>
      </c>
      <c r="AQ21" s="121">
        <f t="shared" si="3"/>
        <v>1418.9137783739568</v>
      </c>
      <c r="AR21" s="121">
        <f t="shared" si="3"/>
        <v>1418.9137783739568</v>
      </c>
      <c r="AS21" s="121">
        <f t="shared" si="3"/>
        <v>1418.9137783739568</v>
      </c>
      <c r="AT21" s="121">
        <f t="shared" si="3"/>
        <v>1418.9137783739568</v>
      </c>
      <c r="AU21" s="121">
        <f t="shared" si="3"/>
        <v>1418.9137783739568</v>
      </c>
      <c r="AV21" s="121">
        <f t="shared" si="3"/>
        <v>1418.9137783739568</v>
      </c>
      <c r="AW21" s="121">
        <f t="shared" si="3"/>
        <v>1418.9137783739568</v>
      </c>
      <c r="AX21" s="121">
        <f t="shared" si="3"/>
        <v>0</v>
      </c>
      <c r="AY21" s="121">
        <f t="shared" si="3"/>
        <v>2837.8275567479136</v>
      </c>
      <c r="AZ21" s="171">
        <f>SUM($D21:$AY21)</f>
        <v>69304.787212253941</v>
      </c>
    </row>
    <row r="22" spans="1:52" s="125" customFormat="1" x14ac:dyDescent="0.2">
      <c r="A22" s="172" t="s">
        <v>123</v>
      </c>
      <c r="B22" s="173">
        <f>1-$B$21</f>
        <v>0</v>
      </c>
      <c r="C22" s="173" t="s">
        <v>293</v>
      </c>
      <c r="D22" s="128">
        <f>IF(C$20="Yes",0,SUM(C$13:C$16)*$B$22)</f>
        <v>0</v>
      </c>
      <c r="E22" s="128">
        <f t="shared" ref="E22:AY22" si="4">IF(D$20="Yes",0,SUM(D$13:D$16)*$B$22)</f>
        <v>0</v>
      </c>
      <c r="F22" s="128">
        <f t="shared" si="4"/>
        <v>0</v>
      </c>
      <c r="G22" s="128">
        <f t="shared" si="4"/>
        <v>0</v>
      </c>
      <c r="H22" s="128">
        <f t="shared" si="4"/>
        <v>0</v>
      </c>
      <c r="I22" s="128">
        <f t="shared" si="4"/>
        <v>0</v>
      </c>
      <c r="J22" s="128">
        <f t="shared" si="4"/>
        <v>0</v>
      </c>
      <c r="K22" s="128">
        <f t="shared" si="4"/>
        <v>0</v>
      </c>
      <c r="L22" s="128">
        <f t="shared" si="4"/>
        <v>0</v>
      </c>
      <c r="M22" s="128">
        <f t="shared" si="4"/>
        <v>0</v>
      </c>
      <c r="N22" s="128">
        <f t="shared" si="4"/>
        <v>0</v>
      </c>
      <c r="O22" s="128">
        <f t="shared" si="4"/>
        <v>0</v>
      </c>
      <c r="P22" s="128">
        <f t="shared" si="4"/>
        <v>0</v>
      </c>
      <c r="Q22" s="128">
        <f t="shared" si="4"/>
        <v>0</v>
      </c>
      <c r="R22" s="128">
        <f t="shared" si="4"/>
        <v>0</v>
      </c>
      <c r="S22" s="128">
        <f t="shared" si="4"/>
        <v>0</v>
      </c>
      <c r="T22" s="128">
        <f t="shared" si="4"/>
        <v>0</v>
      </c>
      <c r="U22" s="128">
        <f t="shared" si="4"/>
        <v>0</v>
      </c>
      <c r="V22" s="128">
        <f t="shared" si="4"/>
        <v>0</v>
      </c>
      <c r="W22" s="128">
        <f t="shared" si="4"/>
        <v>0</v>
      </c>
      <c r="X22" s="128">
        <f t="shared" si="4"/>
        <v>0</v>
      </c>
      <c r="Y22" s="128">
        <f t="shared" si="4"/>
        <v>0</v>
      </c>
      <c r="Z22" s="128">
        <f t="shared" si="4"/>
        <v>0</v>
      </c>
      <c r="AA22" s="128">
        <f t="shared" si="4"/>
        <v>0</v>
      </c>
      <c r="AB22" s="128">
        <f t="shared" si="4"/>
        <v>0</v>
      </c>
      <c r="AC22" s="128">
        <f t="shared" si="4"/>
        <v>0</v>
      </c>
      <c r="AD22" s="128">
        <f t="shared" si="4"/>
        <v>0</v>
      </c>
      <c r="AE22" s="128">
        <f t="shared" si="4"/>
        <v>0</v>
      </c>
      <c r="AF22" s="128">
        <f t="shared" si="4"/>
        <v>0</v>
      </c>
      <c r="AG22" s="128">
        <f t="shared" si="4"/>
        <v>0</v>
      </c>
      <c r="AH22" s="128">
        <f t="shared" si="4"/>
        <v>0</v>
      </c>
      <c r="AI22" s="128">
        <f t="shared" si="4"/>
        <v>0</v>
      </c>
      <c r="AJ22" s="128">
        <f t="shared" si="4"/>
        <v>0</v>
      </c>
      <c r="AK22" s="128">
        <f t="shared" si="4"/>
        <v>0</v>
      </c>
      <c r="AL22" s="128">
        <f t="shared" si="4"/>
        <v>0</v>
      </c>
      <c r="AM22" s="128">
        <f t="shared" si="4"/>
        <v>0</v>
      </c>
      <c r="AN22" s="128">
        <f t="shared" si="4"/>
        <v>0</v>
      </c>
      <c r="AO22" s="128">
        <f t="shared" si="4"/>
        <v>0</v>
      </c>
      <c r="AP22" s="128">
        <f t="shared" si="4"/>
        <v>0</v>
      </c>
      <c r="AQ22" s="128">
        <f t="shared" si="4"/>
        <v>0</v>
      </c>
      <c r="AR22" s="128">
        <f t="shared" si="4"/>
        <v>0</v>
      </c>
      <c r="AS22" s="128">
        <f t="shared" si="4"/>
        <v>0</v>
      </c>
      <c r="AT22" s="128">
        <f t="shared" si="4"/>
        <v>0</v>
      </c>
      <c r="AU22" s="128">
        <f t="shared" si="4"/>
        <v>0</v>
      </c>
      <c r="AV22" s="128">
        <f t="shared" si="4"/>
        <v>0</v>
      </c>
      <c r="AW22" s="128">
        <f t="shared" si="4"/>
        <v>0</v>
      </c>
      <c r="AX22" s="128">
        <f t="shared" si="4"/>
        <v>0</v>
      </c>
      <c r="AY22" s="128">
        <f t="shared" si="4"/>
        <v>0</v>
      </c>
      <c r="AZ22" s="155">
        <f t="shared" ref="AZ22:AZ30" si="5">SUM($D22:$AY22)</f>
        <v>0</v>
      </c>
    </row>
    <row r="23" spans="1:52" x14ac:dyDescent="0.2">
      <c r="A23" s="174" t="s">
        <v>307</v>
      </c>
      <c r="B23" s="138">
        <v>2000</v>
      </c>
      <c r="C23" t="s">
        <v>293</v>
      </c>
      <c r="D23">
        <f>D$21*$B$23</f>
        <v>5231679.2573559349</v>
      </c>
      <c r="E23">
        <f t="shared" ref="E23:AY23" si="6">E$21*$B$23</f>
        <v>0</v>
      </c>
      <c r="F23">
        <f t="shared" si="6"/>
        <v>5675655.1134958277</v>
      </c>
      <c r="G23">
        <f t="shared" si="6"/>
        <v>2837827.5567479138</v>
      </c>
      <c r="H23">
        <f t="shared" si="6"/>
        <v>2837827.5567479138</v>
      </c>
      <c r="I23">
        <f t="shared" si="6"/>
        <v>2837827.5567479138</v>
      </c>
      <c r="J23">
        <f t="shared" si="6"/>
        <v>2837827.5567479138</v>
      </c>
      <c r="K23">
        <f t="shared" si="6"/>
        <v>2837827.5567479138</v>
      </c>
      <c r="L23">
        <f t="shared" si="6"/>
        <v>2837827.5567479138</v>
      </c>
      <c r="M23">
        <f t="shared" si="6"/>
        <v>2837827.5567479138</v>
      </c>
      <c r="N23">
        <f t="shared" si="6"/>
        <v>2837827.5567479138</v>
      </c>
      <c r="O23">
        <f t="shared" si="6"/>
        <v>2837827.5567479138</v>
      </c>
      <c r="P23">
        <f t="shared" si="6"/>
        <v>0</v>
      </c>
      <c r="Q23">
        <f t="shared" si="6"/>
        <v>5675655.1134958277</v>
      </c>
      <c r="R23">
        <f t="shared" si="6"/>
        <v>2837827.5567479138</v>
      </c>
      <c r="S23">
        <f t="shared" si="6"/>
        <v>2837827.5567479138</v>
      </c>
      <c r="T23">
        <f t="shared" si="6"/>
        <v>0</v>
      </c>
      <c r="U23">
        <f t="shared" si="6"/>
        <v>5675655.1134958277</v>
      </c>
      <c r="V23">
        <f t="shared" si="6"/>
        <v>2837827.5567479138</v>
      </c>
      <c r="W23">
        <f t="shared" si="6"/>
        <v>2837827.5567479138</v>
      </c>
      <c r="X23">
        <f t="shared" si="6"/>
        <v>0</v>
      </c>
      <c r="Y23">
        <f t="shared" si="6"/>
        <v>5675655.1134958277</v>
      </c>
      <c r="Z23">
        <f t="shared" si="6"/>
        <v>2837827.5567479138</v>
      </c>
      <c r="AA23">
        <f t="shared" si="6"/>
        <v>2837827.5567479138</v>
      </c>
      <c r="AB23">
        <f t="shared" si="6"/>
        <v>2837827.5567479138</v>
      </c>
      <c r="AC23">
        <f t="shared" si="6"/>
        <v>2837827.5567479138</v>
      </c>
      <c r="AD23">
        <f t="shared" si="6"/>
        <v>2837827.5567479138</v>
      </c>
      <c r="AE23">
        <f t="shared" si="6"/>
        <v>2837827.5567479138</v>
      </c>
      <c r="AF23">
        <f t="shared" si="6"/>
        <v>2837827.5567479138</v>
      </c>
      <c r="AG23">
        <f t="shared" si="6"/>
        <v>2837827.5567479138</v>
      </c>
      <c r="AH23">
        <f t="shared" si="6"/>
        <v>2837827.5567479138</v>
      </c>
      <c r="AI23">
        <f t="shared" si="6"/>
        <v>2837827.5567479138</v>
      </c>
      <c r="AJ23">
        <f t="shared" si="6"/>
        <v>2837827.5567479138</v>
      </c>
      <c r="AK23">
        <f t="shared" si="6"/>
        <v>0</v>
      </c>
      <c r="AL23">
        <f t="shared" si="6"/>
        <v>5675655.1134958277</v>
      </c>
      <c r="AM23">
        <f t="shared" si="6"/>
        <v>2837827.5567479138</v>
      </c>
      <c r="AN23">
        <f t="shared" si="6"/>
        <v>0</v>
      </c>
      <c r="AO23">
        <f t="shared" si="6"/>
        <v>5675655.1134958277</v>
      </c>
      <c r="AP23">
        <f t="shared" si="6"/>
        <v>2837827.5567479138</v>
      </c>
      <c r="AQ23">
        <f t="shared" si="6"/>
        <v>2837827.5567479138</v>
      </c>
      <c r="AR23">
        <f t="shared" si="6"/>
        <v>2837827.5567479138</v>
      </c>
      <c r="AS23">
        <f t="shared" si="6"/>
        <v>2837827.5567479138</v>
      </c>
      <c r="AT23">
        <f t="shared" si="6"/>
        <v>2837827.5567479138</v>
      </c>
      <c r="AU23">
        <f t="shared" si="6"/>
        <v>2837827.5567479138</v>
      </c>
      <c r="AV23">
        <f t="shared" si="6"/>
        <v>2837827.5567479138</v>
      </c>
      <c r="AW23">
        <f t="shared" si="6"/>
        <v>2837827.5567479138</v>
      </c>
      <c r="AX23">
        <f t="shared" si="6"/>
        <v>0</v>
      </c>
      <c r="AY23">
        <f t="shared" si="6"/>
        <v>5675655.1134958277</v>
      </c>
      <c r="AZ23" s="153">
        <f t="shared" si="5"/>
        <v>138609574.42450789</v>
      </c>
    </row>
    <row r="24" spans="1:52" s="125" customFormat="1" x14ac:dyDescent="0.2">
      <c r="A24" s="175" t="s">
        <v>308</v>
      </c>
      <c r="B24" s="176">
        <v>1000</v>
      </c>
      <c r="C24" s="170" t="s">
        <v>293</v>
      </c>
      <c r="D24" s="121">
        <f>D$22*$B$24</f>
        <v>0</v>
      </c>
      <c r="E24" s="121">
        <f t="shared" ref="E24:AY24" si="7">E$22*$B$24</f>
        <v>0</v>
      </c>
      <c r="F24" s="121">
        <f t="shared" si="7"/>
        <v>0</v>
      </c>
      <c r="G24" s="121">
        <f t="shared" si="7"/>
        <v>0</v>
      </c>
      <c r="H24" s="121">
        <f t="shared" si="7"/>
        <v>0</v>
      </c>
      <c r="I24" s="121">
        <f t="shared" si="7"/>
        <v>0</v>
      </c>
      <c r="J24" s="121">
        <f t="shared" si="7"/>
        <v>0</v>
      </c>
      <c r="K24" s="121">
        <f t="shared" si="7"/>
        <v>0</v>
      </c>
      <c r="L24" s="121">
        <f t="shared" si="7"/>
        <v>0</v>
      </c>
      <c r="M24" s="121">
        <f t="shared" si="7"/>
        <v>0</v>
      </c>
      <c r="N24" s="121">
        <f t="shared" si="7"/>
        <v>0</v>
      </c>
      <c r="O24" s="121">
        <f t="shared" si="7"/>
        <v>0</v>
      </c>
      <c r="P24" s="121">
        <f t="shared" si="7"/>
        <v>0</v>
      </c>
      <c r="Q24" s="121">
        <f t="shared" si="7"/>
        <v>0</v>
      </c>
      <c r="R24" s="121">
        <f t="shared" si="7"/>
        <v>0</v>
      </c>
      <c r="S24" s="121">
        <f t="shared" si="7"/>
        <v>0</v>
      </c>
      <c r="T24" s="121">
        <f t="shared" si="7"/>
        <v>0</v>
      </c>
      <c r="U24" s="121">
        <f t="shared" si="7"/>
        <v>0</v>
      </c>
      <c r="V24" s="121">
        <f t="shared" si="7"/>
        <v>0</v>
      </c>
      <c r="W24" s="121">
        <f t="shared" si="7"/>
        <v>0</v>
      </c>
      <c r="X24" s="121">
        <f t="shared" si="7"/>
        <v>0</v>
      </c>
      <c r="Y24" s="121">
        <f t="shared" si="7"/>
        <v>0</v>
      </c>
      <c r="Z24" s="121">
        <f t="shared" si="7"/>
        <v>0</v>
      </c>
      <c r="AA24" s="121">
        <f t="shared" si="7"/>
        <v>0</v>
      </c>
      <c r="AB24" s="121">
        <f t="shared" si="7"/>
        <v>0</v>
      </c>
      <c r="AC24" s="121">
        <f t="shared" si="7"/>
        <v>0</v>
      </c>
      <c r="AD24" s="121">
        <f t="shared" si="7"/>
        <v>0</v>
      </c>
      <c r="AE24" s="121">
        <f t="shared" si="7"/>
        <v>0</v>
      </c>
      <c r="AF24" s="121">
        <f t="shared" si="7"/>
        <v>0</v>
      </c>
      <c r="AG24" s="121">
        <f t="shared" si="7"/>
        <v>0</v>
      </c>
      <c r="AH24" s="121">
        <f t="shared" si="7"/>
        <v>0</v>
      </c>
      <c r="AI24" s="121">
        <f t="shared" si="7"/>
        <v>0</v>
      </c>
      <c r="AJ24" s="121">
        <f t="shared" si="7"/>
        <v>0</v>
      </c>
      <c r="AK24" s="121">
        <f t="shared" si="7"/>
        <v>0</v>
      </c>
      <c r="AL24" s="121">
        <f t="shared" si="7"/>
        <v>0</v>
      </c>
      <c r="AM24" s="121">
        <f t="shared" si="7"/>
        <v>0</v>
      </c>
      <c r="AN24" s="121">
        <f t="shared" si="7"/>
        <v>0</v>
      </c>
      <c r="AO24" s="121">
        <f t="shared" si="7"/>
        <v>0</v>
      </c>
      <c r="AP24" s="121">
        <f t="shared" si="7"/>
        <v>0</v>
      </c>
      <c r="AQ24" s="121">
        <f t="shared" si="7"/>
        <v>0</v>
      </c>
      <c r="AR24" s="121">
        <f t="shared" si="7"/>
        <v>0</v>
      </c>
      <c r="AS24" s="121">
        <f t="shared" si="7"/>
        <v>0</v>
      </c>
      <c r="AT24" s="121">
        <f t="shared" si="7"/>
        <v>0</v>
      </c>
      <c r="AU24" s="121">
        <f t="shared" si="7"/>
        <v>0</v>
      </c>
      <c r="AV24" s="121">
        <f t="shared" si="7"/>
        <v>0</v>
      </c>
      <c r="AW24" s="121">
        <f t="shared" si="7"/>
        <v>0</v>
      </c>
      <c r="AX24" s="121">
        <f t="shared" si="7"/>
        <v>0</v>
      </c>
      <c r="AY24" s="121">
        <f t="shared" si="7"/>
        <v>0</v>
      </c>
      <c r="AZ24" s="155">
        <f t="shared" si="5"/>
        <v>0</v>
      </c>
    </row>
    <row r="25" spans="1:52" x14ac:dyDescent="0.2"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2"/>
      <c r="Z25" s="152"/>
      <c r="AA25" s="152"/>
      <c r="AB25" s="152"/>
      <c r="AC25" s="152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21"/>
    </row>
    <row r="26" spans="1:52" x14ac:dyDescent="0.2">
      <c r="A26" s="177" t="s">
        <v>18</v>
      </c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</row>
    <row r="27" spans="1:52" x14ac:dyDescent="0.2">
      <c r="B27" s="149" t="s">
        <v>309</v>
      </c>
      <c r="C27" s="138">
        <v>53</v>
      </c>
      <c r="D27" s="138">
        <f>C$27-C$28+C$29</f>
        <v>0</v>
      </c>
      <c r="E27" s="138">
        <f t="shared" ref="E27:AY27" si="8">D27-D28+D29</f>
        <v>53</v>
      </c>
      <c r="F27" s="138">
        <f t="shared" si="8"/>
        <v>53</v>
      </c>
      <c r="G27" s="138">
        <f t="shared" si="8"/>
        <v>0</v>
      </c>
      <c r="H27" s="138">
        <f t="shared" si="8"/>
        <v>53</v>
      </c>
      <c r="I27" s="138">
        <f t="shared" si="8"/>
        <v>5</v>
      </c>
      <c r="J27" s="138">
        <f t="shared" si="8"/>
        <v>48</v>
      </c>
      <c r="K27" s="138">
        <f t="shared" si="8"/>
        <v>5</v>
      </c>
      <c r="L27" s="138">
        <f t="shared" si="8"/>
        <v>48</v>
      </c>
      <c r="M27" s="138">
        <f t="shared" si="8"/>
        <v>5</v>
      </c>
      <c r="N27" s="138">
        <f t="shared" si="8"/>
        <v>48</v>
      </c>
      <c r="O27" s="138">
        <f t="shared" si="8"/>
        <v>5</v>
      </c>
      <c r="P27" s="138">
        <f t="shared" si="8"/>
        <v>48</v>
      </c>
      <c r="Q27" s="138">
        <f t="shared" si="8"/>
        <v>53</v>
      </c>
      <c r="R27" s="138">
        <f t="shared" si="8"/>
        <v>0</v>
      </c>
      <c r="S27" s="138">
        <f t="shared" si="8"/>
        <v>53</v>
      </c>
      <c r="T27" s="138">
        <f t="shared" si="8"/>
        <v>5</v>
      </c>
      <c r="U27" s="138">
        <f t="shared" si="8"/>
        <v>53</v>
      </c>
      <c r="V27" s="138">
        <f t="shared" si="8"/>
        <v>0</v>
      </c>
      <c r="W27" s="138">
        <f t="shared" si="8"/>
        <v>53</v>
      </c>
      <c r="X27" s="138">
        <f t="shared" si="8"/>
        <v>5</v>
      </c>
      <c r="Y27" s="138">
        <f t="shared" si="8"/>
        <v>53</v>
      </c>
      <c r="Z27" s="138">
        <f t="shared" si="8"/>
        <v>0</v>
      </c>
      <c r="AA27" s="138">
        <f t="shared" si="8"/>
        <v>53</v>
      </c>
      <c r="AB27" s="138">
        <f t="shared" si="8"/>
        <v>5</v>
      </c>
      <c r="AC27" s="138">
        <f t="shared" si="8"/>
        <v>48</v>
      </c>
      <c r="AD27" s="138">
        <f t="shared" si="8"/>
        <v>5</v>
      </c>
      <c r="AE27" s="138">
        <f t="shared" si="8"/>
        <v>48</v>
      </c>
      <c r="AF27" s="138">
        <f t="shared" si="8"/>
        <v>5</v>
      </c>
      <c r="AG27" s="138">
        <f t="shared" si="8"/>
        <v>48</v>
      </c>
      <c r="AH27" s="138">
        <f t="shared" si="8"/>
        <v>5</v>
      </c>
      <c r="AI27" s="138">
        <f t="shared" si="8"/>
        <v>48</v>
      </c>
      <c r="AJ27" s="138">
        <f t="shared" si="8"/>
        <v>5</v>
      </c>
      <c r="AK27" s="138">
        <f t="shared" si="8"/>
        <v>48</v>
      </c>
      <c r="AL27" s="138">
        <f t="shared" si="8"/>
        <v>53</v>
      </c>
      <c r="AM27" s="138">
        <f t="shared" si="8"/>
        <v>0</v>
      </c>
      <c r="AN27" s="138">
        <f t="shared" si="8"/>
        <v>53</v>
      </c>
      <c r="AO27" s="138">
        <f t="shared" si="8"/>
        <v>53</v>
      </c>
      <c r="AP27" s="138">
        <f t="shared" si="8"/>
        <v>0</v>
      </c>
      <c r="AQ27" s="138">
        <f t="shared" si="8"/>
        <v>53</v>
      </c>
      <c r="AR27" s="138">
        <f t="shared" si="8"/>
        <v>5</v>
      </c>
      <c r="AS27" s="138">
        <f t="shared" si="8"/>
        <v>48</v>
      </c>
      <c r="AT27" s="138">
        <f t="shared" si="8"/>
        <v>5</v>
      </c>
      <c r="AU27" s="138">
        <f t="shared" si="8"/>
        <v>48</v>
      </c>
      <c r="AV27" s="138">
        <f t="shared" si="8"/>
        <v>5</v>
      </c>
      <c r="AW27" s="138">
        <f t="shared" si="8"/>
        <v>48</v>
      </c>
      <c r="AX27" s="138">
        <f t="shared" si="8"/>
        <v>5</v>
      </c>
      <c r="AY27" s="178">
        <f t="shared" si="8"/>
        <v>53</v>
      </c>
      <c r="AZ27" s="121"/>
    </row>
    <row r="28" spans="1:52" x14ac:dyDescent="0.2">
      <c r="B28" s="179" t="s">
        <v>310</v>
      </c>
      <c r="C28" s="125">
        <v>53</v>
      </c>
      <c r="D28" s="125">
        <v>0</v>
      </c>
      <c r="E28" s="125">
        <v>0</v>
      </c>
      <c r="F28" s="125">
        <v>53</v>
      </c>
      <c r="G28" s="125">
        <v>0</v>
      </c>
      <c r="H28" s="125">
        <v>48</v>
      </c>
      <c r="I28" s="125">
        <v>5</v>
      </c>
      <c r="J28" s="125">
        <v>48</v>
      </c>
      <c r="K28" s="125">
        <v>5</v>
      </c>
      <c r="L28" s="125">
        <v>48</v>
      </c>
      <c r="M28" s="125">
        <v>5</v>
      </c>
      <c r="N28" s="125">
        <v>48</v>
      </c>
      <c r="O28" s="125">
        <v>5</v>
      </c>
      <c r="P28" s="125">
        <v>0</v>
      </c>
      <c r="Q28" s="125">
        <v>53</v>
      </c>
      <c r="R28" s="125">
        <v>0</v>
      </c>
      <c r="S28" s="125">
        <v>48</v>
      </c>
      <c r="T28" s="125">
        <v>0</v>
      </c>
      <c r="U28" s="125">
        <v>53</v>
      </c>
      <c r="V28" s="125">
        <v>0</v>
      </c>
      <c r="W28" s="125">
        <v>48</v>
      </c>
      <c r="X28" s="125">
        <v>0</v>
      </c>
      <c r="Y28" s="125">
        <v>53</v>
      </c>
      <c r="Z28" s="125">
        <v>0</v>
      </c>
      <c r="AA28" s="125">
        <v>48</v>
      </c>
      <c r="AB28" s="125">
        <v>5</v>
      </c>
      <c r="AC28" s="125">
        <v>48</v>
      </c>
      <c r="AD28" s="125">
        <v>5</v>
      </c>
      <c r="AE28" s="125">
        <v>48</v>
      </c>
      <c r="AF28" s="125">
        <v>5</v>
      </c>
      <c r="AG28" s="125">
        <v>48</v>
      </c>
      <c r="AH28" s="125">
        <v>5</v>
      </c>
      <c r="AI28" s="125">
        <v>48</v>
      </c>
      <c r="AJ28" s="125">
        <v>5</v>
      </c>
      <c r="AK28" s="125">
        <v>0</v>
      </c>
      <c r="AL28" s="125">
        <v>53</v>
      </c>
      <c r="AM28" s="125">
        <v>0</v>
      </c>
      <c r="AN28" s="125">
        <v>0</v>
      </c>
      <c r="AO28" s="125">
        <v>53</v>
      </c>
      <c r="AP28" s="125">
        <v>0</v>
      </c>
      <c r="AQ28" s="125">
        <v>48</v>
      </c>
      <c r="AR28" s="125">
        <v>5</v>
      </c>
      <c r="AS28" s="125">
        <v>48</v>
      </c>
      <c r="AT28" s="125">
        <v>5</v>
      </c>
      <c r="AU28" s="125">
        <v>48</v>
      </c>
      <c r="AV28" s="125">
        <v>5</v>
      </c>
      <c r="AW28" s="125">
        <v>48</v>
      </c>
      <c r="AX28" s="125">
        <v>0</v>
      </c>
      <c r="AY28" s="180">
        <v>53</v>
      </c>
      <c r="AZ28" s="121"/>
    </row>
    <row r="29" spans="1:52" x14ac:dyDescent="0.2">
      <c r="B29" s="150" t="s">
        <v>311</v>
      </c>
      <c r="C29" s="139">
        <v>0</v>
      </c>
      <c r="D29" s="139">
        <f>C$28</f>
        <v>53</v>
      </c>
      <c r="E29" s="139">
        <f t="shared" ref="E29:AY29" si="9">D$28</f>
        <v>0</v>
      </c>
      <c r="F29" s="139">
        <f t="shared" si="9"/>
        <v>0</v>
      </c>
      <c r="G29" s="139">
        <f t="shared" si="9"/>
        <v>53</v>
      </c>
      <c r="H29" s="139">
        <f t="shared" si="9"/>
        <v>0</v>
      </c>
      <c r="I29" s="139">
        <f t="shared" si="9"/>
        <v>48</v>
      </c>
      <c r="J29" s="139">
        <f t="shared" si="9"/>
        <v>5</v>
      </c>
      <c r="K29" s="139">
        <f t="shared" si="9"/>
        <v>48</v>
      </c>
      <c r="L29" s="139">
        <f t="shared" si="9"/>
        <v>5</v>
      </c>
      <c r="M29" s="139">
        <f t="shared" si="9"/>
        <v>48</v>
      </c>
      <c r="N29" s="139">
        <f t="shared" si="9"/>
        <v>5</v>
      </c>
      <c r="O29" s="139">
        <f t="shared" si="9"/>
        <v>48</v>
      </c>
      <c r="P29" s="139">
        <f t="shared" si="9"/>
        <v>5</v>
      </c>
      <c r="Q29" s="139">
        <f t="shared" si="9"/>
        <v>0</v>
      </c>
      <c r="R29" s="139">
        <f t="shared" si="9"/>
        <v>53</v>
      </c>
      <c r="S29" s="139">
        <f t="shared" si="9"/>
        <v>0</v>
      </c>
      <c r="T29" s="139">
        <f t="shared" si="9"/>
        <v>48</v>
      </c>
      <c r="U29" s="139">
        <f t="shared" si="9"/>
        <v>0</v>
      </c>
      <c r="V29" s="139">
        <f t="shared" si="9"/>
        <v>53</v>
      </c>
      <c r="W29" s="139">
        <f t="shared" si="9"/>
        <v>0</v>
      </c>
      <c r="X29" s="139">
        <f t="shared" si="9"/>
        <v>48</v>
      </c>
      <c r="Y29" s="139">
        <f t="shared" si="9"/>
        <v>0</v>
      </c>
      <c r="Z29" s="139">
        <f t="shared" si="9"/>
        <v>53</v>
      </c>
      <c r="AA29" s="139">
        <f t="shared" si="9"/>
        <v>0</v>
      </c>
      <c r="AB29" s="139">
        <f t="shared" si="9"/>
        <v>48</v>
      </c>
      <c r="AC29" s="139">
        <f t="shared" si="9"/>
        <v>5</v>
      </c>
      <c r="AD29" s="139">
        <f t="shared" si="9"/>
        <v>48</v>
      </c>
      <c r="AE29" s="139">
        <f t="shared" si="9"/>
        <v>5</v>
      </c>
      <c r="AF29" s="139">
        <f t="shared" si="9"/>
        <v>48</v>
      </c>
      <c r="AG29" s="139">
        <f t="shared" si="9"/>
        <v>5</v>
      </c>
      <c r="AH29" s="139">
        <f t="shared" si="9"/>
        <v>48</v>
      </c>
      <c r="AI29" s="139">
        <f t="shared" si="9"/>
        <v>5</v>
      </c>
      <c r="AJ29" s="139">
        <f t="shared" si="9"/>
        <v>48</v>
      </c>
      <c r="AK29" s="139">
        <f t="shared" si="9"/>
        <v>5</v>
      </c>
      <c r="AL29" s="139">
        <f t="shared" si="9"/>
        <v>0</v>
      </c>
      <c r="AM29" s="139">
        <f t="shared" si="9"/>
        <v>53</v>
      </c>
      <c r="AN29" s="139">
        <f t="shared" si="9"/>
        <v>0</v>
      </c>
      <c r="AO29" s="139">
        <f t="shared" si="9"/>
        <v>0</v>
      </c>
      <c r="AP29" s="139">
        <f t="shared" si="9"/>
        <v>53</v>
      </c>
      <c r="AQ29" s="139">
        <f t="shared" si="9"/>
        <v>0</v>
      </c>
      <c r="AR29" s="139">
        <f t="shared" si="9"/>
        <v>48</v>
      </c>
      <c r="AS29" s="139">
        <f t="shared" si="9"/>
        <v>5</v>
      </c>
      <c r="AT29" s="139">
        <f t="shared" si="9"/>
        <v>48</v>
      </c>
      <c r="AU29" s="139">
        <f t="shared" si="9"/>
        <v>5</v>
      </c>
      <c r="AV29" s="139">
        <f t="shared" si="9"/>
        <v>48</v>
      </c>
      <c r="AW29" s="139">
        <f t="shared" si="9"/>
        <v>5</v>
      </c>
      <c r="AX29" s="139">
        <f t="shared" si="9"/>
        <v>48</v>
      </c>
      <c r="AY29" s="181">
        <f t="shared" si="9"/>
        <v>0</v>
      </c>
      <c r="AZ29" s="182"/>
    </row>
    <row r="30" spans="1:52" x14ac:dyDescent="0.2">
      <c r="A30" s="183" t="s">
        <v>312</v>
      </c>
      <c r="B30" s="158">
        <v>10</v>
      </c>
      <c r="C30" s="131" t="s">
        <v>293</v>
      </c>
      <c r="D30" s="131">
        <f>D$27*$B$30</f>
        <v>0</v>
      </c>
      <c r="E30" s="131">
        <f t="shared" ref="E30:AY30" si="10">E$27*$B$30</f>
        <v>530</v>
      </c>
      <c r="F30" s="131">
        <f t="shared" si="10"/>
        <v>530</v>
      </c>
      <c r="G30" s="131">
        <f t="shared" si="10"/>
        <v>0</v>
      </c>
      <c r="H30" s="131">
        <f t="shared" si="10"/>
        <v>530</v>
      </c>
      <c r="I30" s="131">
        <f t="shared" si="10"/>
        <v>50</v>
      </c>
      <c r="J30" s="131">
        <f t="shared" si="10"/>
        <v>480</v>
      </c>
      <c r="K30" s="131">
        <f t="shared" si="10"/>
        <v>50</v>
      </c>
      <c r="L30" s="131">
        <f t="shared" si="10"/>
        <v>480</v>
      </c>
      <c r="M30" s="131">
        <f t="shared" si="10"/>
        <v>50</v>
      </c>
      <c r="N30" s="131">
        <f t="shared" si="10"/>
        <v>480</v>
      </c>
      <c r="O30" s="131">
        <f t="shared" si="10"/>
        <v>50</v>
      </c>
      <c r="P30" s="131">
        <f t="shared" si="10"/>
        <v>480</v>
      </c>
      <c r="Q30" s="131">
        <f t="shared" si="10"/>
        <v>530</v>
      </c>
      <c r="R30" s="131">
        <f>R$27*$B$30</f>
        <v>0</v>
      </c>
      <c r="S30" s="131">
        <f t="shared" si="10"/>
        <v>530</v>
      </c>
      <c r="T30" s="131">
        <f t="shared" si="10"/>
        <v>50</v>
      </c>
      <c r="U30" s="131">
        <f t="shared" si="10"/>
        <v>530</v>
      </c>
      <c r="V30" s="131">
        <f t="shared" si="10"/>
        <v>0</v>
      </c>
      <c r="W30" s="131">
        <f t="shared" si="10"/>
        <v>530</v>
      </c>
      <c r="X30" s="131">
        <f t="shared" si="10"/>
        <v>50</v>
      </c>
      <c r="Y30" s="131">
        <f t="shared" si="10"/>
        <v>530</v>
      </c>
      <c r="Z30" s="131">
        <f t="shared" si="10"/>
        <v>0</v>
      </c>
      <c r="AA30" s="131">
        <f t="shared" si="10"/>
        <v>530</v>
      </c>
      <c r="AB30" s="131">
        <f t="shared" si="10"/>
        <v>50</v>
      </c>
      <c r="AC30" s="131">
        <f t="shared" si="10"/>
        <v>480</v>
      </c>
      <c r="AD30" s="131">
        <f t="shared" si="10"/>
        <v>50</v>
      </c>
      <c r="AE30" s="131">
        <f>AE$27*$B$30</f>
        <v>480</v>
      </c>
      <c r="AF30" s="131">
        <f t="shared" si="10"/>
        <v>50</v>
      </c>
      <c r="AG30" s="131">
        <f t="shared" si="10"/>
        <v>480</v>
      </c>
      <c r="AH30" s="131">
        <f t="shared" si="10"/>
        <v>50</v>
      </c>
      <c r="AI30" s="131">
        <f t="shared" si="10"/>
        <v>480</v>
      </c>
      <c r="AJ30" s="131">
        <f t="shared" si="10"/>
        <v>50</v>
      </c>
      <c r="AK30" s="131">
        <f t="shared" si="10"/>
        <v>480</v>
      </c>
      <c r="AL30" s="131">
        <f t="shared" si="10"/>
        <v>530</v>
      </c>
      <c r="AM30" s="131">
        <f t="shared" si="10"/>
        <v>0</v>
      </c>
      <c r="AN30" s="131">
        <f t="shared" si="10"/>
        <v>530</v>
      </c>
      <c r="AO30" s="131">
        <f t="shared" si="10"/>
        <v>530</v>
      </c>
      <c r="AP30" s="131">
        <f t="shared" si="10"/>
        <v>0</v>
      </c>
      <c r="AQ30" s="131">
        <f t="shared" si="10"/>
        <v>530</v>
      </c>
      <c r="AR30" s="131">
        <f t="shared" si="10"/>
        <v>50</v>
      </c>
      <c r="AS30" s="131">
        <f t="shared" si="10"/>
        <v>480</v>
      </c>
      <c r="AT30" s="131">
        <f t="shared" si="10"/>
        <v>50</v>
      </c>
      <c r="AU30" s="131">
        <f t="shared" si="10"/>
        <v>480</v>
      </c>
      <c r="AV30" s="131">
        <f t="shared" si="10"/>
        <v>50</v>
      </c>
      <c r="AW30" s="131">
        <f t="shared" si="10"/>
        <v>480</v>
      </c>
      <c r="AX30" s="131">
        <f t="shared" si="10"/>
        <v>50</v>
      </c>
      <c r="AY30" s="131">
        <f t="shared" si="10"/>
        <v>530</v>
      </c>
      <c r="AZ30" s="155">
        <f t="shared" si="5"/>
        <v>13930</v>
      </c>
    </row>
    <row r="32" spans="1:52" x14ac:dyDescent="0.2">
      <c r="A32" s="1" t="s">
        <v>300</v>
      </c>
    </row>
    <row r="33" spans="1:52" x14ac:dyDescent="0.2">
      <c r="A33" s="149" t="s">
        <v>22</v>
      </c>
      <c r="B33" s="149" t="s">
        <v>341</v>
      </c>
      <c r="C33" s="138"/>
      <c r="D33" s="138">
        <f>D$21*shipping_manufacturing!$H$27/100</f>
        <v>806.30487934069504</v>
      </c>
      <c r="E33" s="138">
        <f>E$21*shipping_manufacturing!$H$27/100</f>
        <v>0</v>
      </c>
      <c r="F33" s="138">
        <f>F$21*shipping_manufacturing!$H$27/100</f>
        <v>874.73030863507029</v>
      </c>
      <c r="G33" s="138">
        <f>G$21*shipping_manufacturing!$H$27/100</f>
        <v>437.36515431753514</v>
      </c>
      <c r="H33" s="138">
        <f>H$21*shipping_manufacturing!$H$27/100</f>
        <v>437.36515431753514</v>
      </c>
      <c r="I33" s="138">
        <f>I$21*shipping_manufacturing!$H$27/100</f>
        <v>437.36515431753514</v>
      </c>
      <c r="J33" s="138">
        <f>J$21*shipping_manufacturing!$H$27/100</f>
        <v>437.36515431753514</v>
      </c>
      <c r="K33" s="138">
        <f>K$21*shipping_manufacturing!$H$27/100</f>
        <v>437.36515431753514</v>
      </c>
      <c r="L33" s="138">
        <f>L$21*shipping_manufacturing!$H$27/100</f>
        <v>437.36515431753514</v>
      </c>
      <c r="M33" s="138">
        <f>M$21*shipping_manufacturing!$H$27/100</f>
        <v>437.36515431753514</v>
      </c>
      <c r="N33" s="138">
        <f>N$21*shipping_manufacturing!$H$27/100</f>
        <v>437.36515431753514</v>
      </c>
      <c r="O33" s="138">
        <f>O$21*shipping_manufacturing!$H$27/100</f>
        <v>437.36515431753514</v>
      </c>
      <c r="P33" s="138">
        <f>P$21*shipping_manufacturing!$H$27/100</f>
        <v>0</v>
      </c>
      <c r="Q33" s="138">
        <f>Q$21*shipping_manufacturing!$H$27/100</f>
        <v>874.73030863507029</v>
      </c>
      <c r="R33" s="138">
        <f>R$21*shipping_manufacturing!$H$27/100</f>
        <v>437.36515431753514</v>
      </c>
      <c r="S33" s="138">
        <f>S$21*shipping_manufacturing!$H$27/100</f>
        <v>437.36515431753514</v>
      </c>
      <c r="T33" s="138">
        <f>T$21*shipping_manufacturing!$H$27/100</f>
        <v>0</v>
      </c>
      <c r="U33" s="138">
        <f>U$21*shipping_manufacturing!$H$27/100</f>
        <v>874.73030863507029</v>
      </c>
      <c r="V33" s="138">
        <f>V$21*shipping_manufacturing!$H$27/100</f>
        <v>437.36515431753514</v>
      </c>
      <c r="W33" s="138">
        <f>W$21*shipping_manufacturing!$H$27/100</f>
        <v>437.36515431753514</v>
      </c>
      <c r="X33" s="138">
        <f>X$21*shipping_manufacturing!$H$27/100</f>
        <v>0</v>
      </c>
      <c r="Y33" s="138">
        <f>Y$21*shipping_manufacturing!$H$27/100</f>
        <v>874.73030863507029</v>
      </c>
      <c r="Z33" s="138">
        <f>Z$21*shipping_manufacturing!$H$27/100</f>
        <v>437.36515431753514</v>
      </c>
      <c r="AA33" s="138">
        <f>AA$21*shipping_manufacturing!$H$27/100</f>
        <v>437.36515431753514</v>
      </c>
      <c r="AB33" s="138">
        <f>AB$21*shipping_manufacturing!$H$27/100</f>
        <v>437.36515431753514</v>
      </c>
      <c r="AC33" s="138">
        <f>AC$21*shipping_manufacturing!$H$27/100</f>
        <v>437.36515431753514</v>
      </c>
      <c r="AD33" s="138">
        <f>AD$21*shipping_manufacturing!$H$27/100</f>
        <v>437.36515431753514</v>
      </c>
      <c r="AE33" s="138">
        <f>AE$21*shipping_manufacturing!$H$27/100</f>
        <v>437.36515431753514</v>
      </c>
      <c r="AF33" s="138">
        <f>AF$21*shipping_manufacturing!$H$27/100</f>
        <v>437.36515431753514</v>
      </c>
      <c r="AG33" s="138">
        <f>AG$21*shipping_manufacturing!$H$27/100</f>
        <v>437.36515431753514</v>
      </c>
      <c r="AH33" s="138">
        <f>AH$21*shipping_manufacturing!$H$27/100</f>
        <v>437.36515431753514</v>
      </c>
      <c r="AI33" s="138">
        <f>AI$21*shipping_manufacturing!$H$27/100</f>
        <v>437.36515431753514</v>
      </c>
      <c r="AJ33" s="138">
        <f>AJ$21*shipping_manufacturing!$H$27/100</f>
        <v>437.36515431753514</v>
      </c>
      <c r="AK33" s="138">
        <f>AK$21*shipping_manufacturing!$H$27/100</f>
        <v>0</v>
      </c>
      <c r="AL33" s="138">
        <f>AL$21*shipping_manufacturing!$H$27/100</f>
        <v>874.73030863507029</v>
      </c>
      <c r="AM33" s="138">
        <f>AM$21*shipping_manufacturing!$H$27/100</f>
        <v>437.36515431753514</v>
      </c>
      <c r="AN33" s="138">
        <f>AN$21*shipping_manufacturing!$H$27/100</f>
        <v>0</v>
      </c>
      <c r="AO33" s="138">
        <f>AO$21*shipping_manufacturing!$H$27/100</f>
        <v>874.73030863507029</v>
      </c>
      <c r="AP33" s="138">
        <f>AP$21*shipping_manufacturing!$H$27/100</f>
        <v>437.36515431753514</v>
      </c>
      <c r="AQ33" s="138">
        <f>AQ$21*shipping_manufacturing!$H$27/100</f>
        <v>437.36515431753514</v>
      </c>
      <c r="AR33" s="138">
        <f>AR$21*shipping_manufacturing!$H$27/100</f>
        <v>437.36515431753514</v>
      </c>
      <c r="AS33" s="138">
        <f>AS$21*shipping_manufacturing!$H$27/100</f>
        <v>437.36515431753514</v>
      </c>
      <c r="AT33" s="138">
        <f>AT$21*shipping_manufacturing!$H$27/100</f>
        <v>437.36515431753514</v>
      </c>
      <c r="AU33" s="138">
        <f>AU$21*shipping_manufacturing!$H$27/100</f>
        <v>437.36515431753514</v>
      </c>
      <c r="AV33" s="138">
        <f>AV$21*shipping_manufacturing!$H$27/100</f>
        <v>437.36515431753514</v>
      </c>
      <c r="AW33" s="138">
        <f>AW$21*shipping_manufacturing!$H$27/100</f>
        <v>437.36515431753514</v>
      </c>
      <c r="AX33" s="138">
        <f>AX$21*shipping_manufacturing!$H$27/100</f>
        <v>0</v>
      </c>
      <c r="AY33" s="138">
        <f>AY$21*shipping_manufacturing!$H$27/100</f>
        <v>874.73030863507029</v>
      </c>
    </row>
    <row r="34" spans="1:52" x14ac:dyDescent="0.2">
      <c r="A34" s="127" t="s">
        <v>340</v>
      </c>
      <c r="B34" s="179" t="s">
        <v>342</v>
      </c>
      <c r="C34" s="125"/>
      <c r="D34" s="125">
        <f>D$22*shipping_manufacturing!$I$27/100</f>
        <v>0</v>
      </c>
      <c r="E34" s="125">
        <f>E$22*shipping_manufacturing!$I$27/100</f>
        <v>0</v>
      </c>
      <c r="F34" s="125">
        <f>F$22*shipping_manufacturing!$I$27/100</f>
        <v>0</v>
      </c>
      <c r="G34" s="125">
        <f>G$22*shipping_manufacturing!$I$27/100</f>
        <v>0</v>
      </c>
      <c r="H34" s="125">
        <f>H$22*shipping_manufacturing!$I$27/100</f>
        <v>0</v>
      </c>
      <c r="I34" s="125">
        <f>I$22*shipping_manufacturing!$I$27/100</f>
        <v>0</v>
      </c>
      <c r="J34" s="125">
        <f>J$22*shipping_manufacturing!$I$27/100</f>
        <v>0</v>
      </c>
      <c r="K34" s="125">
        <f>K$22*shipping_manufacturing!$I$27/100</f>
        <v>0</v>
      </c>
      <c r="L34" s="125">
        <f>L$22*shipping_manufacturing!$I$27/100</f>
        <v>0</v>
      </c>
      <c r="M34" s="125">
        <f>M$22*shipping_manufacturing!$I$27/100</f>
        <v>0</v>
      </c>
      <c r="N34" s="125">
        <f>N$22*shipping_manufacturing!$I$27/100</f>
        <v>0</v>
      </c>
      <c r="O34" s="125">
        <f>O$22*shipping_manufacturing!$I$27/100</f>
        <v>0</v>
      </c>
      <c r="P34" s="125">
        <f>P$22*shipping_manufacturing!$I$27/100</f>
        <v>0</v>
      </c>
      <c r="Q34" s="125">
        <f>Q$22*shipping_manufacturing!$I$27/100</f>
        <v>0</v>
      </c>
      <c r="R34" s="125">
        <f>R$22*shipping_manufacturing!$I$27/100</f>
        <v>0</v>
      </c>
      <c r="S34" s="125">
        <f>S$22*shipping_manufacturing!$I$27/100</f>
        <v>0</v>
      </c>
      <c r="T34" s="125">
        <f>T$22*shipping_manufacturing!$I$27/100</f>
        <v>0</v>
      </c>
      <c r="U34" s="125">
        <f>U$22*shipping_manufacturing!$I$27/100</f>
        <v>0</v>
      </c>
      <c r="V34" s="125">
        <f>V$22*shipping_manufacturing!$I$27/100</f>
        <v>0</v>
      </c>
      <c r="W34" s="125">
        <f>W$22*shipping_manufacturing!$I$27/100</f>
        <v>0</v>
      </c>
      <c r="X34" s="125">
        <f>X$22*shipping_manufacturing!$I$27/100</f>
        <v>0</v>
      </c>
      <c r="Y34" s="125">
        <f>Y$22*shipping_manufacturing!$I$27/100</f>
        <v>0</v>
      </c>
      <c r="Z34" s="125">
        <f>Z$22*shipping_manufacturing!$I$27/100</f>
        <v>0</v>
      </c>
      <c r="AA34" s="125">
        <f>AA$22*shipping_manufacturing!$I$27/100</f>
        <v>0</v>
      </c>
      <c r="AB34" s="125">
        <f>AB$22*shipping_manufacturing!$I$27/100</f>
        <v>0</v>
      </c>
      <c r="AC34" s="125">
        <f>AC$22*shipping_manufacturing!$I$27/100</f>
        <v>0</v>
      </c>
      <c r="AD34" s="125">
        <f>AD$22*shipping_manufacturing!$I$27/100</f>
        <v>0</v>
      </c>
      <c r="AE34" s="125">
        <f>AE$22*shipping_manufacturing!$I$27/100</f>
        <v>0</v>
      </c>
      <c r="AF34" s="125">
        <f>AF$22*shipping_manufacturing!$I$27/100</f>
        <v>0</v>
      </c>
      <c r="AG34" s="125">
        <f>AG$22*shipping_manufacturing!$I$27/100</f>
        <v>0</v>
      </c>
      <c r="AH34" s="125">
        <f>AH$22*shipping_manufacturing!$I$27/100</f>
        <v>0</v>
      </c>
      <c r="AI34" s="125">
        <f>AI$22*shipping_manufacturing!$I$27/100</f>
        <v>0</v>
      </c>
      <c r="AJ34" s="125">
        <f>AJ$22*shipping_manufacturing!$I$27/100</f>
        <v>0</v>
      </c>
      <c r="AK34" s="125">
        <f>AK$22*shipping_manufacturing!$I$27/100</f>
        <v>0</v>
      </c>
      <c r="AL34" s="125">
        <f>AL$22*shipping_manufacturing!$I$27/100</f>
        <v>0</v>
      </c>
      <c r="AM34" s="125">
        <f>AM$22*shipping_manufacturing!$I$27/100</f>
        <v>0</v>
      </c>
      <c r="AN34" s="125">
        <f>AN$22*shipping_manufacturing!$I$27/100</f>
        <v>0</v>
      </c>
      <c r="AO34" s="125">
        <f>AO$22*shipping_manufacturing!$I$27/100</f>
        <v>0</v>
      </c>
      <c r="AP34" s="125">
        <f>AP$22*shipping_manufacturing!$I$27/100</f>
        <v>0</v>
      </c>
      <c r="AQ34" s="125">
        <f>AQ$22*shipping_manufacturing!$I$27/100</f>
        <v>0</v>
      </c>
      <c r="AR34" s="125">
        <f>AR$22*shipping_manufacturing!$I$27/100</f>
        <v>0</v>
      </c>
      <c r="AS34" s="125">
        <f>AS$22*shipping_manufacturing!$I$27/100</f>
        <v>0</v>
      </c>
      <c r="AT34" s="125">
        <f>AT$22*shipping_manufacturing!$I$27/100</f>
        <v>0</v>
      </c>
      <c r="AU34" s="125">
        <f>AU$22*shipping_manufacturing!$I$27/100</f>
        <v>0</v>
      </c>
      <c r="AV34" s="125">
        <f>AV$22*shipping_manufacturing!$I$27/100</f>
        <v>0</v>
      </c>
      <c r="AW34" s="125">
        <f>AW$22*shipping_manufacturing!$I$27/100</f>
        <v>0</v>
      </c>
      <c r="AX34" s="125">
        <f>AX$22*shipping_manufacturing!$I$27/100</f>
        <v>0</v>
      </c>
      <c r="AY34" s="125">
        <f>AY$22*shipping_manufacturing!$I$27/100</f>
        <v>0</v>
      </c>
    </row>
    <row r="35" spans="1:52" x14ac:dyDescent="0.2">
      <c r="A35" s="125">
        <v>1245</v>
      </c>
      <c r="B35" s="179" t="s">
        <v>343</v>
      </c>
      <c r="C35" s="125"/>
      <c r="D35" s="125">
        <f>SUM(D33:D34)</f>
        <v>806.30487934069504</v>
      </c>
      <c r="E35" s="125">
        <f t="shared" ref="E35:AY35" si="11">SUM(E33:E34)</f>
        <v>0</v>
      </c>
      <c r="F35" s="125">
        <f t="shared" si="11"/>
        <v>874.73030863507029</v>
      </c>
      <c r="G35" s="125">
        <f t="shared" si="11"/>
        <v>437.36515431753514</v>
      </c>
      <c r="H35" s="125">
        <f t="shared" si="11"/>
        <v>437.36515431753514</v>
      </c>
      <c r="I35" s="125">
        <f t="shared" si="11"/>
        <v>437.36515431753514</v>
      </c>
      <c r="J35" s="125">
        <f t="shared" si="11"/>
        <v>437.36515431753514</v>
      </c>
      <c r="K35" s="125">
        <f t="shared" si="11"/>
        <v>437.36515431753514</v>
      </c>
      <c r="L35" s="125">
        <f t="shared" si="11"/>
        <v>437.36515431753514</v>
      </c>
      <c r="M35" s="125">
        <f t="shared" si="11"/>
        <v>437.36515431753514</v>
      </c>
      <c r="N35" s="125">
        <f t="shared" si="11"/>
        <v>437.36515431753514</v>
      </c>
      <c r="O35" s="125">
        <f t="shared" si="11"/>
        <v>437.36515431753514</v>
      </c>
      <c r="P35" s="125">
        <f t="shared" si="11"/>
        <v>0</v>
      </c>
      <c r="Q35" s="125">
        <f t="shared" si="11"/>
        <v>874.73030863507029</v>
      </c>
      <c r="R35" s="125">
        <f t="shared" si="11"/>
        <v>437.36515431753514</v>
      </c>
      <c r="S35" s="125">
        <f t="shared" si="11"/>
        <v>437.36515431753514</v>
      </c>
      <c r="T35" s="125">
        <f t="shared" si="11"/>
        <v>0</v>
      </c>
      <c r="U35" s="125">
        <f t="shared" si="11"/>
        <v>874.73030863507029</v>
      </c>
      <c r="V35" s="125">
        <f t="shared" si="11"/>
        <v>437.36515431753514</v>
      </c>
      <c r="W35" s="125">
        <f t="shared" si="11"/>
        <v>437.36515431753514</v>
      </c>
      <c r="X35" s="125">
        <f t="shared" si="11"/>
        <v>0</v>
      </c>
      <c r="Y35" s="125">
        <f t="shared" si="11"/>
        <v>874.73030863507029</v>
      </c>
      <c r="Z35" s="125">
        <f t="shared" si="11"/>
        <v>437.36515431753514</v>
      </c>
      <c r="AA35" s="125">
        <f t="shared" si="11"/>
        <v>437.36515431753514</v>
      </c>
      <c r="AB35" s="125">
        <f t="shared" si="11"/>
        <v>437.36515431753514</v>
      </c>
      <c r="AC35" s="125">
        <f t="shared" si="11"/>
        <v>437.36515431753514</v>
      </c>
      <c r="AD35" s="125">
        <f t="shared" si="11"/>
        <v>437.36515431753514</v>
      </c>
      <c r="AE35" s="125">
        <f t="shared" si="11"/>
        <v>437.36515431753514</v>
      </c>
      <c r="AF35" s="125">
        <f t="shared" si="11"/>
        <v>437.36515431753514</v>
      </c>
      <c r="AG35" s="125">
        <f t="shared" si="11"/>
        <v>437.36515431753514</v>
      </c>
      <c r="AH35" s="125">
        <f t="shared" si="11"/>
        <v>437.36515431753514</v>
      </c>
      <c r="AI35" s="125">
        <f t="shared" si="11"/>
        <v>437.36515431753514</v>
      </c>
      <c r="AJ35" s="125">
        <f t="shared" si="11"/>
        <v>437.36515431753514</v>
      </c>
      <c r="AK35" s="125">
        <f t="shared" si="11"/>
        <v>0</v>
      </c>
      <c r="AL35" s="125">
        <f t="shared" si="11"/>
        <v>874.73030863507029</v>
      </c>
      <c r="AM35" s="125">
        <f t="shared" si="11"/>
        <v>437.36515431753514</v>
      </c>
      <c r="AN35" s="125">
        <f t="shared" si="11"/>
        <v>0</v>
      </c>
      <c r="AO35" s="125">
        <f t="shared" si="11"/>
        <v>874.73030863507029</v>
      </c>
      <c r="AP35" s="125">
        <f t="shared" si="11"/>
        <v>437.36515431753514</v>
      </c>
      <c r="AQ35" s="125">
        <f t="shared" si="11"/>
        <v>437.36515431753514</v>
      </c>
      <c r="AR35" s="125">
        <f t="shared" si="11"/>
        <v>437.36515431753514</v>
      </c>
      <c r="AS35" s="125">
        <f t="shared" si="11"/>
        <v>437.36515431753514</v>
      </c>
      <c r="AT35" s="125">
        <f t="shared" si="11"/>
        <v>437.36515431753514</v>
      </c>
      <c r="AU35" s="125">
        <f t="shared" si="11"/>
        <v>437.36515431753514</v>
      </c>
      <c r="AV35" s="125">
        <f t="shared" si="11"/>
        <v>437.36515431753514</v>
      </c>
      <c r="AW35" s="125">
        <f t="shared" si="11"/>
        <v>437.36515431753514</v>
      </c>
      <c r="AX35" s="125">
        <f t="shared" si="11"/>
        <v>0</v>
      </c>
      <c r="AY35" s="125">
        <f t="shared" si="11"/>
        <v>874.73030863507029</v>
      </c>
    </row>
    <row r="36" spans="1:52" x14ac:dyDescent="0.2">
      <c r="A36" s="125"/>
      <c r="B36" s="179" t="s">
        <v>344</v>
      </c>
      <c r="C36" s="125"/>
      <c r="D36" s="125"/>
      <c r="E36" s="125"/>
      <c r="F36" s="125">
        <v>240</v>
      </c>
      <c r="G36" s="125"/>
      <c r="H36" s="125">
        <v>437.36515431753514</v>
      </c>
      <c r="I36" s="125"/>
      <c r="J36" s="125">
        <v>437.36515431753514</v>
      </c>
      <c r="K36" s="125"/>
      <c r="L36" s="125">
        <v>437.36515431753514</v>
      </c>
      <c r="M36" s="125"/>
      <c r="N36" s="125">
        <v>437.36515431753514</v>
      </c>
      <c r="O36" s="125"/>
      <c r="P36" s="125"/>
      <c r="Q36" s="125">
        <v>240</v>
      </c>
      <c r="R36" s="125"/>
      <c r="S36" s="125">
        <v>437.36515431753514</v>
      </c>
      <c r="T36" s="125"/>
      <c r="U36" s="125">
        <v>240</v>
      </c>
      <c r="V36" s="125"/>
      <c r="W36" s="125">
        <v>437.36515431753514</v>
      </c>
      <c r="X36" s="125"/>
      <c r="Y36" s="125">
        <v>240</v>
      </c>
      <c r="Z36" s="125"/>
      <c r="AA36" s="125">
        <v>437.36515431753514</v>
      </c>
      <c r="AB36" s="125"/>
      <c r="AC36" s="125">
        <v>437.36515431753514</v>
      </c>
      <c r="AD36" s="125"/>
      <c r="AE36" s="125">
        <v>437.36515431753514</v>
      </c>
      <c r="AF36" s="125"/>
      <c r="AG36" s="125">
        <v>437.36515431753514</v>
      </c>
      <c r="AH36" s="125"/>
      <c r="AI36" s="125">
        <v>437.36515431753514</v>
      </c>
      <c r="AJ36" s="125"/>
      <c r="AK36" s="125"/>
      <c r="AL36" s="125">
        <v>240</v>
      </c>
      <c r="AM36" s="125"/>
      <c r="AN36" s="125"/>
      <c r="AO36" s="125">
        <v>240</v>
      </c>
      <c r="AP36" s="125"/>
      <c r="AQ36" s="125">
        <v>437.36515431753514</v>
      </c>
      <c r="AR36" s="125"/>
      <c r="AS36" s="125">
        <v>437.36515431753514</v>
      </c>
      <c r="AT36" s="125"/>
      <c r="AU36" s="125">
        <v>437.36515431753514</v>
      </c>
      <c r="AV36" s="125"/>
      <c r="AW36" s="125">
        <v>437.36515431753514</v>
      </c>
      <c r="AX36" s="125"/>
      <c r="AY36" s="125">
        <v>240</v>
      </c>
    </row>
    <row r="37" spans="1:52" x14ac:dyDescent="0.2">
      <c r="A37" s="125"/>
      <c r="B37" s="179" t="s">
        <v>345</v>
      </c>
      <c r="C37" s="125"/>
      <c r="D37" s="125"/>
      <c r="E37" s="125"/>
      <c r="F37" s="125">
        <v>0</v>
      </c>
      <c r="G37" s="125"/>
      <c r="H37" s="125">
        <v>0</v>
      </c>
      <c r="I37" s="125"/>
      <c r="J37" s="125">
        <v>0</v>
      </c>
      <c r="K37" s="125"/>
      <c r="L37" s="125">
        <v>0</v>
      </c>
      <c r="M37" s="125"/>
      <c r="N37" s="125">
        <v>0</v>
      </c>
      <c r="O37" s="125"/>
      <c r="P37" s="125"/>
      <c r="Q37" s="125">
        <v>0</v>
      </c>
      <c r="R37" s="125"/>
      <c r="S37" s="125">
        <v>0</v>
      </c>
      <c r="T37" s="125"/>
      <c r="U37" s="125">
        <v>0</v>
      </c>
      <c r="V37" s="125"/>
      <c r="W37" s="125">
        <v>0</v>
      </c>
      <c r="X37" s="125"/>
      <c r="Y37" s="125">
        <v>0</v>
      </c>
      <c r="Z37" s="125"/>
      <c r="AA37" s="125">
        <v>0</v>
      </c>
      <c r="AB37" s="125"/>
      <c r="AC37" s="125">
        <v>0</v>
      </c>
      <c r="AD37" s="125"/>
      <c r="AE37" s="125">
        <v>0</v>
      </c>
      <c r="AF37" s="125"/>
      <c r="AG37" s="125">
        <v>0</v>
      </c>
      <c r="AH37" s="125"/>
      <c r="AI37" s="125">
        <v>0</v>
      </c>
      <c r="AJ37" s="125"/>
      <c r="AK37" s="125"/>
      <c r="AL37" s="125">
        <v>0</v>
      </c>
      <c r="AM37" s="125"/>
      <c r="AN37" s="125"/>
      <c r="AO37" s="125">
        <v>0</v>
      </c>
      <c r="AP37" s="125"/>
      <c r="AQ37" s="125">
        <v>0</v>
      </c>
      <c r="AR37" s="125"/>
      <c r="AS37" s="125">
        <v>0</v>
      </c>
      <c r="AT37" s="125"/>
      <c r="AU37" s="125">
        <v>0</v>
      </c>
      <c r="AV37" s="125"/>
      <c r="AW37" s="125">
        <v>0</v>
      </c>
      <c r="AX37" s="125"/>
      <c r="AY37" s="125">
        <v>0</v>
      </c>
    </row>
    <row r="38" spans="1:52" x14ac:dyDescent="0.2">
      <c r="A38" s="125"/>
      <c r="B38" s="179" t="s">
        <v>346</v>
      </c>
      <c r="C38" s="125"/>
      <c r="D38" s="125"/>
      <c r="E38" s="125"/>
      <c r="F38" s="125">
        <v>8</v>
      </c>
      <c r="G38" s="125"/>
      <c r="H38" s="125">
        <v>15</v>
      </c>
      <c r="I38" s="125"/>
      <c r="J38" s="125">
        <v>15</v>
      </c>
      <c r="K38" s="125"/>
      <c r="L38" s="125">
        <v>15</v>
      </c>
      <c r="M38" s="125"/>
      <c r="N38" s="125">
        <v>15</v>
      </c>
      <c r="O38" s="125"/>
      <c r="P38" s="125"/>
      <c r="Q38" s="125">
        <v>8</v>
      </c>
      <c r="R38" s="125"/>
      <c r="S38" s="125">
        <v>15</v>
      </c>
      <c r="T38" s="125"/>
      <c r="U38" s="125">
        <v>8</v>
      </c>
      <c r="V38" s="125"/>
      <c r="W38" s="125">
        <v>15</v>
      </c>
      <c r="X38" s="125"/>
      <c r="Y38" s="125">
        <v>8</v>
      </c>
      <c r="Z38" s="125"/>
      <c r="AA38" s="125">
        <v>15</v>
      </c>
      <c r="AB38" s="125"/>
      <c r="AC38" s="125">
        <v>15</v>
      </c>
      <c r="AD38" s="125"/>
      <c r="AE38" s="125">
        <v>15</v>
      </c>
      <c r="AF38" s="125"/>
      <c r="AG38" s="125">
        <v>15</v>
      </c>
      <c r="AH38" s="125"/>
      <c r="AI38" s="125">
        <v>15</v>
      </c>
      <c r="AJ38" s="125"/>
      <c r="AK38" s="125"/>
      <c r="AL38" s="125">
        <v>8</v>
      </c>
      <c r="AM38" s="125"/>
      <c r="AN38" s="125"/>
      <c r="AO38" s="125">
        <v>8</v>
      </c>
      <c r="AP38" s="125"/>
      <c r="AQ38" s="125">
        <v>15</v>
      </c>
      <c r="AR38" s="125"/>
      <c r="AS38" s="125">
        <v>15</v>
      </c>
      <c r="AT38" s="125"/>
      <c r="AU38" s="125">
        <v>15</v>
      </c>
      <c r="AV38" s="125"/>
      <c r="AW38" s="125">
        <v>15</v>
      </c>
      <c r="AX38" s="125"/>
      <c r="AY38" s="125">
        <v>8</v>
      </c>
    </row>
    <row r="39" spans="1:52" x14ac:dyDescent="0.2">
      <c r="A39" s="125"/>
      <c r="B39" s="179" t="s">
        <v>347</v>
      </c>
      <c r="C39" s="125"/>
      <c r="D39" s="125">
        <f>D33-D36</f>
        <v>806.30487934069504</v>
      </c>
      <c r="E39" s="125">
        <f t="shared" ref="E39:AY39" si="12">E33-E36</f>
        <v>0</v>
      </c>
      <c r="F39" s="125">
        <f t="shared" si="12"/>
        <v>634.73030863507029</v>
      </c>
      <c r="G39" s="125">
        <f t="shared" si="12"/>
        <v>437.36515431753514</v>
      </c>
      <c r="H39" s="125">
        <f t="shared" si="12"/>
        <v>0</v>
      </c>
      <c r="I39" s="125">
        <f t="shared" si="12"/>
        <v>437.36515431753514</v>
      </c>
      <c r="J39" s="125">
        <f t="shared" si="12"/>
        <v>0</v>
      </c>
      <c r="K39" s="125">
        <f t="shared" si="12"/>
        <v>437.36515431753514</v>
      </c>
      <c r="L39" s="125">
        <f t="shared" si="12"/>
        <v>0</v>
      </c>
      <c r="M39" s="125">
        <f t="shared" si="12"/>
        <v>437.36515431753514</v>
      </c>
      <c r="N39" s="125">
        <f t="shared" si="12"/>
        <v>0</v>
      </c>
      <c r="O39" s="125">
        <f t="shared" si="12"/>
        <v>437.36515431753514</v>
      </c>
      <c r="P39" s="125">
        <f t="shared" si="12"/>
        <v>0</v>
      </c>
      <c r="Q39" s="125">
        <f t="shared" si="12"/>
        <v>634.73030863507029</v>
      </c>
      <c r="R39" s="125">
        <f t="shared" si="12"/>
        <v>437.36515431753514</v>
      </c>
      <c r="S39" s="125">
        <f t="shared" si="12"/>
        <v>0</v>
      </c>
      <c r="T39" s="125">
        <f t="shared" si="12"/>
        <v>0</v>
      </c>
      <c r="U39" s="125">
        <f t="shared" si="12"/>
        <v>634.73030863507029</v>
      </c>
      <c r="V39" s="125">
        <f t="shared" si="12"/>
        <v>437.36515431753514</v>
      </c>
      <c r="W39" s="125">
        <f t="shared" si="12"/>
        <v>0</v>
      </c>
      <c r="X39" s="125">
        <f t="shared" si="12"/>
        <v>0</v>
      </c>
      <c r="Y39" s="125">
        <f t="shared" si="12"/>
        <v>634.73030863507029</v>
      </c>
      <c r="Z39" s="125">
        <f t="shared" si="12"/>
        <v>437.36515431753514</v>
      </c>
      <c r="AA39" s="125">
        <f t="shared" si="12"/>
        <v>0</v>
      </c>
      <c r="AB39" s="125">
        <f t="shared" si="12"/>
        <v>437.36515431753514</v>
      </c>
      <c r="AC39" s="125">
        <f t="shared" si="12"/>
        <v>0</v>
      </c>
      <c r="AD39" s="125">
        <f t="shared" si="12"/>
        <v>437.36515431753514</v>
      </c>
      <c r="AE39" s="125">
        <f t="shared" si="12"/>
        <v>0</v>
      </c>
      <c r="AF39" s="125">
        <f t="shared" si="12"/>
        <v>437.36515431753514</v>
      </c>
      <c r="AG39" s="125">
        <f t="shared" si="12"/>
        <v>0</v>
      </c>
      <c r="AH39" s="125">
        <f t="shared" si="12"/>
        <v>437.36515431753514</v>
      </c>
      <c r="AI39" s="125">
        <f t="shared" si="12"/>
        <v>0</v>
      </c>
      <c r="AJ39" s="125">
        <f t="shared" si="12"/>
        <v>437.36515431753514</v>
      </c>
      <c r="AK39" s="125">
        <f t="shared" si="12"/>
        <v>0</v>
      </c>
      <c r="AL39" s="125">
        <f t="shared" si="12"/>
        <v>634.73030863507029</v>
      </c>
      <c r="AM39" s="125">
        <f t="shared" si="12"/>
        <v>437.36515431753514</v>
      </c>
      <c r="AN39" s="125">
        <f t="shared" si="12"/>
        <v>0</v>
      </c>
      <c r="AO39" s="125">
        <f t="shared" si="12"/>
        <v>634.73030863507029</v>
      </c>
      <c r="AP39" s="125">
        <f t="shared" si="12"/>
        <v>437.36515431753514</v>
      </c>
      <c r="AQ39" s="125">
        <f t="shared" si="12"/>
        <v>0</v>
      </c>
      <c r="AR39" s="125">
        <f t="shared" si="12"/>
        <v>437.36515431753514</v>
      </c>
      <c r="AS39" s="125">
        <f t="shared" si="12"/>
        <v>0</v>
      </c>
      <c r="AT39" s="125">
        <f t="shared" si="12"/>
        <v>437.36515431753514</v>
      </c>
      <c r="AU39" s="125">
        <f t="shared" si="12"/>
        <v>0</v>
      </c>
      <c r="AV39" s="125">
        <f t="shared" si="12"/>
        <v>437.36515431753514</v>
      </c>
      <c r="AW39" s="125">
        <f t="shared" si="12"/>
        <v>0</v>
      </c>
      <c r="AX39" s="125">
        <f t="shared" si="12"/>
        <v>0</v>
      </c>
      <c r="AY39" s="125">
        <f t="shared" si="12"/>
        <v>634.73030863507029</v>
      </c>
    </row>
    <row r="40" spans="1:52" x14ac:dyDescent="0.2">
      <c r="A40" s="125"/>
      <c r="B40" s="179" t="s">
        <v>348</v>
      </c>
      <c r="C40" s="125"/>
      <c r="D40" s="125">
        <f>D34-D37</f>
        <v>0</v>
      </c>
      <c r="E40" s="125">
        <f t="shared" ref="E40:AY40" si="13">E34-E37</f>
        <v>0</v>
      </c>
      <c r="F40" s="125">
        <f t="shared" si="13"/>
        <v>0</v>
      </c>
      <c r="G40" s="125">
        <f t="shared" si="13"/>
        <v>0</v>
      </c>
      <c r="H40" s="125">
        <f t="shared" si="13"/>
        <v>0</v>
      </c>
      <c r="I40" s="125">
        <f t="shared" si="13"/>
        <v>0</v>
      </c>
      <c r="J40" s="125">
        <f t="shared" si="13"/>
        <v>0</v>
      </c>
      <c r="K40" s="125">
        <f t="shared" si="13"/>
        <v>0</v>
      </c>
      <c r="L40" s="125">
        <f t="shared" si="13"/>
        <v>0</v>
      </c>
      <c r="M40" s="125">
        <f t="shared" si="13"/>
        <v>0</v>
      </c>
      <c r="N40" s="125">
        <f t="shared" si="13"/>
        <v>0</v>
      </c>
      <c r="O40" s="125">
        <f t="shared" si="13"/>
        <v>0</v>
      </c>
      <c r="P40" s="125">
        <f t="shared" si="13"/>
        <v>0</v>
      </c>
      <c r="Q40" s="125">
        <f t="shared" si="13"/>
        <v>0</v>
      </c>
      <c r="R40" s="125">
        <f t="shared" si="13"/>
        <v>0</v>
      </c>
      <c r="S40" s="125">
        <f t="shared" si="13"/>
        <v>0</v>
      </c>
      <c r="T40" s="125">
        <f t="shared" si="13"/>
        <v>0</v>
      </c>
      <c r="U40" s="125">
        <f t="shared" si="13"/>
        <v>0</v>
      </c>
      <c r="V40" s="125">
        <f t="shared" si="13"/>
        <v>0</v>
      </c>
      <c r="W40" s="125">
        <f t="shared" si="13"/>
        <v>0</v>
      </c>
      <c r="X40" s="125">
        <f t="shared" si="13"/>
        <v>0</v>
      </c>
      <c r="Y40" s="125">
        <f t="shared" si="13"/>
        <v>0</v>
      </c>
      <c r="Z40" s="125">
        <f t="shared" si="13"/>
        <v>0</v>
      </c>
      <c r="AA40" s="125">
        <f t="shared" si="13"/>
        <v>0</v>
      </c>
      <c r="AB40" s="125">
        <f t="shared" si="13"/>
        <v>0</v>
      </c>
      <c r="AC40" s="125">
        <f t="shared" si="13"/>
        <v>0</v>
      </c>
      <c r="AD40" s="125">
        <f t="shared" si="13"/>
        <v>0</v>
      </c>
      <c r="AE40" s="125">
        <f t="shared" si="13"/>
        <v>0</v>
      </c>
      <c r="AF40" s="125">
        <f t="shared" si="13"/>
        <v>0</v>
      </c>
      <c r="AG40" s="125">
        <f t="shared" si="13"/>
        <v>0</v>
      </c>
      <c r="AH40" s="125">
        <f t="shared" si="13"/>
        <v>0</v>
      </c>
      <c r="AI40" s="125">
        <f t="shared" si="13"/>
        <v>0</v>
      </c>
      <c r="AJ40" s="125">
        <f t="shared" si="13"/>
        <v>0</v>
      </c>
      <c r="AK40" s="125">
        <f t="shared" si="13"/>
        <v>0</v>
      </c>
      <c r="AL40" s="125">
        <f t="shared" si="13"/>
        <v>0</v>
      </c>
      <c r="AM40" s="125">
        <f t="shared" si="13"/>
        <v>0</v>
      </c>
      <c r="AN40" s="125">
        <f t="shared" si="13"/>
        <v>0</v>
      </c>
      <c r="AO40" s="125">
        <f t="shared" si="13"/>
        <v>0</v>
      </c>
      <c r="AP40" s="125">
        <f t="shared" si="13"/>
        <v>0</v>
      </c>
      <c r="AQ40" s="125">
        <f t="shared" si="13"/>
        <v>0</v>
      </c>
      <c r="AR40" s="125">
        <f t="shared" si="13"/>
        <v>0</v>
      </c>
      <c r="AS40" s="125">
        <f t="shared" si="13"/>
        <v>0</v>
      </c>
      <c r="AT40" s="125">
        <f t="shared" si="13"/>
        <v>0</v>
      </c>
      <c r="AU40" s="125">
        <f t="shared" si="13"/>
        <v>0</v>
      </c>
      <c r="AV40" s="125">
        <f t="shared" si="13"/>
        <v>0</v>
      </c>
      <c r="AW40" s="125">
        <f t="shared" si="13"/>
        <v>0</v>
      </c>
      <c r="AX40" s="125">
        <f t="shared" si="13"/>
        <v>0</v>
      </c>
      <c r="AY40" s="125">
        <f t="shared" si="13"/>
        <v>0</v>
      </c>
    </row>
    <row r="41" spans="1:52" x14ac:dyDescent="0.2">
      <c r="A41" s="125"/>
      <c r="B41" s="179" t="s">
        <v>349</v>
      </c>
      <c r="C41" s="125"/>
      <c r="D41" s="125">
        <v>1</v>
      </c>
      <c r="E41" s="125">
        <v>1</v>
      </c>
      <c r="F41" s="125">
        <v>1</v>
      </c>
      <c r="G41" s="125">
        <v>3</v>
      </c>
      <c r="H41" s="125">
        <v>1</v>
      </c>
      <c r="I41" s="125">
        <v>1</v>
      </c>
      <c r="J41" s="125">
        <v>1</v>
      </c>
      <c r="K41" s="125">
        <v>1</v>
      </c>
      <c r="L41" s="125">
        <v>2</v>
      </c>
      <c r="M41" s="125">
        <v>1</v>
      </c>
      <c r="N41" s="125">
        <v>1</v>
      </c>
      <c r="O41" s="125">
        <v>2</v>
      </c>
      <c r="P41" s="125">
        <v>2</v>
      </c>
      <c r="Q41" s="125">
        <v>2</v>
      </c>
      <c r="R41" s="125">
        <v>1</v>
      </c>
      <c r="S41" s="125">
        <v>1</v>
      </c>
      <c r="T41" s="125">
        <v>1</v>
      </c>
      <c r="U41" s="125">
        <v>1</v>
      </c>
      <c r="V41" s="125">
        <v>1</v>
      </c>
      <c r="W41" s="125">
        <v>2</v>
      </c>
      <c r="X41" s="125">
        <v>2</v>
      </c>
      <c r="Y41" s="125">
        <v>2</v>
      </c>
      <c r="Z41" s="125">
        <v>2</v>
      </c>
      <c r="AA41" s="125">
        <v>2</v>
      </c>
      <c r="AB41" s="125">
        <v>1</v>
      </c>
      <c r="AC41" s="125">
        <v>1</v>
      </c>
      <c r="AD41" s="125">
        <v>2</v>
      </c>
      <c r="AE41" s="125">
        <v>1</v>
      </c>
      <c r="AF41" s="125">
        <v>1</v>
      </c>
      <c r="AG41" s="125">
        <v>1</v>
      </c>
      <c r="AH41" s="125">
        <v>1</v>
      </c>
      <c r="AI41" s="125">
        <v>1</v>
      </c>
      <c r="AJ41" s="125">
        <v>1</v>
      </c>
      <c r="AK41" s="125">
        <v>1</v>
      </c>
      <c r="AL41" s="125">
        <v>2</v>
      </c>
      <c r="AM41" s="125">
        <v>1</v>
      </c>
      <c r="AN41" s="125">
        <v>1</v>
      </c>
      <c r="AO41" s="125">
        <v>1</v>
      </c>
      <c r="AP41" s="125">
        <v>2</v>
      </c>
      <c r="AQ41" s="125">
        <v>2</v>
      </c>
      <c r="AR41" s="125">
        <v>1</v>
      </c>
      <c r="AS41" s="125">
        <v>2</v>
      </c>
      <c r="AT41" s="125">
        <v>1</v>
      </c>
      <c r="AU41" s="125">
        <v>1</v>
      </c>
      <c r="AV41" s="125">
        <v>1</v>
      </c>
      <c r="AW41" s="125">
        <v>2</v>
      </c>
      <c r="AX41" s="125">
        <v>1</v>
      </c>
      <c r="AY41" s="125">
        <v>2</v>
      </c>
    </row>
    <row r="42" spans="1:52" x14ac:dyDescent="0.2">
      <c r="A42" s="125"/>
      <c r="B42" s="190" t="s">
        <v>350</v>
      </c>
      <c r="C42" s="125"/>
      <c r="D42" s="125">
        <v>0</v>
      </c>
      <c r="E42" s="125">
        <v>0</v>
      </c>
      <c r="F42" s="125">
        <v>358560</v>
      </c>
      <c r="G42" s="125">
        <v>0</v>
      </c>
      <c r="H42" s="125">
        <v>672300</v>
      </c>
      <c r="I42" s="125">
        <v>0</v>
      </c>
      <c r="J42" s="125">
        <v>672300</v>
      </c>
      <c r="K42" s="125">
        <v>0</v>
      </c>
      <c r="L42" s="125">
        <v>672300</v>
      </c>
      <c r="M42" s="125">
        <v>0</v>
      </c>
      <c r="N42" s="125">
        <v>672300</v>
      </c>
      <c r="O42" s="125">
        <v>0</v>
      </c>
      <c r="P42" s="125">
        <v>0</v>
      </c>
      <c r="Q42" s="125">
        <v>358560</v>
      </c>
      <c r="R42" s="125">
        <v>0</v>
      </c>
      <c r="S42" s="125">
        <v>672300</v>
      </c>
      <c r="T42" s="125">
        <v>0</v>
      </c>
      <c r="U42" s="125">
        <v>358560</v>
      </c>
      <c r="V42" s="125">
        <v>0</v>
      </c>
      <c r="W42" s="125">
        <v>672300</v>
      </c>
      <c r="X42" s="125">
        <v>0</v>
      </c>
      <c r="Y42" s="125">
        <v>358560</v>
      </c>
      <c r="Z42" s="125">
        <v>0</v>
      </c>
      <c r="AA42" s="125">
        <v>672300</v>
      </c>
      <c r="AB42" s="125">
        <v>0</v>
      </c>
      <c r="AC42" s="125">
        <v>672300</v>
      </c>
      <c r="AD42" s="125">
        <v>0</v>
      </c>
      <c r="AE42" s="125">
        <v>672300</v>
      </c>
      <c r="AF42" s="125">
        <v>0</v>
      </c>
      <c r="AG42" s="125">
        <v>672300</v>
      </c>
      <c r="AH42" s="125">
        <v>0</v>
      </c>
      <c r="AI42" s="125">
        <v>672300</v>
      </c>
      <c r="AJ42" s="125">
        <v>0</v>
      </c>
      <c r="AK42" s="125">
        <v>0</v>
      </c>
      <c r="AL42" s="125">
        <v>358560</v>
      </c>
      <c r="AM42" s="125">
        <v>0</v>
      </c>
      <c r="AN42" s="125">
        <v>0</v>
      </c>
      <c r="AO42" s="125">
        <v>358560</v>
      </c>
      <c r="AP42" s="125">
        <v>0</v>
      </c>
      <c r="AQ42" s="125">
        <v>672300</v>
      </c>
      <c r="AR42" s="125">
        <v>0</v>
      </c>
      <c r="AS42" s="125">
        <v>672300</v>
      </c>
      <c r="AT42" s="125">
        <v>0</v>
      </c>
      <c r="AU42" s="125">
        <v>672300</v>
      </c>
      <c r="AV42" s="125">
        <v>0</v>
      </c>
      <c r="AW42" s="125">
        <v>672300</v>
      </c>
      <c r="AX42" s="125">
        <v>0</v>
      </c>
      <c r="AY42" s="125">
        <v>358560</v>
      </c>
      <c r="AZ42">
        <f>SUM($D$42:$AY$42)</f>
        <v>12594420</v>
      </c>
    </row>
    <row r="43" spans="1:52" x14ac:dyDescent="0.2">
      <c r="A43" s="125"/>
      <c r="B43" s="190" t="s">
        <v>351</v>
      </c>
      <c r="C43" s="125"/>
      <c r="D43" s="125">
        <v>652502.22360645747</v>
      </c>
      <c r="E43" s="125">
        <v>0</v>
      </c>
      <c r="F43" s="125">
        <v>513655.50226293062</v>
      </c>
      <c r="G43" s="125">
        <v>353937.75113146537</v>
      </c>
      <c r="H43" s="125">
        <v>0</v>
      </c>
      <c r="I43" s="125">
        <v>353937.75113146537</v>
      </c>
      <c r="J43" s="125">
        <v>0</v>
      </c>
      <c r="K43" s="125">
        <v>353937.75113146537</v>
      </c>
      <c r="L43" s="125">
        <v>0</v>
      </c>
      <c r="M43" s="125">
        <v>353937.75113146537</v>
      </c>
      <c r="N43" s="125">
        <v>0</v>
      </c>
      <c r="O43" s="125">
        <v>353937.75113146537</v>
      </c>
      <c r="P43" s="125">
        <v>0</v>
      </c>
      <c r="Q43" s="125">
        <v>513655.50226293062</v>
      </c>
      <c r="R43" s="125">
        <v>353937.75113146537</v>
      </c>
      <c r="S43" s="125">
        <v>0</v>
      </c>
      <c r="T43" s="125">
        <v>0</v>
      </c>
      <c r="U43" s="125">
        <v>513655.50226293062</v>
      </c>
      <c r="V43" s="125">
        <v>353937.75113146537</v>
      </c>
      <c r="W43" s="125">
        <v>0</v>
      </c>
      <c r="X43" s="125">
        <v>0</v>
      </c>
      <c r="Y43" s="125">
        <v>513655.50226293062</v>
      </c>
      <c r="Z43" s="125">
        <v>353937.75113146537</v>
      </c>
      <c r="AA43" s="125">
        <v>0</v>
      </c>
      <c r="AB43" s="125">
        <v>353937.75113146537</v>
      </c>
      <c r="AC43" s="125">
        <v>0</v>
      </c>
      <c r="AD43" s="125">
        <v>353937.75113146537</v>
      </c>
      <c r="AE43" s="125">
        <v>0</v>
      </c>
      <c r="AF43" s="125">
        <v>353937.75113146537</v>
      </c>
      <c r="AG43" s="125">
        <v>0</v>
      </c>
      <c r="AH43" s="125">
        <v>353937.75113146537</v>
      </c>
      <c r="AI43" s="125">
        <v>0</v>
      </c>
      <c r="AJ43" s="125">
        <v>353937.75113146537</v>
      </c>
      <c r="AK43" s="125">
        <v>0</v>
      </c>
      <c r="AL43" s="125">
        <v>513655.50226293062</v>
      </c>
      <c r="AM43" s="125">
        <v>353937.75113146537</v>
      </c>
      <c r="AN43" s="125">
        <v>0</v>
      </c>
      <c r="AO43" s="125">
        <v>513655.50226293062</v>
      </c>
      <c r="AP43" s="125">
        <v>353937.75113146537</v>
      </c>
      <c r="AQ43" s="125">
        <v>0</v>
      </c>
      <c r="AR43" s="125">
        <v>353937.75113146537</v>
      </c>
      <c r="AS43" s="125">
        <v>0</v>
      </c>
      <c r="AT43" s="125">
        <v>353937.75113146537</v>
      </c>
      <c r="AU43" s="125">
        <v>0</v>
      </c>
      <c r="AV43" s="125">
        <v>353937.75113146537</v>
      </c>
      <c r="AW43" s="125">
        <v>0</v>
      </c>
      <c r="AX43" s="125">
        <v>0</v>
      </c>
      <c r="AY43" s="125">
        <v>513655.50226293062</v>
      </c>
      <c r="AZ43">
        <f>SUM($D$43:$AY$43)</f>
        <v>10618970.259813352</v>
      </c>
    </row>
    <row r="44" spans="1:52" x14ac:dyDescent="0.2">
      <c r="A44" s="149" t="s">
        <v>59</v>
      </c>
      <c r="B44" s="149" t="s">
        <v>341</v>
      </c>
      <c r="C44" s="138"/>
      <c r="D44" s="138">
        <f>D$21*shipping_manufacturing!$H$28/100</f>
        <v>1809.5347493372726</v>
      </c>
      <c r="E44" s="138">
        <f>E$21*shipping_manufacturing!$H$28/100</f>
        <v>0</v>
      </c>
      <c r="F44" s="138">
        <f>F$21*shipping_manufacturing!$H$28/100</f>
        <v>1963.0972481128438</v>
      </c>
      <c r="G44" s="138">
        <f>G$21*shipping_manufacturing!$H$28/100</f>
        <v>981.54862405642189</v>
      </c>
      <c r="H44" s="138">
        <f>H$21*shipping_manufacturing!$H$28/100</f>
        <v>981.54862405642189</v>
      </c>
      <c r="I44" s="138">
        <f>I$21*shipping_manufacturing!$H$28/100</f>
        <v>981.54862405642189</v>
      </c>
      <c r="J44" s="138">
        <f>J$21*shipping_manufacturing!$H$28/100</f>
        <v>981.54862405642189</v>
      </c>
      <c r="K44" s="138">
        <f>K$21*shipping_manufacturing!$H$28/100</f>
        <v>981.54862405642189</v>
      </c>
      <c r="L44" s="138">
        <f>L$21*shipping_manufacturing!$H$28/100</f>
        <v>981.54862405642189</v>
      </c>
      <c r="M44" s="138">
        <f>M$21*shipping_manufacturing!$H$28/100</f>
        <v>981.54862405642189</v>
      </c>
      <c r="N44" s="138">
        <f>N$21*shipping_manufacturing!$H$28/100</f>
        <v>981.54862405642189</v>
      </c>
      <c r="O44" s="138">
        <f>O$21*shipping_manufacturing!$H$28/100</f>
        <v>981.54862405642189</v>
      </c>
      <c r="P44" s="138">
        <f>P$21*shipping_manufacturing!$H$28/100</f>
        <v>0</v>
      </c>
      <c r="Q44" s="138">
        <f>Q$21*shipping_manufacturing!$H$28/100</f>
        <v>1963.0972481128438</v>
      </c>
      <c r="R44" s="138">
        <f>R$21*shipping_manufacturing!$H$28/100</f>
        <v>981.54862405642189</v>
      </c>
      <c r="S44" s="138">
        <f>S$21*shipping_manufacturing!$H$28/100</f>
        <v>981.54862405642189</v>
      </c>
      <c r="T44" s="138">
        <f>T$21*shipping_manufacturing!$H$28/100</f>
        <v>0</v>
      </c>
      <c r="U44" s="138">
        <f>U$21*shipping_manufacturing!$H$28/100</f>
        <v>1963.0972481128438</v>
      </c>
      <c r="V44" s="138">
        <f>V$21*shipping_manufacturing!$H$28/100</f>
        <v>981.54862405642189</v>
      </c>
      <c r="W44" s="138">
        <f>W$21*shipping_manufacturing!$H$28/100</f>
        <v>981.54862405642189</v>
      </c>
      <c r="X44" s="138">
        <f>X$21*shipping_manufacturing!$H$28/100</f>
        <v>0</v>
      </c>
      <c r="Y44" s="138">
        <f>Y$21*shipping_manufacturing!$H$28/100</f>
        <v>1963.0972481128438</v>
      </c>
      <c r="Z44" s="138">
        <f>Z$21*shipping_manufacturing!$H$28/100</f>
        <v>981.54862405642189</v>
      </c>
      <c r="AA44" s="138">
        <f>AA$21*shipping_manufacturing!$H$28/100</f>
        <v>981.54862405642189</v>
      </c>
      <c r="AB44" s="138">
        <f>AB$21*shipping_manufacturing!$H$28/100</f>
        <v>981.54862405642189</v>
      </c>
      <c r="AC44" s="138">
        <f>AC$21*shipping_manufacturing!$H$28/100</f>
        <v>981.54862405642189</v>
      </c>
      <c r="AD44" s="138">
        <f>AD$21*shipping_manufacturing!$H$28/100</f>
        <v>981.54862405642189</v>
      </c>
      <c r="AE44" s="138">
        <f>AE$21*shipping_manufacturing!$H$28/100</f>
        <v>981.54862405642189</v>
      </c>
      <c r="AF44" s="138">
        <f>AF$21*shipping_manufacturing!$H$28/100</f>
        <v>981.54862405642189</v>
      </c>
      <c r="AG44" s="138">
        <f>AG$21*shipping_manufacturing!$H$28/100</f>
        <v>981.54862405642189</v>
      </c>
      <c r="AH44" s="138">
        <f>AH$21*shipping_manufacturing!$H$28/100</f>
        <v>981.54862405642189</v>
      </c>
      <c r="AI44" s="138">
        <f>AI$21*shipping_manufacturing!$H$28/100</f>
        <v>981.54862405642189</v>
      </c>
      <c r="AJ44" s="138">
        <f>AJ$21*shipping_manufacturing!$H$28/100</f>
        <v>981.54862405642189</v>
      </c>
      <c r="AK44" s="138">
        <f>AK$21*shipping_manufacturing!$H$28/100</f>
        <v>0</v>
      </c>
      <c r="AL44" s="138">
        <f>AL$21*shipping_manufacturing!$H$28/100</f>
        <v>1963.0972481128438</v>
      </c>
      <c r="AM44" s="138">
        <f>AM$21*shipping_manufacturing!$H$28/100</f>
        <v>981.54862405642189</v>
      </c>
      <c r="AN44" s="138">
        <f>AN$21*shipping_manufacturing!$H$28/100</f>
        <v>0</v>
      </c>
      <c r="AO44" s="138">
        <f>AO$21*shipping_manufacturing!$H$28/100</f>
        <v>1963.0972481128438</v>
      </c>
      <c r="AP44" s="138">
        <f>AP$21*shipping_manufacturing!$H$28/100</f>
        <v>981.54862405642189</v>
      </c>
      <c r="AQ44" s="138">
        <f>AQ$21*shipping_manufacturing!$H$28/100</f>
        <v>981.54862405642189</v>
      </c>
      <c r="AR44" s="138">
        <f>AR$21*shipping_manufacturing!$H$28/100</f>
        <v>981.54862405642189</v>
      </c>
      <c r="AS44" s="138">
        <f>AS$21*shipping_manufacturing!$H$28/100</f>
        <v>981.54862405642189</v>
      </c>
      <c r="AT44" s="138">
        <f>AT$21*shipping_manufacturing!$H$28/100</f>
        <v>981.54862405642189</v>
      </c>
      <c r="AU44" s="138">
        <f>AU$21*shipping_manufacturing!$H$28/100</f>
        <v>981.54862405642189</v>
      </c>
      <c r="AV44" s="138">
        <f>AV$21*shipping_manufacturing!$H$28/100</f>
        <v>981.54862405642189</v>
      </c>
      <c r="AW44" s="138">
        <f>AW$21*shipping_manufacturing!$H$28/100</f>
        <v>981.54862405642189</v>
      </c>
      <c r="AX44" s="138">
        <f>AX$21*shipping_manufacturing!$H$28/100</f>
        <v>0</v>
      </c>
      <c r="AY44" s="138">
        <f>AY$21*shipping_manufacturing!$H$28/100</f>
        <v>1963.0972481128438</v>
      </c>
    </row>
    <row r="45" spans="1:52" x14ac:dyDescent="0.2">
      <c r="A45" s="127" t="s">
        <v>340</v>
      </c>
      <c r="B45" s="179" t="s">
        <v>342</v>
      </c>
      <c r="C45" s="125"/>
      <c r="D45" s="125">
        <f>D$22*shipping_manufacturing!$I$28/100</f>
        <v>0</v>
      </c>
      <c r="E45" s="125">
        <f>E$22*shipping_manufacturing!$I$28/100</f>
        <v>0</v>
      </c>
      <c r="F45" s="125">
        <f>F$22*shipping_manufacturing!$I$28/100</f>
        <v>0</v>
      </c>
      <c r="G45" s="125">
        <f>G$22*shipping_manufacturing!$I$28/100</f>
        <v>0</v>
      </c>
      <c r="H45" s="125">
        <f>H$22*shipping_manufacturing!$I$28/100</f>
        <v>0</v>
      </c>
      <c r="I45" s="125">
        <f>I$22*shipping_manufacturing!$I$28/100</f>
        <v>0</v>
      </c>
      <c r="J45" s="125">
        <f>J$22*shipping_manufacturing!$I$28/100</f>
        <v>0</v>
      </c>
      <c r="K45" s="125">
        <f>K$22*shipping_manufacturing!$I$28/100</f>
        <v>0</v>
      </c>
      <c r="L45" s="125">
        <f>L$22*shipping_manufacturing!$I$28/100</f>
        <v>0</v>
      </c>
      <c r="M45" s="125">
        <f>M$22*shipping_manufacturing!$I$28/100</f>
        <v>0</v>
      </c>
      <c r="N45" s="125">
        <f>N$22*shipping_manufacturing!$I$28/100</f>
        <v>0</v>
      </c>
      <c r="O45" s="125">
        <f>O$22*shipping_manufacturing!$I$28/100</f>
        <v>0</v>
      </c>
      <c r="P45" s="125">
        <f>P$22*shipping_manufacturing!$I$28/100</f>
        <v>0</v>
      </c>
      <c r="Q45" s="125">
        <f>Q$22*shipping_manufacturing!$I$28/100</f>
        <v>0</v>
      </c>
      <c r="R45" s="125">
        <f>R$22*shipping_manufacturing!$I$28/100</f>
        <v>0</v>
      </c>
      <c r="S45" s="125">
        <f>S$22*shipping_manufacturing!$I$28/100</f>
        <v>0</v>
      </c>
      <c r="T45" s="125">
        <f>T$22*shipping_manufacturing!$I$28/100</f>
        <v>0</v>
      </c>
      <c r="U45" s="125">
        <f>U$22*shipping_manufacturing!$I$28/100</f>
        <v>0</v>
      </c>
      <c r="V45" s="125">
        <f>V$22*shipping_manufacturing!$I$28/100</f>
        <v>0</v>
      </c>
      <c r="W45" s="125">
        <f>W$22*shipping_manufacturing!$I$28/100</f>
        <v>0</v>
      </c>
      <c r="X45" s="125">
        <f>X$22*shipping_manufacturing!$I$28/100</f>
        <v>0</v>
      </c>
      <c r="Y45" s="125">
        <f>Y$22*shipping_manufacturing!$I$28/100</f>
        <v>0</v>
      </c>
      <c r="Z45" s="125">
        <f>Z$22*shipping_manufacturing!$I$28/100</f>
        <v>0</v>
      </c>
      <c r="AA45" s="125">
        <f>AA$22*shipping_manufacturing!$I$28/100</f>
        <v>0</v>
      </c>
      <c r="AB45" s="125">
        <f>AB$22*shipping_manufacturing!$I$28/100</f>
        <v>0</v>
      </c>
      <c r="AC45" s="125">
        <f>AC$22*shipping_manufacturing!$I$28/100</f>
        <v>0</v>
      </c>
      <c r="AD45" s="125">
        <f>AD$22*shipping_manufacturing!$I$28/100</f>
        <v>0</v>
      </c>
      <c r="AE45" s="125">
        <f>AE$22*shipping_manufacturing!$I$28/100</f>
        <v>0</v>
      </c>
      <c r="AF45" s="125">
        <f>AF$22*shipping_manufacturing!$I$28/100</f>
        <v>0</v>
      </c>
      <c r="AG45" s="125">
        <f>AG$22*shipping_manufacturing!$I$28/100</f>
        <v>0</v>
      </c>
      <c r="AH45" s="125">
        <f>AH$22*shipping_manufacturing!$I$28/100</f>
        <v>0</v>
      </c>
      <c r="AI45" s="125">
        <f>AI$22*shipping_manufacturing!$I$28/100</f>
        <v>0</v>
      </c>
      <c r="AJ45" s="125">
        <f>AJ$22*shipping_manufacturing!$I$28/100</f>
        <v>0</v>
      </c>
      <c r="AK45" s="125">
        <f>AK$22*shipping_manufacturing!$I$28/100</f>
        <v>0</v>
      </c>
      <c r="AL45" s="125">
        <f>AL$22*shipping_manufacturing!$I$28/100</f>
        <v>0</v>
      </c>
      <c r="AM45" s="125">
        <f>AM$22*shipping_manufacturing!$I$28/100</f>
        <v>0</v>
      </c>
      <c r="AN45" s="125">
        <f>AN$22*shipping_manufacturing!$I$28/100</f>
        <v>0</v>
      </c>
      <c r="AO45" s="125">
        <f>AO$22*shipping_manufacturing!$I$28/100</f>
        <v>0</v>
      </c>
      <c r="AP45" s="125">
        <f>AP$22*shipping_manufacturing!$I$28/100</f>
        <v>0</v>
      </c>
      <c r="AQ45" s="125">
        <f>AQ$22*shipping_manufacturing!$I$28/100</f>
        <v>0</v>
      </c>
      <c r="AR45" s="125">
        <f>AR$22*shipping_manufacturing!$I$28/100</f>
        <v>0</v>
      </c>
      <c r="AS45" s="125">
        <f>AS$22*shipping_manufacturing!$I$28/100</f>
        <v>0</v>
      </c>
      <c r="AT45" s="125">
        <f>AT$22*shipping_manufacturing!$I$28/100</f>
        <v>0</v>
      </c>
      <c r="AU45" s="125">
        <f>AU$22*shipping_manufacturing!$I$28/100</f>
        <v>0</v>
      </c>
      <c r="AV45" s="125">
        <f>AV$22*shipping_manufacturing!$I$28/100</f>
        <v>0</v>
      </c>
      <c r="AW45" s="125">
        <f>AW$22*shipping_manufacturing!$I$28/100</f>
        <v>0</v>
      </c>
      <c r="AX45" s="125">
        <f>AX$22*shipping_manufacturing!$I$28/100</f>
        <v>0</v>
      </c>
      <c r="AY45" s="125">
        <f>AY$22*shipping_manufacturing!$I$28/100</f>
        <v>0</v>
      </c>
    </row>
    <row r="46" spans="1:52" x14ac:dyDescent="0.2">
      <c r="A46" s="125">
        <v>495</v>
      </c>
      <c r="B46" s="179" t="s">
        <v>343</v>
      </c>
      <c r="C46" s="125"/>
      <c r="D46" s="125">
        <f>SUM(D44:D45)</f>
        <v>1809.5347493372726</v>
      </c>
      <c r="E46" s="125">
        <f t="shared" ref="E46:AY46" si="14">SUM(E44:E45)</f>
        <v>0</v>
      </c>
      <c r="F46" s="125">
        <f t="shared" si="14"/>
        <v>1963.0972481128438</v>
      </c>
      <c r="G46" s="125">
        <f t="shared" si="14"/>
        <v>981.54862405642189</v>
      </c>
      <c r="H46" s="125">
        <f t="shared" si="14"/>
        <v>981.54862405642189</v>
      </c>
      <c r="I46" s="125">
        <f t="shared" si="14"/>
        <v>981.54862405642189</v>
      </c>
      <c r="J46" s="125">
        <f t="shared" si="14"/>
        <v>981.54862405642189</v>
      </c>
      <c r="K46" s="125">
        <f t="shared" si="14"/>
        <v>981.54862405642189</v>
      </c>
      <c r="L46" s="125">
        <f t="shared" si="14"/>
        <v>981.54862405642189</v>
      </c>
      <c r="M46" s="125">
        <f t="shared" si="14"/>
        <v>981.54862405642189</v>
      </c>
      <c r="N46" s="125">
        <f t="shared" si="14"/>
        <v>981.54862405642189</v>
      </c>
      <c r="O46" s="125">
        <f t="shared" si="14"/>
        <v>981.54862405642189</v>
      </c>
      <c r="P46" s="125">
        <f t="shared" si="14"/>
        <v>0</v>
      </c>
      <c r="Q46" s="125">
        <f t="shared" si="14"/>
        <v>1963.0972481128438</v>
      </c>
      <c r="R46" s="125">
        <f t="shared" si="14"/>
        <v>981.54862405642189</v>
      </c>
      <c r="S46" s="125">
        <f t="shared" si="14"/>
        <v>981.54862405642189</v>
      </c>
      <c r="T46" s="125">
        <f t="shared" si="14"/>
        <v>0</v>
      </c>
      <c r="U46" s="125">
        <f t="shared" si="14"/>
        <v>1963.0972481128438</v>
      </c>
      <c r="V46" s="125">
        <f t="shared" si="14"/>
        <v>981.54862405642189</v>
      </c>
      <c r="W46" s="125">
        <f t="shared" si="14"/>
        <v>981.54862405642189</v>
      </c>
      <c r="X46" s="125">
        <f t="shared" si="14"/>
        <v>0</v>
      </c>
      <c r="Y46" s="125">
        <f t="shared" si="14"/>
        <v>1963.0972481128438</v>
      </c>
      <c r="Z46" s="125">
        <f t="shared" si="14"/>
        <v>981.54862405642189</v>
      </c>
      <c r="AA46" s="125">
        <f t="shared" si="14"/>
        <v>981.54862405642189</v>
      </c>
      <c r="AB46" s="125">
        <f t="shared" si="14"/>
        <v>981.54862405642189</v>
      </c>
      <c r="AC46" s="125">
        <f t="shared" si="14"/>
        <v>981.54862405642189</v>
      </c>
      <c r="AD46" s="125">
        <f t="shared" si="14"/>
        <v>981.54862405642189</v>
      </c>
      <c r="AE46" s="125">
        <f t="shared" si="14"/>
        <v>981.54862405642189</v>
      </c>
      <c r="AF46" s="125">
        <f t="shared" si="14"/>
        <v>981.54862405642189</v>
      </c>
      <c r="AG46" s="125">
        <f t="shared" si="14"/>
        <v>981.54862405642189</v>
      </c>
      <c r="AH46" s="125">
        <f t="shared" si="14"/>
        <v>981.54862405642189</v>
      </c>
      <c r="AI46" s="125">
        <f t="shared" si="14"/>
        <v>981.54862405642189</v>
      </c>
      <c r="AJ46" s="125">
        <f t="shared" si="14"/>
        <v>981.54862405642189</v>
      </c>
      <c r="AK46" s="125">
        <f t="shared" si="14"/>
        <v>0</v>
      </c>
      <c r="AL46" s="125">
        <f t="shared" si="14"/>
        <v>1963.0972481128438</v>
      </c>
      <c r="AM46" s="125">
        <f t="shared" si="14"/>
        <v>981.54862405642189</v>
      </c>
      <c r="AN46" s="125">
        <f t="shared" si="14"/>
        <v>0</v>
      </c>
      <c r="AO46" s="125">
        <f t="shared" si="14"/>
        <v>1963.0972481128438</v>
      </c>
      <c r="AP46" s="125">
        <f t="shared" si="14"/>
        <v>981.54862405642189</v>
      </c>
      <c r="AQ46" s="125">
        <f t="shared" si="14"/>
        <v>981.54862405642189</v>
      </c>
      <c r="AR46" s="125">
        <f t="shared" si="14"/>
        <v>981.54862405642189</v>
      </c>
      <c r="AS46" s="125">
        <f t="shared" si="14"/>
        <v>981.54862405642189</v>
      </c>
      <c r="AT46" s="125">
        <f t="shared" si="14"/>
        <v>981.54862405642189</v>
      </c>
      <c r="AU46" s="125">
        <f t="shared" si="14"/>
        <v>981.54862405642189</v>
      </c>
      <c r="AV46" s="125">
        <f t="shared" si="14"/>
        <v>981.54862405642189</v>
      </c>
      <c r="AW46" s="125">
        <f t="shared" si="14"/>
        <v>981.54862405642189</v>
      </c>
      <c r="AX46" s="125">
        <f t="shared" si="14"/>
        <v>0</v>
      </c>
      <c r="AY46" s="125">
        <f t="shared" si="14"/>
        <v>1963.0972481128438</v>
      </c>
    </row>
    <row r="47" spans="1:52" x14ac:dyDescent="0.2">
      <c r="A47" s="125"/>
      <c r="B47" s="179" t="s">
        <v>344</v>
      </c>
      <c r="C47" s="125"/>
      <c r="D47" s="125"/>
      <c r="E47" s="125"/>
      <c r="F47" s="125">
        <v>1350</v>
      </c>
      <c r="G47" s="125"/>
      <c r="H47" s="125">
        <v>981.54862405642189</v>
      </c>
      <c r="I47" s="125">
        <v>150</v>
      </c>
      <c r="J47" s="125">
        <v>981.54862405642189</v>
      </c>
      <c r="K47" s="125">
        <v>150</v>
      </c>
      <c r="L47" s="125">
        <v>981.54862405642189</v>
      </c>
      <c r="M47" s="125">
        <v>150</v>
      </c>
      <c r="N47" s="125">
        <v>981.54862405642189</v>
      </c>
      <c r="O47" s="125">
        <v>150</v>
      </c>
      <c r="P47" s="125"/>
      <c r="Q47" s="125">
        <v>1350</v>
      </c>
      <c r="R47" s="125"/>
      <c r="S47" s="125">
        <v>981.54862405642189</v>
      </c>
      <c r="T47" s="125"/>
      <c r="U47" s="125">
        <v>1350</v>
      </c>
      <c r="V47" s="125"/>
      <c r="W47" s="125">
        <v>981.54862405642189</v>
      </c>
      <c r="X47" s="125"/>
      <c r="Y47" s="125">
        <v>1350</v>
      </c>
      <c r="Z47" s="125"/>
      <c r="AA47" s="125">
        <v>981.54862405642189</v>
      </c>
      <c r="AB47" s="125">
        <v>150</v>
      </c>
      <c r="AC47" s="125">
        <v>981.54862405642189</v>
      </c>
      <c r="AD47" s="125">
        <v>150</v>
      </c>
      <c r="AE47" s="125">
        <v>981.54862405642189</v>
      </c>
      <c r="AF47" s="125">
        <v>150</v>
      </c>
      <c r="AG47" s="125">
        <v>981.54862405642189</v>
      </c>
      <c r="AH47" s="125">
        <v>150</v>
      </c>
      <c r="AI47" s="125">
        <v>981.54862405642189</v>
      </c>
      <c r="AJ47" s="125">
        <v>150</v>
      </c>
      <c r="AK47" s="125"/>
      <c r="AL47" s="125">
        <v>1350</v>
      </c>
      <c r="AM47" s="125"/>
      <c r="AN47" s="125"/>
      <c r="AO47" s="125">
        <v>1350</v>
      </c>
      <c r="AP47" s="125"/>
      <c r="AQ47" s="125">
        <v>981.54862405642189</v>
      </c>
      <c r="AR47" s="125">
        <v>150</v>
      </c>
      <c r="AS47" s="125">
        <v>981.54862405642189</v>
      </c>
      <c r="AT47" s="125">
        <v>150</v>
      </c>
      <c r="AU47" s="125">
        <v>981.54862405642189</v>
      </c>
      <c r="AV47" s="125">
        <v>150</v>
      </c>
      <c r="AW47" s="125">
        <v>981.54862405642189</v>
      </c>
      <c r="AX47" s="125"/>
      <c r="AY47" s="125">
        <v>1350</v>
      </c>
    </row>
    <row r="48" spans="1:52" x14ac:dyDescent="0.2">
      <c r="A48" s="125"/>
      <c r="B48" s="179" t="s">
        <v>345</v>
      </c>
      <c r="C48" s="125"/>
      <c r="D48" s="125"/>
      <c r="E48" s="125"/>
      <c r="F48" s="125">
        <v>0</v>
      </c>
      <c r="G48" s="125"/>
      <c r="H48" s="125">
        <v>0</v>
      </c>
      <c r="I48" s="125">
        <v>0</v>
      </c>
      <c r="J48" s="125">
        <v>0</v>
      </c>
      <c r="K48" s="125">
        <v>0</v>
      </c>
      <c r="L48" s="125">
        <v>0</v>
      </c>
      <c r="M48" s="125">
        <v>0</v>
      </c>
      <c r="N48" s="125">
        <v>0</v>
      </c>
      <c r="O48" s="125">
        <v>0</v>
      </c>
      <c r="P48" s="125"/>
      <c r="Q48" s="125">
        <v>0</v>
      </c>
      <c r="R48" s="125"/>
      <c r="S48" s="125">
        <v>0</v>
      </c>
      <c r="T48" s="125"/>
      <c r="U48" s="125">
        <v>0</v>
      </c>
      <c r="V48" s="125"/>
      <c r="W48" s="125">
        <v>0</v>
      </c>
      <c r="X48" s="125"/>
      <c r="Y48" s="125">
        <v>0</v>
      </c>
      <c r="Z48" s="125"/>
      <c r="AA48" s="125">
        <v>0</v>
      </c>
      <c r="AB48" s="125">
        <v>0</v>
      </c>
      <c r="AC48" s="125">
        <v>0</v>
      </c>
      <c r="AD48" s="125">
        <v>0</v>
      </c>
      <c r="AE48" s="125">
        <v>0</v>
      </c>
      <c r="AF48" s="125">
        <v>0</v>
      </c>
      <c r="AG48" s="125">
        <v>0</v>
      </c>
      <c r="AH48" s="125">
        <v>0</v>
      </c>
      <c r="AI48" s="125">
        <v>0</v>
      </c>
      <c r="AJ48" s="125">
        <v>0</v>
      </c>
      <c r="AK48" s="125"/>
      <c r="AL48" s="125">
        <v>0</v>
      </c>
      <c r="AM48" s="125"/>
      <c r="AN48" s="125"/>
      <c r="AO48" s="125">
        <v>0</v>
      </c>
      <c r="AP48" s="125"/>
      <c r="AQ48" s="125">
        <v>0</v>
      </c>
      <c r="AR48" s="125">
        <v>0</v>
      </c>
      <c r="AS48" s="125">
        <v>0</v>
      </c>
      <c r="AT48" s="125">
        <v>0</v>
      </c>
      <c r="AU48" s="125">
        <v>0</v>
      </c>
      <c r="AV48" s="125">
        <v>0</v>
      </c>
      <c r="AW48" s="125">
        <v>0</v>
      </c>
      <c r="AX48" s="125"/>
      <c r="AY48" s="125">
        <v>0</v>
      </c>
    </row>
    <row r="49" spans="1:52" x14ac:dyDescent="0.2">
      <c r="A49" s="125"/>
      <c r="B49" s="179" t="s">
        <v>346</v>
      </c>
      <c r="C49" s="125"/>
      <c r="D49" s="125"/>
      <c r="E49" s="125"/>
      <c r="F49" s="125">
        <v>45</v>
      </c>
      <c r="G49" s="125"/>
      <c r="H49" s="125">
        <v>33</v>
      </c>
      <c r="I49" s="125">
        <v>5</v>
      </c>
      <c r="J49" s="125">
        <v>33</v>
      </c>
      <c r="K49" s="125">
        <v>5</v>
      </c>
      <c r="L49" s="125">
        <v>33</v>
      </c>
      <c r="M49" s="125">
        <v>5</v>
      </c>
      <c r="N49" s="125">
        <v>33</v>
      </c>
      <c r="O49" s="125">
        <v>5</v>
      </c>
      <c r="P49" s="125"/>
      <c r="Q49" s="125">
        <v>45</v>
      </c>
      <c r="R49" s="125"/>
      <c r="S49" s="125">
        <v>33</v>
      </c>
      <c r="T49" s="125"/>
      <c r="U49" s="125">
        <v>45</v>
      </c>
      <c r="V49" s="125"/>
      <c r="W49" s="125">
        <v>33</v>
      </c>
      <c r="X49" s="125"/>
      <c r="Y49" s="125">
        <v>45</v>
      </c>
      <c r="Z49" s="125"/>
      <c r="AA49" s="125">
        <v>33</v>
      </c>
      <c r="AB49" s="125">
        <v>5</v>
      </c>
      <c r="AC49" s="125">
        <v>33</v>
      </c>
      <c r="AD49" s="125">
        <v>5</v>
      </c>
      <c r="AE49" s="125">
        <v>33</v>
      </c>
      <c r="AF49" s="125">
        <v>5</v>
      </c>
      <c r="AG49" s="125">
        <v>33</v>
      </c>
      <c r="AH49" s="125">
        <v>5</v>
      </c>
      <c r="AI49" s="125">
        <v>33</v>
      </c>
      <c r="AJ49" s="125">
        <v>5</v>
      </c>
      <c r="AK49" s="125"/>
      <c r="AL49" s="125">
        <v>45</v>
      </c>
      <c r="AM49" s="125"/>
      <c r="AN49" s="125"/>
      <c r="AO49" s="125">
        <v>45</v>
      </c>
      <c r="AP49" s="125"/>
      <c r="AQ49" s="125">
        <v>33</v>
      </c>
      <c r="AR49" s="125">
        <v>5</v>
      </c>
      <c r="AS49" s="125">
        <v>33</v>
      </c>
      <c r="AT49" s="125">
        <v>5</v>
      </c>
      <c r="AU49" s="125">
        <v>33</v>
      </c>
      <c r="AV49" s="125">
        <v>5</v>
      </c>
      <c r="AW49" s="125">
        <v>33</v>
      </c>
      <c r="AX49" s="125"/>
      <c r="AY49" s="125">
        <v>45</v>
      </c>
    </row>
    <row r="50" spans="1:52" x14ac:dyDescent="0.2">
      <c r="A50" s="125"/>
      <c r="B50" s="179" t="s">
        <v>347</v>
      </c>
      <c r="C50" s="125"/>
      <c r="D50" s="125">
        <f>D44-D47</f>
        <v>1809.5347493372726</v>
      </c>
      <c r="E50" s="125">
        <f t="shared" ref="E50:AY50" si="15">E44-E47</f>
        <v>0</v>
      </c>
      <c r="F50" s="125">
        <f t="shared" si="15"/>
        <v>613.09724811284377</v>
      </c>
      <c r="G50" s="125">
        <f t="shared" si="15"/>
        <v>981.54862405642189</v>
      </c>
      <c r="H50" s="125">
        <f t="shared" si="15"/>
        <v>0</v>
      </c>
      <c r="I50" s="125">
        <f t="shared" si="15"/>
        <v>831.54862405642189</v>
      </c>
      <c r="J50" s="125">
        <f t="shared" si="15"/>
        <v>0</v>
      </c>
      <c r="K50" s="125">
        <f t="shared" si="15"/>
        <v>831.54862405642189</v>
      </c>
      <c r="L50" s="125">
        <f t="shared" si="15"/>
        <v>0</v>
      </c>
      <c r="M50" s="125">
        <f t="shared" si="15"/>
        <v>831.54862405642189</v>
      </c>
      <c r="N50" s="125">
        <f t="shared" si="15"/>
        <v>0</v>
      </c>
      <c r="O50" s="125">
        <f t="shared" si="15"/>
        <v>831.54862405642189</v>
      </c>
      <c r="P50" s="125">
        <f t="shared" si="15"/>
        <v>0</v>
      </c>
      <c r="Q50" s="125">
        <f t="shared" si="15"/>
        <v>613.09724811284377</v>
      </c>
      <c r="R50" s="125">
        <f t="shared" si="15"/>
        <v>981.54862405642189</v>
      </c>
      <c r="S50" s="125">
        <f t="shared" si="15"/>
        <v>0</v>
      </c>
      <c r="T50" s="125">
        <f t="shared" si="15"/>
        <v>0</v>
      </c>
      <c r="U50" s="125">
        <f t="shared" si="15"/>
        <v>613.09724811284377</v>
      </c>
      <c r="V50" s="125">
        <f t="shared" si="15"/>
        <v>981.54862405642189</v>
      </c>
      <c r="W50" s="125">
        <f t="shared" si="15"/>
        <v>0</v>
      </c>
      <c r="X50" s="125">
        <f t="shared" si="15"/>
        <v>0</v>
      </c>
      <c r="Y50" s="125">
        <f t="shared" si="15"/>
        <v>613.09724811284377</v>
      </c>
      <c r="Z50" s="125">
        <f t="shared" si="15"/>
        <v>981.54862405642189</v>
      </c>
      <c r="AA50" s="125">
        <f t="shared" si="15"/>
        <v>0</v>
      </c>
      <c r="AB50" s="125">
        <f t="shared" si="15"/>
        <v>831.54862405642189</v>
      </c>
      <c r="AC50" s="125">
        <f t="shared" si="15"/>
        <v>0</v>
      </c>
      <c r="AD50" s="125">
        <f t="shared" si="15"/>
        <v>831.54862405642189</v>
      </c>
      <c r="AE50" s="125">
        <f t="shared" si="15"/>
        <v>0</v>
      </c>
      <c r="AF50" s="125">
        <f t="shared" si="15"/>
        <v>831.54862405642189</v>
      </c>
      <c r="AG50" s="125">
        <f t="shared" si="15"/>
        <v>0</v>
      </c>
      <c r="AH50" s="125">
        <f t="shared" si="15"/>
        <v>831.54862405642189</v>
      </c>
      <c r="AI50" s="125">
        <f t="shared" si="15"/>
        <v>0</v>
      </c>
      <c r="AJ50" s="125">
        <f t="shared" si="15"/>
        <v>831.54862405642189</v>
      </c>
      <c r="AK50" s="125">
        <f t="shared" si="15"/>
        <v>0</v>
      </c>
      <c r="AL50" s="125">
        <f t="shared" si="15"/>
        <v>613.09724811284377</v>
      </c>
      <c r="AM50" s="125">
        <f t="shared" si="15"/>
        <v>981.54862405642189</v>
      </c>
      <c r="AN50" s="125">
        <f t="shared" si="15"/>
        <v>0</v>
      </c>
      <c r="AO50" s="125">
        <f t="shared" si="15"/>
        <v>613.09724811284377</v>
      </c>
      <c r="AP50" s="125">
        <f t="shared" si="15"/>
        <v>981.54862405642189</v>
      </c>
      <c r="AQ50" s="125">
        <f t="shared" si="15"/>
        <v>0</v>
      </c>
      <c r="AR50" s="125">
        <f t="shared" si="15"/>
        <v>831.54862405642189</v>
      </c>
      <c r="AS50" s="125">
        <f t="shared" si="15"/>
        <v>0</v>
      </c>
      <c r="AT50" s="125">
        <f t="shared" si="15"/>
        <v>831.54862405642189</v>
      </c>
      <c r="AU50" s="125">
        <f t="shared" si="15"/>
        <v>0</v>
      </c>
      <c r="AV50" s="125">
        <f t="shared" si="15"/>
        <v>831.54862405642189</v>
      </c>
      <c r="AW50" s="125">
        <f t="shared" si="15"/>
        <v>0</v>
      </c>
      <c r="AX50" s="125">
        <f t="shared" si="15"/>
        <v>0</v>
      </c>
      <c r="AY50" s="125">
        <f t="shared" si="15"/>
        <v>613.09724811284377</v>
      </c>
    </row>
    <row r="51" spans="1:52" x14ac:dyDescent="0.2">
      <c r="A51" s="125"/>
      <c r="B51" s="179" t="s">
        <v>348</v>
      </c>
      <c r="C51" s="125"/>
      <c r="D51" s="125">
        <f>D45-D48</f>
        <v>0</v>
      </c>
      <c r="E51" s="125">
        <f t="shared" ref="E51:AY51" si="16">E45-E48</f>
        <v>0</v>
      </c>
      <c r="F51" s="125">
        <f t="shared" si="16"/>
        <v>0</v>
      </c>
      <c r="G51" s="125">
        <f t="shared" si="16"/>
        <v>0</v>
      </c>
      <c r="H51" s="125">
        <f t="shared" si="16"/>
        <v>0</v>
      </c>
      <c r="I51" s="125">
        <f t="shared" si="16"/>
        <v>0</v>
      </c>
      <c r="J51" s="125">
        <f t="shared" si="16"/>
        <v>0</v>
      </c>
      <c r="K51" s="125">
        <f t="shared" si="16"/>
        <v>0</v>
      </c>
      <c r="L51" s="125">
        <f t="shared" si="16"/>
        <v>0</v>
      </c>
      <c r="M51" s="125">
        <f t="shared" si="16"/>
        <v>0</v>
      </c>
      <c r="N51" s="125">
        <f t="shared" si="16"/>
        <v>0</v>
      </c>
      <c r="O51" s="125">
        <f t="shared" si="16"/>
        <v>0</v>
      </c>
      <c r="P51" s="125">
        <f t="shared" si="16"/>
        <v>0</v>
      </c>
      <c r="Q51" s="125">
        <f t="shared" si="16"/>
        <v>0</v>
      </c>
      <c r="R51" s="125">
        <f t="shared" si="16"/>
        <v>0</v>
      </c>
      <c r="S51" s="125">
        <f t="shared" si="16"/>
        <v>0</v>
      </c>
      <c r="T51" s="125">
        <f t="shared" si="16"/>
        <v>0</v>
      </c>
      <c r="U51" s="125">
        <f t="shared" si="16"/>
        <v>0</v>
      </c>
      <c r="V51" s="125">
        <f t="shared" si="16"/>
        <v>0</v>
      </c>
      <c r="W51" s="125">
        <f t="shared" si="16"/>
        <v>0</v>
      </c>
      <c r="X51" s="125">
        <f t="shared" si="16"/>
        <v>0</v>
      </c>
      <c r="Y51" s="125">
        <f t="shared" si="16"/>
        <v>0</v>
      </c>
      <c r="Z51" s="125">
        <f t="shared" si="16"/>
        <v>0</v>
      </c>
      <c r="AA51" s="125">
        <f t="shared" si="16"/>
        <v>0</v>
      </c>
      <c r="AB51" s="125">
        <f t="shared" si="16"/>
        <v>0</v>
      </c>
      <c r="AC51" s="125">
        <f t="shared" si="16"/>
        <v>0</v>
      </c>
      <c r="AD51" s="125">
        <f t="shared" si="16"/>
        <v>0</v>
      </c>
      <c r="AE51" s="125">
        <f t="shared" si="16"/>
        <v>0</v>
      </c>
      <c r="AF51" s="125">
        <f t="shared" si="16"/>
        <v>0</v>
      </c>
      <c r="AG51" s="125">
        <f t="shared" si="16"/>
        <v>0</v>
      </c>
      <c r="AH51" s="125">
        <f t="shared" si="16"/>
        <v>0</v>
      </c>
      <c r="AI51" s="125">
        <f t="shared" si="16"/>
        <v>0</v>
      </c>
      <c r="AJ51" s="125">
        <f t="shared" si="16"/>
        <v>0</v>
      </c>
      <c r="AK51" s="125">
        <f t="shared" si="16"/>
        <v>0</v>
      </c>
      <c r="AL51" s="125">
        <f t="shared" si="16"/>
        <v>0</v>
      </c>
      <c r="AM51" s="125">
        <f t="shared" si="16"/>
        <v>0</v>
      </c>
      <c r="AN51" s="125">
        <f t="shared" si="16"/>
        <v>0</v>
      </c>
      <c r="AO51" s="125">
        <f t="shared" si="16"/>
        <v>0</v>
      </c>
      <c r="AP51" s="125">
        <f t="shared" si="16"/>
        <v>0</v>
      </c>
      <c r="AQ51" s="125">
        <f t="shared" si="16"/>
        <v>0</v>
      </c>
      <c r="AR51" s="125">
        <f t="shared" si="16"/>
        <v>0</v>
      </c>
      <c r="AS51" s="125">
        <f t="shared" si="16"/>
        <v>0</v>
      </c>
      <c r="AT51" s="125">
        <f t="shared" si="16"/>
        <v>0</v>
      </c>
      <c r="AU51" s="125">
        <f t="shared" si="16"/>
        <v>0</v>
      </c>
      <c r="AV51" s="125">
        <f t="shared" si="16"/>
        <v>0</v>
      </c>
      <c r="AW51" s="125">
        <f t="shared" si="16"/>
        <v>0</v>
      </c>
      <c r="AX51" s="125">
        <f t="shared" si="16"/>
        <v>0</v>
      </c>
      <c r="AY51" s="125">
        <f t="shared" si="16"/>
        <v>0</v>
      </c>
    </row>
    <row r="52" spans="1:52" x14ac:dyDescent="0.2">
      <c r="A52" s="125"/>
      <c r="B52" s="179" t="s">
        <v>349</v>
      </c>
      <c r="C52" s="125"/>
      <c r="D52" s="125">
        <v>3</v>
      </c>
      <c r="E52" s="125">
        <v>1</v>
      </c>
      <c r="F52" s="125">
        <v>1</v>
      </c>
      <c r="G52" s="125">
        <v>1</v>
      </c>
      <c r="H52" s="125">
        <v>2</v>
      </c>
      <c r="I52" s="125">
        <v>1</v>
      </c>
      <c r="J52" s="125">
        <v>1</v>
      </c>
      <c r="K52" s="125">
        <v>2</v>
      </c>
      <c r="L52" s="125">
        <v>1</v>
      </c>
      <c r="M52" s="125">
        <v>3</v>
      </c>
      <c r="N52" s="125">
        <v>2</v>
      </c>
      <c r="O52" s="125">
        <v>1</v>
      </c>
      <c r="P52" s="125">
        <v>1</v>
      </c>
      <c r="Q52" s="125">
        <v>1</v>
      </c>
      <c r="R52" s="125">
        <v>1</v>
      </c>
      <c r="S52" s="125">
        <v>3</v>
      </c>
      <c r="T52" s="125">
        <v>1</v>
      </c>
      <c r="U52" s="125">
        <v>2</v>
      </c>
      <c r="V52" s="125">
        <v>2</v>
      </c>
      <c r="W52" s="125">
        <v>2</v>
      </c>
      <c r="X52" s="125">
        <v>2</v>
      </c>
      <c r="Y52" s="125">
        <v>2</v>
      </c>
      <c r="Z52" s="125">
        <v>1</v>
      </c>
      <c r="AA52" s="125">
        <v>3</v>
      </c>
      <c r="AB52" s="125">
        <v>1</v>
      </c>
      <c r="AC52" s="125">
        <v>1</v>
      </c>
      <c r="AD52" s="125">
        <v>1</v>
      </c>
      <c r="AE52" s="125">
        <v>2</v>
      </c>
      <c r="AF52" s="125">
        <v>1</v>
      </c>
      <c r="AG52" s="125">
        <v>1</v>
      </c>
      <c r="AH52" s="125">
        <v>3</v>
      </c>
      <c r="AI52" s="125">
        <v>2</v>
      </c>
      <c r="AJ52" s="125">
        <v>1</v>
      </c>
      <c r="AK52" s="125">
        <v>2</v>
      </c>
      <c r="AL52" s="125">
        <v>1</v>
      </c>
      <c r="AM52" s="125">
        <v>1</v>
      </c>
      <c r="AN52" s="125">
        <v>2</v>
      </c>
      <c r="AO52" s="125">
        <v>1</v>
      </c>
      <c r="AP52" s="125">
        <v>1</v>
      </c>
      <c r="AQ52" s="125">
        <v>1</v>
      </c>
      <c r="AR52" s="125">
        <v>1</v>
      </c>
      <c r="AS52" s="125">
        <v>1</v>
      </c>
      <c r="AT52" s="125">
        <v>2</v>
      </c>
      <c r="AU52" s="125">
        <v>2</v>
      </c>
      <c r="AV52" s="125">
        <v>3</v>
      </c>
      <c r="AW52" s="125">
        <v>1</v>
      </c>
      <c r="AX52" s="125">
        <v>2</v>
      </c>
      <c r="AY52" s="125">
        <v>1</v>
      </c>
    </row>
    <row r="53" spans="1:52" x14ac:dyDescent="0.2">
      <c r="A53" s="125"/>
      <c r="B53" s="190" t="s">
        <v>350</v>
      </c>
      <c r="C53" s="125"/>
      <c r="D53" s="125">
        <v>0</v>
      </c>
      <c r="E53" s="125">
        <v>0</v>
      </c>
      <c r="F53" s="125">
        <v>801900</v>
      </c>
      <c r="G53" s="125">
        <v>0</v>
      </c>
      <c r="H53" s="125">
        <v>588060</v>
      </c>
      <c r="I53" s="125">
        <v>89100</v>
      </c>
      <c r="J53" s="125">
        <v>588060</v>
      </c>
      <c r="K53" s="125">
        <v>89100</v>
      </c>
      <c r="L53" s="125">
        <v>588060</v>
      </c>
      <c r="M53" s="125">
        <v>89100</v>
      </c>
      <c r="N53" s="125">
        <v>588060</v>
      </c>
      <c r="O53" s="125">
        <v>89100</v>
      </c>
      <c r="P53" s="125">
        <v>0</v>
      </c>
      <c r="Q53" s="125">
        <v>801900</v>
      </c>
      <c r="R53" s="125">
        <v>0</v>
      </c>
      <c r="S53" s="125">
        <v>588060</v>
      </c>
      <c r="T53" s="125">
        <v>0</v>
      </c>
      <c r="U53" s="125">
        <v>801900</v>
      </c>
      <c r="V53" s="125">
        <v>0</v>
      </c>
      <c r="W53" s="125">
        <v>588060</v>
      </c>
      <c r="X53" s="125">
        <v>0</v>
      </c>
      <c r="Y53" s="125">
        <v>801900</v>
      </c>
      <c r="Z53" s="125">
        <v>0</v>
      </c>
      <c r="AA53" s="125">
        <v>588060</v>
      </c>
      <c r="AB53" s="125">
        <v>89100</v>
      </c>
      <c r="AC53" s="125">
        <v>588060</v>
      </c>
      <c r="AD53" s="125">
        <v>89100</v>
      </c>
      <c r="AE53" s="125">
        <v>588060</v>
      </c>
      <c r="AF53" s="125">
        <v>89100</v>
      </c>
      <c r="AG53" s="125">
        <v>588060</v>
      </c>
      <c r="AH53" s="125">
        <v>89100</v>
      </c>
      <c r="AI53" s="125">
        <v>588060</v>
      </c>
      <c r="AJ53" s="125">
        <v>89100</v>
      </c>
      <c r="AK53" s="125">
        <v>0</v>
      </c>
      <c r="AL53" s="125">
        <v>801900</v>
      </c>
      <c r="AM53" s="125">
        <v>0</v>
      </c>
      <c r="AN53" s="125">
        <v>0</v>
      </c>
      <c r="AO53" s="125">
        <v>801900</v>
      </c>
      <c r="AP53" s="125">
        <v>0</v>
      </c>
      <c r="AQ53" s="125">
        <v>588060</v>
      </c>
      <c r="AR53" s="125">
        <v>89100</v>
      </c>
      <c r="AS53" s="125">
        <v>588060</v>
      </c>
      <c r="AT53" s="125">
        <v>89100</v>
      </c>
      <c r="AU53" s="125">
        <v>588060</v>
      </c>
      <c r="AV53" s="125">
        <v>89100</v>
      </c>
      <c r="AW53" s="125">
        <v>588060</v>
      </c>
      <c r="AX53" s="125">
        <v>0</v>
      </c>
      <c r="AY53" s="125">
        <v>801900</v>
      </c>
      <c r="AZ53">
        <f>SUM($D$53:$AY$53)</f>
        <v>15503400</v>
      </c>
    </row>
    <row r="54" spans="1:52" x14ac:dyDescent="0.2">
      <c r="A54" s="139"/>
      <c r="B54" s="154" t="s">
        <v>351</v>
      </c>
      <c r="C54" s="139"/>
      <c r="D54" s="139">
        <v>582217.80559926748</v>
      </c>
      <c r="E54" s="139">
        <v>0</v>
      </c>
      <c r="F54" s="139">
        <v>197264.03958030749</v>
      </c>
      <c r="G54" s="139">
        <v>315813.26979015378</v>
      </c>
      <c r="H54" s="139">
        <v>0</v>
      </c>
      <c r="I54" s="139">
        <v>267550.76979015378</v>
      </c>
      <c r="J54" s="139">
        <v>0</v>
      </c>
      <c r="K54" s="139">
        <v>267550.76979015378</v>
      </c>
      <c r="L54" s="139">
        <v>0</v>
      </c>
      <c r="M54" s="139">
        <v>267550.76979015378</v>
      </c>
      <c r="N54" s="139">
        <v>0</v>
      </c>
      <c r="O54" s="139">
        <v>267550.76979015378</v>
      </c>
      <c r="P54" s="139">
        <v>0</v>
      </c>
      <c r="Q54" s="139">
        <v>197264.03958030749</v>
      </c>
      <c r="R54" s="139">
        <v>315813.26979015378</v>
      </c>
      <c r="S54" s="139">
        <v>0</v>
      </c>
      <c r="T54" s="139">
        <v>0</v>
      </c>
      <c r="U54" s="139">
        <v>197264.03958030749</v>
      </c>
      <c r="V54" s="139">
        <v>315813.26979015378</v>
      </c>
      <c r="W54" s="139">
        <v>0</v>
      </c>
      <c r="X54" s="139">
        <v>0</v>
      </c>
      <c r="Y54" s="139">
        <v>197264.03958030749</v>
      </c>
      <c r="Z54" s="139">
        <v>315813.26979015378</v>
      </c>
      <c r="AA54" s="139">
        <v>0</v>
      </c>
      <c r="AB54" s="139">
        <v>267550.76979015378</v>
      </c>
      <c r="AC54" s="139">
        <v>0</v>
      </c>
      <c r="AD54" s="139">
        <v>267550.76979015378</v>
      </c>
      <c r="AE54" s="139">
        <v>0</v>
      </c>
      <c r="AF54" s="139">
        <v>267550.76979015378</v>
      </c>
      <c r="AG54" s="139">
        <v>0</v>
      </c>
      <c r="AH54" s="139">
        <v>267550.76979015378</v>
      </c>
      <c r="AI54" s="139">
        <v>0</v>
      </c>
      <c r="AJ54" s="139">
        <v>267550.76979015378</v>
      </c>
      <c r="AK54" s="139">
        <v>0</v>
      </c>
      <c r="AL54" s="139">
        <v>197264.03958030749</v>
      </c>
      <c r="AM54" s="139">
        <v>315813.26979015378</v>
      </c>
      <c r="AN54" s="139">
        <v>0</v>
      </c>
      <c r="AO54" s="139">
        <v>197264.03958030749</v>
      </c>
      <c r="AP54" s="139">
        <v>315813.26979015378</v>
      </c>
      <c r="AQ54" s="139">
        <v>0</v>
      </c>
      <c r="AR54" s="139">
        <v>267550.76979015378</v>
      </c>
      <c r="AS54" s="139">
        <v>0</v>
      </c>
      <c r="AT54" s="139">
        <v>267550.76979015378</v>
      </c>
      <c r="AU54" s="139">
        <v>0</v>
      </c>
      <c r="AV54" s="139">
        <v>267550.76979015378</v>
      </c>
      <c r="AW54" s="139">
        <v>0</v>
      </c>
      <c r="AX54" s="139">
        <v>0</v>
      </c>
      <c r="AY54" s="139">
        <v>197264.03958030749</v>
      </c>
      <c r="AZ54">
        <f>SUM($D$54:$AY$54)</f>
        <v>7068554.9388841912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4" x14ac:dyDescent="0.2">
      <c r="A1" s="1" t="s">
        <v>284</v>
      </c>
    </row>
    <row r="2" spans="1:54" x14ac:dyDescent="0.2">
      <c r="A2" t="s">
        <v>285</v>
      </c>
      <c r="B2" s="122" t="s">
        <v>22</v>
      </c>
    </row>
    <row r="3" spans="1:54" x14ac:dyDescent="0.2">
      <c r="A3" t="s">
        <v>286</v>
      </c>
      <c r="B3" s="123">
        <v>40000</v>
      </c>
      <c r="C3" s="124"/>
    </row>
    <row r="4" spans="1:54" x14ac:dyDescent="0.2">
      <c r="B4" s="125"/>
      <c r="C4" s="125"/>
    </row>
    <row r="5" spans="1:54" x14ac:dyDescent="0.2">
      <c r="C5" s="9" t="s">
        <v>287</v>
      </c>
    </row>
    <row r="6" spans="1:54" x14ac:dyDescent="0.2">
      <c r="C6" s="126">
        <v>0</v>
      </c>
      <c r="D6" s="126">
        <v>1</v>
      </c>
      <c r="E6" s="126">
        <v>2</v>
      </c>
      <c r="F6" s="126">
        <v>3</v>
      </c>
      <c r="G6" s="126">
        <v>4</v>
      </c>
      <c r="H6" s="126">
        <v>5</v>
      </c>
      <c r="I6" s="126">
        <v>6</v>
      </c>
      <c r="J6" s="126">
        <v>7</v>
      </c>
      <c r="K6" s="126">
        <v>8</v>
      </c>
      <c r="L6" s="126">
        <v>9</v>
      </c>
      <c r="M6" s="126">
        <v>10</v>
      </c>
      <c r="N6" s="126">
        <v>11</v>
      </c>
      <c r="O6" s="126">
        <v>12</v>
      </c>
      <c r="P6" s="126">
        <v>13</v>
      </c>
      <c r="Q6" s="126">
        <v>14</v>
      </c>
      <c r="R6" s="126">
        <v>15</v>
      </c>
      <c r="S6" s="126">
        <v>16</v>
      </c>
      <c r="T6" s="126">
        <v>17</v>
      </c>
      <c r="U6" s="126">
        <v>18</v>
      </c>
      <c r="V6" s="126">
        <v>19</v>
      </c>
      <c r="W6" s="126">
        <v>20</v>
      </c>
      <c r="X6" s="126">
        <v>21</v>
      </c>
      <c r="Y6" s="126">
        <v>22</v>
      </c>
      <c r="Z6" s="126">
        <v>23</v>
      </c>
      <c r="AA6" s="126">
        <v>24</v>
      </c>
      <c r="AB6" s="126">
        <v>25</v>
      </c>
      <c r="AC6" s="126">
        <v>26</v>
      </c>
      <c r="AD6" s="126">
        <v>27</v>
      </c>
      <c r="AE6" s="126">
        <v>28</v>
      </c>
      <c r="AF6" s="126">
        <v>29</v>
      </c>
      <c r="AG6" s="126">
        <v>30</v>
      </c>
      <c r="AH6" s="126">
        <v>31</v>
      </c>
      <c r="AI6" s="126">
        <v>32</v>
      </c>
      <c r="AJ6" s="126">
        <v>33</v>
      </c>
      <c r="AK6" s="126">
        <v>34</v>
      </c>
      <c r="AL6" s="126">
        <v>35</v>
      </c>
      <c r="AM6" s="126">
        <v>36</v>
      </c>
      <c r="AN6" s="126">
        <v>37</v>
      </c>
      <c r="AO6" s="126">
        <v>38</v>
      </c>
      <c r="AP6" s="126">
        <v>39</v>
      </c>
      <c r="AQ6" s="126">
        <v>40</v>
      </c>
      <c r="AR6" s="126">
        <v>41</v>
      </c>
      <c r="AS6" s="126">
        <v>42</v>
      </c>
      <c r="AT6" s="126">
        <v>43</v>
      </c>
      <c r="AU6" s="126">
        <v>44</v>
      </c>
      <c r="AV6" s="126">
        <v>45</v>
      </c>
      <c r="AW6" s="126">
        <v>46</v>
      </c>
      <c r="AX6" s="126">
        <v>47</v>
      </c>
      <c r="AY6" s="126">
        <v>48</v>
      </c>
    </row>
    <row r="7" spans="1:54" x14ac:dyDescent="0.2">
      <c r="B7" s="125"/>
      <c r="C7" s="127" t="s">
        <v>288</v>
      </c>
      <c r="D7" s="126" t="s">
        <v>289</v>
      </c>
      <c r="E7" s="126" t="s">
        <v>289</v>
      </c>
      <c r="F7" s="126" t="s">
        <v>289</v>
      </c>
      <c r="G7" s="126" t="s">
        <v>289</v>
      </c>
      <c r="H7" s="126" t="s">
        <v>289</v>
      </c>
      <c r="I7" s="126" t="s">
        <v>289</v>
      </c>
      <c r="J7" s="126" t="s">
        <v>289</v>
      </c>
      <c r="K7" s="126" t="s">
        <v>289</v>
      </c>
      <c r="L7" s="126" t="s">
        <v>289</v>
      </c>
      <c r="M7" s="126" t="s">
        <v>289</v>
      </c>
      <c r="N7" s="126" t="s">
        <v>289</v>
      </c>
      <c r="O7" s="126" t="s">
        <v>289</v>
      </c>
      <c r="P7" s="126" t="s">
        <v>289</v>
      </c>
      <c r="Q7" s="126" t="s">
        <v>289</v>
      </c>
      <c r="R7" s="126" t="s">
        <v>289</v>
      </c>
      <c r="S7" s="126" t="s">
        <v>289</v>
      </c>
      <c r="T7" s="126" t="s">
        <v>289</v>
      </c>
      <c r="U7" s="126" t="s">
        <v>289</v>
      </c>
      <c r="V7" s="126" t="s">
        <v>289</v>
      </c>
      <c r="W7" s="126" t="s">
        <v>289</v>
      </c>
      <c r="X7" s="126" t="s">
        <v>289</v>
      </c>
      <c r="Y7" s="126" t="s">
        <v>289</v>
      </c>
      <c r="Z7" s="126" t="s">
        <v>289</v>
      </c>
      <c r="AA7" s="126" t="s">
        <v>289</v>
      </c>
      <c r="AB7" s="126" t="s">
        <v>289</v>
      </c>
      <c r="AC7" s="126" t="s">
        <v>289</v>
      </c>
      <c r="AD7" s="126" t="s">
        <v>289</v>
      </c>
      <c r="AE7" s="126" t="s">
        <v>289</v>
      </c>
      <c r="AF7" s="126" t="s">
        <v>289</v>
      </c>
      <c r="AG7" s="126" t="s">
        <v>289</v>
      </c>
      <c r="AH7" s="126" t="s">
        <v>289</v>
      </c>
      <c r="AI7" s="126" t="s">
        <v>289</v>
      </c>
      <c r="AJ7" s="126" t="s">
        <v>289</v>
      </c>
      <c r="AK7" s="126" t="s">
        <v>289</v>
      </c>
      <c r="AL7" s="126" t="s">
        <v>289</v>
      </c>
      <c r="AM7" s="126" t="s">
        <v>289</v>
      </c>
      <c r="AN7" s="126" t="s">
        <v>289</v>
      </c>
      <c r="AO7" s="126" t="s">
        <v>289</v>
      </c>
      <c r="AP7" s="126" t="s">
        <v>289</v>
      </c>
      <c r="AQ7" s="126" t="s">
        <v>289</v>
      </c>
      <c r="AR7" s="126" t="s">
        <v>289</v>
      </c>
      <c r="AS7" s="126" t="s">
        <v>289</v>
      </c>
      <c r="AT7" s="126" t="s">
        <v>289</v>
      </c>
      <c r="AU7" s="126" t="s">
        <v>289</v>
      </c>
      <c r="AV7" s="126" t="s">
        <v>289</v>
      </c>
      <c r="AW7" s="126" t="s">
        <v>289</v>
      </c>
      <c r="AX7" s="126" t="s">
        <v>289</v>
      </c>
      <c r="AY7" s="9" t="s">
        <v>290</v>
      </c>
      <c r="AZ7" s="9" t="s">
        <v>291</v>
      </c>
    </row>
    <row r="8" spans="1:54" x14ac:dyDescent="0.2">
      <c r="A8" s="1" t="s">
        <v>292</v>
      </c>
      <c r="B8" s="128"/>
      <c r="AY8" s="125"/>
    </row>
    <row r="9" spans="1:54" x14ac:dyDescent="0.2">
      <c r="A9" s="129" t="s">
        <v>125</v>
      </c>
      <c r="B9" s="130">
        <v>1</v>
      </c>
      <c r="C9" s="131" t="s">
        <v>293</v>
      </c>
      <c r="D9" s="131">
        <v>1791.8884404187716</v>
      </c>
      <c r="E9" s="131">
        <v>1791.8884404187716</v>
      </c>
      <c r="F9" s="131">
        <v>1791.8884404187716</v>
      </c>
      <c r="G9" s="131">
        <v>1791.8884404187716</v>
      </c>
      <c r="H9" s="131">
        <v>1791.8884404187716</v>
      </c>
      <c r="I9" s="131">
        <v>1791.8884404187716</v>
      </c>
      <c r="J9" s="131">
        <v>1791.8884404187716</v>
      </c>
      <c r="K9" s="131">
        <v>1791.8884404187716</v>
      </c>
      <c r="L9" s="131">
        <v>1791.8884404187716</v>
      </c>
      <c r="M9" s="131">
        <v>1791.8884404187716</v>
      </c>
      <c r="N9" s="131">
        <v>1791.8884404187716</v>
      </c>
      <c r="O9" s="131">
        <v>1791.8884404187716</v>
      </c>
      <c r="P9" s="131">
        <v>1791.8884404187716</v>
      </c>
      <c r="Q9" s="131">
        <v>1791.8884404187716</v>
      </c>
      <c r="R9" s="131">
        <v>1791.8884404187716</v>
      </c>
      <c r="S9" s="131">
        <v>1791.8884404187716</v>
      </c>
      <c r="T9" s="131">
        <v>1791.8884404187716</v>
      </c>
      <c r="U9" s="131">
        <v>1791.8884404187716</v>
      </c>
      <c r="V9" s="131">
        <v>1791.8884404187716</v>
      </c>
      <c r="W9" s="131">
        <v>1791.8884404187716</v>
      </c>
      <c r="X9" s="131">
        <v>1791.8884404187716</v>
      </c>
      <c r="Y9" s="131">
        <v>1791.8884404187716</v>
      </c>
      <c r="Z9" s="131">
        <v>1791.8884404187716</v>
      </c>
      <c r="AA9" s="131">
        <v>1791.8884404187716</v>
      </c>
      <c r="AB9" s="131">
        <v>1791.8884404187716</v>
      </c>
      <c r="AC9" s="131">
        <v>1791.8884404187716</v>
      </c>
      <c r="AD9" s="131">
        <v>1791.8884404187716</v>
      </c>
      <c r="AE9" s="131">
        <v>1791.8884404187716</v>
      </c>
      <c r="AF9" s="131">
        <v>1791.8884404187716</v>
      </c>
      <c r="AG9" s="131">
        <v>1791.8884404187716</v>
      </c>
      <c r="AH9" s="131">
        <v>1791.8884404187716</v>
      </c>
      <c r="AI9" s="131">
        <v>1791.8884404187716</v>
      </c>
      <c r="AJ9" s="131">
        <v>1791.8884404187716</v>
      </c>
      <c r="AK9" s="131">
        <v>1791.8884404187716</v>
      </c>
      <c r="AL9" s="131">
        <v>1791.8884404187716</v>
      </c>
      <c r="AM9" s="131">
        <v>1791.8884404187716</v>
      </c>
      <c r="AN9" s="131">
        <v>1791.8884404187716</v>
      </c>
      <c r="AO9" s="131">
        <v>1791.8884404187716</v>
      </c>
      <c r="AP9" s="131">
        <v>1791.8884404187716</v>
      </c>
      <c r="AQ9" s="131">
        <v>1791.8884404187716</v>
      </c>
      <c r="AR9" s="131">
        <v>1791.8884404187716</v>
      </c>
      <c r="AS9" s="131">
        <v>1791.8884404187716</v>
      </c>
      <c r="AT9" s="131">
        <v>1791.8884404187716</v>
      </c>
      <c r="AU9" s="131">
        <v>1791.8884404187716</v>
      </c>
      <c r="AV9" s="131">
        <v>1791.8884404187716</v>
      </c>
      <c r="AW9" s="131">
        <v>1791.8884404187716</v>
      </c>
      <c r="AX9" s="131">
        <v>1791.8884404187716</v>
      </c>
      <c r="AY9" s="131">
        <v>1791.8884404187716</v>
      </c>
    </row>
    <row r="10" spans="1:54" x14ac:dyDescent="0.2">
      <c r="A10" s="132" t="s">
        <v>133</v>
      </c>
      <c r="B10" s="133">
        <v>1</v>
      </c>
      <c r="C10" s="121" t="s">
        <v>293</v>
      </c>
      <c r="D10">
        <v>525</v>
      </c>
      <c r="E10">
        <v>806.30487934069504</v>
      </c>
      <c r="F10">
        <v>0</v>
      </c>
      <c r="G10">
        <v>874.73030863507029</v>
      </c>
      <c r="H10">
        <v>0</v>
      </c>
      <c r="I10">
        <v>437.36515431753514</v>
      </c>
      <c r="J10">
        <v>437.36515431753514</v>
      </c>
      <c r="K10">
        <v>437.36515431753514</v>
      </c>
      <c r="L10">
        <v>437.36515431753514</v>
      </c>
      <c r="M10">
        <v>437.36515431753514</v>
      </c>
      <c r="N10">
        <v>437.36515431753514</v>
      </c>
      <c r="O10">
        <v>437.36515431753514</v>
      </c>
      <c r="P10">
        <v>0</v>
      </c>
      <c r="Q10">
        <v>0</v>
      </c>
      <c r="R10">
        <v>240</v>
      </c>
      <c r="S10">
        <v>437.36515431753514</v>
      </c>
      <c r="T10">
        <v>437.36515431753514</v>
      </c>
      <c r="U10">
        <v>0</v>
      </c>
      <c r="V10">
        <v>874.73030863507029</v>
      </c>
      <c r="W10">
        <v>437.36515431753514</v>
      </c>
      <c r="X10">
        <v>437.36515431753514</v>
      </c>
      <c r="Y10">
        <v>0</v>
      </c>
      <c r="Z10">
        <v>240</v>
      </c>
      <c r="AA10">
        <v>0</v>
      </c>
      <c r="AB10">
        <v>437.36515431753514</v>
      </c>
      <c r="AC10">
        <v>437.36515431753514</v>
      </c>
      <c r="AD10">
        <v>437.36515431753514</v>
      </c>
      <c r="AE10">
        <v>0</v>
      </c>
      <c r="AF10">
        <v>437.36515431753514</v>
      </c>
      <c r="AG10">
        <v>437.36515431753514</v>
      </c>
      <c r="AH10">
        <v>437.36515431753514</v>
      </c>
      <c r="AI10">
        <v>437.36515431753514</v>
      </c>
      <c r="AJ10">
        <v>437.36515431753514</v>
      </c>
      <c r="AK10">
        <v>437.36515431753514</v>
      </c>
      <c r="AL10">
        <v>0</v>
      </c>
      <c r="AM10">
        <v>240</v>
      </c>
      <c r="AN10">
        <v>437.36515431753514</v>
      </c>
      <c r="AO10">
        <v>0</v>
      </c>
      <c r="AP10">
        <v>874.73030863507029</v>
      </c>
      <c r="AQ10">
        <v>0</v>
      </c>
      <c r="AR10">
        <v>437.36515431753514</v>
      </c>
      <c r="AS10">
        <v>437.36515431753514</v>
      </c>
      <c r="AT10">
        <v>437.36515431753514</v>
      </c>
      <c r="AU10">
        <v>437.36515431753514</v>
      </c>
      <c r="AV10">
        <v>437.36515431753514</v>
      </c>
      <c r="AW10">
        <v>437.36515431753514</v>
      </c>
      <c r="AX10">
        <v>437.36515431753514</v>
      </c>
      <c r="AY10">
        <v>0</v>
      </c>
      <c r="AZ10">
        <v>240</v>
      </c>
    </row>
    <row r="11" spans="1:54" x14ac:dyDescent="0.2">
      <c r="B11" s="133">
        <v>2</v>
      </c>
      <c r="C11" s="121" t="s">
        <v>293</v>
      </c>
      <c r="D11">
        <v>180</v>
      </c>
      <c r="E11">
        <v>0</v>
      </c>
      <c r="F11">
        <v>0</v>
      </c>
      <c r="I11">
        <v>0</v>
      </c>
      <c r="K11">
        <v>0</v>
      </c>
      <c r="N11">
        <v>0</v>
      </c>
      <c r="O11">
        <v>0</v>
      </c>
      <c r="Q11">
        <v>437.36515431753514</v>
      </c>
      <c r="R11">
        <v>0</v>
      </c>
      <c r="S11">
        <v>634.73030863507029</v>
      </c>
      <c r="U11">
        <v>0</v>
      </c>
      <c r="V11">
        <v>0</v>
      </c>
      <c r="Y11">
        <v>0</v>
      </c>
      <c r="Z11">
        <v>0</v>
      </c>
      <c r="AA11">
        <v>634.73030863507029</v>
      </c>
      <c r="AB11">
        <v>437.36515431753514</v>
      </c>
      <c r="AC11">
        <v>0</v>
      </c>
      <c r="AF11">
        <v>437.36515431753514</v>
      </c>
      <c r="AI11">
        <v>0</v>
      </c>
      <c r="AL11">
        <v>0</v>
      </c>
      <c r="AN11">
        <v>634.73030863507029</v>
      </c>
      <c r="AO11">
        <v>0</v>
      </c>
      <c r="AR11">
        <v>437.36515431753514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634.73030863507029</v>
      </c>
    </row>
    <row r="12" spans="1:54" x14ac:dyDescent="0.2">
      <c r="B12" s="134">
        <v>3</v>
      </c>
      <c r="C12" s="121" t="s">
        <v>293</v>
      </c>
      <c r="I12">
        <v>0</v>
      </c>
      <c r="J12">
        <v>437.36515431753514</v>
      </c>
      <c r="S12">
        <v>0</v>
      </c>
      <c r="U12">
        <v>0</v>
      </c>
      <c r="Y12">
        <v>0</v>
      </c>
      <c r="AA12">
        <v>0</v>
      </c>
      <c r="AB12">
        <v>0</v>
      </c>
      <c r="AI12">
        <v>0</v>
      </c>
      <c r="AR12">
        <v>0</v>
      </c>
      <c r="AV12">
        <v>0</v>
      </c>
      <c r="AW12">
        <v>0</v>
      </c>
      <c r="BB12">
        <v>0</v>
      </c>
    </row>
    <row r="13" spans="1:54" x14ac:dyDescent="0.2">
      <c r="B13" s="134">
        <v>4</v>
      </c>
      <c r="C13" s="121" t="s">
        <v>293</v>
      </c>
    </row>
    <row r="14" spans="1:54" x14ac:dyDescent="0.2">
      <c r="A14" s="129" t="s">
        <v>134</v>
      </c>
      <c r="B14" s="135">
        <v>1</v>
      </c>
      <c r="C14" s="131" t="s">
        <v>293</v>
      </c>
      <c r="D14" s="131">
        <v>84.057800832886102</v>
      </c>
      <c r="E14" s="131">
        <f t="shared" ref="E14:AZ14" si="0">D$172*SUM(D$122:D$169)</f>
        <v>262.87869325683533</v>
      </c>
      <c r="F14" s="131">
        <f t="shared" si="0"/>
        <v>262.87869325683533</v>
      </c>
      <c r="G14" s="131">
        <f t="shared" si="0"/>
        <v>262.87869325683533</v>
      </c>
      <c r="H14" s="131">
        <f t="shared" si="0"/>
        <v>262.87869325683533</v>
      </c>
      <c r="I14" s="131">
        <f t="shared" si="0"/>
        <v>262.8786932568355</v>
      </c>
      <c r="J14" s="131">
        <f t="shared" si="0"/>
        <v>302.10324912252997</v>
      </c>
      <c r="K14" s="131">
        <f t="shared" si="0"/>
        <v>319.96214690425728</v>
      </c>
      <c r="L14" s="131">
        <f t="shared" si="0"/>
        <v>358.79452402424988</v>
      </c>
      <c r="M14" s="131">
        <f t="shared" si="0"/>
        <v>365.80537972862209</v>
      </c>
      <c r="N14" s="131">
        <f t="shared" si="0"/>
        <v>262.8786932568355</v>
      </c>
      <c r="O14" s="131">
        <f t="shared" si="0"/>
        <v>262.8786932568355</v>
      </c>
      <c r="P14" s="131">
        <f t="shared" si="0"/>
        <v>262.8786932568355</v>
      </c>
      <c r="Q14" s="131">
        <f t="shared" si="0"/>
        <v>262.8786932568355</v>
      </c>
      <c r="R14" s="131">
        <f t="shared" si="0"/>
        <v>297.39762677656529</v>
      </c>
      <c r="S14" s="131">
        <f t="shared" si="0"/>
        <v>273.5565765813937</v>
      </c>
      <c r="T14" s="131">
        <f t="shared" si="0"/>
        <v>271.36628320977462</v>
      </c>
      <c r="U14" s="131">
        <f t="shared" si="0"/>
        <v>262.8786932568355</v>
      </c>
      <c r="V14" s="131">
        <f t="shared" si="0"/>
        <v>262.8786932568355</v>
      </c>
      <c r="W14" s="131">
        <f t="shared" si="0"/>
        <v>262.8786932568355</v>
      </c>
      <c r="X14" s="131">
        <f t="shared" si="0"/>
        <v>262.8786932568355</v>
      </c>
      <c r="Y14" s="131">
        <f t="shared" si="0"/>
        <v>262.8786932568355</v>
      </c>
      <c r="Z14" s="131">
        <f t="shared" si="0"/>
        <v>262.8786932568355</v>
      </c>
      <c r="AA14" s="131">
        <f t="shared" si="0"/>
        <v>262.8786932568355</v>
      </c>
      <c r="AB14" s="131">
        <f t="shared" si="0"/>
        <v>262.8786932568355</v>
      </c>
      <c r="AC14" s="131">
        <f t="shared" si="0"/>
        <v>262.8786932568355</v>
      </c>
      <c r="AD14" s="131">
        <f t="shared" si="0"/>
        <v>262.8786932568355</v>
      </c>
      <c r="AE14" s="131">
        <f t="shared" si="0"/>
        <v>262.8786932568355</v>
      </c>
      <c r="AF14" s="131">
        <f t="shared" si="0"/>
        <v>262.8786932568355</v>
      </c>
      <c r="AG14" s="131">
        <f t="shared" si="0"/>
        <v>262.8786932568355</v>
      </c>
      <c r="AH14" s="131">
        <f t="shared" si="0"/>
        <v>262.8786932568355</v>
      </c>
      <c r="AI14" s="131">
        <f t="shared" si="0"/>
        <v>262.8786932568355</v>
      </c>
      <c r="AJ14" s="131">
        <f t="shared" si="0"/>
        <v>262.8786932568355</v>
      </c>
      <c r="AK14" s="131">
        <f t="shared" si="0"/>
        <v>262.8786932568355</v>
      </c>
      <c r="AL14" s="131">
        <f t="shared" si="0"/>
        <v>262.8786932568355</v>
      </c>
      <c r="AM14" s="131">
        <f t="shared" si="0"/>
        <v>262.8786932568355</v>
      </c>
      <c r="AN14" s="131">
        <f t="shared" si="0"/>
        <v>262.8786932568355</v>
      </c>
      <c r="AO14" s="131">
        <f t="shared" si="0"/>
        <v>262.8786932568355</v>
      </c>
      <c r="AP14" s="131">
        <f t="shared" si="0"/>
        <v>265.23309969070465</v>
      </c>
      <c r="AQ14" s="131">
        <f t="shared" si="0"/>
        <v>262.8786932568355</v>
      </c>
      <c r="AR14" s="131">
        <f t="shared" si="0"/>
        <v>288.93957199509396</v>
      </c>
      <c r="AS14" s="131">
        <f t="shared" si="0"/>
        <v>288.74086471771454</v>
      </c>
      <c r="AT14" s="131">
        <f t="shared" si="0"/>
        <v>281.9222635819886</v>
      </c>
      <c r="AU14" s="131">
        <f t="shared" si="0"/>
        <v>297.22135061662254</v>
      </c>
      <c r="AV14" s="131">
        <f t="shared" si="0"/>
        <v>310.49134892037273</v>
      </c>
      <c r="AW14" s="131">
        <f t="shared" si="0"/>
        <v>308.95476610015737</v>
      </c>
      <c r="AX14" s="131">
        <f t="shared" si="0"/>
        <v>262.8786932568355</v>
      </c>
      <c r="AY14" s="131">
        <f t="shared" si="0"/>
        <v>262.8786932568355</v>
      </c>
      <c r="AZ14" s="125">
        <f t="shared" si="0"/>
        <v>262.8786932568355</v>
      </c>
      <c r="BA14" s="122">
        <f>SUM($E14:$AZ14)</f>
        <v>13168.364622702458</v>
      </c>
    </row>
    <row r="15" spans="1:54" x14ac:dyDescent="0.2">
      <c r="A15" s="136" t="s">
        <v>123</v>
      </c>
      <c r="B15" s="137">
        <v>1</v>
      </c>
      <c r="C15" s="138" t="s">
        <v>293</v>
      </c>
      <c r="D15" s="138">
        <v>726.24251609767805</v>
      </c>
      <c r="E15" s="138">
        <v>726.24251609767805</v>
      </c>
      <c r="F15" s="138">
        <v>726.24251609767805</v>
      </c>
      <c r="G15" s="138">
        <v>726.24251609767805</v>
      </c>
      <c r="H15" s="138">
        <v>726.24251609767805</v>
      </c>
      <c r="I15" s="138">
        <v>726.24251609767805</v>
      </c>
      <c r="J15" s="138">
        <v>726.24251609767805</v>
      </c>
      <c r="K15" s="138">
        <v>726.24251609767805</v>
      </c>
      <c r="L15" s="138">
        <v>726.24251609767805</v>
      </c>
      <c r="M15" s="138">
        <v>726.24251609767805</v>
      </c>
      <c r="N15" s="138">
        <v>726.24251609767805</v>
      </c>
      <c r="O15" s="138">
        <v>726.24251609767805</v>
      </c>
      <c r="P15" s="138">
        <v>726.24251609767805</v>
      </c>
      <c r="Q15" s="138">
        <v>726.24251609767805</v>
      </c>
      <c r="R15" s="138">
        <v>726.24251609767805</v>
      </c>
      <c r="S15" s="138">
        <v>726.24251609767805</v>
      </c>
      <c r="T15" s="138">
        <v>726.24251609767805</v>
      </c>
      <c r="U15" s="138">
        <v>726.24251609767805</v>
      </c>
      <c r="V15" s="138">
        <v>726.24251609767805</v>
      </c>
      <c r="W15" s="138">
        <v>726.24251609767805</v>
      </c>
      <c r="X15" s="138">
        <v>726.24251609767805</v>
      </c>
      <c r="Y15" s="138">
        <v>726.24251609767805</v>
      </c>
      <c r="Z15" s="138">
        <v>726.24251609767805</v>
      </c>
      <c r="AA15" s="138">
        <v>726.24251609767805</v>
      </c>
      <c r="AB15" s="138">
        <v>726.24251609767805</v>
      </c>
      <c r="AC15" s="138">
        <v>726.24251609767805</v>
      </c>
      <c r="AD15" s="138">
        <v>726.24251609767805</v>
      </c>
      <c r="AE15" s="138">
        <v>726.24251609767805</v>
      </c>
      <c r="AF15" s="138">
        <v>726.24251609767805</v>
      </c>
      <c r="AG15" s="138">
        <v>726.24251609767805</v>
      </c>
      <c r="AH15" s="138">
        <v>726.24251609767805</v>
      </c>
      <c r="AI15" s="138">
        <v>726.24251609767805</v>
      </c>
      <c r="AJ15" s="138">
        <v>726.24251609767805</v>
      </c>
      <c r="AK15" s="138">
        <v>726.24251609767805</v>
      </c>
      <c r="AL15" s="138">
        <v>726.24251609767805</v>
      </c>
      <c r="AM15" s="138">
        <v>726.24251609767805</v>
      </c>
      <c r="AN15" s="138">
        <v>726.24251609767805</v>
      </c>
      <c r="AO15" s="138">
        <v>726.24251609767805</v>
      </c>
      <c r="AP15" s="138">
        <v>726.24251609767805</v>
      </c>
      <c r="AQ15" s="138">
        <v>726.24251609767805</v>
      </c>
      <c r="AR15" s="138">
        <v>726.24251609767805</v>
      </c>
      <c r="AS15" s="138">
        <v>726.24251609767805</v>
      </c>
      <c r="AT15" s="138">
        <v>726.24251609767805</v>
      </c>
      <c r="AU15" s="138">
        <v>726.24251609767805</v>
      </c>
      <c r="AV15" s="138">
        <v>726.24251609767805</v>
      </c>
      <c r="AW15" s="138">
        <v>726.24251609767805</v>
      </c>
      <c r="AX15" s="138">
        <v>726.24251609767805</v>
      </c>
      <c r="AY15" s="138">
        <v>726.24251609767805</v>
      </c>
      <c r="AZ15">
        <v>0</v>
      </c>
    </row>
    <row r="16" spans="1:54" x14ac:dyDescent="0.2">
      <c r="A16" s="125"/>
      <c r="B16" s="133">
        <v>2</v>
      </c>
      <c r="C16" s="124" t="s">
        <v>293</v>
      </c>
      <c r="D16" s="121">
        <v>0</v>
      </c>
      <c r="E16" s="125">
        <v>0</v>
      </c>
      <c r="F16" s="125">
        <v>0</v>
      </c>
      <c r="G16" s="125"/>
      <c r="H16" s="125"/>
      <c r="I16" s="125">
        <v>0</v>
      </c>
      <c r="J16" s="125"/>
      <c r="K16" s="125">
        <v>0</v>
      </c>
      <c r="L16" s="125"/>
      <c r="M16" s="125"/>
      <c r="N16" s="125">
        <v>0</v>
      </c>
      <c r="O16" s="125">
        <v>0</v>
      </c>
      <c r="P16" s="125"/>
      <c r="Q16" s="125">
        <v>0</v>
      </c>
      <c r="R16" s="125">
        <v>0</v>
      </c>
      <c r="S16" s="125">
        <v>0</v>
      </c>
      <c r="T16" s="125"/>
      <c r="U16" s="125">
        <v>0</v>
      </c>
      <c r="V16" s="125">
        <v>0</v>
      </c>
      <c r="W16" s="125"/>
      <c r="X16" s="125"/>
      <c r="Y16" s="125">
        <v>0</v>
      </c>
      <c r="Z16" s="125">
        <v>0</v>
      </c>
      <c r="AA16" s="125">
        <v>0</v>
      </c>
      <c r="AB16" s="125">
        <v>0</v>
      </c>
      <c r="AC16" s="125">
        <v>0</v>
      </c>
      <c r="AD16" s="125"/>
      <c r="AE16" s="125"/>
      <c r="AF16" s="125">
        <v>0</v>
      </c>
      <c r="AG16" s="125"/>
      <c r="AH16" s="125"/>
      <c r="AI16" s="125">
        <v>0</v>
      </c>
      <c r="AJ16" s="125"/>
      <c r="AK16" s="125"/>
      <c r="AL16" s="125">
        <v>0</v>
      </c>
      <c r="AM16" s="125"/>
      <c r="AN16" s="125">
        <v>0</v>
      </c>
      <c r="AO16" s="125">
        <v>0</v>
      </c>
      <c r="AP16" s="125"/>
      <c r="AQ16" s="125"/>
      <c r="AR16" s="125">
        <v>0</v>
      </c>
      <c r="AS16" s="125">
        <v>0</v>
      </c>
      <c r="AT16" s="125">
        <v>0</v>
      </c>
      <c r="AU16" s="125">
        <v>0</v>
      </c>
      <c r="AV16" s="125">
        <v>0</v>
      </c>
      <c r="AW16" s="125">
        <v>0</v>
      </c>
      <c r="AX16" s="125">
        <v>0</v>
      </c>
      <c r="AY16" s="125">
        <v>0</v>
      </c>
      <c r="AZ16">
        <v>0</v>
      </c>
      <c r="BA16">
        <v>0</v>
      </c>
    </row>
    <row r="17" spans="1:54" x14ac:dyDescent="0.2">
      <c r="A17" s="125"/>
      <c r="B17" s="133">
        <v>3</v>
      </c>
      <c r="C17" s="124" t="s">
        <v>293</v>
      </c>
      <c r="D17" s="121"/>
      <c r="E17" s="125"/>
      <c r="F17" s="125"/>
      <c r="G17" s="125"/>
      <c r="H17" s="125"/>
      <c r="I17" s="125">
        <v>0</v>
      </c>
      <c r="J17" s="125">
        <v>0</v>
      </c>
      <c r="K17" s="125"/>
      <c r="L17" s="125"/>
      <c r="M17" s="125"/>
      <c r="N17" s="125"/>
      <c r="O17" s="125"/>
      <c r="P17" s="125"/>
      <c r="Q17" s="125"/>
      <c r="R17" s="125"/>
      <c r="S17" s="125">
        <v>0</v>
      </c>
      <c r="T17" s="125"/>
      <c r="U17" s="125">
        <v>0</v>
      </c>
      <c r="V17" s="125"/>
      <c r="W17" s="125"/>
      <c r="X17" s="125"/>
      <c r="Y17" s="125">
        <v>0</v>
      </c>
      <c r="Z17" s="125"/>
      <c r="AA17" s="125">
        <v>0</v>
      </c>
      <c r="AB17" s="125">
        <v>0</v>
      </c>
      <c r="AC17" s="125"/>
      <c r="AD17" s="125"/>
      <c r="AE17" s="125"/>
      <c r="AF17" s="125"/>
      <c r="AG17" s="125"/>
      <c r="AH17" s="125"/>
      <c r="AI17" s="125">
        <v>0</v>
      </c>
      <c r="AJ17" s="125"/>
      <c r="AK17" s="125"/>
      <c r="AL17" s="125"/>
      <c r="AM17" s="125"/>
      <c r="AN17" s="125"/>
      <c r="AO17" s="125"/>
      <c r="AP17" s="125"/>
      <c r="AQ17" s="125"/>
      <c r="AR17" s="125">
        <v>0</v>
      </c>
      <c r="AS17" s="125"/>
      <c r="AT17" s="125"/>
      <c r="AU17" s="125"/>
      <c r="AV17" s="125">
        <v>0</v>
      </c>
      <c r="AW17" s="125">
        <v>0</v>
      </c>
      <c r="AX17" s="125"/>
      <c r="AY17" s="125"/>
      <c r="BB17">
        <v>0</v>
      </c>
    </row>
    <row r="18" spans="1:54" x14ac:dyDescent="0.2">
      <c r="A18" s="139"/>
      <c r="B18" s="130">
        <v>4</v>
      </c>
      <c r="C18" s="139" t="s">
        <v>293</v>
      </c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39"/>
      <c r="AJ18" s="139"/>
      <c r="AK18" s="139"/>
      <c r="AL18" s="139"/>
      <c r="AM18" s="139"/>
      <c r="AN18" s="139"/>
      <c r="AO18" s="139"/>
      <c r="AP18" s="139"/>
      <c r="AQ18" s="139"/>
      <c r="AR18" s="139"/>
      <c r="AS18" s="139"/>
      <c r="AT18" s="139"/>
      <c r="AU18" s="139"/>
      <c r="AV18" s="139"/>
      <c r="AW18" s="139"/>
      <c r="AX18" s="139"/>
      <c r="AY18" s="139"/>
    </row>
    <row r="20" spans="1:54" x14ac:dyDescent="0.2">
      <c r="A20" s="1" t="s">
        <v>294</v>
      </c>
    </row>
    <row r="21" spans="1:54" x14ac:dyDescent="0.2">
      <c r="A21" s="140" t="s">
        <v>125</v>
      </c>
      <c r="B21" s="137">
        <v>1</v>
      </c>
      <c r="C21" s="138" t="s">
        <v>293</v>
      </c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/>
      <c r="AQ21" s="138"/>
      <c r="AR21" s="138"/>
      <c r="AS21" s="138"/>
      <c r="AT21" s="138"/>
      <c r="AU21" s="138"/>
      <c r="AV21" s="138"/>
      <c r="AW21" s="138"/>
      <c r="AX21" s="138"/>
      <c r="AY21" s="138"/>
    </row>
    <row r="22" spans="1:54" x14ac:dyDescent="0.2">
      <c r="A22" s="124"/>
      <c r="B22" s="134">
        <v>2</v>
      </c>
      <c r="C22" s="125" t="s">
        <v>293</v>
      </c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  <c r="AP22" s="125"/>
      <c r="AQ22" s="125"/>
      <c r="AR22" s="125"/>
      <c r="AS22" s="125"/>
      <c r="AT22" s="125"/>
      <c r="AU22" s="125"/>
      <c r="AV22" s="125"/>
      <c r="AW22" s="125"/>
      <c r="AX22" s="125"/>
      <c r="AY22" s="125"/>
    </row>
    <row r="23" spans="1:54" x14ac:dyDescent="0.2">
      <c r="A23" s="124"/>
      <c r="B23" s="141">
        <v>3</v>
      </c>
      <c r="C23" s="125" t="s">
        <v>293</v>
      </c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</row>
    <row r="24" spans="1:54" x14ac:dyDescent="0.2">
      <c r="A24" s="142"/>
      <c r="B24" s="143">
        <v>4</v>
      </c>
      <c r="C24" s="142" t="s">
        <v>293</v>
      </c>
      <c r="D24" s="139">
        <v>0</v>
      </c>
      <c r="E24" s="139">
        <v>0</v>
      </c>
      <c r="F24" s="139">
        <v>0</v>
      </c>
      <c r="G24" s="139">
        <v>0</v>
      </c>
      <c r="H24" s="139">
        <v>0</v>
      </c>
      <c r="I24" s="139">
        <v>0</v>
      </c>
      <c r="J24" s="139">
        <v>0</v>
      </c>
      <c r="K24" s="139">
        <v>0</v>
      </c>
      <c r="L24" s="139">
        <v>0</v>
      </c>
      <c r="M24" s="139">
        <v>0</v>
      </c>
      <c r="N24" s="139">
        <v>0</v>
      </c>
      <c r="O24" s="139">
        <v>0</v>
      </c>
      <c r="P24" s="139">
        <v>0</v>
      </c>
      <c r="Q24" s="139">
        <v>0</v>
      </c>
      <c r="R24" s="139">
        <v>0</v>
      </c>
      <c r="S24" s="139">
        <v>0</v>
      </c>
      <c r="T24" s="139">
        <v>0</v>
      </c>
      <c r="U24" s="139">
        <v>0</v>
      </c>
      <c r="V24" s="139">
        <v>0</v>
      </c>
      <c r="W24" s="139">
        <v>0</v>
      </c>
      <c r="X24" s="139">
        <v>0</v>
      </c>
      <c r="Y24" s="139">
        <v>0</v>
      </c>
      <c r="Z24" s="139">
        <v>0</v>
      </c>
      <c r="AA24" s="139">
        <v>0</v>
      </c>
      <c r="AB24" s="139">
        <v>0</v>
      </c>
      <c r="AC24" s="139">
        <v>0</v>
      </c>
      <c r="AD24" s="139">
        <v>0</v>
      </c>
      <c r="AE24" s="139">
        <v>0</v>
      </c>
      <c r="AF24" s="139">
        <v>0</v>
      </c>
      <c r="AG24" s="139">
        <v>0</v>
      </c>
      <c r="AH24" s="139">
        <v>0</v>
      </c>
      <c r="AI24" s="139">
        <v>0</v>
      </c>
      <c r="AJ24" s="139">
        <v>0</v>
      </c>
      <c r="AK24" s="139">
        <v>0</v>
      </c>
      <c r="AL24" s="139">
        <v>0</v>
      </c>
      <c r="AM24" s="139">
        <v>0</v>
      </c>
      <c r="AN24" s="139">
        <v>0</v>
      </c>
      <c r="AO24" s="139">
        <v>0</v>
      </c>
      <c r="AP24" s="139">
        <v>0</v>
      </c>
      <c r="AQ24" s="139">
        <v>0</v>
      </c>
      <c r="AR24" s="139">
        <v>0</v>
      </c>
      <c r="AS24" s="139">
        <v>0</v>
      </c>
      <c r="AT24" s="139">
        <v>0</v>
      </c>
      <c r="AU24" s="139">
        <v>0</v>
      </c>
      <c r="AV24" s="139">
        <v>0</v>
      </c>
      <c r="AW24" s="139">
        <v>0</v>
      </c>
      <c r="AX24" s="139">
        <v>0</v>
      </c>
      <c r="AY24" s="139">
        <v>0</v>
      </c>
    </row>
    <row r="25" spans="1:54" x14ac:dyDescent="0.2">
      <c r="A25" s="140" t="s">
        <v>133</v>
      </c>
      <c r="B25" s="137">
        <v>1</v>
      </c>
      <c r="C25" s="124" t="s">
        <v>293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</row>
    <row r="26" spans="1:54" x14ac:dyDescent="0.2">
      <c r="A26" s="124"/>
      <c r="B26" s="133">
        <v>2</v>
      </c>
      <c r="C26" s="124" t="s">
        <v>293</v>
      </c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</row>
    <row r="27" spans="1:54" x14ac:dyDescent="0.2">
      <c r="A27" s="124"/>
      <c r="B27" s="134">
        <v>3</v>
      </c>
      <c r="C27" s="124" t="s">
        <v>293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</row>
    <row r="28" spans="1:54" x14ac:dyDescent="0.2">
      <c r="A28" s="124"/>
      <c r="B28" s="134">
        <v>4</v>
      </c>
      <c r="C28" s="124" t="s">
        <v>293</v>
      </c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</row>
    <row r="29" spans="1:54" x14ac:dyDescent="0.2">
      <c r="A29" s="124"/>
      <c r="B29" s="141">
        <v>5</v>
      </c>
      <c r="C29" s="124" t="s">
        <v>293</v>
      </c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</row>
    <row r="30" spans="1:54" x14ac:dyDescent="0.2">
      <c r="A30" s="124"/>
      <c r="B30" s="141">
        <v>6</v>
      </c>
      <c r="C30" s="124" t="s">
        <v>293</v>
      </c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</row>
    <row r="31" spans="1:54" x14ac:dyDescent="0.2">
      <c r="A31" s="124"/>
      <c r="B31" s="144">
        <v>7</v>
      </c>
      <c r="C31" s="124" t="s">
        <v>293</v>
      </c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</row>
    <row r="32" spans="1:54" x14ac:dyDescent="0.2">
      <c r="A32" s="142"/>
      <c r="B32" s="143">
        <v>8</v>
      </c>
      <c r="C32" s="142" t="s">
        <v>293</v>
      </c>
      <c r="D32" s="139">
        <v>0</v>
      </c>
      <c r="E32" s="139">
        <v>0</v>
      </c>
      <c r="F32" s="139">
        <v>0</v>
      </c>
      <c r="G32" s="139">
        <v>0</v>
      </c>
      <c r="H32" s="139">
        <v>0</v>
      </c>
      <c r="I32" s="139">
        <v>0</v>
      </c>
      <c r="J32" s="139">
        <v>0</v>
      </c>
      <c r="K32" s="139">
        <v>0</v>
      </c>
      <c r="L32" s="139">
        <v>0</v>
      </c>
      <c r="M32" s="139">
        <v>0</v>
      </c>
      <c r="N32" s="139">
        <v>0</v>
      </c>
      <c r="O32" s="139">
        <v>0</v>
      </c>
      <c r="P32" s="139">
        <v>0</v>
      </c>
      <c r="Q32" s="139">
        <v>0</v>
      </c>
      <c r="R32" s="139">
        <v>0</v>
      </c>
      <c r="S32" s="139">
        <v>0</v>
      </c>
      <c r="T32" s="139">
        <v>0</v>
      </c>
      <c r="U32" s="139">
        <v>0</v>
      </c>
      <c r="V32" s="139">
        <v>0</v>
      </c>
      <c r="W32" s="139">
        <v>0</v>
      </c>
      <c r="X32" s="139">
        <v>0</v>
      </c>
      <c r="Y32" s="139">
        <v>0</v>
      </c>
      <c r="Z32" s="139">
        <v>0</v>
      </c>
      <c r="AA32" s="139">
        <v>0</v>
      </c>
      <c r="AB32" s="139">
        <v>0</v>
      </c>
      <c r="AC32" s="139">
        <v>0</v>
      </c>
      <c r="AD32" s="139">
        <v>0</v>
      </c>
      <c r="AE32" s="139">
        <v>0</v>
      </c>
      <c r="AF32" s="139">
        <v>0</v>
      </c>
      <c r="AG32" s="139">
        <v>0</v>
      </c>
      <c r="AH32" s="139">
        <v>0</v>
      </c>
      <c r="AI32" s="139">
        <v>0</v>
      </c>
      <c r="AJ32" s="139">
        <v>0</v>
      </c>
      <c r="AK32" s="139">
        <v>0</v>
      </c>
      <c r="AL32" s="139">
        <v>0</v>
      </c>
      <c r="AM32" s="139">
        <v>0</v>
      </c>
      <c r="AN32" s="139">
        <v>0</v>
      </c>
      <c r="AO32" s="139">
        <v>0</v>
      </c>
      <c r="AP32" s="139">
        <v>0</v>
      </c>
      <c r="AQ32" s="139">
        <v>0</v>
      </c>
      <c r="AR32" s="139">
        <v>0</v>
      </c>
      <c r="AS32" s="139">
        <v>0</v>
      </c>
      <c r="AT32" s="139">
        <v>0</v>
      </c>
      <c r="AU32" s="139">
        <v>0</v>
      </c>
      <c r="AV32" s="139">
        <v>0</v>
      </c>
      <c r="AW32" s="139">
        <v>0</v>
      </c>
      <c r="AX32" s="139">
        <v>0</v>
      </c>
      <c r="AY32" s="139">
        <v>0</v>
      </c>
    </row>
    <row r="33" spans="1:51" x14ac:dyDescent="0.2">
      <c r="A33" s="145" t="s">
        <v>134</v>
      </c>
      <c r="B33" s="133">
        <v>1</v>
      </c>
      <c r="C33" s="124" t="s">
        <v>293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</row>
    <row r="34" spans="1:51" x14ac:dyDescent="0.2">
      <c r="A34" s="124"/>
      <c r="B34" s="133">
        <v>2</v>
      </c>
      <c r="C34" s="124" t="s">
        <v>293</v>
      </c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</row>
    <row r="35" spans="1:51" x14ac:dyDescent="0.2">
      <c r="A35" s="124"/>
      <c r="B35" s="133">
        <v>3</v>
      </c>
      <c r="C35" s="124" t="s">
        <v>293</v>
      </c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</row>
    <row r="36" spans="1:51" x14ac:dyDescent="0.2">
      <c r="A36" s="124"/>
      <c r="B36" s="134">
        <v>4</v>
      </c>
      <c r="C36" s="124" t="s">
        <v>293</v>
      </c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</row>
    <row r="37" spans="1:51" x14ac:dyDescent="0.2">
      <c r="A37" s="124"/>
      <c r="B37" s="134">
        <v>5</v>
      </c>
      <c r="C37" s="124" t="s">
        <v>293</v>
      </c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</row>
    <row r="38" spans="1:51" x14ac:dyDescent="0.2">
      <c r="A38" s="124"/>
      <c r="B38" s="134">
        <v>6</v>
      </c>
      <c r="C38" s="124" t="s">
        <v>293</v>
      </c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</row>
    <row r="39" spans="1:51" x14ac:dyDescent="0.2">
      <c r="A39" s="124"/>
      <c r="B39" s="141">
        <v>7</v>
      </c>
      <c r="C39" s="124" t="s">
        <v>293</v>
      </c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</row>
    <row r="40" spans="1:51" x14ac:dyDescent="0.2">
      <c r="A40" s="124"/>
      <c r="B40" s="141">
        <v>8</v>
      </c>
      <c r="C40" s="124" t="s">
        <v>293</v>
      </c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</row>
    <row r="41" spans="1:51" x14ac:dyDescent="0.2">
      <c r="A41" s="124"/>
      <c r="B41" s="141">
        <v>9</v>
      </c>
      <c r="C41" s="124" t="s">
        <v>293</v>
      </c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</row>
    <row r="42" spans="1:51" x14ac:dyDescent="0.2">
      <c r="A42" s="124"/>
      <c r="B42" s="144">
        <v>10</v>
      </c>
      <c r="C42" s="124" t="s">
        <v>293</v>
      </c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</row>
    <row r="43" spans="1:51" x14ac:dyDescent="0.2">
      <c r="A43" s="124"/>
      <c r="B43" s="144">
        <v>11</v>
      </c>
      <c r="C43" s="124" t="s">
        <v>293</v>
      </c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</row>
    <row r="44" spans="1:51" x14ac:dyDescent="0.2">
      <c r="A44" s="124"/>
      <c r="B44" s="144">
        <v>12</v>
      </c>
      <c r="C44" s="142" t="s">
        <v>293</v>
      </c>
      <c r="D44" s="121">
        <v>0</v>
      </c>
      <c r="E44" s="121">
        <v>0</v>
      </c>
      <c r="F44" s="121">
        <v>0</v>
      </c>
      <c r="G44" s="121">
        <v>0</v>
      </c>
      <c r="H44" s="121">
        <v>0</v>
      </c>
      <c r="I44" s="121">
        <v>0</v>
      </c>
      <c r="J44" s="121">
        <v>0</v>
      </c>
      <c r="K44" s="121">
        <v>0</v>
      </c>
      <c r="L44" s="121">
        <v>0</v>
      </c>
      <c r="M44" s="121">
        <v>0</v>
      </c>
      <c r="N44" s="121">
        <v>0</v>
      </c>
      <c r="O44" s="121">
        <v>0</v>
      </c>
      <c r="P44" s="121">
        <v>0</v>
      </c>
      <c r="Q44" s="121">
        <v>0</v>
      </c>
      <c r="R44" s="121">
        <v>0</v>
      </c>
      <c r="S44" s="121">
        <v>0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1">
        <v>0</v>
      </c>
      <c r="AP44" s="121">
        <v>0</v>
      </c>
      <c r="AQ44" s="121">
        <v>0</v>
      </c>
      <c r="AR44" s="121">
        <v>0</v>
      </c>
      <c r="AS44" s="121">
        <v>0</v>
      </c>
      <c r="AT44" s="121">
        <v>0</v>
      </c>
      <c r="AU44" s="121">
        <v>0</v>
      </c>
      <c r="AV44" s="121">
        <v>0</v>
      </c>
      <c r="AW44" s="121">
        <v>0</v>
      </c>
      <c r="AX44" s="121">
        <v>0</v>
      </c>
      <c r="AY44" s="121">
        <v>0</v>
      </c>
    </row>
    <row r="45" spans="1:51" x14ac:dyDescent="0.2">
      <c r="A45" s="140" t="s">
        <v>123</v>
      </c>
      <c r="B45" s="137">
        <v>1</v>
      </c>
      <c r="C45" s="124" t="s">
        <v>293</v>
      </c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</row>
    <row r="46" spans="1:51" x14ac:dyDescent="0.2">
      <c r="A46" s="124"/>
      <c r="B46" s="133">
        <v>2</v>
      </c>
      <c r="C46" s="124" t="s">
        <v>293</v>
      </c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</row>
    <row r="47" spans="1:51" x14ac:dyDescent="0.2">
      <c r="A47" s="124"/>
      <c r="B47" s="133">
        <v>3</v>
      </c>
      <c r="C47" s="124" t="s">
        <v>293</v>
      </c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</row>
    <row r="48" spans="1:51" x14ac:dyDescent="0.2">
      <c r="A48" s="124"/>
      <c r="B48" s="133">
        <v>4</v>
      </c>
      <c r="C48" s="124" t="s">
        <v>293</v>
      </c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</row>
    <row r="49" spans="1:51" x14ac:dyDescent="0.2">
      <c r="A49" s="124"/>
      <c r="B49" s="133">
        <v>5</v>
      </c>
      <c r="C49" s="124" t="s">
        <v>293</v>
      </c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</row>
    <row r="50" spans="1:51" x14ac:dyDescent="0.2">
      <c r="A50" s="124"/>
      <c r="B50" s="133">
        <v>6</v>
      </c>
      <c r="C50" s="124" t="s">
        <v>293</v>
      </c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</row>
    <row r="51" spans="1:51" x14ac:dyDescent="0.2">
      <c r="A51" s="124"/>
      <c r="B51" s="133">
        <v>7</v>
      </c>
      <c r="C51" s="124" t="s">
        <v>293</v>
      </c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/>
      <c r="AX51" s="125"/>
      <c r="AY51" s="125"/>
    </row>
    <row r="52" spans="1:51" x14ac:dyDescent="0.2">
      <c r="A52" s="124"/>
      <c r="B52" s="133">
        <v>8</v>
      </c>
      <c r="C52" s="124" t="s">
        <v>293</v>
      </c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</row>
    <row r="53" spans="1:51" x14ac:dyDescent="0.2">
      <c r="A53" s="124"/>
      <c r="B53" s="133">
        <v>9</v>
      </c>
      <c r="C53" s="124" t="s">
        <v>293</v>
      </c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</row>
    <row r="54" spans="1:51" x14ac:dyDescent="0.2">
      <c r="A54" s="124"/>
      <c r="B54" s="133">
        <v>10</v>
      </c>
      <c r="C54" s="124" t="s">
        <v>293</v>
      </c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</row>
    <row r="55" spans="1:51" x14ac:dyDescent="0.2">
      <c r="A55" s="124"/>
      <c r="B55" s="133">
        <v>11</v>
      </c>
      <c r="C55" s="124" t="s">
        <v>293</v>
      </c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</row>
    <row r="56" spans="1:51" x14ac:dyDescent="0.2">
      <c r="A56" s="124"/>
      <c r="B56" s="133">
        <v>12</v>
      </c>
      <c r="C56" s="124" t="s">
        <v>293</v>
      </c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</row>
    <row r="57" spans="1:51" x14ac:dyDescent="0.2">
      <c r="A57" s="124"/>
      <c r="B57" s="134">
        <v>13</v>
      </c>
      <c r="C57" s="124" t="s">
        <v>293</v>
      </c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</row>
    <row r="58" spans="1:51" x14ac:dyDescent="0.2">
      <c r="A58" s="124"/>
      <c r="B58" s="134">
        <v>14</v>
      </c>
      <c r="C58" s="124" t="s">
        <v>293</v>
      </c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</row>
    <row r="59" spans="1:51" x14ac:dyDescent="0.2">
      <c r="A59" s="124"/>
      <c r="B59" s="134">
        <v>15</v>
      </c>
      <c r="C59" s="124" t="s">
        <v>293</v>
      </c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</row>
    <row r="60" spans="1:51" x14ac:dyDescent="0.2">
      <c r="A60" s="124"/>
      <c r="B60" s="134">
        <v>16</v>
      </c>
      <c r="C60" s="124" t="s">
        <v>293</v>
      </c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</row>
    <row r="61" spans="1:51" x14ac:dyDescent="0.2">
      <c r="A61" s="124"/>
      <c r="B61" s="134">
        <v>17</v>
      </c>
      <c r="C61" s="124" t="s">
        <v>293</v>
      </c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/>
      <c r="AX61" s="125"/>
      <c r="AY61" s="125"/>
    </row>
    <row r="62" spans="1:51" x14ac:dyDescent="0.2">
      <c r="A62" s="124"/>
      <c r="B62" s="134">
        <v>18</v>
      </c>
      <c r="C62" s="124" t="s">
        <v>293</v>
      </c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</row>
    <row r="63" spans="1:51" x14ac:dyDescent="0.2">
      <c r="A63" s="124"/>
      <c r="B63" s="134">
        <v>19</v>
      </c>
      <c r="C63" s="124" t="s">
        <v>293</v>
      </c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</row>
    <row r="64" spans="1:51" x14ac:dyDescent="0.2">
      <c r="A64" s="124"/>
      <c r="B64" s="134">
        <v>20</v>
      </c>
      <c r="C64" s="124" t="s">
        <v>293</v>
      </c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/>
      <c r="AX64" s="125"/>
      <c r="AY64" s="125"/>
    </row>
    <row r="65" spans="1:51" x14ac:dyDescent="0.2">
      <c r="A65" s="124"/>
      <c r="B65" s="134">
        <v>21</v>
      </c>
      <c r="C65" s="124" t="s">
        <v>293</v>
      </c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</row>
    <row r="66" spans="1:51" x14ac:dyDescent="0.2">
      <c r="A66" s="124"/>
      <c r="B66" s="134">
        <v>22</v>
      </c>
      <c r="C66" s="124" t="s">
        <v>293</v>
      </c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/>
      <c r="AX66" s="125"/>
      <c r="AY66" s="125"/>
    </row>
    <row r="67" spans="1:51" x14ac:dyDescent="0.2">
      <c r="A67" s="124"/>
      <c r="B67" s="134">
        <v>23</v>
      </c>
      <c r="C67" s="124" t="s">
        <v>293</v>
      </c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5"/>
      <c r="AU67" s="125"/>
      <c r="AV67" s="125"/>
      <c r="AW67" s="125"/>
      <c r="AX67" s="125"/>
      <c r="AY67" s="125"/>
    </row>
    <row r="68" spans="1:51" x14ac:dyDescent="0.2">
      <c r="A68" s="124"/>
      <c r="B68" s="134">
        <v>24</v>
      </c>
      <c r="C68" s="124" t="s">
        <v>293</v>
      </c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/>
      <c r="AX68" s="125"/>
      <c r="AY68" s="125"/>
    </row>
    <row r="69" spans="1:51" x14ac:dyDescent="0.2">
      <c r="A69" s="124"/>
      <c r="B69" s="141">
        <v>25</v>
      </c>
      <c r="C69" s="124" t="s">
        <v>293</v>
      </c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</row>
    <row r="70" spans="1:51" x14ac:dyDescent="0.2">
      <c r="A70" s="124"/>
      <c r="B70" s="141">
        <v>26</v>
      </c>
      <c r="C70" s="124" t="s">
        <v>293</v>
      </c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/>
      <c r="AX70" s="125"/>
      <c r="AY70" s="125"/>
    </row>
    <row r="71" spans="1:51" x14ac:dyDescent="0.2">
      <c r="A71" s="124"/>
      <c r="B71" s="141">
        <v>27</v>
      </c>
      <c r="C71" s="124" t="s">
        <v>293</v>
      </c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/>
      <c r="AX71" s="125"/>
      <c r="AY71" s="125"/>
    </row>
    <row r="72" spans="1:51" x14ac:dyDescent="0.2">
      <c r="A72" s="124"/>
      <c r="B72" s="141">
        <v>28</v>
      </c>
      <c r="C72" s="124" t="s">
        <v>293</v>
      </c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</row>
    <row r="73" spans="1:51" x14ac:dyDescent="0.2">
      <c r="A73" s="124"/>
      <c r="B73" s="141">
        <v>29</v>
      </c>
      <c r="C73" s="124" t="s">
        <v>293</v>
      </c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</row>
    <row r="74" spans="1:51" x14ac:dyDescent="0.2">
      <c r="A74" s="124"/>
      <c r="B74" s="141">
        <v>30</v>
      </c>
      <c r="C74" s="124" t="s">
        <v>293</v>
      </c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</row>
    <row r="75" spans="1:51" x14ac:dyDescent="0.2">
      <c r="A75" s="124"/>
      <c r="B75" s="141">
        <v>31</v>
      </c>
      <c r="C75" s="124" t="s">
        <v>293</v>
      </c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</row>
    <row r="76" spans="1:51" x14ac:dyDescent="0.2">
      <c r="A76" s="124"/>
      <c r="B76" s="141">
        <v>32</v>
      </c>
      <c r="C76" s="124" t="s">
        <v>293</v>
      </c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/>
      <c r="AS76" s="125"/>
      <c r="AT76" s="125"/>
      <c r="AU76" s="125"/>
      <c r="AV76" s="125"/>
      <c r="AW76" s="125"/>
      <c r="AX76" s="125"/>
      <c r="AY76" s="125"/>
    </row>
    <row r="77" spans="1:51" x14ac:dyDescent="0.2">
      <c r="A77" s="124"/>
      <c r="B77" s="141">
        <v>33</v>
      </c>
      <c r="C77" s="124" t="s">
        <v>293</v>
      </c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Z77" s="125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  <c r="AU77" s="125"/>
      <c r="AV77" s="125"/>
      <c r="AW77" s="125"/>
      <c r="AX77" s="125"/>
      <c r="AY77" s="125"/>
    </row>
    <row r="78" spans="1:51" x14ac:dyDescent="0.2">
      <c r="A78" s="124"/>
      <c r="B78" s="141">
        <v>34</v>
      </c>
      <c r="C78" s="124" t="s">
        <v>293</v>
      </c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  <c r="V78" s="125"/>
      <c r="W78" s="125"/>
      <c r="X78" s="125"/>
      <c r="Y78" s="125"/>
      <c r="Z78" s="125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25"/>
      <c r="AO78" s="125"/>
      <c r="AP78" s="125"/>
      <c r="AQ78" s="125"/>
      <c r="AR78" s="125"/>
      <c r="AS78" s="125"/>
      <c r="AT78" s="125"/>
      <c r="AU78" s="125"/>
      <c r="AV78" s="125"/>
      <c r="AW78" s="125"/>
      <c r="AX78" s="125"/>
      <c r="AY78" s="125"/>
    </row>
    <row r="79" spans="1:51" x14ac:dyDescent="0.2">
      <c r="A79" s="124"/>
      <c r="B79" s="141">
        <v>35</v>
      </c>
      <c r="C79" s="124" t="s">
        <v>293</v>
      </c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125"/>
      <c r="V79" s="125"/>
      <c r="W79" s="125"/>
      <c r="X79" s="125"/>
      <c r="Y79" s="125"/>
      <c r="Z79" s="125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25"/>
      <c r="AO79" s="125"/>
      <c r="AP79" s="125"/>
      <c r="AQ79" s="125"/>
      <c r="AR79" s="125"/>
      <c r="AS79" s="125"/>
      <c r="AT79" s="125"/>
      <c r="AU79" s="125"/>
      <c r="AV79" s="125"/>
      <c r="AW79" s="125"/>
      <c r="AX79" s="125"/>
      <c r="AY79" s="125"/>
    </row>
    <row r="80" spans="1:51" x14ac:dyDescent="0.2">
      <c r="A80" s="124"/>
      <c r="B80" s="141">
        <v>36</v>
      </c>
      <c r="C80" s="124" t="s">
        <v>293</v>
      </c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  <c r="V80" s="125"/>
      <c r="W80" s="125"/>
      <c r="X80" s="125"/>
      <c r="Y80" s="125"/>
      <c r="Z80" s="125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25"/>
      <c r="AO80" s="125"/>
      <c r="AP80" s="125"/>
      <c r="AQ80" s="125"/>
      <c r="AR80" s="125"/>
      <c r="AS80" s="125"/>
      <c r="AT80" s="125"/>
      <c r="AU80" s="125"/>
      <c r="AV80" s="125"/>
      <c r="AW80" s="125"/>
      <c r="AX80" s="125"/>
      <c r="AY80" s="125"/>
    </row>
    <row r="81" spans="1:52" x14ac:dyDescent="0.2">
      <c r="A81" s="124"/>
      <c r="B81" s="144">
        <v>37</v>
      </c>
      <c r="C81" s="124" t="s">
        <v>293</v>
      </c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25"/>
      <c r="AO81" s="125"/>
      <c r="AP81" s="125"/>
      <c r="AQ81" s="125"/>
      <c r="AR81" s="125"/>
      <c r="AS81" s="125"/>
      <c r="AT81" s="125"/>
      <c r="AU81" s="125"/>
      <c r="AV81" s="125"/>
      <c r="AW81" s="125"/>
      <c r="AX81" s="125"/>
      <c r="AY81" s="125"/>
    </row>
    <row r="82" spans="1:52" x14ac:dyDescent="0.2">
      <c r="A82" s="124"/>
      <c r="B82" s="144">
        <v>38</v>
      </c>
      <c r="C82" s="124" t="s">
        <v>293</v>
      </c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25"/>
      <c r="AO82" s="125"/>
      <c r="AP82" s="125"/>
      <c r="AQ82" s="125"/>
      <c r="AR82" s="125"/>
      <c r="AS82" s="125"/>
      <c r="AT82" s="125"/>
      <c r="AU82" s="125"/>
      <c r="AV82" s="125"/>
      <c r="AW82" s="125"/>
      <c r="AX82" s="125"/>
      <c r="AY82" s="125"/>
    </row>
    <row r="83" spans="1:52" x14ac:dyDescent="0.2">
      <c r="A83" s="124"/>
      <c r="B83" s="144">
        <v>39</v>
      </c>
      <c r="C83" s="124" t="s">
        <v>293</v>
      </c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25"/>
      <c r="AO83" s="125"/>
      <c r="AP83" s="125"/>
      <c r="AQ83" s="125"/>
      <c r="AR83" s="125"/>
      <c r="AS83" s="125"/>
      <c r="AT83" s="125"/>
      <c r="AU83" s="125"/>
      <c r="AV83" s="125"/>
      <c r="AW83" s="125"/>
      <c r="AX83" s="125"/>
      <c r="AY83" s="125"/>
    </row>
    <row r="84" spans="1:52" x14ac:dyDescent="0.2">
      <c r="A84" s="124"/>
      <c r="B84" s="144">
        <v>40</v>
      </c>
      <c r="C84" s="124" t="s">
        <v>293</v>
      </c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25"/>
      <c r="AO84" s="125"/>
      <c r="AP84" s="125"/>
      <c r="AQ84" s="125"/>
      <c r="AR84" s="125"/>
      <c r="AS84" s="125"/>
      <c r="AT84" s="125"/>
      <c r="AU84" s="125"/>
      <c r="AV84" s="125"/>
      <c r="AW84" s="125"/>
      <c r="AX84" s="125"/>
      <c r="AY84" s="125"/>
    </row>
    <row r="85" spans="1:52" x14ac:dyDescent="0.2">
      <c r="A85" s="124"/>
      <c r="B85" s="144">
        <v>41</v>
      </c>
      <c r="C85" s="124" t="s">
        <v>293</v>
      </c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/>
      <c r="AQ85" s="125"/>
      <c r="AR85" s="125"/>
      <c r="AS85" s="125"/>
      <c r="AT85" s="125"/>
      <c r="AU85" s="125"/>
      <c r="AV85" s="125"/>
      <c r="AW85" s="125"/>
      <c r="AX85" s="125"/>
      <c r="AY85" s="125"/>
    </row>
    <row r="86" spans="1:52" x14ac:dyDescent="0.2">
      <c r="A86" s="124"/>
      <c r="B86" s="144">
        <v>42</v>
      </c>
      <c r="C86" s="124" t="s">
        <v>293</v>
      </c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25"/>
      <c r="AO86" s="125"/>
      <c r="AP86" s="125"/>
      <c r="AQ86" s="125"/>
      <c r="AR86" s="125"/>
      <c r="AS86" s="125"/>
      <c r="AT86" s="125"/>
      <c r="AU86" s="125"/>
      <c r="AV86" s="125"/>
      <c r="AW86" s="125"/>
      <c r="AX86" s="125"/>
      <c r="AY86" s="125"/>
    </row>
    <row r="87" spans="1:52" x14ac:dyDescent="0.2">
      <c r="A87" s="124"/>
      <c r="B87" s="144">
        <v>43</v>
      </c>
      <c r="C87" s="124" t="s">
        <v>293</v>
      </c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25"/>
      <c r="AO87" s="125"/>
      <c r="AP87" s="125"/>
      <c r="AQ87" s="125"/>
      <c r="AR87" s="125"/>
      <c r="AS87" s="125"/>
      <c r="AT87" s="125"/>
      <c r="AU87" s="125"/>
      <c r="AV87" s="125"/>
      <c r="AW87" s="125"/>
      <c r="AX87" s="125"/>
      <c r="AY87" s="125"/>
    </row>
    <row r="88" spans="1:52" x14ac:dyDescent="0.2">
      <c r="A88" s="124"/>
      <c r="B88" s="144">
        <v>44</v>
      </c>
      <c r="C88" s="124" t="s">
        <v>293</v>
      </c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25"/>
      <c r="AO88" s="125"/>
      <c r="AP88" s="125"/>
      <c r="AQ88" s="125"/>
      <c r="AR88" s="125"/>
      <c r="AS88" s="125"/>
      <c r="AT88" s="125"/>
      <c r="AU88" s="125"/>
      <c r="AV88" s="125"/>
      <c r="AW88" s="125"/>
      <c r="AX88" s="125"/>
      <c r="AY88" s="125"/>
    </row>
    <row r="89" spans="1:52" x14ac:dyDescent="0.2">
      <c r="A89" s="124"/>
      <c r="B89" s="144">
        <v>45</v>
      </c>
      <c r="C89" s="124" t="s">
        <v>293</v>
      </c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25"/>
      <c r="AO89" s="125"/>
      <c r="AP89" s="125"/>
      <c r="AQ89" s="125"/>
      <c r="AR89" s="125"/>
      <c r="AS89" s="125"/>
      <c r="AT89" s="125"/>
      <c r="AU89" s="125"/>
      <c r="AV89" s="125"/>
      <c r="AW89" s="125"/>
      <c r="AX89" s="125"/>
      <c r="AY89" s="125"/>
    </row>
    <row r="90" spans="1:52" x14ac:dyDescent="0.2">
      <c r="A90" s="124"/>
      <c r="B90" s="144">
        <v>46</v>
      </c>
      <c r="C90" s="124" t="s">
        <v>293</v>
      </c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25"/>
      <c r="AO90" s="125"/>
      <c r="AP90" s="125"/>
      <c r="AQ90" s="125"/>
      <c r="AR90" s="125"/>
      <c r="AS90" s="125"/>
      <c r="AT90" s="125"/>
      <c r="AU90" s="125"/>
      <c r="AV90" s="125"/>
      <c r="AW90" s="125"/>
      <c r="AX90" s="125"/>
      <c r="AY90" s="125"/>
    </row>
    <row r="91" spans="1:52" x14ac:dyDescent="0.2">
      <c r="A91" s="124"/>
      <c r="B91" s="144">
        <v>47</v>
      </c>
      <c r="C91" s="124" t="s">
        <v>293</v>
      </c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  <c r="V91" s="125"/>
      <c r="W91" s="125"/>
      <c r="X91" s="125"/>
      <c r="Y91" s="125"/>
      <c r="Z91" s="125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25"/>
      <c r="AO91" s="125"/>
      <c r="AP91" s="125"/>
      <c r="AQ91" s="125"/>
      <c r="AR91" s="125"/>
      <c r="AS91" s="125"/>
      <c r="AT91" s="125"/>
      <c r="AU91" s="125"/>
      <c r="AV91" s="125"/>
      <c r="AW91" s="125"/>
      <c r="AX91" s="125"/>
      <c r="AY91" s="125"/>
    </row>
    <row r="92" spans="1:52" x14ac:dyDescent="0.2">
      <c r="A92" s="142"/>
      <c r="B92" s="143">
        <v>48</v>
      </c>
      <c r="C92" s="142" t="s">
        <v>293</v>
      </c>
      <c r="D92" s="139">
        <v>0</v>
      </c>
      <c r="E92" s="139">
        <v>0</v>
      </c>
      <c r="F92" s="139">
        <v>0</v>
      </c>
      <c r="G92" s="139">
        <v>0</v>
      </c>
      <c r="H92" s="139">
        <v>0</v>
      </c>
      <c r="I92" s="139">
        <v>0</v>
      </c>
      <c r="J92" s="139">
        <v>0</v>
      </c>
      <c r="K92" s="139">
        <v>0</v>
      </c>
      <c r="L92" s="139">
        <v>0</v>
      </c>
      <c r="M92" s="139">
        <v>0</v>
      </c>
      <c r="N92" s="139">
        <v>0</v>
      </c>
      <c r="O92" s="139">
        <v>0</v>
      </c>
      <c r="P92" s="139">
        <v>0</v>
      </c>
      <c r="Q92" s="139">
        <v>0</v>
      </c>
      <c r="R92" s="139">
        <v>0</v>
      </c>
      <c r="S92" s="139">
        <v>0</v>
      </c>
      <c r="T92" s="139">
        <v>0</v>
      </c>
      <c r="U92" s="139">
        <v>0</v>
      </c>
      <c r="V92" s="139">
        <v>0</v>
      </c>
      <c r="W92" s="139">
        <v>0</v>
      </c>
      <c r="X92" s="139">
        <v>0</v>
      </c>
      <c r="Y92" s="139">
        <v>0</v>
      </c>
      <c r="Z92" s="139">
        <v>0</v>
      </c>
      <c r="AA92" s="139">
        <v>0</v>
      </c>
      <c r="AB92" s="139">
        <v>0</v>
      </c>
      <c r="AC92" s="139">
        <v>0</v>
      </c>
      <c r="AD92" s="139">
        <v>0</v>
      </c>
      <c r="AE92" s="139">
        <v>0</v>
      </c>
      <c r="AF92" s="139">
        <v>0</v>
      </c>
      <c r="AG92" s="139">
        <v>0</v>
      </c>
      <c r="AH92" s="139">
        <v>0</v>
      </c>
      <c r="AI92" s="139">
        <v>0</v>
      </c>
      <c r="AJ92" s="139">
        <v>0</v>
      </c>
      <c r="AK92" s="139">
        <v>0</v>
      </c>
      <c r="AL92" s="139">
        <v>0</v>
      </c>
      <c r="AM92" s="139">
        <v>0</v>
      </c>
      <c r="AN92" s="139">
        <v>0</v>
      </c>
      <c r="AO92" s="139">
        <v>0</v>
      </c>
      <c r="AP92" s="139">
        <v>0</v>
      </c>
      <c r="AQ92" s="139">
        <v>0</v>
      </c>
      <c r="AR92" s="139">
        <v>0</v>
      </c>
      <c r="AS92" s="139">
        <v>0</v>
      </c>
      <c r="AT92" s="139">
        <v>0</v>
      </c>
      <c r="AU92" s="139">
        <v>0</v>
      </c>
      <c r="AV92" s="139">
        <v>0</v>
      </c>
      <c r="AW92" s="139">
        <v>0</v>
      </c>
      <c r="AX92" s="139">
        <v>0</v>
      </c>
      <c r="AY92" s="139">
        <v>0</v>
      </c>
      <c r="AZ92" s="122">
        <f>SUM(D21:AY92)</f>
        <v>0</v>
      </c>
    </row>
    <row r="94" spans="1:52" x14ac:dyDescent="0.2">
      <c r="A94" s="1" t="s">
        <v>295</v>
      </c>
      <c r="B94" s="121"/>
      <c r="C94" s="121"/>
      <c r="D94" s="128"/>
      <c r="E94" s="128"/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128"/>
      <c r="V94" s="128"/>
      <c r="W94" s="128"/>
      <c r="X94" s="128"/>
      <c r="Y94" s="128"/>
      <c r="Z94" s="128"/>
      <c r="AA94" s="128"/>
      <c r="AB94" s="128"/>
      <c r="AC94" s="128"/>
      <c r="AD94" s="128"/>
      <c r="AE94" s="128"/>
      <c r="AF94" s="128"/>
      <c r="AG94" s="128"/>
      <c r="AH94" s="128"/>
      <c r="AI94" s="128"/>
      <c r="AJ94" s="128"/>
      <c r="AK94" s="128"/>
      <c r="AL94" s="128"/>
      <c r="AM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</row>
    <row r="95" spans="1:52" x14ac:dyDescent="0.2">
      <c r="A95" s="140" t="s">
        <v>125</v>
      </c>
      <c r="B95" s="137">
        <v>1</v>
      </c>
      <c r="C95" s="138">
        <v>6632.4622004035155</v>
      </c>
      <c r="D95" s="125">
        <v>1791.8884404187716</v>
      </c>
      <c r="E95" s="125">
        <v>1791.8884404187716</v>
      </c>
      <c r="F95" s="125">
        <v>1791.8884404187716</v>
      </c>
      <c r="G95" s="125">
        <v>1791.8884404187716</v>
      </c>
      <c r="H95" s="125">
        <v>1791.8884404187716</v>
      </c>
      <c r="I95" s="125">
        <v>1791.8884404187716</v>
      </c>
      <c r="J95" s="125">
        <v>1791.8884404187716</v>
      </c>
      <c r="K95" s="125">
        <v>1791.8884404187716</v>
      </c>
      <c r="L95" s="125">
        <v>1791.8884404187716</v>
      </c>
      <c r="M95" s="125">
        <v>1791.8884404187716</v>
      </c>
      <c r="N95" s="125">
        <v>1791.8884404187716</v>
      </c>
      <c r="O95" s="125">
        <v>1791.8884404187716</v>
      </c>
      <c r="P95" s="125">
        <v>1791.8884404187716</v>
      </c>
      <c r="Q95" s="125">
        <v>1791.8884404187716</v>
      </c>
      <c r="R95" s="125">
        <v>1791.8884404187716</v>
      </c>
      <c r="S95" s="125">
        <v>1791.8884404187716</v>
      </c>
      <c r="T95" s="125">
        <v>1791.8884404187716</v>
      </c>
      <c r="U95" s="125">
        <v>1791.8884404187716</v>
      </c>
      <c r="V95" s="125">
        <v>1791.8884404187716</v>
      </c>
      <c r="W95" s="125">
        <v>1791.8884404187716</v>
      </c>
      <c r="X95" s="125">
        <v>1791.8884404187716</v>
      </c>
      <c r="Y95" s="125">
        <v>1791.8884404187716</v>
      </c>
      <c r="Z95" s="125">
        <v>1791.8884404187716</v>
      </c>
      <c r="AA95" s="125">
        <v>1791.8884404187716</v>
      </c>
      <c r="AB95" s="125">
        <v>1791.8884404187716</v>
      </c>
      <c r="AC95" s="125">
        <v>1791.8884404187716</v>
      </c>
      <c r="AD95" s="125">
        <v>1791.8884404187716</v>
      </c>
      <c r="AE95" s="125">
        <v>1791.8884404187716</v>
      </c>
      <c r="AF95" s="125">
        <v>1791.8884404187716</v>
      </c>
      <c r="AG95" s="125">
        <v>1791.8884404187716</v>
      </c>
      <c r="AH95" s="125">
        <v>1791.8884404187716</v>
      </c>
      <c r="AI95" s="125">
        <v>1791.8884404187716</v>
      </c>
      <c r="AJ95" s="125">
        <v>1791.8884404187716</v>
      </c>
      <c r="AK95" s="125">
        <v>1791.8884404187716</v>
      </c>
      <c r="AL95" s="125">
        <v>1791.8884404187716</v>
      </c>
      <c r="AM95" s="125">
        <v>1791.8884404187716</v>
      </c>
      <c r="AN95" s="125">
        <v>1791.8884404187716</v>
      </c>
      <c r="AO95" s="125">
        <v>1791.8884404187716</v>
      </c>
      <c r="AP95" s="125">
        <v>1791.8884404187716</v>
      </c>
      <c r="AQ95" s="125">
        <v>1791.8884404187716</v>
      </c>
      <c r="AR95" s="125">
        <v>1791.8884404187716</v>
      </c>
      <c r="AS95" s="125">
        <v>1791.8884404187716</v>
      </c>
      <c r="AT95" s="125">
        <v>1791.8884404187716</v>
      </c>
      <c r="AU95" s="125">
        <v>1791.8884404187716</v>
      </c>
      <c r="AV95" s="125">
        <v>1791.8884404187716</v>
      </c>
      <c r="AW95" s="125">
        <v>1791.8884404187716</v>
      </c>
      <c r="AX95" s="125">
        <v>1791.8884404187716</v>
      </c>
      <c r="AY95" s="125">
        <v>1791.8884404187716</v>
      </c>
    </row>
    <row r="96" spans="1:52" x14ac:dyDescent="0.2">
      <c r="A96" s="124"/>
      <c r="B96" s="134">
        <v>2</v>
      </c>
      <c r="C96" s="125">
        <v>6632.4622004035155</v>
      </c>
      <c r="D96" s="125">
        <v>6632.4622004035155</v>
      </c>
      <c r="E96" s="125">
        <v>1791.8884404187716</v>
      </c>
      <c r="F96" s="125">
        <v>1791.8884404187716</v>
      </c>
      <c r="G96" s="125">
        <v>1791.8884404187716</v>
      </c>
      <c r="H96" s="125">
        <v>1791.8884404187716</v>
      </c>
      <c r="I96" s="125">
        <v>1791.8884404187716</v>
      </c>
      <c r="J96" s="125">
        <v>1791.8884404187716</v>
      </c>
      <c r="K96" s="125">
        <v>1791.8884404187716</v>
      </c>
      <c r="L96" s="125">
        <v>1791.8884404187716</v>
      </c>
      <c r="M96" s="125">
        <v>1791.8884404187716</v>
      </c>
      <c r="N96" s="125">
        <v>1791.8884404187716</v>
      </c>
      <c r="O96" s="125">
        <v>1791.8884404187716</v>
      </c>
      <c r="P96" s="125">
        <v>1791.8884404187716</v>
      </c>
      <c r="Q96" s="125">
        <v>1791.8884404187716</v>
      </c>
      <c r="R96" s="125">
        <v>1791.8884404187716</v>
      </c>
      <c r="S96" s="125">
        <v>1791.8884404187716</v>
      </c>
      <c r="T96" s="125">
        <v>1791.8884404187716</v>
      </c>
      <c r="U96" s="125">
        <v>1791.8884404187716</v>
      </c>
      <c r="V96" s="125">
        <v>1791.8884404187716</v>
      </c>
      <c r="W96" s="125">
        <v>1791.8884404187716</v>
      </c>
      <c r="X96" s="125">
        <v>1791.8884404187716</v>
      </c>
      <c r="Y96" s="125">
        <v>1791.8884404187716</v>
      </c>
      <c r="Z96" s="125">
        <v>1791.8884404187716</v>
      </c>
      <c r="AA96" s="125">
        <v>1791.8884404187716</v>
      </c>
      <c r="AB96" s="125">
        <v>1791.8884404187716</v>
      </c>
      <c r="AC96" s="125">
        <v>1791.8884404187716</v>
      </c>
      <c r="AD96" s="125">
        <v>1791.8884404187716</v>
      </c>
      <c r="AE96" s="125">
        <v>1791.8884404187716</v>
      </c>
      <c r="AF96" s="125">
        <v>1791.8884404187716</v>
      </c>
      <c r="AG96" s="125">
        <v>1791.8884404187716</v>
      </c>
      <c r="AH96" s="125">
        <v>1791.8884404187716</v>
      </c>
      <c r="AI96" s="125">
        <v>1791.8884404187716</v>
      </c>
      <c r="AJ96" s="125">
        <v>1791.8884404187716</v>
      </c>
      <c r="AK96" s="125">
        <v>1791.8884404187716</v>
      </c>
      <c r="AL96" s="125">
        <v>1791.8884404187716</v>
      </c>
      <c r="AM96" s="125">
        <v>1791.8884404187716</v>
      </c>
      <c r="AN96" s="125">
        <v>1791.8884404187716</v>
      </c>
      <c r="AO96" s="125">
        <v>1791.8884404187716</v>
      </c>
      <c r="AP96" s="125">
        <v>1791.8884404187716</v>
      </c>
      <c r="AQ96" s="125">
        <v>1791.8884404187716</v>
      </c>
      <c r="AR96" s="125">
        <v>1791.8884404187716</v>
      </c>
      <c r="AS96" s="125">
        <v>1791.8884404187716</v>
      </c>
      <c r="AT96" s="125">
        <v>1791.8884404187716</v>
      </c>
      <c r="AU96" s="125">
        <v>1791.8884404187716</v>
      </c>
      <c r="AV96" s="125">
        <v>1791.8884404187716</v>
      </c>
      <c r="AW96" s="125">
        <v>1791.8884404187716</v>
      </c>
      <c r="AX96" s="125">
        <v>1791.8884404187716</v>
      </c>
      <c r="AY96" s="125">
        <v>1791.8884404187716</v>
      </c>
    </row>
    <row r="97" spans="1:52" x14ac:dyDescent="0.2">
      <c r="A97" s="124"/>
      <c r="B97" s="141">
        <v>3</v>
      </c>
      <c r="C97" s="125">
        <v>6632.4622004035155</v>
      </c>
      <c r="D97" s="125">
        <v>6632.4622004035155</v>
      </c>
      <c r="E97" s="125">
        <v>6632.4622004035155</v>
      </c>
      <c r="F97" s="125">
        <v>1791.8884404187716</v>
      </c>
      <c r="G97" s="125">
        <v>1791.8884404187716</v>
      </c>
      <c r="H97" s="125">
        <v>1791.8884404187716</v>
      </c>
      <c r="I97" s="125">
        <v>1791.8884404187716</v>
      </c>
      <c r="J97" s="125">
        <v>1791.8884404187716</v>
      </c>
      <c r="K97" s="125">
        <v>1791.8884404187716</v>
      </c>
      <c r="L97" s="125">
        <v>1791.8884404187716</v>
      </c>
      <c r="M97" s="125">
        <v>1791.8884404187716</v>
      </c>
      <c r="N97" s="125">
        <v>1791.8884404187716</v>
      </c>
      <c r="O97" s="125">
        <v>1791.8884404187716</v>
      </c>
      <c r="P97" s="125">
        <v>1791.8884404187716</v>
      </c>
      <c r="Q97" s="125">
        <v>1791.8884404187716</v>
      </c>
      <c r="R97" s="125">
        <v>1791.8884404187716</v>
      </c>
      <c r="S97" s="125">
        <v>1791.8884404187716</v>
      </c>
      <c r="T97" s="125">
        <v>1791.8884404187716</v>
      </c>
      <c r="U97" s="125">
        <v>1791.8884404187716</v>
      </c>
      <c r="V97" s="125">
        <v>1791.8884404187716</v>
      </c>
      <c r="W97" s="125">
        <v>1791.8884404187716</v>
      </c>
      <c r="X97" s="125">
        <v>1791.8884404187716</v>
      </c>
      <c r="Y97" s="125">
        <v>1791.8884404187716</v>
      </c>
      <c r="Z97" s="125">
        <v>1791.8884404187716</v>
      </c>
      <c r="AA97" s="125">
        <v>1791.8884404187716</v>
      </c>
      <c r="AB97" s="125">
        <v>1791.8884404187716</v>
      </c>
      <c r="AC97" s="125">
        <v>1791.8884404187716</v>
      </c>
      <c r="AD97" s="125">
        <v>1791.8884404187716</v>
      </c>
      <c r="AE97" s="125">
        <v>1791.8884404187716</v>
      </c>
      <c r="AF97" s="125">
        <v>1791.8884404187716</v>
      </c>
      <c r="AG97" s="125">
        <v>1791.8884404187716</v>
      </c>
      <c r="AH97" s="125">
        <v>1791.8884404187716</v>
      </c>
      <c r="AI97" s="125">
        <v>1791.8884404187716</v>
      </c>
      <c r="AJ97" s="125">
        <v>1791.8884404187716</v>
      </c>
      <c r="AK97" s="125">
        <v>1791.8884404187716</v>
      </c>
      <c r="AL97" s="125">
        <v>1791.8884404187716</v>
      </c>
      <c r="AM97" s="125">
        <v>1791.8884404187716</v>
      </c>
      <c r="AN97" s="125">
        <v>1791.8884404187716</v>
      </c>
      <c r="AO97" s="125">
        <v>1791.8884404187716</v>
      </c>
      <c r="AP97" s="125">
        <v>1791.8884404187716</v>
      </c>
      <c r="AQ97" s="125">
        <v>1791.8884404187716</v>
      </c>
      <c r="AR97" s="125">
        <v>1791.8884404187716</v>
      </c>
      <c r="AS97" s="125">
        <v>1791.8884404187716</v>
      </c>
      <c r="AT97" s="125">
        <v>1791.8884404187716</v>
      </c>
      <c r="AU97" s="125">
        <v>1791.8884404187716</v>
      </c>
      <c r="AV97" s="125">
        <v>1791.8884404187716</v>
      </c>
      <c r="AW97" s="125">
        <v>1791.8884404187716</v>
      </c>
      <c r="AX97" s="125">
        <v>1791.8884404187716</v>
      </c>
      <c r="AY97" s="125">
        <v>1791.8884404187716</v>
      </c>
    </row>
    <row r="98" spans="1:52" x14ac:dyDescent="0.2">
      <c r="A98" s="124"/>
      <c r="B98" s="144">
        <v>4</v>
      </c>
      <c r="C98" s="121">
        <v>6632.4622004035155</v>
      </c>
      <c r="D98" s="125">
        <v>6632.4622004035155</v>
      </c>
      <c r="E98" s="125">
        <v>6632.4622004035155</v>
      </c>
      <c r="F98" s="125">
        <v>6632.4622004035155</v>
      </c>
      <c r="G98" s="125">
        <v>1791.8884404187716</v>
      </c>
      <c r="H98" s="125">
        <v>1791.8884404187716</v>
      </c>
      <c r="I98" s="125">
        <v>1791.8884404187716</v>
      </c>
      <c r="J98" s="125">
        <v>1791.8884404187716</v>
      </c>
      <c r="K98" s="125">
        <v>1791.8884404187716</v>
      </c>
      <c r="L98" s="125">
        <v>1791.8884404187716</v>
      </c>
      <c r="M98" s="125">
        <v>1791.8884404187716</v>
      </c>
      <c r="N98" s="125">
        <v>1791.8884404187716</v>
      </c>
      <c r="O98" s="125">
        <v>1791.8884404187716</v>
      </c>
      <c r="P98" s="125">
        <v>1791.8884404187716</v>
      </c>
      <c r="Q98" s="125">
        <v>1791.8884404187716</v>
      </c>
      <c r="R98" s="125">
        <v>1791.8884404187716</v>
      </c>
      <c r="S98" s="125">
        <v>1791.8884404187716</v>
      </c>
      <c r="T98" s="125">
        <v>1791.8884404187716</v>
      </c>
      <c r="U98" s="125">
        <v>1791.8884404187716</v>
      </c>
      <c r="V98" s="125">
        <v>1791.8884404187716</v>
      </c>
      <c r="W98" s="125">
        <v>1791.8884404187716</v>
      </c>
      <c r="X98" s="125">
        <v>1791.8884404187716</v>
      </c>
      <c r="Y98" s="125">
        <v>1791.8884404187716</v>
      </c>
      <c r="Z98" s="125">
        <v>1791.8884404187716</v>
      </c>
      <c r="AA98" s="125">
        <v>1791.8884404187716</v>
      </c>
      <c r="AB98" s="125">
        <v>1791.8884404187716</v>
      </c>
      <c r="AC98" s="125">
        <v>1791.8884404187716</v>
      </c>
      <c r="AD98" s="125">
        <v>1791.8884404187716</v>
      </c>
      <c r="AE98" s="125">
        <v>1791.8884404187716</v>
      </c>
      <c r="AF98" s="125">
        <v>1791.8884404187716</v>
      </c>
      <c r="AG98" s="125">
        <v>1791.8884404187716</v>
      </c>
      <c r="AH98" s="125">
        <v>1791.8884404187716</v>
      </c>
      <c r="AI98" s="125">
        <v>1791.8884404187716</v>
      </c>
      <c r="AJ98" s="125">
        <v>1791.8884404187716</v>
      </c>
      <c r="AK98" s="125">
        <v>1791.8884404187716</v>
      </c>
      <c r="AL98" s="125">
        <v>1791.8884404187716</v>
      </c>
      <c r="AM98" s="125">
        <v>1791.8884404187716</v>
      </c>
      <c r="AN98" s="125">
        <v>1791.8884404187716</v>
      </c>
      <c r="AO98" s="125">
        <v>1791.8884404187716</v>
      </c>
      <c r="AP98" s="125">
        <v>1791.8884404187716</v>
      </c>
      <c r="AQ98" s="125">
        <v>1791.8884404187716</v>
      </c>
      <c r="AR98" s="125">
        <v>1791.8884404187716</v>
      </c>
      <c r="AS98" s="125">
        <v>1791.8884404187716</v>
      </c>
      <c r="AT98" s="125">
        <v>1791.8884404187716</v>
      </c>
      <c r="AU98" s="125">
        <v>1791.8884404187716</v>
      </c>
      <c r="AV98" s="125">
        <v>1791.8884404187716</v>
      </c>
      <c r="AW98" s="125">
        <v>1791.8884404187716</v>
      </c>
      <c r="AX98" s="125">
        <v>1791.8884404187716</v>
      </c>
      <c r="AY98" s="125">
        <v>1791.8884404187716</v>
      </c>
    </row>
    <row r="99" spans="1:52" x14ac:dyDescent="0.2">
      <c r="A99" s="142"/>
      <c r="B99" s="146" t="s">
        <v>296</v>
      </c>
      <c r="C99" s="139">
        <v>6456.8351027333783</v>
      </c>
      <c r="D99" s="139">
        <v>6076.4622004035155</v>
      </c>
      <c r="E99" s="139">
        <v>6227.4622004035155</v>
      </c>
      <c r="F99" s="139">
        <v>6243.4622004035155</v>
      </c>
      <c r="G99" s="139">
        <v>6271.4622004035155</v>
      </c>
      <c r="H99" s="139">
        <v>1246.8884404187716</v>
      </c>
      <c r="I99" s="139">
        <v>1519.8884404187716</v>
      </c>
      <c r="J99" s="139">
        <v>1563.8884404187716</v>
      </c>
      <c r="K99" s="139">
        <v>1573.8884404187716</v>
      </c>
      <c r="L99" s="139">
        <v>1523.8884404187716</v>
      </c>
      <c r="M99" s="139">
        <v>1068.8884404187716</v>
      </c>
      <c r="N99" s="139">
        <v>1055.8884404187716</v>
      </c>
      <c r="O99" s="139">
        <v>1206.8884404187716</v>
      </c>
      <c r="P99" s="139">
        <v>1264.8884404187716</v>
      </c>
      <c r="Q99" s="139">
        <v>868.88844041877155</v>
      </c>
      <c r="R99" s="139">
        <v>622.88844041877155</v>
      </c>
      <c r="S99" s="139">
        <v>653.88844041877155</v>
      </c>
      <c r="T99" s="139">
        <v>586.88844041877155</v>
      </c>
      <c r="U99" s="139">
        <v>1235.8884404187716</v>
      </c>
      <c r="V99" s="139">
        <v>1231.8884404187716</v>
      </c>
      <c r="W99" s="139">
        <v>1269.8884404187716</v>
      </c>
      <c r="X99" s="139">
        <v>1164.8884404187716</v>
      </c>
      <c r="Y99" s="139">
        <v>574.88844041877155</v>
      </c>
      <c r="Z99" s="139">
        <v>252.88844041877155</v>
      </c>
      <c r="AA99" s="139">
        <v>214.88844041877155</v>
      </c>
      <c r="AB99" s="139">
        <v>742.88844041877155</v>
      </c>
      <c r="AC99" s="139">
        <v>1295.8884404187716</v>
      </c>
      <c r="AD99" s="139">
        <v>1279.8884404187716</v>
      </c>
      <c r="AE99" s="139">
        <v>1319.8884404187716</v>
      </c>
      <c r="AF99" s="139">
        <v>1286.8884404187716</v>
      </c>
      <c r="AG99" s="139">
        <v>1561.8884404187716</v>
      </c>
      <c r="AH99" s="139">
        <v>1556.8884404187716</v>
      </c>
      <c r="AI99" s="139">
        <v>1569.8884404187716</v>
      </c>
      <c r="AJ99" s="139">
        <v>1594.8884404187716</v>
      </c>
      <c r="AK99" s="139">
        <v>1140.8884404187716</v>
      </c>
      <c r="AL99" s="139">
        <v>1059.8884404187716</v>
      </c>
      <c r="AM99" s="139">
        <v>1100.8884404187716</v>
      </c>
      <c r="AN99" s="139">
        <v>1083.8884404187716</v>
      </c>
      <c r="AO99" s="139">
        <v>1348.8884404187716</v>
      </c>
      <c r="AP99" s="139">
        <v>1358.8884404187716</v>
      </c>
      <c r="AQ99" s="139">
        <v>1344.8884404187716</v>
      </c>
      <c r="AR99" s="139">
        <v>1433.8884404187716</v>
      </c>
      <c r="AS99" s="139">
        <v>1099.8884404187716</v>
      </c>
      <c r="AT99" s="139">
        <v>1194.8884404187716</v>
      </c>
      <c r="AU99" s="139">
        <v>1021.8884404187716</v>
      </c>
      <c r="AV99" s="139">
        <v>942.88844041877155</v>
      </c>
      <c r="AW99" s="139">
        <v>1434.8884404187716</v>
      </c>
      <c r="AX99" s="139">
        <v>1400.8884404187716</v>
      </c>
      <c r="AY99" s="139">
        <v>1459.8884404187716</v>
      </c>
      <c r="AZ99" s="122">
        <f>SUM($D99:$AY99)</f>
        <v>76157.94018003995</v>
      </c>
    </row>
    <row r="100" spans="1:52" x14ac:dyDescent="0.2">
      <c r="A100" s="145" t="s">
        <v>133</v>
      </c>
      <c r="B100" s="133">
        <v>1</v>
      </c>
      <c r="C100" s="121">
        <v>345</v>
      </c>
      <c r="D100" s="121">
        <v>525</v>
      </c>
      <c r="E100" s="121">
        <v>806.30487934069504</v>
      </c>
      <c r="F100" s="121">
        <v>0</v>
      </c>
      <c r="G100" s="121">
        <v>874.73030863507029</v>
      </c>
      <c r="H100" s="121">
        <v>0</v>
      </c>
      <c r="I100" s="121">
        <v>437.36515431753514</v>
      </c>
      <c r="J100" s="121">
        <v>437.36515431753514</v>
      </c>
      <c r="K100" s="121">
        <v>437.36515431753514</v>
      </c>
      <c r="L100" s="121">
        <v>437.36515431753514</v>
      </c>
      <c r="M100" s="121">
        <v>437.36515431753514</v>
      </c>
      <c r="N100" s="121">
        <v>437.36515431753514</v>
      </c>
      <c r="O100" s="121">
        <v>437.36515431753514</v>
      </c>
      <c r="P100" s="121">
        <v>0</v>
      </c>
      <c r="Q100" s="121">
        <v>0</v>
      </c>
      <c r="R100" s="121">
        <v>240</v>
      </c>
      <c r="S100" s="121">
        <v>437.36515431753514</v>
      </c>
      <c r="T100" s="121">
        <v>437.36515431753514</v>
      </c>
      <c r="U100" s="121">
        <v>0</v>
      </c>
      <c r="V100" s="121">
        <v>874.73030863507029</v>
      </c>
      <c r="W100" s="121">
        <v>437.36515431753514</v>
      </c>
      <c r="X100" s="121">
        <v>437.36515431753514</v>
      </c>
      <c r="Y100" s="121">
        <v>0</v>
      </c>
      <c r="Z100" s="121">
        <v>240</v>
      </c>
      <c r="AA100" s="121">
        <v>0</v>
      </c>
      <c r="AB100" s="121">
        <v>437.36515431753514</v>
      </c>
      <c r="AC100" s="121">
        <v>437.36515431753514</v>
      </c>
      <c r="AD100" s="121">
        <v>437.36515431753514</v>
      </c>
      <c r="AE100" s="121">
        <v>0</v>
      </c>
      <c r="AF100" s="121">
        <v>437.36515431753514</v>
      </c>
      <c r="AG100" s="121">
        <v>437.36515431753514</v>
      </c>
      <c r="AH100" s="121">
        <v>437.36515431753514</v>
      </c>
      <c r="AI100" s="121">
        <v>437.36515431753514</v>
      </c>
      <c r="AJ100" s="121">
        <v>437.36515431753514</v>
      </c>
      <c r="AK100" s="121">
        <v>437.36515431753514</v>
      </c>
      <c r="AL100" s="121">
        <v>0</v>
      </c>
      <c r="AM100" s="121">
        <v>240</v>
      </c>
      <c r="AN100" s="121">
        <v>437.36515431753514</v>
      </c>
      <c r="AO100" s="121">
        <v>0</v>
      </c>
      <c r="AP100" s="121">
        <v>874.73030863507029</v>
      </c>
      <c r="AQ100" s="121">
        <v>0</v>
      </c>
      <c r="AR100" s="121">
        <v>437.36515431753514</v>
      </c>
      <c r="AS100" s="121">
        <v>437.36515431753514</v>
      </c>
      <c r="AT100" s="121">
        <v>437.36515431753514</v>
      </c>
      <c r="AU100" s="121">
        <v>437.36515431753514</v>
      </c>
      <c r="AV100" s="121">
        <v>437.36515431753514</v>
      </c>
      <c r="AW100" s="121">
        <v>437.36515431753514</v>
      </c>
      <c r="AX100" s="121">
        <v>437.36515431753514</v>
      </c>
      <c r="AY100" s="121">
        <v>0</v>
      </c>
    </row>
    <row r="101" spans="1:52" x14ac:dyDescent="0.2">
      <c r="A101" s="124"/>
      <c r="B101" s="133">
        <v>2</v>
      </c>
      <c r="C101" s="121">
        <v>345</v>
      </c>
      <c r="D101" s="121">
        <v>180</v>
      </c>
      <c r="E101" s="121">
        <v>0</v>
      </c>
      <c r="F101" s="121">
        <v>0</v>
      </c>
      <c r="G101" s="121">
        <v>0</v>
      </c>
      <c r="H101" s="121">
        <v>0</v>
      </c>
      <c r="I101" s="121">
        <v>0</v>
      </c>
      <c r="J101" s="121">
        <v>0</v>
      </c>
      <c r="K101" s="121">
        <v>0</v>
      </c>
      <c r="L101" s="121">
        <v>0</v>
      </c>
      <c r="M101" s="121">
        <v>0</v>
      </c>
      <c r="N101" s="121">
        <v>0</v>
      </c>
      <c r="O101" s="121">
        <v>0</v>
      </c>
      <c r="P101" s="121">
        <v>0</v>
      </c>
      <c r="Q101" s="121">
        <v>437.36515431753514</v>
      </c>
      <c r="R101" s="121">
        <v>0</v>
      </c>
      <c r="S101" s="121">
        <v>634.73030863507029</v>
      </c>
      <c r="T101" s="121">
        <v>146.09546295260543</v>
      </c>
      <c r="U101" s="121">
        <v>0</v>
      </c>
      <c r="V101" s="121">
        <v>0</v>
      </c>
      <c r="W101" s="121">
        <v>233.73030863507029</v>
      </c>
      <c r="X101" s="121">
        <v>125.09546295260543</v>
      </c>
      <c r="Y101" s="121">
        <v>0</v>
      </c>
      <c r="Z101" s="121">
        <v>0</v>
      </c>
      <c r="AA101" s="121">
        <v>634.73030863507029</v>
      </c>
      <c r="AB101" s="121">
        <v>437.36515431753514</v>
      </c>
      <c r="AC101" s="121">
        <v>244.73030863507029</v>
      </c>
      <c r="AD101" s="121">
        <v>35.09546295260543</v>
      </c>
      <c r="AE101" s="121">
        <v>0</v>
      </c>
      <c r="AF101" s="121">
        <v>437.36515431753514</v>
      </c>
      <c r="AG101" s="121">
        <v>126.73030863507029</v>
      </c>
      <c r="AH101" s="121">
        <v>0</v>
      </c>
      <c r="AI101" s="121">
        <v>0</v>
      </c>
      <c r="AJ101" s="121">
        <v>0</v>
      </c>
      <c r="AK101" s="121">
        <v>0</v>
      </c>
      <c r="AL101" s="121">
        <v>0</v>
      </c>
      <c r="AM101" s="121">
        <v>0</v>
      </c>
      <c r="AN101" s="121">
        <v>634.73030863507029</v>
      </c>
      <c r="AO101" s="121">
        <v>160.09546295260543</v>
      </c>
      <c r="AP101" s="121">
        <v>0</v>
      </c>
      <c r="AQ101" s="121">
        <v>238.73030863507029</v>
      </c>
      <c r="AR101" s="121">
        <v>437.36515431753514</v>
      </c>
      <c r="AS101" s="121">
        <v>39.730308635070287</v>
      </c>
      <c r="AT101" s="121">
        <v>0</v>
      </c>
      <c r="AU101" s="121">
        <v>0</v>
      </c>
      <c r="AV101" s="121">
        <v>0</v>
      </c>
      <c r="AW101" s="121">
        <v>0</v>
      </c>
      <c r="AX101" s="121">
        <v>0</v>
      </c>
      <c r="AY101" s="121">
        <v>0</v>
      </c>
    </row>
    <row r="102" spans="1:52" x14ac:dyDescent="0.2">
      <c r="A102" s="124"/>
      <c r="B102" s="134">
        <v>3</v>
      </c>
      <c r="C102" s="121">
        <v>0</v>
      </c>
      <c r="D102" s="121">
        <v>0</v>
      </c>
      <c r="E102" s="121">
        <v>0</v>
      </c>
      <c r="F102" s="121">
        <v>0</v>
      </c>
      <c r="G102" s="121">
        <v>0</v>
      </c>
      <c r="H102" s="121">
        <v>0</v>
      </c>
      <c r="I102" s="121">
        <v>0</v>
      </c>
      <c r="J102" s="121">
        <v>437.36515431753514</v>
      </c>
      <c r="K102" s="121">
        <v>0</v>
      </c>
      <c r="L102" s="121">
        <v>0</v>
      </c>
      <c r="M102" s="121">
        <v>0</v>
      </c>
      <c r="N102" s="121">
        <v>0</v>
      </c>
      <c r="O102" s="121">
        <v>0</v>
      </c>
      <c r="P102" s="121">
        <v>0</v>
      </c>
      <c r="Q102" s="121">
        <v>0</v>
      </c>
      <c r="R102" s="121">
        <v>0</v>
      </c>
      <c r="S102" s="121">
        <v>0</v>
      </c>
      <c r="T102" s="121">
        <v>0</v>
      </c>
      <c r="U102" s="121">
        <v>0</v>
      </c>
      <c r="V102" s="121">
        <v>0</v>
      </c>
      <c r="W102" s="121">
        <v>0</v>
      </c>
      <c r="X102" s="121">
        <v>0</v>
      </c>
      <c r="Y102" s="121">
        <v>0</v>
      </c>
      <c r="Z102" s="121">
        <v>0</v>
      </c>
      <c r="AA102" s="121">
        <v>0</v>
      </c>
      <c r="AB102" s="121">
        <v>0</v>
      </c>
      <c r="AC102" s="121">
        <v>0</v>
      </c>
      <c r="AD102" s="121">
        <v>0</v>
      </c>
      <c r="AE102" s="121">
        <v>0</v>
      </c>
      <c r="AF102" s="121">
        <v>0</v>
      </c>
      <c r="AG102" s="121">
        <v>0</v>
      </c>
      <c r="AH102" s="121">
        <v>0</v>
      </c>
      <c r="AI102" s="121">
        <v>0</v>
      </c>
      <c r="AJ102" s="121">
        <v>0</v>
      </c>
      <c r="AK102" s="121">
        <v>0</v>
      </c>
      <c r="AL102" s="121">
        <v>0</v>
      </c>
      <c r="AM102" s="121">
        <v>0</v>
      </c>
      <c r="AN102" s="121">
        <v>0</v>
      </c>
      <c r="AO102" s="121">
        <v>0</v>
      </c>
      <c r="AP102" s="121">
        <v>0</v>
      </c>
      <c r="AQ102" s="121">
        <v>0</v>
      </c>
      <c r="AR102" s="121">
        <v>0</v>
      </c>
      <c r="AS102" s="121">
        <v>0</v>
      </c>
      <c r="AT102" s="121">
        <v>0</v>
      </c>
      <c r="AU102" s="121">
        <v>0</v>
      </c>
      <c r="AV102" s="121">
        <v>0</v>
      </c>
      <c r="AW102" s="121">
        <v>0</v>
      </c>
      <c r="AX102" s="121">
        <v>0</v>
      </c>
      <c r="AY102" s="121">
        <v>0</v>
      </c>
    </row>
    <row r="103" spans="1:52" x14ac:dyDescent="0.2">
      <c r="A103" s="124"/>
      <c r="B103" s="134">
        <v>4</v>
      </c>
      <c r="C103" s="121">
        <v>0</v>
      </c>
      <c r="D103" s="121">
        <v>0</v>
      </c>
      <c r="E103" s="121">
        <v>0</v>
      </c>
      <c r="F103" s="121">
        <v>0</v>
      </c>
      <c r="G103" s="121">
        <v>0</v>
      </c>
      <c r="H103" s="121">
        <v>0</v>
      </c>
      <c r="I103" s="121">
        <v>0</v>
      </c>
      <c r="J103" s="121">
        <v>0</v>
      </c>
      <c r="K103" s="121">
        <v>0</v>
      </c>
      <c r="L103" s="121">
        <v>0</v>
      </c>
      <c r="M103" s="121">
        <v>0</v>
      </c>
      <c r="N103" s="121">
        <v>0</v>
      </c>
      <c r="O103" s="121">
        <v>0</v>
      </c>
      <c r="P103" s="121">
        <v>0</v>
      </c>
      <c r="Q103" s="121">
        <v>0</v>
      </c>
      <c r="R103" s="121">
        <v>0</v>
      </c>
      <c r="S103" s="121">
        <v>0</v>
      </c>
      <c r="T103" s="121">
        <v>0</v>
      </c>
      <c r="U103" s="121">
        <v>0</v>
      </c>
      <c r="V103" s="121">
        <v>0</v>
      </c>
      <c r="W103" s="121">
        <v>0</v>
      </c>
      <c r="X103" s="121">
        <v>0</v>
      </c>
      <c r="Y103" s="121">
        <v>0</v>
      </c>
      <c r="Z103" s="121">
        <v>0</v>
      </c>
      <c r="AA103" s="121">
        <v>0</v>
      </c>
      <c r="AB103" s="121">
        <v>0</v>
      </c>
      <c r="AC103" s="121">
        <v>0</v>
      </c>
      <c r="AD103" s="121">
        <v>0</v>
      </c>
      <c r="AE103" s="121">
        <v>0</v>
      </c>
      <c r="AF103" s="121">
        <v>0</v>
      </c>
      <c r="AG103" s="121">
        <v>0</v>
      </c>
      <c r="AH103" s="121">
        <v>0</v>
      </c>
      <c r="AI103" s="121">
        <v>0</v>
      </c>
      <c r="AJ103" s="121">
        <v>0</v>
      </c>
      <c r="AK103" s="121">
        <v>0</v>
      </c>
      <c r="AL103" s="121">
        <v>0</v>
      </c>
      <c r="AM103" s="121">
        <v>0</v>
      </c>
      <c r="AN103" s="121">
        <v>0</v>
      </c>
      <c r="AO103" s="121">
        <v>0</v>
      </c>
      <c r="AP103" s="121">
        <v>0</v>
      </c>
      <c r="AQ103" s="121">
        <v>0</v>
      </c>
      <c r="AR103" s="121">
        <v>0</v>
      </c>
      <c r="AS103" s="121">
        <v>0</v>
      </c>
      <c r="AT103" s="121">
        <v>0</v>
      </c>
      <c r="AU103" s="121">
        <v>0</v>
      </c>
      <c r="AV103" s="121">
        <v>0</v>
      </c>
      <c r="AW103" s="121">
        <v>0</v>
      </c>
      <c r="AX103" s="121">
        <v>0</v>
      </c>
      <c r="AY103" s="121">
        <v>0</v>
      </c>
    </row>
    <row r="104" spans="1:52" x14ac:dyDescent="0.2">
      <c r="A104" s="124"/>
      <c r="B104" s="141">
        <v>5</v>
      </c>
      <c r="C104" s="121">
        <v>0</v>
      </c>
      <c r="D104" s="121">
        <v>0</v>
      </c>
      <c r="E104" s="121">
        <v>0</v>
      </c>
      <c r="F104" s="121">
        <v>0</v>
      </c>
      <c r="G104" s="121">
        <v>0</v>
      </c>
      <c r="H104" s="121">
        <v>0</v>
      </c>
      <c r="I104" s="121">
        <v>0</v>
      </c>
      <c r="J104" s="121">
        <v>0</v>
      </c>
      <c r="K104" s="121">
        <v>0</v>
      </c>
      <c r="L104" s="121">
        <v>0</v>
      </c>
      <c r="M104" s="121">
        <v>0</v>
      </c>
      <c r="N104" s="121">
        <v>0</v>
      </c>
      <c r="O104" s="121">
        <v>0</v>
      </c>
      <c r="P104" s="121">
        <v>0</v>
      </c>
      <c r="Q104" s="121">
        <v>0</v>
      </c>
      <c r="R104" s="121">
        <v>0</v>
      </c>
      <c r="S104" s="121">
        <v>0</v>
      </c>
      <c r="T104" s="121">
        <v>0</v>
      </c>
      <c r="U104" s="121">
        <v>0</v>
      </c>
      <c r="V104" s="121">
        <v>0</v>
      </c>
      <c r="W104" s="121">
        <v>0</v>
      </c>
      <c r="X104" s="121">
        <v>0</v>
      </c>
      <c r="Y104" s="121">
        <v>0</v>
      </c>
      <c r="Z104" s="121">
        <v>0</v>
      </c>
      <c r="AA104" s="121">
        <v>0</v>
      </c>
      <c r="AB104" s="121">
        <v>0</v>
      </c>
      <c r="AC104" s="121">
        <v>0</v>
      </c>
      <c r="AD104" s="121">
        <v>0</v>
      </c>
      <c r="AE104" s="121">
        <v>0</v>
      </c>
      <c r="AF104" s="121">
        <v>0</v>
      </c>
      <c r="AG104" s="121">
        <v>0</v>
      </c>
      <c r="AH104" s="121">
        <v>0</v>
      </c>
      <c r="AI104" s="121">
        <v>0</v>
      </c>
      <c r="AJ104" s="121">
        <v>0</v>
      </c>
      <c r="AK104" s="121">
        <v>0</v>
      </c>
      <c r="AL104" s="121">
        <v>0</v>
      </c>
      <c r="AM104" s="121">
        <v>0</v>
      </c>
      <c r="AN104" s="121">
        <v>0</v>
      </c>
      <c r="AO104" s="121">
        <v>0</v>
      </c>
      <c r="AP104" s="121">
        <v>0</v>
      </c>
      <c r="AQ104" s="121">
        <v>0</v>
      </c>
      <c r="AR104" s="121">
        <v>0</v>
      </c>
      <c r="AS104" s="121">
        <v>0</v>
      </c>
      <c r="AT104" s="121">
        <v>0</v>
      </c>
      <c r="AU104" s="121">
        <v>0</v>
      </c>
      <c r="AV104" s="121">
        <v>0</v>
      </c>
      <c r="AW104" s="121">
        <v>0</v>
      </c>
      <c r="AX104" s="121">
        <v>0</v>
      </c>
      <c r="AY104" s="121">
        <v>0</v>
      </c>
    </row>
    <row r="105" spans="1:52" x14ac:dyDescent="0.2">
      <c r="A105" s="124"/>
      <c r="B105" s="141">
        <v>6</v>
      </c>
      <c r="C105" s="121">
        <v>0</v>
      </c>
      <c r="D105" s="121">
        <v>0</v>
      </c>
      <c r="E105" s="121">
        <v>0</v>
      </c>
      <c r="F105" s="121">
        <v>0</v>
      </c>
      <c r="G105" s="121">
        <v>0</v>
      </c>
      <c r="H105" s="121">
        <v>0</v>
      </c>
      <c r="I105" s="121">
        <v>0</v>
      </c>
      <c r="J105" s="121">
        <v>0</v>
      </c>
      <c r="K105" s="121">
        <v>0</v>
      </c>
      <c r="L105" s="121">
        <v>0</v>
      </c>
      <c r="M105" s="121">
        <v>0</v>
      </c>
      <c r="N105" s="121">
        <v>0</v>
      </c>
      <c r="O105" s="121">
        <v>0</v>
      </c>
      <c r="P105" s="121">
        <v>0</v>
      </c>
      <c r="Q105" s="121">
        <v>0</v>
      </c>
      <c r="R105" s="121">
        <v>0</v>
      </c>
      <c r="S105" s="121">
        <v>0</v>
      </c>
      <c r="T105" s="121">
        <v>0</v>
      </c>
      <c r="U105" s="121">
        <v>0</v>
      </c>
      <c r="V105" s="121">
        <v>0</v>
      </c>
      <c r="W105" s="121">
        <v>0</v>
      </c>
      <c r="X105" s="121">
        <v>0</v>
      </c>
      <c r="Y105" s="121">
        <v>0</v>
      </c>
      <c r="Z105" s="121">
        <v>0</v>
      </c>
      <c r="AA105" s="121">
        <v>0</v>
      </c>
      <c r="AB105" s="121">
        <v>0</v>
      </c>
      <c r="AC105" s="121">
        <v>0</v>
      </c>
      <c r="AD105" s="121">
        <v>0</v>
      </c>
      <c r="AE105" s="121">
        <v>0</v>
      </c>
      <c r="AF105" s="121">
        <v>0</v>
      </c>
      <c r="AG105" s="121">
        <v>0</v>
      </c>
      <c r="AH105" s="121">
        <v>0</v>
      </c>
      <c r="AI105" s="121">
        <v>0</v>
      </c>
      <c r="AJ105" s="121">
        <v>0</v>
      </c>
      <c r="AK105" s="121">
        <v>0</v>
      </c>
      <c r="AL105" s="121">
        <v>0</v>
      </c>
      <c r="AM105" s="121">
        <v>0</v>
      </c>
      <c r="AN105" s="121">
        <v>0</v>
      </c>
      <c r="AO105" s="121">
        <v>0</v>
      </c>
      <c r="AP105" s="121">
        <v>0</v>
      </c>
      <c r="AQ105" s="121">
        <v>0</v>
      </c>
      <c r="AR105" s="121">
        <v>0</v>
      </c>
      <c r="AS105" s="121">
        <v>0</v>
      </c>
      <c r="AT105" s="121">
        <v>0</v>
      </c>
      <c r="AU105" s="121">
        <v>0</v>
      </c>
      <c r="AV105" s="121">
        <v>0</v>
      </c>
      <c r="AW105" s="121">
        <v>0</v>
      </c>
      <c r="AX105" s="121">
        <v>0</v>
      </c>
      <c r="AY105" s="121">
        <v>0</v>
      </c>
    </row>
    <row r="106" spans="1:52" x14ac:dyDescent="0.2">
      <c r="A106" s="124"/>
      <c r="B106" s="144">
        <v>7</v>
      </c>
      <c r="C106" s="121">
        <v>0</v>
      </c>
      <c r="D106" s="121">
        <v>0</v>
      </c>
      <c r="E106" s="121">
        <v>0</v>
      </c>
      <c r="F106" s="121">
        <v>0</v>
      </c>
      <c r="G106" s="121">
        <v>0</v>
      </c>
      <c r="H106" s="121">
        <v>0</v>
      </c>
      <c r="I106" s="121">
        <v>0</v>
      </c>
      <c r="J106" s="121">
        <v>0</v>
      </c>
      <c r="K106" s="121">
        <v>0</v>
      </c>
      <c r="L106" s="121">
        <v>0</v>
      </c>
      <c r="M106" s="121">
        <v>0</v>
      </c>
      <c r="N106" s="121">
        <v>0</v>
      </c>
      <c r="O106" s="121">
        <v>0</v>
      </c>
      <c r="P106" s="121">
        <v>0</v>
      </c>
      <c r="Q106" s="121">
        <v>0</v>
      </c>
      <c r="R106" s="121">
        <v>0</v>
      </c>
      <c r="S106" s="121">
        <v>0</v>
      </c>
      <c r="T106" s="121">
        <v>0</v>
      </c>
      <c r="U106" s="121">
        <v>0</v>
      </c>
      <c r="V106" s="121">
        <v>0</v>
      </c>
      <c r="W106" s="121">
        <v>0</v>
      </c>
      <c r="X106" s="121">
        <v>0</v>
      </c>
      <c r="Y106" s="121">
        <v>0</v>
      </c>
      <c r="Z106" s="121">
        <v>0</v>
      </c>
      <c r="AA106" s="121">
        <v>0</v>
      </c>
      <c r="AB106" s="121">
        <v>0</v>
      </c>
      <c r="AC106" s="121">
        <v>0</v>
      </c>
      <c r="AD106" s="121">
        <v>0</v>
      </c>
      <c r="AE106" s="121">
        <v>0</v>
      </c>
      <c r="AF106" s="121">
        <v>0</v>
      </c>
      <c r="AG106" s="121">
        <v>0</v>
      </c>
      <c r="AH106" s="121">
        <v>0</v>
      </c>
      <c r="AI106" s="121">
        <v>0</v>
      </c>
      <c r="AJ106" s="121">
        <v>0</v>
      </c>
      <c r="AK106" s="121">
        <v>0</v>
      </c>
      <c r="AL106" s="121">
        <v>0</v>
      </c>
      <c r="AM106" s="121">
        <v>0</v>
      </c>
      <c r="AN106" s="121">
        <v>0</v>
      </c>
      <c r="AO106" s="121">
        <v>0</v>
      </c>
      <c r="AP106" s="121">
        <v>0</v>
      </c>
      <c r="AQ106" s="121">
        <v>0</v>
      </c>
      <c r="AR106" s="121">
        <v>0</v>
      </c>
      <c r="AS106" s="121">
        <v>0</v>
      </c>
      <c r="AT106" s="121">
        <v>0</v>
      </c>
      <c r="AU106" s="121">
        <v>0</v>
      </c>
      <c r="AV106" s="121">
        <v>0</v>
      </c>
      <c r="AW106" s="121">
        <v>0</v>
      </c>
      <c r="AX106" s="121">
        <v>0</v>
      </c>
      <c r="AY106" s="121">
        <v>0</v>
      </c>
    </row>
    <row r="107" spans="1:52" x14ac:dyDescent="0.2">
      <c r="A107" s="124"/>
      <c r="B107" s="144">
        <v>8</v>
      </c>
      <c r="C107" s="121">
        <v>0</v>
      </c>
      <c r="D107" s="121">
        <v>0</v>
      </c>
      <c r="E107" s="121">
        <v>0</v>
      </c>
      <c r="F107" s="121">
        <v>0</v>
      </c>
      <c r="G107" s="121">
        <v>0</v>
      </c>
      <c r="H107" s="121">
        <v>0</v>
      </c>
      <c r="I107" s="121">
        <v>0</v>
      </c>
      <c r="J107" s="121">
        <v>0</v>
      </c>
      <c r="K107" s="121">
        <v>0</v>
      </c>
      <c r="L107" s="121">
        <v>0</v>
      </c>
      <c r="M107" s="121">
        <v>0</v>
      </c>
      <c r="N107" s="121">
        <v>0</v>
      </c>
      <c r="O107" s="121">
        <v>0</v>
      </c>
      <c r="P107" s="121">
        <v>0</v>
      </c>
      <c r="Q107" s="121">
        <v>0</v>
      </c>
      <c r="R107" s="121">
        <v>0</v>
      </c>
      <c r="S107" s="121">
        <v>0</v>
      </c>
      <c r="T107" s="121">
        <v>0</v>
      </c>
      <c r="U107" s="121">
        <v>0</v>
      </c>
      <c r="V107" s="121">
        <v>0</v>
      </c>
      <c r="W107" s="121">
        <v>0</v>
      </c>
      <c r="X107" s="121">
        <v>0</v>
      </c>
      <c r="Y107" s="121">
        <v>0</v>
      </c>
      <c r="Z107" s="121">
        <v>0</v>
      </c>
      <c r="AA107" s="121">
        <v>0</v>
      </c>
      <c r="AB107" s="121">
        <v>0</v>
      </c>
      <c r="AC107" s="121">
        <v>0</v>
      </c>
      <c r="AD107" s="121">
        <v>0</v>
      </c>
      <c r="AE107" s="121">
        <v>0</v>
      </c>
      <c r="AF107" s="121">
        <v>0</v>
      </c>
      <c r="AG107" s="121">
        <v>0</v>
      </c>
      <c r="AH107" s="121">
        <v>0</v>
      </c>
      <c r="AI107" s="121">
        <v>0</v>
      </c>
      <c r="AJ107" s="121">
        <v>0</v>
      </c>
      <c r="AK107" s="121">
        <v>0</v>
      </c>
      <c r="AL107" s="121">
        <v>0</v>
      </c>
      <c r="AM107" s="121">
        <v>0</v>
      </c>
      <c r="AN107" s="121">
        <v>0</v>
      </c>
      <c r="AO107" s="121">
        <v>0</v>
      </c>
      <c r="AP107" s="121">
        <v>0</v>
      </c>
      <c r="AQ107" s="121">
        <v>0</v>
      </c>
      <c r="AR107" s="121">
        <v>0</v>
      </c>
      <c r="AS107" s="121">
        <v>0</v>
      </c>
      <c r="AT107" s="121">
        <v>0</v>
      </c>
      <c r="AU107" s="121">
        <v>0</v>
      </c>
      <c r="AV107" s="121">
        <v>0</v>
      </c>
      <c r="AW107" s="121">
        <v>0</v>
      </c>
      <c r="AX107" s="121">
        <v>0</v>
      </c>
      <c r="AY107" s="121">
        <v>0</v>
      </c>
    </row>
    <row r="108" spans="1:52" x14ac:dyDescent="0.2">
      <c r="A108" s="142"/>
      <c r="B108" s="146" t="s">
        <v>296</v>
      </c>
      <c r="C108" s="128">
        <v>0</v>
      </c>
      <c r="D108" s="139">
        <v>0</v>
      </c>
      <c r="E108" s="139">
        <v>0</v>
      </c>
      <c r="F108" s="139">
        <v>0</v>
      </c>
      <c r="G108" s="139">
        <v>0</v>
      </c>
      <c r="H108" s="139">
        <v>0</v>
      </c>
      <c r="I108" s="139">
        <v>0</v>
      </c>
      <c r="J108" s="139">
        <v>0</v>
      </c>
      <c r="K108" s="139">
        <v>0</v>
      </c>
      <c r="L108" s="139">
        <v>0</v>
      </c>
      <c r="M108" s="139">
        <v>0</v>
      </c>
      <c r="N108" s="139">
        <v>0</v>
      </c>
      <c r="O108" s="139">
        <v>0</v>
      </c>
      <c r="P108" s="139">
        <v>0</v>
      </c>
      <c r="Q108" s="139">
        <v>0</v>
      </c>
      <c r="R108" s="139">
        <v>0</v>
      </c>
      <c r="S108" s="139">
        <v>0</v>
      </c>
      <c r="T108" s="139">
        <v>0</v>
      </c>
      <c r="U108" s="139">
        <v>0</v>
      </c>
      <c r="V108" s="139">
        <v>0</v>
      </c>
      <c r="W108" s="139">
        <v>0</v>
      </c>
      <c r="X108" s="139">
        <v>0</v>
      </c>
      <c r="Y108" s="139">
        <v>0</v>
      </c>
      <c r="Z108" s="139">
        <v>0</v>
      </c>
      <c r="AA108" s="139">
        <v>0</v>
      </c>
      <c r="AB108" s="139">
        <v>0</v>
      </c>
      <c r="AC108" s="139">
        <v>0</v>
      </c>
      <c r="AD108" s="139">
        <v>0</v>
      </c>
      <c r="AE108" s="139">
        <v>0</v>
      </c>
      <c r="AF108" s="139">
        <v>0</v>
      </c>
      <c r="AG108" s="139">
        <v>0</v>
      </c>
      <c r="AH108" s="139">
        <v>0</v>
      </c>
      <c r="AI108" s="139">
        <v>0</v>
      </c>
      <c r="AJ108" s="139">
        <v>0</v>
      </c>
      <c r="AK108" s="139">
        <v>0</v>
      </c>
      <c r="AL108" s="139">
        <v>0</v>
      </c>
      <c r="AM108" s="139">
        <v>0</v>
      </c>
      <c r="AN108" s="139">
        <v>0</v>
      </c>
      <c r="AO108" s="139">
        <v>0</v>
      </c>
      <c r="AP108" s="139">
        <v>0</v>
      </c>
      <c r="AQ108" s="139">
        <v>0</v>
      </c>
      <c r="AR108" s="139">
        <v>0</v>
      </c>
      <c r="AS108" s="139">
        <v>0</v>
      </c>
      <c r="AT108" s="139">
        <v>0</v>
      </c>
      <c r="AU108" s="139">
        <v>0</v>
      </c>
      <c r="AV108" s="139">
        <v>0</v>
      </c>
      <c r="AW108" s="139">
        <v>0</v>
      </c>
      <c r="AX108" s="139">
        <v>0</v>
      </c>
      <c r="AY108" s="139">
        <v>0</v>
      </c>
      <c r="AZ108" s="122">
        <f>SUM($D108:$AY108)</f>
        <v>0</v>
      </c>
    </row>
    <row r="109" spans="1:52" x14ac:dyDescent="0.2">
      <c r="A109" s="145" t="s">
        <v>134</v>
      </c>
      <c r="B109" s="133">
        <v>1</v>
      </c>
      <c r="C109" s="121">
        <v>84.057800832886102</v>
      </c>
      <c r="D109" s="121">
        <v>84.057800832886102</v>
      </c>
      <c r="E109" s="121">
        <v>262.87869325683533</v>
      </c>
      <c r="F109" s="121">
        <v>262.87869325683533</v>
      </c>
      <c r="G109" s="121">
        <v>262.87869325683533</v>
      </c>
      <c r="H109" s="121">
        <v>262.87869325683533</v>
      </c>
      <c r="I109" s="121">
        <v>262.8786932568355</v>
      </c>
      <c r="J109" s="121">
        <v>302.10324912252997</v>
      </c>
      <c r="K109" s="121">
        <v>319.96214690425728</v>
      </c>
      <c r="L109" s="121">
        <v>358.79452402424988</v>
      </c>
      <c r="M109" s="121">
        <v>365.80537972862209</v>
      </c>
      <c r="N109" s="121">
        <v>262.8786932568355</v>
      </c>
      <c r="O109" s="121">
        <v>262.8786932568355</v>
      </c>
      <c r="P109" s="121">
        <v>262.8786932568355</v>
      </c>
      <c r="Q109" s="121">
        <v>262.8786932568355</v>
      </c>
      <c r="R109" s="121">
        <v>297.39762677656529</v>
      </c>
      <c r="S109" s="121">
        <v>273.5565765813937</v>
      </c>
      <c r="T109" s="121">
        <v>271.36628320977462</v>
      </c>
      <c r="U109" s="121">
        <v>262.8786932568355</v>
      </c>
      <c r="V109" s="121">
        <v>262.8786932568355</v>
      </c>
      <c r="W109" s="121">
        <v>262.8786932568355</v>
      </c>
      <c r="X109" s="121">
        <v>262.8786932568355</v>
      </c>
      <c r="Y109" s="121">
        <v>262.8786932568355</v>
      </c>
      <c r="Z109" s="121">
        <v>262.8786932568355</v>
      </c>
      <c r="AA109" s="121">
        <v>262.8786932568355</v>
      </c>
      <c r="AB109" s="121">
        <v>262.8786932568355</v>
      </c>
      <c r="AC109" s="121">
        <v>262.8786932568355</v>
      </c>
      <c r="AD109" s="121">
        <v>262.8786932568355</v>
      </c>
      <c r="AE109" s="121">
        <v>262.8786932568355</v>
      </c>
      <c r="AF109" s="121">
        <v>262.8786932568355</v>
      </c>
      <c r="AG109" s="121">
        <v>262.8786932568355</v>
      </c>
      <c r="AH109" s="121">
        <v>262.8786932568355</v>
      </c>
      <c r="AI109" s="121">
        <v>262.8786932568355</v>
      </c>
      <c r="AJ109" s="121">
        <v>262.8786932568355</v>
      </c>
      <c r="AK109" s="121">
        <v>262.8786932568355</v>
      </c>
      <c r="AL109" s="121">
        <v>262.8786932568355</v>
      </c>
      <c r="AM109" s="121">
        <v>262.8786932568355</v>
      </c>
      <c r="AN109" s="121">
        <v>262.8786932568355</v>
      </c>
      <c r="AO109" s="121">
        <v>262.8786932568355</v>
      </c>
      <c r="AP109" s="121">
        <v>265.23309969070465</v>
      </c>
      <c r="AQ109" s="121">
        <v>262.8786932568355</v>
      </c>
      <c r="AR109" s="121">
        <v>288.93957199509396</v>
      </c>
      <c r="AS109" s="121">
        <v>288.74086471771454</v>
      </c>
      <c r="AT109" s="121">
        <v>281.9222635819886</v>
      </c>
      <c r="AU109" s="121">
        <v>297.22135061662254</v>
      </c>
      <c r="AV109" s="121">
        <v>310.49134892037273</v>
      </c>
      <c r="AW109" s="121">
        <v>308.95476610015737</v>
      </c>
      <c r="AX109" s="121">
        <v>262.8786932568355</v>
      </c>
      <c r="AY109" s="121">
        <v>262.8786932568355</v>
      </c>
    </row>
    <row r="110" spans="1:52" x14ac:dyDescent="0.2">
      <c r="A110" s="124"/>
      <c r="B110" s="133">
        <v>2</v>
      </c>
      <c r="C110" s="121">
        <v>0</v>
      </c>
      <c r="D110" s="121">
        <v>0</v>
      </c>
      <c r="E110" s="121">
        <v>0</v>
      </c>
      <c r="F110" s="121">
        <v>0</v>
      </c>
      <c r="G110" s="121">
        <v>0</v>
      </c>
      <c r="H110" s="121">
        <v>0</v>
      </c>
      <c r="I110" s="121">
        <v>0</v>
      </c>
      <c r="J110" s="121">
        <v>0</v>
      </c>
      <c r="K110" s="121">
        <v>81.103249122529974</v>
      </c>
      <c r="L110" s="121">
        <v>130.98596297828738</v>
      </c>
      <c r="M110" s="121">
        <v>0</v>
      </c>
      <c r="N110" s="121">
        <v>0</v>
      </c>
      <c r="O110" s="121">
        <v>0</v>
      </c>
      <c r="P110" s="121">
        <v>0</v>
      </c>
      <c r="Q110" s="121">
        <v>0</v>
      </c>
      <c r="R110" s="121">
        <v>0</v>
      </c>
      <c r="S110" s="121">
        <v>0</v>
      </c>
      <c r="T110" s="121">
        <v>0</v>
      </c>
      <c r="U110" s="121">
        <v>0</v>
      </c>
      <c r="V110" s="121">
        <v>0</v>
      </c>
      <c r="W110" s="121">
        <v>0</v>
      </c>
      <c r="X110" s="121">
        <v>0</v>
      </c>
      <c r="Y110" s="121">
        <v>0</v>
      </c>
      <c r="Z110" s="121">
        <v>0</v>
      </c>
      <c r="AA110" s="121">
        <v>0</v>
      </c>
      <c r="AB110" s="121">
        <v>0</v>
      </c>
      <c r="AC110" s="121">
        <v>0</v>
      </c>
      <c r="AD110" s="121">
        <v>0</v>
      </c>
      <c r="AE110" s="121">
        <v>0</v>
      </c>
      <c r="AF110" s="121">
        <v>0</v>
      </c>
      <c r="AG110" s="121">
        <v>0</v>
      </c>
      <c r="AH110" s="121">
        <v>0</v>
      </c>
      <c r="AI110" s="121">
        <v>0</v>
      </c>
      <c r="AJ110" s="121">
        <v>0</v>
      </c>
      <c r="AK110" s="121">
        <v>0</v>
      </c>
      <c r="AL110" s="121">
        <v>0</v>
      </c>
      <c r="AM110" s="121">
        <v>0</v>
      </c>
      <c r="AN110" s="121">
        <v>0</v>
      </c>
      <c r="AO110" s="121">
        <v>0</v>
      </c>
      <c r="AP110" s="121">
        <v>0</v>
      </c>
      <c r="AQ110" s="121">
        <v>0</v>
      </c>
      <c r="AR110" s="121">
        <v>0</v>
      </c>
      <c r="AS110" s="121">
        <v>0</v>
      </c>
      <c r="AT110" s="121">
        <v>0</v>
      </c>
      <c r="AU110" s="121">
        <v>0</v>
      </c>
      <c r="AV110" s="121">
        <v>0</v>
      </c>
      <c r="AW110" s="121">
        <v>0</v>
      </c>
      <c r="AX110" s="121">
        <v>0</v>
      </c>
      <c r="AY110" s="121">
        <v>0</v>
      </c>
    </row>
    <row r="111" spans="1:52" x14ac:dyDescent="0.2">
      <c r="A111" s="124"/>
      <c r="B111" s="133">
        <v>3</v>
      </c>
      <c r="C111" s="121">
        <v>0</v>
      </c>
      <c r="D111" s="121">
        <v>0</v>
      </c>
      <c r="E111" s="121">
        <v>0</v>
      </c>
      <c r="F111" s="121">
        <v>0</v>
      </c>
      <c r="G111" s="121">
        <v>0</v>
      </c>
      <c r="H111" s="121">
        <v>0</v>
      </c>
      <c r="I111" s="121">
        <v>0</v>
      </c>
      <c r="J111" s="121">
        <v>0</v>
      </c>
      <c r="K111" s="121">
        <v>0</v>
      </c>
      <c r="L111" s="121">
        <v>0</v>
      </c>
      <c r="M111" s="121">
        <v>0</v>
      </c>
      <c r="N111" s="121">
        <v>0</v>
      </c>
      <c r="O111" s="121">
        <v>0</v>
      </c>
      <c r="P111" s="121">
        <v>0</v>
      </c>
      <c r="Q111" s="121">
        <v>0</v>
      </c>
      <c r="R111" s="121">
        <v>0</v>
      </c>
      <c r="S111" s="121">
        <v>0</v>
      </c>
      <c r="T111" s="121">
        <v>0</v>
      </c>
      <c r="U111" s="121">
        <v>0</v>
      </c>
      <c r="V111" s="121">
        <v>0</v>
      </c>
      <c r="W111" s="121">
        <v>0</v>
      </c>
      <c r="X111" s="121">
        <v>0</v>
      </c>
      <c r="Y111" s="121">
        <v>0</v>
      </c>
      <c r="Z111" s="121">
        <v>0</v>
      </c>
      <c r="AA111" s="121">
        <v>0</v>
      </c>
      <c r="AB111" s="121">
        <v>0</v>
      </c>
      <c r="AC111" s="121">
        <v>0</v>
      </c>
      <c r="AD111" s="121">
        <v>0</v>
      </c>
      <c r="AE111" s="121">
        <v>0</v>
      </c>
      <c r="AF111" s="121">
        <v>0</v>
      </c>
      <c r="AG111" s="121">
        <v>0</v>
      </c>
      <c r="AH111" s="121">
        <v>0</v>
      </c>
      <c r="AI111" s="121">
        <v>0</v>
      </c>
      <c r="AJ111" s="121">
        <v>0</v>
      </c>
      <c r="AK111" s="121">
        <v>0</v>
      </c>
      <c r="AL111" s="121">
        <v>0</v>
      </c>
      <c r="AM111" s="121">
        <v>0</v>
      </c>
      <c r="AN111" s="121">
        <v>0</v>
      </c>
      <c r="AO111" s="121">
        <v>0</v>
      </c>
      <c r="AP111" s="121">
        <v>0</v>
      </c>
      <c r="AQ111" s="121">
        <v>0</v>
      </c>
      <c r="AR111" s="121">
        <v>0</v>
      </c>
      <c r="AS111" s="121">
        <v>0</v>
      </c>
      <c r="AT111" s="121">
        <v>0</v>
      </c>
      <c r="AU111" s="121">
        <v>0</v>
      </c>
      <c r="AV111" s="121">
        <v>0</v>
      </c>
      <c r="AW111" s="121">
        <v>0</v>
      </c>
      <c r="AX111" s="121">
        <v>0</v>
      </c>
      <c r="AY111" s="121">
        <v>0</v>
      </c>
    </row>
    <row r="112" spans="1:52" x14ac:dyDescent="0.2">
      <c r="A112" s="124"/>
      <c r="B112" s="134">
        <v>4</v>
      </c>
      <c r="C112" s="121">
        <v>0</v>
      </c>
      <c r="D112" s="121">
        <v>0</v>
      </c>
      <c r="E112" s="121">
        <v>0</v>
      </c>
      <c r="F112" s="121">
        <v>0</v>
      </c>
      <c r="G112" s="121">
        <v>0</v>
      </c>
      <c r="H112" s="121">
        <v>0</v>
      </c>
      <c r="I112" s="121">
        <v>0</v>
      </c>
      <c r="J112" s="121">
        <v>0</v>
      </c>
      <c r="K112" s="121">
        <v>0</v>
      </c>
      <c r="L112" s="121">
        <v>0</v>
      </c>
      <c r="M112" s="121">
        <v>0</v>
      </c>
      <c r="N112" s="121">
        <v>0</v>
      </c>
      <c r="O112" s="121">
        <v>0</v>
      </c>
      <c r="P112" s="121">
        <v>0</v>
      </c>
      <c r="Q112" s="121">
        <v>0</v>
      </c>
      <c r="R112" s="121">
        <v>0</v>
      </c>
      <c r="S112" s="121">
        <v>0</v>
      </c>
      <c r="T112" s="121">
        <v>0</v>
      </c>
      <c r="U112" s="121">
        <v>0</v>
      </c>
      <c r="V112" s="121">
        <v>0</v>
      </c>
      <c r="W112" s="121">
        <v>0</v>
      </c>
      <c r="X112" s="121">
        <v>0</v>
      </c>
      <c r="Y112" s="121">
        <v>0</v>
      </c>
      <c r="Z112" s="121">
        <v>0</v>
      </c>
      <c r="AA112" s="121">
        <v>0</v>
      </c>
      <c r="AB112" s="121">
        <v>0</v>
      </c>
      <c r="AC112" s="121">
        <v>0</v>
      </c>
      <c r="AD112" s="121">
        <v>0</v>
      </c>
      <c r="AE112" s="121">
        <v>0</v>
      </c>
      <c r="AF112" s="121">
        <v>0</v>
      </c>
      <c r="AG112" s="121">
        <v>0</v>
      </c>
      <c r="AH112" s="121">
        <v>0</v>
      </c>
      <c r="AI112" s="121">
        <v>0</v>
      </c>
      <c r="AJ112" s="121">
        <v>0</v>
      </c>
      <c r="AK112" s="121">
        <v>0</v>
      </c>
      <c r="AL112" s="121">
        <v>0</v>
      </c>
      <c r="AM112" s="121">
        <v>0</v>
      </c>
      <c r="AN112" s="121">
        <v>0</v>
      </c>
      <c r="AO112" s="121">
        <v>0</v>
      </c>
      <c r="AP112" s="121">
        <v>0</v>
      </c>
      <c r="AQ112" s="121">
        <v>0</v>
      </c>
      <c r="AR112" s="121">
        <v>0</v>
      </c>
      <c r="AS112" s="121">
        <v>0</v>
      </c>
      <c r="AT112" s="121">
        <v>0</v>
      </c>
      <c r="AU112" s="121">
        <v>0</v>
      </c>
      <c r="AV112" s="121">
        <v>0</v>
      </c>
      <c r="AW112" s="121">
        <v>0</v>
      </c>
      <c r="AX112" s="121">
        <v>0</v>
      </c>
      <c r="AY112" s="121">
        <v>0</v>
      </c>
    </row>
    <row r="113" spans="1:52" x14ac:dyDescent="0.2">
      <c r="A113" s="124"/>
      <c r="B113" s="134">
        <v>5</v>
      </c>
      <c r="C113" s="121">
        <v>0</v>
      </c>
      <c r="D113" s="121">
        <v>0</v>
      </c>
      <c r="E113" s="121">
        <v>0</v>
      </c>
      <c r="F113" s="121">
        <v>0</v>
      </c>
      <c r="G113" s="121">
        <v>0</v>
      </c>
      <c r="H113" s="121">
        <v>0</v>
      </c>
      <c r="I113" s="121">
        <v>0</v>
      </c>
      <c r="J113" s="121">
        <v>0</v>
      </c>
      <c r="K113" s="121">
        <v>0</v>
      </c>
      <c r="L113" s="121">
        <v>0</v>
      </c>
      <c r="M113" s="121">
        <v>0</v>
      </c>
      <c r="N113" s="121">
        <v>0</v>
      </c>
      <c r="O113" s="121">
        <v>0</v>
      </c>
      <c r="P113" s="121">
        <v>0</v>
      </c>
      <c r="Q113" s="121">
        <v>0</v>
      </c>
      <c r="R113" s="121">
        <v>0</v>
      </c>
      <c r="S113" s="121">
        <v>0</v>
      </c>
      <c r="T113" s="121">
        <v>0</v>
      </c>
      <c r="U113" s="121">
        <v>0</v>
      </c>
      <c r="V113" s="121">
        <v>0</v>
      </c>
      <c r="W113" s="121">
        <v>0</v>
      </c>
      <c r="X113" s="121">
        <v>0</v>
      </c>
      <c r="Y113" s="121">
        <v>0</v>
      </c>
      <c r="Z113" s="121">
        <v>0</v>
      </c>
      <c r="AA113" s="121">
        <v>0</v>
      </c>
      <c r="AB113" s="121">
        <v>0</v>
      </c>
      <c r="AC113" s="121">
        <v>0</v>
      </c>
      <c r="AD113" s="121">
        <v>0</v>
      </c>
      <c r="AE113" s="121">
        <v>0</v>
      </c>
      <c r="AF113" s="121">
        <v>0</v>
      </c>
      <c r="AG113" s="121">
        <v>0</v>
      </c>
      <c r="AH113" s="121">
        <v>0</v>
      </c>
      <c r="AI113" s="121">
        <v>0</v>
      </c>
      <c r="AJ113" s="121">
        <v>0</v>
      </c>
      <c r="AK113" s="121">
        <v>0</v>
      </c>
      <c r="AL113" s="121">
        <v>0</v>
      </c>
      <c r="AM113" s="121">
        <v>0</v>
      </c>
      <c r="AN113" s="121">
        <v>0</v>
      </c>
      <c r="AO113" s="121">
        <v>0</v>
      </c>
      <c r="AP113" s="121">
        <v>0</v>
      </c>
      <c r="AQ113" s="121">
        <v>0</v>
      </c>
      <c r="AR113" s="121">
        <v>0</v>
      </c>
      <c r="AS113" s="121">
        <v>0</v>
      </c>
      <c r="AT113" s="121">
        <v>0</v>
      </c>
      <c r="AU113" s="121">
        <v>0</v>
      </c>
      <c r="AV113" s="121">
        <v>0</v>
      </c>
      <c r="AW113" s="121">
        <v>0</v>
      </c>
      <c r="AX113" s="121">
        <v>0</v>
      </c>
      <c r="AY113" s="121">
        <v>0</v>
      </c>
    </row>
    <row r="114" spans="1:52" x14ac:dyDescent="0.2">
      <c r="A114" s="124"/>
      <c r="B114" s="134">
        <v>6</v>
      </c>
      <c r="C114" s="121">
        <v>0</v>
      </c>
      <c r="D114" s="121">
        <v>0</v>
      </c>
      <c r="E114" s="121">
        <v>0</v>
      </c>
      <c r="F114" s="121">
        <v>0</v>
      </c>
      <c r="G114" s="121">
        <v>0</v>
      </c>
      <c r="H114" s="121">
        <v>0</v>
      </c>
      <c r="I114" s="121">
        <v>0</v>
      </c>
      <c r="J114" s="121">
        <v>0</v>
      </c>
      <c r="K114" s="121">
        <v>0</v>
      </c>
      <c r="L114" s="121">
        <v>0</v>
      </c>
      <c r="M114" s="121">
        <v>0</v>
      </c>
      <c r="N114" s="121">
        <v>0</v>
      </c>
      <c r="O114" s="121">
        <v>0</v>
      </c>
      <c r="P114" s="121">
        <v>0</v>
      </c>
      <c r="Q114" s="121">
        <v>0</v>
      </c>
      <c r="R114" s="121">
        <v>0</v>
      </c>
      <c r="S114" s="121">
        <v>0</v>
      </c>
      <c r="T114" s="121">
        <v>0</v>
      </c>
      <c r="U114" s="121">
        <v>0</v>
      </c>
      <c r="V114" s="121">
        <v>0</v>
      </c>
      <c r="W114" s="121">
        <v>0</v>
      </c>
      <c r="X114" s="121">
        <v>0</v>
      </c>
      <c r="Y114" s="121">
        <v>0</v>
      </c>
      <c r="Z114" s="121">
        <v>0</v>
      </c>
      <c r="AA114" s="121">
        <v>0</v>
      </c>
      <c r="AB114" s="121">
        <v>0</v>
      </c>
      <c r="AC114" s="121">
        <v>0</v>
      </c>
      <c r="AD114" s="121">
        <v>0</v>
      </c>
      <c r="AE114" s="121">
        <v>0</v>
      </c>
      <c r="AF114" s="121">
        <v>0</v>
      </c>
      <c r="AG114" s="121">
        <v>0</v>
      </c>
      <c r="AH114" s="121">
        <v>0</v>
      </c>
      <c r="AI114" s="121">
        <v>0</v>
      </c>
      <c r="AJ114" s="121">
        <v>0</v>
      </c>
      <c r="AK114" s="121">
        <v>0</v>
      </c>
      <c r="AL114" s="121">
        <v>0</v>
      </c>
      <c r="AM114" s="121">
        <v>0</v>
      </c>
      <c r="AN114" s="121">
        <v>0</v>
      </c>
      <c r="AO114" s="121">
        <v>0</v>
      </c>
      <c r="AP114" s="121">
        <v>0</v>
      </c>
      <c r="AQ114" s="121">
        <v>0</v>
      </c>
      <c r="AR114" s="121">
        <v>0</v>
      </c>
      <c r="AS114" s="121">
        <v>0</v>
      </c>
      <c r="AT114" s="121">
        <v>0</v>
      </c>
      <c r="AU114" s="121">
        <v>0</v>
      </c>
      <c r="AV114" s="121">
        <v>0</v>
      </c>
      <c r="AW114" s="121">
        <v>0</v>
      </c>
      <c r="AX114" s="121">
        <v>0</v>
      </c>
      <c r="AY114" s="121">
        <v>0</v>
      </c>
    </row>
    <row r="115" spans="1:52" x14ac:dyDescent="0.2">
      <c r="A115" s="124"/>
      <c r="B115" s="141">
        <v>7</v>
      </c>
      <c r="C115" s="121">
        <v>0</v>
      </c>
      <c r="D115" s="121">
        <v>0</v>
      </c>
      <c r="E115" s="121">
        <v>0</v>
      </c>
      <c r="F115" s="121">
        <v>0</v>
      </c>
      <c r="G115" s="121">
        <v>0</v>
      </c>
      <c r="H115" s="121">
        <v>0</v>
      </c>
      <c r="I115" s="121">
        <v>0</v>
      </c>
      <c r="J115" s="121">
        <v>0</v>
      </c>
      <c r="K115" s="121">
        <v>0</v>
      </c>
      <c r="L115" s="121">
        <v>0</v>
      </c>
      <c r="M115" s="121">
        <v>0</v>
      </c>
      <c r="N115" s="121">
        <v>0</v>
      </c>
      <c r="O115" s="121">
        <v>0</v>
      </c>
      <c r="P115" s="121">
        <v>0</v>
      </c>
      <c r="Q115" s="121">
        <v>0</v>
      </c>
      <c r="R115" s="121">
        <v>0</v>
      </c>
      <c r="S115" s="121">
        <v>0</v>
      </c>
      <c r="T115" s="121">
        <v>0</v>
      </c>
      <c r="U115" s="121">
        <v>0</v>
      </c>
      <c r="V115" s="121">
        <v>0</v>
      </c>
      <c r="W115" s="121">
        <v>0</v>
      </c>
      <c r="X115" s="121">
        <v>0</v>
      </c>
      <c r="Y115" s="121">
        <v>0</v>
      </c>
      <c r="Z115" s="121">
        <v>0</v>
      </c>
      <c r="AA115" s="121">
        <v>0</v>
      </c>
      <c r="AB115" s="121">
        <v>0</v>
      </c>
      <c r="AC115" s="121">
        <v>0</v>
      </c>
      <c r="AD115" s="121">
        <v>0</v>
      </c>
      <c r="AE115" s="121">
        <v>0</v>
      </c>
      <c r="AF115" s="121">
        <v>0</v>
      </c>
      <c r="AG115" s="121">
        <v>0</v>
      </c>
      <c r="AH115" s="121">
        <v>0</v>
      </c>
      <c r="AI115" s="121">
        <v>0</v>
      </c>
      <c r="AJ115" s="121">
        <v>0</v>
      </c>
      <c r="AK115" s="121">
        <v>0</v>
      </c>
      <c r="AL115" s="121">
        <v>0</v>
      </c>
      <c r="AM115" s="121">
        <v>0</v>
      </c>
      <c r="AN115" s="121">
        <v>0</v>
      </c>
      <c r="AO115" s="121">
        <v>0</v>
      </c>
      <c r="AP115" s="121">
        <v>0</v>
      </c>
      <c r="AQ115" s="121">
        <v>0</v>
      </c>
      <c r="AR115" s="121">
        <v>0</v>
      </c>
      <c r="AS115" s="121">
        <v>0</v>
      </c>
      <c r="AT115" s="121">
        <v>0</v>
      </c>
      <c r="AU115" s="121">
        <v>0</v>
      </c>
      <c r="AV115" s="121">
        <v>0</v>
      </c>
      <c r="AW115" s="121">
        <v>0</v>
      </c>
      <c r="AX115" s="121">
        <v>0</v>
      </c>
      <c r="AY115" s="121">
        <v>0</v>
      </c>
    </row>
    <row r="116" spans="1:52" x14ac:dyDescent="0.2">
      <c r="A116" s="124"/>
      <c r="B116" s="141">
        <v>8</v>
      </c>
      <c r="C116" s="121">
        <v>0</v>
      </c>
      <c r="D116" s="121">
        <v>0</v>
      </c>
      <c r="E116" s="121">
        <v>0</v>
      </c>
      <c r="F116" s="121">
        <v>0</v>
      </c>
      <c r="G116" s="121">
        <v>0</v>
      </c>
      <c r="H116" s="121">
        <v>0</v>
      </c>
      <c r="I116" s="121">
        <v>0</v>
      </c>
      <c r="J116" s="121">
        <v>0</v>
      </c>
      <c r="K116" s="121">
        <v>0</v>
      </c>
      <c r="L116" s="121">
        <v>0</v>
      </c>
      <c r="M116" s="121">
        <v>0</v>
      </c>
      <c r="N116" s="121">
        <v>0</v>
      </c>
      <c r="O116" s="121">
        <v>0</v>
      </c>
      <c r="P116" s="121">
        <v>0</v>
      </c>
      <c r="Q116" s="121">
        <v>0</v>
      </c>
      <c r="R116" s="121">
        <v>0</v>
      </c>
      <c r="S116" s="121">
        <v>0</v>
      </c>
      <c r="T116" s="121">
        <v>0</v>
      </c>
      <c r="U116" s="121">
        <v>0</v>
      </c>
      <c r="V116" s="121">
        <v>0</v>
      </c>
      <c r="W116" s="121">
        <v>0</v>
      </c>
      <c r="X116" s="121">
        <v>0</v>
      </c>
      <c r="Y116" s="121">
        <v>0</v>
      </c>
      <c r="Z116" s="121">
        <v>0</v>
      </c>
      <c r="AA116" s="121">
        <v>0</v>
      </c>
      <c r="AB116" s="121">
        <v>0</v>
      </c>
      <c r="AC116" s="121">
        <v>0</v>
      </c>
      <c r="AD116" s="121">
        <v>0</v>
      </c>
      <c r="AE116" s="121">
        <v>0</v>
      </c>
      <c r="AF116" s="121">
        <v>0</v>
      </c>
      <c r="AG116" s="121">
        <v>0</v>
      </c>
      <c r="AH116" s="121">
        <v>0</v>
      </c>
      <c r="AI116" s="121">
        <v>0</v>
      </c>
      <c r="AJ116" s="121">
        <v>0</v>
      </c>
      <c r="AK116" s="121">
        <v>0</v>
      </c>
      <c r="AL116" s="121">
        <v>0</v>
      </c>
      <c r="AM116" s="121">
        <v>0</v>
      </c>
      <c r="AN116" s="121">
        <v>0</v>
      </c>
      <c r="AO116" s="121">
        <v>0</v>
      </c>
      <c r="AP116" s="121">
        <v>0</v>
      </c>
      <c r="AQ116" s="121">
        <v>0</v>
      </c>
      <c r="AR116" s="121">
        <v>0</v>
      </c>
      <c r="AS116" s="121">
        <v>0</v>
      </c>
      <c r="AT116" s="121">
        <v>0</v>
      </c>
      <c r="AU116" s="121">
        <v>0</v>
      </c>
      <c r="AV116" s="121">
        <v>0</v>
      </c>
      <c r="AW116" s="121">
        <v>0</v>
      </c>
      <c r="AX116" s="121">
        <v>0</v>
      </c>
      <c r="AY116" s="121">
        <v>0</v>
      </c>
    </row>
    <row r="117" spans="1:52" x14ac:dyDescent="0.2">
      <c r="A117" s="124"/>
      <c r="B117" s="141">
        <v>9</v>
      </c>
      <c r="C117" s="121">
        <v>0</v>
      </c>
      <c r="D117" s="121">
        <v>0</v>
      </c>
      <c r="E117" s="121">
        <v>0</v>
      </c>
      <c r="F117" s="121">
        <v>0</v>
      </c>
      <c r="G117" s="121">
        <v>0</v>
      </c>
      <c r="H117" s="121">
        <v>0</v>
      </c>
      <c r="I117" s="121">
        <v>0</v>
      </c>
      <c r="J117" s="121">
        <v>0</v>
      </c>
      <c r="K117" s="121">
        <v>0</v>
      </c>
      <c r="L117" s="121">
        <v>0</v>
      </c>
      <c r="M117" s="121">
        <v>0</v>
      </c>
      <c r="N117" s="121">
        <v>0</v>
      </c>
      <c r="O117" s="121">
        <v>0</v>
      </c>
      <c r="P117" s="121">
        <v>0</v>
      </c>
      <c r="Q117" s="121">
        <v>0</v>
      </c>
      <c r="R117" s="121">
        <v>0</v>
      </c>
      <c r="S117" s="121">
        <v>0</v>
      </c>
      <c r="T117" s="121">
        <v>0</v>
      </c>
      <c r="U117" s="121">
        <v>0</v>
      </c>
      <c r="V117" s="121">
        <v>0</v>
      </c>
      <c r="W117" s="121">
        <v>0</v>
      </c>
      <c r="X117" s="121">
        <v>0</v>
      </c>
      <c r="Y117" s="121">
        <v>0</v>
      </c>
      <c r="Z117" s="121">
        <v>0</v>
      </c>
      <c r="AA117" s="121">
        <v>0</v>
      </c>
      <c r="AB117" s="121">
        <v>0</v>
      </c>
      <c r="AC117" s="121">
        <v>0</v>
      </c>
      <c r="AD117" s="121">
        <v>0</v>
      </c>
      <c r="AE117" s="121">
        <v>0</v>
      </c>
      <c r="AF117" s="121">
        <v>0</v>
      </c>
      <c r="AG117" s="121">
        <v>0</v>
      </c>
      <c r="AH117" s="121">
        <v>0</v>
      </c>
      <c r="AI117" s="121">
        <v>0</v>
      </c>
      <c r="AJ117" s="121">
        <v>0</v>
      </c>
      <c r="AK117" s="121">
        <v>0</v>
      </c>
      <c r="AL117" s="121">
        <v>0</v>
      </c>
      <c r="AM117" s="121">
        <v>0</v>
      </c>
      <c r="AN117" s="121">
        <v>0</v>
      </c>
      <c r="AO117" s="121">
        <v>0</v>
      </c>
      <c r="AP117" s="121">
        <v>0</v>
      </c>
      <c r="AQ117" s="121">
        <v>0</v>
      </c>
      <c r="AR117" s="121">
        <v>0</v>
      </c>
      <c r="AS117" s="121">
        <v>0</v>
      </c>
      <c r="AT117" s="121">
        <v>0</v>
      </c>
      <c r="AU117" s="121">
        <v>0</v>
      </c>
      <c r="AV117" s="121">
        <v>0</v>
      </c>
      <c r="AW117" s="121">
        <v>0</v>
      </c>
      <c r="AX117" s="121">
        <v>0</v>
      </c>
      <c r="AY117" s="121">
        <v>0</v>
      </c>
    </row>
    <row r="118" spans="1:52" x14ac:dyDescent="0.2">
      <c r="A118" s="124"/>
      <c r="B118" s="144">
        <v>10</v>
      </c>
      <c r="C118" s="121">
        <v>0</v>
      </c>
      <c r="D118" s="121">
        <v>0</v>
      </c>
      <c r="E118" s="121">
        <v>0</v>
      </c>
      <c r="F118" s="121">
        <v>0</v>
      </c>
      <c r="G118" s="121">
        <v>0</v>
      </c>
      <c r="H118" s="121">
        <v>0</v>
      </c>
      <c r="I118" s="121">
        <v>0</v>
      </c>
      <c r="J118" s="121">
        <v>0</v>
      </c>
      <c r="K118" s="121">
        <v>0</v>
      </c>
      <c r="L118" s="121">
        <v>0</v>
      </c>
      <c r="M118" s="121">
        <v>0</v>
      </c>
      <c r="N118" s="121">
        <v>0</v>
      </c>
      <c r="O118" s="121">
        <v>0</v>
      </c>
      <c r="P118" s="121">
        <v>0</v>
      </c>
      <c r="Q118" s="121">
        <v>0</v>
      </c>
      <c r="R118" s="121">
        <v>0</v>
      </c>
      <c r="S118" s="121">
        <v>0</v>
      </c>
      <c r="T118" s="121">
        <v>0</v>
      </c>
      <c r="U118" s="121">
        <v>0</v>
      </c>
      <c r="V118" s="121">
        <v>0</v>
      </c>
      <c r="W118" s="121">
        <v>0</v>
      </c>
      <c r="X118" s="121">
        <v>0</v>
      </c>
      <c r="Y118" s="121">
        <v>0</v>
      </c>
      <c r="Z118" s="121">
        <v>0</v>
      </c>
      <c r="AA118" s="121">
        <v>0</v>
      </c>
      <c r="AB118" s="121">
        <v>0</v>
      </c>
      <c r="AC118" s="121">
        <v>0</v>
      </c>
      <c r="AD118" s="121">
        <v>0</v>
      </c>
      <c r="AE118" s="121">
        <v>0</v>
      </c>
      <c r="AF118" s="121">
        <v>0</v>
      </c>
      <c r="AG118" s="121">
        <v>0</v>
      </c>
      <c r="AH118" s="121">
        <v>0</v>
      </c>
      <c r="AI118" s="121">
        <v>0</v>
      </c>
      <c r="AJ118" s="121">
        <v>0</v>
      </c>
      <c r="AK118" s="121">
        <v>0</v>
      </c>
      <c r="AL118" s="121">
        <v>0</v>
      </c>
      <c r="AM118" s="121">
        <v>0</v>
      </c>
      <c r="AN118" s="121">
        <v>0</v>
      </c>
      <c r="AO118" s="121">
        <v>0</v>
      </c>
      <c r="AP118" s="121">
        <v>0</v>
      </c>
      <c r="AQ118" s="121">
        <v>0</v>
      </c>
      <c r="AR118" s="121">
        <v>0</v>
      </c>
      <c r="AS118" s="121">
        <v>0</v>
      </c>
      <c r="AT118" s="121">
        <v>0</v>
      </c>
      <c r="AU118" s="121">
        <v>0</v>
      </c>
      <c r="AV118" s="121">
        <v>0</v>
      </c>
      <c r="AW118" s="121">
        <v>0</v>
      </c>
      <c r="AX118" s="121">
        <v>0</v>
      </c>
      <c r="AY118" s="121">
        <v>0</v>
      </c>
    </row>
    <row r="119" spans="1:52" x14ac:dyDescent="0.2">
      <c r="A119" s="124"/>
      <c r="B119" s="144">
        <v>11</v>
      </c>
      <c r="C119" s="121">
        <v>0</v>
      </c>
      <c r="D119" s="121">
        <v>0</v>
      </c>
      <c r="E119" s="121">
        <v>0</v>
      </c>
      <c r="F119" s="121">
        <v>0</v>
      </c>
      <c r="G119" s="121">
        <v>0</v>
      </c>
      <c r="H119" s="121">
        <v>0</v>
      </c>
      <c r="I119" s="121">
        <v>0</v>
      </c>
      <c r="J119" s="121">
        <v>0</v>
      </c>
      <c r="K119" s="121">
        <v>0</v>
      </c>
      <c r="L119" s="121">
        <v>0</v>
      </c>
      <c r="M119" s="121">
        <v>0</v>
      </c>
      <c r="N119" s="121">
        <v>0</v>
      </c>
      <c r="O119" s="121">
        <v>0</v>
      </c>
      <c r="P119" s="121">
        <v>0</v>
      </c>
      <c r="Q119" s="121">
        <v>0</v>
      </c>
      <c r="R119" s="121">
        <v>0</v>
      </c>
      <c r="S119" s="121">
        <v>0</v>
      </c>
      <c r="T119" s="121">
        <v>0</v>
      </c>
      <c r="U119" s="121">
        <v>0</v>
      </c>
      <c r="V119" s="121">
        <v>0</v>
      </c>
      <c r="W119" s="121">
        <v>0</v>
      </c>
      <c r="X119" s="121">
        <v>0</v>
      </c>
      <c r="Y119" s="121">
        <v>0</v>
      </c>
      <c r="Z119" s="121">
        <v>0</v>
      </c>
      <c r="AA119" s="121">
        <v>0</v>
      </c>
      <c r="AB119" s="121">
        <v>0</v>
      </c>
      <c r="AC119" s="121">
        <v>0</v>
      </c>
      <c r="AD119" s="121">
        <v>0</v>
      </c>
      <c r="AE119" s="121">
        <v>0</v>
      </c>
      <c r="AF119" s="121">
        <v>0</v>
      </c>
      <c r="AG119" s="121">
        <v>0</v>
      </c>
      <c r="AH119" s="121">
        <v>0</v>
      </c>
      <c r="AI119" s="121">
        <v>0</v>
      </c>
      <c r="AJ119" s="121">
        <v>0</v>
      </c>
      <c r="AK119" s="121">
        <v>0</v>
      </c>
      <c r="AL119" s="121">
        <v>0</v>
      </c>
      <c r="AM119" s="121">
        <v>0</v>
      </c>
      <c r="AN119" s="121">
        <v>0</v>
      </c>
      <c r="AO119" s="121">
        <v>0</v>
      </c>
      <c r="AP119" s="121">
        <v>0</v>
      </c>
      <c r="AQ119" s="121">
        <v>0</v>
      </c>
      <c r="AR119" s="121">
        <v>0</v>
      </c>
      <c r="AS119" s="121">
        <v>0</v>
      </c>
      <c r="AT119" s="121">
        <v>0</v>
      </c>
      <c r="AU119" s="121">
        <v>0</v>
      </c>
      <c r="AV119" s="121">
        <v>0</v>
      </c>
      <c r="AW119" s="121">
        <v>0</v>
      </c>
      <c r="AX119" s="121">
        <v>0</v>
      </c>
      <c r="AY119" s="121">
        <v>0</v>
      </c>
    </row>
    <row r="120" spans="1:52" x14ac:dyDescent="0.2">
      <c r="A120" s="124"/>
      <c r="B120" s="144">
        <v>12</v>
      </c>
      <c r="C120" s="121">
        <v>0</v>
      </c>
      <c r="D120" s="121">
        <v>0</v>
      </c>
      <c r="E120" s="121">
        <v>0</v>
      </c>
      <c r="F120" s="121">
        <v>0</v>
      </c>
      <c r="G120" s="121">
        <v>0</v>
      </c>
      <c r="H120" s="121">
        <v>0</v>
      </c>
      <c r="I120" s="121">
        <v>0</v>
      </c>
      <c r="J120" s="121">
        <v>0</v>
      </c>
      <c r="K120" s="121">
        <v>0</v>
      </c>
      <c r="L120" s="121">
        <v>0</v>
      </c>
      <c r="M120" s="121">
        <v>0</v>
      </c>
      <c r="N120" s="121">
        <v>0</v>
      </c>
      <c r="O120" s="121">
        <v>0</v>
      </c>
      <c r="P120" s="121">
        <v>0</v>
      </c>
      <c r="Q120" s="121">
        <v>0</v>
      </c>
      <c r="R120" s="121">
        <v>0</v>
      </c>
      <c r="S120" s="121">
        <v>0</v>
      </c>
      <c r="T120" s="121">
        <v>0</v>
      </c>
      <c r="U120" s="121">
        <v>0</v>
      </c>
      <c r="V120" s="121">
        <v>0</v>
      </c>
      <c r="W120" s="121">
        <v>0</v>
      </c>
      <c r="X120" s="121">
        <v>0</v>
      </c>
      <c r="Y120" s="121">
        <v>0</v>
      </c>
      <c r="Z120" s="121">
        <v>0</v>
      </c>
      <c r="AA120" s="121">
        <v>0</v>
      </c>
      <c r="AB120" s="121">
        <v>0</v>
      </c>
      <c r="AC120" s="121">
        <v>0</v>
      </c>
      <c r="AD120" s="121">
        <v>0</v>
      </c>
      <c r="AE120" s="121">
        <v>0</v>
      </c>
      <c r="AF120" s="121">
        <v>0</v>
      </c>
      <c r="AG120" s="121">
        <v>0</v>
      </c>
      <c r="AH120" s="121">
        <v>0</v>
      </c>
      <c r="AI120" s="121">
        <v>0</v>
      </c>
      <c r="AJ120" s="121">
        <v>0</v>
      </c>
      <c r="AK120" s="121">
        <v>0</v>
      </c>
      <c r="AL120" s="121">
        <v>0</v>
      </c>
      <c r="AM120" s="121">
        <v>0</v>
      </c>
      <c r="AN120" s="121">
        <v>0</v>
      </c>
      <c r="AO120" s="121">
        <v>0</v>
      </c>
      <c r="AP120" s="121">
        <v>0</v>
      </c>
      <c r="AQ120" s="121">
        <v>0</v>
      </c>
      <c r="AR120" s="121">
        <v>0</v>
      </c>
      <c r="AS120" s="121">
        <v>0</v>
      </c>
      <c r="AT120" s="121">
        <v>0</v>
      </c>
      <c r="AU120" s="121">
        <v>0</v>
      </c>
      <c r="AV120" s="121">
        <v>0</v>
      </c>
      <c r="AW120" s="121">
        <v>0</v>
      </c>
      <c r="AX120" s="121">
        <v>0</v>
      </c>
      <c r="AY120" s="121">
        <v>0</v>
      </c>
    </row>
    <row r="121" spans="1:52" x14ac:dyDescent="0.2">
      <c r="A121" s="142"/>
      <c r="B121" s="146" t="s">
        <v>296</v>
      </c>
      <c r="C121" s="128">
        <v>0</v>
      </c>
      <c r="D121" s="139">
        <v>0</v>
      </c>
      <c r="E121" s="139">
        <v>0</v>
      </c>
      <c r="F121" s="139">
        <v>0</v>
      </c>
      <c r="G121" s="139">
        <v>0</v>
      </c>
      <c r="H121" s="139">
        <v>0</v>
      </c>
      <c r="I121" s="139">
        <v>0</v>
      </c>
      <c r="J121" s="139">
        <v>0</v>
      </c>
      <c r="K121" s="139">
        <v>0</v>
      </c>
      <c r="L121" s="139">
        <v>0</v>
      </c>
      <c r="M121" s="139">
        <v>0</v>
      </c>
      <c r="N121" s="139">
        <v>0</v>
      </c>
      <c r="O121" s="139">
        <v>0</v>
      </c>
      <c r="P121" s="139">
        <v>0</v>
      </c>
      <c r="Q121" s="139">
        <v>0</v>
      </c>
      <c r="R121" s="139">
        <v>0</v>
      </c>
      <c r="S121" s="139">
        <v>0</v>
      </c>
      <c r="T121" s="139">
        <v>0</v>
      </c>
      <c r="U121" s="139">
        <v>0</v>
      </c>
      <c r="V121" s="139">
        <v>0</v>
      </c>
      <c r="W121" s="139">
        <v>0</v>
      </c>
      <c r="X121" s="139">
        <v>0</v>
      </c>
      <c r="Y121" s="139">
        <v>0</v>
      </c>
      <c r="Z121" s="139">
        <v>0</v>
      </c>
      <c r="AA121" s="139">
        <v>0</v>
      </c>
      <c r="AB121" s="139">
        <v>0</v>
      </c>
      <c r="AC121" s="139">
        <v>0</v>
      </c>
      <c r="AD121" s="139">
        <v>0</v>
      </c>
      <c r="AE121" s="139">
        <v>0</v>
      </c>
      <c r="AF121" s="139">
        <v>0</v>
      </c>
      <c r="AG121" s="139">
        <v>0</v>
      </c>
      <c r="AH121" s="139">
        <v>0</v>
      </c>
      <c r="AI121" s="139">
        <v>0</v>
      </c>
      <c r="AJ121" s="139">
        <v>0</v>
      </c>
      <c r="AK121" s="139">
        <v>0</v>
      </c>
      <c r="AL121" s="139">
        <v>0</v>
      </c>
      <c r="AM121" s="139">
        <v>0</v>
      </c>
      <c r="AN121" s="139">
        <v>0</v>
      </c>
      <c r="AO121" s="139">
        <v>0</v>
      </c>
      <c r="AP121" s="139">
        <v>0</v>
      </c>
      <c r="AQ121" s="139">
        <v>0</v>
      </c>
      <c r="AR121" s="139">
        <v>0</v>
      </c>
      <c r="AS121" s="139">
        <v>0</v>
      </c>
      <c r="AT121" s="139">
        <v>0</v>
      </c>
      <c r="AU121" s="139">
        <v>0</v>
      </c>
      <c r="AV121" s="139">
        <v>0</v>
      </c>
      <c r="AW121" s="139">
        <v>0</v>
      </c>
      <c r="AX121" s="139">
        <v>0</v>
      </c>
      <c r="AY121" s="139">
        <v>0</v>
      </c>
      <c r="AZ121" s="122">
        <f>SUM($D121:$AY121)</f>
        <v>0</v>
      </c>
    </row>
    <row r="122" spans="1:52" x14ac:dyDescent="0.2">
      <c r="A122" s="145" t="s">
        <v>123</v>
      </c>
      <c r="B122" s="133">
        <v>1</v>
      </c>
      <c r="C122" s="121">
        <v>206.95974463835506</v>
      </c>
      <c r="D122" s="121">
        <v>726.24251609767805</v>
      </c>
      <c r="E122" s="121">
        <v>726.24251609767805</v>
      </c>
      <c r="F122" s="121">
        <v>726.24251609767805</v>
      </c>
      <c r="G122" s="121">
        <v>726.24251609767805</v>
      </c>
      <c r="H122" s="121">
        <v>726.24251609767805</v>
      </c>
      <c r="I122" s="121">
        <v>726.24251609767805</v>
      </c>
      <c r="J122" s="121">
        <v>726.24251609767805</v>
      </c>
      <c r="K122" s="121">
        <v>726.24251609767805</v>
      </c>
      <c r="L122" s="121">
        <v>726.24251609767805</v>
      </c>
      <c r="M122" s="121">
        <v>726.24251609767805</v>
      </c>
      <c r="N122" s="121">
        <v>726.24251609767805</v>
      </c>
      <c r="O122" s="121">
        <v>726.24251609767805</v>
      </c>
      <c r="P122" s="121">
        <v>726.24251609767805</v>
      </c>
      <c r="Q122" s="121">
        <v>726.24251609767805</v>
      </c>
      <c r="R122" s="121">
        <v>726.24251609767805</v>
      </c>
      <c r="S122" s="121">
        <v>726.24251609767805</v>
      </c>
      <c r="T122" s="121">
        <v>726.24251609767805</v>
      </c>
      <c r="U122" s="121">
        <v>726.24251609767805</v>
      </c>
      <c r="V122" s="121">
        <v>726.24251609767805</v>
      </c>
      <c r="W122" s="121">
        <v>726.24251609767805</v>
      </c>
      <c r="X122" s="121">
        <v>726.24251609767805</v>
      </c>
      <c r="Y122" s="121">
        <v>726.24251609767805</v>
      </c>
      <c r="Z122" s="121">
        <v>726.24251609767805</v>
      </c>
      <c r="AA122" s="121">
        <v>726.24251609767805</v>
      </c>
      <c r="AB122" s="121">
        <v>726.24251609767805</v>
      </c>
      <c r="AC122" s="121">
        <v>726.24251609767805</v>
      </c>
      <c r="AD122" s="121">
        <v>726.24251609767805</v>
      </c>
      <c r="AE122" s="121">
        <v>726.24251609767805</v>
      </c>
      <c r="AF122" s="121">
        <v>726.24251609767805</v>
      </c>
      <c r="AG122" s="121">
        <v>726.24251609767805</v>
      </c>
      <c r="AH122" s="121">
        <v>726.24251609767805</v>
      </c>
      <c r="AI122" s="121">
        <v>726.24251609767805</v>
      </c>
      <c r="AJ122" s="121">
        <v>726.24251609767805</v>
      </c>
      <c r="AK122" s="121">
        <v>726.24251609767805</v>
      </c>
      <c r="AL122" s="121">
        <v>726.24251609767805</v>
      </c>
      <c r="AM122" s="121">
        <v>726.24251609767805</v>
      </c>
      <c r="AN122" s="121">
        <v>726.24251609767805</v>
      </c>
      <c r="AO122" s="121">
        <v>726.24251609767805</v>
      </c>
      <c r="AP122" s="121">
        <v>726.24251609767805</v>
      </c>
      <c r="AQ122" s="121">
        <v>726.24251609767805</v>
      </c>
      <c r="AR122" s="121">
        <v>726.24251609767805</v>
      </c>
      <c r="AS122" s="121">
        <v>726.24251609767805</v>
      </c>
      <c r="AT122" s="121">
        <v>726.24251609767805</v>
      </c>
      <c r="AU122" s="121">
        <v>726.24251609767805</v>
      </c>
      <c r="AV122" s="121">
        <v>726.24251609767805</v>
      </c>
      <c r="AW122" s="121">
        <v>726.24251609767805</v>
      </c>
      <c r="AX122" s="121">
        <v>726.24251609767805</v>
      </c>
      <c r="AY122" s="121">
        <v>726.24251609767805</v>
      </c>
    </row>
    <row r="123" spans="1:52" x14ac:dyDescent="0.2">
      <c r="A123" s="124"/>
      <c r="B123" s="133">
        <v>2</v>
      </c>
      <c r="C123" s="121">
        <v>1.4210854715202004E-14</v>
      </c>
      <c r="D123" s="121">
        <v>1.4210854715202004E-14</v>
      </c>
      <c r="E123" s="121">
        <v>0</v>
      </c>
      <c r="F123" s="121">
        <v>0</v>
      </c>
      <c r="G123" s="121">
        <v>0</v>
      </c>
      <c r="H123" s="121">
        <v>0</v>
      </c>
      <c r="I123" s="121">
        <v>108.36382284084254</v>
      </c>
      <c r="J123" s="121">
        <v>157.70175395670196</v>
      </c>
      <c r="K123" s="121">
        <v>264.98212315012267</v>
      </c>
      <c r="L123" s="121">
        <v>284.35068217505096</v>
      </c>
      <c r="M123" s="121">
        <v>0</v>
      </c>
      <c r="N123" s="121">
        <v>0</v>
      </c>
      <c r="O123" s="121">
        <v>0</v>
      </c>
      <c r="P123" s="121">
        <v>0</v>
      </c>
      <c r="Q123" s="121">
        <v>95.363822840842545</v>
      </c>
      <c r="R123" s="121">
        <v>29.499282563186568</v>
      </c>
      <c r="S123" s="121">
        <v>23.448262796275912</v>
      </c>
      <c r="T123" s="121">
        <v>0</v>
      </c>
      <c r="U123" s="121">
        <v>0</v>
      </c>
      <c r="V123" s="121">
        <v>0</v>
      </c>
      <c r="W123" s="121">
        <v>0</v>
      </c>
      <c r="X123" s="121">
        <v>0</v>
      </c>
      <c r="Y123" s="121">
        <v>0</v>
      </c>
      <c r="Z123" s="121">
        <v>0</v>
      </c>
      <c r="AA123" s="121">
        <v>0</v>
      </c>
      <c r="AB123" s="121">
        <v>0</v>
      </c>
      <c r="AC123" s="121">
        <v>0</v>
      </c>
      <c r="AD123" s="121">
        <v>0</v>
      </c>
      <c r="AE123" s="121">
        <v>0</v>
      </c>
      <c r="AF123" s="121">
        <v>0</v>
      </c>
      <c r="AG123" s="121">
        <v>0</v>
      </c>
      <c r="AH123" s="121">
        <v>0</v>
      </c>
      <c r="AI123" s="121">
        <v>0</v>
      </c>
      <c r="AJ123" s="121">
        <v>0</v>
      </c>
      <c r="AK123" s="121">
        <v>0</v>
      </c>
      <c r="AL123" s="121">
        <v>0</v>
      </c>
      <c r="AM123" s="121">
        <v>0</v>
      </c>
      <c r="AN123" s="121">
        <v>0</v>
      </c>
      <c r="AO123" s="121">
        <v>6.5044071517015709</v>
      </c>
      <c r="AP123" s="121">
        <v>0</v>
      </c>
      <c r="AQ123" s="121">
        <v>71.997155464014327</v>
      </c>
      <c r="AR123" s="121">
        <v>71.448196279444915</v>
      </c>
      <c r="AS123" s="121">
        <v>52.610769846264986</v>
      </c>
      <c r="AT123" s="121">
        <v>94.876833042092528</v>
      </c>
      <c r="AU123" s="121">
        <v>131.53722889742232</v>
      </c>
      <c r="AV123" s="121">
        <v>127.29218431157074</v>
      </c>
      <c r="AW123" s="121">
        <v>0</v>
      </c>
      <c r="AX123" s="121">
        <v>0</v>
      </c>
      <c r="AY123" s="121">
        <v>0</v>
      </c>
    </row>
    <row r="124" spans="1:52" x14ac:dyDescent="0.2">
      <c r="A124" s="124"/>
      <c r="B124" s="133">
        <v>3</v>
      </c>
      <c r="C124" s="121">
        <v>0</v>
      </c>
      <c r="D124" s="121">
        <v>0</v>
      </c>
      <c r="E124" s="121">
        <v>0</v>
      </c>
      <c r="F124" s="121">
        <v>0</v>
      </c>
      <c r="G124" s="121">
        <v>0</v>
      </c>
      <c r="H124" s="121">
        <v>0</v>
      </c>
      <c r="I124" s="121">
        <v>0</v>
      </c>
      <c r="J124" s="121">
        <v>0</v>
      </c>
      <c r="K124" s="121">
        <v>0</v>
      </c>
      <c r="L124" s="121">
        <v>0</v>
      </c>
      <c r="M124" s="121">
        <v>0</v>
      </c>
      <c r="N124" s="121">
        <v>0</v>
      </c>
      <c r="O124" s="121">
        <v>0</v>
      </c>
      <c r="P124" s="121">
        <v>0</v>
      </c>
      <c r="Q124" s="121">
        <v>0</v>
      </c>
      <c r="R124" s="121">
        <v>0</v>
      </c>
      <c r="S124" s="121">
        <v>0</v>
      </c>
      <c r="T124" s="121">
        <v>0</v>
      </c>
      <c r="U124" s="121">
        <v>0</v>
      </c>
      <c r="V124" s="121">
        <v>0</v>
      </c>
      <c r="W124" s="121">
        <v>0</v>
      </c>
      <c r="X124" s="121">
        <v>0</v>
      </c>
      <c r="Y124" s="121">
        <v>0</v>
      </c>
      <c r="Z124" s="121">
        <v>0</v>
      </c>
      <c r="AA124" s="121">
        <v>0</v>
      </c>
      <c r="AB124" s="121">
        <v>0</v>
      </c>
      <c r="AC124" s="121">
        <v>0</v>
      </c>
      <c r="AD124" s="121">
        <v>0</v>
      </c>
      <c r="AE124" s="121">
        <v>0</v>
      </c>
      <c r="AF124" s="121">
        <v>0</v>
      </c>
      <c r="AG124" s="121">
        <v>0</v>
      </c>
      <c r="AH124" s="121">
        <v>0</v>
      </c>
      <c r="AI124" s="121">
        <v>0</v>
      </c>
      <c r="AJ124" s="121">
        <v>0</v>
      </c>
      <c r="AK124" s="121">
        <v>0</v>
      </c>
      <c r="AL124" s="121">
        <v>0</v>
      </c>
      <c r="AM124" s="121">
        <v>0</v>
      </c>
      <c r="AN124" s="121">
        <v>0</v>
      </c>
      <c r="AO124" s="121">
        <v>0</v>
      </c>
      <c r="AP124" s="121">
        <v>0</v>
      </c>
      <c r="AQ124" s="121">
        <v>0</v>
      </c>
      <c r="AR124" s="121">
        <v>0</v>
      </c>
      <c r="AS124" s="121">
        <v>0</v>
      </c>
      <c r="AT124" s="121">
        <v>0</v>
      </c>
      <c r="AU124" s="121">
        <v>0</v>
      </c>
      <c r="AV124" s="121">
        <v>0</v>
      </c>
      <c r="AW124" s="121">
        <v>0</v>
      </c>
      <c r="AX124" s="121">
        <v>0</v>
      </c>
      <c r="AY124" s="121">
        <v>0</v>
      </c>
    </row>
    <row r="125" spans="1:52" x14ac:dyDescent="0.2">
      <c r="A125" s="124"/>
      <c r="B125" s="133">
        <v>4</v>
      </c>
      <c r="C125" s="121">
        <v>0</v>
      </c>
      <c r="D125" s="121">
        <v>0</v>
      </c>
      <c r="E125" s="121">
        <v>0</v>
      </c>
      <c r="F125" s="121">
        <v>0</v>
      </c>
      <c r="G125" s="121">
        <v>0</v>
      </c>
      <c r="H125" s="121">
        <v>0</v>
      </c>
      <c r="I125" s="121">
        <v>0</v>
      </c>
      <c r="J125" s="121">
        <v>0</v>
      </c>
      <c r="K125" s="121">
        <v>0</v>
      </c>
      <c r="L125" s="121">
        <v>0</v>
      </c>
      <c r="M125" s="121">
        <v>0</v>
      </c>
      <c r="N125" s="121">
        <v>0</v>
      </c>
      <c r="O125" s="121">
        <v>0</v>
      </c>
      <c r="P125" s="121">
        <v>0</v>
      </c>
      <c r="Q125" s="121">
        <v>0</v>
      </c>
      <c r="R125" s="121">
        <v>0</v>
      </c>
      <c r="S125" s="121">
        <v>0</v>
      </c>
      <c r="T125" s="121">
        <v>0</v>
      </c>
      <c r="U125" s="121">
        <v>0</v>
      </c>
      <c r="V125" s="121">
        <v>0</v>
      </c>
      <c r="W125" s="121">
        <v>0</v>
      </c>
      <c r="X125" s="121">
        <v>0</v>
      </c>
      <c r="Y125" s="121">
        <v>0</v>
      </c>
      <c r="Z125" s="121">
        <v>0</v>
      </c>
      <c r="AA125" s="121">
        <v>0</v>
      </c>
      <c r="AB125" s="121">
        <v>0</v>
      </c>
      <c r="AC125" s="121">
        <v>0</v>
      </c>
      <c r="AD125" s="121">
        <v>0</v>
      </c>
      <c r="AE125" s="121">
        <v>0</v>
      </c>
      <c r="AF125" s="121">
        <v>0</v>
      </c>
      <c r="AG125" s="121">
        <v>0</v>
      </c>
      <c r="AH125" s="121">
        <v>0</v>
      </c>
      <c r="AI125" s="121">
        <v>0</v>
      </c>
      <c r="AJ125" s="121">
        <v>0</v>
      </c>
      <c r="AK125" s="121">
        <v>0</v>
      </c>
      <c r="AL125" s="121">
        <v>0</v>
      </c>
      <c r="AM125" s="121">
        <v>0</v>
      </c>
      <c r="AN125" s="121">
        <v>0</v>
      </c>
      <c r="AO125" s="121">
        <v>0</v>
      </c>
      <c r="AP125" s="121">
        <v>0</v>
      </c>
      <c r="AQ125" s="121">
        <v>0</v>
      </c>
      <c r="AR125" s="121">
        <v>0</v>
      </c>
      <c r="AS125" s="121">
        <v>0</v>
      </c>
      <c r="AT125" s="121">
        <v>0</v>
      </c>
      <c r="AU125" s="121">
        <v>0</v>
      </c>
      <c r="AV125" s="121">
        <v>0</v>
      </c>
      <c r="AW125" s="121">
        <v>0</v>
      </c>
      <c r="AX125" s="121">
        <v>0</v>
      </c>
      <c r="AY125" s="121">
        <v>0</v>
      </c>
    </row>
    <row r="126" spans="1:52" x14ac:dyDescent="0.2">
      <c r="A126" s="124"/>
      <c r="B126" s="133">
        <v>5</v>
      </c>
      <c r="C126" s="121">
        <v>0</v>
      </c>
      <c r="D126" s="121">
        <v>0</v>
      </c>
      <c r="E126" s="121">
        <v>0</v>
      </c>
      <c r="F126" s="121">
        <v>0</v>
      </c>
      <c r="G126" s="121">
        <v>0</v>
      </c>
      <c r="H126" s="121">
        <v>0</v>
      </c>
      <c r="I126" s="121">
        <v>0</v>
      </c>
      <c r="J126" s="121">
        <v>0</v>
      </c>
      <c r="K126" s="121">
        <v>0</v>
      </c>
      <c r="L126" s="121">
        <v>0</v>
      </c>
      <c r="M126" s="121">
        <v>0</v>
      </c>
      <c r="N126" s="121">
        <v>0</v>
      </c>
      <c r="O126" s="121">
        <v>0</v>
      </c>
      <c r="P126" s="121">
        <v>0</v>
      </c>
      <c r="Q126" s="121">
        <v>0</v>
      </c>
      <c r="R126" s="121">
        <v>0</v>
      </c>
      <c r="S126" s="121">
        <v>0</v>
      </c>
      <c r="T126" s="121">
        <v>0</v>
      </c>
      <c r="U126" s="121">
        <v>0</v>
      </c>
      <c r="V126" s="121">
        <v>0</v>
      </c>
      <c r="W126" s="121">
        <v>0</v>
      </c>
      <c r="X126" s="121">
        <v>0</v>
      </c>
      <c r="Y126" s="121">
        <v>0</v>
      </c>
      <c r="Z126" s="121">
        <v>0</v>
      </c>
      <c r="AA126" s="121">
        <v>0</v>
      </c>
      <c r="AB126" s="121">
        <v>0</v>
      </c>
      <c r="AC126" s="121">
        <v>0</v>
      </c>
      <c r="AD126" s="121">
        <v>0</v>
      </c>
      <c r="AE126" s="121">
        <v>0</v>
      </c>
      <c r="AF126" s="121">
        <v>0</v>
      </c>
      <c r="AG126" s="121">
        <v>0</v>
      </c>
      <c r="AH126" s="121">
        <v>0</v>
      </c>
      <c r="AI126" s="121">
        <v>0</v>
      </c>
      <c r="AJ126" s="121">
        <v>0</v>
      </c>
      <c r="AK126" s="121">
        <v>0</v>
      </c>
      <c r="AL126" s="121">
        <v>0</v>
      </c>
      <c r="AM126" s="121">
        <v>0</v>
      </c>
      <c r="AN126" s="121">
        <v>0</v>
      </c>
      <c r="AO126" s="121">
        <v>0</v>
      </c>
      <c r="AP126" s="121">
        <v>0</v>
      </c>
      <c r="AQ126" s="121">
        <v>0</v>
      </c>
      <c r="AR126" s="121">
        <v>0</v>
      </c>
      <c r="AS126" s="121">
        <v>0</v>
      </c>
      <c r="AT126" s="121">
        <v>0</v>
      </c>
      <c r="AU126" s="121">
        <v>0</v>
      </c>
      <c r="AV126" s="121">
        <v>0</v>
      </c>
      <c r="AW126" s="121">
        <v>0</v>
      </c>
      <c r="AX126" s="121">
        <v>0</v>
      </c>
      <c r="AY126" s="121">
        <v>0</v>
      </c>
    </row>
    <row r="127" spans="1:52" x14ac:dyDescent="0.2">
      <c r="A127" s="124"/>
      <c r="B127" s="133">
        <v>6</v>
      </c>
      <c r="C127" s="121">
        <v>0</v>
      </c>
      <c r="D127" s="121">
        <v>0</v>
      </c>
      <c r="E127" s="121">
        <v>0</v>
      </c>
      <c r="F127" s="121">
        <v>0</v>
      </c>
      <c r="G127" s="121">
        <v>0</v>
      </c>
      <c r="H127" s="121">
        <v>0</v>
      </c>
      <c r="I127" s="121">
        <v>0</v>
      </c>
      <c r="J127" s="121">
        <v>0</v>
      </c>
      <c r="K127" s="121">
        <v>0</v>
      </c>
      <c r="L127" s="121">
        <v>0</v>
      </c>
      <c r="M127" s="121">
        <v>0</v>
      </c>
      <c r="N127" s="121">
        <v>0</v>
      </c>
      <c r="O127" s="121">
        <v>0</v>
      </c>
      <c r="P127" s="121">
        <v>0</v>
      </c>
      <c r="Q127" s="121">
        <v>0</v>
      </c>
      <c r="R127" s="121">
        <v>0</v>
      </c>
      <c r="S127" s="121">
        <v>0</v>
      </c>
      <c r="T127" s="121">
        <v>0</v>
      </c>
      <c r="U127" s="121">
        <v>0</v>
      </c>
      <c r="V127" s="121">
        <v>0</v>
      </c>
      <c r="W127" s="121">
        <v>0</v>
      </c>
      <c r="X127" s="121">
        <v>0</v>
      </c>
      <c r="Y127" s="121">
        <v>0</v>
      </c>
      <c r="Z127" s="121">
        <v>0</v>
      </c>
      <c r="AA127" s="121">
        <v>0</v>
      </c>
      <c r="AB127" s="121">
        <v>0</v>
      </c>
      <c r="AC127" s="121">
        <v>0</v>
      </c>
      <c r="AD127" s="121">
        <v>0</v>
      </c>
      <c r="AE127" s="121">
        <v>0</v>
      </c>
      <c r="AF127" s="121">
        <v>0</v>
      </c>
      <c r="AG127" s="121">
        <v>0</v>
      </c>
      <c r="AH127" s="121">
        <v>0</v>
      </c>
      <c r="AI127" s="121">
        <v>0</v>
      </c>
      <c r="AJ127" s="121">
        <v>0</v>
      </c>
      <c r="AK127" s="121">
        <v>0</v>
      </c>
      <c r="AL127" s="121">
        <v>0</v>
      </c>
      <c r="AM127" s="121">
        <v>0</v>
      </c>
      <c r="AN127" s="121">
        <v>0</v>
      </c>
      <c r="AO127" s="121">
        <v>0</v>
      </c>
      <c r="AP127" s="121">
        <v>0</v>
      </c>
      <c r="AQ127" s="121">
        <v>0</v>
      </c>
      <c r="AR127" s="121">
        <v>0</v>
      </c>
      <c r="AS127" s="121">
        <v>0</v>
      </c>
      <c r="AT127" s="121">
        <v>0</v>
      </c>
      <c r="AU127" s="121">
        <v>0</v>
      </c>
      <c r="AV127" s="121">
        <v>0</v>
      </c>
      <c r="AW127" s="121">
        <v>0</v>
      </c>
      <c r="AX127" s="121">
        <v>0</v>
      </c>
      <c r="AY127" s="121">
        <v>0</v>
      </c>
    </row>
    <row r="128" spans="1:52" x14ac:dyDescent="0.2">
      <c r="A128" s="124"/>
      <c r="B128" s="133">
        <v>7</v>
      </c>
      <c r="C128" s="121">
        <v>0</v>
      </c>
      <c r="D128" s="121">
        <v>0</v>
      </c>
      <c r="E128" s="121">
        <v>0</v>
      </c>
      <c r="F128" s="121">
        <v>0</v>
      </c>
      <c r="G128" s="121">
        <v>0</v>
      </c>
      <c r="H128" s="121">
        <v>0</v>
      </c>
      <c r="I128" s="121">
        <v>0</v>
      </c>
      <c r="J128" s="121">
        <v>0</v>
      </c>
      <c r="K128" s="121">
        <v>0</v>
      </c>
      <c r="L128" s="121">
        <v>0</v>
      </c>
      <c r="M128" s="121">
        <v>0</v>
      </c>
      <c r="N128" s="121">
        <v>0</v>
      </c>
      <c r="O128" s="121">
        <v>0</v>
      </c>
      <c r="P128" s="121">
        <v>0</v>
      </c>
      <c r="Q128" s="121">
        <v>0</v>
      </c>
      <c r="R128" s="121">
        <v>0</v>
      </c>
      <c r="S128" s="121">
        <v>0</v>
      </c>
      <c r="T128" s="121">
        <v>0</v>
      </c>
      <c r="U128" s="121">
        <v>0</v>
      </c>
      <c r="V128" s="121">
        <v>0</v>
      </c>
      <c r="W128" s="121">
        <v>0</v>
      </c>
      <c r="X128" s="121">
        <v>0</v>
      </c>
      <c r="Y128" s="121">
        <v>0</v>
      </c>
      <c r="Z128" s="121">
        <v>0</v>
      </c>
      <c r="AA128" s="121">
        <v>0</v>
      </c>
      <c r="AB128" s="121">
        <v>0</v>
      </c>
      <c r="AC128" s="121">
        <v>0</v>
      </c>
      <c r="AD128" s="121">
        <v>0</v>
      </c>
      <c r="AE128" s="121">
        <v>0</v>
      </c>
      <c r="AF128" s="121">
        <v>0</v>
      </c>
      <c r="AG128" s="121">
        <v>0</v>
      </c>
      <c r="AH128" s="121">
        <v>0</v>
      </c>
      <c r="AI128" s="121">
        <v>0</v>
      </c>
      <c r="AJ128" s="121">
        <v>0</v>
      </c>
      <c r="AK128" s="121">
        <v>0</v>
      </c>
      <c r="AL128" s="121">
        <v>0</v>
      </c>
      <c r="AM128" s="121">
        <v>0</v>
      </c>
      <c r="AN128" s="121">
        <v>0</v>
      </c>
      <c r="AO128" s="121">
        <v>0</v>
      </c>
      <c r="AP128" s="121">
        <v>0</v>
      </c>
      <c r="AQ128" s="121">
        <v>0</v>
      </c>
      <c r="AR128" s="121">
        <v>0</v>
      </c>
      <c r="AS128" s="121">
        <v>0</v>
      </c>
      <c r="AT128" s="121">
        <v>0</v>
      </c>
      <c r="AU128" s="121">
        <v>0</v>
      </c>
      <c r="AV128" s="121">
        <v>0</v>
      </c>
      <c r="AW128" s="121">
        <v>0</v>
      </c>
      <c r="AX128" s="121">
        <v>0</v>
      </c>
      <c r="AY128" s="121">
        <v>0</v>
      </c>
    </row>
    <row r="129" spans="1:51" x14ac:dyDescent="0.2">
      <c r="A129" s="124"/>
      <c r="B129" s="133">
        <v>8</v>
      </c>
      <c r="C129" s="121">
        <v>0</v>
      </c>
      <c r="D129" s="121">
        <v>0</v>
      </c>
      <c r="E129" s="121">
        <v>0</v>
      </c>
      <c r="F129" s="121">
        <v>0</v>
      </c>
      <c r="G129" s="121">
        <v>0</v>
      </c>
      <c r="H129" s="121">
        <v>0</v>
      </c>
      <c r="I129" s="121">
        <v>0</v>
      </c>
      <c r="J129" s="121">
        <v>0</v>
      </c>
      <c r="K129" s="121">
        <v>0</v>
      </c>
      <c r="L129" s="121">
        <v>0</v>
      </c>
      <c r="M129" s="121">
        <v>0</v>
      </c>
      <c r="N129" s="121">
        <v>0</v>
      </c>
      <c r="O129" s="121">
        <v>0</v>
      </c>
      <c r="P129" s="121">
        <v>0</v>
      </c>
      <c r="Q129" s="121">
        <v>0</v>
      </c>
      <c r="R129" s="121">
        <v>0</v>
      </c>
      <c r="S129" s="121">
        <v>0</v>
      </c>
      <c r="T129" s="121">
        <v>0</v>
      </c>
      <c r="U129" s="121">
        <v>0</v>
      </c>
      <c r="V129" s="121">
        <v>0</v>
      </c>
      <c r="W129" s="121">
        <v>0</v>
      </c>
      <c r="X129" s="121">
        <v>0</v>
      </c>
      <c r="Y129" s="121">
        <v>0</v>
      </c>
      <c r="Z129" s="121">
        <v>0</v>
      </c>
      <c r="AA129" s="121">
        <v>0</v>
      </c>
      <c r="AB129" s="121">
        <v>0</v>
      </c>
      <c r="AC129" s="121">
        <v>0</v>
      </c>
      <c r="AD129" s="121">
        <v>0</v>
      </c>
      <c r="AE129" s="121">
        <v>0</v>
      </c>
      <c r="AF129" s="121">
        <v>0</v>
      </c>
      <c r="AG129" s="121">
        <v>0</v>
      </c>
      <c r="AH129" s="121">
        <v>0</v>
      </c>
      <c r="AI129" s="121">
        <v>0</v>
      </c>
      <c r="AJ129" s="121">
        <v>0</v>
      </c>
      <c r="AK129" s="121">
        <v>0</v>
      </c>
      <c r="AL129" s="121">
        <v>0</v>
      </c>
      <c r="AM129" s="121">
        <v>0</v>
      </c>
      <c r="AN129" s="121">
        <v>0</v>
      </c>
      <c r="AO129" s="121">
        <v>0</v>
      </c>
      <c r="AP129" s="121">
        <v>0</v>
      </c>
      <c r="AQ129" s="121">
        <v>0</v>
      </c>
      <c r="AR129" s="121">
        <v>0</v>
      </c>
      <c r="AS129" s="121">
        <v>0</v>
      </c>
      <c r="AT129" s="121">
        <v>0</v>
      </c>
      <c r="AU129" s="121">
        <v>0</v>
      </c>
      <c r="AV129" s="121">
        <v>0</v>
      </c>
      <c r="AW129" s="121">
        <v>0</v>
      </c>
      <c r="AX129" s="121">
        <v>0</v>
      </c>
      <c r="AY129" s="121">
        <v>0</v>
      </c>
    </row>
    <row r="130" spans="1:51" x14ac:dyDescent="0.2">
      <c r="A130" s="124"/>
      <c r="B130" s="133">
        <v>9</v>
      </c>
      <c r="C130" s="121">
        <v>0</v>
      </c>
      <c r="D130" s="121">
        <v>0</v>
      </c>
      <c r="E130" s="121">
        <v>0</v>
      </c>
      <c r="F130" s="121">
        <v>0</v>
      </c>
      <c r="G130" s="121">
        <v>0</v>
      </c>
      <c r="H130" s="121">
        <v>0</v>
      </c>
      <c r="I130" s="121">
        <v>0</v>
      </c>
      <c r="J130" s="121">
        <v>0</v>
      </c>
      <c r="K130" s="121">
        <v>0</v>
      </c>
      <c r="L130" s="121">
        <v>0</v>
      </c>
      <c r="M130" s="121">
        <v>0</v>
      </c>
      <c r="N130" s="121">
        <v>0</v>
      </c>
      <c r="O130" s="121">
        <v>0</v>
      </c>
      <c r="P130" s="121">
        <v>0</v>
      </c>
      <c r="Q130" s="121">
        <v>0</v>
      </c>
      <c r="R130" s="121">
        <v>0</v>
      </c>
      <c r="S130" s="121">
        <v>0</v>
      </c>
      <c r="T130" s="121">
        <v>0</v>
      </c>
      <c r="U130" s="121">
        <v>0</v>
      </c>
      <c r="V130" s="121">
        <v>0</v>
      </c>
      <c r="W130" s="121">
        <v>0</v>
      </c>
      <c r="X130" s="121">
        <v>0</v>
      </c>
      <c r="Y130" s="121">
        <v>0</v>
      </c>
      <c r="Z130" s="121">
        <v>0</v>
      </c>
      <c r="AA130" s="121">
        <v>0</v>
      </c>
      <c r="AB130" s="121">
        <v>0</v>
      </c>
      <c r="AC130" s="121">
        <v>0</v>
      </c>
      <c r="AD130" s="121">
        <v>0</v>
      </c>
      <c r="AE130" s="121">
        <v>0</v>
      </c>
      <c r="AF130" s="121">
        <v>0</v>
      </c>
      <c r="AG130" s="121">
        <v>0</v>
      </c>
      <c r="AH130" s="121">
        <v>0</v>
      </c>
      <c r="AI130" s="121">
        <v>0</v>
      </c>
      <c r="AJ130" s="121">
        <v>0</v>
      </c>
      <c r="AK130" s="121">
        <v>0</v>
      </c>
      <c r="AL130" s="121">
        <v>0</v>
      </c>
      <c r="AM130" s="121">
        <v>0</v>
      </c>
      <c r="AN130" s="121">
        <v>0</v>
      </c>
      <c r="AO130" s="121">
        <v>0</v>
      </c>
      <c r="AP130" s="121">
        <v>0</v>
      </c>
      <c r="AQ130" s="121">
        <v>0</v>
      </c>
      <c r="AR130" s="121">
        <v>0</v>
      </c>
      <c r="AS130" s="121">
        <v>0</v>
      </c>
      <c r="AT130" s="121">
        <v>0</v>
      </c>
      <c r="AU130" s="121">
        <v>0</v>
      </c>
      <c r="AV130" s="121">
        <v>0</v>
      </c>
      <c r="AW130" s="121">
        <v>0</v>
      </c>
      <c r="AX130" s="121">
        <v>0</v>
      </c>
      <c r="AY130" s="121">
        <v>0</v>
      </c>
    </row>
    <row r="131" spans="1:51" x14ac:dyDescent="0.2">
      <c r="A131" s="124"/>
      <c r="B131" s="133">
        <v>10</v>
      </c>
      <c r="C131" s="121">
        <v>0</v>
      </c>
      <c r="D131" s="121">
        <v>0</v>
      </c>
      <c r="E131" s="121">
        <v>0</v>
      </c>
      <c r="F131" s="121">
        <v>0</v>
      </c>
      <c r="G131" s="121">
        <v>0</v>
      </c>
      <c r="H131" s="121">
        <v>0</v>
      </c>
      <c r="I131" s="121">
        <v>0</v>
      </c>
      <c r="J131" s="121">
        <v>0</v>
      </c>
      <c r="K131" s="121">
        <v>0</v>
      </c>
      <c r="L131" s="121">
        <v>0</v>
      </c>
      <c r="M131" s="121">
        <v>0</v>
      </c>
      <c r="N131" s="121">
        <v>0</v>
      </c>
      <c r="O131" s="121">
        <v>0</v>
      </c>
      <c r="P131" s="121">
        <v>0</v>
      </c>
      <c r="Q131" s="121">
        <v>0</v>
      </c>
      <c r="R131" s="121">
        <v>0</v>
      </c>
      <c r="S131" s="121">
        <v>0</v>
      </c>
      <c r="T131" s="121">
        <v>0</v>
      </c>
      <c r="U131" s="121">
        <v>0</v>
      </c>
      <c r="V131" s="121">
        <v>0</v>
      </c>
      <c r="W131" s="121">
        <v>0</v>
      </c>
      <c r="X131" s="121">
        <v>0</v>
      </c>
      <c r="Y131" s="121">
        <v>0</v>
      </c>
      <c r="Z131" s="121">
        <v>0</v>
      </c>
      <c r="AA131" s="121">
        <v>0</v>
      </c>
      <c r="AB131" s="121">
        <v>0</v>
      </c>
      <c r="AC131" s="121">
        <v>0</v>
      </c>
      <c r="AD131" s="121">
        <v>0</v>
      </c>
      <c r="AE131" s="121">
        <v>0</v>
      </c>
      <c r="AF131" s="121">
        <v>0</v>
      </c>
      <c r="AG131" s="121">
        <v>0</v>
      </c>
      <c r="AH131" s="121">
        <v>0</v>
      </c>
      <c r="AI131" s="121">
        <v>0</v>
      </c>
      <c r="AJ131" s="121">
        <v>0</v>
      </c>
      <c r="AK131" s="121">
        <v>0</v>
      </c>
      <c r="AL131" s="121">
        <v>0</v>
      </c>
      <c r="AM131" s="121">
        <v>0</v>
      </c>
      <c r="AN131" s="121">
        <v>0</v>
      </c>
      <c r="AO131" s="121">
        <v>0</v>
      </c>
      <c r="AP131" s="121">
        <v>0</v>
      </c>
      <c r="AQ131" s="121">
        <v>0</v>
      </c>
      <c r="AR131" s="121">
        <v>0</v>
      </c>
      <c r="AS131" s="121">
        <v>0</v>
      </c>
      <c r="AT131" s="121">
        <v>0</v>
      </c>
      <c r="AU131" s="121">
        <v>0</v>
      </c>
      <c r="AV131" s="121">
        <v>0</v>
      </c>
      <c r="AW131" s="121">
        <v>0</v>
      </c>
      <c r="AX131" s="121">
        <v>0</v>
      </c>
      <c r="AY131" s="121">
        <v>0</v>
      </c>
    </row>
    <row r="132" spans="1:51" x14ac:dyDescent="0.2">
      <c r="A132" s="124"/>
      <c r="B132" s="133">
        <v>11</v>
      </c>
      <c r="C132" s="121">
        <v>0</v>
      </c>
      <c r="D132" s="121">
        <v>0</v>
      </c>
      <c r="E132" s="121">
        <v>0</v>
      </c>
      <c r="F132" s="121">
        <v>0</v>
      </c>
      <c r="G132" s="121">
        <v>0</v>
      </c>
      <c r="H132" s="121">
        <v>0</v>
      </c>
      <c r="I132" s="121">
        <v>0</v>
      </c>
      <c r="J132" s="121">
        <v>0</v>
      </c>
      <c r="K132" s="121">
        <v>0</v>
      </c>
      <c r="L132" s="121">
        <v>0</v>
      </c>
      <c r="M132" s="121">
        <v>0</v>
      </c>
      <c r="N132" s="121">
        <v>0</v>
      </c>
      <c r="O132" s="121">
        <v>0</v>
      </c>
      <c r="P132" s="121">
        <v>0</v>
      </c>
      <c r="Q132" s="121">
        <v>0</v>
      </c>
      <c r="R132" s="121">
        <v>0</v>
      </c>
      <c r="S132" s="121">
        <v>0</v>
      </c>
      <c r="T132" s="121">
        <v>0</v>
      </c>
      <c r="U132" s="121">
        <v>0</v>
      </c>
      <c r="V132" s="121">
        <v>0</v>
      </c>
      <c r="W132" s="121">
        <v>0</v>
      </c>
      <c r="X132" s="121">
        <v>0</v>
      </c>
      <c r="Y132" s="121">
        <v>0</v>
      </c>
      <c r="Z132" s="121">
        <v>0</v>
      </c>
      <c r="AA132" s="121">
        <v>0</v>
      </c>
      <c r="AB132" s="121">
        <v>0</v>
      </c>
      <c r="AC132" s="121">
        <v>0</v>
      </c>
      <c r="AD132" s="121">
        <v>0</v>
      </c>
      <c r="AE132" s="121">
        <v>0</v>
      </c>
      <c r="AF132" s="121">
        <v>0</v>
      </c>
      <c r="AG132" s="121">
        <v>0</v>
      </c>
      <c r="AH132" s="121">
        <v>0</v>
      </c>
      <c r="AI132" s="121">
        <v>0</v>
      </c>
      <c r="AJ132" s="121">
        <v>0</v>
      </c>
      <c r="AK132" s="121">
        <v>0</v>
      </c>
      <c r="AL132" s="121">
        <v>0</v>
      </c>
      <c r="AM132" s="121">
        <v>0</v>
      </c>
      <c r="AN132" s="121">
        <v>0</v>
      </c>
      <c r="AO132" s="121">
        <v>0</v>
      </c>
      <c r="AP132" s="121">
        <v>0</v>
      </c>
      <c r="AQ132" s="121">
        <v>0</v>
      </c>
      <c r="AR132" s="121">
        <v>0</v>
      </c>
      <c r="AS132" s="121">
        <v>0</v>
      </c>
      <c r="AT132" s="121">
        <v>0</v>
      </c>
      <c r="AU132" s="121">
        <v>0</v>
      </c>
      <c r="AV132" s="121">
        <v>0</v>
      </c>
      <c r="AW132" s="121">
        <v>0</v>
      </c>
      <c r="AX132" s="121">
        <v>0</v>
      </c>
      <c r="AY132" s="121">
        <v>0</v>
      </c>
    </row>
    <row r="133" spans="1:51" x14ac:dyDescent="0.2">
      <c r="A133" s="124"/>
      <c r="B133" s="133">
        <v>12</v>
      </c>
      <c r="C133" s="121">
        <v>0</v>
      </c>
      <c r="D133" s="121">
        <v>0</v>
      </c>
      <c r="E133" s="121">
        <v>0</v>
      </c>
      <c r="F133" s="121">
        <v>0</v>
      </c>
      <c r="G133" s="121">
        <v>0</v>
      </c>
      <c r="H133" s="121">
        <v>0</v>
      </c>
      <c r="I133" s="121">
        <v>0</v>
      </c>
      <c r="J133" s="121">
        <v>0</v>
      </c>
      <c r="K133" s="121">
        <v>0</v>
      </c>
      <c r="L133" s="121">
        <v>0</v>
      </c>
      <c r="M133" s="121">
        <v>0</v>
      </c>
      <c r="N133" s="121">
        <v>0</v>
      </c>
      <c r="O133" s="121">
        <v>0</v>
      </c>
      <c r="P133" s="121">
        <v>0</v>
      </c>
      <c r="Q133" s="121">
        <v>0</v>
      </c>
      <c r="R133" s="121">
        <v>0</v>
      </c>
      <c r="S133" s="121">
        <v>0</v>
      </c>
      <c r="T133" s="121">
        <v>0</v>
      </c>
      <c r="U133" s="121">
        <v>0</v>
      </c>
      <c r="V133" s="121">
        <v>0</v>
      </c>
      <c r="W133" s="121">
        <v>0</v>
      </c>
      <c r="X133" s="121">
        <v>0</v>
      </c>
      <c r="Y133" s="121">
        <v>0</v>
      </c>
      <c r="Z133" s="121">
        <v>0</v>
      </c>
      <c r="AA133" s="121">
        <v>0</v>
      </c>
      <c r="AB133" s="121">
        <v>0</v>
      </c>
      <c r="AC133" s="121">
        <v>0</v>
      </c>
      <c r="AD133" s="121">
        <v>0</v>
      </c>
      <c r="AE133" s="121">
        <v>0</v>
      </c>
      <c r="AF133" s="121">
        <v>0</v>
      </c>
      <c r="AG133" s="121">
        <v>0</v>
      </c>
      <c r="AH133" s="121">
        <v>0</v>
      </c>
      <c r="AI133" s="121">
        <v>0</v>
      </c>
      <c r="AJ133" s="121">
        <v>0</v>
      </c>
      <c r="AK133" s="121">
        <v>0</v>
      </c>
      <c r="AL133" s="121">
        <v>0</v>
      </c>
      <c r="AM133" s="121">
        <v>0</v>
      </c>
      <c r="AN133" s="121">
        <v>0</v>
      </c>
      <c r="AO133" s="121">
        <v>0</v>
      </c>
      <c r="AP133" s="121">
        <v>0</v>
      </c>
      <c r="AQ133" s="121">
        <v>0</v>
      </c>
      <c r="AR133" s="121">
        <v>0</v>
      </c>
      <c r="AS133" s="121">
        <v>0</v>
      </c>
      <c r="AT133" s="121">
        <v>0</v>
      </c>
      <c r="AU133" s="121">
        <v>0</v>
      </c>
      <c r="AV133" s="121">
        <v>0</v>
      </c>
      <c r="AW133" s="121">
        <v>0</v>
      </c>
      <c r="AX133" s="121">
        <v>0</v>
      </c>
      <c r="AY133" s="121">
        <v>0</v>
      </c>
    </row>
    <row r="134" spans="1:51" x14ac:dyDescent="0.2">
      <c r="A134" s="124"/>
      <c r="B134" s="134">
        <v>13</v>
      </c>
      <c r="C134" s="121">
        <v>0</v>
      </c>
      <c r="D134" s="121">
        <v>0</v>
      </c>
      <c r="E134" s="121">
        <v>0</v>
      </c>
      <c r="F134" s="121">
        <v>0</v>
      </c>
      <c r="G134" s="121">
        <v>0</v>
      </c>
      <c r="H134" s="121">
        <v>0</v>
      </c>
      <c r="I134" s="121">
        <v>0</v>
      </c>
      <c r="J134" s="121">
        <v>0</v>
      </c>
      <c r="K134" s="121">
        <v>0</v>
      </c>
      <c r="L134" s="121">
        <v>0</v>
      </c>
      <c r="M134" s="121">
        <v>0</v>
      </c>
      <c r="N134" s="121">
        <v>0</v>
      </c>
      <c r="O134" s="121">
        <v>0</v>
      </c>
      <c r="P134" s="121">
        <v>0</v>
      </c>
      <c r="Q134" s="121">
        <v>0</v>
      </c>
      <c r="R134" s="121">
        <v>0</v>
      </c>
      <c r="S134" s="121">
        <v>0</v>
      </c>
      <c r="T134" s="121">
        <v>0</v>
      </c>
      <c r="U134" s="121">
        <v>0</v>
      </c>
      <c r="V134" s="121">
        <v>0</v>
      </c>
      <c r="W134" s="121">
        <v>0</v>
      </c>
      <c r="X134" s="121">
        <v>0</v>
      </c>
      <c r="Y134" s="121">
        <v>0</v>
      </c>
      <c r="Z134" s="121">
        <v>0</v>
      </c>
      <c r="AA134" s="121">
        <v>0</v>
      </c>
      <c r="AB134" s="121">
        <v>0</v>
      </c>
      <c r="AC134" s="121">
        <v>0</v>
      </c>
      <c r="AD134" s="121">
        <v>0</v>
      </c>
      <c r="AE134" s="121">
        <v>0</v>
      </c>
      <c r="AF134" s="121">
        <v>0</v>
      </c>
      <c r="AG134" s="121">
        <v>0</v>
      </c>
      <c r="AH134" s="121">
        <v>0</v>
      </c>
      <c r="AI134" s="121">
        <v>0</v>
      </c>
      <c r="AJ134" s="121">
        <v>0</v>
      </c>
      <c r="AK134" s="121">
        <v>0</v>
      </c>
      <c r="AL134" s="121">
        <v>0</v>
      </c>
      <c r="AM134" s="121">
        <v>0</v>
      </c>
      <c r="AN134" s="121">
        <v>0</v>
      </c>
      <c r="AO134" s="121">
        <v>0</v>
      </c>
      <c r="AP134" s="121">
        <v>0</v>
      </c>
      <c r="AQ134" s="121">
        <v>0</v>
      </c>
      <c r="AR134" s="121">
        <v>0</v>
      </c>
      <c r="AS134" s="121">
        <v>0</v>
      </c>
      <c r="AT134" s="121">
        <v>0</v>
      </c>
      <c r="AU134" s="121">
        <v>0</v>
      </c>
      <c r="AV134" s="121">
        <v>0</v>
      </c>
      <c r="AW134" s="121">
        <v>0</v>
      </c>
      <c r="AX134" s="121">
        <v>0</v>
      </c>
      <c r="AY134" s="121">
        <v>0</v>
      </c>
    </row>
    <row r="135" spans="1:51" x14ac:dyDescent="0.2">
      <c r="A135" s="124"/>
      <c r="B135" s="134">
        <v>14</v>
      </c>
      <c r="C135" s="121">
        <v>0</v>
      </c>
      <c r="D135" s="121">
        <v>0</v>
      </c>
      <c r="E135" s="121">
        <v>0</v>
      </c>
      <c r="F135" s="121">
        <v>0</v>
      </c>
      <c r="G135" s="121">
        <v>0</v>
      </c>
      <c r="H135" s="121">
        <v>0</v>
      </c>
      <c r="I135" s="121">
        <v>0</v>
      </c>
      <c r="J135" s="121">
        <v>0</v>
      </c>
      <c r="K135" s="121">
        <v>0</v>
      </c>
      <c r="L135" s="121">
        <v>0</v>
      </c>
      <c r="M135" s="121">
        <v>0</v>
      </c>
      <c r="N135" s="121">
        <v>0</v>
      </c>
      <c r="O135" s="121">
        <v>0</v>
      </c>
      <c r="P135" s="121">
        <v>0</v>
      </c>
      <c r="Q135" s="121">
        <v>0</v>
      </c>
      <c r="R135" s="121">
        <v>0</v>
      </c>
      <c r="S135" s="121">
        <v>0</v>
      </c>
      <c r="T135" s="121">
        <v>0</v>
      </c>
      <c r="U135" s="121">
        <v>0</v>
      </c>
      <c r="V135" s="121">
        <v>0</v>
      </c>
      <c r="W135" s="121">
        <v>0</v>
      </c>
      <c r="X135" s="121">
        <v>0</v>
      </c>
      <c r="Y135" s="121">
        <v>0</v>
      </c>
      <c r="Z135" s="121">
        <v>0</v>
      </c>
      <c r="AA135" s="121">
        <v>0</v>
      </c>
      <c r="AB135" s="121">
        <v>0</v>
      </c>
      <c r="AC135" s="121">
        <v>0</v>
      </c>
      <c r="AD135" s="121">
        <v>0</v>
      </c>
      <c r="AE135" s="121">
        <v>0</v>
      </c>
      <c r="AF135" s="121">
        <v>0</v>
      </c>
      <c r="AG135" s="121">
        <v>0</v>
      </c>
      <c r="AH135" s="121">
        <v>0</v>
      </c>
      <c r="AI135" s="121">
        <v>0</v>
      </c>
      <c r="AJ135" s="121">
        <v>0</v>
      </c>
      <c r="AK135" s="121">
        <v>0</v>
      </c>
      <c r="AL135" s="121">
        <v>0</v>
      </c>
      <c r="AM135" s="121">
        <v>0</v>
      </c>
      <c r="AN135" s="121">
        <v>0</v>
      </c>
      <c r="AO135" s="121">
        <v>0</v>
      </c>
      <c r="AP135" s="121">
        <v>0</v>
      </c>
      <c r="AQ135" s="121">
        <v>0</v>
      </c>
      <c r="AR135" s="121">
        <v>0</v>
      </c>
      <c r="AS135" s="121">
        <v>0</v>
      </c>
      <c r="AT135" s="121">
        <v>0</v>
      </c>
      <c r="AU135" s="121">
        <v>0</v>
      </c>
      <c r="AV135" s="121">
        <v>0</v>
      </c>
      <c r="AW135" s="121">
        <v>0</v>
      </c>
      <c r="AX135" s="121">
        <v>0</v>
      </c>
      <c r="AY135" s="121">
        <v>0</v>
      </c>
    </row>
    <row r="136" spans="1:51" x14ac:dyDescent="0.2">
      <c r="A136" s="124"/>
      <c r="B136" s="134">
        <v>15</v>
      </c>
      <c r="C136" s="121">
        <v>0</v>
      </c>
      <c r="D136" s="121">
        <v>0</v>
      </c>
      <c r="E136" s="121">
        <v>0</v>
      </c>
      <c r="F136" s="121">
        <v>0</v>
      </c>
      <c r="G136" s="121">
        <v>0</v>
      </c>
      <c r="H136" s="121">
        <v>0</v>
      </c>
      <c r="I136" s="121">
        <v>0</v>
      </c>
      <c r="J136" s="121">
        <v>0</v>
      </c>
      <c r="K136" s="121">
        <v>0</v>
      </c>
      <c r="L136" s="121">
        <v>0</v>
      </c>
      <c r="M136" s="121">
        <v>0</v>
      </c>
      <c r="N136" s="121">
        <v>0</v>
      </c>
      <c r="O136" s="121">
        <v>0</v>
      </c>
      <c r="P136" s="121">
        <v>0</v>
      </c>
      <c r="Q136" s="121">
        <v>0</v>
      </c>
      <c r="R136" s="121">
        <v>0</v>
      </c>
      <c r="S136" s="121">
        <v>0</v>
      </c>
      <c r="T136" s="121">
        <v>0</v>
      </c>
      <c r="U136" s="121">
        <v>0</v>
      </c>
      <c r="V136" s="121">
        <v>0</v>
      </c>
      <c r="W136" s="121">
        <v>0</v>
      </c>
      <c r="X136" s="121">
        <v>0</v>
      </c>
      <c r="Y136" s="121">
        <v>0</v>
      </c>
      <c r="Z136" s="121">
        <v>0</v>
      </c>
      <c r="AA136" s="121">
        <v>0</v>
      </c>
      <c r="AB136" s="121">
        <v>0</v>
      </c>
      <c r="AC136" s="121">
        <v>0</v>
      </c>
      <c r="AD136" s="121">
        <v>0</v>
      </c>
      <c r="AE136" s="121">
        <v>0</v>
      </c>
      <c r="AF136" s="121">
        <v>0</v>
      </c>
      <c r="AG136" s="121">
        <v>0</v>
      </c>
      <c r="AH136" s="121">
        <v>0</v>
      </c>
      <c r="AI136" s="121">
        <v>0</v>
      </c>
      <c r="AJ136" s="121">
        <v>0</v>
      </c>
      <c r="AK136" s="121">
        <v>0</v>
      </c>
      <c r="AL136" s="121">
        <v>0</v>
      </c>
      <c r="AM136" s="121">
        <v>0</v>
      </c>
      <c r="AN136" s="121">
        <v>0</v>
      </c>
      <c r="AO136" s="121">
        <v>0</v>
      </c>
      <c r="AP136" s="121">
        <v>0</v>
      </c>
      <c r="AQ136" s="121">
        <v>0</v>
      </c>
      <c r="AR136" s="121">
        <v>0</v>
      </c>
      <c r="AS136" s="121">
        <v>0</v>
      </c>
      <c r="AT136" s="121">
        <v>0</v>
      </c>
      <c r="AU136" s="121">
        <v>0</v>
      </c>
      <c r="AV136" s="121">
        <v>0</v>
      </c>
      <c r="AW136" s="121">
        <v>0</v>
      </c>
      <c r="AX136" s="121">
        <v>0</v>
      </c>
      <c r="AY136" s="121">
        <v>0</v>
      </c>
    </row>
    <row r="137" spans="1:51" x14ac:dyDescent="0.2">
      <c r="A137" s="124"/>
      <c r="B137" s="134">
        <v>16</v>
      </c>
      <c r="C137" s="121">
        <v>0</v>
      </c>
      <c r="D137" s="121">
        <v>0</v>
      </c>
      <c r="E137" s="121">
        <v>0</v>
      </c>
      <c r="F137" s="121">
        <v>0</v>
      </c>
      <c r="G137" s="121">
        <v>0</v>
      </c>
      <c r="H137" s="121">
        <v>0</v>
      </c>
      <c r="I137" s="121">
        <v>0</v>
      </c>
      <c r="J137" s="121">
        <v>0</v>
      </c>
      <c r="K137" s="121">
        <v>0</v>
      </c>
      <c r="L137" s="121">
        <v>0</v>
      </c>
      <c r="M137" s="121">
        <v>0</v>
      </c>
      <c r="N137" s="121">
        <v>0</v>
      </c>
      <c r="O137" s="121">
        <v>0</v>
      </c>
      <c r="P137" s="121">
        <v>0</v>
      </c>
      <c r="Q137" s="121">
        <v>0</v>
      </c>
      <c r="R137" s="121">
        <v>0</v>
      </c>
      <c r="S137" s="121">
        <v>0</v>
      </c>
      <c r="T137" s="121">
        <v>0</v>
      </c>
      <c r="U137" s="121">
        <v>0</v>
      </c>
      <c r="V137" s="121">
        <v>0</v>
      </c>
      <c r="W137" s="121">
        <v>0</v>
      </c>
      <c r="X137" s="121">
        <v>0</v>
      </c>
      <c r="Y137" s="121">
        <v>0</v>
      </c>
      <c r="Z137" s="121">
        <v>0</v>
      </c>
      <c r="AA137" s="121">
        <v>0</v>
      </c>
      <c r="AB137" s="121">
        <v>0</v>
      </c>
      <c r="AC137" s="121">
        <v>0</v>
      </c>
      <c r="AD137" s="121">
        <v>0</v>
      </c>
      <c r="AE137" s="121">
        <v>0</v>
      </c>
      <c r="AF137" s="121">
        <v>0</v>
      </c>
      <c r="AG137" s="121">
        <v>0</v>
      </c>
      <c r="AH137" s="121">
        <v>0</v>
      </c>
      <c r="AI137" s="121">
        <v>0</v>
      </c>
      <c r="AJ137" s="121">
        <v>0</v>
      </c>
      <c r="AK137" s="121">
        <v>0</v>
      </c>
      <c r="AL137" s="121">
        <v>0</v>
      </c>
      <c r="AM137" s="121">
        <v>0</v>
      </c>
      <c r="AN137" s="121">
        <v>0</v>
      </c>
      <c r="AO137" s="121">
        <v>0</v>
      </c>
      <c r="AP137" s="121">
        <v>0</v>
      </c>
      <c r="AQ137" s="121">
        <v>0</v>
      </c>
      <c r="AR137" s="121">
        <v>0</v>
      </c>
      <c r="AS137" s="121">
        <v>0</v>
      </c>
      <c r="AT137" s="121">
        <v>0</v>
      </c>
      <c r="AU137" s="121">
        <v>0</v>
      </c>
      <c r="AV137" s="121">
        <v>0</v>
      </c>
      <c r="AW137" s="121">
        <v>0</v>
      </c>
      <c r="AX137" s="121">
        <v>0</v>
      </c>
      <c r="AY137" s="121">
        <v>0</v>
      </c>
    </row>
    <row r="138" spans="1:51" x14ac:dyDescent="0.2">
      <c r="A138" s="124"/>
      <c r="B138" s="134">
        <v>17</v>
      </c>
      <c r="C138" s="121">
        <v>0</v>
      </c>
      <c r="D138" s="121">
        <v>0</v>
      </c>
      <c r="E138" s="121">
        <v>0</v>
      </c>
      <c r="F138" s="121">
        <v>0</v>
      </c>
      <c r="G138" s="121">
        <v>0</v>
      </c>
      <c r="H138" s="121">
        <v>0</v>
      </c>
      <c r="I138" s="121">
        <v>0</v>
      </c>
      <c r="J138" s="121">
        <v>0</v>
      </c>
      <c r="K138" s="121">
        <v>0</v>
      </c>
      <c r="L138" s="121">
        <v>0</v>
      </c>
      <c r="M138" s="121">
        <v>0</v>
      </c>
      <c r="N138" s="121">
        <v>0</v>
      </c>
      <c r="O138" s="121">
        <v>0</v>
      </c>
      <c r="P138" s="121">
        <v>0</v>
      </c>
      <c r="Q138" s="121">
        <v>0</v>
      </c>
      <c r="R138" s="121">
        <v>0</v>
      </c>
      <c r="S138" s="121">
        <v>0</v>
      </c>
      <c r="T138" s="121">
        <v>0</v>
      </c>
      <c r="U138" s="121">
        <v>0</v>
      </c>
      <c r="V138" s="121">
        <v>0</v>
      </c>
      <c r="W138" s="121">
        <v>0</v>
      </c>
      <c r="X138" s="121">
        <v>0</v>
      </c>
      <c r="Y138" s="121">
        <v>0</v>
      </c>
      <c r="Z138" s="121">
        <v>0</v>
      </c>
      <c r="AA138" s="121">
        <v>0</v>
      </c>
      <c r="AB138" s="121">
        <v>0</v>
      </c>
      <c r="AC138" s="121">
        <v>0</v>
      </c>
      <c r="AD138" s="121">
        <v>0</v>
      </c>
      <c r="AE138" s="121">
        <v>0</v>
      </c>
      <c r="AF138" s="121">
        <v>0</v>
      </c>
      <c r="AG138" s="121">
        <v>0</v>
      </c>
      <c r="AH138" s="121">
        <v>0</v>
      </c>
      <c r="AI138" s="121">
        <v>0</v>
      </c>
      <c r="AJ138" s="121">
        <v>0</v>
      </c>
      <c r="AK138" s="121">
        <v>0</v>
      </c>
      <c r="AL138" s="121">
        <v>0</v>
      </c>
      <c r="AM138" s="121">
        <v>0</v>
      </c>
      <c r="AN138" s="121">
        <v>0</v>
      </c>
      <c r="AO138" s="121">
        <v>0</v>
      </c>
      <c r="AP138" s="121">
        <v>0</v>
      </c>
      <c r="AQ138" s="121">
        <v>0</v>
      </c>
      <c r="AR138" s="121">
        <v>0</v>
      </c>
      <c r="AS138" s="121">
        <v>0</v>
      </c>
      <c r="AT138" s="121">
        <v>0</v>
      </c>
      <c r="AU138" s="121">
        <v>0</v>
      </c>
      <c r="AV138" s="121">
        <v>0</v>
      </c>
      <c r="AW138" s="121">
        <v>0</v>
      </c>
      <c r="AX138" s="121">
        <v>0</v>
      </c>
      <c r="AY138" s="121">
        <v>0</v>
      </c>
    </row>
    <row r="139" spans="1:51" x14ac:dyDescent="0.2">
      <c r="A139" s="124"/>
      <c r="B139" s="134">
        <v>18</v>
      </c>
      <c r="C139" s="121">
        <v>0</v>
      </c>
      <c r="D139" s="121">
        <v>0</v>
      </c>
      <c r="E139" s="121">
        <v>0</v>
      </c>
      <c r="F139" s="121">
        <v>0</v>
      </c>
      <c r="G139" s="121">
        <v>0</v>
      </c>
      <c r="H139" s="121">
        <v>0</v>
      </c>
      <c r="I139" s="121">
        <v>0</v>
      </c>
      <c r="J139" s="121">
        <v>0</v>
      </c>
      <c r="K139" s="121">
        <v>0</v>
      </c>
      <c r="L139" s="121">
        <v>0</v>
      </c>
      <c r="M139" s="121">
        <v>0</v>
      </c>
      <c r="N139" s="121">
        <v>0</v>
      </c>
      <c r="O139" s="121">
        <v>0</v>
      </c>
      <c r="P139" s="121">
        <v>0</v>
      </c>
      <c r="Q139" s="121">
        <v>0</v>
      </c>
      <c r="R139" s="121">
        <v>0</v>
      </c>
      <c r="S139" s="121">
        <v>0</v>
      </c>
      <c r="T139" s="121">
        <v>0</v>
      </c>
      <c r="U139" s="121">
        <v>0</v>
      </c>
      <c r="V139" s="121">
        <v>0</v>
      </c>
      <c r="W139" s="121">
        <v>0</v>
      </c>
      <c r="X139" s="121">
        <v>0</v>
      </c>
      <c r="Y139" s="121">
        <v>0</v>
      </c>
      <c r="Z139" s="121">
        <v>0</v>
      </c>
      <c r="AA139" s="121">
        <v>0</v>
      </c>
      <c r="AB139" s="121">
        <v>0</v>
      </c>
      <c r="AC139" s="121">
        <v>0</v>
      </c>
      <c r="AD139" s="121">
        <v>0</v>
      </c>
      <c r="AE139" s="121">
        <v>0</v>
      </c>
      <c r="AF139" s="121">
        <v>0</v>
      </c>
      <c r="AG139" s="121">
        <v>0</v>
      </c>
      <c r="AH139" s="121">
        <v>0</v>
      </c>
      <c r="AI139" s="121">
        <v>0</v>
      </c>
      <c r="AJ139" s="121">
        <v>0</v>
      </c>
      <c r="AK139" s="121">
        <v>0</v>
      </c>
      <c r="AL139" s="121">
        <v>0</v>
      </c>
      <c r="AM139" s="121">
        <v>0</v>
      </c>
      <c r="AN139" s="121">
        <v>0</v>
      </c>
      <c r="AO139" s="121">
        <v>0</v>
      </c>
      <c r="AP139" s="121">
        <v>0</v>
      </c>
      <c r="AQ139" s="121">
        <v>0</v>
      </c>
      <c r="AR139" s="121">
        <v>0</v>
      </c>
      <c r="AS139" s="121">
        <v>0</v>
      </c>
      <c r="AT139" s="121">
        <v>0</v>
      </c>
      <c r="AU139" s="121">
        <v>0</v>
      </c>
      <c r="AV139" s="121">
        <v>0</v>
      </c>
      <c r="AW139" s="121">
        <v>0</v>
      </c>
      <c r="AX139" s="121">
        <v>0</v>
      </c>
      <c r="AY139" s="121">
        <v>0</v>
      </c>
    </row>
    <row r="140" spans="1:51" x14ac:dyDescent="0.2">
      <c r="A140" s="124"/>
      <c r="B140" s="134">
        <v>19</v>
      </c>
      <c r="C140" s="121">
        <v>0</v>
      </c>
      <c r="D140" s="121">
        <v>0</v>
      </c>
      <c r="E140" s="121">
        <v>0</v>
      </c>
      <c r="F140" s="121">
        <v>0</v>
      </c>
      <c r="G140" s="121">
        <v>0</v>
      </c>
      <c r="H140" s="121">
        <v>0</v>
      </c>
      <c r="I140" s="121">
        <v>0</v>
      </c>
      <c r="J140" s="121">
        <v>0</v>
      </c>
      <c r="K140" s="121">
        <v>0</v>
      </c>
      <c r="L140" s="121">
        <v>0</v>
      </c>
      <c r="M140" s="121">
        <v>0</v>
      </c>
      <c r="N140" s="121">
        <v>0</v>
      </c>
      <c r="O140" s="121">
        <v>0</v>
      </c>
      <c r="P140" s="121">
        <v>0</v>
      </c>
      <c r="Q140" s="121">
        <v>0</v>
      </c>
      <c r="R140" s="121">
        <v>0</v>
      </c>
      <c r="S140" s="121">
        <v>0</v>
      </c>
      <c r="T140" s="121">
        <v>0</v>
      </c>
      <c r="U140" s="121">
        <v>0</v>
      </c>
      <c r="V140" s="121">
        <v>0</v>
      </c>
      <c r="W140" s="121">
        <v>0</v>
      </c>
      <c r="X140" s="121">
        <v>0</v>
      </c>
      <c r="Y140" s="121">
        <v>0</v>
      </c>
      <c r="Z140" s="121">
        <v>0</v>
      </c>
      <c r="AA140" s="121">
        <v>0</v>
      </c>
      <c r="AB140" s="121">
        <v>0</v>
      </c>
      <c r="AC140" s="121">
        <v>0</v>
      </c>
      <c r="AD140" s="121">
        <v>0</v>
      </c>
      <c r="AE140" s="121">
        <v>0</v>
      </c>
      <c r="AF140" s="121">
        <v>0</v>
      </c>
      <c r="AG140" s="121">
        <v>0</v>
      </c>
      <c r="AH140" s="121">
        <v>0</v>
      </c>
      <c r="AI140" s="121">
        <v>0</v>
      </c>
      <c r="AJ140" s="121">
        <v>0</v>
      </c>
      <c r="AK140" s="121">
        <v>0</v>
      </c>
      <c r="AL140" s="121">
        <v>0</v>
      </c>
      <c r="AM140" s="121">
        <v>0</v>
      </c>
      <c r="AN140" s="121">
        <v>0</v>
      </c>
      <c r="AO140" s="121">
        <v>0</v>
      </c>
      <c r="AP140" s="121">
        <v>0</v>
      </c>
      <c r="AQ140" s="121">
        <v>0</v>
      </c>
      <c r="AR140" s="121">
        <v>0</v>
      </c>
      <c r="AS140" s="121">
        <v>0</v>
      </c>
      <c r="AT140" s="121">
        <v>0</v>
      </c>
      <c r="AU140" s="121">
        <v>0</v>
      </c>
      <c r="AV140" s="121">
        <v>0</v>
      </c>
      <c r="AW140" s="121">
        <v>0</v>
      </c>
      <c r="AX140" s="121">
        <v>0</v>
      </c>
      <c r="AY140" s="121">
        <v>0</v>
      </c>
    </row>
    <row r="141" spans="1:51" x14ac:dyDescent="0.2">
      <c r="A141" s="124"/>
      <c r="B141" s="134">
        <v>20</v>
      </c>
      <c r="C141" s="121">
        <v>0</v>
      </c>
      <c r="D141" s="121">
        <v>0</v>
      </c>
      <c r="E141" s="121">
        <v>0</v>
      </c>
      <c r="F141" s="121">
        <v>0</v>
      </c>
      <c r="G141" s="121">
        <v>0</v>
      </c>
      <c r="H141" s="121">
        <v>0</v>
      </c>
      <c r="I141" s="121">
        <v>0</v>
      </c>
      <c r="J141" s="121">
        <v>0</v>
      </c>
      <c r="K141" s="121">
        <v>0</v>
      </c>
      <c r="L141" s="121">
        <v>0</v>
      </c>
      <c r="M141" s="121">
        <v>0</v>
      </c>
      <c r="N141" s="121">
        <v>0</v>
      </c>
      <c r="O141" s="121">
        <v>0</v>
      </c>
      <c r="P141" s="121">
        <v>0</v>
      </c>
      <c r="Q141" s="121">
        <v>0</v>
      </c>
      <c r="R141" s="121">
        <v>0</v>
      </c>
      <c r="S141" s="121">
        <v>0</v>
      </c>
      <c r="T141" s="121">
        <v>0</v>
      </c>
      <c r="U141" s="121">
        <v>0</v>
      </c>
      <c r="V141" s="121">
        <v>0</v>
      </c>
      <c r="W141" s="121">
        <v>0</v>
      </c>
      <c r="X141" s="121">
        <v>0</v>
      </c>
      <c r="Y141" s="121">
        <v>0</v>
      </c>
      <c r="Z141" s="121">
        <v>0</v>
      </c>
      <c r="AA141" s="121">
        <v>0</v>
      </c>
      <c r="AB141" s="121">
        <v>0</v>
      </c>
      <c r="AC141" s="121">
        <v>0</v>
      </c>
      <c r="AD141" s="121">
        <v>0</v>
      </c>
      <c r="AE141" s="121">
        <v>0</v>
      </c>
      <c r="AF141" s="121">
        <v>0</v>
      </c>
      <c r="AG141" s="121">
        <v>0</v>
      </c>
      <c r="AH141" s="121">
        <v>0</v>
      </c>
      <c r="AI141" s="121">
        <v>0</v>
      </c>
      <c r="AJ141" s="121">
        <v>0</v>
      </c>
      <c r="AK141" s="121">
        <v>0</v>
      </c>
      <c r="AL141" s="121">
        <v>0</v>
      </c>
      <c r="AM141" s="121">
        <v>0</v>
      </c>
      <c r="AN141" s="121">
        <v>0</v>
      </c>
      <c r="AO141" s="121">
        <v>0</v>
      </c>
      <c r="AP141" s="121">
        <v>0</v>
      </c>
      <c r="AQ141" s="121">
        <v>0</v>
      </c>
      <c r="AR141" s="121">
        <v>0</v>
      </c>
      <c r="AS141" s="121">
        <v>0</v>
      </c>
      <c r="AT141" s="121">
        <v>0</v>
      </c>
      <c r="AU141" s="121">
        <v>0</v>
      </c>
      <c r="AV141" s="121">
        <v>0</v>
      </c>
      <c r="AW141" s="121">
        <v>0</v>
      </c>
      <c r="AX141" s="121">
        <v>0</v>
      </c>
      <c r="AY141" s="121">
        <v>0</v>
      </c>
    </row>
    <row r="142" spans="1:51" x14ac:dyDescent="0.2">
      <c r="A142" s="124"/>
      <c r="B142" s="134">
        <v>21</v>
      </c>
      <c r="C142" s="121">
        <v>0</v>
      </c>
      <c r="D142" s="121">
        <v>0</v>
      </c>
      <c r="E142" s="121">
        <v>0</v>
      </c>
      <c r="F142" s="121">
        <v>0</v>
      </c>
      <c r="G142" s="121">
        <v>0</v>
      </c>
      <c r="H142" s="121">
        <v>0</v>
      </c>
      <c r="I142" s="121">
        <v>0</v>
      </c>
      <c r="J142" s="121">
        <v>0</v>
      </c>
      <c r="K142" s="121">
        <v>0</v>
      </c>
      <c r="L142" s="121">
        <v>0</v>
      </c>
      <c r="M142" s="121">
        <v>0</v>
      </c>
      <c r="N142" s="121">
        <v>0</v>
      </c>
      <c r="O142" s="121">
        <v>0</v>
      </c>
      <c r="P142" s="121">
        <v>0</v>
      </c>
      <c r="Q142" s="121">
        <v>0</v>
      </c>
      <c r="R142" s="121">
        <v>0</v>
      </c>
      <c r="S142" s="121">
        <v>0</v>
      </c>
      <c r="T142" s="121">
        <v>0</v>
      </c>
      <c r="U142" s="121">
        <v>0</v>
      </c>
      <c r="V142" s="121">
        <v>0</v>
      </c>
      <c r="W142" s="121">
        <v>0</v>
      </c>
      <c r="X142" s="121">
        <v>0</v>
      </c>
      <c r="Y142" s="121">
        <v>0</v>
      </c>
      <c r="Z142" s="121">
        <v>0</v>
      </c>
      <c r="AA142" s="121">
        <v>0</v>
      </c>
      <c r="AB142" s="121">
        <v>0</v>
      </c>
      <c r="AC142" s="121">
        <v>0</v>
      </c>
      <c r="AD142" s="121">
        <v>0</v>
      </c>
      <c r="AE142" s="121">
        <v>0</v>
      </c>
      <c r="AF142" s="121">
        <v>0</v>
      </c>
      <c r="AG142" s="121">
        <v>0</v>
      </c>
      <c r="AH142" s="121">
        <v>0</v>
      </c>
      <c r="AI142" s="121">
        <v>0</v>
      </c>
      <c r="AJ142" s="121">
        <v>0</v>
      </c>
      <c r="AK142" s="121">
        <v>0</v>
      </c>
      <c r="AL142" s="121">
        <v>0</v>
      </c>
      <c r="AM142" s="121">
        <v>0</v>
      </c>
      <c r="AN142" s="121">
        <v>0</v>
      </c>
      <c r="AO142" s="121">
        <v>0</v>
      </c>
      <c r="AP142" s="121">
        <v>0</v>
      </c>
      <c r="AQ142" s="121">
        <v>0</v>
      </c>
      <c r="AR142" s="121">
        <v>0</v>
      </c>
      <c r="AS142" s="121">
        <v>0</v>
      </c>
      <c r="AT142" s="121">
        <v>0</v>
      </c>
      <c r="AU142" s="121">
        <v>0</v>
      </c>
      <c r="AV142" s="121">
        <v>0</v>
      </c>
      <c r="AW142" s="121">
        <v>0</v>
      </c>
      <c r="AX142" s="121">
        <v>0</v>
      </c>
      <c r="AY142" s="121">
        <v>0</v>
      </c>
    </row>
    <row r="143" spans="1:51" x14ac:dyDescent="0.2">
      <c r="A143" s="124"/>
      <c r="B143" s="134">
        <v>22</v>
      </c>
      <c r="C143" s="121">
        <v>0</v>
      </c>
      <c r="D143" s="121">
        <v>0</v>
      </c>
      <c r="E143" s="121">
        <v>0</v>
      </c>
      <c r="F143" s="121">
        <v>0</v>
      </c>
      <c r="G143" s="121">
        <v>0</v>
      </c>
      <c r="H143" s="121">
        <v>0</v>
      </c>
      <c r="I143" s="121">
        <v>0</v>
      </c>
      <c r="J143" s="121">
        <v>0</v>
      </c>
      <c r="K143" s="121">
        <v>0</v>
      </c>
      <c r="L143" s="121">
        <v>0</v>
      </c>
      <c r="M143" s="121">
        <v>0</v>
      </c>
      <c r="N143" s="121">
        <v>0</v>
      </c>
      <c r="O143" s="121">
        <v>0</v>
      </c>
      <c r="P143" s="121">
        <v>0</v>
      </c>
      <c r="Q143" s="121">
        <v>0</v>
      </c>
      <c r="R143" s="121">
        <v>0</v>
      </c>
      <c r="S143" s="121">
        <v>0</v>
      </c>
      <c r="T143" s="121">
        <v>0</v>
      </c>
      <c r="U143" s="121">
        <v>0</v>
      </c>
      <c r="V143" s="121">
        <v>0</v>
      </c>
      <c r="W143" s="121">
        <v>0</v>
      </c>
      <c r="X143" s="121">
        <v>0</v>
      </c>
      <c r="Y143" s="121">
        <v>0</v>
      </c>
      <c r="Z143" s="121">
        <v>0</v>
      </c>
      <c r="AA143" s="121">
        <v>0</v>
      </c>
      <c r="AB143" s="121">
        <v>0</v>
      </c>
      <c r="AC143" s="121">
        <v>0</v>
      </c>
      <c r="AD143" s="121">
        <v>0</v>
      </c>
      <c r="AE143" s="121">
        <v>0</v>
      </c>
      <c r="AF143" s="121">
        <v>0</v>
      </c>
      <c r="AG143" s="121">
        <v>0</v>
      </c>
      <c r="AH143" s="121">
        <v>0</v>
      </c>
      <c r="AI143" s="121">
        <v>0</v>
      </c>
      <c r="AJ143" s="121">
        <v>0</v>
      </c>
      <c r="AK143" s="121">
        <v>0</v>
      </c>
      <c r="AL143" s="121">
        <v>0</v>
      </c>
      <c r="AM143" s="121">
        <v>0</v>
      </c>
      <c r="AN143" s="121">
        <v>0</v>
      </c>
      <c r="AO143" s="121">
        <v>0</v>
      </c>
      <c r="AP143" s="121">
        <v>0</v>
      </c>
      <c r="AQ143" s="121">
        <v>0</v>
      </c>
      <c r="AR143" s="121">
        <v>0</v>
      </c>
      <c r="AS143" s="121">
        <v>0</v>
      </c>
      <c r="AT143" s="121">
        <v>0</v>
      </c>
      <c r="AU143" s="121">
        <v>0</v>
      </c>
      <c r="AV143" s="121">
        <v>0</v>
      </c>
      <c r="AW143" s="121">
        <v>0</v>
      </c>
      <c r="AX143" s="121">
        <v>0</v>
      </c>
      <c r="AY143" s="121">
        <v>0</v>
      </c>
    </row>
    <row r="144" spans="1:51" x14ac:dyDescent="0.2">
      <c r="A144" s="124"/>
      <c r="B144" s="134">
        <v>23</v>
      </c>
      <c r="C144" s="121">
        <v>0</v>
      </c>
      <c r="D144" s="121">
        <v>0</v>
      </c>
      <c r="E144" s="121">
        <v>0</v>
      </c>
      <c r="F144" s="121">
        <v>0</v>
      </c>
      <c r="G144" s="121">
        <v>0</v>
      </c>
      <c r="H144" s="121">
        <v>0</v>
      </c>
      <c r="I144" s="121">
        <v>0</v>
      </c>
      <c r="J144" s="121">
        <v>0</v>
      </c>
      <c r="K144" s="121">
        <v>0</v>
      </c>
      <c r="L144" s="121">
        <v>0</v>
      </c>
      <c r="M144" s="121">
        <v>0</v>
      </c>
      <c r="N144" s="121">
        <v>0</v>
      </c>
      <c r="O144" s="121">
        <v>0</v>
      </c>
      <c r="P144" s="121">
        <v>0</v>
      </c>
      <c r="Q144" s="121">
        <v>0</v>
      </c>
      <c r="R144" s="121">
        <v>0</v>
      </c>
      <c r="S144" s="121">
        <v>0</v>
      </c>
      <c r="T144" s="121">
        <v>0</v>
      </c>
      <c r="U144" s="121">
        <v>0</v>
      </c>
      <c r="V144" s="121">
        <v>0</v>
      </c>
      <c r="W144" s="121">
        <v>0</v>
      </c>
      <c r="X144" s="121">
        <v>0</v>
      </c>
      <c r="Y144" s="121">
        <v>0</v>
      </c>
      <c r="Z144" s="121">
        <v>0</v>
      </c>
      <c r="AA144" s="121">
        <v>0</v>
      </c>
      <c r="AB144" s="121">
        <v>0</v>
      </c>
      <c r="AC144" s="121">
        <v>0</v>
      </c>
      <c r="AD144" s="121">
        <v>0</v>
      </c>
      <c r="AE144" s="121">
        <v>0</v>
      </c>
      <c r="AF144" s="121">
        <v>0</v>
      </c>
      <c r="AG144" s="121">
        <v>0</v>
      </c>
      <c r="AH144" s="121">
        <v>0</v>
      </c>
      <c r="AI144" s="121">
        <v>0</v>
      </c>
      <c r="AJ144" s="121">
        <v>0</v>
      </c>
      <c r="AK144" s="121">
        <v>0</v>
      </c>
      <c r="AL144" s="121">
        <v>0</v>
      </c>
      <c r="AM144" s="121">
        <v>0</v>
      </c>
      <c r="AN144" s="121">
        <v>0</v>
      </c>
      <c r="AO144" s="121">
        <v>0</v>
      </c>
      <c r="AP144" s="121">
        <v>0</v>
      </c>
      <c r="AQ144" s="121">
        <v>0</v>
      </c>
      <c r="AR144" s="121">
        <v>0</v>
      </c>
      <c r="AS144" s="121">
        <v>0</v>
      </c>
      <c r="AT144" s="121">
        <v>0</v>
      </c>
      <c r="AU144" s="121">
        <v>0</v>
      </c>
      <c r="AV144" s="121">
        <v>0</v>
      </c>
      <c r="AW144" s="121">
        <v>0</v>
      </c>
      <c r="AX144" s="121">
        <v>0</v>
      </c>
      <c r="AY144" s="121">
        <v>0</v>
      </c>
    </row>
    <row r="145" spans="1:51" x14ac:dyDescent="0.2">
      <c r="A145" s="124"/>
      <c r="B145" s="134">
        <v>24</v>
      </c>
      <c r="C145" s="121">
        <v>0</v>
      </c>
      <c r="D145" s="121">
        <v>0</v>
      </c>
      <c r="E145" s="121">
        <v>0</v>
      </c>
      <c r="F145" s="121">
        <v>0</v>
      </c>
      <c r="G145" s="121">
        <v>0</v>
      </c>
      <c r="H145" s="121">
        <v>0</v>
      </c>
      <c r="I145" s="121">
        <v>0</v>
      </c>
      <c r="J145" s="121">
        <v>0</v>
      </c>
      <c r="K145" s="121">
        <v>0</v>
      </c>
      <c r="L145" s="121">
        <v>0</v>
      </c>
      <c r="M145" s="121">
        <v>0</v>
      </c>
      <c r="N145" s="121">
        <v>0</v>
      </c>
      <c r="O145" s="121">
        <v>0</v>
      </c>
      <c r="P145" s="121">
        <v>0</v>
      </c>
      <c r="Q145" s="121">
        <v>0</v>
      </c>
      <c r="R145" s="121">
        <v>0</v>
      </c>
      <c r="S145" s="121">
        <v>0</v>
      </c>
      <c r="T145" s="121">
        <v>0</v>
      </c>
      <c r="U145" s="121">
        <v>0</v>
      </c>
      <c r="V145" s="121">
        <v>0</v>
      </c>
      <c r="W145" s="121">
        <v>0</v>
      </c>
      <c r="X145" s="121">
        <v>0</v>
      </c>
      <c r="Y145" s="121">
        <v>0</v>
      </c>
      <c r="Z145" s="121">
        <v>0</v>
      </c>
      <c r="AA145" s="121">
        <v>0</v>
      </c>
      <c r="AB145" s="121">
        <v>0</v>
      </c>
      <c r="AC145" s="121">
        <v>0</v>
      </c>
      <c r="AD145" s="121">
        <v>0</v>
      </c>
      <c r="AE145" s="121">
        <v>0</v>
      </c>
      <c r="AF145" s="121">
        <v>0</v>
      </c>
      <c r="AG145" s="121">
        <v>0</v>
      </c>
      <c r="AH145" s="121">
        <v>0</v>
      </c>
      <c r="AI145" s="121">
        <v>0</v>
      </c>
      <c r="AJ145" s="121">
        <v>0</v>
      </c>
      <c r="AK145" s="121">
        <v>0</v>
      </c>
      <c r="AL145" s="121">
        <v>0</v>
      </c>
      <c r="AM145" s="121">
        <v>0</v>
      </c>
      <c r="AN145" s="121">
        <v>0</v>
      </c>
      <c r="AO145" s="121">
        <v>0</v>
      </c>
      <c r="AP145" s="121">
        <v>0</v>
      </c>
      <c r="AQ145" s="121">
        <v>0</v>
      </c>
      <c r="AR145" s="121">
        <v>0</v>
      </c>
      <c r="AS145" s="121">
        <v>0</v>
      </c>
      <c r="AT145" s="121">
        <v>0</v>
      </c>
      <c r="AU145" s="121">
        <v>0</v>
      </c>
      <c r="AV145" s="121">
        <v>0</v>
      </c>
      <c r="AW145" s="121">
        <v>0</v>
      </c>
      <c r="AX145" s="121">
        <v>0</v>
      </c>
      <c r="AY145" s="121">
        <v>0</v>
      </c>
    </row>
    <row r="146" spans="1:51" x14ac:dyDescent="0.2">
      <c r="A146" s="124"/>
      <c r="B146" s="141">
        <v>25</v>
      </c>
      <c r="C146" s="121">
        <v>0</v>
      </c>
      <c r="D146" s="121">
        <v>0</v>
      </c>
      <c r="E146" s="121">
        <v>0</v>
      </c>
      <c r="F146" s="121">
        <v>0</v>
      </c>
      <c r="G146" s="121">
        <v>0</v>
      </c>
      <c r="H146" s="121">
        <v>0</v>
      </c>
      <c r="I146" s="121">
        <v>0</v>
      </c>
      <c r="J146" s="121">
        <v>0</v>
      </c>
      <c r="K146" s="121">
        <v>0</v>
      </c>
      <c r="L146" s="121">
        <v>0</v>
      </c>
      <c r="M146" s="121">
        <v>0</v>
      </c>
      <c r="N146" s="121">
        <v>0</v>
      </c>
      <c r="O146" s="121">
        <v>0</v>
      </c>
      <c r="P146" s="121">
        <v>0</v>
      </c>
      <c r="Q146" s="121">
        <v>0</v>
      </c>
      <c r="R146" s="121">
        <v>0</v>
      </c>
      <c r="S146" s="121">
        <v>0</v>
      </c>
      <c r="T146" s="121">
        <v>0</v>
      </c>
      <c r="U146" s="121">
        <v>0</v>
      </c>
      <c r="V146" s="121">
        <v>0</v>
      </c>
      <c r="W146" s="121">
        <v>0</v>
      </c>
      <c r="X146" s="121">
        <v>0</v>
      </c>
      <c r="Y146" s="121">
        <v>0</v>
      </c>
      <c r="Z146" s="121">
        <v>0</v>
      </c>
      <c r="AA146" s="121">
        <v>0</v>
      </c>
      <c r="AB146" s="121">
        <v>0</v>
      </c>
      <c r="AC146" s="121">
        <v>0</v>
      </c>
      <c r="AD146" s="121">
        <v>0</v>
      </c>
      <c r="AE146" s="121">
        <v>0</v>
      </c>
      <c r="AF146" s="121">
        <v>0</v>
      </c>
      <c r="AG146" s="121">
        <v>0</v>
      </c>
      <c r="AH146" s="121">
        <v>0</v>
      </c>
      <c r="AI146" s="121">
        <v>0</v>
      </c>
      <c r="AJ146" s="121">
        <v>0</v>
      </c>
      <c r="AK146" s="121">
        <v>0</v>
      </c>
      <c r="AL146" s="121">
        <v>0</v>
      </c>
      <c r="AM146" s="121">
        <v>0</v>
      </c>
      <c r="AN146" s="121">
        <v>0</v>
      </c>
      <c r="AO146" s="121">
        <v>0</v>
      </c>
      <c r="AP146" s="121">
        <v>0</v>
      </c>
      <c r="AQ146" s="121">
        <v>0</v>
      </c>
      <c r="AR146" s="121">
        <v>0</v>
      </c>
      <c r="AS146" s="121">
        <v>0</v>
      </c>
      <c r="AT146" s="121">
        <v>0</v>
      </c>
      <c r="AU146" s="121">
        <v>0</v>
      </c>
      <c r="AV146" s="121">
        <v>0</v>
      </c>
      <c r="AW146" s="121">
        <v>0</v>
      </c>
      <c r="AX146" s="121">
        <v>0</v>
      </c>
      <c r="AY146" s="121">
        <v>0</v>
      </c>
    </row>
    <row r="147" spans="1:51" x14ac:dyDescent="0.2">
      <c r="A147" s="124"/>
      <c r="B147" s="141">
        <v>26</v>
      </c>
      <c r="C147" s="121">
        <v>0</v>
      </c>
      <c r="D147" s="121">
        <v>0</v>
      </c>
      <c r="E147" s="121">
        <v>0</v>
      </c>
      <c r="F147" s="121">
        <v>0</v>
      </c>
      <c r="G147" s="121">
        <v>0</v>
      </c>
      <c r="H147" s="121">
        <v>0</v>
      </c>
      <c r="I147" s="121">
        <v>0</v>
      </c>
      <c r="J147" s="121">
        <v>0</v>
      </c>
      <c r="K147" s="121">
        <v>0</v>
      </c>
      <c r="L147" s="121">
        <v>0</v>
      </c>
      <c r="M147" s="121">
        <v>0</v>
      </c>
      <c r="N147" s="121">
        <v>0</v>
      </c>
      <c r="O147" s="121">
        <v>0</v>
      </c>
      <c r="P147" s="121">
        <v>0</v>
      </c>
      <c r="Q147" s="121">
        <v>0</v>
      </c>
      <c r="R147" s="121">
        <v>0</v>
      </c>
      <c r="S147" s="121">
        <v>0</v>
      </c>
      <c r="T147" s="121">
        <v>0</v>
      </c>
      <c r="U147" s="121">
        <v>0</v>
      </c>
      <c r="V147" s="121">
        <v>0</v>
      </c>
      <c r="W147" s="121">
        <v>0</v>
      </c>
      <c r="X147" s="121">
        <v>0</v>
      </c>
      <c r="Y147" s="121">
        <v>0</v>
      </c>
      <c r="Z147" s="121">
        <v>0</v>
      </c>
      <c r="AA147" s="121">
        <v>0</v>
      </c>
      <c r="AB147" s="121">
        <v>0</v>
      </c>
      <c r="AC147" s="121">
        <v>0</v>
      </c>
      <c r="AD147" s="121">
        <v>0</v>
      </c>
      <c r="AE147" s="121">
        <v>0</v>
      </c>
      <c r="AF147" s="121">
        <v>0</v>
      </c>
      <c r="AG147" s="121">
        <v>0</v>
      </c>
      <c r="AH147" s="121">
        <v>0</v>
      </c>
      <c r="AI147" s="121">
        <v>0</v>
      </c>
      <c r="AJ147" s="121">
        <v>0</v>
      </c>
      <c r="AK147" s="121">
        <v>0</v>
      </c>
      <c r="AL147" s="121">
        <v>0</v>
      </c>
      <c r="AM147" s="121">
        <v>0</v>
      </c>
      <c r="AN147" s="121">
        <v>0</v>
      </c>
      <c r="AO147" s="121">
        <v>0</v>
      </c>
      <c r="AP147" s="121">
        <v>0</v>
      </c>
      <c r="AQ147" s="121">
        <v>0</v>
      </c>
      <c r="AR147" s="121">
        <v>0</v>
      </c>
      <c r="AS147" s="121">
        <v>0</v>
      </c>
      <c r="AT147" s="121">
        <v>0</v>
      </c>
      <c r="AU147" s="121">
        <v>0</v>
      </c>
      <c r="AV147" s="121">
        <v>0</v>
      </c>
      <c r="AW147" s="121">
        <v>0</v>
      </c>
      <c r="AX147" s="121">
        <v>0</v>
      </c>
      <c r="AY147" s="121">
        <v>0</v>
      </c>
    </row>
    <row r="148" spans="1:51" x14ac:dyDescent="0.2">
      <c r="A148" s="124"/>
      <c r="B148" s="141">
        <v>27</v>
      </c>
      <c r="C148" s="121">
        <v>0</v>
      </c>
      <c r="D148" s="121">
        <v>0</v>
      </c>
      <c r="E148" s="121">
        <v>0</v>
      </c>
      <c r="F148" s="121">
        <v>0</v>
      </c>
      <c r="G148" s="121">
        <v>0</v>
      </c>
      <c r="H148" s="121">
        <v>0</v>
      </c>
      <c r="I148" s="121">
        <v>0</v>
      </c>
      <c r="J148" s="121">
        <v>0</v>
      </c>
      <c r="K148" s="121">
        <v>0</v>
      </c>
      <c r="L148" s="121">
        <v>0</v>
      </c>
      <c r="M148" s="121">
        <v>0</v>
      </c>
      <c r="N148" s="121">
        <v>0</v>
      </c>
      <c r="O148" s="121">
        <v>0</v>
      </c>
      <c r="P148" s="121">
        <v>0</v>
      </c>
      <c r="Q148" s="121">
        <v>0</v>
      </c>
      <c r="R148" s="121">
        <v>0</v>
      </c>
      <c r="S148" s="121">
        <v>0</v>
      </c>
      <c r="T148" s="121">
        <v>0</v>
      </c>
      <c r="U148" s="121">
        <v>0</v>
      </c>
      <c r="V148" s="121">
        <v>0</v>
      </c>
      <c r="W148" s="121">
        <v>0</v>
      </c>
      <c r="X148" s="121">
        <v>0</v>
      </c>
      <c r="Y148" s="121">
        <v>0</v>
      </c>
      <c r="Z148" s="121">
        <v>0</v>
      </c>
      <c r="AA148" s="121">
        <v>0</v>
      </c>
      <c r="AB148" s="121">
        <v>0</v>
      </c>
      <c r="AC148" s="121">
        <v>0</v>
      </c>
      <c r="AD148" s="121">
        <v>0</v>
      </c>
      <c r="AE148" s="121">
        <v>0</v>
      </c>
      <c r="AF148" s="121">
        <v>0</v>
      </c>
      <c r="AG148" s="121">
        <v>0</v>
      </c>
      <c r="AH148" s="121">
        <v>0</v>
      </c>
      <c r="AI148" s="121">
        <v>0</v>
      </c>
      <c r="AJ148" s="121">
        <v>0</v>
      </c>
      <c r="AK148" s="121">
        <v>0</v>
      </c>
      <c r="AL148" s="121">
        <v>0</v>
      </c>
      <c r="AM148" s="121">
        <v>0</v>
      </c>
      <c r="AN148" s="121">
        <v>0</v>
      </c>
      <c r="AO148" s="121">
        <v>0</v>
      </c>
      <c r="AP148" s="121">
        <v>0</v>
      </c>
      <c r="AQ148" s="121">
        <v>0</v>
      </c>
      <c r="AR148" s="121">
        <v>0</v>
      </c>
      <c r="AS148" s="121">
        <v>0</v>
      </c>
      <c r="AT148" s="121">
        <v>0</v>
      </c>
      <c r="AU148" s="121">
        <v>0</v>
      </c>
      <c r="AV148" s="121">
        <v>0</v>
      </c>
      <c r="AW148" s="121">
        <v>0</v>
      </c>
      <c r="AX148" s="121">
        <v>0</v>
      </c>
      <c r="AY148" s="121">
        <v>0</v>
      </c>
    </row>
    <row r="149" spans="1:51" x14ac:dyDescent="0.2">
      <c r="A149" s="124"/>
      <c r="B149" s="141">
        <v>28</v>
      </c>
      <c r="C149" s="121">
        <v>0</v>
      </c>
      <c r="D149" s="121">
        <v>0</v>
      </c>
      <c r="E149" s="121">
        <v>0</v>
      </c>
      <c r="F149" s="121">
        <v>0</v>
      </c>
      <c r="G149" s="121">
        <v>0</v>
      </c>
      <c r="H149" s="121">
        <v>0</v>
      </c>
      <c r="I149" s="121">
        <v>0</v>
      </c>
      <c r="J149" s="121">
        <v>0</v>
      </c>
      <c r="K149" s="121">
        <v>0</v>
      </c>
      <c r="L149" s="121">
        <v>0</v>
      </c>
      <c r="M149" s="121">
        <v>0</v>
      </c>
      <c r="N149" s="121">
        <v>0</v>
      </c>
      <c r="O149" s="121">
        <v>0</v>
      </c>
      <c r="P149" s="121">
        <v>0</v>
      </c>
      <c r="Q149" s="121">
        <v>0</v>
      </c>
      <c r="R149" s="121">
        <v>0</v>
      </c>
      <c r="S149" s="121">
        <v>0</v>
      </c>
      <c r="T149" s="121">
        <v>0</v>
      </c>
      <c r="U149" s="121">
        <v>0</v>
      </c>
      <c r="V149" s="121">
        <v>0</v>
      </c>
      <c r="W149" s="121">
        <v>0</v>
      </c>
      <c r="X149" s="121">
        <v>0</v>
      </c>
      <c r="Y149" s="121">
        <v>0</v>
      </c>
      <c r="Z149" s="121">
        <v>0</v>
      </c>
      <c r="AA149" s="121">
        <v>0</v>
      </c>
      <c r="AB149" s="121">
        <v>0</v>
      </c>
      <c r="AC149" s="121">
        <v>0</v>
      </c>
      <c r="AD149" s="121">
        <v>0</v>
      </c>
      <c r="AE149" s="121">
        <v>0</v>
      </c>
      <c r="AF149" s="121">
        <v>0</v>
      </c>
      <c r="AG149" s="121">
        <v>0</v>
      </c>
      <c r="AH149" s="121">
        <v>0</v>
      </c>
      <c r="AI149" s="121">
        <v>0</v>
      </c>
      <c r="AJ149" s="121">
        <v>0</v>
      </c>
      <c r="AK149" s="121">
        <v>0</v>
      </c>
      <c r="AL149" s="121">
        <v>0</v>
      </c>
      <c r="AM149" s="121">
        <v>0</v>
      </c>
      <c r="AN149" s="121">
        <v>0</v>
      </c>
      <c r="AO149" s="121">
        <v>0</v>
      </c>
      <c r="AP149" s="121">
        <v>0</v>
      </c>
      <c r="AQ149" s="121">
        <v>0</v>
      </c>
      <c r="AR149" s="121">
        <v>0</v>
      </c>
      <c r="AS149" s="121">
        <v>0</v>
      </c>
      <c r="AT149" s="121">
        <v>0</v>
      </c>
      <c r="AU149" s="121">
        <v>0</v>
      </c>
      <c r="AV149" s="121">
        <v>0</v>
      </c>
      <c r="AW149" s="121">
        <v>0</v>
      </c>
      <c r="AX149" s="121">
        <v>0</v>
      </c>
      <c r="AY149" s="121">
        <v>0</v>
      </c>
    </row>
    <row r="150" spans="1:51" x14ac:dyDescent="0.2">
      <c r="A150" s="124"/>
      <c r="B150" s="141">
        <v>29</v>
      </c>
      <c r="C150" s="121">
        <v>0</v>
      </c>
      <c r="D150" s="121">
        <v>0</v>
      </c>
      <c r="E150" s="121">
        <v>0</v>
      </c>
      <c r="F150" s="121">
        <v>0</v>
      </c>
      <c r="G150" s="121">
        <v>0</v>
      </c>
      <c r="H150" s="121">
        <v>0</v>
      </c>
      <c r="I150" s="121">
        <v>0</v>
      </c>
      <c r="J150" s="121">
        <v>0</v>
      </c>
      <c r="K150" s="121">
        <v>0</v>
      </c>
      <c r="L150" s="121">
        <v>0</v>
      </c>
      <c r="M150" s="121">
        <v>0</v>
      </c>
      <c r="N150" s="121">
        <v>0</v>
      </c>
      <c r="O150" s="121">
        <v>0</v>
      </c>
      <c r="P150" s="121">
        <v>0</v>
      </c>
      <c r="Q150" s="121">
        <v>0</v>
      </c>
      <c r="R150" s="121">
        <v>0</v>
      </c>
      <c r="S150" s="121">
        <v>0</v>
      </c>
      <c r="T150" s="121">
        <v>0</v>
      </c>
      <c r="U150" s="121">
        <v>0</v>
      </c>
      <c r="V150" s="121">
        <v>0</v>
      </c>
      <c r="W150" s="121">
        <v>0</v>
      </c>
      <c r="X150" s="121">
        <v>0</v>
      </c>
      <c r="Y150" s="121">
        <v>0</v>
      </c>
      <c r="Z150" s="121">
        <v>0</v>
      </c>
      <c r="AA150" s="121">
        <v>0</v>
      </c>
      <c r="AB150" s="121">
        <v>0</v>
      </c>
      <c r="AC150" s="121">
        <v>0</v>
      </c>
      <c r="AD150" s="121">
        <v>0</v>
      </c>
      <c r="AE150" s="121">
        <v>0</v>
      </c>
      <c r="AF150" s="121">
        <v>0</v>
      </c>
      <c r="AG150" s="121">
        <v>0</v>
      </c>
      <c r="AH150" s="121">
        <v>0</v>
      </c>
      <c r="AI150" s="121">
        <v>0</v>
      </c>
      <c r="AJ150" s="121">
        <v>0</v>
      </c>
      <c r="AK150" s="121">
        <v>0</v>
      </c>
      <c r="AL150" s="121">
        <v>0</v>
      </c>
      <c r="AM150" s="121">
        <v>0</v>
      </c>
      <c r="AN150" s="121">
        <v>0</v>
      </c>
      <c r="AO150" s="121">
        <v>0</v>
      </c>
      <c r="AP150" s="121">
        <v>0</v>
      </c>
      <c r="AQ150" s="121">
        <v>0</v>
      </c>
      <c r="AR150" s="121">
        <v>0</v>
      </c>
      <c r="AS150" s="121">
        <v>0</v>
      </c>
      <c r="AT150" s="121">
        <v>0</v>
      </c>
      <c r="AU150" s="121">
        <v>0</v>
      </c>
      <c r="AV150" s="121">
        <v>0</v>
      </c>
      <c r="AW150" s="121">
        <v>0</v>
      </c>
      <c r="AX150" s="121">
        <v>0</v>
      </c>
      <c r="AY150" s="121">
        <v>0</v>
      </c>
    </row>
    <row r="151" spans="1:51" x14ac:dyDescent="0.2">
      <c r="A151" s="124"/>
      <c r="B151" s="141">
        <v>30</v>
      </c>
      <c r="C151" s="121">
        <v>0</v>
      </c>
      <c r="D151" s="121">
        <v>0</v>
      </c>
      <c r="E151" s="121">
        <v>0</v>
      </c>
      <c r="F151" s="121">
        <v>0</v>
      </c>
      <c r="G151" s="121">
        <v>0</v>
      </c>
      <c r="H151" s="121">
        <v>0</v>
      </c>
      <c r="I151" s="121">
        <v>0</v>
      </c>
      <c r="J151" s="121">
        <v>0</v>
      </c>
      <c r="K151" s="121">
        <v>0</v>
      </c>
      <c r="L151" s="121">
        <v>0</v>
      </c>
      <c r="M151" s="121">
        <v>0</v>
      </c>
      <c r="N151" s="121">
        <v>0</v>
      </c>
      <c r="O151" s="121">
        <v>0</v>
      </c>
      <c r="P151" s="121">
        <v>0</v>
      </c>
      <c r="Q151" s="121">
        <v>0</v>
      </c>
      <c r="R151" s="121">
        <v>0</v>
      </c>
      <c r="S151" s="121">
        <v>0</v>
      </c>
      <c r="T151" s="121">
        <v>0</v>
      </c>
      <c r="U151" s="121">
        <v>0</v>
      </c>
      <c r="V151" s="121">
        <v>0</v>
      </c>
      <c r="W151" s="121">
        <v>0</v>
      </c>
      <c r="X151" s="121">
        <v>0</v>
      </c>
      <c r="Y151" s="121">
        <v>0</v>
      </c>
      <c r="Z151" s="121">
        <v>0</v>
      </c>
      <c r="AA151" s="121">
        <v>0</v>
      </c>
      <c r="AB151" s="121">
        <v>0</v>
      </c>
      <c r="AC151" s="121">
        <v>0</v>
      </c>
      <c r="AD151" s="121">
        <v>0</v>
      </c>
      <c r="AE151" s="121">
        <v>0</v>
      </c>
      <c r="AF151" s="121">
        <v>0</v>
      </c>
      <c r="AG151" s="121">
        <v>0</v>
      </c>
      <c r="AH151" s="121">
        <v>0</v>
      </c>
      <c r="AI151" s="121">
        <v>0</v>
      </c>
      <c r="AJ151" s="121">
        <v>0</v>
      </c>
      <c r="AK151" s="121">
        <v>0</v>
      </c>
      <c r="AL151" s="121">
        <v>0</v>
      </c>
      <c r="AM151" s="121">
        <v>0</v>
      </c>
      <c r="AN151" s="121">
        <v>0</v>
      </c>
      <c r="AO151" s="121">
        <v>0</v>
      </c>
      <c r="AP151" s="121">
        <v>0</v>
      </c>
      <c r="AQ151" s="121">
        <v>0</v>
      </c>
      <c r="AR151" s="121">
        <v>0</v>
      </c>
      <c r="AS151" s="121">
        <v>0</v>
      </c>
      <c r="AT151" s="121">
        <v>0</v>
      </c>
      <c r="AU151" s="121">
        <v>0</v>
      </c>
      <c r="AV151" s="121">
        <v>0</v>
      </c>
      <c r="AW151" s="121">
        <v>0</v>
      </c>
      <c r="AX151" s="121">
        <v>0</v>
      </c>
      <c r="AY151" s="121">
        <v>0</v>
      </c>
    </row>
    <row r="152" spans="1:51" x14ac:dyDescent="0.2">
      <c r="A152" s="124"/>
      <c r="B152" s="141">
        <v>31</v>
      </c>
      <c r="C152" s="121">
        <v>0</v>
      </c>
      <c r="D152" s="121">
        <v>0</v>
      </c>
      <c r="E152" s="121">
        <v>0</v>
      </c>
      <c r="F152" s="121">
        <v>0</v>
      </c>
      <c r="G152" s="121">
        <v>0</v>
      </c>
      <c r="H152" s="121">
        <v>0</v>
      </c>
      <c r="I152" s="121">
        <v>0</v>
      </c>
      <c r="J152" s="121">
        <v>0</v>
      </c>
      <c r="K152" s="121">
        <v>0</v>
      </c>
      <c r="L152" s="121">
        <v>0</v>
      </c>
      <c r="M152" s="121">
        <v>0</v>
      </c>
      <c r="N152" s="121">
        <v>0</v>
      </c>
      <c r="O152" s="121">
        <v>0</v>
      </c>
      <c r="P152" s="121">
        <v>0</v>
      </c>
      <c r="Q152" s="121">
        <v>0</v>
      </c>
      <c r="R152" s="121">
        <v>0</v>
      </c>
      <c r="S152" s="121">
        <v>0</v>
      </c>
      <c r="T152" s="121">
        <v>0</v>
      </c>
      <c r="U152" s="121">
        <v>0</v>
      </c>
      <c r="V152" s="121">
        <v>0</v>
      </c>
      <c r="W152" s="121">
        <v>0</v>
      </c>
      <c r="X152" s="121">
        <v>0</v>
      </c>
      <c r="Y152" s="121">
        <v>0</v>
      </c>
      <c r="Z152" s="121">
        <v>0</v>
      </c>
      <c r="AA152" s="121">
        <v>0</v>
      </c>
      <c r="AB152" s="121">
        <v>0</v>
      </c>
      <c r="AC152" s="121">
        <v>0</v>
      </c>
      <c r="AD152" s="121">
        <v>0</v>
      </c>
      <c r="AE152" s="121">
        <v>0</v>
      </c>
      <c r="AF152" s="121">
        <v>0</v>
      </c>
      <c r="AG152" s="121">
        <v>0</v>
      </c>
      <c r="AH152" s="121">
        <v>0</v>
      </c>
      <c r="AI152" s="121">
        <v>0</v>
      </c>
      <c r="AJ152" s="121">
        <v>0</v>
      </c>
      <c r="AK152" s="121">
        <v>0</v>
      </c>
      <c r="AL152" s="121">
        <v>0</v>
      </c>
      <c r="AM152" s="121">
        <v>0</v>
      </c>
      <c r="AN152" s="121">
        <v>0</v>
      </c>
      <c r="AO152" s="121">
        <v>0</v>
      </c>
      <c r="AP152" s="121">
        <v>0</v>
      </c>
      <c r="AQ152" s="121">
        <v>0</v>
      </c>
      <c r="AR152" s="121">
        <v>0</v>
      </c>
      <c r="AS152" s="121">
        <v>0</v>
      </c>
      <c r="AT152" s="121">
        <v>0</v>
      </c>
      <c r="AU152" s="121">
        <v>0</v>
      </c>
      <c r="AV152" s="121">
        <v>0</v>
      </c>
      <c r="AW152" s="121">
        <v>0</v>
      </c>
      <c r="AX152" s="121">
        <v>0</v>
      </c>
      <c r="AY152" s="121">
        <v>0</v>
      </c>
    </row>
    <row r="153" spans="1:51" x14ac:dyDescent="0.2">
      <c r="A153" s="124"/>
      <c r="B153" s="141">
        <v>32</v>
      </c>
      <c r="C153" s="121">
        <v>0</v>
      </c>
      <c r="D153" s="121">
        <v>0</v>
      </c>
      <c r="E153" s="121">
        <v>0</v>
      </c>
      <c r="F153" s="121">
        <v>0</v>
      </c>
      <c r="G153" s="121">
        <v>0</v>
      </c>
      <c r="H153" s="121">
        <v>0</v>
      </c>
      <c r="I153" s="121">
        <v>0</v>
      </c>
      <c r="J153" s="121">
        <v>0</v>
      </c>
      <c r="K153" s="121">
        <v>0</v>
      </c>
      <c r="L153" s="121">
        <v>0</v>
      </c>
      <c r="M153" s="121">
        <v>0</v>
      </c>
      <c r="N153" s="121">
        <v>0</v>
      </c>
      <c r="O153" s="121">
        <v>0</v>
      </c>
      <c r="P153" s="121">
        <v>0</v>
      </c>
      <c r="Q153" s="121">
        <v>0</v>
      </c>
      <c r="R153" s="121">
        <v>0</v>
      </c>
      <c r="S153" s="121">
        <v>0</v>
      </c>
      <c r="T153" s="121">
        <v>0</v>
      </c>
      <c r="U153" s="121">
        <v>0</v>
      </c>
      <c r="V153" s="121">
        <v>0</v>
      </c>
      <c r="W153" s="121">
        <v>0</v>
      </c>
      <c r="X153" s="121">
        <v>0</v>
      </c>
      <c r="Y153" s="121">
        <v>0</v>
      </c>
      <c r="Z153" s="121">
        <v>0</v>
      </c>
      <c r="AA153" s="121">
        <v>0</v>
      </c>
      <c r="AB153" s="121">
        <v>0</v>
      </c>
      <c r="AC153" s="121">
        <v>0</v>
      </c>
      <c r="AD153" s="121">
        <v>0</v>
      </c>
      <c r="AE153" s="121">
        <v>0</v>
      </c>
      <c r="AF153" s="121">
        <v>0</v>
      </c>
      <c r="AG153" s="121">
        <v>0</v>
      </c>
      <c r="AH153" s="121">
        <v>0</v>
      </c>
      <c r="AI153" s="121">
        <v>0</v>
      </c>
      <c r="AJ153" s="121">
        <v>0</v>
      </c>
      <c r="AK153" s="121">
        <v>0</v>
      </c>
      <c r="AL153" s="121">
        <v>0</v>
      </c>
      <c r="AM153" s="121">
        <v>0</v>
      </c>
      <c r="AN153" s="121">
        <v>0</v>
      </c>
      <c r="AO153" s="121">
        <v>0</v>
      </c>
      <c r="AP153" s="121">
        <v>0</v>
      </c>
      <c r="AQ153" s="121">
        <v>0</v>
      </c>
      <c r="AR153" s="121">
        <v>0</v>
      </c>
      <c r="AS153" s="121">
        <v>0</v>
      </c>
      <c r="AT153" s="121">
        <v>0</v>
      </c>
      <c r="AU153" s="121">
        <v>0</v>
      </c>
      <c r="AV153" s="121">
        <v>0</v>
      </c>
      <c r="AW153" s="121">
        <v>0</v>
      </c>
      <c r="AX153" s="121">
        <v>0</v>
      </c>
      <c r="AY153" s="121">
        <v>0</v>
      </c>
    </row>
    <row r="154" spans="1:51" x14ac:dyDescent="0.2">
      <c r="A154" s="124"/>
      <c r="B154" s="141">
        <v>33</v>
      </c>
      <c r="C154" s="121">
        <v>0</v>
      </c>
      <c r="D154" s="121">
        <v>0</v>
      </c>
      <c r="E154" s="121">
        <v>0</v>
      </c>
      <c r="F154" s="121">
        <v>0</v>
      </c>
      <c r="G154" s="121">
        <v>0</v>
      </c>
      <c r="H154" s="121">
        <v>0</v>
      </c>
      <c r="I154" s="121">
        <v>0</v>
      </c>
      <c r="J154" s="121">
        <v>0</v>
      </c>
      <c r="K154" s="121">
        <v>0</v>
      </c>
      <c r="L154" s="121">
        <v>0</v>
      </c>
      <c r="M154" s="121">
        <v>0</v>
      </c>
      <c r="N154" s="121">
        <v>0</v>
      </c>
      <c r="O154" s="121">
        <v>0</v>
      </c>
      <c r="P154" s="121">
        <v>0</v>
      </c>
      <c r="Q154" s="121">
        <v>0</v>
      </c>
      <c r="R154" s="121">
        <v>0</v>
      </c>
      <c r="S154" s="121">
        <v>0</v>
      </c>
      <c r="T154" s="121">
        <v>0</v>
      </c>
      <c r="U154" s="121">
        <v>0</v>
      </c>
      <c r="V154" s="121">
        <v>0</v>
      </c>
      <c r="W154" s="121">
        <v>0</v>
      </c>
      <c r="X154" s="121">
        <v>0</v>
      </c>
      <c r="Y154" s="121">
        <v>0</v>
      </c>
      <c r="Z154" s="121">
        <v>0</v>
      </c>
      <c r="AA154" s="121">
        <v>0</v>
      </c>
      <c r="AB154" s="121">
        <v>0</v>
      </c>
      <c r="AC154" s="121">
        <v>0</v>
      </c>
      <c r="AD154" s="121">
        <v>0</v>
      </c>
      <c r="AE154" s="121">
        <v>0</v>
      </c>
      <c r="AF154" s="121">
        <v>0</v>
      </c>
      <c r="AG154" s="121">
        <v>0</v>
      </c>
      <c r="AH154" s="121">
        <v>0</v>
      </c>
      <c r="AI154" s="121">
        <v>0</v>
      </c>
      <c r="AJ154" s="121">
        <v>0</v>
      </c>
      <c r="AK154" s="121">
        <v>0</v>
      </c>
      <c r="AL154" s="121">
        <v>0</v>
      </c>
      <c r="AM154" s="121">
        <v>0</v>
      </c>
      <c r="AN154" s="121">
        <v>0</v>
      </c>
      <c r="AO154" s="121">
        <v>0</v>
      </c>
      <c r="AP154" s="121">
        <v>0</v>
      </c>
      <c r="AQ154" s="121">
        <v>0</v>
      </c>
      <c r="AR154" s="121">
        <v>0</v>
      </c>
      <c r="AS154" s="121">
        <v>0</v>
      </c>
      <c r="AT154" s="121">
        <v>0</v>
      </c>
      <c r="AU154" s="121">
        <v>0</v>
      </c>
      <c r="AV154" s="121">
        <v>0</v>
      </c>
      <c r="AW154" s="121">
        <v>0</v>
      </c>
      <c r="AX154" s="121">
        <v>0</v>
      </c>
      <c r="AY154" s="121">
        <v>0</v>
      </c>
    </row>
    <row r="155" spans="1:51" x14ac:dyDescent="0.2">
      <c r="A155" s="124"/>
      <c r="B155" s="141">
        <v>34</v>
      </c>
      <c r="C155" s="121">
        <v>0</v>
      </c>
      <c r="D155" s="121">
        <v>0</v>
      </c>
      <c r="E155" s="121">
        <v>0</v>
      </c>
      <c r="F155" s="121">
        <v>0</v>
      </c>
      <c r="G155" s="121">
        <v>0</v>
      </c>
      <c r="H155" s="121">
        <v>0</v>
      </c>
      <c r="I155" s="121">
        <v>0</v>
      </c>
      <c r="J155" s="121">
        <v>0</v>
      </c>
      <c r="K155" s="121">
        <v>0</v>
      </c>
      <c r="L155" s="121">
        <v>0</v>
      </c>
      <c r="M155" s="121">
        <v>0</v>
      </c>
      <c r="N155" s="121">
        <v>0</v>
      </c>
      <c r="O155" s="121">
        <v>0</v>
      </c>
      <c r="P155" s="121">
        <v>0</v>
      </c>
      <c r="Q155" s="121">
        <v>0</v>
      </c>
      <c r="R155" s="121">
        <v>0</v>
      </c>
      <c r="S155" s="121">
        <v>0</v>
      </c>
      <c r="T155" s="121">
        <v>0</v>
      </c>
      <c r="U155" s="121">
        <v>0</v>
      </c>
      <c r="V155" s="121">
        <v>0</v>
      </c>
      <c r="W155" s="121">
        <v>0</v>
      </c>
      <c r="X155" s="121">
        <v>0</v>
      </c>
      <c r="Y155" s="121">
        <v>0</v>
      </c>
      <c r="Z155" s="121">
        <v>0</v>
      </c>
      <c r="AA155" s="121">
        <v>0</v>
      </c>
      <c r="AB155" s="121">
        <v>0</v>
      </c>
      <c r="AC155" s="121">
        <v>0</v>
      </c>
      <c r="AD155" s="121">
        <v>0</v>
      </c>
      <c r="AE155" s="121">
        <v>0</v>
      </c>
      <c r="AF155" s="121">
        <v>0</v>
      </c>
      <c r="AG155" s="121">
        <v>0</v>
      </c>
      <c r="AH155" s="121">
        <v>0</v>
      </c>
      <c r="AI155" s="121">
        <v>0</v>
      </c>
      <c r="AJ155" s="121">
        <v>0</v>
      </c>
      <c r="AK155" s="121">
        <v>0</v>
      </c>
      <c r="AL155" s="121">
        <v>0</v>
      </c>
      <c r="AM155" s="121">
        <v>0</v>
      </c>
      <c r="AN155" s="121">
        <v>0</v>
      </c>
      <c r="AO155" s="121">
        <v>0</v>
      </c>
      <c r="AP155" s="121">
        <v>0</v>
      </c>
      <c r="AQ155" s="121">
        <v>0</v>
      </c>
      <c r="AR155" s="121">
        <v>0</v>
      </c>
      <c r="AS155" s="121">
        <v>0</v>
      </c>
      <c r="AT155" s="121">
        <v>0</v>
      </c>
      <c r="AU155" s="121">
        <v>0</v>
      </c>
      <c r="AV155" s="121">
        <v>0</v>
      </c>
      <c r="AW155" s="121">
        <v>0</v>
      </c>
      <c r="AX155" s="121">
        <v>0</v>
      </c>
      <c r="AY155" s="121">
        <v>0</v>
      </c>
    </row>
    <row r="156" spans="1:51" x14ac:dyDescent="0.2">
      <c r="A156" s="124"/>
      <c r="B156" s="141">
        <v>35</v>
      </c>
      <c r="C156" s="121">
        <v>0</v>
      </c>
      <c r="D156" s="121">
        <v>0</v>
      </c>
      <c r="E156" s="121">
        <v>0</v>
      </c>
      <c r="F156" s="121">
        <v>0</v>
      </c>
      <c r="G156" s="121">
        <v>0</v>
      </c>
      <c r="H156" s="121">
        <v>0</v>
      </c>
      <c r="I156" s="121">
        <v>0</v>
      </c>
      <c r="J156" s="121">
        <v>0</v>
      </c>
      <c r="K156" s="121">
        <v>0</v>
      </c>
      <c r="L156" s="121">
        <v>0</v>
      </c>
      <c r="M156" s="121">
        <v>0</v>
      </c>
      <c r="N156" s="121">
        <v>0</v>
      </c>
      <c r="O156" s="121">
        <v>0</v>
      </c>
      <c r="P156" s="121">
        <v>0</v>
      </c>
      <c r="Q156" s="121">
        <v>0</v>
      </c>
      <c r="R156" s="121">
        <v>0</v>
      </c>
      <c r="S156" s="121">
        <v>0</v>
      </c>
      <c r="T156" s="121">
        <v>0</v>
      </c>
      <c r="U156" s="121">
        <v>0</v>
      </c>
      <c r="V156" s="121">
        <v>0</v>
      </c>
      <c r="W156" s="121">
        <v>0</v>
      </c>
      <c r="X156" s="121">
        <v>0</v>
      </c>
      <c r="Y156" s="121">
        <v>0</v>
      </c>
      <c r="Z156" s="121">
        <v>0</v>
      </c>
      <c r="AA156" s="121">
        <v>0</v>
      </c>
      <c r="AB156" s="121">
        <v>0</v>
      </c>
      <c r="AC156" s="121">
        <v>0</v>
      </c>
      <c r="AD156" s="121">
        <v>0</v>
      </c>
      <c r="AE156" s="121">
        <v>0</v>
      </c>
      <c r="AF156" s="121">
        <v>0</v>
      </c>
      <c r="AG156" s="121">
        <v>0</v>
      </c>
      <c r="AH156" s="121">
        <v>0</v>
      </c>
      <c r="AI156" s="121">
        <v>0</v>
      </c>
      <c r="AJ156" s="121">
        <v>0</v>
      </c>
      <c r="AK156" s="121">
        <v>0</v>
      </c>
      <c r="AL156" s="121">
        <v>0</v>
      </c>
      <c r="AM156" s="121">
        <v>0</v>
      </c>
      <c r="AN156" s="121">
        <v>0</v>
      </c>
      <c r="AO156" s="121">
        <v>0</v>
      </c>
      <c r="AP156" s="121">
        <v>0</v>
      </c>
      <c r="AQ156" s="121">
        <v>0</v>
      </c>
      <c r="AR156" s="121">
        <v>0</v>
      </c>
      <c r="AS156" s="121">
        <v>0</v>
      </c>
      <c r="AT156" s="121">
        <v>0</v>
      </c>
      <c r="AU156" s="121">
        <v>0</v>
      </c>
      <c r="AV156" s="121">
        <v>0</v>
      </c>
      <c r="AW156" s="121">
        <v>0</v>
      </c>
      <c r="AX156" s="121">
        <v>0</v>
      </c>
      <c r="AY156" s="121">
        <v>0</v>
      </c>
    </row>
    <row r="157" spans="1:51" x14ac:dyDescent="0.2">
      <c r="A157" s="124"/>
      <c r="B157" s="141">
        <v>36</v>
      </c>
      <c r="C157" s="121">
        <v>0</v>
      </c>
      <c r="D157" s="121">
        <v>0</v>
      </c>
      <c r="E157" s="121">
        <v>0</v>
      </c>
      <c r="F157" s="121">
        <v>0</v>
      </c>
      <c r="G157" s="121">
        <v>0</v>
      </c>
      <c r="H157" s="121">
        <v>0</v>
      </c>
      <c r="I157" s="121">
        <v>0</v>
      </c>
      <c r="J157" s="121">
        <v>0</v>
      </c>
      <c r="K157" s="121">
        <v>0</v>
      </c>
      <c r="L157" s="121">
        <v>0</v>
      </c>
      <c r="M157" s="121">
        <v>0</v>
      </c>
      <c r="N157" s="121">
        <v>0</v>
      </c>
      <c r="O157" s="121">
        <v>0</v>
      </c>
      <c r="P157" s="121">
        <v>0</v>
      </c>
      <c r="Q157" s="121">
        <v>0</v>
      </c>
      <c r="R157" s="121">
        <v>0</v>
      </c>
      <c r="S157" s="121">
        <v>0</v>
      </c>
      <c r="T157" s="121">
        <v>0</v>
      </c>
      <c r="U157" s="121">
        <v>0</v>
      </c>
      <c r="V157" s="121">
        <v>0</v>
      </c>
      <c r="W157" s="121">
        <v>0</v>
      </c>
      <c r="X157" s="121">
        <v>0</v>
      </c>
      <c r="Y157" s="121">
        <v>0</v>
      </c>
      <c r="Z157" s="121">
        <v>0</v>
      </c>
      <c r="AA157" s="121">
        <v>0</v>
      </c>
      <c r="AB157" s="121">
        <v>0</v>
      </c>
      <c r="AC157" s="121">
        <v>0</v>
      </c>
      <c r="AD157" s="121">
        <v>0</v>
      </c>
      <c r="AE157" s="121">
        <v>0</v>
      </c>
      <c r="AF157" s="121">
        <v>0</v>
      </c>
      <c r="AG157" s="121">
        <v>0</v>
      </c>
      <c r="AH157" s="121">
        <v>0</v>
      </c>
      <c r="AI157" s="121">
        <v>0</v>
      </c>
      <c r="AJ157" s="121">
        <v>0</v>
      </c>
      <c r="AK157" s="121">
        <v>0</v>
      </c>
      <c r="AL157" s="121">
        <v>0</v>
      </c>
      <c r="AM157" s="121">
        <v>0</v>
      </c>
      <c r="AN157" s="121">
        <v>0</v>
      </c>
      <c r="AO157" s="121">
        <v>0</v>
      </c>
      <c r="AP157" s="121">
        <v>0</v>
      </c>
      <c r="AQ157" s="121">
        <v>0</v>
      </c>
      <c r="AR157" s="121">
        <v>0</v>
      </c>
      <c r="AS157" s="121">
        <v>0</v>
      </c>
      <c r="AT157" s="121">
        <v>0</v>
      </c>
      <c r="AU157" s="121">
        <v>0</v>
      </c>
      <c r="AV157" s="121">
        <v>0</v>
      </c>
      <c r="AW157" s="121">
        <v>0</v>
      </c>
      <c r="AX157" s="121">
        <v>0</v>
      </c>
      <c r="AY157" s="121">
        <v>0</v>
      </c>
    </row>
    <row r="158" spans="1:51" x14ac:dyDescent="0.2">
      <c r="A158" s="124"/>
      <c r="B158" s="144">
        <v>37</v>
      </c>
      <c r="C158" s="121">
        <v>0</v>
      </c>
      <c r="D158" s="121">
        <v>0</v>
      </c>
      <c r="E158" s="121">
        <v>0</v>
      </c>
      <c r="F158" s="121">
        <v>0</v>
      </c>
      <c r="G158" s="121">
        <v>0</v>
      </c>
      <c r="H158" s="121">
        <v>0</v>
      </c>
      <c r="I158" s="121">
        <v>0</v>
      </c>
      <c r="J158" s="121">
        <v>0</v>
      </c>
      <c r="K158" s="121">
        <v>0</v>
      </c>
      <c r="L158" s="121">
        <v>0</v>
      </c>
      <c r="M158" s="121">
        <v>0</v>
      </c>
      <c r="N158" s="121">
        <v>0</v>
      </c>
      <c r="O158" s="121">
        <v>0</v>
      </c>
      <c r="P158" s="121">
        <v>0</v>
      </c>
      <c r="Q158" s="121">
        <v>0</v>
      </c>
      <c r="R158" s="121">
        <v>0</v>
      </c>
      <c r="S158" s="121">
        <v>0</v>
      </c>
      <c r="T158" s="121">
        <v>0</v>
      </c>
      <c r="U158" s="121">
        <v>0</v>
      </c>
      <c r="V158" s="121">
        <v>0</v>
      </c>
      <c r="W158" s="121">
        <v>0</v>
      </c>
      <c r="X158" s="121">
        <v>0</v>
      </c>
      <c r="Y158" s="121">
        <v>0</v>
      </c>
      <c r="Z158" s="121">
        <v>0</v>
      </c>
      <c r="AA158" s="121">
        <v>0</v>
      </c>
      <c r="AB158" s="121">
        <v>0</v>
      </c>
      <c r="AC158" s="121">
        <v>0</v>
      </c>
      <c r="AD158" s="121">
        <v>0</v>
      </c>
      <c r="AE158" s="121">
        <v>0</v>
      </c>
      <c r="AF158" s="121">
        <v>0</v>
      </c>
      <c r="AG158" s="121">
        <v>0</v>
      </c>
      <c r="AH158" s="121">
        <v>0</v>
      </c>
      <c r="AI158" s="121">
        <v>0</v>
      </c>
      <c r="AJ158" s="121">
        <v>0</v>
      </c>
      <c r="AK158" s="121">
        <v>0</v>
      </c>
      <c r="AL158" s="121">
        <v>0</v>
      </c>
      <c r="AM158" s="121">
        <v>0</v>
      </c>
      <c r="AN158" s="121">
        <v>0</v>
      </c>
      <c r="AO158" s="121">
        <v>0</v>
      </c>
      <c r="AP158" s="121">
        <v>0</v>
      </c>
      <c r="AQ158" s="121">
        <v>0</v>
      </c>
      <c r="AR158" s="121">
        <v>0</v>
      </c>
      <c r="AS158" s="121">
        <v>0</v>
      </c>
      <c r="AT158" s="121">
        <v>0</v>
      </c>
      <c r="AU158" s="121">
        <v>0</v>
      </c>
      <c r="AV158" s="121">
        <v>0</v>
      </c>
      <c r="AW158" s="121">
        <v>0</v>
      </c>
      <c r="AX158" s="121">
        <v>0</v>
      </c>
      <c r="AY158" s="121">
        <v>0</v>
      </c>
    </row>
    <row r="159" spans="1:51" x14ac:dyDescent="0.2">
      <c r="A159" s="124"/>
      <c r="B159" s="144">
        <v>38</v>
      </c>
      <c r="C159" s="121">
        <v>0</v>
      </c>
      <c r="D159" s="121">
        <v>0</v>
      </c>
      <c r="E159" s="121">
        <v>0</v>
      </c>
      <c r="F159" s="121">
        <v>0</v>
      </c>
      <c r="G159" s="121">
        <v>0</v>
      </c>
      <c r="H159" s="121">
        <v>0</v>
      </c>
      <c r="I159" s="121">
        <v>0</v>
      </c>
      <c r="J159" s="121">
        <v>0</v>
      </c>
      <c r="K159" s="121">
        <v>0</v>
      </c>
      <c r="L159" s="121">
        <v>0</v>
      </c>
      <c r="M159" s="121">
        <v>0</v>
      </c>
      <c r="N159" s="121">
        <v>0</v>
      </c>
      <c r="O159" s="121">
        <v>0</v>
      </c>
      <c r="P159" s="121">
        <v>0</v>
      </c>
      <c r="Q159" s="121">
        <v>0</v>
      </c>
      <c r="R159" s="121">
        <v>0</v>
      </c>
      <c r="S159" s="121">
        <v>0</v>
      </c>
      <c r="T159" s="121">
        <v>0</v>
      </c>
      <c r="U159" s="121">
        <v>0</v>
      </c>
      <c r="V159" s="121">
        <v>0</v>
      </c>
      <c r="W159" s="121">
        <v>0</v>
      </c>
      <c r="X159" s="121">
        <v>0</v>
      </c>
      <c r="Y159" s="121">
        <v>0</v>
      </c>
      <c r="Z159" s="121">
        <v>0</v>
      </c>
      <c r="AA159" s="121">
        <v>0</v>
      </c>
      <c r="AB159" s="121">
        <v>0</v>
      </c>
      <c r="AC159" s="121">
        <v>0</v>
      </c>
      <c r="AD159" s="121">
        <v>0</v>
      </c>
      <c r="AE159" s="121">
        <v>0</v>
      </c>
      <c r="AF159" s="121">
        <v>0</v>
      </c>
      <c r="AG159" s="121">
        <v>0</v>
      </c>
      <c r="AH159" s="121">
        <v>0</v>
      </c>
      <c r="AI159" s="121">
        <v>0</v>
      </c>
      <c r="AJ159" s="121">
        <v>0</v>
      </c>
      <c r="AK159" s="121">
        <v>0</v>
      </c>
      <c r="AL159" s="121">
        <v>0</v>
      </c>
      <c r="AM159" s="121">
        <v>0</v>
      </c>
      <c r="AN159" s="121">
        <v>0</v>
      </c>
      <c r="AO159" s="121">
        <v>0</v>
      </c>
      <c r="AP159" s="121">
        <v>0</v>
      </c>
      <c r="AQ159" s="121">
        <v>0</v>
      </c>
      <c r="AR159" s="121">
        <v>0</v>
      </c>
      <c r="AS159" s="121">
        <v>0</v>
      </c>
      <c r="AT159" s="121">
        <v>0</v>
      </c>
      <c r="AU159" s="121">
        <v>0</v>
      </c>
      <c r="AV159" s="121">
        <v>0</v>
      </c>
      <c r="AW159" s="121">
        <v>0</v>
      </c>
      <c r="AX159" s="121">
        <v>0</v>
      </c>
      <c r="AY159" s="121">
        <v>0</v>
      </c>
    </row>
    <row r="160" spans="1:51" x14ac:dyDescent="0.2">
      <c r="A160" s="124"/>
      <c r="B160" s="144">
        <v>39</v>
      </c>
      <c r="C160" s="121">
        <v>0</v>
      </c>
      <c r="D160" s="121">
        <v>0</v>
      </c>
      <c r="E160" s="121">
        <v>0</v>
      </c>
      <c r="F160" s="121">
        <v>0</v>
      </c>
      <c r="G160" s="121">
        <v>0</v>
      </c>
      <c r="H160" s="121">
        <v>0</v>
      </c>
      <c r="I160" s="121">
        <v>0</v>
      </c>
      <c r="J160" s="121">
        <v>0</v>
      </c>
      <c r="K160" s="121">
        <v>0</v>
      </c>
      <c r="L160" s="121">
        <v>0</v>
      </c>
      <c r="M160" s="121">
        <v>0</v>
      </c>
      <c r="N160" s="121">
        <v>0</v>
      </c>
      <c r="O160" s="121">
        <v>0</v>
      </c>
      <c r="P160" s="121">
        <v>0</v>
      </c>
      <c r="Q160" s="121">
        <v>0</v>
      </c>
      <c r="R160" s="121">
        <v>0</v>
      </c>
      <c r="S160" s="121">
        <v>0</v>
      </c>
      <c r="T160" s="121">
        <v>0</v>
      </c>
      <c r="U160" s="121">
        <v>0</v>
      </c>
      <c r="V160" s="121">
        <v>0</v>
      </c>
      <c r="W160" s="121">
        <v>0</v>
      </c>
      <c r="X160" s="121">
        <v>0</v>
      </c>
      <c r="Y160" s="121">
        <v>0</v>
      </c>
      <c r="Z160" s="121">
        <v>0</v>
      </c>
      <c r="AA160" s="121">
        <v>0</v>
      </c>
      <c r="AB160" s="121">
        <v>0</v>
      </c>
      <c r="AC160" s="121">
        <v>0</v>
      </c>
      <c r="AD160" s="121">
        <v>0</v>
      </c>
      <c r="AE160" s="121">
        <v>0</v>
      </c>
      <c r="AF160" s="121">
        <v>0</v>
      </c>
      <c r="AG160" s="121">
        <v>0</v>
      </c>
      <c r="AH160" s="121">
        <v>0</v>
      </c>
      <c r="AI160" s="121">
        <v>0</v>
      </c>
      <c r="AJ160" s="121">
        <v>0</v>
      </c>
      <c r="AK160" s="121">
        <v>0</v>
      </c>
      <c r="AL160" s="121">
        <v>0</v>
      </c>
      <c r="AM160" s="121">
        <v>0</v>
      </c>
      <c r="AN160" s="121">
        <v>0</v>
      </c>
      <c r="AO160" s="121">
        <v>0</v>
      </c>
      <c r="AP160" s="121">
        <v>0</v>
      </c>
      <c r="AQ160" s="121">
        <v>0</v>
      </c>
      <c r="AR160" s="121">
        <v>0</v>
      </c>
      <c r="AS160" s="121">
        <v>0</v>
      </c>
      <c r="AT160" s="121">
        <v>0</v>
      </c>
      <c r="AU160" s="121">
        <v>0</v>
      </c>
      <c r="AV160" s="121">
        <v>0</v>
      </c>
      <c r="AW160" s="121">
        <v>0</v>
      </c>
      <c r="AX160" s="121">
        <v>0</v>
      </c>
      <c r="AY160" s="121">
        <v>0</v>
      </c>
    </row>
    <row r="161" spans="1:52" x14ac:dyDescent="0.2">
      <c r="A161" s="124"/>
      <c r="B161" s="144">
        <v>40</v>
      </c>
      <c r="C161" s="121">
        <v>0</v>
      </c>
      <c r="D161" s="121">
        <v>0</v>
      </c>
      <c r="E161" s="121">
        <v>0</v>
      </c>
      <c r="F161" s="121">
        <v>0</v>
      </c>
      <c r="G161" s="121">
        <v>0</v>
      </c>
      <c r="H161" s="121">
        <v>0</v>
      </c>
      <c r="I161" s="121">
        <v>0</v>
      </c>
      <c r="J161" s="121">
        <v>0</v>
      </c>
      <c r="K161" s="121">
        <v>0</v>
      </c>
      <c r="L161" s="121">
        <v>0</v>
      </c>
      <c r="M161" s="121">
        <v>0</v>
      </c>
      <c r="N161" s="121">
        <v>0</v>
      </c>
      <c r="O161" s="121">
        <v>0</v>
      </c>
      <c r="P161" s="121">
        <v>0</v>
      </c>
      <c r="Q161" s="121">
        <v>0</v>
      </c>
      <c r="R161" s="121">
        <v>0</v>
      </c>
      <c r="S161" s="121">
        <v>0</v>
      </c>
      <c r="T161" s="121">
        <v>0</v>
      </c>
      <c r="U161" s="121">
        <v>0</v>
      </c>
      <c r="V161" s="121">
        <v>0</v>
      </c>
      <c r="W161" s="121">
        <v>0</v>
      </c>
      <c r="X161" s="121">
        <v>0</v>
      </c>
      <c r="Y161" s="121">
        <v>0</v>
      </c>
      <c r="Z161" s="121">
        <v>0</v>
      </c>
      <c r="AA161" s="121">
        <v>0</v>
      </c>
      <c r="AB161" s="121">
        <v>0</v>
      </c>
      <c r="AC161" s="121">
        <v>0</v>
      </c>
      <c r="AD161" s="121">
        <v>0</v>
      </c>
      <c r="AE161" s="121">
        <v>0</v>
      </c>
      <c r="AF161" s="121">
        <v>0</v>
      </c>
      <c r="AG161" s="121">
        <v>0</v>
      </c>
      <c r="AH161" s="121">
        <v>0</v>
      </c>
      <c r="AI161" s="121">
        <v>0</v>
      </c>
      <c r="AJ161" s="121">
        <v>0</v>
      </c>
      <c r="AK161" s="121">
        <v>0</v>
      </c>
      <c r="AL161" s="121">
        <v>0</v>
      </c>
      <c r="AM161" s="121">
        <v>0</v>
      </c>
      <c r="AN161" s="121">
        <v>0</v>
      </c>
      <c r="AO161" s="121">
        <v>0</v>
      </c>
      <c r="AP161" s="121">
        <v>0</v>
      </c>
      <c r="AQ161" s="121">
        <v>0</v>
      </c>
      <c r="AR161" s="121">
        <v>0</v>
      </c>
      <c r="AS161" s="121">
        <v>0</v>
      </c>
      <c r="AT161" s="121">
        <v>0</v>
      </c>
      <c r="AU161" s="121">
        <v>0</v>
      </c>
      <c r="AV161" s="121">
        <v>0</v>
      </c>
      <c r="AW161" s="121">
        <v>0</v>
      </c>
      <c r="AX161" s="121">
        <v>0</v>
      </c>
      <c r="AY161" s="121">
        <v>0</v>
      </c>
    </row>
    <row r="162" spans="1:52" x14ac:dyDescent="0.2">
      <c r="A162" s="124"/>
      <c r="B162" s="144">
        <v>41</v>
      </c>
      <c r="C162" s="121">
        <v>0</v>
      </c>
      <c r="D162" s="121">
        <v>0</v>
      </c>
      <c r="E162" s="121">
        <v>0</v>
      </c>
      <c r="F162" s="121">
        <v>0</v>
      </c>
      <c r="G162" s="121">
        <v>0</v>
      </c>
      <c r="H162" s="121">
        <v>0</v>
      </c>
      <c r="I162" s="121">
        <v>0</v>
      </c>
      <c r="J162" s="121">
        <v>0</v>
      </c>
      <c r="K162" s="121">
        <v>0</v>
      </c>
      <c r="L162" s="121">
        <v>0</v>
      </c>
      <c r="M162" s="121">
        <v>0</v>
      </c>
      <c r="N162" s="121">
        <v>0</v>
      </c>
      <c r="O162" s="121">
        <v>0</v>
      </c>
      <c r="P162" s="121">
        <v>0</v>
      </c>
      <c r="Q162" s="121">
        <v>0</v>
      </c>
      <c r="R162" s="121">
        <v>0</v>
      </c>
      <c r="S162" s="121">
        <v>0</v>
      </c>
      <c r="T162" s="121">
        <v>0</v>
      </c>
      <c r="U162" s="121">
        <v>0</v>
      </c>
      <c r="V162" s="121">
        <v>0</v>
      </c>
      <c r="W162" s="121">
        <v>0</v>
      </c>
      <c r="X162" s="121">
        <v>0</v>
      </c>
      <c r="Y162" s="121">
        <v>0</v>
      </c>
      <c r="Z162" s="121">
        <v>0</v>
      </c>
      <c r="AA162" s="121">
        <v>0</v>
      </c>
      <c r="AB162" s="121">
        <v>0</v>
      </c>
      <c r="AC162" s="121">
        <v>0</v>
      </c>
      <c r="AD162" s="121">
        <v>0</v>
      </c>
      <c r="AE162" s="121">
        <v>0</v>
      </c>
      <c r="AF162" s="121">
        <v>0</v>
      </c>
      <c r="AG162" s="121">
        <v>0</v>
      </c>
      <c r="AH162" s="121">
        <v>0</v>
      </c>
      <c r="AI162" s="121">
        <v>0</v>
      </c>
      <c r="AJ162" s="121">
        <v>0</v>
      </c>
      <c r="AK162" s="121">
        <v>0</v>
      </c>
      <c r="AL162" s="121">
        <v>0</v>
      </c>
      <c r="AM162" s="121">
        <v>0</v>
      </c>
      <c r="AN162" s="121">
        <v>0</v>
      </c>
      <c r="AO162" s="121">
        <v>0</v>
      </c>
      <c r="AP162" s="121">
        <v>0</v>
      </c>
      <c r="AQ162" s="121">
        <v>0</v>
      </c>
      <c r="AR162" s="121">
        <v>0</v>
      </c>
      <c r="AS162" s="121">
        <v>0</v>
      </c>
      <c r="AT162" s="121">
        <v>0</v>
      </c>
      <c r="AU162" s="121">
        <v>0</v>
      </c>
      <c r="AV162" s="121">
        <v>0</v>
      </c>
      <c r="AW162" s="121">
        <v>0</v>
      </c>
      <c r="AX162" s="121">
        <v>0</v>
      </c>
      <c r="AY162" s="121">
        <v>0</v>
      </c>
    </row>
    <row r="163" spans="1:52" x14ac:dyDescent="0.2">
      <c r="A163" s="124"/>
      <c r="B163" s="144">
        <v>42</v>
      </c>
      <c r="C163" s="121">
        <v>0</v>
      </c>
      <c r="D163" s="121">
        <v>0</v>
      </c>
      <c r="E163" s="121">
        <v>0</v>
      </c>
      <c r="F163" s="121">
        <v>0</v>
      </c>
      <c r="G163" s="121">
        <v>0</v>
      </c>
      <c r="H163" s="121">
        <v>0</v>
      </c>
      <c r="I163" s="121">
        <v>0</v>
      </c>
      <c r="J163" s="121">
        <v>0</v>
      </c>
      <c r="K163" s="121">
        <v>0</v>
      </c>
      <c r="L163" s="121">
        <v>0</v>
      </c>
      <c r="M163" s="121">
        <v>0</v>
      </c>
      <c r="N163" s="121">
        <v>0</v>
      </c>
      <c r="O163" s="121">
        <v>0</v>
      </c>
      <c r="P163" s="121">
        <v>0</v>
      </c>
      <c r="Q163" s="121">
        <v>0</v>
      </c>
      <c r="R163" s="121">
        <v>0</v>
      </c>
      <c r="S163" s="121">
        <v>0</v>
      </c>
      <c r="T163" s="121">
        <v>0</v>
      </c>
      <c r="U163" s="121">
        <v>0</v>
      </c>
      <c r="V163" s="121">
        <v>0</v>
      </c>
      <c r="W163" s="121">
        <v>0</v>
      </c>
      <c r="X163" s="121">
        <v>0</v>
      </c>
      <c r="Y163" s="121">
        <v>0</v>
      </c>
      <c r="Z163" s="121">
        <v>0</v>
      </c>
      <c r="AA163" s="121">
        <v>0</v>
      </c>
      <c r="AB163" s="121">
        <v>0</v>
      </c>
      <c r="AC163" s="121">
        <v>0</v>
      </c>
      <c r="AD163" s="121">
        <v>0</v>
      </c>
      <c r="AE163" s="121">
        <v>0</v>
      </c>
      <c r="AF163" s="121">
        <v>0</v>
      </c>
      <c r="AG163" s="121">
        <v>0</v>
      </c>
      <c r="AH163" s="121">
        <v>0</v>
      </c>
      <c r="AI163" s="121">
        <v>0</v>
      </c>
      <c r="AJ163" s="121">
        <v>0</v>
      </c>
      <c r="AK163" s="121">
        <v>0</v>
      </c>
      <c r="AL163" s="121">
        <v>0</v>
      </c>
      <c r="AM163" s="121">
        <v>0</v>
      </c>
      <c r="AN163" s="121">
        <v>0</v>
      </c>
      <c r="AO163" s="121">
        <v>0</v>
      </c>
      <c r="AP163" s="121">
        <v>0</v>
      </c>
      <c r="AQ163" s="121">
        <v>0</v>
      </c>
      <c r="AR163" s="121">
        <v>0</v>
      </c>
      <c r="AS163" s="121">
        <v>0</v>
      </c>
      <c r="AT163" s="121">
        <v>0</v>
      </c>
      <c r="AU163" s="121">
        <v>0</v>
      </c>
      <c r="AV163" s="121">
        <v>0</v>
      </c>
      <c r="AW163" s="121">
        <v>0</v>
      </c>
      <c r="AX163" s="121">
        <v>0</v>
      </c>
      <c r="AY163" s="121">
        <v>0</v>
      </c>
    </row>
    <row r="164" spans="1:52" x14ac:dyDescent="0.2">
      <c r="A164" s="124"/>
      <c r="B164" s="144">
        <v>43</v>
      </c>
      <c r="C164" s="121">
        <v>0</v>
      </c>
      <c r="D164" s="121">
        <v>0</v>
      </c>
      <c r="E164" s="121">
        <v>0</v>
      </c>
      <c r="F164" s="121">
        <v>0</v>
      </c>
      <c r="G164" s="121">
        <v>0</v>
      </c>
      <c r="H164" s="121">
        <v>0</v>
      </c>
      <c r="I164" s="121">
        <v>0</v>
      </c>
      <c r="J164" s="121">
        <v>0</v>
      </c>
      <c r="K164" s="121">
        <v>0</v>
      </c>
      <c r="L164" s="121">
        <v>0</v>
      </c>
      <c r="M164" s="121">
        <v>0</v>
      </c>
      <c r="N164" s="121">
        <v>0</v>
      </c>
      <c r="O164" s="121">
        <v>0</v>
      </c>
      <c r="P164" s="121">
        <v>0</v>
      </c>
      <c r="Q164" s="121">
        <v>0</v>
      </c>
      <c r="R164" s="121">
        <v>0</v>
      </c>
      <c r="S164" s="121">
        <v>0</v>
      </c>
      <c r="T164" s="121">
        <v>0</v>
      </c>
      <c r="U164" s="121">
        <v>0</v>
      </c>
      <c r="V164" s="121">
        <v>0</v>
      </c>
      <c r="W164" s="121">
        <v>0</v>
      </c>
      <c r="X164" s="121">
        <v>0</v>
      </c>
      <c r="Y164" s="121">
        <v>0</v>
      </c>
      <c r="Z164" s="121">
        <v>0</v>
      </c>
      <c r="AA164" s="121">
        <v>0</v>
      </c>
      <c r="AB164" s="121">
        <v>0</v>
      </c>
      <c r="AC164" s="121">
        <v>0</v>
      </c>
      <c r="AD164" s="121">
        <v>0</v>
      </c>
      <c r="AE164" s="121">
        <v>0</v>
      </c>
      <c r="AF164" s="121">
        <v>0</v>
      </c>
      <c r="AG164" s="121">
        <v>0</v>
      </c>
      <c r="AH164" s="121">
        <v>0</v>
      </c>
      <c r="AI164" s="121">
        <v>0</v>
      </c>
      <c r="AJ164" s="121">
        <v>0</v>
      </c>
      <c r="AK164" s="121">
        <v>0</v>
      </c>
      <c r="AL164" s="121">
        <v>0</v>
      </c>
      <c r="AM164" s="121">
        <v>0</v>
      </c>
      <c r="AN164" s="121">
        <v>0</v>
      </c>
      <c r="AO164" s="121">
        <v>0</v>
      </c>
      <c r="AP164" s="121">
        <v>0</v>
      </c>
      <c r="AQ164" s="121">
        <v>0</v>
      </c>
      <c r="AR164" s="121">
        <v>0</v>
      </c>
      <c r="AS164" s="121">
        <v>0</v>
      </c>
      <c r="AT164" s="121">
        <v>0</v>
      </c>
      <c r="AU164" s="121">
        <v>0</v>
      </c>
      <c r="AV164" s="121">
        <v>0</v>
      </c>
      <c r="AW164" s="121">
        <v>0</v>
      </c>
      <c r="AX164" s="121">
        <v>0</v>
      </c>
      <c r="AY164" s="121">
        <v>0</v>
      </c>
    </row>
    <row r="165" spans="1:52" x14ac:dyDescent="0.2">
      <c r="A165" s="124"/>
      <c r="B165" s="144">
        <v>44</v>
      </c>
      <c r="C165" s="121">
        <v>0</v>
      </c>
      <c r="D165" s="121">
        <v>0</v>
      </c>
      <c r="E165" s="121">
        <v>0</v>
      </c>
      <c r="F165" s="121">
        <v>0</v>
      </c>
      <c r="G165" s="121">
        <v>0</v>
      </c>
      <c r="H165" s="121">
        <v>0</v>
      </c>
      <c r="I165" s="121">
        <v>0</v>
      </c>
      <c r="J165" s="121">
        <v>0</v>
      </c>
      <c r="K165" s="121">
        <v>0</v>
      </c>
      <c r="L165" s="121">
        <v>0</v>
      </c>
      <c r="M165" s="121">
        <v>0</v>
      </c>
      <c r="N165" s="121">
        <v>0</v>
      </c>
      <c r="O165" s="121">
        <v>0</v>
      </c>
      <c r="P165" s="121">
        <v>0</v>
      </c>
      <c r="Q165" s="121">
        <v>0</v>
      </c>
      <c r="R165" s="121">
        <v>0</v>
      </c>
      <c r="S165" s="121">
        <v>0</v>
      </c>
      <c r="T165" s="121">
        <v>0</v>
      </c>
      <c r="U165" s="121">
        <v>0</v>
      </c>
      <c r="V165" s="121">
        <v>0</v>
      </c>
      <c r="W165" s="121">
        <v>0</v>
      </c>
      <c r="X165" s="121">
        <v>0</v>
      </c>
      <c r="Y165" s="121">
        <v>0</v>
      </c>
      <c r="Z165" s="121">
        <v>0</v>
      </c>
      <c r="AA165" s="121">
        <v>0</v>
      </c>
      <c r="AB165" s="121">
        <v>0</v>
      </c>
      <c r="AC165" s="121">
        <v>0</v>
      </c>
      <c r="AD165" s="121">
        <v>0</v>
      </c>
      <c r="AE165" s="121">
        <v>0</v>
      </c>
      <c r="AF165" s="121">
        <v>0</v>
      </c>
      <c r="AG165" s="121">
        <v>0</v>
      </c>
      <c r="AH165" s="121">
        <v>0</v>
      </c>
      <c r="AI165" s="121">
        <v>0</v>
      </c>
      <c r="AJ165" s="121">
        <v>0</v>
      </c>
      <c r="AK165" s="121">
        <v>0</v>
      </c>
      <c r="AL165" s="121">
        <v>0</v>
      </c>
      <c r="AM165" s="121">
        <v>0</v>
      </c>
      <c r="AN165" s="121">
        <v>0</v>
      </c>
      <c r="AO165" s="121">
        <v>0</v>
      </c>
      <c r="AP165" s="121">
        <v>0</v>
      </c>
      <c r="AQ165" s="121">
        <v>0</v>
      </c>
      <c r="AR165" s="121">
        <v>0</v>
      </c>
      <c r="AS165" s="121">
        <v>0</v>
      </c>
      <c r="AT165" s="121">
        <v>0</v>
      </c>
      <c r="AU165" s="121">
        <v>0</v>
      </c>
      <c r="AV165" s="121">
        <v>0</v>
      </c>
      <c r="AW165" s="121">
        <v>0</v>
      </c>
      <c r="AX165" s="121">
        <v>0</v>
      </c>
      <c r="AY165" s="121">
        <v>0</v>
      </c>
    </row>
    <row r="166" spans="1:52" x14ac:dyDescent="0.2">
      <c r="A166" s="124"/>
      <c r="B166" s="144">
        <v>45</v>
      </c>
      <c r="C166" s="121">
        <v>0</v>
      </c>
      <c r="D166" s="121">
        <v>0</v>
      </c>
      <c r="E166" s="121">
        <v>0</v>
      </c>
      <c r="F166" s="121">
        <v>0</v>
      </c>
      <c r="G166" s="121">
        <v>0</v>
      </c>
      <c r="H166" s="121">
        <v>0</v>
      </c>
      <c r="I166" s="121">
        <v>0</v>
      </c>
      <c r="J166" s="121">
        <v>0</v>
      </c>
      <c r="K166" s="121">
        <v>0</v>
      </c>
      <c r="L166" s="121">
        <v>0</v>
      </c>
      <c r="M166" s="121">
        <v>0</v>
      </c>
      <c r="N166" s="121">
        <v>0</v>
      </c>
      <c r="O166" s="121">
        <v>0</v>
      </c>
      <c r="P166" s="121">
        <v>0</v>
      </c>
      <c r="Q166" s="121">
        <v>0</v>
      </c>
      <c r="R166" s="121">
        <v>0</v>
      </c>
      <c r="S166" s="121">
        <v>0</v>
      </c>
      <c r="T166" s="121">
        <v>0</v>
      </c>
      <c r="U166" s="121">
        <v>0</v>
      </c>
      <c r="V166" s="121">
        <v>0</v>
      </c>
      <c r="W166" s="121">
        <v>0</v>
      </c>
      <c r="X166" s="121">
        <v>0</v>
      </c>
      <c r="Y166" s="121">
        <v>0</v>
      </c>
      <c r="Z166" s="121">
        <v>0</v>
      </c>
      <c r="AA166" s="121">
        <v>0</v>
      </c>
      <c r="AB166" s="121">
        <v>0</v>
      </c>
      <c r="AC166" s="121">
        <v>0</v>
      </c>
      <c r="AD166" s="121">
        <v>0</v>
      </c>
      <c r="AE166" s="121">
        <v>0</v>
      </c>
      <c r="AF166" s="121">
        <v>0</v>
      </c>
      <c r="AG166" s="121">
        <v>0</v>
      </c>
      <c r="AH166" s="121">
        <v>0</v>
      </c>
      <c r="AI166" s="121">
        <v>0</v>
      </c>
      <c r="AJ166" s="121">
        <v>0</v>
      </c>
      <c r="AK166" s="121">
        <v>0</v>
      </c>
      <c r="AL166" s="121">
        <v>0</v>
      </c>
      <c r="AM166" s="121">
        <v>0</v>
      </c>
      <c r="AN166" s="121">
        <v>0</v>
      </c>
      <c r="AO166" s="121">
        <v>0</v>
      </c>
      <c r="AP166" s="121">
        <v>0</v>
      </c>
      <c r="AQ166" s="121">
        <v>0</v>
      </c>
      <c r="AR166" s="121">
        <v>0</v>
      </c>
      <c r="AS166" s="121">
        <v>0</v>
      </c>
      <c r="AT166" s="121">
        <v>0</v>
      </c>
      <c r="AU166" s="121">
        <v>0</v>
      </c>
      <c r="AV166" s="121">
        <v>0</v>
      </c>
      <c r="AW166" s="121">
        <v>0</v>
      </c>
      <c r="AX166" s="121">
        <v>0</v>
      </c>
      <c r="AY166" s="121">
        <v>0</v>
      </c>
    </row>
    <row r="167" spans="1:52" x14ac:dyDescent="0.2">
      <c r="A167" s="124"/>
      <c r="B167" s="144">
        <v>46</v>
      </c>
      <c r="C167" s="121">
        <v>0</v>
      </c>
      <c r="D167" s="121">
        <v>0</v>
      </c>
      <c r="E167" s="121">
        <v>0</v>
      </c>
      <c r="F167" s="121">
        <v>0</v>
      </c>
      <c r="G167" s="121">
        <v>0</v>
      </c>
      <c r="H167" s="121">
        <v>0</v>
      </c>
      <c r="I167" s="121">
        <v>0</v>
      </c>
      <c r="J167" s="121">
        <v>0</v>
      </c>
      <c r="K167" s="121">
        <v>0</v>
      </c>
      <c r="L167" s="121">
        <v>0</v>
      </c>
      <c r="M167" s="121">
        <v>0</v>
      </c>
      <c r="N167" s="121">
        <v>0</v>
      </c>
      <c r="O167" s="121">
        <v>0</v>
      </c>
      <c r="P167" s="121">
        <v>0</v>
      </c>
      <c r="Q167" s="121">
        <v>0</v>
      </c>
      <c r="R167" s="121">
        <v>0</v>
      </c>
      <c r="S167" s="121">
        <v>0</v>
      </c>
      <c r="T167" s="121">
        <v>0</v>
      </c>
      <c r="U167" s="121">
        <v>0</v>
      </c>
      <c r="V167" s="121">
        <v>0</v>
      </c>
      <c r="W167" s="121">
        <v>0</v>
      </c>
      <c r="X167" s="121">
        <v>0</v>
      </c>
      <c r="Y167" s="121">
        <v>0</v>
      </c>
      <c r="Z167" s="121">
        <v>0</v>
      </c>
      <c r="AA167" s="121">
        <v>0</v>
      </c>
      <c r="AB167" s="121">
        <v>0</v>
      </c>
      <c r="AC167" s="121">
        <v>0</v>
      </c>
      <c r="AD167" s="121">
        <v>0</v>
      </c>
      <c r="AE167" s="121">
        <v>0</v>
      </c>
      <c r="AF167" s="121">
        <v>0</v>
      </c>
      <c r="AG167" s="121">
        <v>0</v>
      </c>
      <c r="AH167" s="121">
        <v>0</v>
      </c>
      <c r="AI167" s="121">
        <v>0</v>
      </c>
      <c r="AJ167" s="121">
        <v>0</v>
      </c>
      <c r="AK167" s="121">
        <v>0</v>
      </c>
      <c r="AL167" s="121">
        <v>0</v>
      </c>
      <c r="AM167" s="121">
        <v>0</v>
      </c>
      <c r="AN167" s="121">
        <v>0</v>
      </c>
      <c r="AO167" s="121">
        <v>0</v>
      </c>
      <c r="AP167" s="121">
        <v>0</v>
      </c>
      <c r="AQ167" s="121">
        <v>0</v>
      </c>
      <c r="AR167" s="121">
        <v>0</v>
      </c>
      <c r="AS167" s="121">
        <v>0</v>
      </c>
      <c r="AT167" s="121">
        <v>0</v>
      </c>
      <c r="AU167" s="121">
        <v>0</v>
      </c>
      <c r="AV167" s="121">
        <v>0</v>
      </c>
      <c r="AW167" s="121">
        <v>0</v>
      </c>
      <c r="AX167" s="121">
        <v>0</v>
      </c>
      <c r="AY167" s="121">
        <v>0</v>
      </c>
    </row>
    <row r="168" spans="1:52" x14ac:dyDescent="0.2">
      <c r="A168" s="124"/>
      <c r="B168" s="144">
        <v>47</v>
      </c>
      <c r="C168" s="121">
        <v>0</v>
      </c>
      <c r="D168" s="121">
        <v>0</v>
      </c>
      <c r="E168" s="121">
        <v>0</v>
      </c>
      <c r="F168" s="121">
        <v>0</v>
      </c>
      <c r="G168" s="121">
        <v>0</v>
      </c>
      <c r="H168" s="121">
        <v>0</v>
      </c>
      <c r="I168" s="121">
        <v>0</v>
      </c>
      <c r="J168" s="121">
        <v>0</v>
      </c>
      <c r="K168" s="121">
        <v>0</v>
      </c>
      <c r="L168" s="121">
        <v>0</v>
      </c>
      <c r="M168" s="121">
        <v>0</v>
      </c>
      <c r="N168" s="121">
        <v>0</v>
      </c>
      <c r="O168" s="121">
        <v>0</v>
      </c>
      <c r="P168" s="121">
        <v>0</v>
      </c>
      <c r="Q168" s="121">
        <v>0</v>
      </c>
      <c r="R168" s="121">
        <v>0</v>
      </c>
      <c r="S168" s="121">
        <v>0</v>
      </c>
      <c r="T168" s="121">
        <v>0</v>
      </c>
      <c r="U168" s="121">
        <v>0</v>
      </c>
      <c r="V168" s="121">
        <v>0</v>
      </c>
      <c r="W168" s="121">
        <v>0</v>
      </c>
      <c r="X168" s="121">
        <v>0</v>
      </c>
      <c r="Y168" s="121">
        <v>0</v>
      </c>
      <c r="Z168" s="121">
        <v>0</v>
      </c>
      <c r="AA168" s="121">
        <v>0</v>
      </c>
      <c r="AB168" s="121">
        <v>0</v>
      </c>
      <c r="AC168" s="121">
        <v>0</v>
      </c>
      <c r="AD168" s="121">
        <v>0</v>
      </c>
      <c r="AE168" s="121">
        <v>0</v>
      </c>
      <c r="AF168" s="121">
        <v>0</v>
      </c>
      <c r="AG168" s="121">
        <v>0</v>
      </c>
      <c r="AH168" s="121">
        <v>0</v>
      </c>
      <c r="AI168" s="121">
        <v>0</v>
      </c>
      <c r="AJ168" s="121">
        <v>0</v>
      </c>
      <c r="AK168" s="121">
        <v>0</v>
      </c>
      <c r="AL168" s="121">
        <v>0</v>
      </c>
      <c r="AM168" s="121">
        <v>0</v>
      </c>
      <c r="AN168" s="121">
        <v>0</v>
      </c>
      <c r="AO168" s="121">
        <v>0</v>
      </c>
      <c r="AP168" s="121">
        <v>0</v>
      </c>
      <c r="AQ168" s="121">
        <v>0</v>
      </c>
      <c r="AR168" s="121">
        <v>0</v>
      </c>
      <c r="AS168" s="121">
        <v>0</v>
      </c>
      <c r="AT168" s="121">
        <v>0</v>
      </c>
      <c r="AU168" s="121">
        <v>0</v>
      </c>
      <c r="AV168" s="121">
        <v>0</v>
      </c>
      <c r="AW168" s="121">
        <v>0</v>
      </c>
      <c r="AX168" s="121">
        <v>0</v>
      </c>
      <c r="AY168" s="121">
        <v>0</v>
      </c>
    </row>
    <row r="169" spans="1:52" x14ac:dyDescent="0.2">
      <c r="A169" s="124"/>
      <c r="B169" s="144">
        <v>48</v>
      </c>
      <c r="C169" s="121">
        <v>0</v>
      </c>
      <c r="D169" s="121">
        <v>0</v>
      </c>
      <c r="E169" s="121">
        <v>0</v>
      </c>
      <c r="F169" s="121">
        <v>0</v>
      </c>
      <c r="G169" s="121">
        <v>0</v>
      </c>
      <c r="H169" s="121">
        <v>0</v>
      </c>
      <c r="I169" s="121">
        <v>0</v>
      </c>
      <c r="J169" s="121">
        <v>0</v>
      </c>
      <c r="K169" s="121">
        <v>0</v>
      </c>
      <c r="L169" s="121">
        <v>0</v>
      </c>
      <c r="M169" s="121">
        <v>0</v>
      </c>
      <c r="N169" s="121">
        <v>0</v>
      </c>
      <c r="O169" s="121">
        <v>0</v>
      </c>
      <c r="P169" s="121">
        <v>0</v>
      </c>
      <c r="Q169" s="121">
        <v>0</v>
      </c>
      <c r="R169" s="121">
        <v>0</v>
      </c>
      <c r="S169" s="121">
        <v>0</v>
      </c>
      <c r="T169" s="121">
        <v>0</v>
      </c>
      <c r="U169" s="121">
        <v>0</v>
      </c>
      <c r="V169" s="121">
        <v>0</v>
      </c>
      <c r="W169" s="121">
        <v>0</v>
      </c>
      <c r="X169" s="121">
        <v>0</v>
      </c>
      <c r="Y169" s="121">
        <v>0</v>
      </c>
      <c r="Z169" s="121">
        <v>0</v>
      </c>
      <c r="AA169" s="121">
        <v>0</v>
      </c>
      <c r="AB169" s="121">
        <v>0</v>
      </c>
      <c r="AC169" s="121">
        <v>0</v>
      </c>
      <c r="AD169" s="121">
        <v>0</v>
      </c>
      <c r="AE169" s="121">
        <v>0</v>
      </c>
      <c r="AF169" s="121">
        <v>0</v>
      </c>
      <c r="AG169" s="121">
        <v>0</v>
      </c>
      <c r="AH169" s="121">
        <v>0</v>
      </c>
      <c r="AI169" s="121">
        <v>0</v>
      </c>
      <c r="AJ169" s="121">
        <v>0</v>
      </c>
      <c r="AK169" s="121">
        <v>0</v>
      </c>
      <c r="AL169" s="121">
        <v>0</v>
      </c>
      <c r="AM169" s="121">
        <v>0</v>
      </c>
      <c r="AN169" s="121">
        <v>0</v>
      </c>
      <c r="AO169" s="121">
        <v>0</v>
      </c>
      <c r="AP169" s="121">
        <v>0</v>
      </c>
      <c r="AQ169" s="121">
        <v>0</v>
      </c>
      <c r="AR169" s="121">
        <v>0</v>
      </c>
      <c r="AS169" s="121">
        <v>0</v>
      </c>
      <c r="AT169" s="121">
        <v>0</v>
      </c>
      <c r="AU169" s="121">
        <v>0</v>
      </c>
      <c r="AV169" s="121">
        <v>0</v>
      </c>
      <c r="AW169" s="121">
        <v>0</v>
      </c>
      <c r="AX169" s="121">
        <v>0</v>
      </c>
      <c r="AY169" s="121">
        <v>0</v>
      </c>
    </row>
    <row r="170" spans="1:52" x14ac:dyDescent="0.2">
      <c r="A170" s="142"/>
      <c r="B170" s="146" t="s">
        <v>296</v>
      </c>
      <c r="C170" s="128">
        <v>0</v>
      </c>
      <c r="D170" s="139">
        <v>0</v>
      </c>
      <c r="E170" s="139">
        <v>0</v>
      </c>
      <c r="F170" s="139">
        <v>0</v>
      </c>
      <c r="G170" s="139">
        <v>0</v>
      </c>
      <c r="H170" s="139">
        <v>0</v>
      </c>
      <c r="I170" s="139">
        <v>0</v>
      </c>
      <c r="J170" s="139">
        <v>0</v>
      </c>
      <c r="K170" s="139">
        <v>0</v>
      </c>
      <c r="L170" s="139">
        <v>0</v>
      </c>
      <c r="M170" s="139">
        <v>0</v>
      </c>
      <c r="N170" s="139">
        <v>0</v>
      </c>
      <c r="O170" s="139">
        <v>0</v>
      </c>
      <c r="P170" s="139">
        <v>0</v>
      </c>
      <c r="Q170" s="139">
        <v>0</v>
      </c>
      <c r="R170" s="139">
        <v>0</v>
      </c>
      <c r="S170" s="139">
        <v>0</v>
      </c>
      <c r="T170" s="139">
        <v>0</v>
      </c>
      <c r="U170" s="139">
        <v>0</v>
      </c>
      <c r="V170" s="139">
        <v>0</v>
      </c>
      <c r="W170" s="139">
        <v>0</v>
      </c>
      <c r="X170" s="139">
        <v>0</v>
      </c>
      <c r="Y170" s="139">
        <v>0</v>
      </c>
      <c r="Z170" s="139">
        <v>0</v>
      </c>
      <c r="AA170" s="139">
        <v>0</v>
      </c>
      <c r="AB170" s="139">
        <v>0</v>
      </c>
      <c r="AC170" s="139">
        <v>0</v>
      </c>
      <c r="AD170" s="139">
        <v>0</v>
      </c>
      <c r="AE170" s="139">
        <v>0</v>
      </c>
      <c r="AF170" s="139">
        <v>0</v>
      </c>
      <c r="AG170" s="139">
        <v>0</v>
      </c>
      <c r="AH170" s="139">
        <v>0</v>
      </c>
      <c r="AI170" s="139">
        <v>0</v>
      </c>
      <c r="AJ170" s="139">
        <v>0</v>
      </c>
      <c r="AK170" s="139">
        <v>0</v>
      </c>
      <c r="AL170" s="139">
        <v>0</v>
      </c>
      <c r="AM170" s="139">
        <v>0</v>
      </c>
      <c r="AN170" s="139">
        <v>0</v>
      </c>
      <c r="AO170" s="139">
        <v>0</v>
      </c>
      <c r="AP170" s="139">
        <v>0</v>
      </c>
      <c r="AQ170" s="139">
        <v>0</v>
      </c>
      <c r="AR170" s="139">
        <v>0</v>
      </c>
      <c r="AS170" s="139">
        <v>0</v>
      </c>
      <c r="AT170" s="139">
        <v>0</v>
      </c>
      <c r="AU170" s="139">
        <v>0</v>
      </c>
      <c r="AV170" s="139">
        <v>0</v>
      </c>
      <c r="AW170" s="139">
        <v>0</v>
      </c>
      <c r="AX170" s="139">
        <v>0</v>
      </c>
      <c r="AY170" s="139">
        <v>0</v>
      </c>
      <c r="AZ170" s="122">
        <f>SUM($D170:$AY170)</f>
        <v>0</v>
      </c>
    </row>
    <row r="172" spans="1:52" x14ac:dyDescent="0.2">
      <c r="A172" s="1" t="s">
        <v>124</v>
      </c>
      <c r="B172" s="147" t="s">
        <v>297</v>
      </c>
      <c r="C172" s="148">
        <v>0.40615531769122598</v>
      </c>
      <c r="D172" s="148">
        <v>0.36197094968959198</v>
      </c>
      <c r="E172" s="148">
        <v>0.36197094968959198</v>
      </c>
      <c r="F172" s="148">
        <v>0.36197094968959198</v>
      </c>
      <c r="G172" s="148">
        <v>0.36197094968959198</v>
      </c>
      <c r="H172" s="148">
        <v>0.3619709496895922</v>
      </c>
      <c r="I172" s="148">
        <v>0.3619709496895922</v>
      </c>
      <c r="J172" s="148">
        <v>0.3619709496895922</v>
      </c>
      <c r="K172" s="148">
        <v>0.3619709496895922</v>
      </c>
      <c r="L172" s="148">
        <v>0.3619709496895922</v>
      </c>
      <c r="M172" s="148">
        <v>0.3619709496895922</v>
      </c>
      <c r="N172" s="148">
        <v>0.3619709496895922</v>
      </c>
      <c r="O172" s="148">
        <v>0.3619709496895922</v>
      </c>
      <c r="P172" s="148">
        <v>0.3619709496895922</v>
      </c>
      <c r="Q172" s="148">
        <v>0.3619709496895922</v>
      </c>
      <c r="R172" s="148">
        <v>0.3619709496895922</v>
      </c>
      <c r="S172" s="148">
        <v>0.3619709496895922</v>
      </c>
      <c r="T172" s="148">
        <v>0.3619709496895922</v>
      </c>
      <c r="U172" s="148">
        <v>0.3619709496895922</v>
      </c>
      <c r="V172" s="148">
        <v>0.3619709496895922</v>
      </c>
      <c r="W172" s="148">
        <v>0.3619709496895922</v>
      </c>
      <c r="X172" s="148">
        <v>0.3619709496895922</v>
      </c>
      <c r="Y172" s="148">
        <v>0.3619709496895922</v>
      </c>
      <c r="Z172" s="148">
        <v>0.3619709496895922</v>
      </c>
      <c r="AA172" s="148">
        <v>0.3619709496895922</v>
      </c>
      <c r="AB172" s="148">
        <v>0.3619709496895922</v>
      </c>
      <c r="AC172" s="148">
        <v>0.3619709496895922</v>
      </c>
      <c r="AD172" s="148">
        <v>0.3619709496895922</v>
      </c>
      <c r="AE172" s="148">
        <v>0.3619709496895922</v>
      </c>
      <c r="AF172" s="148">
        <v>0.3619709496895922</v>
      </c>
      <c r="AG172" s="148">
        <v>0.3619709496895922</v>
      </c>
      <c r="AH172" s="148">
        <v>0.3619709496895922</v>
      </c>
      <c r="AI172" s="148">
        <v>0.3619709496895922</v>
      </c>
      <c r="AJ172" s="148">
        <v>0.3619709496895922</v>
      </c>
      <c r="AK172" s="148">
        <v>0.3619709496895922</v>
      </c>
      <c r="AL172" s="148">
        <v>0.3619709496895922</v>
      </c>
      <c r="AM172" s="148">
        <v>0.3619709496895922</v>
      </c>
      <c r="AN172" s="148">
        <v>0.3619709496895922</v>
      </c>
      <c r="AO172" s="148">
        <v>0.3619709496895922</v>
      </c>
      <c r="AP172" s="148">
        <v>0.3619709496895922</v>
      </c>
      <c r="AQ172" s="148">
        <v>0.3619709496895922</v>
      </c>
      <c r="AR172" s="148">
        <v>0.3619709496895922</v>
      </c>
      <c r="AS172" s="148">
        <v>0.3619709496895922</v>
      </c>
      <c r="AT172" s="148">
        <v>0.3619709496895922</v>
      </c>
      <c r="AU172" s="148">
        <v>0.3619709496895922</v>
      </c>
      <c r="AV172" s="148">
        <v>0.3619709496895922</v>
      </c>
      <c r="AW172" s="148">
        <v>0.3619709496895922</v>
      </c>
      <c r="AX172" s="148">
        <v>0.3619709496895922</v>
      </c>
      <c r="AY172" s="148">
        <v>0.3619709496895922</v>
      </c>
    </row>
    <row r="174" spans="1:52" x14ac:dyDescent="0.2">
      <c r="A174" s="1" t="s">
        <v>272</v>
      </c>
    </row>
    <row r="175" spans="1:52" x14ac:dyDescent="0.2">
      <c r="A175" s="149" t="s">
        <v>125</v>
      </c>
      <c r="B175" s="149" t="s">
        <v>298</v>
      </c>
      <c r="C175" s="138" t="s">
        <v>293</v>
      </c>
      <c r="D175" s="138">
        <f t="shared" ref="D175:AY175" si="1">SUM(D95:D98)</f>
        <v>21689.27504162932</v>
      </c>
      <c r="E175" s="138">
        <f t="shared" si="1"/>
        <v>16848.701281644575</v>
      </c>
      <c r="F175" s="138">
        <f t="shared" si="1"/>
        <v>12008.12752165983</v>
      </c>
      <c r="G175" s="138">
        <f t="shared" si="1"/>
        <v>7167.5537616750862</v>
      </c>
      <c r="H175" s="138">
        <f t="shared" si="1"/>
        <v>7167.5537616750862</v>
      </c>
      <c r="I175" s="138">
        <f t="shared" si="1"/>
        <v>7167.5537616750862</v>
      </c>
      <c r="J175" s="138">
        <f t="shared" si="1"/>
        <v>7167.5537616750862</v>
      </c>
      <c r="K175" s="138">
        <f t="shared" si="1"/>
        <v>7167.5537616750862</v>
      </c>
      <c r="L175" s="138">
        <f t="shared" si="1"/>
        <v>7167.5537616750862</v>
      </c>
      <c r="M175" s="138">
        <f t="shared" si="1"/>
        <v>7167.5537616750862</v>
      </c>
      <c r="N175" s="138">
        <f t="shared" si="1"/>
        <v>7167.5537616750862</v>
      </c>
      <c r="O175" s="138">
        <f t="shared" si="1"/>
        <v>7167.5537616750862</v>
      </c>
      <c r="P175" s="138">
        <f t="shared" si="1"/>
        <v>7167.5537616750862</v>
      </c>
      <c r="Q175" s="138">
        <f t="shared" si="1"/>
        <v>7167.5537616750862</v>
      </c>
      <c r="R175" s="138">
        <f t="shared" si="1"/>
        <v>7167.5537616750862</v>
      </c>
      <c r="S175" s="138">
        <f t="shared" si="1"/>
        <v>7167.5537616750862</v>
      </c>
      <c r="T175" s="138">
        <f t="shared" si="1"/>
        <v>7167.5537616750862</v>
      </c>
      <c r="U175" s="138">
        <f t="shared" si="1"/>
        <v>7167.5537616750862</v>
      </c>
      <c r="V175" s="138">
        <f t="shared" si="1"/>
        <v>7167.5537616750862</v>
      </c>
      <c r="W175" s="138">
        <f t="shared" si="1"/>
        <v>7167.5537616750862</v>
      </c>
      <c r="X175" s="138">
        <f t="shared" si="1"/>
        <v>7167.5537616750862</v>
      </c>
      <c r="Y175" s="138">
        <f t="shared" si="1"/>
        <v>7167.5537616750862</v>
      </c>
      <c r="Z175" s="138">
        <f t="shared" si="1"/>
        <v>7167.5537616750862</v>
      </c>
      <c r="AA175" s="138">
        <f t="shared" si="1"/>
        <v>7167.5537616750862</v>
      </c>
      <c r="AB175" s="138">
        <f t="shared" si="1"/>
        <v>7167.5537616750862</v>
      </c>
      <c r="AC175" s="138">
        <f t="shared" si="1"/>
        <v>7167.5537616750862</v>
      </c>
      <c r="AD175" s="138">
        <f t="shared" si="1"/>
        <v>7167.5537616750862</v>
      </c>
      <c r="AE175" s="138">
        <f t="shared" si="1"/>
        <v>7167.5537616750862</v>
      </c>
      <c r="AF175" s="138">
        <f t="shared" si="1"/>
        <v>7167.5537616750862</v>
      </c>
      <c r="AG175" s="138">
        <f t="shared" si="1"/>
        <v>7167.5537616750862</v>
      </c>
      <c r="AH175" s="138">
        <f t="shared" si="1"/>
        <v>7167.5537616750862</v>
      </c>
      <c r="AI175" s="138">
        <f t="shared" si="1"/>
        <v>7167.5537616750862</v>
      </c>
      <c r="AJ175" s="138">
        <f t="shared" si="1"/>
        <v>7167.5537616750862</v>
      </c>
      <c r="AK175" s="138">
        <f t="shared" si="1"/>
        <v>7167.5537616750862</v>
      </c>
      <c r="AL175" s="138">
        <f t="shared" si="1"/>
        <v>7167.5537616750862</v>
      </c>
      <c r="AM175" s="138">
        <f t="shared" si="1"/>
        <v>7167.5537616750862</v>
      </c>
      <c r="AN175" s="138">
        <f t="shared" si="1"/>
        <v>7167.5537616750862</v>
      </c>
      <c r="AO175" s="138">
        <f t="shared" si="1"/>
        <v>7167.5537616750862</v>
      </c>
      <c r="AP175" s="138">
        <f t="shared" si="1"/>
        <v>7167.5537616750862</v>
      </c>
      <c r="AQ175" s="138">
        <f t="shared" si="1"/>
        <v>7167.5537616750862</v>
      </c>
      <c r="AR175" s="138">
        <f t="shared" si="1"/>
        <v>7167.5537616750862</v>
      </c>
      <c r="AS175" s="138">
        <f t="shared" si="1"/>
        <v>7167.5537616750862</v>
      </c>
      <c r="AT175" s="138">
        <f t="shared" si="1"/>
        <v>7167.5537616750862</v>
      </c>
      <c r="AU175" s="138">
        <f t="shared" si="1"/>
        <v>7167.5537616750862</v>
      </c>
      <c r="AV175" s="138">
        <f t="shared" si="1"/>
        <v>7167.5537616750862</v>
      </c>
      <c r="AW175" s="138">
        <f t="shared" si="1"/>
        <v>7167.5537616750862</v>
      </c>
      <c r="AX175" s="138">
        <f t="shared" si="1"/>
        <v>7167.5537616750862</v>
      </c>
      <c r="AY175" s="138">
        <f t="shared" si="1"/>
        <v>7167.5537616750862</v>
      </c>
    </row>
    <row r="176" spans="1:52" x14ac:dyDescent="0.2">
      <c r="A176" s="139"/>
      <c r="B176" s="150" t="s">
        <v>299</v>
      </c>
      <c r="C176" s="139" t="s">
        <v>293</v>
      </c>
      <c r="D176" s="139">
        <v>405</v>
      </c>
      <c r="E176" s="139">
        <v>389</v>
      </c>
      <c r="F176" s="139">
        <v>361</v>
      </c>
      <c r="G176" s="139">
        <v>545</v>
      </c>
      <c r="H176" s="139">
        <v>272</v>
      </c>
      <c r="I176" s="139">
        <v>228</v>
      </c>
      <c r="J176" s="139">
        <v>218</v>
      </c>
      <c r="K176" s="139">
        <v>268</v>
      </c>
      <c r="L176" s="139">
        <v>723</v>
      </c>
      <c r="M176" s="139">
        <v>736</v>
      </c>
      <c r="N176" s="139">
        <v>585</v>
      </c>
      <c r="O176" s="139">
        <v>527</v>
      </c>
      <c r="P176" s="139">
        <v>923</v>
      </c>
      <c r="Q176" s="139">
        <v>1169</v>
      </c>
      <c r="R176" s="139">
        <v>1138</v>
      </c>
      <c r="S176" s="139">
        <v>1205</v>
      </c>
      <c r="T176" s="139">
        <v>556</v>
      </c>
      <c r="U176" s="139">
        <v>560</v>
      </c>
      <c r="V176" s="139">
        <v>522</v>
      </c>
      <c r="W176" s="139">
        <v>627</v>
      </c>
      <c r="X176" s="139">
        <v>1217</v>
      </c>
      <c r="Y176" s="139">
        <v>1539</v>
      </c>
      <c r="Z176" s="139">
        <v>1577</v>
      </c>
      <c r="AA176" s="139">
        <v>1049</v>
      </c>
      <c r="AB176" s="139">
        <v>496</v>
      </c>
      <c r="AC176" s="139">
        <v>512</v>
      </c>
      <c r="AD176" s="139">
        <v>472</v>
      </c>
      <c r="AE176" s="139">
        <v>505</v>
      </c>
      <c r="AF176" s="139">
        <v>230</v>
      </c>
      <c r="AG176" s="139">
        <v>235</v>
      </c>
      <c r="AH176" s="139">
        <v>222</v>
      </c>
      <c r="AI176" s="139">
        <v>197</v>
      </c>
      <c r="AJ176" s="139">
        <v>651</v>
      </c>
      <c r="AK176" s="139">
        <v>732</v>
      </c>
      <c r="AL176" s="139">
        <v>691</v>
      </c>
      <c r="AM176" s="139">
        <v>708</v>
      </c>
      <c r="AN176" s="139">
        <v>443</v>
      </c>
      <c r="AO176" s="139">
        <v>433</v>
      </c>
      <c r="AP176" s="139">
        <v>447</v>
      </c>
      <c r="AQ176" s="139">
        <v>358</v>
      </c>
      <c r="AR176" s="139">
        <v>692</v>
      </c>
      <c r="AS176" s="139">
        <v>597</v>
      </c>
      <c r="AT176" s="139">
        <v>770</v>
      </c>
      <c r="AU176" s="139">
        <v>849</v>
      </c>
      <c r="AV176" s="139">
        <v>357</v>
      </c>
      <c r="AW176" s="139">
        <v>391</v>
      </c>
      <c r="AX176" s="139">
        <v>332</v>
      </c>
      <c r="AY176" s="139">
        <v>269</v>
      </c>
    </row>
    <row r="177" spans="1:51" x14ac:dyDescent="0.2">
      <c r="A177" s="149" t="s">
        <v>133</v>
      </c>
      <c r="B177" s="149" t="s">
        <v>298</v>
      </c>
      <c r="C177" s="138" t="s">
        <v>293</v>
      </c>
      <c r="D177" s="138">
        <f t="shared" ref="D177:AY177" si="2">SUM(D100:D107)</f>
        <v>705</v>
      </c>
      <c r="E177" s="138">
        <f t="shared" si="2"/>
        <v>806.30487934069504</v>
      </c>
      <c r="F177" s="138">
        <f t="shared" si="2"/>
        <v>0</v>
      </c>
      <c r="G177" s="138">
        <f t="shared" si="2"/>
        <v>874.73030863507029</v>
      </c>
      <c r="H177" s="138">
        <f t="shared" si="2"/>
        <v>0</v>
      </c>
      <c r="I177" s="138">
        <f t="shared" si="2"/>
        <v>437.36515431753514</v>
      </c>
      <c r="J177" s="138">
        <f t="shared" si="2"/>
        <v>874.73030863507029</v>
      </c>
      <c r="K177" s="138">
        <f t="shared" si="2"/>
        <v>437.36515431753514</v>
      </c>
      <c r="L177" s="138">
        <f t="shared" si="2"/>
        <v>437.36515431753514</v>
      </c>
      <c r="M177" s="138">
        <f t="shared" si="2"/>
        <v>437.36515431753514</v>
      </c>
      <c r="N177" s="138">
        <f t="shared" si="2"/>
        <v>437.36515431753514</v>
      </c>
      <c r="O177" s="138">
        <f t="shared" si="2"/>
        <v>437.36515431753514</v>
      </c>
      <c r="P177" s="138">
        <f t="shared" si="2"/>
        <v>0</v>
      </c>
      <c r="Q177" s="138">
        <f t="shared" si="2"/>
        <v>437.36515431753514</v>
      </c>
      <c r="R177" s="138">
        <f t="shared" si="2"/>
        <v>240</v>
      </c>
      <c r="S177" s="138">
        <f t="shared" si="2"/>
        <v>1072.0954629526054</v>
      </c>
      <c r="T177" s="138">
        <f t="shared" si="2"/>
        <v>583.46061727014057</v>
      </c>
      <c r="U177" s="138">
        <f t="shared" si="2"/>
        <v>0</v>
      </c>
      <c r="V177" s="138">
        <f t="shared" si="2"/>
        <v>874.73030863507029</v>
      </c>
      <c r="W177" s="138">
        <f t="shared" si="2"/>
        <v>671.09546295260543</v>
      </c>
      <c r="X177" s="138">
        <f t="shared" si="2"/>
        <v>562.46061727014057</v>
      </c>
      <c r="Y177" s="138">
        <f t="shared" si="2"/>
        <v>0</v>
      </c>
      <c r="Z177" s="138">
        <f t="shared" si="2"/>
        <v>240</v>
      </c>
      <c r="AA177" s="138">
        <f t="shared" si="2"/>
        <v>634.73030863507029</v>
      </c>
      <c r="AB177" s="138">
        <f t="shared" si="2"/>
        <v>874.73030863507029</v>
      </c>
      <c r="AC177" s="138">
        <f t="shared" si="2"/>
        <v>682.09546295260543</v>
      </c>
      <c r="AD177" s="138">
        <f t="shared" si="2"/>
        <v>472.46061727014057</v>
      </c>
      <c r="AE177" s="138">
        <f t="shared" si="2"/>
        <v>0</v>
      </c>
      <c r="AF177" s="138">
        <f t="shared" si="2"/>
        <v>874.73030863507029</v>
      </c>
      <c r="AG177" s="138">
        <f t="shared" si="2"/>
        <v>564.09546295260543</v>
      </c>
      <c r="AH177" s="138">
        <f t="shared" si="2"/>
        <v>437.36515431753514</v>
      </c>
      <c r="AI177" s="138">
        <f t="shared" si="2"/>
        <v>437.36515431753514</v>
      </c>
      <c r="AJ177" s="138">
        <f t="shared" si="2"/>
        <v>437.36515431753514</v>
      </c>
      <c r="AK177" s="138">
        <f t="shared" si="2"/>
        <v>437.36515431753514</v>
      </c>
      <c r="AL177" s="138">
        <f t="shared" si="2"/>
        <v>0</v>
      </c>
      <c r="AM177" s="138">
        <f t="shared" si="2"/>
        <v>240</v>
      </c>
      <c r="AN177" s="138">
        <f t="shared" si="2"/>
        <v>1072.0954629526054</v>
      </c>
      <c r="AO177" s="138">
        <f t="shared" si="2"/>
        <v>160.09546295260543</v>
      </c>
      <c r="AP177" s="138">
        <f t="shared" si="2"/>
        <v>874.73030863507029</v>
      </c>
      <c r="AQ177" s="138">
        <f t="shared" si="2"/>
        <v>238.73030863507029</v>
      </c>
      <c r="AR177" s="138">
        <f t="shared" si="2"/>
        <v>874.73030863507029</v>
      </c>
      <c r="AS177" s="138">
        <f t="shared" si="2"/>
        <v>477.09546295260543</v>
      </c>
      <c r="AT177" s="138">
        <f t="shared" si="2"/>
        <v>437.36515431753514</v>
      </c>
      <c r="AU177" s="138">
        <f t="shared" si="2"/>
        <v>437.36515431753514</v>
      </c>
      <c r="AV177" s="138">
        <f t="shared" si="2"/>
        <v>437.36515431753514</v>
      </c>
      <c r="AW177" s="138">
        <f t="shared" si="2"/>
        <v>437.36515431753514</v>
      </c>
      <c r="AX177" s="138">
        <f t="shared" si="2"/>
        <v>437.36515431753514</v>
      </c>
      <c r="AY177" s="138">
        <f t="shared" si="2"/>
        <v>0</v>
      </c>
    </row>
    <row r="178" spans="1:51" x14ac:dyDescent="0.2">
      <c r="A178" s="139"/>
      <c r="B178" s="150" t="s">
        <v>299</v>
      </c>
      <c r="C178" s="139" t="s">
        <v>293</v>
      </c>
      <c r="D178" s="139">
        <v>705</v>
      </c>
      <c r="E178" s="139">
        <v>806.30487934069504</v>
      </c>
      <c r="F178" s="139">
        <v>0</v>
      </c>
      <c r="G178" s="139">
        <v>874.73030863507029</v>
      </c>
      <c r="H178" s="139">
        <v>0</v>
      </c>
      <c r="I178" s="139">
        <v>437.36515431753514</v>
      </c>
      <c r="J178" s="139">
        <v>874.73030863507029</v>
      </c>
      <c r="K178" s="139">
        <v>437.36515431753514</v>
      </c>
      <c r="L178" s="139">
        <v>437.36515431753514</v>
      </c>
      <c r="M178" s="139">
        <v>437.36515431753514</v>
      </c>
      <c r="N178" s="139">
        <v>437.36515431753514</v>
      </c>
      <c r="O178" s="139">
        <v>437.36515431753514</v>
      </c>
      <c r="P178" s="139">
        <v>0</v>
      </c>
      <c r="Q178" s="139">
        <v>437.36515431753514</v>
      </c>
      <c r="R178" s="139">
        <v>240</v>
      </c>
      <c r="S178" s="139">
        <v>926</v>
      </c>
      <c r="T178" s="139">
        <v>583.46061727014057</v>
      </c>
      <c r="U178" s="139">
        <v>0</v>
      </c>
      <c r="V178" s="139">
        <v>641</v>
      </c>
      <c r="W178" s="139">
        <v>546</v>
      </c>
      <c r="X178" s="139">
        <v>562.46061727014057</v>
      </c>
      <c r="Y178" s="139">
        <v>0</v>
      </c>
      <c r="Z178" s="139">
        <v>240</v>
      </c>
      <c r="AA178" s="139">
        <v>634.73030863507029</v>
      </c>
      <c r="AB178" s="139">
        <v>630</v>
      </c>
      <c r="AC178" s="139">
        <v>647</v>
      </c>
      <c r="AD178" s="139">
        <v>472.46061727014057</v>
      </c>
      <c r="AE178" s="139">
        <v>0</v>
      </c>
      <c r="AF178" s="139">
        <v>748</v>
      </c>
      <c r="AG178" s="139">
        <v>564.09546295260543</v>
      </c>
      <c r="AH178" s="139">
        <v>437.36515431753514</v>
      </c>
      <c r="AI178" s="139">
        <v>437.36515431753514</v>
      </c>
      <c r="AJ178" s="139">
        <v>437.36515431753514</v>
      </c>
      <c r="AK178" s="139">
        <v>437.36515431753514</v>
      </c>
      <c r="AL178" s="139">
        <v>0</v>
      </c>
      <c r="AM178" s="139">
        <v>240</v>
      </c>
      <c r="AN178" s="139">
        <v>912</v>
      </c>
      <c r="AO178" s="139">
        <v>160.09546295260543</v>
      </c>
      <c r="AP178" s="139">
        <v>636</v>
      </c>
      <c r="AQ178" s="139">
        <v>238.73030863507029</v>
      </c>
      <c r="AR178" s="139">
        <v>835</v>
      </c>
      <c r="AS178" s="139">
        <v>477.09546295260543</v>
      </c>
      <c r="AT178" s="139">
        <v>437.36515431753514</v>
      </c>
      <c r="AU178" s="139">
        <v>437.36515431753514</v>
      </c>
      <c r="AV178" s="139">
        <v>437.36515431753514</v>
      </c>
      <c r="AW178" s="139">
        <v>437.36515431753514</v>
      </c>
      <c r="AX178" s="139">
        <v>437.36515431753514</v>
      </c>
      <c r="AY178" s="139">
        <v>0</v>
      </c>
    </row>
    <row r="179" spans="1:51" x14ac:dyDescent="0.2">
      <c r="A179" s="149" t="s">
        <v>134</v>
      </c>
      <c r="B179" s="149" t="s">
        <v>298</v>
      </c>
      <c r="C179" s="138" t="s">
        <v>293</v>
      </c>
      <c r="D179" s="138">
        <f t="shared" ref="D179:AY179" si="3">SUM(D109:D120)</f>
        <v>84.057800832886102</v>
      </c>
      <c r="E179" s="138">
        <f t="shared" si="3"/>
        <v>262.87869325683533</v>
      </c>
      <c r="F179" s="138">
        <f t="shared" si="3"/>
        <v>262.87869325683533</v>
      </c>
      <c r="G179" s="138">
        <f t="shared" si="3"/>
        <v>262.87869325683533</v>
      </c>
      <c r="H179" s="138">
        <f t="shared" si="3"/>
        <v>262.87869325683533</v>
      </c>
      <c r="I179" s="138">
        <f t="shared" si="3"/>
        <v>262.8786932568355</v>
      </c>
      <c r="J179" s="138">
        <f t="shared" si="3"/>
        <v>302.10324912252997</v>
      </c>
      <c r="K179" s="138">
        <f t="shared" si="3"/>
        <v>401.06539602678725</v>
      </c>
      <c r="L179" s="138">
        <f t="shared" si="3"/>
        <v>489.78048700253726</v>
      </c>
      <c r="M179" s="138">
        <f t="shared" si="3"/>
        <v>365.80537972862209</v>
      </c>
      <c r="N179" s="138">
        <f t="shared" si="3"/>
        <v>262.8786932568355</v>
      </c>
      <c r="O179" s="138">
        <f t="shared" si="3"/>
        <v>262.8786932568355</v>
      </c>
      <c r="P179" s="138">
        <f t="shared" si="3"/>
        <v>262.8786932568355</v>
      </c>
      <c r="Q179" s="138">
        <f t="shared" si="3"/>
        <v>262.8786932568355</v>
      </c>
      <c r="R179" s="138">
        <f t="shared" si="3"/>
        <v>297.39762677656529</v>
      </c>
      <c r="S179" s="138">
        <f t="shared" si="3"/>
        <v>273.5565765813937</v>
      </c>
      <c r="T179" s="138">
        <f t="shared" si="3"/>
        <v>271.36628320977462</v>
      </c>
      <c r="U179" s="138">
        <f t="shared" si="3"/>
        <v>262.8786932568355</v>
      </c>
      <c r="V179" s="138">
        <f t="shared" si="3"/>
        <v>262.8786932568355</v>
      </c>
      <c r="W179" s="138">
        <f t="shared" si="3"/>
        <v>262.8786932568355</v>
      </c>
      <c r="X179" s="138">
        <f t="shared" si="3"/>
        <v>262.8786932568355</v>
      </c>
      <c r="Y179" s="138">
        <f t="shared" si="3"/>
        <v>262.8786932568355</v>
      </c>
      <c r="Z179" s="138">
        <f t="shared" si="3"/>
        <v>262.8786932568355</v>
      </c>
      <c r="AA179" s="138">
        <f t="shared" si="3"/>
        <v>262.8786932568355</v>
      </c>
      <c r="AB179" s="138">
        <f t="shared" si="3"/>
        <v>262.8786932568355</v>
      </c>
      <c r="AC179" s="138">
        <f t="shared" si="3"/>
        <v>262.8786932568355</v>
      </c>
      <c r="AD179" s="138">
        <f t="shared" si="3"/>
        <v>262.8786932568355</v>
      </c>
      <c r="AE179" s="138">
        <f t="shared" si="3"/>
        <v>262.8786932568355</v>
      </c>
      <c r="AF179" s="138">
        <f t="shared" si="3"/>
        <v>262.8786932568355</v>
      </c>
      <c r="AG179" s="138">
        <f t="shared" si="3"/>
        <v>262.8786932568355</v>
      </c>
      <c r="AH179" s="138">
        <f t="shared" si="3"/>
        <v>262.8786932568355</v>
      </c>
      <c r="AI179" s="138">
        <f t="shared" si="3"/>
        <v>262.8786932568355</v>
      </c>
      <c r="AJ179" s="138">
        <f t="shared" si="3"/>
        <v>262.8786932568355</v>
      </c>
      <c r="AK179" s="138">
        <f t="shared" si="3"/>
        <v>262.8786932568355</v>
      </c>
      <c r="AL179" s="138">
        <f t="shared" si="3"/>
        <v>262.8786932568355</v>
      </c>
      <c r="AM179" s="138">
        <f t="shared" si="3"/>
        <v>262.8786932568355</v>
      </c>
      <c r="AN179" s="138">
        <f t="shared" si="3"/>
        <v>262.8786932568355</v>
      </c>
      <c r="AO179" s="138">
        <f t="shared" si="3"/>
        <v>262.8786932568355</v>
      </c>
      <c r="AP179" s="138">
        <f t="shared" si="3"/>
        <v>265.23309969070465</v>
      </c>
      <c r="AQ179" s="138">
        <f t="shared" si="3"/>
        <v>262.8786932568355</v>
      </c>
      <c r="AR179" s="138">
        <f t="shared" si="3"/>
        <v>288.93957199509396</v>
      </c>
      <c r="AS179" s="138">
        <f t="shared" si="3"/>
        <v>288.74086471771454</v>
      </c>
      <c r="AT179" s="138">
        <f t="shared" si="3"/>
        <v>281.9222635819886</v>
      </c>
      <c r="AU179" s="138">
        <f t="shared" si="3"/>
        <v>297.22135061662254</v>
      </c>
      <c r="AV179" s="138">
        <f t="shared" si="3"/>
        <v>310.49134892037273</v>
      </c>
      <c r="AW179" s="138">
        <f t="shared" si="3"/>
        <v>308.95476610015737</v>
      </c>
      <c r="AX179" s="138">
        <f t="shared" si="3"/>
        <v>262.8786932568355</v>
      </c>
      <c r="AY179" s="138">
        <f t="shared" si="3"/>
        <v>262.8786932568355</v>
      </c>
    </row>
    <row r="180" spans="1:51" x14ac:dyDescent="0.2">
      <c r="A180" s="139"/>
      <c r="B180" s="150" t="s">
        <v>299</v>
      </c>
      <c r="C180" s="139" t="s">
        <v>293</v>
      </c>
      <c r="D180" s="139">
        <v>84.057800832886102</v>
      </c>
      <c r="E180" s="139">
        <v>262.87869325683533</v>
      </c>
      <c r="F180" s="139">
        <v>262.87869325683533</v>
      </c>
      <c r="G180" s="139">
        <v>262.87869325683533</v>
      </c>
      <c r="H180" s="139">
        <v>262.87869325683533</v>
      </c>
      <c r="I180" s="139">
        <v>262.8786932568355</v>
      </c>
      <c r="J180" s="139">
        <v>221</v>
      </c>
      <c r="K180" s="139">
        <v>270.07943304849988</v>
      </c>
      <c r="L180" s="139">
        <v>489.78048700253726</v>
      </c>
      <c r="M180" s="139">
        <v>365.80537972862209</v>
      </c>
      <c r="N180" s="139">
        <v>262.8786932568355</v>
      </c>
      <c r="O180" s="139">
        <v>262.8786932568355</v>
      </c>
      <c r="P180" s="139">
        <v>262.8786932568355</v>
      </c>
      <c r="Q180" s="139">
        <v>262.8786932568355</v>
      </c>
      <c r="R180" s="139">
        <v>297.39762677656529</v>
      </c>
      <c r="S180" s="139">
        <v>273.5565765813937</v>
      </c>
      <c r="T180" s="139">
        <v>271.36628320977462</v>
      </c>
      <c r="U180" s="139">
        <v>262.8786932568355</v>
      </c>
      <c r="V180" s="139">
        <v>262.8786932568355</v>
      </c>
      <c r="W180" s="139">
        <v>262.8786932568355</v>
      </c>
      <c r="X180" s="139">
        <v>262.8786932568355</v>
      </c>
      <c r="Y180" s="139">
        <v>262.8786932568355</v>
      </c>
      <c r="Z180" s="139">
        <v>262.8786932568355</v>
      </c>
      <c r="AA180" s="139">
        <v>262.8786932568355</v>
      </c>
      <c r="AB180" s="139">
        <v>262.8786932568355</v>
      </c>
      <c r="AC180" s="139">
        <v>262.8786932568355</v>
      </c>
      <c r="AD180" s="139">
        <v>262.8786932568355</v>
      </c>
      <c r="AE180" s="139">
        <v>262.8786932568355</v>
      </c>
      <c r="AF180" s="139">
        <v>262.8786932568355</v>
      </c>
      <c r="AG180" s="139">
        <v>262.8786932568355</v>
      </c>
      <c r="AH180" s="139">
        <v>262.8786932568355</v>
      </c>
      <c r="AI180" s="139">
        <v>262.8786932568355</v>
      </c>
      <c r="AJ180" s="139">
        <v>262.8786932568355</v>
      </c>
      <c r="AK180" s="139">
        <v>262.8786932568355</v>
      </c>
      <c r="AL180" s="139">
        <v>262.8786932568355</v>
      </c>
      <c r="AM180" s="139">
        <v>262.8786932568355</v>
      </c>
      <c r="AN180" s="139">
        <v>262.8786932568355</v>
      </c>
      <c r="AO180" s="139">
        <v>262.8786932568355</v>
      </c>
      <c r="AP180" s="139">
        <v>265.23309969070465</v>
      </c>
      <c r="AQ180" s="139">
        <v>262.8786932568355</v>
      </c>
      <c r="AR180" s="139">
        <v>288.93957199509396</v>
      </c>
      <c r="AS180" s="139">
        <v>288.74086471771454</v>
      </c>
      <c r="AT180" s="139">
        <v>281.9222635819886</v>
      </c>
      <c r="AU180" s="139">
        <v>297.22135061662254</v>
      </c>
      <c r="AV180" s="139">
        <v>310.49134892037273</v>
      </c>
      <c r="AW180" s="139">
        <v>308.95476610015737</v>
      </c>
      <c r="AX180" s="139">
        <v>262.8786932568355</v>
      </c>
      <c r="AY180" s="139">
        <v>262.8786932568355</v>
      </c>
    </row>
    <row r="181" spans="1:51" x14ac:dyDescent="0.2">
      <c r="A181" s="149" t="s">
        <v>123</v>
      </c>
      <c r="B181" s="149" t="s">
        <v>298</v>
      </c>
      <c r="C181" s="138" t="s">
        <v>293</v>
      </c>
      <c r="D181" s="138">
        <f t="shared" ref="D181:AY181" si="4">(1-D172)*SUM(D122:D169)</f>
        <v>463.36382284084272</v>
      </c>
      <c r="E181" s="138">
        <f t="shared" si="4"/>
        <v>463.36382284084272</v>
      </c>
      <c r="F181" s="138">
        <f t="shared" si="4"/>
        <v>463.36382284084272</v>
      </c>
      <c r="G181" s="138">
        <f t="shared" si="4"/>
        <v>463.36382284084272</v>
      </c>
      <c r="H181" s="138">
        <f t="shared" si="4"/>
        <v>463.36382284084254</v>
      </c>
      <c r="I181" s="138">
        <f t="shared" si="4"/>
        <v>532.50308981599062</v>
      </c>
      <c r="J181" s="138">
        <f t="shared" si="4"/>
        <v>563.98212315012267</v>
      </c>
      <c r="K181" s="138">
        <f t="shared" si="4"/>
        <v>632.43011522355084</v>
      </c>
      <c r="L181" s="138">
        <f t="shared" si="4"/>
        <v>644.78781854410693</v>
      </c>
      <c r="M181" s="138">
        <f t="shared" si="4"/>
        <v>463.36382284084254</v>
      </c>
      <c r="N181" s="138">
        <f t="shared" si="4"/>
        <v>463.36382284084254</v>
      </c>
      <c r="O181" s="138">
        <f t="shared" si="4"/>
        <v>463.36382284084254</v>
      </c>
      <c r="P181" s="138">
        <f t="shared" si="4"/>
        <v>463.36382284084254</v>
      </c>
      <c r="Q181" s="138">
        <f t="shared" si="4"/>
        <v>524.2087121619553</v>
      </c>
      <c r="R181" s="138">
        <f t="shared" si="4"/>
        <v>482.18522207947086</v>
      </c>
      <c r="S181" s="138">
        <f t="shared" si="4"/>
        <v>478.32449568417934</v>
      </c>
      <c r="T181" s="138">
        <f t="shared" si="4"/>
        <v>463.36382284084254</v>
      </c>
      <c r="U181" s="138">
        <f t="shared" si="4"/>
        <v>463.36382284084254</v>
      </c>
      <c r="V181" s="138">
        <f t="shared" si="4"/>
        <v>463.36382284084254</v>
      </c>
      <c r="W181" s="138">
        <f t="shared" si="4"/>
        <v>463.36382284084254</v>
      </c>
      <c r="X181" s="138">
        <f t="shared" si="4"/>
        <v>463.36382284084254</v>
      </c>
      <c r="Y181" s="138">
        <f t="shared" si="4"/>
        <v>463.36382284084254</v>
      </c>
      <c r="Z181" s="138">
        <f t="shared" si="4"/>
        <v>463.36382284084254</v>
      </c>
      <c r="AA181" s="138">
        <f t="shared" si="4"/>
        <v>463.36382284084254</v>
      </c>
      <c r="AB181" s="138">
        <f t="shared" si="4"/>
        <v>463.36382284084254</v>
      </c>
      <c r="AC181" s="138">
        <f t="shared" si="4"/>
        <v>463.36382284084254</v>
      </c>
      <c r="AD181" s="138">
        <f t="shared" si="4"/>
        <v>463.36382284084254</v>
      </c>
      <c r="AE181" s="138">
        <f t="shared" si="4"/>
        <v>463.36382284084254</v>
      </c>
      <c r="AF181" s="138">
        <f t="shared" si="4"/>
        <v>463.36382284084254</v>
      </c>
      <c r="AG181" s="138">
        <f t="shared" si="4"/>
        <v>463.36382284084254</v>
      </c>
      <c r="AH181" s="138">
        <f t="shared" si="4"/>
        <v>463.36382284084254</v>
      </c>
      <c r="AI181" s="138">
        <f t="shared" si="4"/>
        <v>463.36382284084254</v>
      </c>
      <c r="AJ181" s="138">
        <f t="shared" si="4"/>
        <v>463.36382284084254</v>
      </c>
      <c r="AK181" s="138">
        <f t="shared" si="4"/>
        <v>463.36382284084254</v>
      </c>
      <c r="AL181" s="138">
        <f t="shared" si="4"/>
        <v>463.36382284084254</v>
      </c>
      <c r="AM181" s="138">
        <f t="shared" si="4"/>
        <v>463.36382284084254</v>
      </c>
      <c r="AN181" s="138">
        <f t="shared" si="4"/>
        <v>463.36382284084254</v>
      </c>
      <c r="AO181" s="138">
        <f t="shared" si="4"/>
        <v>467.51382355867497</v>
      </c>
      <c r="AP181" s="138">
        <f t="shared" si="4"/>
        <v>463.36382284084254</v>
      </c>
      <c r="AQ181" s="138">
        <f t="shared" si="4"/>
        <v>509.30009956659842</v>
      </c>
      <c r="AR181" s="138">
        <f t="shared" si="4"/>
        <v>508.94984765940842</v>
      </c>
      <c r="AS181" s="138">
        <f t="shared" si="4"/>
        <v>496.93102236195449</v>
      </c>
      <c r="AT181" s="138">
        <f t="shared" si="4"/>
        <v>523.89799852314798</v>
      </c>
      <c r="AU181" s="138">
        <f t="shared" si="4"/>
        <v>547.28839607472764</v>
      </c>
      <c r="AV181" s="138">
        <f t="shared" si="4"/>
        <v>544.57993430909141</v>
      </c>
      <c r="AW181" s="138">
        <f t="shared" si="4"/>
        <v>463.36382284084254</v>
      </c>
      <c r="AX181" s="138">
        <f t="shared" si="4"/>
        <v>463.36382284084254</v>
      </c>
      <c r="AY181" s="138">
        <f t="shared" si="4"/>
        <v>463.36382284084254</v>
      </c>
    </row>
    <row r="182" spans="1:51" x14ac:dyDescent="0.2">
      <c r="A182" s="139"/>
      <c r="B182" s="150" t="s">
        <v>299</v>
      </c>
      <c r="C182" s="139" t="s">
        <v>293</v>
      </c>
      <c r="D182" s="139">
        <v>463.36382284084272</v>
      </c>
      <c r="E182" s="139">
        <v>463.36382284084272</v>
      </c>
      <c r="F182" s="139">
        <v>463.36382284084272</v>
      </c>
      <c r="G182" s="139">
        <v>463.36382284084272</v>
      </c>
      <c r="H182" s="139">
        <v>355</v>
      </c>
      <c r="I182" s="139">
        <v>374.8013358592886</v>
      </c>
      <c r="J182" s="139">
        <v>299</v>
      </c>
      <c r="K182" s="139">
        <v>348.07943304849988</v>
      </c>
      <c r="L182" s="139">
        <v>644.78781854410693</v>
      </c>
      <c r="M182" s="139">
        <v>463.36382284084254</v>
      </c>
      <c r="N182" s="139">
        <v>463.36382284084254</v>
      </c>
      <c r="O182" s="139">
        <v>463.36382284084254</v>
      </c>
      <c r="P182" s="139">
        <v>368</v>
      </c>
      <c r="Q182" s="139">
        <v>494.70942959876874</v>
      </c>
      <c r="R182" s="139">
        <v>458.73695928319495</v>
      </c>
      <c r="S182" s="139">
        <v>478.32449568417934</v>
      </c>
      <c r="T182" s="139">
        <v>463.36382284084254</v>
      </c>
      <c r="U182" s="139">
        <v>463.36382284084254</v>
      </c>
      <c r="V182" s="139">
        <v>463.36382284084254</v>
      </c>
      <c r="W182" s="139">
        <v>463.36382284084254</v>
      </c>
      <c r="X182" s="139">
        <v>463.36382284084254</v>
      </c>
      <c r="Y182" s="139">
        <v>463.36382284084254</v>
      </c>
      <c r="Z182" s="139">
        <v>463.36382284084254</v>
      </c>
      <c r="AA182" s="139">
        <v>463.36382284084254</v>
      </c>
      <c r="AB182" s="139">
        <v>463.36382284084254</v>
      </c>
      <c r="AC182" s="139">
        <v>463.36382284084254</v>
      </c>
      <c r="AD182" s="139">
        <v>463.36382284084254</v>
      </c>
      <c r="AE182" s="139">
        <v>463.36382284084254</v>
      </c>
      <c r="AF182" s="139">
        <v>463.36382284084254</v>
      </c>
      <c r="AG182" s="139">
        <v>463.36382284084254</v>
      </c>
      <c r="AH182" s="139">
        <v>463.36382284084254</v>
      </c>
      <c r="AI182" s="139">
        <v>463.36382284084254</v>
      </c>
      <c r="AJ182" s="139">
        <v>463.36382284084254</v>
      </c>
      <c r="AK182" s="139">
        <v>463.36382284084254</v>
      </c>
      <c r="AL182" s="139">
        <v>463.36382284084254</v>
      </c>
      <c r="AM182" s="139">
        <v>463.36382284084254</v>
      </c>
      <c r="AN182" s="139">
        <v>456.85941568914097</v>
      </c>
      <c r="AO182" s="139">
        <v>467.51382355867497</v>
      </c>
      <c r="AP182" s="139">
        <v>391.36666737682822</v>
      </c>
      <c r="AQ182" s="139">
        <v>437.85190328715345</v>
      </c>
      <c r="AR182" s="139">
        <v>456.33907781314343</v>
      </c>
      <c r="AS182" s="139">
        <v>402.05418931986191</v>
      </c>
      <c r="AT182" s="139">
        <v>392.36076962572565</v>
      </c>
      <c r="AU182" s="139">
        <v>419.99621176315691</v>
      </c>
      <c r="AV182" s="139">
        <v>544.57993430909141</v>
      </c>
      <c r="AW182" s="139">
        <v>463.36382284084254</v>
      </c>
      <c r="AX182" s="139">
        <v>463.36382284084254</v>
      </c>
      <c r="AY182" s="139">
        <v>463.36382284084254</v>
      </c>
    </row>
    <row r="184" spans="1:51" x14ac:dyDescent="0.2">
      <c r="A184" s="1" t="s">
        <v>300</v>
      </c>
    </row>
    <row r="185" spans="1:51" x14ac:dyDescent="0.2">
      <c r="A185" s="140" t="s">
        <v>125</v>
      </c>
      <c r="B185" s="137">
        <v>1</v>
      </c>
      <c r="C185" s="138">
        <v>0</v>
      </c>
      <c r="D185" s="138">
        <v>0</v>
      </c>
      <c r="E185" s="138">
        <v>0</v>
      </c>
      <c r="F185" s="138">
        <v>0</v>
      </c>
      <c r="G185" s="138">
        <v>0</v>
      </c>
      <c r="H185" s="138">
        <v>0</v>
      </c>
      <c r="I185" s="138">
        <v>0</v>
      </c>
      <c r="J185" s="138">
        <v>0</v>
      </c>
      <c r="K185" s="138">
        <v>0</v>
      </c>
      <c r="L185" s="138">
        <v>0</v>
      </c>
      <c r="M185" s="138">
        <v>0</v>
      </c>
      <c r="N185" s="138">
        <v>0</v>
      </c>
      <c r="O185" s="138">
        <v>0</v>
      </c>
      <c r="P185" s="138">
        <v>0</v>
      </c>
      <c r="Q185" s="138">
        <v>0</v>
      </c>
      <c r="R185" s="138">
        <v>0</v>
      </c>
      <c r="S185" s="138">
        <v>0</v>
      </c>
      <c r="T185" s="138">
        <v>0</v>
      </c>
      <c r="U185" s="138">
        <v>0</v>
      </c>
      <c r="V185" s="138">
        <v>0</v>
      </c>
      <c r="W185" s="138">
        <v>0</v>
      </c>
      <c r="X185" s="138">
        <v>0</v>
      </c>
      <c r="Y185" s="138">
        <v>0</v>
      </c>
      <c r="Z185" s="138">
        <v>0</v>
      </c>
      <c r="AA185" s="138">
        <v>0</v>
      </c>
      <c r="AB185" s="138">
        <v>0</v>
      </c>
      <c r="AC185" s="138">
        <v>0</v>
      </c>
      <c r="AD185" s="138">
        <v>0</v>
      </c>
      <c r="AE185" s="138">
        <v>0</v>
      </c>
      <c r="AF185" s="138">
        <v>0</v>
      </c>
      <c r="AG185" s="138">
        <v>0</v>
      </c>
      <c r="AH185" s="138">
        <v>0</v>
      </c>
      <c r="AI185" s="138">
        <v>0</v>
      </c>
      <c r="AJ185" s="138">
        <v>0</v>
      </c>
      <c r="AK185" s="138">
        <v>0</v>
      </c>
      <c r="AL185" s="138">
        <v>0</v>
      </c>
      <c r="AM185" s="138">
        <v>0</v>
      </c>
      <c r="AN185" s="138">
        <v>0</v>
      </c>
      <c r="AO185" s="138">
        <v>0</v>
      </c>
      <c r="AP185" s="138">
        <v>0</v>
      </c>
      <c r="AQ185" s="138">
        <v>0</v>
      </c>
      <c r="AR185" s="138">
        <v>0</v>
      </c>
      <c r="AS185" s="138">
        <v>0</v>
      </c>
      <c r="AT185" s="138">
        <v>0</v>
      </c>
      <c r="AU185" s="138">
        <v>0</v>
      </c>
      <c r="AV185" s="138">
        <v>0</v>
      </c>
      <c r="AW185" s="138">
        <v>0</v>
      </c>
      <c r="AX185" s="138">
        <v>0</v>
      </c>
      <c r="AY185" s="138">
        <v>0</v>
      </c>
    </row>
    <row r="186" spans="1:51" x14ac:dyDescent="0.2">
      <c r="A186" s="124"/>
      <c r="B186" s="134">
        <v>2</v>
      </c>
      <c r="C186" s="121">
        <v>0</v>
      </c>
      <c r="D186" s="121">
        <v>0</v>
      </c>
      <c r="E186" s="121">
        <v>0</v>
      </c>
      <c r="F186" s="121">
        <v>0</v>
      </c>
      <c r="G186" s="121">
        <v>0</v>
      </c>
      <c r="H186" s="121">
        <v>0</v>
      </c>
      <c r="I186" s="121">
        <v>0</v>
      </c>
      <c r="J186" s="121">
        <v>0</v>
      </c>
      <c r="K186" s="121">
        <v>0</v>
      </c>
      <c r="L186" s="121">
        <v>0</v>
      </c>
      <c r="M186" s="121">
        <v>0</v>
      </c>
      <c r="N186" s="121">
        <v>0</v>
      </c>
      <c r="O186" s="121">
        <v>0</v>
      </c>
      <c r="P186" s="121">
        <v>0</v>
      </c>
      <c r="Q186" s="121">
        <v>0</v>
      </c>
      <c r="R186" s="121">
        <v>0</v>
      </c>
      <c r="S186" s="121">
        <v>0</v>
      </c>
      <c r="T186" s="121">
        <v>0</v>
      </c>
      <c r="U186" s="121">
        <v>0</v>
      </c>
      <c r="V186" s="121">
        <v>0</v>
      </c>
      <c r="W186" s="121">
        <v>0</v>
      </c>
      <c r="X186" s="121">
        <v>0</v>
      </c>
      <c r="Y186" s="121">
        <v>0</v>
      </c>
      <c r="Z186" s="121">
        <v>0</v>
      </c>
      <c r="AA186" s="121">
        <v>0</v>
      </c>
      <c r="AB186" s="121">
        <v>0</v>
      </c>
      <c r="AC186" s="121">
        <v>0</v>
      </c>
      <c r="AD186" s="121">
        <v>0</v>
      </c>
      <c r="AE186" s="121">
        <v>0</v>
      </c>
      <c r="AF186" s="121">
        <v>0</v>
      </c>
      <c r="AG186" s="121">
        <v>0</v>
      </c>
      <c r="AH186" s="121">
        <v>0</v>
      </c>
      <c r="AI186" s="121">
        <v>0</v>
      </c>
      <c r="AJ186" s="121">
        <v>0</v>
      </c>
      <c r="AK186" s="121">
        <v>0</v>
      </c>
      <c r="AL186" s="121">
        <v>0</v>
      </c>
      <c r="AM186" s="121">
        <v>0</v>
      </c>
      <c r="AN186" s="121">
        <v>0</v>
      </c>
      <c r="AO186" s="121">
        <v>0</v>
      </c>
      <c r="AP186" s="121">
        <v>0</v>
      </c>
      <c r="AQ186" s="121">
        <v>0</v>
      </c>
      <c r="AR186" s="121">
        <v>0</v>
      </c>
      <c r="AS186" s="121">
        <v>0</v>
      </c>
      <c r="AT186" s="121">
        <v>0</v>
      </c>
      <c r="AU186" s="121">
        <v>0</v>
      </c>
      <c r="AV186" s="121">
        <v>0</v>
      </c>
      <c r="AW186" s="121">
        <v>0</v>
      </c>
      <c r="AX186" s="121">
        <v>0</v>
      </c>
      <c r="AY186" s="121">
        <v>0</v>
      </c>
    </row>
    <row r="187" spans="1:51" x14ac:dyDescent="0.2">
      <c r="A187" s="124"/>
      <c r="B187" s="141">
        <v>3</v>
      </c>
      <c r="C187" s="121">
        <v>0</v>
      </c>
      <c r="D187" s="121">
        <v>0</v>
      </c>
      <c r="E187" s="121">
        <v>0</v>
      </c>
      <c r="F187" s="121">
        <v>0</v>
      </c>
      <c r="G187" s="121">
        <v>0</v>
      </c>
      <c r="H187" s="121">
        <v>0</v>
      </c>
      <c r="I187" s="121">
        <v>0</v>
      </c>
      <c r="J187" s="121">
        <v>0</v>
      </c>
      <c r="K187" s="121">
        <v>0</v>
      </c>
      <c r="L187" s="121">
        <v>0</v>
      </c>
      <c r="M187" s="121">
        <v>0</v>
      </c>
      <c r="N187" s="121">
        <v>0</v>
      </c>
      <c r="O187" s="121">
        <v>0</v>
      </c>
      <c r="P187" s="121">
        <v>0</v>
      </c>
      <c r="Q187" s="121">
        <v>0</v>
      </c>
      <c r="R187" s="121">
        <v>0</v>
      </c>
      <c r="S187" s="121">
        <v>0</v>
      </c>
      <c r="T187" s="121">
        <v>0</v>
      </c>
      <c r="U187" s="121">
        <v>0</v>
      </c>
      <c r="V187" s="121">
        <v>0</v>
      </c>
      <c r="W187" s="121">
        <v>0</v>
      </c>
      <c r="X187" s="121">
        <v>0</v>
      </c>
      <c r="Y187" s="121">
        <v>0</v>
      </c>
      <c r="Z187" s="121">
        <v>0</v>
      </c>
      <c r="AA187" s="121">
        <v>0</v>
      </c>
      <c r="AB187" s="121">
        <v>0</v>
      </c>
      <c r="AC187" s="121">
        <v>0</v>
      </c>
      <c r="AD187" s="121">
        <v>0</v>
      </c>
      <c r="AE187" s="121">
        <v>0</v>
      </c>
      <c r="AF187" s="121">
        <v>0</v>
      </c>
      <c r="AG187" s="121">
        <v>0</v>
      </c>
      <c r="AH187" s="121">
        <v>0</v>
      </c>
      <c r="AI187" s="121">
        <v>0</v>
      </c>
      <c r="AJ187" s="121">
        <v>0</v>
      </c>
      <c r="AK187" s="121">
        <v>0</v>
      </c>
      <c r="AL187" s="121">
        <v>0</v>
      </c>
      <c r="AM187" s="121">
        <v>0</v>
      </c>
      <c r="AN187" s="121">
        <v>0</v>
      </c>
      <c r="AO187" s="121">
        <v>0</v>
      </c>
      <c r="AP187" s="121">
        <v>0</v>
      </c>
      <c r="AQ187" s="121">
        <v>0</v>
      </c>
      <c r="AR187" s="121">
        <v>0</v>
      </c>
      <c r="AS187" s="121">
        <v>0</v>
      </c>
      <c r="AT187" s="121">
        <v>0</v>
      </c>
      <c r="AU187" s="121">
        <v>0</v>
      </c>
      <c r="AV187" s="121">
        <v>0</v>
      </c>
      <c r="AW187" s="121">
        <v>0</v>
      </c>
      <c r="AX187" s="121">
        <v>0</v>
      </c>
      <c r="AY187" s="121">
        <v>0</v>
      </c>
    </row>
    <row r="188" spans="1:51" x14ac:dyDescent="0.2">
      <c r="A188" s="142"/>
      <c r="B188" s="143">
        <v>4</v>
      </c>
      <c r="C188" s="121">
        <v>556</v>
      </c>
      <c r="D188" s="121">
        <v>405</v>
      </c>
      <c r="E188" s="121">
        <v>389</v>
      </c>
      <c r="F188" s="121">
        <v>361</v>
      </c>
      <c r="G188" s="121">
        <v>545</v>
      </c>
      <c r="H188" s="121">
        <v>272</v>
      </c>
      <c r="I188" s="121">
        <v>228</v>
      </c>
      <c r="J188" s="121">
        <v>218</v>
      </c>
      <c r="K188" s="121">
        <v>268</v>
      </c>
      <c r="L188" s="121">
        <v>723</v>
      </c>
      <c r="M188" s="121">
        <v>736</v>
      </c>
      <c r="N188" s="121">
        <v>585</v>
      </c>
      <c r="O188" s="121">
        <v>527</v>
      </c>
      <c r="P188" s="121">
        <v>923</v>
      </c>
      <c r="Q188" s="121">
        <v>1169</v>
      </c>
      <c r="R188" s="121">
        <v>1138</v>
      </c>
      <c r="S188" s="121">
        <v>1205</v>
      </c>
      <c r="T188" s="121">
        <v>556</v>
      </c>
      <c r="U188" s="121">
        <v>560</v>
      </c>
      <c r="V188" s="121">
        <v>522</v>
      </c>
      <c r="W188" s="121">
        <v>627</v>
      </c>
      <c r="X188" s="121">
        <v>1217</v>
      </c>
      <c r="Y188" s="121">
        <v>1539</v>
      </c>
      <c r="Z188" s="121">
        <v>1577</v>
      </c>
      <c r="AA188" s="121">
        <v>1049</v>
      </c>
      <c r="AB188" s="121">
        <v>496</v>
      </c>
      <c r="AC188" s="121">
        <v>512</v>
      </c>
      <c r="AD188" s="121">
        <v>472</v>
      </c>
      <c r="AE188" s="121">
        <v>505</v>
      </c>
      <c r="AF188" s="121">
        <v>230</v>
      </c>
      <c r="AG188" s="121">
        <v>235</v>
      </c>
      <c r="AH188" s="121">
        <v>222</v>
      </c>
      <c r="AI188" s="121">
        <v>197</v>
      </c>
      <c r="AJ188" s="121">
        <v>651</v>
      </c>
      <c r="AK188" s="121">
        <v>732</v>
      </c>
      <c r="AL188" s="121">
        <v>691</v>
      </c>
      <c r="AM188" s="121">
        <v>708</v>
      </c>
      <c r="AN188" s="121">
        <v>443</v>
      </c>
      <c r="AO188" s="121">
        <v>433</v>
      </c>
      <c r="AP188" s="121">
        <v>447</v>
      </c>
      <c r="AQ188" s="121">
        <v>358</v>
      </c>
      <c r="AR188" s="121">
        <v>692</v>
      </c>
      <c r="AS188" s="121">
        <v>597</v>
      </c>
      <c r="AT188" s="121">
        <v>770</v>
      </c>
      <c r="AU188" s="121">
        <v>849</v>
      </c>
      <c r="AV188" s="121">
        <v>357</v>
      </c>
      <c r="AW188" s="121">
        <v>391</v>
      </c>
      <c r="AX188" s="121">
        <v>332</v>
      </c>
      <c r="AY188" s="121">
        <v>269</v>
      </c>
    </row>
    <row r="189" spans="1:51" x14ac:dyDescent="0.2">
      <c r="A189" s="140" t="s">
        <v>133</v>
      </c>
      <c r="B189" s="137">
        <v>1</v>
      </c>
      <c r="C189" s="138">
        <v>345</v>
      </c>
      <c r="D189" s="138">
        <v>525</v>
      </c>
      <c r="E189" s="138">
        <v>806.30487934069504</v>
      </c>
      <c r="F189" s="138">
        <v>0</v>
      </c>
      <c r="G189" s="138">
        <v>874.73030863507029</v>
      </c>
      <c r="H189" s="138">
        <v>0</v>
      </c>
      <c r="I189" s="138">
        <v>437.36515431753514</v>
      </c>
      <c r="J189" s="138">
        <v>437.36515431753514</v>
      </c>
      <c r="K189" s="138">
        <v>437.36515431753514</v>
      </c>
      <c r="L189" s="138">
        <v>437.36515431753514</v>
      </c>
      <c r="M189" s="138">
        <v>437.36515431753514</v>
      </c>
      <c r="N189" s="138">
        <v>437.36515431753514</v>
      </c>
      <c r="O189" s="138">
        <v>437.36515431753514</v>
      </c>
      <c r="P189" s="138">
        <v>0</v>
      </c>
      <c r="Q189" s="138">
        <v>0</v>
      </c>
      <c r="R189" s="138">
        <v>240</v>
      </c>
      <c r="S189" s="138">
        <v>291.26969136492971</v>
      </c>
      <c r="T189" s="138">
        <v>437.36515431753514</v>
      </c>
      <c r="U189" s="138">
        <v>0</v>
      </c>
      <c r="V189" s="138">
        <v>641</v>
      </c>
      <c r="W189" s="138">
        <v>312.26969136492971</v>
      </c>
      <c r="X189" s="138">
        <v>437.36515431753514</v>
      </c>
      <c r="Y189" s="138">
        <v>0</v>
      </c>
      <c r="Z189" s="138">
        <v>240</v>
      </c>
      <c r="AA189" s="138">
        <v>0</v>
      </c>
      <c r="AB189" s="138">
        <v>192.63484568246486</v>
      </c>
      <c r="AC189" s="138">
        <v>402.26969136492971</v>
      </c>
      <c r="AD189" s="138">
        <v>437.36515431753514</v>
      </c>
      <c r="AE189" s="138">
        <v>0</v>
      </c>
      <c r="AF189" s="138">
        <v>310.63484568246486</v>
      </c>
      <c r="AG189" s="138">
        <v>437.36515431753514</v>
      </c>
      <c r="AH189" s="138">
        <v>437.36515431753514</v>
      </c>
      <c r="AI189" s="138">
        <v>437.36515431753514</v>
      </c>
      <c r="AJ189" s="138">
        <v>437.36515431753514</v>
      </c>
      <c r="AK189" s="138">
        <v>437.36515431753514</v>
      </c>
      <c r="AL189" s="138">
        <v>0</v>
      </c>
      <c r="AM189" s="138">
        <v>240</v>
      </c>
      <c r="AN189" s="138">
        <v>277.26969136492971</v>
      </c>
      <c r="AO189" s="138">
        <v>0</v>
      </c>
      <c r="AP189" s="138">
        <v>636</v>
      </c>
      <c r="AQ189" s="138">
        <v>0</v>
      </c>
      <c r="AR189" s="138">
        <v>397.63484568246486</v>
      </c>
      <c r="AS189" s="138">
        <v>437.36515431753514</v>
      </c>
      <c r="AT189" s="138">
        <v>437.36515431753514</v>
      </c>
      <c r="AU189" s="138">
        <v>437.36515431753514</v>
      </c>
      <c r="AV189" s="138">
        <v>437.36515431753514</v>
      </c>
      <c r="AW189" s="138">
        <v>437.36515431753514</v>
      </c>
      <c r="AX189" s="138">
        <v>437.36515431753514</v>
      </c>
      <c r="AY189" s="138">
        <v>0</v>
      </c>
    </row>
    <row r="190" spans="1:51" x14ac:dyDescent="0.2">
      <c r="A190" s="124"/>
      <c r="B190" s="133">
        <v>2</v>
      </c>
      <c r="C190" s="121">
        <v>345</v>
      </c>
      <c r="D190" s="121">
        <v>180</v>
      </c>
      <c r="E190" s="121">
        <v>0</v>
      </c>
      <c r="F190" s="121">
        <v>0</v>
      </c>
      <c r="G190" s="121">
        <v>0</v>
      </c>
      <c r="H190" s="121">
        <v>0</v>
      </c>
      <c r="I190" s="121">
        <v>0</v>
      </c>
      <c r="J190" s="121">
        <v>0</v>
      </c>
      <c r="K190" s="121">
        <v>0</v>
      </c>
      <c r="L190" s="121">
        <v>0</v>
      </c>
      <c r="M190" s="121">
        <v>0</v>
      </c>
      <c r="N190" s="121">
        <v>0</v>
      </c>
      <c r="O190" s="121">
        <v>0</v>
      </c>
      <c r="P190" s="121">
        <v>0</v>
      </c>
      <c r="Q190" s="121">
        <v>437.36515431753514</v>
      </c>
      <c r="R190" s="121">
        <v>0</v>
      </c>
      <c r="S190" s="121">
        <v>634.73030863507029</v>
      </c>
      <c r="T190" s="121">
        <v>146.09546295260543</v>
      </c>
      <c r="U190" s="121">
        <v>0</v>
      </c>
      <c r="V190" s="121">
        <v>0</v>
      </c>
      <c r="W190" s="121">
        <v>233.73030863507029</v>
      </c>
      <c r="X190" s="121">
        <v>125.09546295260543</v>
      </c>
      <c r="Y190" s="121">
        <v>0</v>
      </c>
      <c r="Z190" s="121">
        <v>0</v>
      </c>
      <c r="AA190" s="121">
        <v>634.73030863507029</v>
      </c>
      <c r="AB190" s="121">
        <v>437.36515431753514</v>
      </c>
      <c r="AC190" s="121">
        <v>244.73030863507029</v>
      </c>
      <c r="AD190" s="121">
        <v>35.09546295260543</v>
      </c>
      <c r="AE190" s="121">
        <v>0</v>
      </c>
      <c r="AF190" s="121">
        <v>437.36515431753514</v>
      </c>
      <c r="AG190" s="121">
        <v>126.73030863507029</v>
      </c>
      <c r="AH190" s="121">
        <v>0</v>
      </c>
      <c r="AI190" s="121">
        <v>0</v>
      </c>
      <c r="AJ190" s="121">
        <v>0</v>
      </c>
      <c r="AK190" s="121">
        <v>0</v>
      </c>
      <c r="AL190" s="121">
        <v>0</v>
      </c>
      <c r="AM190" s="121">
        <v>0</v>
      </c>
      <c r="AN190" s="121">
        <v>634.73030863507029</v>
      </c>
      <c r="AO190" s="121">
        <v>160.09546295260543</v>
      </c>
      <c r="AP190" s="121">
        <v>0</v>
      </c>
      <c r="AQ190" s="121">
        <v>238.73030863507029</v>
      </c>
      <c r="AR190" s="121">
        <v>437.36515431753514</v>
      </c>
      <c r="AS190" s="121">
        <v>39.730308635070287</v>
      </c>
      <c r="AT190" s="121">
        <v>0</v>
      </c>
      <c r="AU190" s="121">
        <v>0</v>
      </c>
      <c r="AV190" s="121">
        <v>0</v>
      </c>
      <c r="AW190" s="121">
        <v>0</v>
      </c>
      <c r="AX190" s="121">
        <v>0</v>
      </c>
      <c r="AY190" s="121">
        <v>0</v>
      </c>
    </row>
    <row r="191" spans="1:51" x14ac:dyDescent="0.2">
      <c r="A191" s="124"/>
      <c r="B191" s="134">
        <v>3</v>
      </c>
      <c r="C191" s="121">
        <v>0</v>
      </c>
      <c r="D191" s="121">
        <v>0</v>
      </c>
      <c r="E191" s="121">
        <v>0</v>
      </c>
      <c r="F191" s="121">
        <v>0</v>
      </c>
      <c r="G191" s="121">
        <v>0</v>
      </c>
      <c r="H191" s="121">
        <v>0</v>
      </c>
      <c r="I191" s="121">
        <v>0</v>
      </c>
      <c r="J191" s="121">
        <v>437.36515431753514</v>
      </c>
      <c r="K191" s="121">
        <v>0</v>
      </c>
      <c r="L191" s="121">
        <v>0</v>
      </c>
      <c r="M191" s="121">
        <v>0</v>
      </c>
      <c r="N191" s="121">
        <v>0</v>
      </c>
      <c r="O191" s="121">
        <v>0</v>
      </c>
      <c r="P191" s="121">
        <v>0</v>
      </c>
      <c r="Q191" s="121">
        <v>0</v>
      </c>
      <c r="R191" s="121">
        <v>0</v>
      </c>
      <c r="S191" s="121">
        <v>0</v>
      </c>
      <c r="T191" s="121">
        <v>0</v>
      </c>
      <c r="U191" s="121">
        <v>0</v>
      </c>
      <c r="V191" s="121">
        <v>0</v>
      </c>
      <c r="W191" s="121">
        <v>0</v>
      </c>
      <c r="X191" s="121">
        <v>0</v>
      </c>
      <c r="Y191" s="121">
        <v>0</v>
      </c>
      <c r="Z191" s="121">
        <v>0</v>
      </c>
      <c r="AA191" s="121">
        <v>0</v>
      </c>
      <c r="AB191" s="121">
        <v>0</v>
      </c>
      <c r="AC191" s="121">
        <v>0</v>
      </c>
      <c r="AD191" s="121">
        <v>0</v>
      </c>
      <c r="AE191" s="121">
        <v>0</v>
      </c>
      <c r="AF191" s="121">
        <v>0</v>
      </c>
      <c r="AG191" s="121">
        <v>0</v>
      </c>
      <c r="AH191" s="121">
        <v>0</v>
      </c>
      <c r="AI191" s="121">
        <v>0</v>
      </c>
      <c r="AJ191" s="121">
        <v>0</v>
      </c>
      <c r="AK191" s="121">
        <v>0</v>
      </c>
      <c r="AL191" s="121">
        <v>0</v>
      </c>
      <c r="AM191" s="121">
        <v>0</v>
      </c>
      <c r="AN191" s="121">
        <v>0</v>
      </c>
      <c r="AO191" s="121">
        <v>0</v>
      </c>
      <c r="AP191" s="121">
        <v>0</v>
      </c>
      <c r="AQ191" s="121">
        <v>0</v>
      </c>
      <c r="AR191" s="121">
        <v>0</v>
      </c>
      <c r="AS191" s="121">
        <v>0</v>
      </c>
      <c r="AT191" s="121">
        <v>0</v>
      </c>
      <c r="AU191" s="121">
        <v>0</v>
      </c>
      <c r="AV191" s="121">
        <v>0</v>
      </c>
      <c r="AW191" s="121">
        <v>0</v>
      </c>
      <c r="AX191" s="121">
        <v>0</v>
      </c>
      <c r="AY191" s="121">
        <v>0</v>
      </c>
    </row>
    <row r="192" spans="1:51" x14ac:dyDescent="0.2">
      <c r="A192" s="124"/>
      <c r="B192" s="134">
        <v>4</v>
      </c>
      <c r="C192" s="121">
        <v>0</v>
      </c>
      <c r="D192" s="121">
        <v>0</v>
      </c>
      <c r="E192" s="121">
        <v>0</v>
      </c>
      <c r="F192" s="121">
        <v>0</v>
      </c>
      <c r="G192" s="121">
        <v>0</v>
      </c>
      <c r="H192" s="121">
        <v>0</v>
      </c>
      <c r="I192" s="121">
        <v>0</v>
      </c>
      <c r="J192" s="121">
        <v>0</v>
      </c>
      <c r="K192" s="121">
        <v>0</v>
      </c>
      <c r="L192" s="121">
        <v>0</v>
      </c>
      <c r="M192" s="121">
        <v>0</v>
      </c>
      <c r="N192" s="121">
        <v>0</v>
      </c>
      <c r="O192" s="121">
        <v>0</v>
      </c>
      <c r="P192" s="121">
        <v>0</v>
      </c>
      <c r="Q192" s="121">
        <v>0</v>
      </c>
      <c r="R192" s="121">
        <v>0</v>
      </c>
      <c r="S192" s="121">
        <v>0</v>
      </c>
      <c r="T192" s="121">
        <v>0</v>
      </c>
      <c r="U192" s="121">
        <v>0</v>
      </c>
      <c r="V192" s="121">
        <v>0</v>
      </c>
      <c r="W192" s="121">
        <v>0</v>
      </c>
      <c r="X192" s="121">
        <v>0</v>
      </c>
      <c r="Y192" s="121">
        <v>0</v>
      </c>
      <c r="Z192" s="121">
        <v>0</v>
      </c>
      <c r="AA192" s="121">
        <v>0</v>
      </c>
      <c r="AB192" s="121">
        <v>0</v>
      </c>
      <c r="AC192" s="121">
        <v>0</v>
      </c>
      <c r="AD192" s="121">
        <v>0</v>
      </c>
      <c r="AE192" s="121">
        <v>0</v>
      </c>
      <c r="AF192" s="121">
        <v>0</v>
      </c>
      <c r="AG192" s="121">
        <v>0</v>
      </c>
      <c r="AH192" s="121">
        <v>0</v>
      </c>
      <c r="AI192" s="121">
        <v>0</v>
      </c>
      <c r="AJ192" s="121">
        <v>0</v>
      </c>
      <c r="AK192" s="121">
        <v>0</v>
      </c>
      <c r="AL192" s="121">
        <v>0</v>
      </c>
      <c r="AM192" s="121">
        <v>0</v>
      </c>
      <c r="AN192" s="121">
        <v>0</v>
      </c>
      <c r="AO192" s="121">
        <v>0</v>
      </c>
      <c r="AP192" s="121">
        <v>0</v>
      </c>
      <c r="AQ192" s="121">
        <v>0</v>
      </c>
      <c r="AR192" s="121">
        <v>0</v>
      </c>
      <c r="AS192" s="121">
        <v>0</v>
      </c>
      <c r="AT192" s="121">
        <v>0</v>
      </c>
      <c r="AU192" s="121">
        <v>0</v>
      </c>
      <c r="AV192" s="121">
        <v>0</v>
      </c>
      <c r="AW192" s="121">
        <v>0</v>
      </c>
      <c r="AX192" s="121">
        <v>0</v>
      </c>
      <c r="AY192" s="121">
        <v>0</v>
      </c>
    </row>
    <row r="193" spans="1:51" x14ac:dyDescent="0.2">
      <c r="A193" s="124"/>
      <c r="B193" s="141">
        <v>5</v>
      </c>
      <c r="C193" s="121">
        <v>0</v>
      </c>
      <c r="D193" s="121">
        <v>0</v>
      </c>
      <c r="E193" s="121">
        <v>0</v>
      </c>
      <c r="F193" s="121">
        <v>0</v>
      </c>
      <c r="G193" s="121">
        <v>0</v>
      </c>
      <c r="H193" s="121">
        <v>0</v>
      </c>
      <c r="I193" s="121">
        <v>0</v>
      </c>
      <c r="J193" s="121">
        <v>0</v>
      </c>
      <c r="K193" s="121">
        <v>0</v>
      </c>
      <c r="L193" s="121">
        <v>0</v>
      </c>
      <c r="M193" s="121">
        <v>0</v>
      </c>
      <c r="N193" s="121">
        <v>0</v>
      </c>
      <c r="O193" s="121">
        <v>0</v>
      </c>
      <c r="P193" s="121">
        <v>0</v>
      </c>
      <c r="Q193" s="121">
        <v>0</v>
      </c>
      <c r="R193" s="121">
        <v>0</v>
      </c>
      <c r="S193" s="121">
        <v>0</v>
      </c>
      <c r="T193" s="121">
        <v>0</v>
      </c>
      <c r="U193" s="121">
        <v>0</v>
      </c>
      <c r="V193" s="121">
        <v>0</v>
      </c>
      <c r="W193" s="121">
        <v>0</v>
      </c>
      <c r="X193" s="121">
        <v>0</v>
      </c>
      <c r="Y193" s="121">
        <v>0</v>
      </c>
      <c r="Z193" s="121">
        <v>0</v>
      </c>
      <c r="AA193" s="121">
        <v>0</v>
      </c>
      <c r="AB193" s="121">
        <v>0</v>
      </c>
      <c r="AC193" s="121">
        <v>0</v>
      </c>
      <c r="AD193" s="121">
        <v>0</v>
      </c>
      <c r="AE193" s="121">
        <v>0</v>
      </c>
      <c r="AF193" s="121">
        <v>0</v>
      </c>
      <c r="AG193" s="121">
        <v>0</v>
      </c>
      <c r="AH193" s="121">
        <v>0</v>
      </c>
      <c r="AI193" s="121">
        <v>0</v>
      </c>
      <c r="AJ193" s="121">
        <v>0</v>
      </c>
      <c r="AK193" s="121">
        <v>0</v>
      </c>
      <c r="AL193" s="121">
        <v>0</v>
      </c>
      <c r="AM193" s="121">
        <v>0</v>
      </c>
      <c r="AN193" s="121">
        <v>0</v>
      </c>
      <c r="AO193" s="121">
        <v>0</v>
      </c>
      <c r="AP193" s="121">
        <v>0</v>
      </c>
      <c r="AQ193" s="121">
        <v>0</v>
      </c>
      <c r="AR193" s="121">
        <v>0</v>
      </c>
      <c r="AS193" s="121">
        <v>0</v>
      </c>
      <c r="AT193" s="121">
        <v>0</v>
      </c>
      <c r="AU193" s="121">
        <v>0</v>
      </c>
      <c r="AV193" s="121">
        <v>0</v>
      </c>
      <c r="AW193" s="121">
        <v>0</v>
      </c>
      <c r="AX193" s="121">
        <v>0</v>
      </c>
      <c r="AY193" s="121">
        <v>0</v>
      </c>
    </row>
    <row r="194" spans="1:51" x14ac:dyDescent="0.2">
      <c r="A194" s="124"/>
      <c r="B194" s="141">
        <v>6</v>
      </c>
      <c r="C194" s="121">
        <v>0</v>
      </c>
      <c r="D194" s="121">
        <v>0</v>
      </c>
      <c r="E194" s="121">
        <v>0</v>
      </c>
      <c r="F194" s="121">
        <v>0</v>
      </c>
      <c r="G194" s="121">
        <v>0</v>
      </c>
      <c r="H194" s="121">
        <v>0</v>
      </c>
      <c r="I194" s="121">
        <v>0</v>
      </c>
      <c r="J194" s="121">
        <v>0</v>
      </c>
      <c r="K194" s="121">
        <v>0</v>
      </c>
      <c r="L194" s="121">
        <v>0</v>
      </c>
      <c r="M194" s="121">
        <v>0</v>
      </c>
      <c r="N194" s="121">
        <v>0</v>
      </c>
      <c r="O194" s="121">
        <v>0</v>
      </c>
      <c r="P194" s="121">
        <v>0</v>
      </c>
      <c r="Q194" s="121">
        <v>0</v>
      </c>
      <c r="R194" s="121">
        <v>0</v>
      </c>
      <c r="S194" s="121">
        <v>0</v>
      </c>
      <c r="T194" s="121">
        <v>0</v>
      </c>
      <c r="U194" s="121">
        <v>0</v>
      </c>
      <c r="V194" s="121">
        <v>0</v>
      </c>
      <c r="W194" s="121">
        <v>0</v>
      </c>
      <c r="X194" s="121">
        <v>0</v>
      </c>
      <c r="Y194" s="121">
        <v>0</v>
      </c>
      <c r="Z194" s="121">
        <v>0</v>
      </c>
      <c r="AA194" s="121">
        <v>0</v>
      </c>
      <c r="AB194" s="121">
        <v>0</v>
      </c>
      <c r="AC194" s="121">
        <v>0</v>
      </c>
      <c r="AD194" s="121">
        <v>0</v>
      </c>
      <c r="AE194" s="121">
        <v>0</v>
      </c>
      <c r="AF194" s="121">
        <v>0</v>
      </c>
      <c r="AG194" s="121">
        <v>0</v>
      </c>
      <c r="AH194" s="121">
        <v>0</v>
      </c>
      <c r="AI194" s="121">
        <v>0</v>
      </c>
      <c r="AJ194" s="121">
        <v>0</v>
      </c>
      <c r="AK194" s="121">
        <v>0</v>
      </c>
      <c r="AL194" s="121">
        <v>0</v>
      </c>
      <c r="AM194" s="121">
        <v>0</v>
      </c>
      <c r="AN194" s="121">
        <v>0</v>
      </c>
      <c r="AO194" s="121">
        <v>0</v>
      </c>
      <c r="AP194" s="121">
        <v>0</v>
      </c>
      <c r="AQ194" s="121">
        <v>0</v>
      </c>
      <c r="AR194" s="121">
        <v>0</v>
      </c>
      <c r="AS194" s="121">
        <v>0</v>
      </c>
      <c r="AT194" s="121">
        <v>0</v>
      </c>
      <c r="AU194" s="121">
        <v>0</v>
      </c>
      <c r="AV194" s="121">
        <v>0</v>
      </c>
      <c r="AW194" s="121">
        <v>0</v>
      </c>
      <c r="AX194" s="121">
        <v>0</v>
      </c>
      <c r="AY194" s="121">
        <v>0</v>
      </c>
    </row>
    <row r="195" spans="1:51" x14ac:dyDescent="0.2">
      <c r="A195" s="124"/>
      <c r="B195" s="144">
        <v>7</v>
      </c>
      <c r="C195" s="121">
        <v>0</v>
      </c>
      <c r="D195" s="121">
        <v>0</v>
      </c>
      <c r="E195" s="121">
        <v>0</v>
      </c>
      <c r="F195" s="121">
        <v>0</v>
      </c>
      <c r="G195" s="121">
        <v>0</v>
      </c>
      <c r="H195" s="121">
        <v>0</v>
      </c>
      <c r="I195" s="121">
        <v>0</v>
      </c>
      <c r="J195" s="121">
        <v>0</v>
      </c>
      <c r="K195" s="121">
        <v>0</v>
      </c>
      <c r="L195" s="121">
        <v>0</v>
      </c>
      <c r="M195" s="121">
        <v>0</v>
      </c>
      <c r="N195" s="121">
        <v>0</v>
      </c>
      <c r="O195" s="121">
        <v>0</v>
      </c>
      <c r="P195" s="121">
        <v>0</v>
      </c>
      <c r="Q195" s="121">
        <v>0</v>
      </c>
      <c r="R195" s="121">
        <v>0</v>
      </c>
      <c r="S195" s="121">
        <v>0</v>
      </c>
      <c r="T195" s="121">
        <v>0</v>
      </c>
      <c r="U195" s="121">
        <v>0</v>
      </c>
      <c r="V195" s="121">
        <v>0</v>
      </c>
      <c r="W195" s="121">
        <v>0</v>
      </c>
      <c r="X195" s="121">
        <v>0</v>
      </c>
      <c r="Y195" s="121">
        <v>0</v>
      </c>
      <c r="Z195" s="121">
        <v>0</v>
      </c>
      <c r="AA195" s="121">
        <v>0</v>
      </c>
      <c r="AB195" s="121">
        <v>0</v>
      </c>
      <c r="AC195" s="121">
        <v>0</v>
      </c>
      <c r="AD195" s="121">
        <v>0</v>
      </c>
      <c r="AE195" s="121">
        <v>0</v>
      </c>
      <c r="AF195" s="121">
        <v>0</v>
      </c>
      <c r="AG195" s="121">
        <v>0</v>
      </c>
      <c r="AH195" s="121">
        <v>0</v>
      </c>
      <c r="AI195" s="121">
        <v>0</v>
      </c>
      <c r="AJ195" s="121">
        <v>0</v>
      </c>
      <c r="AK195" s="121">
        <v>0</v>
      </c>
      <c r="AL195" s="121">
        <v>0</v>
      </c>
      <c r="AM195" s="121">
        <v>0</v>
      </c>
      <c r="AN195" s="121">
        <v>0</v>
      </c>
      <c r="AO195" s="121">
        <v>0</v>
      </c>
      <c r="AP195" s="121">
        <v>0</v>
      </c>
      <c r="AQ195" s="121">
        <v>0</v>
      </c>
      <c r="AR195" s="121">
        <v>0</v>
      </c>
      <c r="AS195" s="121">
        <v>0</v>
      </c>
      <c r="AT195" s="121">
        <v>0</v>
      </c>
      <c r="AU195" s="121">
        <v>0</v>
      </c>
      <c r="AV195" s="121">
        <v>0</v>
      </c>
      <c r="AW195" s="121">
        <v>0</v>
      </c>
      <c r="AX195" s="121">
        <v>0</v>
      </c>
      <c r="AY195" s="121">
        <v>0</v>
      </c>
    </row>
    <row r="196" spans="1:51" x14ac:dyDescent="0.2">
      <c r="A196" s="142"/>
      <c r="B196" s="143">
        <v>8</v>
      </c>
      <c r="C196" s="128">
        <v>0</v>
      </c>
      <c r="D196" s="128">
        <v>0</v>
      </c>
      <c r="E196" s="128">
        <v>0</v>
      </c>
      <c r="F196" s="128">
        <v>0</v>
      </c>
      <c r="G196" s="128">
        <v>0</v>
      </c>
      <c r="H196" s="128">
        <v>0</v>
      </c>
      <c r="I196" s="128">
        <v>0</v>
      </c>
      <c r="J196" s="128">
        <v>0</v>
      </c>
      <c r="K196" s="128">
        <v>0</v>
      </c>
      <c r="L196" s="128">
        <v>0</v>
      </c>
      <c r="M196" s="128">
        <v>0</v>
      </c>
      <c r="N196" s="128">
        <v>0</v>
      </c>
      <c r="O196" s="128">
        <v>0</v>
      </c>
      <c r="P196" s="128">
        <v>0</v>
      </c>
      <c r="Q196" s="128">
        <v>0</v>
      </c>
      <c r="R196" s="128">
        <v>0</v>
      </c>
      <c r="S196" s="128">
        <v>0</v>
      </c>
      <c r="T196" s="128">
        <v>0</v>
      </c>
      <c r="U196" s="128">
        <v>0</v>
      </c>
      <c r="V196" s="128">
        <v>0</v>
      </c>
      <c r="W196" s="128">
        <v>0</v>
      </c>
      <c r="X196" s="128">
        <v>0</v>
      </c>
      <c r="Y196" s="128">
        <v>0</v>
      </c>
      <c r="Z196" s="128">
        <v>0</v>
      </c>
      <c r="AA196" s="128">
        <v>0</v>
      </c>
      <c r="AB196" s="128">
        <v>0</v>
      </c>
      <c r="AC196" s="128">
        <v>0</v>
      </c>
      <c r="AD196" s="128">
        <v>0</v>
      </c>
      <c r="AE196" s="128">
        <v>0</v>
      </c>
      <c r="AF196" s="128">
        <v>0</v>
      </c>
      <c r="AG196" s="128">
        <v>0</v>
      </c>
      <c r="AH196" s="128">
        <v>0</v>
      </c>
      <c r="AI196" s="128">
        <v>0</v>
      </c>
      <c r="AJ196" s="128">
        <v>0</v>
      </c>
      <c r="AK196" s="128">
        <v>0</v>
      </c>
      <c r="AL196" s="128">
        <v>0</v>
      </c>
      <c r="AM196" s="128">
        <v>0</v>
      </c>
      <c r="AN196" s="128">
        <v>0</v>
      </c>
      <c r="AO196" s="128">
        <v>0</v>
      </c>
      <c r="AP196" s="128">
        <v>0</v>
      </c>
      <c r="AQ196" s="128">
        <v>0</v>
      </c>
      <c r="AR196" s="128">
        <v>0</v>
      </c>
      <c r="AS196" s="128">
        <v>0</v>
      </c>
      <c r="AT196" s="128">
        <v>0</v>
      </c>
      <c r="AU196" s="128">
        <v>0</v>
      </c>
      <c r="AV196" s="128">
        <v>0</v>
      </c>
      <c r="AW196" s="128">
        <v>0</v>
      </c>
      <c r="AX196" s="128">
        <v>0</v>
      </c>
      <c r="AY196" s="128">
        <v>0</v>
      </c>
    </row>
    <row r="197" spans="1:51" x14ac:dyDescent="0.2">
      <c r="A197" s="145" t="s">
        <v>134</v>
      </c>
      <c r="B197" s="133">
        <v>1</v>
      </c>
      <c r="C197" s="121">
        <v>84.057800832886102</v>
      </c>
      <c r="D197" s="121">
        <v>84.057800832886102</v>
      </c>
      <c r="E197" s="121">
        <v>262.87869325683533</v>
      </c>
      <c r="F197" s="121">
        <v>262.87869325683533</v>
      </c>
      <c r="G197" s="121">
        <v>262.87869325683533</v>
      </c>
      <c r="H197" s="121">
        <v>262.87869325683533</v>
      </c>
      <c r="I197" s="121">
        <v>262.8786932568355</v>
      </c>
      <c r="J197" s="121">
        <v>221</v>
      </c>
      <c r="K197" s="121">
        <v>188.97618392596991</v>
      </c>
      <c r="L197" s="121">
        <v>358.79452402424988</v>
      </c>
      <c r="M197" s="121">
        <v>365.80537972862209</v>
      </c>
      <c r="N197" s="121">
        <v>262.8786932568355</v>
      </c>
      <c r="O197" s="121">
        <v>262.8786932568355</v>
      </c>
      <c r="P197" s="121">
        <v>262.8786932568355</v>
      </c>
      <c r="Q197" s="121">
        <v>262.8786932568355</v>
      </c>
      <c r="R197" s="121">
        <v>297.39762677656529</v>
      </c>
      <c r="S197" s="121">
        <v>273.5565765813937</v>
      </c>
      <c r="T197" s="121">
        <v>271.36628320977462</v>
      </c>
      <c r="U197" s="121">
        <v>262.8786932568355</v>
      </c>
      <c r="V197" s="121">
        <v>262.8786932568355</v>
      </c>
      <c r="W197" s="121">
        <v>262.8786932568355</v>
      </c>
      <c r="X197" s="121">
        <v>262.8786932568355</v>
      </c>
      <c r="Y197" s="121">
        <v>262.8786932568355</v>
      </c>
      <c r="Z197" s="121">
        <v>262.8786932568355</v>
      </c>
      <c r="AA197" s="121">
        <v>262.8786932568355</v>
      </c>
      <c r="AB197" s="121">
        <v>262.8786932568355</v>
      </c>
      <c r="AC197" s="121">
        <v>262.8786932568355</v>
      </c>
      <c r="AD197" s="121">
        <v>262.8786932568355</v>
      </c>
      <c r="AE197" s="121">
        <v>262.8786932568355</v>
      </c>
      <c r="AF197" s="121">
        <v>262.8786932568355</v>
      </c>
      <c r="AG197" s="121">
        <v>262.8786932568355</v>
      </c>
      <c r="AH197" s="121">
        <v>262.8786932568355</v>
      </c>
      <c r="AI197" s="121">
        <v>262.8786932568355</v>
      </c>
      <c r="AJ197" s="121">
        <v>262.8786932568355</v>
      </c>
      <c r="AK197" s="121">
        <v>262.8786932568355</v>
      </c>
      <c r="AL197" s="121">
        <v>262.8786932568355</v>
      </c>
      <c r="AM197" s="121">
        <v>262.8786932568355</v>
      </c>
      <c r="AN197" s="121">
        <v>262.8786932568355</v>
      </c>
      <c r="AO197" s="121">
        <v>262.8786932568355</v>
      </c>
      <c r="AP197" s="121">
        <v>265.23309969070465</v>
      </c>
      <c r="AQ197" s="121">
        <v>262.8786932568355</v>
      </c>
      <c r="AR197" s="121">
        <v>288.93957199509396</v>
      </c>
      <c r="AS197" s="121">
        <v>288.74086471771454</v>
      </c>
      <c r="AT197" s="121">
        <v>281.9222635819886</v>
      </c>
      <c r="AU197" s="121">
        <v>297.22135061662254</v>
      </c>
      <c r="AV197" s="121">
        <v>310.49134892037273</v>
      </c>
      <c r="AW197" s="121">
        <v>308.95476610015737</v>
      </c>
      <c r="AX197" s="121">
        <v>262.8786932568355</v>
      </c>
      <c r="AY197" s="121">
        <v>262.8786932568355</v>
      </c>
    </row>
    <row r="198" spans="1:51" x14ac:dyDescent="0.2">
      <c r="A198" s="124"/>
      <c r="B198" s="133">
        <v>2</v>
      </c>
      <c r="C198" s="121">
        <v>0</v>
      </c>
      <c r="D198" s="121">
        <v>0</v>
      </c>
      <c r="E198" s="121">
        <v>0</v>
      </c>
      <c r="F198" s="121">
        <v>0</v>
      </c>
      <c r="G198" s="121">
        <v>0</v>
      </c>
      <c r="H198" s="121">
        <v>0</v>
      </c>
      <c r="I198" s="121">
        <v>0</v>
      </c>
      <c r="J198" s="121">
        <v>0</v>
      </c>
      <c r="K198" s="121">
        <v>81.103249122529974</v>
      </c>
      <c r="L198" s="121">
        <v>130.98596297828738</v>
      </c>
      <c r="M198" s="121">
        <v>0</v>
      </c>
      <c r="N198" s="121">
        <v>0</v>
      </c>
      <c r="O198" s="121">
        <v>0</v>
      </c>
      <c r="P198" s="121">
        <v>0</v>
      </c>
      <c r="Q198" s="121">
        <v>0</v>
      </c>
      <c r="R198" s="121">
        <v>0</v>
      </c>
      <c r="S198" s="121">
        <v>0</v>
      </c>
      <c r="T198" s="121">
        <v>0</v>
      </c>
      <c r="U198" s="121">
        <v>0</v>
      </c>
      <c r="V198" s="121">
        <v>0</v>
      </c>
      <c r="W198" s="121">
        <v>0</v>
      </c>
      <c r="X198" s="121">
        <v>0</v>
      </c>
      <c r="Y198" s="121">
        <v>0</v>
      </c>
      <c r="Z198" s="121">
        <v>0</v>
      </c>
      <c r="AA198" s="121">
        <v>0</v>
      </c>
      <c r="AB198" s="121">
        <v>0</v>
      </c>
      <c r="AC198" s="121">
        <v>0</v>
      </c>
      <c r="AD198" s="121">
        <v>0</v>
      </c>
      <c r="AE198" s="121">
        <v>0</v>
      </c>
      <c r="AF198" s="121">
        <v>0</v>
      </c>
      <c r="AG198" s="121">
        <v>0</v>
      </c>
      <c r="AH198" s="121">
        <v>0</v>
      </c>
      <c r="AI198" s="121">
        <v>0</v>
      </c>
      <c r="AJ198" s="121">
        <v>0</v>
      </c>
      <c r="AK198" s="121">
        <v>0</v>
      </c>
      <c r="AL198" s="121">
        <v>0</v>
      </c>
      <c r="AM198" s="121">
        <v>0</v>
      </c>
      <c r="AN198" s="121">
        <v>0</v>
      </c>
      <c r="AO198" s="121">
        <v>0</v>
      </c>
      <c r="AP198" s="121">
        <v>0</v>
      </c>
      <c r="AQ198" s="121">
        <v>0</v>
      </c>
      <c r="AR198" s="121">
        <v>0</v>
      </c>
      <c r="AS198" s="121">
        <v>0</v>
      </c>
      <c r="AT198" s="121">
        <v>0</v>
      </c>
      <c r="AU198" s="121">
        <v>0</v>
      </c>
      <c r="AV198" s="121">
        <v>0</v>
      </c>
      <c r="AW198" s="121">
        <v>0</v>
      </c>
      <c r="AX198" s="121">
        <v>0</v>
      </c>
      <c r="AY198" s="121">
        <v>0</v>
      </c>
    </row>
    <row r="199" spans="1:51" x14ac:dyDescent="0.2">
      <c r="A199" s="124"/>
      <c r="B199" s="133">
        <v>3</v>
      </c>
      <c r="C199" s="121">
        <v>0</v>
      </c>
      <c r="D199" s="121">
        <v>0</v>
      </c>
      <c r="E199" s="121">
        <v>0</v>
      </c>
      <c r="F199" s="121">
        <v>0</v>
      </c>
      <c r="G199" s="121">
        <v>0</v>
      </c>
      <c r="H199" s="121">
        <v>0</v>
      </c>
      <c r="I199" s="121">
        <v>0</v>
      </c>
      <c r="J199" s="121">
        <v>0</v>
      </c>
      <c r="K199" s="121">
        <v>0</v>
      </c>
      <c r="L199" s="121">
        <v>0</v>
      </c>
      <c r="M199" s="121">
        <v>0</v>
      </c>
      <c r="N199" s="121">
        <v>0</v>
      </c>
      <c r="O199" s="121">
        <v>0</v>
      </c>
      <c r="P199" s="121">
        <v>0</v>
      </c>
      <c r="Q199" s="121">
        <v>0</v>
      </c>
      <c r="R199" s="121">
        <v>0</v>
      </c>
      <c r="S199" s="121">
        <v>0</v>
      </c>
      <c r="T199" s="121">
        <v>0</v>
      </c>
      <c r="U199" s="121">
        <v>0</v>
      </c>
      <c r="V199" s="121">
        <v>0</v>
      </c>
      <c r="W199" s="121">
        <v>0</v>
      </c>
      <c r="X199" s="121">
        <v>0</v>
      </c>
      <c r="Y199" s="121">
        <v>0</v>
      </c>
      <c r="Z199" s="121">
        <v>0</v>
      </c>
      <c r="AA199" s="121">
        <v>0</v>
      </c>
      <c r="AB199" s="121">
        <v>0</v>
      </c>
      <c r="AC199" s="121">
        <v>0</v>
      </c>
      <c r="AD199" s="121">
        <v>0</v>
      </c>
      <c r="AE199" s="121">
        <v>0</v>
      </c>
      <c r="AF199" s="121">
        <v>0</v>
      </c>
      <c r="AG199" s="121">
        <v>0</v>
      </c>
      <c r="AH199" s="121">
        <v>0</v>
      </c>
      <c r="AI199" s="121">
        <v>0</v>
      </c>
      <c r="AJ199" s="121">
        <v>0</v>
      </c>
      <c r="AK199" s="121">
        <v>0</v>
      </c>
      <c r="AL199" s="121">
        <v>0</v>
      </c>
      <c r="AM199" s="121">
        <v>0</v>
      </c>
      <c r="AN199" s="121">
        <v>0</v>
      </c>
      <c r="AO199" s="121">
        <v>0</v>
      </c>
      <c r="AP199" s="121">
        <v>0</v>
      </c>
      <c r="AQ199" s="121">
        <v>0</v>
      </c>
      <c r="AR199" s="121">
        <v>0</v>
      </c>
      <c r="AS199" s="121">
        <v>0</v>
      </c>
      <c r="AT199" s="121">
        <v>0</v>
      </c>
      <c r="AU199" s="121">
        <v>0</v>
      </c>
      <c r="AV199" s="121">
        <v>0</v>
      </c>
      <c r="AW199" s="121">
        <v>0</v>
      </c>
      <c r="AX199" s="121">
        <v>0</v>
      </c>
      <c r="AY199" s="121">
        <v>0</v>
      </c>
    </row>
    <row r="200" spans="1:51" x14ac:dyDescent="0.2">
      <c r="A200" s="124"/>
      <c r="B200" s="134">
        <v>4</v>
      </c>
      <c r="C200" s="121">
        <v>0</v>
      </c>
      <c r="D200" s="121">
        <v>0</v>
      </c>
      <c r="E200" s="121">
        <v>0</v>
      </c>
      <c r="F200" s="121">
        <v>0</v>
      </c>
      <c r="G200" s="121">
        <v>0</v>
      </c>
      <c r="H200" s="121">
        <v>0</v>
      </c>
      <c r="I200" s="121">
        <v>0</v>
      </c>
      <c r="J200" s="121">
        <v>0</v>
      </c>
      <c r="K200" s="121">
        <v>0</v>
      </c>
      <c r="L200" s="121">
        <v>0</v>
      </c>
      <c r="M200" s="121">
        <v>0</v>
      </c>
      <c r="N200" s="121">
        <v>0</v>
      </c>
      <c r="O200" s="121">
        <v>0</v>
      </c>
      <c r="P200" s="121">
        <v>0</v>
      </c>
      <c r="Q200" s="121">
        <v>0</v>
      </c>
      <c r="R200" s="121">
        <v>0</v>
      </c>
      <c r="S200" s="121">
        <v>0</v>
      </c>
      <c r="T200" s="121">
        <v>0</v>
      </c>
      <c r="U200" s="121">
        <v>0</v>
      </c>
      <c r="V200" s="121">
        <v>0</v>
      </c>
      <c r="W200" s="121">
        <v>0</v>
      </c>
      <c r="X200" s="121">
        <v>0</v>
      </c>
      <c r="Y200" s="121">
        <v>0</v>
      </c>
      <c r="Z200" s="121">
        <v>0</v>
      </c>
      <c r="AA200" s="121">
        <v>0</v>
      </c>
      <c r="AB200" s="121">
        <v>0</v>
      </c>
      <c r="AC200" s="121">
        <v>0</v>
      </c>
      <c r="AD200" s="121">
        <v>0</v>
      </c>
      <c r="AE200" s="121">
        <v>0</v>
      </c>
      <c r="AF200" s="121">
        <v>0</v>
      </c>
      <c r="AG200" s="121">
        <v>0</v>
      </c>
      <c r="AH200" s="121">
        <v>0</v>
      </c>
      <c r="AI200" s="121">
        <v>0</v>
      </c>
      <c r="AJ200" s="121">
        <v>0</v>
      </c>
      <c r="AK200" s="121">
        <v>0</v>
      </c>
      <c r="AL200" s="121">
        <v>0</v>
      </c>
      <c r="AM200" s="121">
        <v>0</v>
      </c>
      <c r="AN200" s="121">
        <v>0</v>
      </c>
      <c r="AO200" s="121">
        <v>0</v>
      </c>
      <c r="AP200" s="121">
        <v>0</v>
      </c>
      <c r="AQ200" s="121">
        <v>0</v>
      </c>
      <c r="AR200" s="121">
        <v>0</v>
      </c>
      <c r="AS200" s="121">
        <v>0</v>
      </c>
      <c r="AT200" s="121">
        <v>0</v>
      </c>
      <c r="AU200" s="121">
        <v>0</v>
      </c>
      <c r="AV200" s="121">
        <v>0</v>
      </c>
      <c r="AW200" s="121">
        <v>0</v>
      </c>
      <c r="AX200" s="121">
        <v>0</v>
      </c>
      <c r="AY200" s="121">
        <v>0</v>
      </c>
    </row>
    <row r="201" spans="1:51" x14ac:dyDescent="0.2">
      <c r="A201" s="124"/>
      <c r="B201" s="134">
        <v>5</v>
      </c>
      <c r="C201" s="121">
        <v>0</v>
      </c>
      <c r="D201" s="121">
        <v>0</v>
      </c>
      <c r="E201" s="121">
        <v>0</v>
      </c>
      <c r="F201" s="121">
        <v>0</v>
      </c>
      <c r="G201" s="121">
        <v>0</v>
      </c>
      <c r="H201" s="121">
        <v>0</v>
      </c>
      <c r="I201" s="121">
        <v>0</v>
      </c>
      <c r="J201" s="121">
        <v>0</v>
      </c>
      <c r="K201" s="121">
        <v>0</v>
      </c>
      <c r="L201" s="121">
        <v>0</v>
      </c>
      <c r="M201" s="121">
        <v>0</v>
      </c>
      <c r="N201" s="121">
        <v>0</v>
      </c>
      <c r="O201" s="121">
        <v>0</v>
      </c>
      <c r="P201" s="121">
        <v>0</v>
      </c>
      <c r="Q201" s="121">
        <v>0</v>
      </c>
      <c r="R201" s="121">
        <v>0</v>
      </c>
      <c r="S201" s="121">
        <v>0</v>
      </c>
      <c r="T201" s="121">
        <v>0</v>
      </c>
      <c r="U201" s="121">
        <v>0</v>
      </c>
      <c r="V201" s="121">
        <v>0</v>
      </c>
      <c r="W201" s="121">
        <v>0</v>
      </c>
      <c r="X201" s="121">
        <v>0</v>
      </c>
      <c r="Y201" s="121">
        <v>0</v>
      </c>
      <c r="Z201" s="121">
        <v>0</v>
      </c>
      <c r="AA201" s="121">
        <v>0</v>
      </c>
      <c r="AB201" s="121">
        <v>0</v>
      </c>
      <c r="AC201" s="121">
        <v>0</v>
      </c>
      <c r="AD201" s="121">
        <v>0</v>
      </c>
      <c r="AE201" s="121">
        <v>0</v>
      </c>
      <c r="AF201" s="121">
        <v>0</v>
      </c>
      <c r="AG201" s="121">
        <v>0</v>
      </c>
      <c r="AH201" s="121">
        <v>0</v>
      </c>
      <c r="AI201" s="121">
        <v>0</v>
      </c>
      <c r="AJ201" s="121">
        <v>0</v>
      </c>
      <c r="AK201" s="121">
        <v>0</v>
      </c>
      <c r="AL201" s="121">
        <v>0</v>
      </c>
      <c r="AM201" s="121">
        <v>0</v>
      </c>
      <c r="AN201" s="121">
        <v>0</v>
      </c>
      <c r="AO201" s="121">
        <v>0</v>
      </c>
      <c r="AP201" s="121">
        <v>0</v>
      </c>
      <c r="AQ201" s="121">
        <v>0</v>
      </c>
      <c r="AR201" s="121">
        <v>0</v>
      </c>
      <c r="AS201" s="121">
        <v>0</v>
      </c>
      <c r="AT201" s="121">
        <v>0</v>
      </c>
      <c r="AU201" s="121">
        <v>0</v>
      </c>
      <c r="AV201" s="121">
        <v>0</v>
      </c>
      <c r="AW201" s="121">
        <v>0</v>
      </c>
      <c r="AX201" s="121">
        <v>0</v>
      </c>
      <c r="AY201" s="121">
        <v>0</v>
      </c>
    </row>
    <row r="202" spans="1:51" x14ac:dyDescent="0.2">
      <c r="A202" s="124"/>
      <c r="B202" s="134">
        <v>6</v>
      </c>
      <c r="C202" s="121">
        <v>0</v>
      </c>
      <c r="D202" s="121">
        <v>0</v>
      </c>
      <c r="E202" s="121">
        <v>0</v>
      </c>
      <c r="F202" s="121">
        <v>0</v>
      </c>
      <c r="G202" s="121">
        <v>0</v>
      </c>
      <c r="H202" s="121">
        <v>0</v>
      </c>
      <c r="I202" s="121">
        <v>0</v>
      </c>
      <c r="J202" s="121">
        <v>0</v>
      </c>
      <c r="K202" s="121">
        <v>0</v>
      </c>
      <c r="L202" s="121">
        <v>0</v>
      </c>
      <c r="M202" s="121">
        <v>0</v>
      </c>
      <c r="N202" s="121">
        <v>0</v>
      </c>
      <c r="O202" s="121">
        <v>0</v>
      </c>
      <c r="P202" s="121">
        <v>0</v>
      </c>
      <c r="Q202" s="121">
        <v>0</v>
      </c>
      <c r="R202" s="121">
        <v>0</v>
      </c>
      <c r="S202" s="121">
        <v>0</v>
      </c>
      <c r="T202" s="121">
        <v>0</v>
      </c>
      <c r="U202" s="121">
        <v>0</v>
      </c>
      <c r="V202" s="121">
        <v>0</v>
      </c>
      <c r="W202" s="121">
        <v>0</v>
      </c>
      <c r="X202" s="121">
        <v>0</v>
      </c>
      <c r="Y202" s="121">
        <v>0</v>
      </c>
      <c r="Z202" s="121">
        <v>0</v>
      </c>
      <c r="AA202" s="121">
        <v>0</v>
      </c>
      <c r="AB202" s="121">
        <v>0</v>
      </c>
      <c r="AC202" s="121">
        <v>0</v>
      </c>
      <c r="AD202" s="121">
        <v>0</v>
      </c>
      <c r="AE202" s="121">
        <v>0</v>
      </c>
      <c r="AF202" s="121">
        <v>0</v>
      </c>
      <c r="AG202" s="121">
        <v>0</v>
      </c>
      <c r="AH202" s="121">
        <v>0</v>
      </c>
      <c r="AI202" s="121">
        <v>0</v>
      </c>
      <c r="AJ202" s="121">
        <v>0</v>
      </c>
      <c r="AK202" s="121">
        <v>0</v>
      </c>
      <c r="AL202" s="121">
        <v>0</v>
      </c>
      <c r="AM202" s="121">
        <v>0</v>
      </c>
      <c r="AN202" s="121">
        <v>0</v>
      </c>
      <c r="AO202" s="121">
        <v>0</v>
      </c>
      <c r="AP202" s="121">
        <v>0</v>
      </c>
      <c r="AQ202" s="121">
        <v>0</v>
      </c>
      <c r="AR202" s="121">
        <v>0</v>
      </c>
      <c r="AS202" s="121">
        <v>0</v>
      </c>
      <c r="AT202" s="121">
        <v>0</v>
      </c>
      <c r="AU202" s="121">
        <v>0</v>
      </c>
      <c r="AV202" s="121">
        <v>0</v>
      </c>
      <c r="AW202" s="121">
        <v>0</v>
      </c>
      <c r="AX202" s="121">
        <v>0</v>
      </c>
      <c r="AY202" s="121">
        <v>0</v>
      </c>
    </row>
    <row r="203" spans="1:51" x14ac:dyDescent="0.2">
      <c r="A203" s="124"/>
      <c r="B203" s="141">
        <v>7</v>
      </c>
      <c r="C203" s="121">
        <v>0</v>
      </c>
      <c r="D203" s="121">
        <v>0</v>
      </c>
      <c r="E203" s="121">
        <v>0</v>
      </c>
      <c r="F203" s="121">
        <v>0</v>
      </c>
      <c r="G203" s="121">
        <v>0</v>
      </c>
      <c r="H203" s="121">
        <v>0</v>
      </c>
      <c r="I203" s="121">
        <v>0</v>
      </c>
      <c r="J203" s="121">
        <v>0</v>
      </c>
      <c r="K203" s="121">
        <v>0</v>
      </c>
      <c r="L203" s="121">
        <v>0</v>
      </c>
      <c r="M203" s="121">
        <v>0</v>
      </c>
      <c r="N203" s="121">
        <v>0</v>
      </c>
      <c r="O203" s="121">
        <v>0</v>
      </c>
      <c r="P203" s="121">
        <v>0</v>
      </c>
      <c r="Q203" s="121">
        <v>0</v>
      </c>
      <c r="R203" s="121">
        <v>0</v>
      </c>
      <c r="S203" s="121">
        <v>0</v>
      </c>
      <c r="T203" s="121">
        <v>0</v>
      </c>
      <c r="U203" s="121">
        <v>0</v>
      </c>
      <c r="V203" s="121">
        <v>0</v>
      </c>
      <c r="W203" s="121">
        <v>0</v>
      </c>
      <c r="X203" s="121">
        <v>0</v>
      </c>
      <c r="Y203" s="121">
        <v>0</v>
      </c>
      <c r="Z203" s="121">
        <v>0</v>
      </c>
      <c r="AA203" s="121">
        <v>0</v>
      </c>
      <c r="AB203" s="121">
        <v>0</v>
      </c>
      <c r="AC203" s="121">
        <v>0</v>
      </c>
      <c r="AD203" s="121">
        <v>0</v>
      </c>
      <c r="AE203" s="121">
        <v>0</v>
      </c>
      <c r="AF203" s="121">
        <v>0</v>
      </c>
      <c r="AG203" s="121">
        <v>0</v>
      </c>
      <c r="AH203" s="121">
        <v>0</v>
      </c>
      <c r="AI203" s="121">
        <v>0</v>
      </c>
      <c r="AJ203" s="121">
        <v>0</v>
      </c>
      <c r="AK203" s="121">
        <v>0</v>
      </c>
      <c r="AL203" s="121">
        <v>0</v>
      </c>
      <c r="AM203" s="121">
        <v>0</v>
      </c>
      <c r="AN203" s="121">
        <v>0</v>
      </c>
      <c r="AO203" s="121">
        <v>0</v>
      </c>
      <c r="AP203" s="121">
        <v>0</v>
      </c>
      <c r="AQ203" s="121">
        <v>0</v>
      </c>
      <c r="AR203" s="121">
        <v>0</v>
      </c>
      <c r="AS203" s="121">
        <v>0</v>
      </c>
      <c r="AT203" s="121">
        <v>0</v>
      </c>
      <c r="AU203" s="121">
        <v>0</v>
      </c>
      <c r="AV203" s="121">
        <v>0</v>
      </c>
      <c r="AW203" s="121">
        <v>0</v>
      </c>
      <c r="AX203" s="121">
        <v>0</v>
      </c>
      <c r="AY203" s="121">
        <v>0</v>
      </c>
    </row>
    <row r="204" spans="1:51" x14ac:dyDescent="0.2">
      <c r="A204" s="124"/>
      <c r="B204" s="141">
        <v>8</v>
      </c>
      <c r="C204" s="121">
        <v>0</v>
      </c>
      <c r="D204" s="121">
        <v>0</v>
      </c>
      <c r="E204" s="121">
        <v>0</v>
      </c>
      <c r="F204" s="121">
        <v>0</v>
      </c>
      <c r="G204" s="121">
        <v>0</v>
      </c>
      <c r="H204" s="121">
        <v>0</v>
      </c>
      <c r="I204" s="121">
        <v>0</v>
      </c>
      <c r="J204" s="121">
        <v>0</v>
      </c>
      <c r="K204" s="121">
        <v>0</v>
      </c>
      <c r="L204" s="121">
        <v>0</v>
      </c>
      <c r="M204" s="121">
        <v>0</v>
      </c>
      <c r="N204" s="121">
        <v>0</v>
      </c>
      <c r="O204" s="121">
        <v>0</v>
      </c>
      <c r="P204" s="121">
        <v>0</v>
      </c>
      <c r="Q204" s="121">
        <v>0</v>
      </c>
      <c r="R204" s="121">
        <v>0</v>
      </c>
      <c r="S204" s="121">
        <v>0</v>
      </c>
      <c r="T204" s="121">
        <v>0</v>
      </c>
      <c r="U204" s="121">
        <v>0</v>
      </c>
      <c r="V204" s="121">
        <v>0</v>
      </c>
      <c r="W204" s="121">
        <v>0</v>
      </c>
      <c r="X204" s="121">
        <v>0</v>
      </c>
      <c r="Y204" s="121">
        <v>0</v>
      </c>
      <c r="Z204" s="121">
        <v>0</v>
      </c>
      <c r="AA204" s="121">
        <v>0</v>
      </c>
      <c r="AB204" s="121">
        <v>0</v>
      </c>
      <c r="AC204" s="121">
        <v>0</v>
      </c>
      <c r="AD204" s="121">
        <v>0</v>
      </c>
      <c r="AE204" s="121">
        <v>0</v>
      </c>
      <c r="AF204" s="121">
        <v>0</v>
      </c>
      <c r="AG204" s="121">
        <v>0</v>
      </c>
      <c r="AH204" s="121">
        <v>0</v>
      </c>
      <c r="AI204" s="121">
        <v>0</v>
      </c>
      <c r="AJ204" s="121">
        <v>0</v>
      </c>
      <c r="AK204" s="121">
        <v>0</v>
      </c>
      <c r="AL204" s="121">
        <v>0</v>
      </c>
      <c r="AM204" s="121">
        <v>0</v>
      </c>
      <c r="AN204" s="121">
        <v>0</v>
      </c>
      <c r="AO204" s="121">
        <v>0</v>
      </c>
      <c r="AP204" s="121">
        <v>0</v>
      </c>
      <c r="AQ204" s="121">
        <v>0</v>
      </c>
      <c r="AR204" s="121">
        <v>0</v>
      </c>
      <c r="AS204" s="121">
        <v>0</v>
      </c>
      <c r="AT204" s="121">
        <v>0</v>
      </c>
      <c r="AU204" s="121">
        <v>0</v>
      </c>
      <c r="AV204" s="121">
        <v>0</v>
      </c>
      <c r="AW204" s="121">
        <v>0</v>
      </c>
      <c r="AX204" s="121">
        <v>0</v>
      </c>
      <c r="AY204" s="121">
        <v>0</v>
      </c>
    </row>
    <row r="205" spans="1:51" x14ac:dyDescent="0.2">
      <c r="A205" s="124"/>
      <c r="B205" s="141">
        <v>9</v>
      </c>
      <c r="C205" s="121">
        <v>0</v>
      </c>
      <c r="D205" s="121">
        <v>0</v>
      </c>
      <c r="E205" s="121">
        <v>0</v>
      </c>
      <c r="F205" s="121">
        <v>0</v>
      </c>
      <c r="G205" s="121">
        <v>0</v>
      </c>
      <c r="H205" s="121">
        <v>0</v>
      </c>
      <c r="I205" s="121">
        <v>0</v>
      </c>
      <c r="J205" s="121">
        <v>0</v>
      </c>
      <c r="K205" s="121">
        <v>0</v>
      </c>
      <c r="L205" s="121">
        <v>0</v>
      </c>
      <c r="M205" s="121">
        <v>0</v>
      </c>
      <c r="N205" s="121">
        <v>0</v>
      </c>
      <c r="O205" s="121">
        <v>0</v>
      </c>
      <c r="P205" s="121">
        <v>0</v>
      </c>
      <c r="Q205" s="121">
        <v>0</v>
      </c>
      <c r="R205" s="121">
        <v>0</v>
      </c>
      <c r="S205" s="121">
        <v>0</v>
      </c>
      <c r="T205" s="121">
        <v>0</v>
      </c>
      <c r="U205" s="121">
        <v>0</v>
      </c>
      <c r="V205" s="121">
        <v>0</v>
      </c>
      <c r="W205" s="121">
        <v>0</v>
      </c>
      <c r="X205" s="121">
        <v>0</v>
      </c>
      <c r="Y205" s="121">
        <v>0</v>
      </c>
      <c r="Z205" s="121">
        <v>0</v>
      </c>
      <c r="AA205" s="121">
        <v>0</v>
      </c>
      <c r="AB205" s="121">
        <v>0</v>
      </c>
      <c r="AC205" s="121">
        <v>0</v>
      </c>
      <c r="AD205" s="121">
        <v>0</v>
      </c>
      <c r="AE205" s="121">
        <v>0</v>
      </c>
      <c r="AF205" s="121">
        <v>0</v>
      </c>
      <c r="AG205" s="121">
        <v>0</v>
      </c>
      <c r="AH205" s="121">
        <v>0</v>
      </c>
      <c r="AI205" s="121">
        <v>0</v>
      </c>
      <c r="AJ205" s="121">
        <v>0</v>
      </c>
      <c r="AK205" s="121">
        <v>0</v>
      </c>
      <c r="AL205" s="121">
        <v>0</v>
      </c>
      <c r="AM205" s="121">
        <v>0</v>
      </c>
      <c r="AN205" s="121">
        <v>0</v>
      </c>
      <c r="AO205" s="121">
        <v>0</v>
      </c>
      <c r="AP205" s="121">
        <v>0</v>
      </c>
      <c r="AQ205" s="121">
        <v>0</v>
      </c>
      <c r="AR205" s="121">
        <v>0</v>
      </c>
      <c r="AS205" s="121">
        <v>0</v>
      </c>
      <c r="AT205" s="121">
        <v>0</v>
      </c>
      <c r="AU205" s="121">
        <v>0</v>
      </c>
      <c r="AV205" s="121">
        <v>0</v>
      </c>
      <c r="AW205" s="121">
        <v>0</v>
      </c>
      <c r="AX205" s="121">
        <v>0</v>
      </c>
      <c r="AY205" s="121">
        <v>0</v>
      </c>
    </row>
    <row r="206" spans="1:51" x14ac:dyDescent="0.2">
      <c r="A206" s="124"/>
      <c r="B206" s="144">
        <v>10</v>
      </c>
      <c r="C206" s="121">
        <v>0</v>
      </c>
      <c r="D206" s="121">
        <v>0</v>
      </c>
      <c r="E206" s="121">
        <v>0</v>
      </c>
      <c r="F206" s="121">
        <v>0</v>
      </c>
      <c r="G206" s="121">
        <v>0</v>
      </c>
      <c r="H206" s="121">
        <v>0</v>
      </c>
      <c r="I206" s="121">
        <v>0</v>
      </c>
      <c r="J206" s="121">
        <v>0</v>
      </c>
      <c r="K206" s="121">
        <v>0</v>
      </c>
      <c r="L206" s="121">
        <v>0</v>
      </c>
      <c r="M206" s="121">
        <v>0</v>
      </c>
      <c r="N206" s="121">
        <v>0</v>
      </c>
      <c r="O206" s="121">
        <v>0</v>
      </c>
      <c r="P206" s="121">
        <v>0</v>
      </c>
      <c r="Q206" s="121">
        <v>0</v>
      </c>
      <c r="R206" s="121">
        <v>0</v>
      </c>
      <c r="S206" s="121">
        <v>0</v>
      </c>
      <c r="T206" s="121">
        <v>0</v>
      </c>
      <c r="U206" s="121">
        <v>0</v>
      </c>
      <c r="V206" s="121">
        <v>0</v>
      </c>
      <c r="W206" s="121">
        <v>0</v>
      </c>
      <c r="X206" s="121">
        <v>0</v>
      </c>
      <c r="Y206" s="121">
        <v>0</v>
      </c>
      <c r="Z206" s="121">
        <v>0</v>
      </c>
      <c r="AA206" s="121">
        <v>0</v>
      </c>
      <c r="AB206" s="121">
        <v>0</v>
      </c>
      <c r="AC206" s="121">
        <v>0</v>
      </c>
      <c r="AD206" s="121">
        <v>0</v>
      </c>
      <c r="AE206" s="121">
        <v>0</v>
      </c>
      <c r="AF206" s="121">
        <v>0</v>
      </c>
      <c r="AG206" s="121">
        <v>0</v>
      </c>
      <c r="AH206" s="121">
        <v>0</v>
      </c>
      <c r="AI206" s="121">
        <v>0</v>
      </c>
      <c r="AJ206" s="121">
        <v>0</v>
      </c>
      <c r="AK206" s="121">
        <v>0</v>
      </c>
      <c r="AL206" s="121">
        <v>0</v>
      </c>
      <c r="AM206" s="121">
        <v>0</v>
      </c>
      <c r="AN206" s="121">
        <v>0</v>
      </c>
      <c r="AO206" s="121">
        <v>0</v>
      </c>
      <c r="AP206" s="121">
        <v>0</v>
      </c>
      <c r="AQ206" s="121">
        <v>0</v>
      </c>
      <c r="AR206" s="121">
        <v>0</v>
      </c>
      <c r="AS206" s="121">
        <v>0</v>
      </c>
      <c r="AT206" s="121">
        <v>0</v>
      </c>
      <c r="AU206" s="121">
        <v>0</v>
      </c>
      <c r="AV206" s="121">
        <v>0</v>
      </c>
      <c r="AW206" s="121">
        <v>0</v>
      </c>
      <c r="AX206" s="121">
        <v>0</v>
      </c>
      <c r="AY206" s="121">
        <v>0</v>
      </c>
    </row>
    <row r="207" spans="1:51" x14ac:dyDescent="0.2">
      <c r="A207" s="124"/>
      <c r="B207" s="144">
        <v>11</v>
      </c>
      <c r="C207" s="121">
        <v>0</v>
      </c>
      <c r="D207" s="121">
        <v>0</v>
      </c>
      <c r="E207" s="121">
        <v>0</v>
      </c>
      <c r="F207" s="121">
        <v>0</v>
      </c>
      <c r="G207" s="121">
        <v>0</v>
      </c>
      <c r="H207" s="121">
        <v>0</v>
      </c>
      <c r="I207" s="121">
        <v>0</v>
      </c>
      <c r="J207" s="121">
        <v>0</v>
      </c>
      <c r="K207" s="121">
        <v>0</v>
      </c>
      <c r="L207" s="121">
        <v>0</v>
      </c>
      <c r="M207" s="121">
        <v>0</v>
      </c>
      <c r="N207" s="121">
        <v>0</v>
      </c>
      <c r="O207" s="121">
        <v>0</v>
      </c>
      <c r="P207" s="121">
        <v>0</v>
      </c>
      <c r="Q207" s="121">
        <v>0</v>
      </c>
      <c r="R207" s="121">
        <v>0</v>
      </c>
      <c r="S207" s="121">
        <v>0</v>
      </c>
      <c r="T207" s="121">
        <v>0</v>
      </c>
      <c r="U207" s="121">
        <v>0</v>
      </c>
      <c r="V207" s="121">
        <v>0</v>
      </c>
      <c r="W207" s="121">
        <v>0</v>
      </c>
      <c r="X207" s="121">
        <v>0</v>
      </c>
      <c r="Y207" s="121">
        <v>0</v>
      </c>
      <c r="Z207" s="121">
        <v>0</v>
      </c>
      <c r="AA207" s="121">
        <v>0</v>
      </c>
      <c r="AB207" s="121">
        <v>0</v>
      </c>
      <c r="AC207" s="121">
        <v>0</v>
      </c>
      <c r="AD207" s="121">
        <v>0</v>
      </c>
      <c r="AE207" s="121">
        <v>0</v>
      </c>
      <c r="AF207" s="121">
        <v>0</v>
      </c>
      <c r="AG207" s="121">
        <v>0</v>
      </c>
      <c r="AH207" s="121">
        <v>0</v>
      </c>
      <c r="AI207" s="121">
        <v>0</v>
      </c>
      <c r="AJ207" s="121">
        <v>0</v>
      </c>
      <c r="AK207" s="121">
        <v>0</v>
      </c>
      <c r="AL207" s="121">
        <v>0</v>
      </c>
      <c r="AM207" s="121">
        <v>0</v>
      </c>
      <c r="AN207" s="121">
        <v>0</v>
      </c>
      <c r="AO207" s="121">
        <v>0</v>
      </c>
      <c r="AP207" s="121">
        <v>0</v>
      </c>
      <c r="AQ207" s="121">
        <v>0</v>
      </c>
      <c r="AR207" s="121">
        <v>0</v>
      </c>
      <c r="AS207" s="121">
        <v>0</v>
      </c>
      <c r="AT207" s="121">
        <v>0</v>
      </c>
      <c r="AU207" s="121">
        <v>0</v>
      </c>
      <c r="AV207" s="121">
        <v>0</v>
      </c>
      <c r="AW207" s="121">
        <v>0</v>
      </c>
      <c r="AX207" s="121">
        <v>0</v>
      </c>
      <c r="AY207" s="121">
        <v>0</v>
      </c>
    </row>
    <row r="208" spans="1:51" x14ac:dyDescent="0.2">
      <c r="A208" s="124"/>
      <c r="B208" s="144">
        <v>12</v>
      </c>
      <c r="C208" s="121">
        <v>0</v>
      </c>
      <c r="D208" s="121">
        <v>0</v>
      </c>
      <c r="E208" s="121">
        <v>0</v>
      </c>
      <c r="F208" s="121">
        <v>0</v>
      </c>
      <c r="G208" s="121">
        <v>0</v>
      </c>
      <c r="H208" s="121">
        <v>0</v>
      </c>
      <c r="I208" s="121">
        <v>0</v>
      </c>
      <c r="J208" s="121">
        <v>0</v>
      </c>
      <c r="K208" s="121">
        <v>0</v>
      </c>
      <c r="L208" s="121">
        <v>0</v>
      </c>
      <c r="M208" s="121">
        <v>0</v>
      </c>
      <c r="N208" s="121">
        <v>0</v>
      </c>
      <c r="O208" s="121">
        <v>0</v>
      </c>
      <c r="P208" s="121">
        <v>0</v>
      </c>
      <c r="Q208" s="121">
        <v>0</v>
      </c>
      <c r="R208" s="121">
        <v>0</v>
      </c>
      <c r="S208" s="121">
        <v>0</v>
      </c>
      <c r="T208" s="121">
        <v>0</v>
      </c>
      <c r="U208" s="121">
        <v>0</v>
      </c>
      <c r="V208" s="121">
        <v>0</v>
      </c>
      <c r="W208" s="121">
        <v>0</v>
      </c>
      <c r="X208" s="121">
        <v>0</v>
      </c>
      <c r="Y208" s="121">
        <v>0</v>
      </c>
      <c r="Z208" s="121">
        <v>0</v>
      </c>
      <c r="AA208" s="121">
        <v>0</v>
      </c>
      <c r="AB208" s="121">
        <v>0</v>
      </c>
      <c r="AC208" s="121">
        <v>0</v>
      </c>
      <c r="AD208" s="121">
        <v>0</v>
      </c>
      <c r="AE208" s="121">
        <v>0</v>
      </c>
      <c r="AF208" s="121">
        <v>0</v>
      </c>
      <c r="AG208" s="121">
        <v>0</v>
      </c>
      <c r="AH208" s="121">
        <v>0</v>
      </c>
      <c r="AI208" s="121">
        <v>0</v>
      </c>
      <c r="AJ208" s="121">
        <v>0</v>
      </c>
      <c r="AK208" s="121">
        <v>0</v>
      </c>
      <c r="AL208" s="121">
        <v>0</v>
      </c>
      <c r="AM208" s="121">
        <v>0</v>
      </c>
      <c r="AN208" s="121">
        <v>0</v>
      </c>
      <c r="AO208" s="121">
        <v>0</v>
      </c>
      <c r="AP208" s="121">
        <v>0</v>
      </c>
      <c r="AQ208" s="121">
        <v>0</v>
      </c>
      <c r="AR208" s="121">
        <v>0</v>
      </c>
      <c r="AS208" s="121">
        <v>0</v>
      </c>
      <c r="AT208" s="121">
        <v>0</v>
      </c>
      <c r="AU208" s="121">
        <v>0</v>
      </c>
      <c r="AV208" s="121">
        <v>0</v>
      </c>
      <c r="AW208" s="121">
        <v>0</v>
      </c>
      <c r="AX208" s="121">
        <v>0</v>
      </c>
      <c r="AY208" s="121">
        <v>0</v>
      </c>
    </row>
    <row r="209" spans="1:51" x14ac:dyDescent="0.2">
      <c r="A209" s="140" t="s">
        <v>123</v>
      </c>
      <c r="B209" s="137">
        <v>1</v>
      </c>
      <c r="C209" s="138">
        <v>122.90194380546893</v>
      </c>
      <c r="D209" s="138">
        <v>463.36382284084272</v>
      </c>
      <c r="E209" s="138">
        <v>463.36382284084272</v>
      </c>
      <c r="F209" s="138">
        <v>463.36382284084272</v>
      </c>
      <c r="G209" s="138">
        <v>463.36382284084272</v>
      </c>
      <c r="H209" s="138">
        <v>355</v>
      </c>
      <c r="I209" s="138">
        <v>305.66206888414058</v>
      </c>
      <c r="J209" s="138">
        <v>198.38169969071987</v>
      </c>
      <c r="K209" s="138">
        <v>179.01314066579158</v>
      </c>
      <c r="L209" s="138">
        <v>463.36382284084254</v>
      </c>
      <c r="M209" s="138">
        <v>463.36382284084254</v>
      </c>
      <c r="N209" s="138">
        <v>463.36382284084254</v>
      </c>
      <c r="O209" s="138">
        <v>463.36382284084254</v>
      </c>
      <c r="P209" s="138">
        <v>368</v>
      </c>
      <c r="Q209" s="138">
        <v>433.86454027765598</v>
      </c>
      <c r="R209" s="138">
        <v>439.91556004456663</v>
      </c>
      <c r="S209" s="138">
        <v>463.36382284084254</v>
      </c>
      <c r="T209" s="138">
        <v>463.36382284084254</v>
      </c>
      <c r="U209" s="138">
        <v>463.36382284084254</v>
      </c>
      <c r="V209" s="138">
        <v>463.36382284084254</v>
      </c>
      <c r="W209" s="138">
        <v>463.36382284084254</v>
      </c>
      <c r="X209" s="138">
        <v>463.36382284084254</v>
      </c>
      <c r="Y209" s="138">
        <v>463.36382284084254</v>
      </c>
      <c r="Z209" s="138">
        <v>463.36382284084254</v>
      </c>
      <c r="AA209" s="138">
        <v>463.36382284084254</v>
      </c>
      <c r="AB209" s="138">
        <v>463.36382284084254</v>
      </c>
      <c r="AC209" s="138">
        <v>463.36382284084254</v>
      </c>
      <c r="AD209" s="138">
        <v>463.36382284084254</v>
      </c>
      <c r="AE209" s="138">
        <v>463.36382284084254</v>
      </c>
      <c r="AF209" s="138">
        <v>463.36382284084254</v>
      </c>
      <c r="AG209" s="138">
        <v>463.36382284084254</v>
      </c>
      <c r="AH209" s="138">
        <v>463.36382284084254</v>
      </c>
      <c r="AI209" s="138">
        <v>463.36382284084254</v>
      </c>
      <c r="AJ209" s="138">
        <v>463.36382284084254</v>
      </c>
      <c r="AK209" s="138">
        <v>463.36382284084254</v>
      </c>
      <c r="AL209" s="138">
        <v>463.36382284084254</v>
      </c>
      <c r="AM209" s="138">
        <v>463.36382284084254</v>
      </c>
      <c r="AN209" s="138">
        <v>456.85941568914097</v>
      </c>
      <c r="AO209" s="138">
        <v>463.36382284084254</v>
      </c>
      <c r="AP209" s="138">
        <v>391.36666737682822</v>
      </c>
      <c r="AQ209" s="138">
        <v>391.91562656139763</v>
      </c>
      <c r="AR209" s="138">
        <v>410.75305299457756</v>
      </c>
      <c r="AS209" s="138">
        <v>368.48698979875002</v>
      </c>
      <c r="AT209" s="138">
        <v>331.82659394342022</v>
      </c>
      <c r="AU209" s="138">
        <v>336.07163852927181</v>
      </c>
      <c r="AV209" s="138">
        <v>463.36382284084254</v>
      </c>
      <c r="AW209" s="138">
        <v>463.36382284084254</v>
      </c>
      <c r="AX209" s="138">
        <v>463.36382284084254</v>
      </c>
      <c r="AY209" s="138">
        <v>463.36382284084254</v>
      </c>
    </row>
    <row r="210" spans="1:51" x14ac:dyDescent="0.2">
      <c r="A210" s="124"/>
      <c r="B210" s="133">
        <v>2</v>
      </c>
      <c r="C210" s="121">
        <v>8.4390405036852764E-15</v>
      </c>
      <c r="D210" s="125">
        <v>9.0669381380395183E-15</v>
      </c>
      <c r="E210" s="125">
        <v>0</v>
      </c>
      <c r="F210" s="125">
        <v>0</v>
      </c>
      <c r="G210" s="125">
        <v>0</v>
      </c>
      <c r="H210" s="125">
        <v>0</v>
      </c>
      <c r="I210" s="125">
        <v>69.139266975148047</v>
      </c>
      <c r="J210" s="125">
        <v>100.61830030928014</v>
      </c>
      <c r="K210" s="125">
        <v>169.0662923827083</v>
      </c>
      <c r="L210" s="125">
        <v>181.42399570326438</v>
      </c>
      <c r="M210" s="125">
        <v>0</v>
      </c>
      <c r="N210" s="125">
        <v>0</v>
      </c>
      <c r="O210" s="125">
        <v>0</v>
      </c>
      <c r="P210" s="125">
        <v>0</v>
      </c>
      <c r="Q210" s="125">
        <v>60.844889321112746</v>
      </c>
      <c r="R210" s="125">
        <v>18.821399238628299</v>
      </c>
      <c r="S210" s="125">
        <v>14.960672843336788</v>
      </c>
      <c r="T210" s="125">
        <v>0</v>
      </c>
      <c r="U210" s="125">
        <v>0</v>
      </c>
      <c r="V210" s="125">
        <v>0</v>
      </c>
      <c r="W210" s="125">
        <v>0</v>
      </c>
      <c r="X210" s="125">
        <v>0</v>
      </c>
      <c r="Y210" s="125">
        <v>0</v>
      </c>
      <c r="Z210" s="125">
        <v>0</v>
      </c>
      <c r="AA210" s="125">
        <v>0</v>
      </c>
      <c r="AB210" s="125">
        <v>0</v>
      </c>
      <c r="AC210" s="125">
        <v>0</v>
      </c>
      <c r="AD210" s="125">
        <v>0</v>
      </c>
      <c r="AE210" s="125">
        <v>0</v>
      </c>
      <c r="AF210" s="125">
        <v>0</v>
      </c>
      <c r="AG210" s="125">
        <v>0</v>
      </c>
      <c r="AH210" s="125">
        <v>0</v>
      </c>
      <c r="AI210" s="125">
        <v>0</v>
      </c>
      <c r="AJ210" s="125">
        <v>0</v>
      </c>
      <c r="AK210" s="125">
        <v>0</v>
      </c>
      <c r="AL210" s="125">
        <v>0</v>
      </c>
      <c r="AM210" s="125">
        <v>0</v>
      </c>
      <c r="AN210" s="125">
        <v>0</v>
      </c>
      <c r="AO210" s="125">
        <v>4.1500007178323779</v>
      </c>
      <c r="AP210" s="125">
        <v>0</v>
      </c>
      <c r="AQ210" s="125">
        <v>45.936276725755846</v>
      </c>
      <c r="AR210" s="125">
        <v>45.586024818565853</v>
      </c>
      <c r="AS210" s="125">
        <v>33.567199521111888</v>
      </c>
      <c r="AT210" s="125">
        <v>60.534175682305417</v>
      </c>
      <c r="AU210" s="125">
        <v>83.924573233885098</v>
      </c>
      <c r="AV210" s="125">
        <v>81.216111468248869</v>
      </c>
      <c r="AW210" s="125">
        <v>0</v>
      </c>
      <c r="AX210" s="125">
        <v>0</v>
      </c>
      <c r="AY210" s="125">
        <v>0</v>
      </c>
    </row>
    <row r="211" spans="1:51" x14ac:dyDescent="0.2">
      <c r="A211" s="124"/>
      <c r="B211" s="133">
        <v>3</v>
      </c>
      <c r="C211" s="121">
        <v>0</v>
      </c>
      <c r="D211" s="125">
        <v>0</v>
      </c>
      <c r="E211" s="125">
        <v>0</v>
      </c>
      <c r="F211" s="125">
        <v>0</v>
      </c>
      <c r="G211" s="125">
        <v>0</v>
      </c>
      <c r="H211" s="125">
        <v>0</v>
      </c>
      <c r="I211" s="125">
        <v>0</v>
      </c>
      <c r="J211" s="125">
        <v>0</v>
      </c>
      <c r="K211" s="125">
        <v>0</v>
      </c>
      <c r="L211" s="125">
        <v>0</v>
      </c>
      <c r="M211" s="125">
        <v>0</v>
      </c>
      <c r="N211" s="125">
        <v>0</v>
      </c>
      <c r="O211" s="125">
        <v>0</v>
      </c>
      <c r="P211" s="125">
        <v>0</v>
      </c>
      <c r="Q211" s="125">
        <v>0</v>
      </c>
      <c r="R211" s="125">
        <v>0</v>
      </c>
      <c r="S211" s="125">
        <v>0</v>
      </c>
      <c r="T211" s="125">
        <v>0</v>
      </c>
      <c r="U211" s="125">
        <v>0</v>
      </c>
      <c r="V211" s="125">
        <v>0</v>
      </c>
      <c r="W211" s="125">
        <v>0</v>
      </c>
      <c r="X211" s="125">
        <v>0</v>
      </c>
      <c r="Y211" s="125">
        <v>0</v>
      </c>
      <c r="Z211" s="125">
        <v>0</v>
      </c>
      <c r="AA211" s="125">
        <v>0</v>
      </c>
      <c r="AB211" s="125">
        <v>0</v>
      </c>
      <c r="AC211" s="125">
        <v>0</v>
      </c>
      <c r="AD211" s="125">
        <v>0</v>
      </c>
      <c r="AE211" s="125">
        <v>0</v>
      </c>
      <c r="AF211" s="125">
        <v>0</v>
      </c>
      <c r="AG211" s="125">
        <v>0</v>
      </c>
      <c r="AH211" s="125">
        <v>0</v>
      </c>
      <c r="AI211" s="125">
        <v>0</v>
      </c>
      <c r="AJ211" s="125">
        <v>0</v>
      </c>
      <c r="AK211" s="125">
        <v>0</v>
      </c>
      <c r="AL211" s="125">
        <v>0</v>
      </c>
      <c r="AM211" s="125">
        <v>0</v>
      </c>
      <c r="AN211" s="125">
        <v>0</v>
      </c>
      <c r="AO211" s="125">
        <v>0</v>
      </c>
      <c r="AP211" s="125">
        <v>0</v>
      </c>
      <c r="AQ211" s="125">
        <v>0</v>
      </c>
      <c r="AR211" s="125">
        <v>0</v>
      </c>
      <c r="AS211" s="125">
        <v>0</v>
      </c>
      <c r="AT211" s="125">
        <v>0</v>
      </c>
      <c r="AU211" s="125">
        <v>0</v>
      </c>
      <c r="AV211" s="125">
        <v>0</v>
      </c>
      <c r="AW211" s="125">
        <v>0</v>
      </c>
      <c r="AX211" s="125">
        <v>0</v>
      </c>
      <c r="AY211" s="125">
        <v>0</v>
      </c>
    </row>
    <row r="212" spans="1:51" x14ac:dyDescent="0.2">
      <c r="A212" s="124"/>
      <c r="B212" s="133">
        <v>4</v>
      </c>
      <c r="C212" s="121">
        <v>0</v>
      </c>
      <c r="D212" s="125">
        <v>0</v>
      </c>
      <c r="E212" s="125">
        <v>0</v>
      </c>
      <c r="F212" s="125">
        <v>0</v>
      </c>
      <c r="G212" s="125">
        <v>0</v>
      </c>
      <c r="H212" s="125">
        <v>0</v>
      </c>
      <c r="I212" s="125">
        <v>0</v>
      </c>
      <c r="J212" s="125">
        <v>0</v>
      </c>
      <c r="K212" s="125">
        <v>0</v>
      </c>
      <c r="L212" s="125">
        <v>0</v>
      </c>
      <c r="M212" s="125">
        <v>0</v>
      </c>
      <c r="N212" s="125">
        <v>0</v>
      </c>
      <c r="O212" s="125">
        <v>0</v>
      </c>
      <c r="P212" s="125">
        <v>0</v>
      </c>
      <c r="Q212" s="125">
        <v>0</v>
      </c>
      <c r="R212" s="125">
        <v>0</v>
      </c>
      <c r="S212" s="125">
        <v>0</v>
      </c>
      <c r="T212" s="125">
        <v>0</v>
      </c>
      <c r="U212" s="125">
        <v>0</v>
      </c>
      <c r="V212" s="125">
        <v>0</v>
      </c>
      <c r="W212" s="125">
        <v>0</v>
      </c>
      <c r="X212" s="125">
        <v>0</v>
      </c>
      <c r="Y212" s="125">
        <v>0</v>
      </c>
      <c r="Z212" s="125">
        <v>0</v>
      </c>
      <c r="AA212" s="125">
        <v>0</v>
      </c>
      <c r="AB212" s="125">
        <v>0</v>
      </c>
      <c r="AC212" s="125">
        <v>0</v>
      </c>
      <c r="AD212" s="125">
        <v>0</v>
      </c>
      <c r="AE212" s="125">
        <v>0</v>
      </c>
      <c r="AF212" s="125">
        <v>0</v>
      </c>
      <c r="AG212" s="125">
        <v>0</v>
      </c>
      <c r="AH212" s="125">
        <v>0</v>
      </c>
      <c r="AI212" s="125">
        <v>0</v>
      </c>
      <c r="AJ212" s="125">
        <v>0</v>
      </c>
      <c r="AK212" s="125">
        <v>0</v>
      </c>
      <c r="AL212" s="125">
        <v>0</v>
      </c>
      <c r="AM212" s="125">
        <v>0</v>
      </c>
      <c r="AN212" s="125">
        <v>0</v>
      </c>
      <c r="AO212" s="125">
        <v>0</v>
      </c>
      <c r="AP212" s="125">
        <v>0</v>
      </c>
      <c r="AQ212" s="125">
        <v>0</v>
      </c>
      <c r="AR212" s="125">
        <v>0</v>
      </c>
      <c r="AS212" s="125">
        <v>0</v>
      </c>
      <c r="AT212" s="125">
        <v>0</v>
      </c>
      <c r="AU212" s="125">
        <v>0</v>
      </c>
      <c r="AV212" s="125">
        <v>0</v>
      </c>
      <c r="AW212" s="125">
        <v>0</v>
      </c>
      <c r="AX212" s="125">
        <v>0</v>
      </c>
      <c r="AY212" s="125">
        <v>0</v>
      </c>
    </row>
    <row r="213" spans="1:51" x14ac:dyDescent="0.2">
      <c r="A213" s="124"/>
      <c r="B213" s="133">
        <v>5</v>
      </c>
      <c r="C213" s="121">
        <v>0</v>
      </c>
      <c r="D213" s="125">
        <v>0</v>
      </c>
      <c r="E213" s="125">
        <v>0</v>
      </c>
      <c r="F213" s="125">
        <v>0</v>
      </c>
      <c r="G213" s="125">
        <v>0</v>
      </c>
      <c r="H213" s="125">
        <v>0</v>
      </c>
      <c r="I213" s="125">
        <v>0</v>
      </c>
      <c r="J213" s="125">
        <v>0</v>
      </c>
      <c r="K213" s="125">
        <v>0</v>
      </c>
      <c r="L213" s="125">
        <v>0</v>
      </c>
      <c r="M213" s="125">
        <v>0</v>
      </c>
      <c r="N213" s="125">
        <v>0</v>
      </c>
      <c r="O213" s="125">
        <v>0</v>
      </c>
      <c r="P213" s="125">
        <v>0</v>
      </c>
      <c r="Q213" s="125">
        <v>0</v>
      </c>
      <c r="R213" s="125">
        <v>0</v>
      </c>
      <c r="S213" s="125">
        <v>0</v>
      </c>
      <c r="T213" s="125">
        <v>0</v>
      </c>
      <c r="U213" s="125">
        <v>0</v>
      </c>
      <c r="V213" s="125">
        <v>0</v>
      </c>
      <c r="W213" s="125">
        <v>0</v>
      </c>
      <c r="X213" s="125">
        <v>0</v>
      </c>
      <c r="Y213" s="125">
        <v>0</v>
      </c>
      <c r="Z213" s="125">
        <v>0</v>
      </c>
      <c r="AA213" s="125">
        <v>0</v>
      </c>
      <c r="AB213" s="125">
        <v>0</v>
      </c>
      <c r="AC213" s="125">
        <v>0</v>
      </c>
      <c r="AD213" s="125">
        <v>0</v>
      </c>
      <c r="AE213" s="125">
        <v>0</v>
      </c>
      <c r="AF213" s="125">
        <v>0</v>
      </c>
      <c r="AG213" s="125">
        <v>0</v>
      </c>
      <c r="AH213" s="125">
        <v>0</v>
      </c>
      <c r="AI213" s="125">
        <v>0</v>
      </c>
      <c r="AJ213" s="125">
        <v>0</v>
      </c>
      <c r="AK213" s="125">
        <v>0</v>
      </c>
      <c r="AL213" s="125">
        <v>0</v>
      </c>
      <c r="AM213" s="125">
        <v>0</v>
      </c>
      <c r="AN213" s="125">
        <v>0</v>
      </c>
      <c r="AO213" s="125">
        <v>0</v>
      </c>
      <c r="AP213" s="125">
        <v>0</v>
      </c>
      <c r="AQ213" s="125">
        <v>0</v>
      </c>
      <c r="AR213" s="125">
        <v>0</v>
      </c>
      <c r="AS213" s="125">
        <v>0</v>
      </c>
      <c r="AT213" s="125">
        <v>0</v>
      </c>
      <c r="AU213" s="125">
        <v>0</v>
      </c>
      <c r="AV213" s="125">
        <v>0</v>
      </c>
      <c r="AW213" s="125">
        <v>0</v>
      </c>
      <c r="AX213" s="125">
        <v>0</v>
      </c>
      <c r="AY213" s="125">
        <v>0</v>
      </c>
    </row>
    <row r="214" spans="1:51" x14ac:dyDescent="0.2">
      <c r="A214" s="124"/>
      <c r="B214" s="133">
        <v>6</v>
      </c>
      <c r="C214" s="121">
        <v>0</v>
      </c>
      <c r="D214" s="125">
        <v>0</v>
      </c>
      <c r="E214" s="125">
        <v>0</v>
      </c>
      <c r="F214" s="125">
        <v>0</v>
      </c>
      <c r="G214" s="125">
        <v>0</v>
      </c>
      <c r="H214" s="125">
        <v>0</v>
      </c>
      <c r="I214" s="125">
        <v>0</v>
      </c>
      <c r="J214" s="125">
        <v>0</v>
      </c>
      <c r="K214" s="125">
        <v>0</v>
      </c>
      <c r="L214" s="125">
        <v>0</v>
      </c>
      <c r="M214" s="125">
        <v>0</v>
      </c>
      <c r="N214" s="125">
        <v>0</v>
      </c>
      <c r="O214" s="125">
        <v>0</v>
      </c>
      <c r="P214" s="125">
        <v>0</v>
      </c>
      <c r="Q214" s="125">
        <v>0</v>
      </c>
      <c r="R214" s="125">
        <v>0</v>
      </c>
      <c r="S214" s="125">
        <v>0</v>
      </c>
      <c r="T214" s="125">
        <v>0</v>
      </c>
      <c r="U214" s="125">
        <v>0</v>
      </c>
      <c r="V214" s="125">
        <v>0</v>
      </c>
      <c r="W214" s="125">
        <v>0</v>
      </c>
      <c r="X214" s="125">
        <v>0</v>
      </c>
      <c r="Y214" s="125">
        <v>0</v>
      </c>
      <c r="Z214" s="125">
        <v>0</v>
      </c>
      <c r="AA214" s="125">
        <v>0</v>
      </c>
      <c r="AB214" s="125">
        <v>0</v>
      </c>
      <c r="AC214" s="125">
        <v>0</v>
      </c>
      <c r="AD214" s="125">
        <v>0</v>
      </c>
      <c r="AE214" s="125">
        <v>0</v>
      </c>
      <c r="AF214" s="125">
        <v>0</v>
      </c>
      <c r="AG214" s="125">
        <v>0</v>
      </c>
      <c r="AH214" s="125">
        <v>0</v>
      </c>
      <c r="AI214" s="125">
        <v>0</v>
      </c>
      <c r="AJ214" s="125">
        <v>0</v>
      </c>
      <c r="AK214" s="125">
        <v>0</v>
      </c>
      <c r="AL214" s="125">
        <v>0</v>
      </c>
      <c r="AM214" s="125">
        <v>0</v>
      </c>
      <c r="AN214" s="125">
        <v>0</v>
      </c>
      <c r="AO214" s="125">
        <v>0</v>
      </c>
      <c r="AP214" s="125">
        <v>0</v>
      </c>
      <c r="AQ214" s="125">
        <v>0</v>
      </c>
      <c r="AR214" s="125">
        <v>0</v>
      </c>
      <c r="AS214" s="125">
        <v>0</v>
      </c>
      <c r="AT214" s="125">
        <v>0</v>
      </c>
      <c r="AU214" s="125">
        <v>0</v>
      </c>
      <c r="AV214" s="125">
        <v>0</v>
      </c>
      <c r="AW214" s="125">
        <v>0</v>
      </c>
      <c r="AX214" s="125">
        <v>0</v>
      </c>
      <c r="AY214" s="125">
        <v>0</v>
      </c>
    </row>
    <row r="215" spans="1:51" x14ac:dyDescent="0.2">
      <c r="A215" s="124"/>
      <c r="B215" s="133">
        <v>7</v>
      </c>
      <c r="C215" s="121">
        <v>0</v>
      </c>
      <c r="D215" s="125">
        <v>0</v>
      </c>
      <c r="E215" s="125">
        <v>0</v>
      </c>
      <c r="F215" s="125">
        <v>0</v>
      </c>
      <c r="G215" s="125">
        <v>0</v>
      </c>
      <c r="H215" s="125">
        <v>0</v>
      </c>
      <c r="I215" s="125">
        <v>0</v>
      </c>
      <c r="J215" s="125">
        <v>0</v>
      </c>
      <c r="K215" s="125">
        <v>0</v>
      </c>
      <c r="L215" s="125">
        <v>0</v>
      </c>
      <c r="M215" s="125">
        <v>0</v>
      </c>
      <c r="N215" s="125">
        <v>0</v>
      </c>
      <c r="O215" s="125">
        <v>0</v>
      </c>
      <c r="P215" s="125">
        <v>0</v>
      </c>
      <c r="Q215" s="125">
        <v>0</v>
      </c>
      <c r="R215" s="125">
        <v>0</v>
      </c>
      <c r="S215" s="125">
        <v>0</v>
      </c>
      <c r="T215" s="125">
        <v>0</v>
      </c>
      <c r="U215" s="125">
        <v>0</v>
      </c>
      <c r="V215" s="125">
        <v>0</v>
      </c>
      <c r="W215" s="125">
        <v>0</v>
      </c>
      <c r="X215" s="125">
        <v>0</v>
      </c>
      <c r="Y215" s="125">
        <v>0</v>
      </c>
      <c r="Z215" s="125">
        <v>0</v>
      </c>
      <c r="AA215" s="125">
        <v>0</v>
      </c>
      <c r="AB215" s="125">
        <v>0</v>
      </c>
      <c r="AC215" s="125">
        <v>0</v>
      </c>
      <c r="AD215" s="125">
        <v>0</v>
      </c>
      <c r="AE215" s="125">
        <v>0</v>
      </c>
      <c r="AF215" s="125">
        <v>0</v>
      </c>
      <c r="AG215" s="125">
        <v>0</v>
      </c>
      <c r="AH215" s="125">
        <v>0</v>
      </c>
      <c r="AI215" s="125">
        <v>0</v>
      </c>
      <c r="AJ215" s="125">
        <v>0</v>
      </c>
      <c r="AK215" s="125">
        <v>0</v>
      </c>
      <c r="AL215" s="125">
        <v>0</v>
      </c>
      <c r="AM215" s="125">
        <v>0</v>
      </c>
      <c r="AN215" s="125">
        <v>0</v>
      </c>
      <c r="AO215" s="125">
        <v>0</v>
      </c>
      <c r="AP215" s="125">
        <v>0</v>
      </c>
      <c r="AQ215" s="125">
        <v>0</v>
      </c>
      <c r="AR215" s="125">
        <v>0</v>
      </c>
      <c r="AS215" s="125">
        <v>0</v>
      </c>
      <c r="AT215" s="125">
        <v>0</v>
      </c>
      <c r="AU215" s="125">
        <v>0</v>
      </c>
      <c r="AV215" s="125">
        <v>0</v>
      </c>
      <c r="AW215" s="125">
        <v>0</v>
      </c>
      <c r="AX215" s="125">
        <v>0</v>
      </c>
      <c r="AY215" s="125">
        <v>0</v>
      </c>
    </row>
    <row r="216" spans="1:51" x14ac:dyDescent="0.2">
      <c r="A216" s="124"/>
      <c r="B216" s="133">
        <v>8</v>
      </c>
      <c r="C216" s="121">
        <v>0</v>
      </c>
      <c r="D216" s="125">
        <v>0</v>
      </c>
      <c r="E216" s="125">
        <v>0</v>
      </c>
      <c r="F216" s="125">
        <v>0</v>
      </c>
      <c r="G216" s="125">
        <v>0</v>
      </c>
      <c r="H216" s="125">
        <v>0</v>
      </c>
      <c r="I216" s="125">
        <v>0</v>
      </c>
      <c r="J216" s="125">
        <v>0</v>
      </c>
      <c r="K216" s="125">
        <v>0</v>
      </c>
      <c r="L216" s="125">
        <v>0</v>
      </c>
      <c r="M216" s="125">
        <v>0</v>
      </c>
      <c r="N216" s="125">
        <v>0</v>
      </c>
      <c r="O216" s="125">
        <v>0</v>
      </c>
      <c r="P216" s="125">
        <v>0</v>
      </c>
      <c r="Q216" s="125">
        <v>0</v>
      </c>
      <c r="R216" s="125">
        <v>0</v>
      </c>
      <c r="S216" s="125">
        <v>0</v>
      </c>
      <c r="T216" s="125">
        <v>0</v>
      </c>
      <c r="U216" s="125">
        <v>0</v>
      </c>
      <c r="V216" s="125">
        <v>0</v>
      </c>
      <c r="W216" s="125">
        <v>0</v>
      </c>
      <c r="X216" s="125">
        <v>0</v>
      </c>
      <c r="Y216" s="125">
        <v>0</v>
      </c>
      <c r="Z216" s="125">
        <v>0</v>
      </c>
      <c r="AA216" s="125">
        <v>0</v>
      </c>
      <c r="AB216" s="125">
        <v>0</v>
      </c>
      <c r="AC216" s="125">
        <v>0</v>
      </c>
      <c r="AD216" s="125">
        <v>0</v>
      </c>
      <c r="AE216" s="125">
        <v>0</v>
      </c>
      <c r="AF216" s="125">
        <v>0</v>
      </c>
      <c r="AG216" s="125">
        <v>0</v>
      </c>
      <c r="AH216" s="125">
        <v>0</v>
      </c>
      <c r="AI216" s="125">
        <v>0</v>
      </c>
      <c r="AJ216" s="125">
        <v>0</v>
      </c>
      <c r="AK216" s="125">
        <v>0</v>
      </c>
      <c r="AL216" s="125">
        <v>0</v>
      </c>
      <c r="AM216" s="125">
        <v>0</v>
      </c>
      <c r="AN216" s="125">
        <v>0</v>
      </c>
      <c r="AO216" s="125">
        <v>0</v>
      </c>
      <c r="AP216" s="125">
        <v>0</v>
      </c>
      <c r="AQ216" s="125">
        <v>0</v>
      </c>
      <c r="AR216" s="125">
        <v>0</v>
      </c>
      <c r="AS216" s="125">
        <v>0</v>
      </c>
      <c r="AT216" s="125">
        <v>0</v>
      </c>
      <c r="AU216" s="125">
        <v>0</v>
      </c>
      <c r="AV216" s="125">
        <v>0</v>
      </c>
      <c r="AW216" s="125">
        <v>0</v>
      </c>
      <c r="AX216" s="125">
        <v>0</v>
      </c>
      <c r="AY216" s="125">
        <v>0</v>
      </c>
    </row>
    <row r="217" spans="1:51" x14ac:dyDescent="0.2">
      <c r="A217" s="124"/>
      <c r="B217" s="133">
        <v>9</v>
      </c>
      <c r="C217" s="121">
        <v>0</v>
      </c>
      <c r="D217" s="125">
        <v>0</v>
      </c>
      <c r="E217" s="125">
        <v>0</v>
      </c>
      <c r="F217" s="125">
        <v>0</v>
      </c>
      <c r="G217" s="125">
        <v>0</v>
      </c>
      <c r="H217" s="125">
        <v>0</v>
      </c>
      <c r="I217" s="125">
        <v>0</v>
      </c>
      <c r="J217" s="125">
        <v>0</v>
      </c>
      <c r="K217" s="125">
        <v>0</v>
      </c>
      <c r="L217" s="125">
        <v>0</v>
      </c>
      <c r="M217" s="125">
        <v>0</v>
      </c>
      <c r="N217" s="125">
        <v>0</v>
      </c>
      <c r="O217" s="125">
        <v>0</v>
      </c>
      <c r="P217" s="125">
        <v>0</v>
      </c>
      <c r="Q217" s="125">
        <v>0</v>
      </c>
      <c r="R217" s="125">
        <v>0</v>
      </c>
      <c r="S217" s="125">
        <v>0</v>
      </c>
      <c r="T217" s="125">
        <v>0</v>
      </c>
      <c r="U217" s="125">
        <v>0</v>
      </c>
      <c r="V217" s="125">
        <v>0</v>
      </c>
      <c r="W217" s="125">
        <v>0</v>
      </c>
      <c r="X217" s="125">
        <v>0</v>
      </c>
      <c r="Y217" s="125">
        <v>0</v>
      </c>
      <c r="Z217" s="125">
        <v>0</v>
      </c>
      <c r="AA217" s="125">
        <v>0</v>
      </c>
      <c r="AB217" s="125">
        <v>0</v>
      </c>
      <c r="AC217" s="125">
        <v>0</v>
      </c>
      <c r="AD217" s="125">
        <v>0</v>
      </c>
      <c r="AE217" s="125">
        <v>0</v>
      </c>
      <c r="AF217" s="125">
        <v>0</v>
      </c>
      <c r="AG217" s="125">
        <v>0</v>
      </c>
      <c r="AH217" s="125">
        <v>0</v>
      </c>
      <c r="AI217" s="125">
        <v>0</v>
      </c>
      <c r="AJ217" s="125">
        <v>0</v>
      </c>
      <c r="AK217" s="125">
        <v>0</v>
      </c>
      <c r="AL217" s="125">
        <v>0</v>
      </c>
      <c r="AM217" s="125">
        <v>0</v>
      </c>
      <c r="AN217" s="125">
        <v>0</v>
      </c>
      <c r="AO217" s="125">
        <v>0</v>
      </c>
      <c r="AP217" s="125">
        <v>0</v>
      </c>
      <c r="AQ217" s="125">
        <v>0</v>
      </c>
      <c r="AR217" s="125">
        <v>0</v>
      </c>
      <c r="AS217" s="125">
        <v>0</v>
      </c>
      <c r="AT217" s="125">
        <v>0</v>
      </c>
      <c r="AU217" s="125">
        <v>0</v>
      </c>
      <c r="AV217" s="125">
        <v>0</v>
      </c>
      <c r="AW217" s="125">
        <v>0</v>
      </c>
      <c r="AX217" s="125">
        <v>0</v>
      </c>
      <c r="AY217" s="125">
        <v>0</v>
      </c>
    </row>
    <row r="218" spans="1:51" x14ac:dyDescent="0.2">
      <c r="A218" s="124"/>
      <c r="B218" s="133">
        <v>10</v>
      </c>
      <c r="C218" s="121">
        <v>0</v>
      </c>
      <c r="D218" s="125">
        <v>0</v>
      </c>
      <c r="E218" s="125">
        <v>0</v>
      </c>
      <c r="F218" s="125">
        <v>0</v>
      </c>
      <c r="G218" s="125">
        <v>0</v>
      </c>
      <c r="H218" s="125">
        <v>0</v>
      </c>
      <c r="I218" s="125">
        <v>0</v>
      </c>
      <c r="J218" s="125">
        <v>0</v>
      </c>
      <c r="K218" s="125">
        <v>0</v>
      </c>
      <c r="L218" s="125">
        <v>0</v>
      </c>
      <c r="M218" s="125">
        <v>0</v>
      </c>
      <c r="N218" s="125">
        <v>0</v>
      </c>
      <c r="O218" s="125">
        <v>0</v>
      </c>
      <c r="P218" s="125">
        <v>0</v>
      </c>
      <c r="Q218" s="125">
        <v>0</v>
      </c>
      <c r="R218" s="125">
        <v>0</v>
      </c>
      <c r="S218" s="125">
        <v>0</v>
      </c>
      <c r="T218" s="125">
        <v>0</v>
      </c>
      <c r="U218" s="125">
        <v>0</v>
      </c>
      <c r="V218" s="125">
        <v>0</v>
      </c>
      <c r="W218" s="125">
        <v>0</v>
      </c>
      <c r="X218" s="125">
        <v>0</v>
      </c>
      <c r="Y218" s="125">
        <v>0</v>
      </c>
      <c r="Z218" s="125">
        <v>0</v>
      </c>
      <c r="AA218" s="125">
        <v>0</v>
      </c>
      <c r="AB218" s="125">
        <v>0</v>
      </c>
      <c r="AC218" s="125">
        <v>0</v>
      </c>
      <c r="AD218" s="125">
        <v>0</v>
      </c>
      <c r="AE218" s="125">
        <v>0</v>
      </c>
      <c r="AF218" s="125">
        <v>0</v>
      </c>
      <c r="AG218" s="125">
        <v>0</v>
      </c>
      <c r="AH218" s="125">
        <v>0</v>
      </c>
      <c r="AI218" s="125">
        <v>0</v>
      </c>
      <c r="AJ218" s="125">
        <v>0</v>
      </c>
      <c r="AK218" s="125">
        <v>0</v>
      </c>
      <c r="AL218" s="125">
        <v>0</v>
      </c>
      <c r="AM218" s="125">
        <v>0</v>
      </c>
      <c r="AN218" s="125">
        <v>0</v>
      </c>
      <c r="AO218" s="125">
        <v>0</v>
      </c>
      <c r="AP218" s="125">
        <v>0</v>
      </c>
      <c r="AQ218" s="125">
        <v>0</v>
      </c>
      <c r="AR218" s="125">
        <v>0</v>
      </c>
      <c r="AS218" s="125">
        <v>0</v>
      </c>
      <c r="AT218" s="125">
        <v>0</v>
      </c>
      <c r="AU218" s="125">
        <v>0</v>
      </c>
      <c r="AV218" s="125">
        <v>0</v>
      </c>
      <c r="AW218" s="125">
        <v>0</v>
      </c>
      <c r="AX218" s="125">
        <v>0</v>
      </c>
      <c r="AY218" s="125">
        <v>0</v>
      </c>
    </row>
    <row r="219" spans="1:51" x14ac:dyDescent="0.2">
      <c r="A219" s="124"/>
      <c r="B219" s="133">
        <v>11</v>
      </c>
      <c r="C219" s="121">
        <v>0</v>
      </c>
      <c r="D219" s="125">
        <v>0</v>
      </c>
      <c r="E219" s="125">
        <v>0</v>
      </c>
      <c r="F219" s="125">
        <v>0</v>
      </c>
      <c r="G219" s="125">
        <v>0</v>
      </c>
      <c r="H219" s="125">
        <v>0</v>
      </c>
      <c r="I219" s="125">
        <v>0</v>
      </c>
      <c r="J219" s="125">
        <v>0</v>
      </c>
      <c r="K219" s="125">
        <v>0</v>
      </c>
      <c r="L219" s="125">
        <v>0</v>
      </c>
      <c r="M219" s="125">
        <v>0</v>
      </c>
      <c r="N219" s="125">
        <v>0</v>
      </c>
      <c r="O219" s="125">
        <v>0</v>
      </c>
      <c r="P219" s="125">
        <v>0</v>
      </c>
      <c r="Q219" s="125">
        <v>0</v>
      </c>
      <c r="R219" s="125">
        <v>0</v>
      </c>
      <c r="S219" s="125">
        <v>0</v>
      </c>
      <c r="T219" s="125">
        <v>0</v>
      </c>
      <c r="U219" s="125">
        <v>0</v>
      </c>
      <c r="V219" s="125">
        <v>0</v>
      </c>
      <c r="W219" s="125">
        <v>0</v>
      </c>
      <c r="X219" s="125">
        <v>0</v>
      </c>
      <c r="Y219" s="125">
        <v>0</v>
      </c>
      <c r="Z219" s="125">
        <v>0</v>
      </c>
      <c r="AA219" s="125">
        <v>0</v>
      </c>
      <c r="AB219" s="125">
        <v>0</v>
      </c>
      <c r="AC219" s="125">
        <v>0</v>
      </c>
      <c r="AD219" s="125">
        <v>0</v>
      </c>
      <c r="AE219" s="125">
        <v>0</v>
      </c>
      <c r="AF219" s="125">
        <v>0</v>
      </c>
      <c r="AG219" s="125">
        <v>0</v>
      </c>
      <c r="AH219" s="125">
        <v>0</v>
      </c>
      <c r="AI219" s="125">
        <v>0</v>
      </c>
      <c r="AJ219" s="125">
        <v>0</v>
      </c>
      <c r="AK219" s="125">
        <v>0</v>
      </c>
      <c r="AL219" s="125">
        <v>0</v>
      </c>
      <c r="AM219" s="125">
        <v>0</v>
      </c>
      <c r="AN219" s="125">
        <v>0</v>
      </c>
      <c r="AO219" s="125">
        <v>0</v>
      </c>
      <c r="AP219" s="125">
        <v>0</v>
      </c>
      <c r="AQ219" s="125">
        <v>0</v>
      </c>
      <c r="AR219" s="125">
        <v>0</v>
      </c>
      <c r="AS219" s="125">
        <v>0</v>
      </c>
      <c r="AT219" s="125">
        <v>0</v>
      </c>
      <c r="AU219" s="125">
        <v>0</v>
      </c>
      <c r="AV219" s="125">
        <v>0</v>
      </c>
      <c r="AW219" s="125">
        <v>0</v>
      </c>
      <c r="AX219" s="125">
        <v>0</v>
      </c>
      <c r="AY219" s="125">
        <v>0</v>
      </c>
    </row>
    <row r="220" spans="1:51" x14ac:dyDescent="0.2">
      <c r="A220" s="124"/>
      <c r="B220" s="133">
        <v>12</v>
      </c>
      <c r="C220" s="121">
        <v>0</v>
      </c>
      <c r="D220" s="125">
        <v>0</v>
      </c>
      <c r="E220" s="125">
        <v>0</v>
      </c>
      <c r="F220" s="125">
        <v>0</v>
      </c>
      <c r="G220" s="125">
        <v>0</v>
      </c>
      <c r="H220" s="125">
        <v>0</v>
      </c>
      <c r="I220" s="125">
        <v>0</v>
      </c>
      <c r="J220" s="125">
        <v>0</v>
      </c>
      <c r="K220" s="125">
        <v>0</v>
      </c>
      <c r="L220" s="125">
        <v>0</v>
      </c>
      <c r="M220" s="125">
        <v>0</v>
      </c>
      <c r="N220" s="125">
        <v>0</v>
      </c>
      <c r="O220" s="125">
        <v>0</v>
      </c>
      <c r="P220" s="125">
        <v>0</v>
      </c>
      <c r="Q220" s="125">
        <v>0</v>
      </c>
      <c r="R220" s="125">
        <v>0</v>
      </c>
      <c r="S220" s="125">
        <v>0</v>
      </c>
      <c r="T220" s="125">
        <v>0</v>
      </c>
      <c r="U220" s="125">
        <v>0</v>
      </c>
      <c r="V220" s="125">
        <v>0</v>
      </c>
      <c r="W220" s="125">
        <v>0</v>
      </c>
      <c r="X220" s="125">
        <v>0</v>
      </c>
      <c r="Y220" s="125">
        <v>0</v>
      </c>
      <c r="Z220" s="125">
        <v>0</v>
      </c>
      <c r="AA220" s="125">
        <v>0</v>
      </c>
      <c r="AB220" s="125">
        <v>0</v>
      </c>
      <c r="AC220" s="125">
        <v>0</v>
      </c>
      <c r="AD220" s="125">
        <v>0</v>
      </c>
      <c r="AE220" s="125">
        <v>0</v>
      </c>
      <c r="AF220" s="125">
        <v>0</v>
      </c>
      <c r="AG220" s="125">
        <v>0</v>
      </c>
      <c r="AH220" s="125">
        <v>0</v>
      </c>
      <c r="AI220" s="125">
        <v>0</v>
      </c>
      <c r="AJ220" s="125">
        <v>0</v>
      </c>
      <c r="AK220" s="125">
        <v>0</v>
      </c>
      <c r="AL220" s="125">
        <v>0</v>
      </c>
      <c r="AM220" s="125">
        <v>0</v>
      </c>
      <c r="AN220" s="125">
        <v>0</v>
      </c>
      <c r="AO220" s="125">
        <v>0</v>
      </c>
      <c r="AP220" s="125">
        <v>0</v>
      </c>
      <c r="AQ220" s="125">
        <v>0</v>
      </c>
      <c r="AR220" s="125">
        <v>0</v>
      </c>
      <c r="AS220" s="125">
        <v>0</v>
      </c>
      <c r="AT220" s="125">
        <v>0</v>
      </c>
      <c r="AU220" s="125">
        <v>0</v>
      </c>
      <c r="AV220" s="125">
        <v>0</v>
      </c>
      <c r="AW220" s="125">
        <v>0</v>
      </c>
      <c r="AX220" s="125">
        <v>0</v>
      </c>
      <c r="AY220" s="125">
        <v>0</v>
      </c>
    </row>
    <row r="221" spans="1:51" x14ac:dyDescent="0.2">
      <c r="A221" s="124"/>
      <c r="B221" s="134">
        <v>13</v>
      </c>
      <c r="C221" s="121">
        <v>0</v>
      </c>
      <c r="D221" s="125">
        <v>0</v>
      </c>
      <c r="E221" s="125">
        <v>0</v>
      </c>
      <c r="F221" s="125">
        <v>0</v>
      </c>
      <c r="G221" s="125">
        <v>0</v>
      </c>
      <c r="H221" s="125">
        <v>0</v>
      </c>
      <c r="I221" s="125">
        <v>0</v>
      </c>
      <c r="J221" s="125">
        <v>0</v>
      </c>
      <c r="K221" s="125">
        <v>0</v>
      </c>
      <c r="L221" s="125">
        <v>0</v>
      </c>
      <c r="M221" s="125">
        <v>0</v>
      </c>
      <c r="N221" s="125">
        <v>0</v>
      </c>
      <c r="O221" s="125">
        <v>0</v>
      </c>
      <c r="P221" s="125">
        <v>0</v>
      </c>
      <c r="Q221" s="125">
        <v>0</v>
      </c>
      <c r="R221" s="125">
        <v>0</v>
      </c>
      <c r="S221" s="125">
        <v>0</v>
      </c>
      <c r="T221" s="125">
        <v>0</v>
      </c>
      <c r="U221" s="125">
        <v>0</v>
      </c>
      <c r="V221" s="125">
        <v>0</v>
      </c>
      <c r="W221" s="125">
        <v>0</v>
      </c>
      <c r="X221" s="125">
        <v>0</v>
      </c>
      <c r="Y221" s="125">
        <v>0</v>
      </c>
      <c r="Z221" s="125">
        <v>0</v>
      </c>
      <c r="AA221" s="125">
        <v>0</v>
      </c>
      <c r="AB221" s="125">
        <v>0</v>
      </c>
      <c r="AC221" s="125">
        <v>0</v>
      </c>
      <c r="AD221" s="125">
        <v>0</v>
      </c>
      <c r="AE221" s="125">
        <v>0</v>
      </c>
      <c r="AF221" s="125">
        <v>0</v>
      </c>
      <c r="AG221" s="125">
        <v>0</v>
      </c>
      <c r="AH221" s="125">
        <v>0</v>
      </c>
      <c r="AI221" s="125">
        <v>0</v>
      </c>
      <c r="AJ221" s="125">
        <v>0</v>
      </c>
      <c r="AK221" s="125">
        <v>0</v>
      </c>
      <c r="AL221" s="125">
        <v>0</v>
      </c>
      <c r="AM221" s="125">
        <v>0</v>
      </c>
      <c r="AN221" s="125">
        <v>0</v>
      </c>
      <c r="AO221" s="125">
        <v>0</v>
      </c>
      <c r="AP221" s="125">
        <v>0</v>
      </c>
      <c r="AQ221" s="125">
        <v>0</v>
      </c>
      <c r="AR221" s="125">
        <v>0</v>
      </c>
      <c r="AS221" s="125">
        <v>0</v>
      </c>
      <c r="AT221" s="125">
        <v>0</v>
      </c>
      <c r="AU221" s="125">
        <v>0</v>
      </c>
      <c r="AV221" s="125">
        <v>0</v>
      </c>
      <c r="AW221" s="125">
        <v>0</v>
      </c>
      <c r="AX221" s="125">
        <v>0</v>
      </c>
      <c r="AY221" s="125">
        <v>0</v>
      </c>
    </row>
    <row r="222" spans="1:51" x14ac:dyDescent="0.2">
      <c r="A222" s="124"/>
      <c r="B222" s="134">
        <v>14</v>
      </c>
      <c r="C222" s="121">
        <v>0</v>
      </c>
      <c r="D222" s="125">
        <v>0</v>
      </c>
      <c r="E222" s="125">
        <v>0</v>
      </c>
      <c r="F222" s="125">
        <v>0</v>
      </c>
      <c r="G222" s="125">
        <v>0</v>
      </c>
      <c r="H222" s="125">
        <v>0</v>
      </c>
      <c r="I222" s="125">
        <v>0</v>
      </c>
      <c r="J222" s="125">
        <v>0</v>
      </c>
      <c r="K222" s="125">
        <v>0</v>
      </c>
      <c r="L222" s="125">
        <v>0</v>
      </c>
      <c r="M222" s="125">
        <v>0</v>
      </c>
      <c r="N222" s="125">
        <v>0</v>
      </c>
      <c r="O222" s="125">
        <v>0</v>
      </c>
      <c r="P222" s="125">
        <v>0</v>
      </c>
      <c r="Q222" s="125">
        <v>0</v>
      </c>
      <c r="R222" s="125">
        <v>0</v>
      </c>
      <c r="S222" s="125">
        <v>0</v>
      </c>
      <c r="T222" s="125">
        <v>0</v>
      </c>
      <c r="U222" s="125">
        <v>0</v>
      </c>
      <c r="V222" s="125">
        <v>0</v>
      </c>
      <c r="W222" s="125">
        <v>0</v>
      </c>
      <c r="X222" s="125">
        <v>0</v>
      </c>
      <c r="Y222" s="125">
        <v>0</v>
      </c>
      <c r="Z222" s="125">
        <v>0</v>
      </c>
      <c r="AA222" s="125">
        <v>0</v>
      </c>
      <c r="AB222" s="125">
        <v>0</v>
      </c>
      <c r="AC222" s="125">
        <v>0</v>
      </c>
      <c r="AD222" s="125">
        <v>0</v>
      </c>
      <c r="AE222" s="125">
        <v>0</v>
      </c>
      <c r="AF222" s="125">
        <v>0</v>
      </c>
      <c r="AG222" s="125">
        <v>0</v>
      </c>
      <c r="AH222" s="125">
        <v>0</v>
      </c>
      <c r="AI222" s="125">
        <v>0</v>
      </c>
      <c r="AJ222" s="125">
        <v>0</v>
      </c>
      <c r="AK222" s="125">
        <v>0</v>
      </c>
      <c r="AL222" s="125">
        <v>0</v>
      </c>
      <c r="AM222" s="125">
        <v>0</v>
      </c>
      <c r="AN222" s="125">
        <v>0</v>
      </c>
      <c r="AO222" s="125">
        <v>0</v>
      </c>
      <c r="AP222" s="125">
        <v>0</v>
      </c>
      <c r="AQ222" s="125">
        <v>0</v>
      </c>
      <c r="AR222" s="125">
        <v>0</v>
      </c>
      <c r="AS222" s="125">
        <v>0</v>
      </c>
      <c r="AT222" s="125">
        <v>0</v>
      </c>
      <c r="AU222" s="125">
        <v>0</v>
      </c>
      <c r="AV222" s="125">
        <v>0</v>
      </c>
      <c r="AW222" s="125">
        <v>0</v>
      </c>
      <c r="AX222" s="125">
        <v>0</v>
      </c>
      <c r="AY222" s="125">
        <v>0</v>
      </c>
    </row>
    <row r="223" spans="1:51" x14ac:dyDescent="0.2">
      <c r="A223" s="124"/>
      <c r="B223" s="134">
        <v>15</v>
      </c>
      <c r="C223" s="121">
        <v>0</v>
      </c>
      <c r="D223" s="125">
        <v>0</v>
      </c>
      <c r="E223" s="125">
        <v>0</v>
      </c>
      <c r="F223" s="125">
        <v>0</v>
      </c>
      <c r="G223" s="125">
        <v>0</v>
      </c>
      <c r="H223" s="125">
        <v>0</v>
      </c>
      <c r="I223" s="125">
        <v>0</v>
      </c>
      <c r="J223" s="125">
        <v>0</v>
      </c>
      <c r="K223" s="125">
        <v>0</v>
      </c>
      <c r="L223" s="125">
        <v>0</v>
      </c>
      <c r="M223" s="125">
        <v>0</v>
      </c>
      <c r="N223" s="125">
        <v>0</v>
      </c>
      <c r="O223" s="125">
        <v>0</v>
      </c>
      <c r="P223" s="125">
        <v>0</v>
      </c>
      <c r="Q223" s="125">
        <v>0</v>
      </c>
      <c r="R223" s="125">
        <v>0</v>
      </c>
      <c r="S223" s="125">
        <v>0</v>
      </c>
      <c r="T223" s="125">
        <v>0</v>
      </c>
      <c r="U223" s="125">
        <v>0</v>
      </c>
      <c r="V223" s="125">
        <v>0</v>
      </c>
      <c r="W223" s="125">
        <v>0</v>
      </c>
      <c r="X223" s="125">
        <v>0</v>
      </c>
      <c r="Y223" s="125">
        <v>0</v>
      </c>
      <c r="Z223" s="125">
        <v>0</v>
      </c>
      <c r="AA223" s="125">
        <v>0</v>
      </c>
      <c r="AB223" s="125">
        <v>0</v>
      </c>
      <c r="AC223" s="125">
        <v>0</v>
      </c>
      <c r="AD223" s="125">
        <v>0</v>
      </c>
      <c r="AE223" s="125">
        <v>0</v>
      </c>
      <c r="AF223" s="125">
        <v>0</v>
      </c>
      <c r="AG223" s="125">
        <v>0</v>
      </c>
      <c r="AH223" s="125">
        <v>0</v>
      </c>
      <c r="AI223" s="125">
        <v>0</v>
      </c>
      <c r="AJ223" s="125">
        <v>0</v>
      </c>
      <c r="AK223" s="125">
        <v>0</v>
      </c>
      <c r="AL223" s="125">
        <v>0</v>
      </c>
      <c r="AM223" s="125">
        <v>0</v>
      </c>
      <c r="AN223" s="125">
        <v>0</v>
      </c>
      <c r="AO223" s="125">
        <v>0</v>
      </c>
      <c r="AP223" s="125">
        <v>0</v>
      </c>
      <c r="AQ223" s="125">
        <v>0</v>
      </c>
      <c r="AR223" s="125">
        <v>0</v>
      </c>
      <c r="AS223" s="125">
        <v>0</v>
      </c>
      <c r="AT223" s="125">
        <v>0</v>
      </c>
      <c r="AU223" s="125">
        <v>0</v>
      </c>
      <c r="AV223" s="125">
        <v>0</v>
      </c>
      <c r="AW223" s="125">
        <v>0</v>
      </c>
      <c r="AX223" s="125">
        <v>0</v>
      </c>
      <c r="AY223" s="125">
        <v>0</v>
      </c>
    </row>
    <row r="224" spans="1:51" x14ac:dyDescent="0.2">
      <c r="A224" s="124"/>
      <c r="B224" s="134">
        <v>16</v>
      </c>
      <c r="C224" s="121">
        <v>0</v>
      </c>
      <c r="D224" s="125">
        <v>0</v>
      </c>
      <c r="E224" s="125">
        <v>0</v>
      </c>
      <c r="F224" s="125">
        <v>0</v>
      </c>
      <c r="G224" s="125">
        <v>0</v>
      </c>
      <c r="H224" s="125">
        <v>0</v>
      </c>
      <c r="I224" s="125">
        <v>0</v>
      </c>
      <c r="J224" s="125">
        <v>0</v>
      </c>
      <c r="K224" s="125">
        <v>0</v>
      </c>
      <c r="L224" s="125">
        <v>0</v>
      </c>
      <c r="M224" s="125">
        <v>0</v>
      </c>
      <c r="N224" s="125">
        <v>0</v>
      </c>
      <c r="O224" s="125">
        <v>0</v>
      </c>
      <c r="P224" s="125">
        <v>0</v>
      </c>
      <c r="Q224" s="125">
        <v>0</v>
      </c>
      <c r="R224" s="125">
        <v>0</v>
      </c>
      <c r="S224" s="125">
        <v>0</v>
      </c>
      <c r="T224" s="125">
        <v>0</v>
      </c>
      <c r="U224" s="125">
        <v>0</v>
      </c>
      <c r="V224" s="125">
        <v>0</v>
      </c>
      <c r="W224" s="125">
        <v>0</v>
      </c>
      <c r="X224" s="125">
        <v>0</v>
      </c>
      <c r="Y224" s="125">
        <v>0</v>
      </c>
      <c r="Z224" s="125">
        <v>0</v>
      </c>
      <c r="AA224" s="125">
        <v>0</v>
      </c>
      <c r="AB224" s="125">
        <v>0</v>
      </c>
      <c r="AC224" s="125">
        <v>0</v>
      </c>
      <c r="AD224" s="125">
        <v>0</v>
      </c>
      <c r="AE224" s="125">
        <v>0</v>
      </c>
      <c r="AF224" s="125">
        <v>0</v>
      </c>
      <c r="AG224" s="125">
        <v>0</v>
      </c>
      <c r="AH224" s="125">
        <v>0</v>
      </c>
      <c r="AI224" s="125">
        <v>0</v>
      </c>
      <c r="AJ224" s="125">
        <v>0</v>
      </c>
      <c r="AK224" s="125">
        <v>0</v>
      </c>
      <c r="AL224" s="125">
        <v>0</v>
      </c>
      <c r="AM224" s="125">
        <v>0</v>
      </c>
      <c r="AN224" s="125">
        <v>0</v>
      </c>
      <c r="AO224" s="125">
        <v>0</v>
      </c>
      <c r="AP224" s="125">
        <v>0</v>
      </c>
      <c r="AQ224" s="125">
        <v>0</v>
      </c>
      <c r="AR224" s="125">
        <v>0</v>
      </c>
      <c r="AS224" s="125">
        <v>0</v>
      </c>
      <c r="AT224" s="125">
        <v>0</v>
      </c>
      <c r="AU224" s="125">
        <v>0</v>
      </c>
      <c r="AV224" s="125">
        <v>0</v>
      </c>
      <c r="AW224" s="125">
        <v>0</v>
      </c>
      <c r="AX224" s="125">
        <v>0</v>
      </c>
      <c r="AY224" s="125">
        <v>0</v>
      </c>
    </row>
    <row r="225" spans="1:51" x14ac:dyDescent="0.2">
      <c r="A225" s="124"/>
      <c r="B225" s="134">
        <v>17</v>
      </c>
      <c r="C225" s="121">
        <v>0</v>
      </c>
      <c r="D225" s="125">
        <v>0</v>
      </c>
      <c r="E225" s="125">
        <v>0</v>
      </c>
      <c r="F225" s="125">
        <v>0</v>
      </c>
      <c r="G225" s="125">
        <v>0</v>
      </c>
      <c r="H225" s="125">
        <v>0</v>
      </c>
      <c r="I225" s="125">
        <v>0</v>
      </c>
      <c r="J225" s="125">
        <v>0</v>
      </c>
      <c r="K225" s="125">
        <v>0</v>
      </c>
      <c r="L225" s="125">
        <v>0</v>
      </c>
      <c r="M225" s="125">
        <v>0</v>
      </c>
      <c r="N225" s="125">
        <v>0</v>
      </c>
      <c r="O225" s="125">
        <v>0</v>
      </c>
      <c r="P225" s="125">
        <v>0</v>
      </c>
      <c r="Q225" s="125">
        <v>0</v>
      </c>
      <c r="R225" s="125">
        <v>0</v>
      </c>
      <c r="S225" s="125">
        <v>0</v>
      </c>
      <c r="T225" s="125">
        <v>0</v>
      </c>
      <c r="U225" s="125">
        <v>0</v>
      </c>
      <c r="V225" s="125">
        <v>0</v>
      </c>
      <c r="W225" s="125">
        <v>0</v>
      </c>
      <c r="X225" s="125">
        <v>0</v>
      </c>
      <c r="Y225" s="125">
        <v>0</v>
      </c>
      <c r="Z225" s="125">
        <v>0</v>
      </c>
      <c r="AA225" s="125">
        <v>0</v>
      </c>
      <c r="AB225" s="125">
        <v>0</v>
      </c>
      <c r="AC225" s="125">
        <v>0</v>
      </c>
      <c r="AD225" s="125">
        <v>0</v>
      </c>
      <c r="AE225" s="125">
        <v>0</v>
      </c>
      <c r="AF225" s="125">
        <v>0</v>
      </c>
      <c r="AG225" s="125">
        <v>0</v>
      </c>
      <c r="AH225" s="125">
        <v>0</v>
      </c>
      <c r="AI225" s="125">
        <v>0</v>
      </c>
      <c r="AJ225" s="125">
        <v>0</v>
      </c>
      <c r="AK225" s="125">
        <v>0</v>
      </c>
      <c r="AL225" s="125">
        <v>0</v>
      </c>
      <c r="AM225" s="125">
        <v>0</v>
      </c>
      <c r="AN225" s="125">
        <v>0</v>
      </c>
      <c r="AO225" s="125">
        <v>0</v>
      </c>
      <c r="AP225" s="125">
        <v>0</v>
      </c>
      <c r="AQ225" s="125">
        <v>0</v>
      </c>
      <c r="AR225" s="125">
        <v>0</v>
      </c>
      <c r="AS225" s="125">
        <v>0</v>
      </c>
      <c r="AT225" s="125">
        <v>0</v>
      </c>
      <c r="AU225" s="125">
        <v>0</v>
      </c>
      <c r="AV225" s="125">
        <v>0</v>
      </c>
      <c r="AW225" s="125">
        <v>0</v>
      </c>
      <c r="AX225" s="125">
        <v>0</v>
      </c>
      <c r="AY225" s="125">
        <v>0</v>
      </c>
    </row>
    <row r="226" spans="1:51" x14ac:dyDescent="0.2">
      <c r="A226" s="124"/>
      <c r="B226" s="134">
        <v>18</v>
      </c>
      <c r="C226" s="121">
        <v>0</v>
      </c>
      <c r="D226" s="125">
        <v>0</v>
      </c>
      <c r="E226" s="125">
        <v>0</v>
      </c>
      <c r="F226" s="125">
        <v>0</v>
      </c>
      <c r="G226" s="125">
        <v>0</v>
      </c>
      <c r="H226" s="125">
        <v>0</v>
      </c>
      <c r="I226" s="125">
        <v>0</v>
      </c>
      <c r="J226" s="125">
        <v>0</v>
      </c>
      <c r="K226" s="125">
        <v>0</v>
      </c>
      <c r="L226" s="125">
        <v>0</v>
      </c>
      <c r="M226" s="125">
        <v>0</v>
      </c>
      <c r="N226" s="125">
        <v>0</v>
      </c>
      <c r="O226" s="125">
        <v>0</v>
      </c>
      <c r="P226" s="125">
        <v>0</v>
      </c>
      <c r="Q226" s="125">
        <v>0</v>
      </c>
      <c r="R226" s="125">
        <v>0</v>
      </c>
      <c r="S226" s="125">
        <v>0</v>
      </c>
      <c r="T226" s="125">
        <v>0</v>
      </c>
      <c r="U226" s="125">
        <v>0</v>
      </c>
      <c r="V226" s="125">
        <v>0</v>
      </c>
      <c r="W226" s="125">
        <v>0</v>
      </c>
      <c r="X226" s="125">
        <v>0</v>
      </c>
      <c r="Y226" s="125">
        <v>0</v>
      </c>
      <c r="Z226" s="125">
        <v>0</v>
      </c>
      <c r="AA226" s="125">
        <v>0</v>
      </c>
      <c r="AB226" s="125">
        <v>0</v>
      </c>
      <c r="AC226" s="125">
        <v>0</v>
      </c>
      <c r="AD226" s="125">
        <v>0</v>
      </c>
      <c r="AE226" s="125">
        <v>0</v>
      </c>
      <c r="AF226" s="125">
        <v>0</v>
      </c>
      <c r="AG226" s="125">
        <v>0</v>
      </c>
      <c r="AH226" s="125">
        <v>0</v>
      </c>
      <c r="AI226" s="125">
        <v>0</v>
      </c>
      <c r="AJ226" s="125">
        <v>0</v>
      </c>
      <c r="AK226" s="125">
        <v>0</v>
      </c>
      <c r="AL226" s="125">
        <v>0</v>
      </c>
      <c r="AM226" s="125">
        <v>0</v>
      </c>
      <c r="AN226" s="125">
        <v>0</v>
      </c>
      <c r="AO226" s="125">
        <v>0</v>
      </c>
      <c r="AP226" s="125">
        <v>0</v>
      </c>
      <c r="AQ226" s="125">
        <v>0</v>
      </c>
      <c r="AR226" s="125">
        <v>0</v>
      </c>
      <c r="AS226" s="125">
        <v>0</v>
      </c>
      <c r="AT226" s="125">
        <v>0</v>
      </c>
      <c r="AU226" s="125">
        <v>0</v>
      </c>
      <c r="AV226" s="125">
        <v>0</v>
      </c>
      <c r="AW226" s="125">
        <v>0</v>
      </c>
      <c r="AX226" s="125">
        <v>0</v>
      </c>
      <c r="AY226" s="125">
        <v>0</v>
      </c>
    </row>
    <row r="227" spans="1:51" x14ac:dyDescent="0.2">
      <c r="A227" s="124"/>
      <c r="B227" s="134">
        <v>19</v>
      </c>
      <c r="C227" s="121">
        <v>0</v>
      </c>
      <c r="D227" s="125">
        <v>0</v>
      </c>
      <c r="E227" s="125">
        <v>0</v>
      </c>
      <c r="F227" s="125">
        <v>0</v>
      </c>
      <c r="G227" s="125">
        <v>0</v>
      </c>
      <c r="H227" s="125">
        <v>0</v>
      </c>
      <c r="I227" s="125">
        <v>0</v>
      </c>
      <c r="J227" s="125">
        <v>0</v>
      </c>
      <c r="K227" s="125">
        <v>0</v>
      </c>
      <c r="L227" s="125">
        <v>0</v>
      </c>
      <c r="M227" s="125">
        <v>0</v>
      </c>
      <c r="N227" s="125">
        <v>0</v>
      </c>
      <c r="O227" s="125">
        <v>0</v>
      </c>
      <c r="P227" s="125">
        <v>0</v>
      </c>
      <c r="Q227" s="125">
        <v>0</v>
      </c>
      <c r="R227" s="125">
        <v>0</v>
      </c>
      <c r="S227" s="125">
        <v>0</v>
      </c>
      <c r="T227" s="125">
        <v>0</v>
      </c>
      <c r="U227" s="125">
        <v>0</v>
      </c>
      <c r="V227" s="125">
        <v>0</v>
      </c>
      <c r="W227" s="125">
        <v>0</v>
      </c>
      <c r="X227" s="125">
        <v>0</v>
      </c>
      <c r="Y227" s="125">
        <v>0</v>
      </c>
      <c r="Z227" s="125">
        <v>0</v>
      </c>
      <c r="AA227" s="125">
        <v>0</v>
      </c>
      <c r="AB227" s="125">
        <v>0</v>
      </c>
      <c r="AC227" s="125">
        <v>0</v>
      </c>
      <c r="AD227" s="125">
        <v>0</v>
      </c>
      <c r="AE227" s="125">
        <v>0</v>
      </c>
      <c r="AF227" s="125">
        <v>0</v>
      </c>
      <c r="AG227" s="125">
        <v>0</v>
      </c>
      <c r="AH227" s="125">
        <v>0</v>
      </c>
      <c r="AI227" s="125">
        <v>0</v>
      </c>
      <c r="AJ227" s="125">
        <v>0</v>
      </c>
      <c r="AK227" s="125">
        <v>0</v>
      </c>
      <c r="AL227" s="125">
        <v>0</v>
      </c>
      <c r="AM227" s="125">
        <v>0</v>
      </c>
      <c r="AN227" s="125">
        <v>0</v>
      </c>
      <c r="AO227" s="125">
        <v>0</v>
      </c>
      <c r="AP227" s="125">
        <v>0</v>
      </c>
      <c r="AQ227" s="125">
        <v>0</v>
      </c>
      <c r="AR227" s="125">
        <v>0</v>
      </c>
      <c r="AS227" s="125">
        <v>0</v>
      </c>
      <c r="AT227" s="125">
        <v>0</v>
      </c>
      <c r="AU227" s="125">
        <v>0</v>
      </c>
      <c r="AV227" s="125">
        <v>0</v>
      </c>
      <c r="AW227" s="125">
        <v>0</v>
      </c>
      <c r="AX227" s="125">
        <v>0</v>
      </c>
      <c r="AY227" s="125">
        <v>0</v>
      </c>
    </row>
    <row r="228" spans="1:51" x14ac:dyDescent="0.2">
      <c r="A228" s="124"/>
      <c r="B228" s="134">
        <v>20</v>
      </c>
      <c r="C228" s="121">
        <v>0</v>
      </c>
      <c r="D228" s="125">
        <v>0</v>
      </c>
      <c r="E228" s="125">
        <v>0</v>
      </c>
      <c r="F228" s="125">
        <v>0</v>
      </c>
      <c r="G228" s="125">
        <v>0</v>
      </c>
      <c r="H228" s="125">
        <v>0</v>
      </c>
      <c r="I228" s="125">
        <v>0</v>
      </c>
      <c r="J228" s="125">
        <v>0</v>
      </c>
      <c r="K228" s="125">
        <v>0</v>
      </c>
      <c r="L228" s="125">
        <v>0</v>
      </c>
      <c r="M228" s="125">
        <v>0</v>
      </c>
      <c r="N228" s="125">
        <v>0</v>
      </c>
      <c r="O228" s="125">
        <v>0</v>
      </c>
      <c r="P228" s="125">
        <v>0</v>
      </c>
      <c r="Q228" s="125">
        <v>0</v>
      </c>
      <c r="R228" s="125">
        <v>0</v>
      </c>
      <c r="S228" s="125">
        <v>0</v>
      </c>
      <c r="T228" s="125">
        <v>0</v>
      </c>
      <c r="U228" s="125">
        <v>0</v>
      </c>
      <c r="V228" s="125">
        <v>0</v>
      </c>
      <c r="W228" s="125">
        <v>0</v>
      </c>
      <c r="X228" s="125">
        <v>0</v>
      </c>
      <c r="Y228" s="125">
        <v>0</v>
      </c>
      <c r="Z228" s="125">
        <v>0</v>
      </c>
      <c r="AA228" s="125">
        <v>0</v>
      </c>
      <c r="AB228" s="125">
        <v>0</v>
      </c>
      <c r="AC228" s="125">
        <v>0</v>
      </c>
      <c r="AD228" s="125">
        <v>0</v>
      </c>
      <c r="AE228" s="125">
        <v>0</v>
      </c>
      <c r="AF228" s="125">
        <v>0</v>
      </c>
      <c r="AG228" s="125">
        <v>0</v>
      </c>
      <c r="AH228" s="125">
        <v>0</v>
      </c>
      <c r="AI228" s="125">
        <v>0</v>
      </c>
      <c r="AJ228" s="125">
        <v>0</v>
      </c>
      <c r="AK228" s="125">
        <v>0</v>
      </c>
      <c r="AL228" s="125">
        <v>0</v>
      </c>
      <c r="AM228" s="125">
        <v>0</v>
      </c>
      <c r="AN228" s="125">
        <v>0</v>
      </c>
      <c r="AO228" s="125">
        <v>0</v>
      </c>
      <c r="AP228" s="125">
        <v>0</v>
      </c>
      <c r="AQ228" s="125">
        <v>0</v>
      </c>
      <c r="AR228" s="125">
        <v>0</v>
      </c>
      <c r="AS228" s="125">
        <v>0</v>
      </c>
      <c r="AT228" s="125">
        <v>0</v>
      </c>
      <c r="AU228" s="125">
        <v>0</v>
      </c>
      <c r="AV228" s="125">
        <v>0</v>
      </c>
      <c r="AW228" s="125">
        <v>0</v>
      </c>
      <c r="AX228" s="125">
        <v>0</v>
      </c>
      <c r="AY228" s="125">
        <v>0</v>
      </c>
    </row>
    <row r="229" spans="1:51" x14ac:dyDescent="0.2">
      <c r="A229" s="124"/>
      <c r="B229" s="134">
        <v>21</v>
      </c>
      <c r="C229" s="121">
        <v>0</v>
      </c>
      <c r="D229" s="125">
        <v>0</v>
      </c>
      <c r="E229" s="125">
        <v>0</v>
      </c>
      <c r="F229" s="125">
        <v>0</v>
      </c>
      <c r="G229" s="125">
        <v>0</v>
      </c>
      <c r="H229" s="125">
        <v>0</v>
      </c>
      <c r="I229" s="125">
        <v>0</v>
      </c>
      <c r="J229" s="125">
        <v>0</v>
      </c>
      <c r="K229" s="125">
        <v>0</v>
      </c>
      <c r="L229" s="125">
        <v>0</v>
      </c>
      <c r="M229" s="125">
        <v>0</v>
      </c>
      <c r="N229" s="125">
        <v>0</v>
      </c>
      <c r="O229" s="125">
        <v>0</v>
      </c>
      <c r="P229" s="125">
        <v>0</v>
      </c>
      <c r="Q229" s="125">
        <v>0</v>
      </c>
      <c r="R229" s="125">
        <v>0</v>
      </c>
      <c r="S229" s="125">
        <v>0</v>
      </c>
      <c r="T229" s="125">
        <v>0</v>
      </c>
      <c r="U229" s="125">
        <v>0</v>
      </c>
      <c r="V229" s="125">
        <v>0</v>
      </c>
      <c r="W229" s="125">
        <v>0</v>
      </c>
      <c r="X229" s="125">
        <v>0</v>
      </c>
      <c r="Y229" s="125">
        <v>0</v>
      </c>
      <c r="Z229" s="125">
        <v>0</v>
      </c>
      <c r="AA229" s="125">
        <v>0</v>
      </c>
      <c r="AB229" s="125">
        <v>0</v>
      </c>
      <c r="AC229" s="125">
        <v>0</v>
      </c>
      <c r="AD229" s="125">
        <v>0</v>
      </c>
      <c r="AE229" s="125">
        <v>0</v>
      </c>
      <c r="AF229" s="125">
        <v>0</v>
      </c>
      <c r="AG229" s="125">
        <v>0</v>
      </c>
      <c r="AH229" s="125">
        <v>0</v>
      </c>
      <c r="AI229" s="125">
        <v>0</v>
      </c>
      <c r="AJ229" s="125">
        <v>0</v>
      </c>
      <c r="AK229" s="125">
        <v>0</v>
      </c>
      <c r="AL229" s="125">
        <v>0</v>
      </c>
      <c r="AM229" s="125">
        <v>0</v>
      </c>
      <c r="AN229" s="125">
        <v>0</v>
      </c>
      <c r="AO229" s="125">
        <v>0</v>
      </c>
      <c r="AP229" s="125">
        <v>0</v>
      </c>
      <c r="AQ229" s="125">
        <v>0</v>
      </c>
      <c r="AR229" s="125">
        <v>0</v>
      </c>
      <c r="AS229" s="125">
        <v>0</v>
      </c>
      <c r="AT229" s="125">
        <v>0</v>
      </c>
      <c r="AU229" s="125">
        <v>0</v>
      </c>
      <c r="AV229" s="125">
        <v>0</v>
      </c>
      <c r="AW229" s="125">
        <v>0</v>
      </c>
      <c r="AX229" s="125">
        <v>0</v>
      </c>
      <c r="AY229" s="125">
        <v>0</v>
      </c>
    </row>
    <row r="230" spans="1:51" x14ac:dyDescent="0.2">
      <c r="A230" s="124"/>
      <c r="B230" s="134">
        <v>22</v>
      </c>
      <c r="C230" s="121">
        <v>0</v>
      </c>
      <c r="D230" s="125">
        <v>0</v>
      </c>
      <c r="E230" s="125">
        <v>0</v>
      </c>
      <c r="F230" s="125">
        <v>0</v>
      </c>
      <c r="G230" s="125">
        <v>0</v>
      </c>
      <c r="H230" s="125">
        <v>0</v>
      </c>
      <c r="I230" s="125">
        <v>0</v>
      </c>
      <c r="J230" s="125">
        <v>0</v>
      </c>
      <c r="K230" s="125">
        <v>0</v>
      </c>
      <c r="L230" s="125">
        <v>0</v>
      </c>
      <c r="M230" s="125">
        <v>0</v>
      </c>
      <c r="N230" s="125">
        <v>0</v>
      </c>
      <c r="O230" s="125">
        <v>0</v>
      </c>
      <c r="P230" s="125">
        <v>0</v>
      </c>
      <c r="Q230" s="125">
        <v>0</v>
      </c>
      <c r="R230" s="125">
        <v>0</v>
      </c>
      <c r="S230" s="125">
        <v>0</v>
      </c>
      <c r="T230" s="125">
        <v>0</v>
      </c>
      <c r="U230" s="125">
        <v>0</v>
      </c>
      <c r="V230" s="125">
        <v>0</v>
      </c>
      <c r="W230" s="125">
        <v>0</v>
      </c>
      <c r="X230" s="125">
        <v>0</v>
      </c>
      <c r="Y230" s="125">
        <v>0</v>
      </c>
      <c r="Z230" s="125">
        <v>0</v>
      </c>
      <c r="AA230" s="125">
        <v>0</v>
      </c>
      <c r="AB230" s="125">
        <v>0</v>
      </c>
      <c r="AC230" s="125">
        <v>0</v>
      </c>
      <c r="AD230" s="125">
        <v>0</v>
      </c>
      <c r="AE230" s="125">
        <v>0</v>
      </c>
      <c r="AF230" s="125">
        <v>0</v>
      </c>
      <c r="AG230" s="125">
        <v>0</v>
      </c>
      <c r="AH230" s="125">
        <v>0</v>
      </c>
      <c r="AI230" s="125">
        <v>0</v>
      </c>
      <c r="AJ230" s="125">
        <v>0</v>
      </c>
      <c r="AK230" s="125">
        <v>0</v>
      </c>
      <c r="AL230" s="125">
        <v>0</v>
      </c>
      <c r="AM230" s="125">
        <v>0</v>
      </c>
      <c r="AN230" s="125">
        <v>0</v>
      </c>
      <c r="AO230" s="125">
        <v>0</v>
      </c>
      <c r="AP230" s="125">
        <v>0</v>
      </c>
      <c r="AQ230" s="125">
        <v>0</v>
      </c>
      <c r="AR230" s="125">
        <v>0</v>
      </c>
      <c r="AS230" s="125">
        <v>0</v>
      </c>
      <c r="AT230" s="125">
        <v>0</v>
      </c>
      <c r="AU230" s="125">
        <v>0</v>
      </c>
      <c r="AV230" s="125">
        <v>0</v>
      </c>
      <c r="AW230" s="125">
        <v>0</v>
      </c>
      <c r="AX230" s="125">
        <v>0</v>
      </c>
      <c r="AY230" s="125">
        <v>0</v>
      </c>
    </row>
    <row r="231" spans="1:51" x14ac:dyDescent="0.2">
      <c r="A231" s="124"/>
      <c r="B231" s="134">
        <v>23</v>
      </c>
      <c r="C231" s="121">
        <v>0</v>
      </c>
      <c r="D231" s="125">
        <v>0</v>
      </c>
      <c r="E231" s="125">
        <v>0</v>
      </c>
      <c r="F231" s="125">
        <v>0</v>
      </c>
      <c r="G231" s="125">
        <v>0</v>
      </c>
      <c r="H231" s="125">
        <v>0</v>
      </c>
      <c r="I231" s="125">
        <v>0</v>
      </c>
      <c r="J231" s="125">
        <v>0</v>
      </c>
      <c r="K231" s="125">
        <v>0</v>
      </c>
      <c r="L231" s="125">
        <v>0</v>
      </c>
      <c r="M231" s="125">
        <v>0</v>
      </c>
      <c r="N231" s="125">
        <v>0</v>
      </c>
      <c r="O231" s="125">
        <v>0</v>
      </c>
      <c r="P231" s="125">
        <v>0</v>
      </c>
      <c r="Q231" s="125">
        <v>0</v>
      </c>
      <c r="R231" s="125">
        <v>0</v>
      </c>
      <c r="S231" s="125">
        <v>0</v>
      </c>
      <c r="T231" s="125">
        <v>0</v>
      </c>
      <c r="U231" s="125">
        <v>0</v>
      </c>
      <c r="V231" s="125">
        <v>0</v>
      </c>
      <c r="W231" s="125">
        <v>0</v>
      </c>
      <c r="X231" s="125">
        <v>0</v>
      </c>
      <c r="Y231" s="125">
        <v>0</v>
      </c>
      <c r="Z231" s="125">
        <v>0</v>
      </c>
      <c r="AA231" s="125">
        <v>0</v>
      </c>
      <c r="AB231" s="125">
        <v>0</v>
      </c>
      <c r="AC231" s="125">
        <v>0</v>
      </c>
      <c r="AD231" s="125">
        <v>0</v>
      </c>
      <c r="AE231" s="125">
        <v>0</v>
      </c>
      <c r="AF231" s="125">
        <v>0</v>
      </c>
      <c r="AG231" s="125">
        <v>0</v>
      </c>
      <c r="AH231" s="125">
        <v>0</v>
      </c>
      <c r="AI231" s="125">
        <v>0</v>
      </c>
      <c r="AJ231" s="125">
        <v>0</v>
      </c>
      <c r="AK231" s="125">
        <v>0</v>
      </c>
      <c r="AL231" s="125">
        <v>0</v>
      </c>
      <c r="AM231" s="125">
        <v>0</v>
      </c>
      <c r="AN231" s="125">
        <v>0</v>
      </c>
      <c r="AO231" s="125">
        <v>0</v>
      </c>
      <c r="AP231" s="125">
        <v>0</v>
      </c>
      <c r="AQ231" s="125">
        <v>0</v>
      </c>
      <c r="AR231" s="125">
        <v>0</v>
      </c>
      <c r="AS231" s="125">
        <v>0</v>
      </c>
      <c r="AT231" s="125">
        <v>0</v>
      </c>
      <c r="AU231" s="125">
        <v>0</v>
      </c>
      <c r="AV231" s="125">
        <v>0</v>
      </c>
      <c r="AW231" s="125">
        <v>0</v>
      </c>
      <c r="AX231" s="125">
        <v>0</v>
      </c>
      <c r="AY231" s="125">
        <v>0</v>
      </c>
    </row>
    <row r="232" spans="1:51" x14ac:dyDescent="0.2">
      <c r="A232" s="124"/>
      <c r="B232" s="134">
        <v>24</v>
      </c>
      <c r="C232" s="121">
        <v>0</v>
      </c>
      <c r="D232" s="125">
        <v>0</v>
      </c>
      <c r="E232" s="125">
        <v>0</v>
      </c>
      <c r="F232" s="125">
        <v>0</v>
      </c>
      <c r="G232" s="125">
        <v>0</v>
      </c>
      <c r="H232" s="125">
        <v>0</v>
      </c>
      <c r="I232" s="125">
        <v>0</v>
      </c>
      <c r="J232" s="125">
        <v>0</v>
      </c>
      <c r="K232" s="125">
        <v>0</v>
      </c>
      <c r="L232" s="125">
        <v>0</v>
      </c>
      <c r="M232" s="125">
        <v>0</v>
      </c>
      <c r="N232" s="125">
        <v>0</v>
      </c>
      <c r="O232" s="125">
        <v>0</v>
      </c>
      <c r="P232" s="125">
        <v>0</v>
      </c>
      <c r="Q232" s="125">
        <v>0</v>
      </c>
      <c r="R232" s="125">
        <v>0</v>
      </c>
      <c r="S232" s="125">
        <v>0</v>
      </c>
      <c r="T232" s="125">
        <v>0</v>
      </c>
      <c r="U232" s="125">
        <v>0</v>
      </c>
      <c r="V232" s="125">
        <v>0</v>
      </c>
      <c r="W232" s="125">
        <v>0</v>
      </c>
      <c r="X232" s="125">
        <v>0</v>
      </c>
      <c r="Y232" s="125">
        <v>0</v>
      </c>
      <c r="Z232" s="125">
        <v>0</v>
      </c>
      <c r="AA232" s="125">
        <v>0</v>
      </c>
      <c r="AB232" s="125">
        <v>0</v>
      </c>
      <c r="AC232" s="125">
        <v>0</v>
      </c>
      <c r="AD232" s="125">
        <v>0</v>
      </c>
      <c r="AE232" s="125">
        <v>0</v>
      </c>
      <c r="AF232" s="125">
        <v>0</v>
      </c>
      <c r="AG232" s="125">
        <v>0</v>
      </c>
      <c r="AH232" s="125">
        <v>0</v>
      </c>
      <c r="AI232" s="125">
        <v>0</v>
      </c>
      <c r="AJ232" s="125">
        <v>0</v>
      </c>
      <c r="AK232" s="125">
        <v>0</v>
      </c>
      <c r="AL232" s="125">
        <v>0</v>
      </c>
      <c r="AM232" s="125">
        <v>0</v>
      </c>
      <c r="AN232" s="125">
        <v>0</v>
      </c>
      <c r="AO232" s="125">
        <v>0</v>
      </c>
      <c r="AP232" s="125">
        <v>0</v>
      </c>
      <c r="AQ232" s="125">
        <v>0</v>
      </c>
      <c r="AR232" s="125">
        <v>0</v>
      </c>
      <c r="AS232" s="125">
        <v>0</v>
      </c>
      <c r="AT232" s="125">
        <v>0</v>
      </c>
      <c r="AU232" s="125">
        <v>0</v>
      </c>
      <c r="AV232" s="125">
        <v>0</v>
      </c>
      <c r="AW232" s="125">
        <v>0</v>
      </c>
      <c r="AX232" s="125">
        <v>0</v>
      </c>
      <c r="AY232" s="125">
        <v>0</v>
      </c>
    </row>
    <row r="233" spans="1:51" x14ac:dyDescent="0.2">
      <c r="A233" s="124"/>
      <c r="B233" s="141">
        <v>25</v>
      </c>
      <c r="C233" s="121">
        <v>0</v>
      </c>
      <c r="D233" s="125">
        <v>0</v>
      </c>
      <c r="E233" s="125">
        <v>0</v>
      </c>
      <c r="F233" s="125">
        <v>0</v>
      </c>
      <c r="G233" s="125">
        <v>0</v>
      </c>
      <c r="H233" s="125">
        <v>0</v>
      </c>
      <c r="I233" s="125">
        <v>0</v>
      </c>
      <c r="J233" s="125">
        <v>0</v>
      </c>
      <c r="K233" s="125">
        <v>0</v>
      </c>
      <c r="L233" s="125">
        <v>0</v>
      </c>
      <c r="M233" s="125">
        <v>0</v>
      </c>
      <c r="N233" s="125">
        <v>0</v>
      </c>
      <c r="O233" s="125">
        <v>0</v>
      </c>
      <c r="P233" s="125">
        <v>0</v>
      </c>
      <c r="Q233" s="125">
        <v>0</v>
      </c>
      <c r="R233" s="125">
        <v>0</v>
      </c>
      <c r="S233" s="125">
        <v>0</v>
      </c>
      <c r="T233" s="125">
        <v>0</v>
      </c>
      <c r="U233" s="125">
        <v>0</v>
      </c>
      <c r="V233" s="125">
        <v>0</v>
      </c>
      <c r="W233" s="125">
        <v>0</v>
      </c>
      <c r="X233" s="125">
        <v>0</v>
      </c>
      <c r="Y233" s="125">
        <v>0</v>
      </c>
      <c r="Z233" s="125">
        <v>0</v>
      </c>
      <c r="AA233" s="125">
        <v>0</v>
      </c>
      <c r="AB233" s="125">
        <v>0</v>
      </c>
      <c r="AC233" s="125">
        <v>0</v>
      </c>
      <c r="AD233" s="125">
        <v>0</v>
      </c>
      <c r="AE233" s="125">
        <v>0</v>
      </c>
      <c r="AF233" s="125">
        <v>0</v>
      </c>
      <c r="AG233" s="125">
        <v>0</v>
      </c>
      <c r="AH233" s="125">
        <v>0</v>
      </c>
      <c r="AI233" s="125">
        <v>0</v>
      </c>
      <c r="AJ233" s="125">
        <v>0</v>
      </c>
      <c r="AK233" s="125">
        <v>0</v>
      </c>
      <c r="AL233" s="125">
        <v>0</v>
      </c>
      <c r="AM233" s="125">
        <v>0</v>
      </c>
      <c r="AN233" s="125">
        <v>0</v>
      </c>
      <c r="AO233" s="125">
        <v>0</v>
      </c>
      <c r="AP233" s="125">
        <v>0</v>
      </c>
      <c r="AQ233" s="125">
        <v>0</v>
      </c>
      <c r="AR233" s="125">
        <v>0</v>
      </c>
      <c r="AS233" s="125">
        <v>0</v>
      </c>
      <c r="AT233" s="125">
        <v>0</v>
      </c>
      <c r="AU233" s="125">
        <v>0</v>
      </c>
      <c r="AV233" s="125">
        <v>0</v>
      </c>
      <c r="AW233" s="125">
        <v>0</v>
      </c>
      <c r="AX233" s="125">
        <v>0</v>
      </c>
      <c r="AY233" s="125">
        <v>0</v>
      </c>
    </row>
    <row r="234" spans="1:51" x14ac:dyDescent="0.2">
      <c r="A234" s="124"/>
      <c r="B234" s="141">
        <v>26</v>
      </c>
      <c r="C234" s="121">
        <v>0</v>
      </c>
      <c r="D234" s="125">
        <v>0</v>
      </c>
      <c r="E234" s="125">
        <v>0</v>
      </c>
      <c r="F234" s="125">
        <v>0</v>
      </c>
      <c r="G234" s="125">
        <v>0</v>
      </c>
      <c r="H234" s="125">
        <v>0</v>
      </c>
      <c r="I234" s="125">
        <v>0</v>
      </c>
      <c r="J234" s="125">
        <v>0</v>
      </c>
      <c r="K234" s="125">
        <v>0</v>
      </c>
      <c r="L234" s="125">
        <v>0</v>
      </c>
      <c r="M234" s="125">
        <v>0</v>
      </c>
      <c r="N234" s="125">
        <v>0</v>
      </c>
      <c r="O234" s="125">
        <v>0</v>
      </c>
      <c r="P234" s="125">
        <v>0</v>
      </c>
      <c r="Q234" s="125">
        <v>0</v>
      </c>
      <c r="R234" s="125">
        <v>0</v>
      </c>
      <c r="S234" s="125">
        <v>0</v>
      </c>
      <c r="T234" s="125">
        <v>0</v>
      </c>
      <c r="U234" s="125">
        <v>0</v>
      </c>
      <c r="V234" s="125">
        <v>0</v>
      </c>
      <c r="W234" s="125">
        <v>0</v>
      </c>
      <c r="X234" s="125">
        <v>0</v>
      </c>
      <c r="Y234" s="125">
        <v>0</v>
      </c>
      <c r="Z234" s="125">
        <v>0</v>
      </c>
      <c r="AA234" s="125">
        <v>0</v>
      </c>
      <c r="AB234" s="125">
        <v>0</v>
      </c>
      <c r="AC234" s="125">
        <v>0</v>
      </c>
      <c r="AD234" s="125">
        <v>0</v>
      </c>
      <c r="AE234" s="125">
        <v>0</v>
      </c>
      <c r="AF234" s="125">
        <v>0</v>
      </c>
      <c r="AG234" s="125">
        <v>0</v>
      </c>
      <c r="AH234" s="125">
        <v>0</v>
      </c>
      <c r="AI234" s="125">
        <v>0</v>
      </c>
      <c r="AJ234" s="125">
        <v>0</v>
      </c>
      <c r="AK234" s="125">
        <v>0</v>
      </c>
      <c r="AL234" s="125">
        <v>0</v>
      </c>
      <c r="AM234" s="125">
        <v>0</v>
      </c>
      <c r="AN234" s="125">
        <v>0</v>
      </c>
      <c r="AO234" s="125">
        <v>0</v>
      </c>
      <c r="AP234" s="125">
        <v>0</v>
      </c>
      <c r="AQ234" s="125">
        <v>0</v>
      </c>
      <c r="AR234" s="125">
        <v>0</v>
      </c>
      <c r="AS234" s="125">
        <v>0</v>
      </c>
      <c r="AT234" s="125">
        <v>0</v>
      </c>
      <c r="AU234" s="125">
        <v>0</v>
      </c>
      <c r="AV234" s="125">
        <v>0</v>
      </c>
      <c r="AW234" s="125">
        <v>0</v>
      </c>
      <c r="AX234" s="125">
        <v>0</v>
      </c>
      <c r="AY234" s="125">
        <v>0</v>
      </c>
    </row>
    <row r="235" spans="1:51" x14ac:dyDescent="0.2">
      <c r="A235" s="124"/>
      <c r="B235" s="141">
        <v>27</v>
      </c>
      <c r="C235" s="121">
        <v>0</v>
      </c>
      <c r="D235" s="125">
        <v>0</v>
      </c>
      <c r="E235" s="125">
        <v>0</v>
      </c>
      <c r="F235" s="125">
        <v>0</v>
      </c>
      <c r="G235" s="125">
        <v>0</v>
      </c>
      <c r="H235" s="125">
        <v>0</v>
      </c>
      <c r="I235" s="125">
        <v>0</v>
      </c>
      <c r="J235" s="125">
        <v>0</v>
      </c>
      <c r="K235" s="125">
        <v>0</v>
      </c>
      <c r="L235" s="125">
        <v>0</v>
      </c>
      <c r="M235" s="125">
        <v>0</v>
      </c>
      <c r="N235" s="125">
        <v>0</v>
      </c>
      <c r="O235" s="125">
        <v>0</v>
      </c>
      <c r="P235" s="125">
        <v>0</v>
      </c>
      <c r="Q235" s="125">
        <v>0</v>
      </c>
      <c r="R235" s="125">
        <v>0</v>
      </c>
      <c r="S235" s="125">
        <v>0</v>
      </c>
      <c r="T235" s="125">
        <v>0</v>
      </c>
      <c r="U235" s="125">
        <v>0</v>
      </c>
      <c r="V235" s="125">
        <v>0</v>
      </c>
      <c r="W235" s="125">
        <v>0</v>
      </c>
      <c r="X235" s="125">
        <v>0</v>
      </c>
      <c r="Y235" s="125">
        <v>0</v>
      </c>
      <c r="Z235" s="125">
        <v>0</v>
      </c>
      <c r="AA235" s="125">
        <v>0</v>
      </c>
      <c r="AB235" s="125">
        <v>0</v>
      </c>
      <c r="AC235" s="125">
        <v>0</v>
      </c>
      <c r="AD235" s="125">
        <v>0</v>
      </c>
      <c r="AE235" s="125">
        <v>0</v>
      </c>
      <c r="AF235" s="125">
        <v>0</v>
      </c>
      <c r="AG235" s="125">
        <v>0</v>
      </c>
      <c r="AH235" s="125">
        <v>0</v>
      </c>
      <c r="AI235" s="125">
        <v>0</v>
      </c>
      <c r="AJ235" s="125">
        <v>0</v>
      </c>
      <c r="AK235" s="125">
        <v>0</v>
      </c>
      <c r="AL235" s="125">
        <v>0</v>
      </c>
      <c r="AM235" s="125">
        <v>0</v>
      </c>
      <c r="AN235" s="125">
        <v>0</v>
      </c>
      <c r="AO235" s="125">
        <v>0</v>
      </c>
      <c r="AP235" s="125">
        <v>0</v>
      </c>
      <c r="AQ235" s="125">
        <v>0</v>
      </c>
      <c r="AR235" s="125">
        <v>0</v>
      </c>
      <c r="AS235" s="125">
        <v>0</v>
      </c>
      <c r="AT235" s="125">
        <v>0</v>
      </c>
      <c r="AU235" s="125">
        <v>0</v>
      </c>
      <c r="AV235" s="125">
        <v>0</v>
      </c>
      <c r="AW235" s="125">
        <v>0</v>
      </c>
      <c r="AX235" s="125">
        <v>0</v>
      </c>
      <c r="AY235" s="125">
        <v>0</v>
      </c>
    </row>
    <row r="236" spans="1:51" x14ac:dyDescent="0.2">
      <c r="A236" s="124"/>
      <c r="B236" s="141">
        <v>28</v>
      </c>
      <c r="C236" s="121">
        <v>0</v>
      </c>
      <c r="D236" s="125">
        <v>0</v>
      </c>
      <c r="E236" s="125">
        <v>0</v>
      </c>
      <c r="F236" s="125">
        <v>0</v>
      </c>
      <c r="G236" s="125">
        <v>0</v>
      </c>
      <c r="H236" s="125">
        <v>0</v>
      </c>
      <c r="I236" s="125">
        <v>0</v>
      </c>
      <c r="J236" s="125">
        <v>0</v>
      </c>
      <c r="K236" s="125">
        <v>0</v>
      </c>
      <c r="L236" s="125">
        <v>0</v>
      </c>
      <c r="M236" s="125">
        <v>0</v>
      </c>
      <c r="N236" s="125">
        <v>0</v>
      </c>
      <c r="O236" s="125">
        <v>0</v>
      </c>
      <c r="P236" s="125">
        <v>0</v>
      </c>
      <c r="Q236" s="125">
        <v>0</v>
      </c>
      <c r="R236" s="125">
        <v>0</v>
      </c>
      <c r="S236" s="125">
        <v>0</v>
      </c>
      <c r="T236" s="125">
        <v>0</v>
      </c>
      <c r="U236" s="125">
        <v>0</v>
      </c>
      <c r="V236" s="125">
        <v>0</v>
      </c>
      <c r="W236" s="125">
        <v>0</v>
      </c>
      <c r="X236" s="125">
        <v>0</v>
      </c>
      <c r="Y236" s="125">
        <v>0</v>
      </c>
      <c r="Z236" s="125">
        <v>0</v>
      </c>
      <c r="AA236" s="125">
        <v>0</v>
      </c>
      <c r="AB236" s="125">
        <v>0</v>
      </c>
      <c r="AC236" s="125">
        <v>0</v>
      </c>
      <c r="AD236" s="125">
        <v>0</v>
      </c>
      <c r="AE236" s="125">
        <v>0</v>
      </c>
      <c r="AF236" s="125">
        <v>0</v>
      </c>
      <c r="AG236" s="125">
        <v>0</v>
      </c>
      <c r="AH236" s="125">
        <v>0</v>
      </c>
      <c r="AI236" s="125">
        <v>0</v>
      </c>
      <c r="AJ236" s="125">
        <v>0</v>
      </c>
      <c r="AK236" s="125">
        <v>0</v>
      </c>
      <c r="AL236" s="125">
        <v>0</v>
      </c>
      <c r="AM236" s="125">
        <v>0</v>
      </c>
      <c r="AN236" s="125">
        <v>0</v>
      </c>
      <c r="AO236" s="125">
        <v>0</v>
      </c>
      <c r="AP236" s="125">
        <v>0</v>
      </c>
      <c r="AQ236" s="125">
        <v>0</v>
      </c>
      <c r="AR236" s="125">
        <v>0</v>
      </c>
      <c r="AS236" s="125">
        <v>0</v>
      </c>
      <c r="AT236" s="125">
        <v>0</v>
      </c>
      <c r="AU236" s="125">
        <v>0</v>
      </c>
      <c r="AV236" s="125">
        <v>0</v>
      </c>
      <c r="AW236" s="125">
        <v>0</v>
      </c>
      <c r="AX236" s="125">
        <v>0</v>
      </c>
      <c r="AY236" s="125">
        <v>0</v>
      </c>
    </row>
    <row r="237" spans="1:51" x14ac:dyDescent="0.2">
      <c r="A237" s="124"/>
      <c r="B237" s="141">
        <v>29</v>
      </c>
      <c r="C237" s="121">
        <v>0</v>
      </c>
      <c r="D237" s="125">
        <v>0</v>
      </c>
      <c r="E237" s="125">
        <v>0</v>
      </c>
      <c r="F237" s="125">
        <v>0</v>
      </c>
      <c r="G237" s="125">
        <v>0</v>
      </c>
      <c r="H237" s="125">
        <v>0</v>
      </c>
      <c r="I237" s="125">
        <v>0</v>
      </c>
      <c r="J237" s="125">
        <v>0</v>
      </c>
      <c r="K237" s="125">
        <v>0</v>
      </c>
      <c r="L237" s="125">
        <v>0</v>
      </c>
      <c r="M237" s="125">
        <v>0</v>
      </c>
      <c r="N237" s="125">
        <v>0</v>
      </c>
      <c r="O237" s="125">
        <v>0</v>
      </c>
      <c r="P237" s="125">
        <v>0</v>
      </c>
      <c r="Q237" s="125">
        <v>0</v>
      </c>
      <c r="R237" s="125">
        <v>0</v>
      </c>
      <c r="S237" s="125">
        <v>0</v>
      </c>
      <c r="T237" s="125">
        <v>0</v>
      </c>
      <c r="U237" s="125">
        <v>0</v>
      </c>
      <c r="V237" s="125">
        <v>0</v>
      </c>
      <c r="W237" s="125">
        <v>0</v>
      </c>
      <c r="X237" s="125">
        <v>0</v>
      </c>
      <c r="Y237" s="125">
        <v>0</v>
      </c>
      <c r="Z237" s="125">
        <v>0</v>
      </c>
      <c r="AA237" s="125">
        <v>0</v>
      </c>
      <c r="AB237" s="125">
        <v>0</v>
      </c>
      <c r="AC237" s="125">
        <v>0</v>
      </c>
      <c r="AD237" s="125">
        <v>0</v>
      </c>
      <c r="AE237" s="125">
        <v>0</v>
      </c>
      <c r="AF237" s="125">
        <v>0</v>
      </c>
      <c r="AG237" s="125">
        <v>0</v>
      </c>
      <c r="AH237" s="125">
        <v>0</v>
      </c>
      <c r="AI237" s="125">
        <v>0</v>
      </c>
      <c r="AJ237" s="125">
        <v>0</v>
      </c>
      <c r="AK237" s="125">
        <v>0</v>
      </c>
      <c r="AL237" s="125">
        <v>0</v>
      </c>
      <c r="AM237" s="125">
        <v>0</v>
      </c>
      <c r="AN237" s="125">
        <v>0</v>
      </c>
      <c r="AO237" s="125">
        <v>0</v>
      </c>
      <c r="AP237" s="125">
        <v>0</v>
      </c>
      <c r="AQ237" s="125">
        <v>0</v>
      </c>
      <c r="AR237" s="125">
        <v>0</v>
      </c>
      <c r="AS237" s="125">
        <v>0</v>
      </c>
      <c r="AT237" s="125">
        <v>0</v>
      </c>
      <c r="AU237" s="125">
        <v>0</v>
      </c>
      <c r="AV237" s="125">
        <v>0</v>
      </c>
      <c r="AW237" s="125">
        <v>0</v>
      </c>
      <c r="AX237" s="125">
        <v>0</v>
      </c>
      <c r="AY237" s="125">
        <v>0</v>
      </c>
    </row>
    <row r="238" spans="1:51" x14ac:dyDescent="0.2">
      <c r="A238" s="124"/>
      <c r="B238" s="141">
        <v>30</v>
      </c>
      <c r="C238" s="121">
        <v>0</v>
      </c>
      <c r="D238" s="125">
        <v>0</v>
      </c>
      <c r="E238" s="125">
        <v>0</v>
      </c>
      <c r="F238" s="125">
        <v>0</v>
      </c>
      <c r="G238" s="125">
        <v>0</v>
      </c>
      <c r="H238" s="125">
        <v>0</v>
      </c>
      <c r="I238" s="125">
        <v>0</v>
      </c>
      <c r="J238" s="125">
        <v>0</v>
      </c>
      <c r="K238" s="125">
        <v>0</v>
      </c>
      <c r="L238" s="125">
        <v>0</v>
      </c>
      <c r="M238" s="125">
        <v>0</v>
      </c>
      <c r="N238" s="125">
        <v>0</v>
      </c>
      <c r="O238" s="125">
        <v>0</v>
      </c>
      <c r="P238" s="125">
        <v>0</v>
      </c>
      <c r="Q238" s="125">
        <v>0</v>
      </c>
      <c r="R238" s="125">
        <v>0</v>
      </c>
      <c r="S238" s="125">
        <v>0</v>
      </c>
      <c r="T238" s="125">
        <v>0</v>
      </c>
      <c r="U238" s="125">
        <v>0</v>
      </c>
      <c r="V238" s="125">
        <v>0</v>
      </c>
      <c r="W238" s="125">
        <v>0</v>
      </c>
      <c r="X238" s="125">
        <v>0</v>
      </c>
      <c r="Y238" s="125">
        <v>0</v>
      </c>
      <c r="Z238" s="125">
        <v>0</v>
      </c>
      <c r="AA238" s="125">
        <v>0</v>
      </c>
      <c r="AB238" s="125">
        <v>0</v>
      </c>
      <c r="AC238" s="125">
        <v>0</v>
      </c>
      <c r="AD238" s="125">
        <v>0</v>
      </c>
      <c r="AE238" s="125">
        <v>0</v>
      </c>
      <c r="AF238" s="125">
        <v>0</v>
      </c>
      <c r="AG238" s="125">
        <v>0</v>
      </c>
      <c r="AH238" s="125">
        <v>0</v>
      </c>
      <c r="AI238" s="125">
        <v>0</v>
      </c>
      <c r="AJ238" s="125">
        <v>0</v>
      </c>
      <c r="AK238" s="125">
        <v>0</v>
      </c>
      <c r="AL238" s="125">
        <v>0</v>
      </c>
      <c r="AM238" s="125">
        <v>0</v>
      </c>
      <c r="AN238" s="125">
        <v>0</v>
      </c>
      <c r="AO238" s="125">
        <v>0</v>
      </c>
      <c r="AP238" s="125">
        <v>0</v>
      </c>
      <c r="AQ238" s="125">
        <v>0</v>
      </c>
      <c r="AR238" s="125">
        <v>0</v>
      </c>
      <c r="AS238" s="125">
        <v>0</v>
      </c>
      <c r="AT238" s="125">
        <v>0</v>
      </c>
      <c r="AU238" s="125">
        <v>0</v>
      </c>
      <c r="AV238" s="125">
        <v>0</v>
      </c>
      <c r="AW238" s="125">
        <v>0</v>
      </c>
      <c r="AX238" s="125">
        <v>0</v>
      </c>
      <c r="AY238" s="125">
        <v>0</v>
      </c>
    </row>
    <row r="239" spans="1:51" x14ac:dyDescent="0.2">
      <c r="A239" s="124"/>
      <c r="B239" s="141">
        <v>31</v>
      </c>
      <c r="C239" s="121">
        <v>0</v>
      </c>
      <c r="D239" s="125">
        <v>0</v>
      </c>
      <c r="E239" s="125">
        <v>0</v>
      </c>
      <c r="F239" s="125">
        <v>0</v>
      </c>
      <c r="G239" s="125">
        <v>0</v>
      </c>
      <c r="H239" s="125">
        <v>0</v>
      </c>
      <c r="I239" s="125">
        <v>0</v>
      </c>
      <c r="J239" s="125">
        <v>0</v>
      </c>
      <c r="K239" s="125">
        <v>0</v>
      </c>
      <c r="L239" s="125">
        <v>0</v>
      </c>
      <c r="M239" s="125">
        <v>0</v>
      </c>
      <c r="N239" s="125">
        <v>0</v>
      </c>
      <c r="O239" s="125">
        <v>0</v>
      </c>
      <c r="P239" s="125">
        <v>0</v>
      </c>
      <c r="Q239" s="125">
        <v>0</v>
      </c>
      <c r="R239" s="125">
        <v>0</v>
      </c>
      <c r="S239" s="125">
        <v>0</v>
      </c>
      <c r="T239" s="125">
        <v>0</v>
      </c>
      <c r="U239" s="125">
        <v>0</v>
      </c>
      <c r="V239" s="125">
        <v>0</v>
      </c>
      <c r="W239" s="125">
        <v>0</v>
      </c>
      <c r="X239" s="125">
        <v>0</v>
      </c>
      <c r="Y239" s="125">
        <v>0</v>
      </c>
      <c r="Z239" s="125">
        <v>0</v>
      </c>
      <c r="AA239" s="125">
        <v>0</v>
      </c>
      <c r="AB239" s="125">
        <v>0</v>
      </c>
      <c r="AC239" s="125">
        <v>0</v>
      </c>
      <c r="AD239" s="125">
        <v>0</v>
      </c>
      <c r="AE239" s="125">
        <v>0</v>
      </c>
      <c r="AF239" s="125">
        <v>0</v>
      </c>
      <c r="AG239" s="125">
        <v>0</v>
      </c>
      <c r="AH239" s="125">
        <v>0</v>
      </c>
      <c r="AI239" s="125">
        <v>0</v>
      </c>
      <c r="AJ239" s="125">
        <v>0</v>
      </c>
      <c r="AK239" s="125">
        <v>0</v>
      </c>
      <c r="AL239" s="125">
        <v>0</v>
      </c>
      <c r="AM239" s="125">
        <v>0</v>
      </c>
      <c r="AN239" s="125">
        <v>0</v>
      </c>
      <c r="AO239" s="125">
        <v>0</v>
      </c>
      <c r="AP239" s="125">
        <v>0</v>
      </c>
      <c r="AQ239" s="125">
        <v>0</v>
      </c>
      <c r="AR239" s="125">
        <v>0</v>
      </c>
      <c r="AS239" s="125">
        <v>0</v>
      </c>
      <c r="AT239" s="125">
        <v>0</v>
      </c>
      <c r="AU239" s="125">
        <v>0</v>
      </c>
      <c r="AV239" s="125">
        <v>0</v>
      </c>
      <c r="AW239" s="125">
        <v>0</v>
      </c>
      <c r="AX239" s="125">
        <v>0</v>
      </c>
      <c r="AY239" s="125">
        <v>0</v>
      </c>
    </row>
    <row r="240" spans="1:51" x14ac:dyDescent="0.2">
      <c r="A240" s="124"/>
      <c r="B240" s="141">
        <v>32</v>
      </c>
      <c r="C240" s="121">
        <v>0</v>
      </c>
      <c r="D240" s="125">
        <v>0</v>
      </c>
      <c r="E240" s="125">
        <v>0</v>
      </c>
      <c r="F240" s="125">
        <v>0</v>
      </c>
      <c r="G240" s="125">
        <v>0</v>
      </c>
      <c r="H240" s="125">
        <v>0</v>
      </c>
      <c r="I240" s="125">
        <v>0</v>
      </c>
      <c r="J240" s="125">
        <v>0</v>
      </c>
      <c r="K240" s="125">
        <v>0</v>
      </c>
      <c r="L240" s="125">
        <v>0</v>
      </c>
      <c r="M240" s="125">
        <v>0</v>
      </c>
      <c r="N240" s="125">
        <v>0</v>
      </c>
      <c r="O240" s="125">
        <v>0</v>
      </c>
      <c r="P240" s="125">
        <v>0</v>
      </c>
      <c r="Q240" s="125">
        <v>0</v>
      </c>
      <c r="R240" s="125">
        <v>0</v>
      </c>
      <c r="S240" s="125">
        <v>0</v>
      </c>
      <c r="T240" s="125">
        <v>0</v>
      </c>
      <c r="U240" s="125">
        <v>0</v>
      </c>
      <c r="V240" s="125">
        <v>0</v>
      </c>
      <c r="W240" s="125">
        <v>0</v>
      </c>
      <c r="X240" s="125">
        <v>0</v>
      </c>
      <c r="Y240" s="125">
        <v>0</v>
      </c>
      <c r="Z240" s="125">
        <v>0</v>
      </c>
      <c r="AA240" s="125">
        <v>0</v>
      </c>
      <c r="AB240" s="125">
        <v>0</v>
      </c>
      <c r="AC240" s="125">
        <v>0</v>
      </c>
      <c r="AD240" s="125">
        <v>0</v>
      </c>
      <c r="AE240" s="125">
        <v>0</v>
      </c>
      <c r="AF240" s="125">
        <v>0</v>
      </c>
      <c r="AG240" s="125">
        <v>0</v>
      </c>
      <c r="AH240" s="125">
        <v>0</v>
      </c>
      <c r="AI240" s="125">
        <v>0</v>
      </c>
      <c r="AJ240" s="125">
        <v>0</v>
      </c>
      <c r="AK240" s="125">
        <v>0</v>
      </c>
      <c r="AL240" s="125">
        <v>0</v>
      </c>
      <c r="AM240" s="125">
        <v>0</v>
      </c>
      <c r="AN240" s="125">
        <v>0</v>
      </c>
      <c r="AO240" s="125">
        <v>0</v>
      </c>
      <c r="AP240" s="125">
        <v>0</v>
      </c>
      <c r="AQ240" s="125">
        <v>0</v>
      </c>
      <c r="AR240" s="125">
        <v>0</v>
      </c>
      <c r="AS240" s="125">
        <v>0</v>
      </c>
      <c r="AT240" s="125">
        <v>0</v>
      </c>
      <c r="AU240" s="125">
        <v>0</v>
      </c>
      <c r="AV240" s="125">
        <v>0</v>
      </c>
      <c r="AW240" s="125">
        <v>0</v>
      </c>
      <c r="AX240" s="125">
        <v>0</v>
      </c>
      <c r="AY240" s="125">
        <v>0</v>
      </c>
    </row>
    <row r="241" spans="1:51" x14ac:dyDescent="0.2">
      <c r="A241" s="124"/>
      <c r="B241" s="141">
        <v>33</v>
      </c>
      <c r="C241" s="121">
        <v>0</v>
      </c>
      <c r="D241" s="125">
        <v>0</v>
      </c>
      <c r="E241" s="125">
        <v>0</v>
      </c>
      <c r="F241" s="125">
        <v>0</v>
      </c>
      <c r="G241" s="125">
        <v>0</v>
      </c>
      <c r="H241" s="125">
        <v>0</v>
      </c>
      <c r="I241" s="125">
        <v>0</v>
      </c>
      <c r="J241" s="125">
        <v>0</v>
      </c>
      <c r="K241" s="125">
        <v>0</v>
      </c>
      <c r="L241" s="125">
        <v>0</v>
      </c>
      <c r="M241" s="125">
        <v>0</v>
      </c>
      <c r="N241" s="125">
        <v>0</v>
      </c>
      <c r="O241" s="125">
        <v>0</v>
      </c>
      <c r="P241" s="125">
        <v>0</v>
      </c>
      <c r="Q241" s="125">
        <v>0</v>
      </c>
      <c r="R241" s="125">
        <v>0</v>
      </c>
      <c r="S241" s="125">
        <v>0</v>
      </c>
      <c r="T241" s="125">
        <v>0</v>
      </c>
      <c r="U241" s="125">
        <v>0</v>
      </c>
      <c r="V241" s="125">
        <v>0</v>
      </c>
      <c r="W241" s="125">
        <v>0</v>
      </c>
      <c r="X241" s="125">
        <v>0</v>
      </c>
      <c r="Y241" s="125">
        <v>0</v>
      </c>
      <c r="Z241" s="125">
        <v>0</v>
      </c>
      <c r="AA241" s="125">
        <v>0</v>
      </c>
      <c r="AB241" s="125">
        <v>0</v>
      </c>
      <c r="AC241" s="125">
        <v>0</v>
      </c>
      <c r="AD241" s="125">
        <v>0</v>
      </c>
      <c r="AE241" s="125">
        <v>0</v>
      </c>
      <c r="AF241" s="125">
        <v>0</v>
      </c>
      <c r="AG241" s="125">
        <v>0</v>
      </c>
      <c r="AH241" s="125">
        <v>0</v>
      </c>
      <c r="AI241" s="125">
        <v>0</v>
      </c>
      <c r="AJ241" s="125">
        <v>0</v>
      </c>
      <c r="AK241" s="125">
        <v>0</v>
      </c>
      <c r="AL241" s="125">
        <v>0</v>
      </c>
      <c r="AM241" s="125">
        <v>0</v>
      </c>
      <c r="AN241" s="125">
        <v>0</v>
      </c>
      <c r="AO241" s="125">
        <v>0</v>
      </c>
      <c r="AP241" s="125">
        <v>0</v>
      </c>
      <c r="AQ241" s="125">
        <v>0</v>
      </c>
      <c r="AR241" s="125">
        <v>0</v>
      </c>
      <c r="AS241" s="125">
        <v>0</v>
      </c>
      <c r="AT241" s="125">
        <v>0</v>
      </c>
      <c r="AU241" s="125">
        <v>0</v>
      </c>
      <c r="AV241" s="125">
        <v>0</v>
      </c>
      <c r="AW241" s="125">
        <v>0</v>
      </c>
      <c r="AX241" s="125">
        <v>0</v>
      </c>
      <c r="AY241" s="125">
        <v>0</v>
      </c>
    </row>
    <row r="242" spans="1:51" x14ac:dyDescent="0.2">
      <c r="A242" s="124"/>
      <c r="B242" s="141">
        <v>34</v>
      </c>
      <c r="C242" s="121">
        <v>0</v>
      </c>
      <c r="D242" s="125">
        <v>0</v>
      </c>
      <c r="E242" s="125">
        <v>0</v>
      </c>
      <c r="F242" s="125">
        <v>0</v>
      </c>
      <c r="G242" s="125">
        <v>0</v>
      </c>
      <c r="H242" s="125">
        <v>0</v>
      </c>
      <c r="I242" s="125">
        <v>0</v>
      </c>
      <c r="J242" s="125">
        <v>0</v>
      </c>
      <c r="K242" s="125">
        <v>0</v>
      </c>
      <c r="L242" s="125">
        <v>0</v>
      </c>
      <c r="M242" s="125">
        <v>0</v>
      </c>
      <c r="N242" s="125">
        <v>0</v>
      </c>
      <c r="O242" s="125">
        <v>0</v>
      </c>
      <c r="P242" s="125">
        <v>0</v>
      </c>
      <c r="Q242" s="125">
        <v>0</v>
      </c>
      <c r="R242" s="125">
        <v>0</v>
      </c>
      <c r="S242" s="125">
        <v>0</v>
      </c>
      <c r="T242" s="125">
        <v>0</v>
      </c>
      <c r="U242" s="125">
        <v>0</v>
      </c>
      <c r="V242" s="125">
        <v>0</v>
      </c>
      <c r="W242" s="125">
        <v>0</v>
      </c>
      <c r="X242" s="125">
        <v>0</v>
      </c>
      <c r="Y242" s="125">
        <v>0</v>
      </c>
      <c r="Z242" s="125">
        <v>0</v>
      </c>
      <c r="AA242" s="125">
        <v>0</v>
      </c>
      <c r="AB242" s="125">
        <v>0</v>
      </c>
      <c r="AC242" s="125">
        <v>0</v>
      </c>
      <c r="AD242" s="125">
        <v>0</v>
      </c>
      <c r="AE242" s="125">
        <v>0</v>
      </c>
      <c r="AF242" s="125">
        <v>0</v>
      </c>
      <c r="AG242" s="125">
        <v>0</v>
      </c>
      <c r="AH242" s="125">
        <v>0</v>
      </c>
      <c r="AI242" s="125">
        <v>0</v>
      </c>
      <c r="AJ242" s="125">
        <v>0</v>
      </c>
      <c r="AK242" s="125">
        <v>0</v>
      </c>
      <c r="AL242" s="125">
        <v>0</v>
      </c>
      <c r="AM242" s="125">
        <v>0</v>
      </c>
      <c r="AN242" s="125">
        <v>0</v>
      </c>
      <c r="AO242" s="125">
        <v>0</v>
      </c>
      <c r="AP242" s="125">
        <v>0</v>
      </c>
      <c r="AQ242" s="125">
        <v>0</v>
      </c>
      <c r="AR242" s="125">
        <v>0</v>
      </c>
      <c r="AS242" s="125">
        <v>0</v>
      </c>
      <c r="AT242" s="125">
        <v>0</v>
      </c>
      <c r="AU242" s="125">
        <v>0</v>
      </c>
      <c r="AV242" s="125">
        <v>0</v>
      </c>
      <c r="AW242" s="125">
        <v>0</v>
      </c>
      <c r="AX242" s="125">
        <v>0</v>
      </c>
      <c r="AY242" s="125">
        <v>0</v>
      </c>
    </row>
    <row r="243" spans="1:51" x14ac:dyDescent="0.2">
      <c r="A243" s="124"/>
      <c r="B243" s="141">
        <v>35</v>
      </c>
      <c r="C243" s="121">
        <v>0</v>
      </c>
      <c r="D243" s="125">
        <v>0</v>
      </c>
      <c r="E243" s="125">
        <v>0</v>
      </c>
      <c r="F243" s="125">
        <v>0</v>
      </c>
      <c r="G243" s="125">
        <v>0</v>
      </c>
      <c r="H243" s="125">
        <v>0</v>
      </c>
      <c r="I243" s="125">
        <v>0</v>
      </c>
      <c r="J243" s="125">
        <v>0</v>
      </c>
      <c r="K243" s="125">
        <v>0</v>
      </c>
      <c r="L243" s="125">
        <v>0</v>
      </c>
      <c r="M243" s="125">
        <v>0</v>
      </c>
      <c r="N243" s="125">
        <v>0</v>
      </c>
      <c r="O243" s="125">
        <v>0</v>
      </c>
      <c r="P243" s="125">
        <v>0</v>
      </c>
      <c r="Q243" s="125">
        <v>0</v>
      </c>
      <c r="R243" s="125">
        <v>0</v>
      </c>
      <c r="S243" s="125">
        <v>0</v>
      </c>
      <c r="T243" s="125">
        <v>0</v>
      </c>
      <c r="U243" s="125">
        <v>0</v>
      </c>
      <c r="V243" s="125">
        <v>0</v>
      </c>
      <c r="W243" s="125">
        <v>0</v>
      </c>
      <c r="X243" s="125">
        <v>0</v>
      </c>
      <c r="Y243" s="125">
        <v>0</v>
      </c>
      <c r="Z243" s="125">
        <v>0</v>
      </c>
      <c r="AA243" s="125">
        <v>0</v>
      </c>
      <c r="AB243" s="125">
        <v>0</v>
      </c>
      <c r="AC243" s="125">
        <v>0</v>
      </c>
      <c r="AD243" s="125">
        <v>0</v>
      </c>
      <c r="AE243" s="125">
        <v>0</v>
      </c>
      <c r="AF243" s="125">
        <v>0</v>
      </c>
      <c r="AG243" s="125">
        <v>0</v>
      </c>
      <c r="AH243" s="125">
        <v>0</v>
      </c>
      <c r="AI243" s="125">
        <v>0</v>
      </c>
      <c r="AJ243" s="125">
        <v>0</v>
      </c>
      <c r="AK243" s="125">
        <v>0</v>
      </c>
      <c r="AL243" s="125">
        <v>0</v>
      </c>
      <c r="AM243" s="125">
        <v>0</v>
      </c>
      <c r="AN243" s="125">
        <v>0</v>
      </c>
      <c r="AO243" s="125">
        <v>0</v>
      </c>
      <c r="AP243" s="125">
        <v>0</v>
      </c>
      <c r="AQ243" s="125">
        <v>0</v>
      </c>
      <c r="AR243" s="125">
        <v>0</v>
      </c>
      <c r="AS243" s="125">
        <v>0</v>
      </c>
      <c r="AT243" s="125">
        <v>0</v>
      </c>
      <c r="AU243" s="125">
        <v>0</v>
      </c>
      <c r="AV243" s="125">
        <v>0</v>
      </c>
      <c r="AW243" s="125">
        <v>0</v>
      </c>
      <c r="AX243" s="125">
        <v>0</v>
      </c>
      <c r="AY243" s="125">
        <v>0</v>
      </c>
    </row>
    <row r="244" spans="1:51" x14ac:dyDescent="0.2">
      <c r="A244" s="124"/>
      <c r="B244" s="141">
        <v>36</v>
      </c>
      <c r="C244" s="121">
        <v>0</v>
      </c>
      <c r="D244" s="125">
        <v>0</v>
      </c>
      <c r="E244" s="125">
        <v>0</v>
      </c>
      <c r="F244" s="125">
        <v>0</v>
      </c>
      <c r="G244" s="125">
        <v>0</v>
      </c>
      <c r="H244" s="125">
        <v>0</v>
      </c>
      <c r="I244" s="125">
        <v>0</v>
      </c>
      <c r="J244" s="125">
        <v>0</v>
      </c>
      <c r="K244" s="125">
        <v>0</v>
      </c>
      <c r="L244" s="125">
        <v>0</v>
      </c>
      <c r="M244" s="125">
        <v>0</v>
      </c>
      <c r="N244" s="125">
        <v>0</v>
      </c>
      <c r="O244" s="125">
        <v>0</v>
      </c>
      <c r="P244" s="125">
        <v>0</v>
      </c>
      <c r="Q244" s="125">
        <v>0</v>
      </c>
      <c r="R244" s="125">
        <v>0</v>
      </c>
      <c r="S244" s="125">
        <v>0</v>
      </c>
      <c r="T244" s="125">
        <v>0</v>
      </c>
      <c r="U244" s="125">
        <v>0</v>
      </c>
      <c r="V244" s="125">
        <v>0</v>
      </c>
      <c r="W244" s="125">
        <v>0</v>
      </c>
      <c r="X244" s="125">
        <v>0</v>
      </c>
      <c r="Y244" s="125">
        <v>0</v>
      </c>
      <c r="Z244" s="125">
        <v>0</v>
      </c>
      <c r="AA244" s="125">
        <v>0</v>
      </c>
      <c r="AB244" s="125">
        <v>0</v>
      </c>
      <c r="AC244" s="125">
        <v>0</v>
      </c>
      <c r="AD244" s="125">
        <v>0</v>
      </c>
      <c r="AE244" s="125">
        <v>0</v>
      </c>
      <c r="AF244" s="125">
        <v>0</v>
      </c>
      <c r="AG244" s="125">
        <v>0</v>
      </c>
      <c r="AH244" s="125">
        <v>0</v>
      </c>
      <c r="AI244" s="125">
        <v>0</v>
      </c>
      <c r="AJ244" s="125">
        <v>0</v>
      </c>
      <c r="AK244" s="125">
        <v>0</v>
      </c>
      <c r="AL244" s="125">
        <v>0</v>
      </c>
      <c r="AM244" s="125">
        <v>0</v>
      </c>
      <c r="AN244" s="125">
        <v>0</v>
      </c>
      <c r="AO244" s="125">
        <v>0</v>
      </c>
      <c r="AP244" s="125">
        <v>0</v>
      </c>
      <c r="AQ244" s="125">
        <v>0</v>
      </c>
      <c r="AR244" s="125">
        <v>0</v>
      </c>
      <c r="AS244" s="125">
        <v>0</v>
      </c>
      <c r="AT244" s="125">
        <v>0</v>
      </c>
      <c r="AU244" s="125">
        <v>0</v>
      </c>
      <c r="AV244" s="125">
        <v>0</v>
      </c>
      <c r="AW244" s="125">
        <v>0</v>
      </c>
      <c r="AX244" s="125">
        <v>0</v>
      </c>
      <c r="AY244" s="125">
        <v>0</v>
      </c>
    </row>
    <row r="245" spans="1:51" x14ac:dyDescent="0.2">
      <c r="A245" s="124"/>
      <c r="B245" s="144">
        <v>37</v>
      </c>
      <c r="C245" s="121">
        <v>0</v>
      </c>
      <c r="D245" s="125">
        <v>0</v>
      </c>
      <c r="E245" s="125">
        <v>0</v>
      </c>
      <c r="F245" s="125">
        <v>0</v>
      </c>
      <c r="G245" s="125">
        <v>0</v>
      </c>
      <c r="H245" s="125">
        <v>0</v>
      </c>
      <c r="I245" s="125">
        <v>0</v>
      </c>
      <c r="J245" s="125">
        <v>0</v>
      </c>
      <c r="K245" s="125">
        <v>0</v>
      </c>
      <c r="L245" s="125">
        <v>0</v>
      </c>
      <c r="M245" s="125">
        <v>0</v>
      </c>
      <c r="N245" s="125">
        <v>0</v>
      </c>
      <c r="O245" s="125">
        <v>0</v>
      </c>
      <c r="P245" s="125">
        <v>0</v>
      </c>
      <c r="Q245" s="125">
        <v>0</v>
      </c>
      <c r="R245" s="125">
        <v>0</v>
      </c>
      <c r="S245" s="125">
        <v>0</v>
      </c>
      <c r="T245" s="125">
        <v>0</v>
      </c>
      <c r="U245" s="125">
        <v>0</v>
      </c>
      <c r="V245" s="125">
        <v>0</v>
      </c>
      <c r="W245" s="125">
        <v>0</v>
      </c>
      <c r="X245" s="125">
        <v>0</v>
      </c>
      <c r="Y245" s="125">
        <v>0</v>
      </c>
      <c r="Z245" s="125">
        <v>0</v>
      </c>
      <c r="AA245" s="125">
        <v>0</v>
      </c>
      <c r="AB245" s="125">
        <v>0</v>
      </c>
      <c r="AC245" s="125">
        <v>0</v>
      </c>
      <c r="AD245" s="125">
        <v>0</v>
      </c>
      <c r="AE245" s="125">
        <v>0</v>
      </c>
      <c r="AF245" s="125">
        <v>0</v>
      </c>
      <c r="AG245" s="125">
        <v>0</v>
      </c>
      <c r="AH245" s="125">
        <v>0</v>
      </c>
      <c r="AI245" s="125">
        <v>0</v>
      </c>
      <c r="AJ245" s="125">
        <v>0</v>
      </c>
      <c r="AK245" s="125">
        <v>0</v>
      </c>
      <c r="AL245" s="125">
        <v>0</v>
      </c>
      <c r="AM245" s="125">
        <v>0</v>
      </c>
      <c r="AN245" s="125">
        <v>0</v>
      </c>
      <c r="AO245" s="125">
        <v>0</v>
      </c>
      <c r="AP245" s="125">
        <v>0</v>
      </c>
      <c r="AQ245" s="125">
        <v>0</v>
      </c>
      <c r="AR245" s="125">
        <v>0</v>
      </c>
      <c r="AS245" s="125">
        <v>0</v>
      </c>
      <c r="AT245" s="125">
        <v>0</v>
      </c>
      <c r="AU245" s="125">
        <v>0</v>
      </c>
      <c r="AV245" s="125">
        <v>0</v>
      </c>
      <c r="AW245" s="125">
        <v>0</v>
      </c>
      <c r="AX245" s="125">
        <v>0</v>
      </c>
      <c r="AY245" s="125">
        <v>0</v>
      </c>
    </row>
    <row r="246" spans="1:51" x14ac:dyDescent="0.2">
      <c r="A246" s="124"/>
      <c r="B246" s="144">
        <v>38</v>
      </c>
      <c r="C246" s="121">
        <v>0</v>
      </c>
      <c r="D246" s="125">
        <v>0</v>
      </c>
      <c r="E246" s="125">
        <v>0</v>
      </c>
      <c r="F246" s="125">
        <v>0</v>
      </c>
      <c r="G246" s="125">
        <v>0</v>
      </c>
      <c r="H246" s="125">
        <v>0</v>
      </c>
      <c r="I246" s="125">
        <v>0</v>
      </c>
      <c r="J246" s="125">
        <v>0</v>
      </c>
      <c r="K246" s="125">
        <v>0</v>
      </c>
      <c r="L246" s="125">
        <v>0</v>
      </c>
      <c r="M246" s="125">
        <v>0</v>
      </c>
      <c r="N246" s="125">
        <v>0</v>
      </c>
      <c r="O246" s="125">
        <v>0</v>
      </c>
      <c r="P246" s="125">
        <v>0</v>
      </c>
      <c r="Q246" s="125">
        <v>0</v>
      </c>
      <c r="R246" s="125">
        <v>0</v>
      </c>
      <c r="S246" s="125">
        <v>0</v>
      </c>
      <c r="T246" s="125">
        <v>0</v>
      </c>
      <c r="U246" s="125">
        <v>0</v>
      </c>
      <c r="V246" s="125">
        <v>0</v>
      </c>
      <c r="W246" s="125">
        <v>0</v>
      </c>
      <c r="X246" s="125">
        <v>0</v>
      </c>
      <c r="Y246" s="125">
        <v>0</v>
      </c>
      <c r="Z246" s="125">
        <v>0</v>
      </c>
      <c r="AA246" s="125">
        <v>0</v>
      </c>
      <c r="AB246" s="125">
        <v>0</v>
      </c>
      <c r="AC246" s="125">
        <v>0</v>
      </c>
      <c r="AD246" s="125">
        <v>0</v>
      </c>
      <c r="AE246" s="125">
        <v>0</v>
      </c>
      <c r="AF246" s="125">
        <v>0</v>
      </c>
      <c r="AG246" s="125">
        <v>0</v>
      </c>
      <c r="AH246" s="125">
        <v>0</v>
      </c>
      <c r="AI246" s="125">
        <v>0</v>
      </c>
      <c r="AJ246" s="125">
        <v>0</v>
      </c>
      <c r="AK246" s="125">
        <v>0</v>
      </c>
      <c r="AL246" s="125">
        <v>0</v>
      </c>
      <c r="AM246" s="125">
        <v>0</v>
      </c>
      <c r="AN246" s="125">
        <v>0</v>
      </c>
      <c r="AO246" s="125">
        <v>0</v>
      </c>
      <c r="AP246" s="125">
        <v>0</v>
      </c>
      <c r="AQ246" s="125">
        <v>0</v>
      </c>
      <c r="AR246" s="125">
        <v>0</v>
      </c>
      <c r="AS246" s="125">
        <v>0</v>
      </c>
      <c r="AT246" s="125">
        <v>0</v>
      </c>
      <c r="AU246" s="125">
        <v>0</v>
      </c>
      <c r="AV246" s="125">
        <v>0</v>
      </c>
      <c r="AW246" s="125">
        <v>0</v>
      </c>
      <c r="AX246" s="125">
        <v>0</v>
      </c>
      <c r="AY246" s="125">
        <v>0</v>
      </c>
    </row>
    <row r="247" spans="1:51" x14ac:dyDescent="0.2">
      <c r="A247" s="124"/>
      <c r="B247" s="144">
        <v>39</v>
      </c>
      <c r="C247" s="121">
        <v>0</v>
      </c>
      <c r="D247" s="125">
        <v>0</v>
      </c>
      <c r="E247" s="125">
        <v>0</v>
      </c>
      <c r="F247" s="125">
        <v>0</v>
      </c>
      <c r="G247" s="125">
        <v>0</v>
      </c>
      <c r="H247" s="125">
        <v>0</v>
      </c>
      <c r="I247" s="125">
        <v>0</v>
      </c>
      <c r="J247" s="125">
        <v>0</v>
      </c>
      <c r="K247" s="125">
        <v>0</v>
      </c>
      <c r="L247" s="125">
        <v>0</v>
      </c>
      <c r="M247" s="125">
        <v>0</v>
      </c>
      <c r="N247" s="125">
        <v>0</v>
      </c>
      <c r="O247" s="125">
        <v>0</v>
      </c>
      <c r="P247" s="125">
        <v>0</v>
      </c>
      <c r="Q247" s="125">
        <v>0</v>
      </c>
      <c r="R247" s="125">
        <v>0</v>
      </c>
      <c r="S247" s="125">
        <v>0</v>
      </c>
      <c r="T247" s="125">
        <v>0</v>
      </c>
      <c r="U247" s="125">
        <v>0</v>
      </c>
      <c r="V247" s="125">
        <v>0</v>
      </c>
      <c r="W247" s="125">
        <v>0</v>
      </c>
      <c r="X247" s="125">
        <v>0</v>
      </c>
      <c r="Y247" s="125">
        <v>0</v>
      </c>
      <c r="Z247" s="125">
        <v>0</v>
      </c>
      <c r="AA247" s="125">
        <v>0</v>
      </c>
      <c r="AB247" s="125">
        <v>0</v>
      </c>
      <c r="AC247" s="125">
        <v>0</v>
      </c>
      <c r="AD247" s="125">
        <v>0</v>
      </c>
      <c r="AE247" s="125">
        <v>0</v>
      </c>
      <c r="AF247" s="125">
        <v>0</v>
      </c>
      <c r="AG247" s="125">
        <v>0</v>
      </c>
      <c r="AH247" s="125">
        <v>0</v>
      </c>
      <c r="AI247" s="125">
        <v>0</v>
      </c>
      <c r="AJ247" s="125">
        <v>0</v>
      </c>
      <c r="AK247" s="125">
        <v>0</v>
      </c>
      <c r="AL247" s="125">
        <v>0</v>
      </c>
      <c r="AM247" s="125">
        <v>0</v>
      </c>
      <c r="AN247" s="125">
        <v>0</v>
      </c>
      <c r="AO247" s="125">
        <v>0</v>
      </c>
      <c r="AP247" s="125">
        <v>0</v>
      </c>
      <c r="AQ247" s="125">
        <v>0</v>
      </c>
      <c r="AR247" s="125">
        <v>0</v>
      </c>
      <c r="AS247" s="125">
        <v>0</v>
      </c>
      <c r="AT247" s="125">
        <v>0</v>
      </c>
      <c r="AU247" s="125">
        <v>0</v>
      </c>
      <c r="AV247" s="125">
        <v>0</v>
      </c>
      <c r="AW247" s="125">
        <v>0</v>
      </c>
      <c r="AX247" s="125">
        <v>0</v>
      </c>
      <c r="AY247" s="125">
        <v>0</v>
      </c>
    </row>
    <row r="248" spans="1:51" x14ac:dyDescent="0.2">
      <c r="A248" s="124"/>
      <c r="B248" s="144">
        <v>40</v>
      </c>
      <c r="C248" s="121">
        <v>0</v>
      </c>
      <c r="D248" s="125">
        <v>0</v>
      </c>
      <c r="E248" s="125">
        <v>0</v>
      </c>
      <c r="F248" s="125">
        <v>0</v>
      </c>
      <c r="G248" s="125">
        <v>0</v>
      </c>
      <c r="H248" s="125">
        <v>0</v>
      </c>
      <c r="I248" s="125">
        <v>0</v>
      </c>
      <c r="J248" s="125">
        <v>0</v>
      </c>
      <c r="K248" s="125">
        <v>0</v>
      </c>
      <c r="L248" s="125">
        <v>0</v>
      </c>
      <c r="M248" s="125">
        <v>0</v>
      </c>
      <c r="N248" s="125">
        <v>0</v>
      </c>
      <c r="O248" s="125">
        <v>0</v>
      </c>
      <c r="P248" s="125">
        <v>0</v>
      </c>
      <c r="Q248" s="125">
        <v>0</v>
      </c>
      <c r="R248" s="125">
        <v>0</v>
      </c>
      <c r="S248" s="125">
        <v>0</v>
      </c>
      <c r="T248" s="125">
        <v>0</v>
      </c>
      <c r="U248" s="125">
        <v>0</v>
      </c>
      <c r="V248" s="125">
        <v>0</v>
      </c>
      <c r="W248" s="125">
        <v>0</v>
      </c>
      <c r="X248" s="125">
        <v>0</v>
      </c>
      <c r="Y248" s="125">
        <v>0</v>
      </c>
      <c r="Z248" s="125">
        <v>0</v>
      </c>
      <c r="AA248" s="125">
        <v>0</v>
      </c>
      <c r="AB248" s="125">
        <v>0</v>
      </c>
      <c r="AC248" s="125">
        <v>0</v>
      </c>
      <c r="AD248" s="125">
        <v>0</v>
      </c>
      <c r="AE248" s="125">
        <v>0</v>
      </c>
      <c r="AF248" s="125">
        <v>0</v>
      </c>
      <c r="AG248" s="125">
        <v>0</v>
      </c>
      <c r="AH248" s="125">
        <v>0</v>
      </c>
      <c r="AI248" s="125">
        <v>0</v>
      </c>
      <c r="AJ248" s="125">
        <v>0</v>
      </c>
      <c r="AK248" s="125">
        <v>0</v>
      </c>
      <c r="AL248" s="125">
        <v>0</v>
      </c>
      <c r="AM248" s="125">
        <v>0</v>
      </c>
      <c r="AN248" s="125">
        <v>0</v>
      </c>
      <c r="AO248" s="125">
        <v>0</v>
      </c>
      <c r="AP248" s="125">
        <v>0</v>
      </c>
      <c r="AQ248" s="125">
        <v>0</v>
      </c>
      <c r="AR248" s="125">
        <v>0</v>
      </c>
      <c r="AS248" s="125">
        <v>0</v>
      </c>
      <c r="AT248" s="125">
        <v>0</v>
      </c>
      <c r="AU248" s="125">
        <v>0</v>
      </c>
      <c r="AV248" s="125">
        <v>0</v>
      </c>
      <c r="AW248" s="125">
        <v>0</v>
      </c>
      <c r="AX248" s="125">
        <v>0</v>
      </c>
      <c r="AY248" s="125">
        <v>0</v>
      </c>
    </row>
    <row r="249" spans="1:51" x14ac:dyDescent="0.2">
      <c r="A249" s="124"/>
      <c r="B249" s="144">
        <v>41</v>
      </c>
      <c r="C249" s="121">
        <v>0</v>
      </c>
      <c r="D249" s="125">
        <v>0</v>
      </c>
      <c r="E249" s="125">
        <v>0</v>
      </c>
      <c r="F249" s="125">
        <v>0</v>
      </c>
      <c r="G249" s="125">
        <v>0</v>
      </c>
      <c r="H249" s="125">
        <v>0</v>
      </c>
      <c r="I249" s="125">
        <v>0</v>
      </c>
      <c r="J249" s="125">
        <v>0</v>
      </c>
      <c r="K249" s="125">
        <v>0</v>
      </c>
      <c r="L249" s="125">
        <v>0</v>
      </c>
      <c r="M249" s="125">
        <v>0</v>
      </c>
      <c r="N249" s="125">
        <v>0</v>
      </c>
      <c r="O249" s="125">
        <v>0</v>
      </c>
      <c r="P249" s="125">
        <v>0</v>
      </c>
      <c r="Q249" s="125">
        <v>0</v>
      </c>
      <c r="R249" s="125">
        <v>0</v>
      </c>
      <c r="S249" s="125">
        <v>0</v>
      </c>
      <c r="T249" s="125">
        <v>0</v>
      </c>
      <c r="U249" s="125">
        <v>0</v>
      </c>
      <c r="V249" s="125">
        <v>0</v>
      </c>
      <c r="W249" s="125">
        <v>0</v>
      </c>
      <c r="X249" s="125">
        <v>0</v>
      </c>
      <c r="Y249" s="125">
        <v>0</v>
      </c>
      <c r="Z249" s="125">
        <v>0</v>
      </c>
      <c r="AA249" s="125">
        <v>0</v>
      </c>
      <c r="AB249" s="125">
        <v>0</v>
      </c>
      <c r="AC249" s="125">
        <v>0</v>
      </c>
      <c r="AD249" s="125">
        <v>0</v>
      </c>
      <c r="AE249" s="125">
        <v>0</v>
      </c>
      <c r="AF249" s="125">
        <v>0</v>
      </c>
      <c r="AG249" s="125">
        <v>0</v>
      </c>
      <c r="AH249" s="125">
        <v>0</v>
      </c>
      <c r="AI249" s="125">
        <v>0</v>
      </c>
      <c r="AJ249" s="125">
        <v>0</v>
      </c>
      <c r="AK249" s="125">
        <v>0</v>
      </c>
      <c r="AL249" s="125">
        <v>0</v>
      </c>
      <c r="AM249" s="125">
        <v>0</v>
      </c>
      <c r="AN249" s="125">
        <v>0</v>
      </c>
      <c r="AO249" s="125">
        <v>0</v>
      </c>
      <c r="AP249" s="125">
        <v>0</v>
      </c>
      <c r="AQ249" s="125">
        <v>0</v>
      </c>
      <c r="AR249" s="125">
        <v>0</v>
      </c>
      <c r="AS249" s="125">
        <v>0</v>
      </c>
      <c r="AT249" s="125">
        <v>0</v>
      </c>
      <c r="AU249" s="125">
        <v>0</v>
      </c>
      <c r="AV249" s="125">
        <v>0</v>
      </c>
      <c r="AW249" s="125">
        <v>0</v>
      </c>
      <c r="AX249" s="125">
        <v>0</v>
      </c>
      <c r="AY249" s="125">
        <v>0</v>
      </c>
    </row>
    <row r="250" spans="1:51" x14ac:dyDescent="0.2">
      <c r="A250" s="124"/>
      <c r="B250" s="144">
        <v>42</v>
      </c>
      <c r="C250" s="121">
        <v>0</v>
      </c>
      <c r="D250" s="125">
        <v>0</v>
      </c>
      <c r="E250" s="125">
        <v>0</v>
      </c>
      <c r="F250" s="125">
        <v>0</v>
      </c>
      <c r="G250" s="125">
        <v>0</v>
      </c>
      <c r="H250" s="125">
        <v>0</v>
      </c>
      <c r="I250" s="125">
        <v>0</v>
      </c>
      <c r="J250" s="125">
        <v>0</v>
      </c>
      <c r="K250" s="125">
        <v>0</v>
      </c>
      <c r="L250" s="125">
        <v>0</v>
      </c>
      <c r="M250" s="125">
        <v>0</v>
      </c>
      <c r="N250" s="125">
        <v>0</v>
      </c>
      <c r="O250" s="125">
        <v>0</v>
      </c>
      <c r="P250" s="125">
        <v>0</v>
      </c>
      <c r="Q250" s="125">
        <v>0</v>
      </c>
      <c r="R250" s="125">
        <v>0</v>
      </c>
      <c r="S250" s="125">
        <v>0</v>
      </c>
      <c r="T250" s="125">
        <v>0</v>
      </c>
      <c r="U250" s="125">
        <v>0</v>
      </c>
      <c r="V250" s="125">
        <v>0</v>
      </c>
      <c r="W250" s="125">
        <v>0</v>
      </c>
      <c r="X250" s="125">
        <v>0</v>
      </c>
      <c r="Y250" s="125">
        <v>0</v>
      </c>
      <c r="Z250" s="125">
        <v>0</v>
      </c>
      <c r="AA250" s="125">
        <v>0</v>
      </c>
      <c r="AB250" s="125">
        <v>0</v>
      </c>
      <c r="AC250" s="125">
        <v>0</v>
      </c>
      <c r="AD250" s="125">
        <v>0</v>
      </c>
      <c r="AE250" s="125">
        <v>0</v>
      </c>
      <c r="AF250" s="125">
        <v>0</v>
      </c>
      <c r="AG250" s="125">
        <v>0</v>
      </c>
      <c r="AH250" s="125">
        <v>0</v>
      </c>
      <c r="AI250" s="125">
        <v>0</v>
      </c>
      <c r="AJ250" s="125">
        <v>0</v>
      </c>
      <c r="AK250" s="125">
        <v>0</v>
      </c>
      <c r="AL250" s="125">
        <v>0</v>
      </c>
      <c r="AM250" s="125">
        <v>0</v>
      </c>
      <c r="AN250" s="125">
        <v>0</v>
      </c>
      <c r="AO250" s="125">
        <v>0</v>
      </c>
      <c r="AP250" s="125">
        <v>0</v>
      </c>
      <c r="AQ250" s="125">
        <v>0</v>
      </c>
      <c r="AR250" s="125">
        <v>0</v>
      </c>
      <c r="AS250" s="125">
        <v>0</v>
      </c>
      <c r="AT250" s="125">
        <v>0</v>
      </c>
      <c r="AU250" s="125">
        <v>0</v>
      </c>
      <c r="AV250" s="125">
        <v>0</v>
      </c>
      <c r="AW250" s="125">
        <v>0</v>
      </c>
      <c r="AX250" s="125">
        <v>0</v>
      </c>
      <c r="AY250" s="125">
        <v>0</v>
      </c>
    </row>
    <row r="251" spans="1:51" x14ac:dyDescent="0.2">
      <c r="A251" s="124"/>
      <c r="B251" s="144">
        <v>43</v>
      </c>
      <c r="C251" s="121">
        <v>0</v>
      </c>
      <c r="D251" s="125">
        <v>0</v>
      </c>
      <c r="E251" s="125">
        <v>0</v>
      </c>
      <c r="F251" s="125">
        <v>0</v>
      </c>
      <c r="G251" s="125">
        <v>0</v>
      </c>
      <c r="H251" s="125">
        <v>0</v>
      </c>
      <c r="I251" s="125">
        <v>0</v>
      </c>
      <c r="J251" s="125">
        <v>0</v>
      </c>
      <c r="K251" s="125">
        <v>0</v>
      </c>
      <c r="L251" s="125">
        <v>0</v>
      </c>
      <c r="M251" s="125">
        <v>0</v>
      </c>
      <c r="N251" s="125">
        <v>0</v>
      </c>
      <c r="O251" s="125">
        <v>0</v>
      </c>
      <c r="P251" s="125">
        <v>0</v>
      </c>
      <c r="Q251" s="125">
        <v>0</v>
      </c>
      <c r="R251" s="125">
        <v>0</v>
      </c>
      <c r="S251" s="125">
        <v>0</v>
      </c>
      <c r="T251" s="125">
        <v>0</v>
      </c>
      <c r="U251" s="125">
        <v>0</v>
      </c>
      <c r="V251" s="125">
        <v>0</v>
      </c>
      <c r="W251" s="125">
        <v>0</v>
      </c>
      <c r="X251" s="125">
        <v>0</v>
      </c>
      <c r="Y251" s="125">
        <v>0</v>
      </c>
      <c r="Z251" s="125">
        <v>0</v>
      </c>
      <c r="AA251" s="125">
        <v>0</v>
      </c>
      <c r="AB251" s="125">
        <v>0</v>
      </c>
      <c r="AC251" s="125">
        <v>0</v>
      </c>
      <c r="AD251" s="125">
        <v>0</v>
      </c>
      <c r="AE251" s="125">
        <v>0</v>
      </c>
      <c r="AF251" s="125">
        <v>0</v>
      </c>
      <c r="AG251" s="125">
        <v>0</v>
      </c>
      <c r="AH251" s="125">
        <v>0</v>
      </c>
      <c r="AI251" s="125">
        <v>0</v>
      </c>
      <c r="AJ251" s="125">
        <v>0</v>
      </c>
      <c r="AK251" s="125">
        <v>0</v>
      </c>
      <c r="AL251" s="125">
        <v>0</v>
      </c>
      <c r="AM251" s="125">
        <v>0</v>
      </c>
      <c r="AN251" s="125">
        <v>0</v>
      </c>
      <c r="AO251" s="125">
        <v>0</v>
      </c>
      <c r="AP251" s="125">
        <v>0</v>
      </c>
      <c r="AQ251" s="125">
        <v>0</v>
      </c>
      <c r="AR251" s="125">
        <v>0</v>
      </c>
      <c r="AS251" s="125">
        <v>0</v>
      </c>
      <c r="AT251" s="125">
        <v>0</v>
      </c>
      <c r="AU251" s="125">
        <v>0</v>
      </c>
      <c r="AV251" s="125">
        <v>0</v>
      </c>
      <c r="AW251" s="125">
        <v>0</v>
      </c>
      <c r="AX251" s="125">
        <v>0</v>
      </c>
      <c r="AY251" s="125">
        <v>0</v>
      </c>
    </row>
    <row r="252" spans="1:51" x14ac:dyDescent="0.2">
      <c r="A252" s="124"/>
      <c r="B252" s="144">
        <v>44</v>
      </c>
      <c r="C252" s="121">
        <v>0</v>
      </c>
      <c r="D252" s="125">
        <v>0</v>
      </c>
      <c r="E252" s="125">
        <v>0</v>
      </c>
      <c r="F252" s="125">
        <v>0</v>
      </c>
      <c r="G252" s="125">
        <v>0</v>
      </c>
      <c r="H252" s="125">
        <v>0</v>
      </c>
      <c r="I252" s="125">
        <v>0</v>
      </c>
      <c r="J252" s="125">
        <v>0</v>
      </c>
      <c r="K252" s="125">
        <v>0</v>
      </c>
      <c r="L252" s="125">
        <v>0</v>
      </c>
      <c r="M252" s="125">
        <v>0</v>
      </c>
      <c r="N252" s="125">
        <v>0</v>
      </c>
      <c r="O252" s="125">
        <v>0</v>
      </c>
      <c r="P252" s="125">
        <v>0</v>
      </c>
      <c r="Q252" s="125">
        <v>0</v>
      </c>
      <c r="R252" s="125">
        <v>0</v>
      </c>
      <c r="S252" s="125">
        <v>0</v>
      </c>
      <c r="T252" s="125">
        <v>0</v>
      </c>
      <c r="U252" s="125">
        <v>0</v>
      </c>
      <c r="V252" s="125">
        <v>0</v>
      </c>
      <c r="W252" s="125">
        <v>0</v>
      </c>
      <c r="X252" s="125">
        <v>0</v>
      </c>
      <c r="Y252" s="125">
        <v>0</v>
      </c>
      <c r="Z252" s="125">
        <v>0</v>
      </c>
      <c r="AA252" s="125">
        <v>0</v>
      </c>
      <c r="AB252" s="125">
        <v>0</v>
      </c>
      <c r="AC252" s="125">
        <v>0</v>
      </c>
      <c r="AD252" s="125">
        <v>0</v>
      </c>
      <c r="AE252" s="125">
        <v>0</v>
      </c>
      <c r="AF252" s="125">
        <v>0</v>
      </c>
      <c r="AG252" s="125">
        <v>0</v>
      </c>
      <c r="AH252" s="125">
        <v>0</v>
      </c>
      <c r="AI252" s="125">
        <v>0</v>
      </c>
      <c r="AJ252" s="125">
        <v>0</v>
      </c>
      <c r="AK252" s="125">
        <v>0</v>
      </c>
      <c r="AL252" s="125">
        <v>0</v>
      </c>
      <c r="AM252" s="125">
        <v>0</v>
      </c>
      <c r="AN252" s="125">
        <v>0</v>
      </c>
      <c r="AO252" s="125">
        <v>0</v>
      </c>
      <c r="AP252" s="125">
        <v>0</v>
      </c>
      <c r="AQ252" s="125">
        <v>0</v>
      </c>
      <c r="AR252" s="125">
        <v>0</v>
      </c>
      <c r="AS252" s="125">
        <v>0</v>
      </c>
      <c r="AT252" s="125">
        <v>0</v>
      </c>
      <c r="AU252" s="125">
        <v>0</v>
      </c>
      <c r="AV252" s="125">
        <v>0</v>
      </c>
      <c r="AW252" s="125">
        <v>0</v>
      </c>
      <c r="AX252" s="125">
        <v>0</v>
      </c>
      <c r="AY252" s="125">
        <v>0</v>
      </c>
    </row>
    <row r="253" spans="1:51" x14ac:dyDescent="0.2">
      <c r="A253" s="124"/>
      <c r="B253" s="144">
        <v>45</v>
      </c>
      <c r="C253" s="121">
        <v>0</v>
      </c>
      <c r="D253" s="125">
        <v>0</v>
      </c>
      <c r="E253" s="125">
        <v>0</v>
      </c>
      <c r="F253" s="125">
        <v>0</v>
      </c>
      <c r="G253" s="125">
        <v>0</v>
      </c>
      <c r="H253" s="125">
        <v>0</v>
      </c>
      <c r="I253" s="125">
        <v>0</v>
      </c>
      <c r="J253" s="125">
        <v>0</v>
      </c>
      <c r="K253" s="125">
        <v>0</v>
      </c>
      <c r="L253" s="125">
        <v>0</v>
      </c>
      <c r="M253" s="125">
        <v>0</v>
      </c>
      <c r="N253" s="125">
        <v>0</v>
      </c>
      <c r="O253" s="125">
        <v>0</v>
      </c>
      <c r="P253" s="125">
        <v>0</v>
      </c>
      <c r="Q253" s="125">
        <v>0</v>
      </c>
      <c r="R253" s="125">
        <v>0</v>
      </c>
      <c r="S253" s="125">
        <v>0</v>
      </c>
      <c r="T253" s="125">
        <v>0</v>
      </c>
      <c r="U253" s="125">
        <v>0</v>
      </c>
      <c r="V253" s="125">
        <v>0</v>
      </c>
      <c r="W253" s="125">
        <v>0</v>
      </c>
      <c r="X253" s="125">
        <v>0</v>
      </c>
      <c r="Y253" s="125">
        <v>0</v>
      </c>
      <c r="Z253" s="125">
        <v>0</v>
      </c>
      <c r="AA253" s="125">
        <v>0</v>
      </c>
      <c r="AB253" s="125">
        <v>0</v>
      </c>
      <c r="AC253" s="125">
        <v>0</v>
      </c>
      <c r="AD253" s="125">
        <v>0</v>
      </c>
      <c r="AE253" s="125">
        <v>0</v>
      </c>
      <c r="AF253" s="125">
        <v>0</v>
      </c>
      <c r="AG253" s="125">
        <v>0</v>
      </c>
      <c r="AH253" s="125">
        <v>0</v>
      </c>
      <c r="AI253" s="125">
        <v>0</v>
      </c>
      <c r="AJ253" s="125">
        <v>0</v>
      </c>
      <c r="AK253" s="125">
        <v>0</v>
      </c>
      <c r="AL253" s="125">
        <v>0</v>
      </c>
      <c r="AM253" s="125">
        <v>0</v>
      </c>
      <c r="AN253" s="125">
        <v>0</v>
      </c>
      <c r="AO253" s="125">
        <v>0</v>
      </c>
      <c r="AP253" s="125">
        <v>0</v>
      </c>
      <c r="AQ253" s="125">
        <v>0</v>
      </c>
      <c r="AR253" s="125">
        <v>0</v>
      </c>
      <c r="AS253" s="125">
        <v>0</v>
      </c>
      <c r="AT253" s="125">
        <v>0</v>
      </c>
      <c r="AU253" s="125">
        <v>0</v>
      </c>
      <c r="AV253" s="125">
        <v>0</v>
      </c>
      <c r="AW253" s="125">
        <v>0</v>
      </c>
      <c r="AX253" s="125">
        <v>0</v>
      </c>
      <c r="AY253" s="125">
        <v>0</v>
      </c>
    </row>
    <row r="254" spans="1:51" x14ac:dyDescent="0.2">
      <c r="A254" s="124"/>
      <c r="B254" s="144">
        <v>46</v>
      </c>
      <c r="C254" s="121">
        <v>0</v>
      </c>
      <c r="D254" s="125">
        <v>0</v>
      </c>
      <c r="E254" s="125">
        <v>0</v>
      </c>
      <c r="F254" s="125">
        <v>0</v>
      </c>
      <c r="G254" s="125">
        <v>0</v>
      </c>
      <c r="H254" s="125">
        <v>0</v>
      </c>
      <c r="I254" s="125">
        <v>0</v>
      </c>
      <c r="J254" s="125">
        <v>0</v>
      </c>
      <c r="K254" s="125">
        <v>0</v>
      </c>
      <c r="L254" s="125">
        <v>0</v>
      </c>
      <c r="M254" s="125">
        <v>0</v>
      </c>
      <c r="N254" s="125">
        <v>0</v>
      </c>
      <c r="O254" s="125">
        <v>0</v>
      </c>
      <c r="P254" s="125">
        <v>0</v>
      </c>
      <c r="Q254" s="125">
        <v>0</v>
      </c>
      <c r="R254" s="125">
        <v>0</v>
      </c>
      <c r="S254" s="125">
        <v>0</v>
      </c>
      <c r="T254" s="125">
        <v>0</v>
      </c>
      <c r="U254" s="125">
        <v>0</v>
      </c>
      <c r="V254" s="125">
        <v>0</v>
      </c>
      <c r="W254" s="125">
        <v>0</v>
      </c>
      <c r="X254" s="125">
        <v>0</v>
      </c>
      <c r="Y254" s="125">
        <v>0</v>
      </c>
      <c r="Z254" s="125">
        <v>0</v>
      </c>
      <c r="AA254" s="125">
        <v>0</v>
      </c>
      <c r="AB254" s="125">
        <v>0</v>
      </c>
      <c r="AC254" s="125">
        <v>0</v>
      </c>
      <c r="AD254" s="125">
        <v>0</v>
      </c>
      <c r="AE254" s="125">
        <v>0</v>
      </c>
      <c r="AF254" s="125">
        <v>0</v>
      </c>
      <c r="AG254" s="125">
        <v>0</v>
      </c>
      <c r="AH254" s="125">
        <v>0</v>
      </c>
      <c r="AI254" s="125">
        <v>0</v>
      </c>
      <c r="AJ254" s="125">
        <v>0</v>
      </c>
      <c r="AK254" s="125">
        <v>0</v>
      </c>
      <c r="AL254" s="125">
        <v>0</v>
      </c>
      <c r="AM254" s="125">
        <v>0</v>
      </c>
      <c r="AN254" s="125">
        <v>0</v>
      </c>
      <c r="AO254" s="125">
        <v>0</v>
      </c>
      <c r="AP254" s="125">
        <v>0</v>
      </c>
      <c r="AQ254" s="125">
        <v>0</v>
      </c>
      <c r="AR254" s="125">
        <v>0</v>
      </c>
      <c r="AS254" s="125">
        <v>0</v>
      </c>
      <c r="AT254" s="125">
        <v>0</v>
      </c>
      <c r="AU254" s="125">
        <v>0</v>
      </c>
      <c r="AV254" s="125">
        <v>0</v>
      </c>
      <c r="AW254" s="125">
        <v>0</v>
      </c>
      <c r="AX254" s="125">
        <v>0</v>
      </c>
      <c r="AY254" s="125">
        <v>0</v>
      </c>
    </row>
    <row r="255" spans="1:51" x14ac:dyDescent="0.2">
      <c r="A255" s="124"/>
      <c r="B255" s="144">
        <v>47</v>
      </c>
      <c r="C255" s="121">
        <v>0</v>
      </c>
      <c r="D255" s="125">
        <v>0</v>
      </c>
      <c r="E255" s="125">
        <v>0</v>
      </c>
      <c r="F255" s="125">
        <v>0</v>
      </c>
      <c r="G255" s="125">
        <v>0</v>
      </c>
      <c r="H255" s="125">
        <v>0</v>
      </c>
      <c r="I255" s="125">
        <v>0</v>
      </c>
      <c r="J255" s="125">
        <v>0</v>
      </c>
      <c r="K255" s="125">
        <v>0</v>
      </c>
      <c r="L255" s="125">
        <v>0</v>
      </c>
      <c r="M255" s="125">
        <v>0</v>
      </c>
      <c r="N255" s="125">
        <v>0</v>
      </c>
      <c r="O255" s="125">
        <v>0</v>
      </c>
      <c r="P255" s="125">
        <v>0</v>
      </c>
      <c r="Q255" s="125">
        <v>0</v>
      </c>
      <c r="R255" s="125">
        <v>0</v>
      </c>
      <c r="S255" s="125">
        <v>0</v>
      </c>
      <c r="T255" s="125">
        <v>0</v>
      </c>
      <c r="U255" s="125">
        <v>0</v>
      </c>
      <c r="V255" s="125">
        <v>0</v>
      </c>
      <c r="W255" s="125">
        <v>0</v>
      </c>
      <c r="X255" s="125">
        <v>0</v>
      </c>
      <c r="Y255" s="125">
        <v>0</v>
      </c>
      <c r="Z255" s="125">
        <v>0</v>
      </c>
      <c r="AA255" s="125">
        <v>0</v>
      </c>
      <c r="AB255" s="125">
        <v>0</v>
      </c>
      <c r="AC255" s="125">
        <v>0</v>
      </c>
      <c r="AD255" s="125">
        <v>0</v>
      </c>
      <c r="AE255" s="125">
        <v>0</v>
      </c>
      <c r="AF255" s="125">
        <v>0</v>
      </c>
      <c r="AG255" s="125">
        <v>0</v>
      </c>
      <c r="AH255" s="125">
        <v>0</v>
      </c>
      <c r="AI255" s="125">
        <v>0</v>
      </c>
      <c r="AJ255" s="125">
        <v>0</v>
      </c>
      <c r="AK255" s="125">
        <v>0</v>
      </c>
      <c r="AL255" s="125">
        <v>0</v>
      </c>
      <c r="AM255" s="125">
        <v>0</v>
      </c>
      <c r="AN255" s="125">
        <v>0</v>
      </c>
      <c r="AO255" s="125">
        <v>0</v>
      </c>
      <c r="AP255" s="125">
        <v>0</v>
      </c>
      <c r="AQ255" s="125">
        <v>0</v>
      </c>
      <c r="AR255" s="125">
        <v>0</v>
      </c>
      <c r="AS255" s="125">
        <v>0</v>
      </c>
      <c r="AT255" s="125">
        <v>0</v>
      </c>
      <c r="AU255" s="125">
        <v>0</v>
      </c>
      <c r="AV255" s="125">
        <v>0</v>
      </c>
      <c r="AW255" s="125">
        <v>0</v>
      </c>
      <c r="AX255" s="125">
        <v>0</v>
      </c>
      <c r="AY255" s="125">
        <v>0</v>
      </c>
    </row>
    <row r="256" spans="1:51" x14ac:dyDescent="0.2">
      <c r="A256" s="142"/>
      <c r="B256" s="143">
        <v>48</v>
      </c>
      <c r="C256" s="128">
        <v>0</v>
      </c>
      <c r="D256" s="139">
        <v>0</v>
      </c>
      <c r="E256" s="139">
        <v>0</v>
      </c>
      <c r="F256" s="139">
        <v>0</v>
      </c>
      <c r="G256" s="139">
        <v>0</v>
      </c>
      <c r="H256" s="139">
        <v>0</v>
      </c>
      <c r="I256" s="139">
        <v>0</v>
      </c>
      <c r="J256" s="139">
        <v>0</v>
      </c>
      <c r="K256" s="139">
        <v>0</v>
      </c>
      <c r="L256" s="139">
        <v>0</v>
      </c>
      <c r="M256" s="139">
        <v>0</v>
      </c>
      <c r="N256" s="139">
        <v>0</v>
      </c>
      <c r="O256" s="139">
        <v>0</v>
      </c>
      <c r="P256" s="139">
        <v>0</v>
      </c>
      <c r="Q256" s="139">
        <v>0</v>
      </c>
      <c r="R256" s="139">
        <v>0</v>
      </c>
      <c r="S256" s="139">
        <v>0</v>
      </c>
      <c r="T256" s="139">
        <v>0</v>
      </c>
      <c r="U256" s="139">
        <v>0</v>
      </c>
      <c r="V256" s="139">
        <v>0</v>
      </c>
      <c r="W256" s="139">
        <v>0</v>
      </c>
      <c r="X256" s="139">
        <v>0</v>
      </c>
      <c r="Y256" s="139">
        <v>0</v>
      </c>
      <c r="Z256" s="139">
        <v>0</v>
      </c>
      <c r="AA256" s="139">
        <v>0</v>
      </c>
      <c r="AB256" s="139">
        <v>0</v>
      </c>
      <c r="AC256" s="139">
        <v>0</v>
      </c>
      <c r="AD256" s="139">
        <v>0</v>
      </c>
      <c r="AE256" s="139">
        <v>0</v>
      </c>
      <c r="AF256" s="139">
        <v>0</v>
      </c>
      <c r="AG256" s="139">
        <v>0</v>
      </c>
      <c r="AH256" s="139">
        <v>0</v>
      </c>
      <c r="AI256" s="139">
        <v>0</v>
      </c>
      <c r="AJ256" s="139">
        <v>0</v>
      </c>
      <c r="AK256" s="139">
        <v>0</v>
      </c>
      <c r="AL256" s="139">
        <v>0</v>
      </c>
      <c r="AM256" s="139">
        <v>0</v>
      </c>
      <c r="AN256" s="139">
        <v>0</v>
      </c>
      <c r="AO256" s="139">
        <v>0</v>
      </c>
      <c r="AP256" s="139">
        <v>0</v>
      </c>
      <c r="AQ256" s="139">
        <v>0</v>
      </c>
      <c r="AR256" s="139">
        <v>0</v>
      </c>
      <c r="AS256" s="139">
        <v>0</v>
      </c>
      <c r="AT256" s="139">
        <v>0</v>
      </c>
      <c r="AU256" s="139">
        <v>0</v>
      </c>
      <c r="AV256" s="139">
        <v>0</v>
      </c>
      <c r="AW256" s="139">
        <v>0</v>
      </c>
      <c r="AX256" s="139">
        <v>0</v>
      </c>
      <c r="AY256" s="139">
        <v>0</v>
      </c>
    </row>
    <row r="258" spans="1:52" x14ac:dyDescent="0.2">
      <c r="A258" s="1" t="s">
        <v>301</v>
      </c>
    </row>
    <row r="259" spans="1:52" x14ac:dyDescent="0.2">
      <c r="A259" s="151" t="s">
        <v>124</v>
      </c>
      <c r="B259" s="152">
        <v>650</v>
      </c>
      <c r="C259" s="138" t="s">
        <v>293</v>
      </c>
      <c r="D259" s="138">
        <f>E$14*$B$259</f>
        <v>170871.15061694296</v>
      </c>
      <c r="E259" s="138">
        <f t="shared" ref="E259:AX259" si="5">F$14*$B$259</f>
        <v>170871.15061694296</v>
      </c>
      <c r="F259" s="138">
        <f t="shared" si="5"/>
        <v>170871.15061694296</v>
      </c>
      <c r="G259" s="138">
        <f t="shared" si="5"/>
        <v>170871.15061694296</v>
      </c>
      <c r="H259" s="138">
        <f t="shared" si="5"/>
        <v>170871.15061694308</v>
      </c>
      <c r="I259" s="138">
        <f t="shared" si="5"/>
        <v>196367.11192964448</v>
      </c>
      <c r="J259" s="138">
        <f t="shared" si="5"/>
        <v>207975.39548776724</v>
      </c>
      <c r="K259" s="138">
        <f t="shared" si="5"/>
        <v>233216.44061576243</v>
      </c>
      <c r="L259" s="138">
        <f t="shared" si="5"/>
        <v>237773.49682360436</v>
      </c>
      <c r="M259" s="138">
        <f t="shared" si="5"/>
        <v>170871.15061694308</v>
      </c>
      <c r="N259" s="138">
        <f t="shared" si="5"/>
        <v>170871.15061694308</v>
      </c>
      <c r="O259" s="138">
        <f t="shared" si="5"/>
        <v>170871.15061694308</v>
      </c>
      <c r="P259" s="138">
        <f t="shared" si="5"/>
        <v>170871.15061694308</v>
      </c>
      <c r="Q259" s="138">
        <f t="shared" si="5"/>
        <v>193308.45740476743</v>
      </c>
      <c r="R259" s="138">
        <f t="shared" si="5"/>
        <v>177811.7747779059</v>
      </c>
      <c r="S259" s="138">
        <f t="shared" si="5"/>
        <v>176388.08408635351</v>
      </c>
      <c r="T259" s="138">
        <f t="shared" si="5"/>
        <v>170871.15061694308</v>
      </c>
      <c r="U259" s="138">
        <f t="shared" si="5"/>
        <v>170871.15061694308</v>
      </c>
      <c r="V259" s="138">
        <f t="shared" si="5"/>
        <v>170871.15061694308</v>
      </c>
      <c r="W259" s="138">
        <f t="shared" si="5"/>
        <v>170871.15061694308</v>
      </c>
      <c r="X259" s="138">
        <f t="shared" si="5"/>
        <v>170871.15061694308</v>
      </c>
      <c r="Y259" s="138">
        <f t="shared" si="5"/>
        <v>170871.15061694308</v>
      </c>
      <c r="Z259" s="138">
        <f t="shared" si="5"/>
        <v>170871.15061694308</v>
      </c>
      <c r="AA259" s="138">
        <f t="shared" si="5"/>
        <v>170871.15061694308</v>
      </c>
      <c r="AB259" s="138">
        <f t="shared" si="5"/>
        <v>170871.15061694308</v>
      </c>
      <c r="AC259" s="138">
        <f t="shared" si="5"/>
        <v>170871.15061694308</v>
      </c>
      <c r="AD259" s="138">
        <f t="shared" si="5"/>
        <v>170871.15061694308</v>
      </c>
      <c r="AE259" s="138">
        <f t="shared" si="5"/>
        <v>170871.15061694308</v>
      </c>
      <c r="AF259" s="138">
        <f t="shared" si="5"/>
        <v>170871.15061694308</v>
      </c>
      <c r="AG259" s="138">
        <f t="shared" si="5"/>
        <v>170871.15061694308</v>
      </c>
      <c r="AH259" s="138">
        <f t="shared" si="5"/>
        <v>170871.15061694308</v>
      </c>
      <c r="AI259" s="138">
        <f t="shared" si="5"/>
        <v>170871.15061694308</v>
      </c>
      <c r="AJ259" s="138">
        <f t="shared" si="5"/>
        <v>170871.15061694308</v>
      </c>
      <c r="AK259" s="138">
        <f t="shared" si="5"/>
        <v>170871.15061694308</v>
      </c>
      <c r="AL259" s="138">
        <f t="shared" si="5"/>
        <v>170871.15061694308</v>
      </c>
      <c r="AM259" s="138">
        <f t="shared" si="5"/>
        <v>170871.15061694308</v>
      </c>
      <c r="AN259" s="138">
        <f t="shared" si="5"/>
        <v>170871.15061694308</v>
      </c>
      <c r="AO259" s="138">
        <f t="shared" si="5"/>
        <v>172401.51479895803</v>
      </c>
      <c r="AP259" s="138">
        <f t="shared" si="5"/>
        <v>170871.15061694308</v>
      </c>
      <c r="AQ259" s="138">
        <f t="shared" si="5"/>
        <v>187810.72179681106</v>
      </c>
      <c r="AR259" s="138">
        <f t="shared" si="5"/>
        <v>187681.56206651445</v>
      </c>
      <c r="AS259" s="138">
        <f t="shared" si="5"/>
        <v>183249.47132829259</v>
      </c>
      <c r="AT259" s="138">
        <f t="shared" si="5"/>
        <v>193193.87790080465</v>
      </c>
      <c r="AU259" s="138">
        <f t="shared" si="5"/>
        <v>201819.37679824227</v>
      </c>
      <c r="AV259" s="138">
        <f t="shared" si="5"/>
        <v>200820.59796510229</v>
      </c>
      <c r="AW259" s="138">
        <f t="shared" si="5"/>
        <v>170871.15061694308</v>
      </c>
      <c r="AX259" s="138">
        <f t="shared" si="5"/>
        <v>170871.15061694308</v>
      </c>
      <c r="AY259" s="138">
        <f>AZ$14*$B$259</f>
        <v>170871.15061694308</v>
      </c>
      <c r="AZ259" s="153">
        <f>SUM($D259:$AY259)</f>
        <v>8559437.0047565904</v>
      </c>
    </row>
    <row r="260" spans="1:52" x14ac:dyDescent="0.2">
      <c r="A260" s="154" t="s">
        <v>302</v>
      </c>
      <c r="B260" s="128">
        <v>60</v>
      </c>
      <c r="C260" s="139" t="s">
        <v>293</v>
      </c>
      <c r="D260" s="139">
        <f>(D$175-D$176+D$177-D$178+D$179-D$180+D$181-D$182)*$B$260</f>
        <v>1277056.5024977592</v>
      </c>
      <c r="E260" s="139">
        <f t="shared" ref="E260:AY260" si="6">(E$175-E$176+E$177-E$178+E$179-E$180+E$181-E$182)*$B$260</f>
        <v>987582.07689867448</v>
      </c>
      <c r="F260" s="139">
        <f t="shared" si="6"/>
        <v>698827.65129958978</v>
      </c>
      <c r="G260" s="139">
        <f t="shared" si="6"/>
        <v>397353.22570050519</v>
      </c>
      <c r="H260" s="139">
        <f t="shared" si="6"/>
        <v>420235.05507095571</v>
      </c>
      <c r="I260" s="139">
        <f t="shared" si="6"/>
        <v>425835.33093790727</v>
      </c>
      <c r="J260" s="139">
        <f t="shared" si="6"/>
        <v>437738.34803686431</v>
      </c>
      <c r="K260" s="139">
        <f t="shared" si="6"/>
        <v>438893.42440970551</v>
      </c>
      <c r="L260" s="139">
        <f t="shared" si="6"/>
        <v>386673.22570050519</v>
      </c>
      <c r="M260" s="139">
        <f t="shared" si="6"/>
        <v>385893.22570050519</v>
      </c>
      <c r="N260" s="139">
        <f t="shared" si="6"/>
        <v>394953.22570050519</v>
      </c>
      <c r="O260" s="139">
        <f t="shared" si="6"/>
        <v>398433.22570050519</v>
      </c>
      <c r="P260" s="139">
        <f t="shared" si="6"/>
        <v>380395.05507095571</v>
      </c>
      <c r="Q260" s="139">
        <f t="shared" si="6"/>
        <v>361683.18265429634</v>
      </c>
      <c r="R260" s="139">
        <f t="shared" si="6"/>
        <v>363180.12146828172</v>
      </c>
      <c r="S260" s="139">
        <f t="shared" si="6"/>
        <v>366518.95347766153</v>
      </c>
      <c r="T260" s="139">
        <f t="shared" si="6"/>
        <v>396693.22570050519</v>
      </c>
      <c r="U260" s="139">
        <f t="shared" si="6"/>
        <v>396453.22570050519</v>
      </c>
      <c r="V260" s="139">
        <f t="shared" si="6"/>
        <v>412757.0442186094</v>
      </c>
      <c r="W260" s="139">
        <f t="shared" si="6"/>
        <v>399938.95347766153</v>
      </c>
      <c r="X260" s="139">
        <f t="shared" si="6"/>
        <v>357033.22570050519</v>
      </c>
      <c r="Y260" s="139">
        <f t="shared" si="6"/>
        <v>337713.22570050519</v>
      </c>
      <c r="Z260" s="139">
        <f t="shared" si="6"/>
        <v>335433.22570050519</v>
      </c>
      <c r="AA260" s="139">
        <f t="shared" si="6"/>
        <v>367113.22570050519</v>
      </c>
      <c r="AB260" s="139">
        <f t="shared" si="6"/>
        <v>414977.0442186094</v>
      </c>
      <c r="AC260" s="139">
        <f t="shared" si="6"/>
        <v>401438.95347766153</v>
      </c>
      <c r="AD260" s="139">
        <f t="shared" si="6"/>
        <v>401733.22570050519</v>
      </c>
      <c r="AE260" s="139">
        <f t="shared" si="6"/>
        <v>399753.22570050519</v>
      </c>
      <c r="AF260" s="139">
        <f t="shared" si="6"/>
        <v>423857.0442186094</v>
      </c>
      <c r="AG260" s="139">
        <f t="shared" si="6"/>
        <v>415953.22570050519</v>
      </c>
      <c r="AH260" s="139">
        <f t="shared" si="6"/>
        <v>416733.22570050519</v>
      </c>
      <c r="AI260" s="139">
        <f t="shared" si="6"/>
        <v>418233.22570050519</v>
      </c>
      <c r="AJ260" s="139">
        <f t="shared" si="6"/>
        <v>390993.22570050519</v>
      </c>
      <c r="AK260" s="139">
        <f t="shared" si="6"/>
        <v>386133.22570050519</v>
      </c>
      <c r="AL260" s="139">
        <f t="shared" si="6"/>
        <v>388593.22570050519</v>
      </c>
      <c r="AM260" s="139">
        <f t="shared" si="6"/>
        <v>387573.22570050519</v>
      </c>
      <c r="AN260" s="139">
        <f t="shared" si="6"/>
        <v>413469.2179067636</v>
      </c>
      <c r="AO260" s="139">
        <f t="shared" si="6"/>
        <v>404073.22570050519</v>
      </c>
      <c r="AP260" s="139">
        <f t="shared" si="6"/>
        <v>421876.87354645022</v>
      </c>
      <c r="AQ260" s="139">
        <f t="shared" si="6"/>
        <v>412860.11747727188</v>
      </c>
      <c r="AR260" s="139">
        <f t="shared" si="6"/>
        <v>394073.69040938531</v>
      </c>
      <c r="AS260" s="139">
        <f t="shared" si="6"/>
        <v>399925.83568303072</v>
      </c>
      <c r="AT260" s="139">
        <f t="shared" si="6"/>
        <v>391745.45943435049</v>
      </c>
      <c r="AU260" s="139">
        <f t="shared" si="6"/>
        <v>386750.75675919943</v>
      </c>
      <c r="AV260" s="139">
        <f t="shared" si="6"/>
        <v>408633.22570050519</v>
      </c>
      <c r="AW260" s="139">
        <f t="shared" si="6"/>
        <v>406593.22570050519</v>
      </c>
      <c r="AX260" s="139">
        <f t="shared" si="6"/>
        <v>410133.22570050519</v>
      </c>
      <c r="AY260" s="139">
        <f t="shared" si="6"/>
        <v>413913.22570050519</v>
      </c>
      <c r="AZ260" s="155">
        <f>SUM($D260:$AY260)</f>
        <v>20834407.335162882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75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customWidth="1"/>
    <col min="2" max="2" width="12.7109375" customWidth="1"/>
  </cols>
  <sheetData>
    <row r="1" spans="1:53" x14ac:dyDescent="0.2">
      <c r="A1" s="1" t="s">
        <v>284</v>
      </c>
    </row>
    <row r="2" spans="1:53" x14ac:dyDescent="0.2">
      <c r="A2" t="s">
        <v>285</v>
      </c>
      <c r="B2" s="122" t="s">
        <v>59</v>
      </c>
    </row>
    <row r="3" spans="1:53" x14ac:dyDescent="0.2">
      <c r="A3" t="s">
        <v>286</v>
      </c>
      <c r="B3" s="123">
        <v>43000</v>
      </c>
      <c r="C3" s="124"/>
    </row>
    <row r="4" spans="1:53" x14ac:dyDescent="0.2">
      <c r="B4" s="125"/>
      <c r="C4" s="125"/>
    </row>
    <row r="5" spans="1:53" x14ac:dyDescent="0.2">
      <c r="C5" s="9" t="s">
        <v>287</v>
      </c>
    </row>
    <row r="6" spans="1:53" x14ac:dyDescent="0.2">
      <c r="C6" s="126">
        <v>0</v>
      </c>
      <c r="D6" s="126">
        <v>1</v>
      </c>
      <c r="E6" s="126">
        <v>2</v>
      </c>
      <c r="F6" s="126">
        <v>3</v>
      </c>
      <c r="G6" s="126">
        <v>4</v>
      </c>
      <c r="H6" s="126">
        <v>5</v>
      </c>
      <c r="I6" s="126">
        <v>6</v>
      </c>
      <c r="J6" s="126">
        <v>7</v>
      </c>
      <c r="K6" s="126">
        <v>8</v>
      </c>
      <c r="L6" s="126">
        <v>9</v>
      </c>
      <c r="M6" s="126">
        <v>10</v>
      </c>
      <c r="N6" s="126">
        <v>11</v>
      </c>
      <c r="O6" s="126">
        <v>12</v>
      </c>
      <c r="P6" s="126">
        <v>13</v>
      </c>
      <c r="Q6" s="126">
        <v>14</v>
      </c>
      <c r="R6" s="126">
        <v>15</v>
      </c>
      <c r="S6" s="126">
        <v>16</v>
      </c>
      <c r="T6" s="126">
        <v>17</v>
      </c>
      <c r="U6" s="126">
        <v>18</v>
      </c>
      <c r="V6" s="126">
        <v>19</v>
      </c>
      <c r="W6" s="126">
        <v>20</v>
      </c>
      <c r="X6" s="126">
        <v>21</v>
      </c>
      <c r="Y6" s="126">
        <v>22</v>
      </c>
      <c r="Z6" s="126">
        <v>23</v>
      </c>
      <c r="AA6" s="126">
        <v>24</v>
      </c>
      <c r="AB6" s="126">
        <v>25</v>
      </c>
      <c r="AC6" s="126">
        <v>26</v>
      </c>
      <c r="AD6" s="126">
        <v>27</v>
      </c>
      <c r="AE6" s="126">
        <v>28</v>
      </c>
      <c r="AF6" s="126">
        <v>29</v>
      </c>
      <c r="AG6" s="126">
        <v>30</v>
      </c>
      <c r="AH6" s="126">
        <v>31</v>
      </c>
      <c r="AI6" s="126">
        <v>32</v>
      </c>
      <c r="AJ6" s="126">
        <v>33</v>
      </c>
      <c r="AK6" s="126">
        <v>34</v>
      </c>
      <c r="AL6" s="126">
        <v>35</v>
      </c>
      <c r="AM6" s="126">
        <v>36</v>
      </c>
      <c r="AN6" s="126">
        <v>37</v>
      </c>
      <c r="AO6" s="126">
        <v>38</v>
      </c>
      <c r="AP6" s="126">
        <v>39</v>
      </c>
      <c r="AQ6" s="126">
        <v>40</v>
      </c>
      <c r="AR6" s="126">
        <v>41</v>
      </c>
      <c r="AS6" s="126">
        <v>42</v>
      </c>
      <c r="AT6" s="126">
        <v>43</v>
      </c>
      <c r="AU6" s="126">
        <v>44</v>
      </c>
      <c r="AV6" s="126">
        <v>45</v>
      </c>
      <c r="AW6" s="126">
        <v>46</v>
      </c>
      <c r="AX6" s="126">
        <v>47</v>
      </c>
      <c r="AY6" s="126">
        <v>48</v>
      </c>
    </row>
    <row r="7" spans="1:53" x14ac:dyDescent="0.2">
      <c r="B7" s="125"/>
      <c r="C7" s="127" t="s">
        <v>288</v>
      </c>
      <c r="D7" s="126" t="s">
        <v>289</v>
      </c>
      <c r="E7" s="126" t="s">
        <v>289</v>
      </c>
      <c r="F7" s="126" t="s">
        <v>289</v>
      </c>
      <c r="G7" s="126" t="s">
        <v>289</v>
      </c>
      <c r="H7" s="126" t="s">
        <v>289</v>
      </c>
      <c r="I7" s="126" t="s">
        <v>289</v>
      </c>
      <c r="J7" s="126" t="s">
        <v>289</v>
      </c>
      <c r="K7" s="126" t="s">
        <v>289</v>
      </c>
      <c r="L7" s="126" t="s">
        <v>289</v>
      </c>
      <c r="M7" s="126" t="s">
        <v>289</v>
      </c>
      <c r="N7" s="126" t="s">
        <v>289</v>
      </c>
      <c r="O7" s="126" t="s">
        <v>289</v>
      </c>
      <c r="P7" s="126" t="s">
        <v>289</v>
      </c>
      <c r="Q7" s="126" t="s">
        <v>289</v>
      </c>
      <c r="R7" s="126" t="s">
        <v>289</v>
      </c>
      <c r="S7" s="126" t="s">
        <v>289</v>
      </c>
      <c r="T7" s="126" t="s">
        <v>289</v>
      </c>
      <c r="U7" s="126" t="s">
        <v>289</v>
      </c>
      <c r="V7" s="126" t="s">
        <v>289</v>
      </c>
      <c r="W7" s="126" t="s">
        <v>289</v>
      </c>
      <c r="X7" s="126" t="s">
        <v>289</v>
      </c>
      <c r="Y7" s="126" t="s">
        <v>289</v>
      </c>
      <c r="Z7" s="126" t="s">
        <v>289</v>
      </c>
      <c r="AA7" s="126" t="s">
        <v>289</v>
      </c>
      <c r="AB7" s="126" t="s">
        <v>289</v>
      </c>
      <c r="AC7" s="126" t="s">
        <v>289</v>
      </c>
      <c r="AD7" s="126" t="s">
        <v>289</v>
      </c>
      <c r="AE7" s="126" t="s">
        <v>289</v>
      </c>
      <c r="AF7" s="126" t="s">
        <v>289</v>
      </c>
      <c r="AG7" s="126" t="s">
        <v>289</v>
      </c>
      <c r="AH7" s="126" t="s">
        <v>289</v>
      </c>
      <c r="AI7" s="126" t="s">
        <v>289</v>
      </c>
      <c r="AJ7" s="126" t="s">
        <v>289</v>
      </c>
      <c r="AK7" s="126" t="s">
        <v>289</v>
      </c>
      <c r="AL7" s="126" t="s">
        <v>289</v>
      </c>
      <c r="AM7" s="126" t="s">
        <v>289</v>
      </c>
      <c r="AN7" s="126" t="s">
        <v>289</v>
      </c>
      <c r="AO7" s="126" t="s">
        <v>289</v>
      </c>
      <c r="AP7" s="126" t="s">
        <v>289</v>
      </c>
      <c r="AQ7" s="126" t="s">
        <v>289</v>
      </c>
      <c r="AR7" s="126" t="s">
        <v>289</v>
      </c>
      <c r="AS7" s="126" t="s">
        <v>289</v>
      </c>
      <c r="AT7" s="126" t="s">
        <v>289</v>
      </c>
      <c r="AU7" s="126" t="s">
        <v>289</v>
      </c>
      <c r="AV7" s="126" t="s">
        <v>289</v>
      </c>
      <c r="AW7" s="126" t="s">
        <v>289</v>
      </c>
      <c r="AX7" s="126" t="s">
        <v>289</v>
      </c>
      <c r="AY7" s="9" t="s">
        <v>290</v>
      </c>
      <c r="AZ7" s="9" t="s">
        <v>291</v>
      </c>
    </row>
    <row r="8" spans="1:53" x14ac:dyDescent="0.2">
      <c r="A8" s="1" t="s">
        <v>292</v>
      </c>
      <c r="B8" s="128"/>
      <c r="AY8" s="125"/>
    </row>
    <row r="9" spans="1:53" x14ac:dyDescent="0.2">
      <c r="A9" s="129" t="s">
        <v>125</v>
      </c>
      <c r="B9" s="130">
        <v>1</v>
      </c>
      <c r="C9" s="131" t="s">
        <v>293</v>
      </c>
      <c r="D9" s="131">
        <v>7252.3031184624242</v>
      </c>
      <c r="E9" s="131">
        <v>7257.5133426498196</v>
      </c>
      <c r="F9" s="131">
        <v>7262.723844033867</v>
      </c>
      <c r="G9" s="131">
        <v>7267.9337869628098</v>
      </c>
      <c r="H9" s="131">
        <v>7273.1423355050574</v>
      </c>
      <c r="I9" s="131">
        <v>7278.3486535958036</v>
      </c>
      <c r="J9" s="131">
        <v>7283.55190518377</v>
      </c>
      <c r="K9" s="131">
        <v>7288.7512543780158</v>
      </c>
      <c r="L9" s="131">
        <v>7293.9458655948156</v>
      </c>
      <c r="M9" s="131">
        <v>7299.1349037045593</v>
      </c>
      <c r="N9" s="131">
        <v>7299.298511752274</v>
      </c>
      <c r="O9" s="131">
        <v>7299.298511752274</v>
      </c>
      <c r="P9" s="131">
        <v>7299.298511752274</v>
      </c>
      <c r="Q9" s="131">
        <v>7299.298511752274</v>
      </c>
      <c r="R9" s="131">
        <v>7299.298511752274</v>
      </c>
      <c r="S9" s="131">
        <v>7299.298511752274</v>
      </c>
      <c r="T9" s="131">
        <v>7299.298511752274</v>
      </c>
      <c r="U9" s="131">
        <v>7299.298511752274</v>
      </c>
      <c r="V9" s="131">
        <v>7299.298511752274</v>
      </c>
      <c r="W9" s="131">
        <v>7299.298511752274</v>
      </c>
      <c r="X9" s="131">
        <v>7299.298511752274</v>
      </c>
      <c r="Y9" s="131">
        <v>5869.33336784536</v>
      </c>
      <c r="Z9" s="131">
        <v>5871.3497936899848</v>
      </c>
      <c r="AA9" s="131">
        <v>7299.298511752274</v>
      </c>
      <c r="AB9" s="131">
        <v>7299.298511752274</v>
      </c>
      <c r="AC9" s="131">
        <v>7299.298511752274</v>
      </c>
      <c r="AD9" s="131">
        <v>7299.298511752274</v>
      </c>
      <c r="AE9" s="131">
        <v>7299.298511752274</v>
      </c>
      <c r="AF9" s="131">
        <v>7299.298511752274</v>
      </c>
      <c r="AG9" s="131">
        <v>7299.298511752274</v>
      </c>
      <c r="AH9" s="131">
        <v>5128.1355838139134</v>
      </c>
      <c r="AI9" s="131">
        <v>7299.298511752274</v>
      </c>
      <c r="AJ9" s="131">
        <v>7299.298511752274</v>
      </c>
      <c r="AK9" s="131">
        <v>7299.298511752274</v>
      </c>
      <c r="AL9" s="131">
        <v>7299.298511752274</v>
      </c>
      <c r="AM9" s="131">
        <v>7299.298511752274</v>
      </c>
      <c r="AN9" s="131">
        <v>7299.298511752274</v>
      </c>
      <c r="AO9" s="131">
        <v>7299.298511752274</v>
      </c>
      <c r="AP9" s="131">
        <v>7299.298511752274</v>
      </c>
      <c r="AQ9" s="131">
        <v>7299.298511752274</v>
      </c>
      <c r="AR9" s="131">
        <v>6679.4535251742236</v>
      </c>
      <c r="AS9" s="131">
        <v>7299.298511752274</v>
      </c>
      <c r="AT9" s="131">
        <v>5133.7876114018309</v>
      </c>
      <c r="AU9" s="131">
        <v>5134.2391639157104</v>
      </c>
      <c r="AV9" s="131">
        <v>5134.6873776430839</v>
      </c>
      <c r="AW9" s="131">
        <v>7299.298511752274</v>
      </c>
      <c r="AX9" s="131">
        <v>7299.298511752274</v>
      </c>
      <c r="AY9" s="131">
        <v>7299.298511752274</v>
      </c>
    </row>
    <row r="10" spans="1:53" x14ac:dyDescent="0.2">
      <c r="A10" s="132" t="s">
        <v>133</v>
      </c>
      <c r="B10" s="133">
        <v>1</v>
      </c>
      <c r="C10" s="121" t="s">
        <v>293</v>
      </c>
      <c r="D10">
        <v>2935.8396286779675</v>
      </c>
      <c r="E10">
        <v>495</v>
      </c>
      <c r="F10">
        <v>500</v>
      </c>
      <c r="G10">
        <v>2458.0972481128438</v>
      </c>
      <c r="H10">
        <v>1326.5486240564219</v>
      </c>
      <c r="I10">
        <v>1811.5486240564219</v>
      </c>
      <c r="J10">
        <v>1131.5486240564219</v>
      </c>
      <c r="K10">
        <v>1811.5486240564219</v>
      </c>
      <c r="L10">
        <v>645</v>
      </c>
      <c r="M10">
        <v>1826.5486240564219</v>
      </c>
      <c r="N10">
        <v>300</v>
      </c>
      <c r="O10">
        <v>1826.5486240564219</v>
      </c>
      <c r="P10">
        <v>1131.5486240564219</v>
      </c>
      <c r="Q10">
        <v>830</v>
      </c>
      <c r="R10">
        <v>2113.0972481128438</v>
      </c>
      <c r="S10">
        <v>1326.5486240564219</v>
      </c>
      <c r="T10">
        <v>1826.5486240564219</v>
      </c>
      <c r="U10">
        <v>480</v>
      </c>
      <c r="V10">
        <v>2195</v>
      </c>
      <c r="W10">
        <v>330</v>
      </c>
      <c r="X10">
        <v>1481.5486240564219</v>
      </c>
      <c r="Y10">
        <v>480</v>
      </c>
      <c r="Z10">
        <v>2195</v>
      </c>
      <c r="AA10">
        <v>1476.5486240564219</v>
      </c>
      <c r="AB10">
        <v>1245.3175068536382</v>
      </c>
      <c r="AC10">
        <v>1716.5486240564219</v>
      </c>
      <c r="AD10">
        <v>1251.5486240564219</v>
      </c>
      <c r="AE10">
        <v>1716.5486240564219</v>
      </c>
      <c r="AF10">
        <v>1596.5486240564219</v>
      </c>
      <c r="AG10">
        <v>1716.5486240564219</v>
      </c>
      <c r="AH10">
        <v>1251.5486240564219</v>
      </c>
      <c r="AI10">
        <v>885</v>
      </c>
      <c r="AJ10">
        <v>1048.5404765432261</v>
      </c>
      <c r="AK10">
        <v>1811.5486240564219</v>
      </c>
      <c r="AL10">
        <v>495</v>
      </c>
      <c r="AM10">
        <v>2463.0972481128438</v>
      </c>
      <c r="AN10">
        <v>1461.5486240564219</v>
      </c>
      <c r="AO10">
        <v>845</v>
      </c>
      <c r="AP10">
        <v>2443.0972481128438</v>
      </c>
      <c r="AQ10">
        <v>1481.5486240564219</v>
      </c>
      <c r="AR10">
        <v>1476.5486240564219</v>
      </c>
      <c r="AS10">
        <v>1481.5486240564219</v>
      </c>
      <c r="AT10">
        <v>1476.5486240564219</v>
      </c>
      <c r="AU10">
        <v>495</v>
      </c>
      <c r="AV10">
        <v>1826.5486240564219</v>
      </c>
      <c r="AW10">
        <v>218.60786621573106</v>
      </c>
      <c r="AX10">
        <v>1395.2751615314546</v>
      </c>
      <c r="AY10">
        <v>845</v>
      </c>
      <c r="AZ10">
        <v>2458.0972481128438</v>
      </c>
    </row>
    <row r="11" spans="1:53" x14ac:dyDescent="0.2">
      <c r="B11" s="133">
        <v>2</v>
      </c>
      <c r="C11" s="121" t="s">
        <v>293</v>
      </c>
      <c r="D11">
        <v>170</v>
      </c>
      <c r="E11">
        <v>0</v>
      </c>
      <c r="G11">
        <v>345</v>
      </c>
      <c r="I11">
        <v>0</v>
      </c>
      <c r="J11">
        <v>15</v>
      </c>
      <c r="K11">
        <v>345</v>
      </c>
      <c r="L11">
        <v>15</v>
      </c>
      <c r="M11">
        <v>1181.5486240564219</v>
      </c>
      <c r="O11">
        <v>695</v>
      </c>
      <c r="P11">
        <v>0</v>
      </c>
      <c r="Q11">
        <v>695</v>
      </c>
      <c r="R11">
        <v>15</v>
      </c>
      <c r="S11">
        <v>695</v>
      </c>
      <c r="T11">
        <v>0</v>
      </c>
      <c r="V11">
        <v>365</v>
      </c>
      <c r="W11">
        <v>613.09724811284377</v>
      </c>
      <c r="X11">
        <v>981.54862405642189</v>
      </c>
      <c r="Y11">
        <v>0</v>
      </c>
      <c r="Z11">
        <v>350</v>
      </c>
      <c r="AA11">
        <v>613.09724811284377</v>
      </c>
      <c r="AB11">
        <v>113.23500402542516</v>
      </c>
      <c r="AC11">
        <v>345</v>
      </c>
      <c r="AE11">
        <v>345</v>
      </c>
      <c r="AF11">
        <v>110</v>
      </c>
      <c r="AG11">
        <v>230</v>
      </c>
      <c r="AH11">
        <v>110</v>
      </c>
      <c r="AI11">
        <v>345</v>
      </c>
      <c r="AK11">
        <v>345</v>
      </c>
      <c r="AL11">
        <v>0</v>
      </c>
      <c r="AM11">
        <v>350</v>
      </c>
      <c r="AN11">
        <v>0</v>
      </c>
      <c r="AO11">
        <v>15</v>
      </c>
      <c r="AP11">
        <v>0</v>
      </c>
      <c r="AQ11">
        <v>350</v>
      </c>
      <c r="AR11">
        <v>345</v>
      </c>
      <c r="AS11">
        <v>350</v>
      </c>
      <c r="AT11">
        <v>345</v>
      </c>
      <c r="AU11">
        <v>327.72638031431387</v>
      </c>
      <c r="AV11">
        <v>831.54862405642189</v>
      </c>
      <c r="AW11">
        <v>0</v>
      </c>
      <c r="AX11">
        <v>345</v>
      </c>
      <c r="AZ11">
        <v>0</v>
      </c>
      <c r="BA11">
        <v>350</v>
      </c>
    </row>
    <row r="12" spans="1:53" x14ac:dyDescent="0.2">
      <c r="B12" s="134">
        <v>3</v>
      </c>
      <c r="C12" s="121" t="s">
        <v>293</v>
      </c>
      <c r="E12">
        <v>2615.8396286779675</v>
      </c>
      <c r="G12">
        <v>2159.5347493372728</v>
      </c>
      <c r="H12">
        <v>0</v>
      </c>
      <c r="L12">
        <v>350</v>
      </c>
      <c r="O12">
        <v>0</v>
      </c>
      <c r="P12">
        <v>831.54862405642189</v>
      </c>
      <c r="S12">
        <v>0</v>
      </c>
      <c r="V12">
        <v>0</v>
      </c>
      <c r="Y12">
        <v>15</v>
      </c>
      <c r="Z12">
        <v>345</v>
      </c>
      <c r="AA12">
        <v>15</v>
      </c>
      <c r="AD12">
        <v>0</v>
      </c>
      <c r="AE12">
        <v>110</v>
      </c>
      <c r="AJ12">
        <v>230</v>
      </c>
      <c r="AK12">
        <v>941.54862405642189</v>
      </c>
      <c r="AM12">
        <v>15</v>
      </c>
      <c r="AP12">
        <v>350</v>
      </c>
      <c r="AR12">
        <v>15</v>
      </c>
      <c r="AX12">
        <v>0</v>
      </c>
      <c r="AY12">
        <v>831.54862405642189</v>
      </c>
      <c r="AZ12">
        <v>0</v>
      </c>
      <c r="BA12">
        <v>0</v>
      </c>
    </row>
    <row r="13" spans="1:53" x14ac:dyDescent="0.2">
      <c r="B13" s="134">
        <v>4</v>
      </c>
      <c r="C13" s="121" t="s">
        <v>293</v>
      </c>
      <c r="J13">
        <v>350</v>
      </c>
      <c r="R13">
        <v>0</v>
      </c>
      <c r="AG13">
        <v>230</v>
      </c>
      <c r="AM13">
        <v>0</v>
      </c>
      <c r="AV13">
        <v>0</v>
      </c>
      <c r="AX13">
        <v>0</v>
      </c>
    </row>
    <row r="14" spans="1:53" x14ac:dyDescent="0.2">
      <c r="A14" s="129" t="s">
        <v>134</v>
      </c>
      <c r="B14" s="135">
        <v>1</v>
      </c>
      <c r="C14" s="131" t="s">
        <v>293</v>
      </c>
      <c r="D14" s="131">
        <v>1092.0263200527177</v>
      </c>
      <c r="E14" s="131">
        <f t="shared" ref="E14:AZ14" si="0">D$172*SUM(D$122:D$169)</f>
        <v>1252.564043985336</v>
      </c>
      <c r="F14" s="131">
        <f t="shared" si="0"/>
        <v>1119.9963778893102</v>
      </c>
      <c r="G14" s="131">
        <f t="shared" si="0"/>
        <v>1064.1504944861549</v>
      </c>
      <c r="H14" s="131">
        <f t="shared" si="0"/>
        <v>1198.2714793856344</v>
      </c>
      <c r="I14" s="131">
        <f t="shared" si="0"/>
        <v>1115.111124755872</v>
      </c>
      <c r="J14" s="131">
        <f t="shared" si="0"/>
        <v>1323.3734919738893</v>
      </c>
      <c r="K14" s="131">
        <f t="shared" si="0"/>
        <v>1580.8752653452254</v>
      </c>
      <c r="L14" s="131">
        <f t="shared" si="0"/>
        <v>1764.0957472676075</v>
      </c>
      <c r="M14" s="131">
        <f t="shared" si="0"/>
        <v>1862.5301235672052</v>
      </c>
      <c r="N14" s="131">
        <f t="shared" si="0"/>
        <v>1588.67287337628</v>
      </c>
      <c r="O14" s="131">
        <f t="shared" si="0"/>
        <v>1387.0864861305733</v>
      </c>
      <c r="P14" s="131">
        <f t="shared" si="0"/>
        <v>1173.8773202571413</v>
      </c>
      <c r="Q14" s="131">
        <f t="shared" si="0"/>
        <v>1097.4927499247158</v>
      </c>
      <c r="R14" s="131">
        <f t="shared" si="0"/>
        <v>1229.9973325156618</v>
      </c>
      <c r="S14" s="131">
        <f t="shared" si="0"/>
        <v>1350.5490425358307</v>
      </c>
      <c r="T14" s="131">
        <f t="shared" si="0"/>
        <v>1527.8168441279299</v>
      </c>
      <c r="U14" s="131">
        <f t="shared" si="0"/>
        <v>1479.8920830475263</v>
      </c>
      <c r="V14" s="131">
        <f t="shared" si="0"/>
        <v>1273.7008306976368</v>
      </c>
      <c r="W14" s="131">
        <f t="shared" si="0"/>
        <v>1217.036662992472</v>
      </c>
      <c r="X14" s="131">
        <f t="shared" si="0"/>
        <v>1167.5325451479064</v>
      </c>
      <c r="Y14" s="131">
        <f t="shared" si="0"/>
        <v>1040.9666110634857</v>
      </c>
      <c r="Z14" s="131">
        <f t="shared" si="0"/>
        <v>1238.9853486285385</v>
      </c>
      <c r="AA14" s="131">
        <f t="shared" si="0"/>
        <v>1377.6948405837761</v>
      </c>
      <c r="AB14" s="131">
        <f t="shared" si="0"/>
        <v>1596.0679483868482</v>
      </c>
      <c r="AC14" s="131">
        <f t="shared" si="0"/>
        <v>1781.3481152069264</v>
      </c>
      <c r="AD14" s="131">
        <f t="shared" si="0"/>
        <v>2041.8832594712133</v>
      </c>
      <c r="AE14" s="131">
        <f t="shared" si="0"/>
        <v>2221.1679221546142</v>
      </c>
      <c r="AF14" s="131">
        <f t="shared" si="0"/>
        <v>2341.365447726565</v>
      </c>
      <c r="AG14" s="131">
        <f t="shared" si="0"/>
        <v>2447.5850218804617</v>
      </c>
      <c r="AH14" s="131">
        <f t="shared" si="0"/>
        <v>2439.0644077088477</v>
      </c>
      <c r="AI14" s="131">
        <f t="shared" si="0"/>
        <v>2437.0552699778718</v>
      </c>
      <c r="AJ14" s="131">
        <f t="shared" si="0"/>
        <v>2455.9261764194566</v>
      </c>
      <c r="AK14" s="131">
        <f t="shared" si="0"/>
        <v>2451.538309097743</v>
      </c>
      <c r="AL14" s="131">
        <f t="shared" si="0"/>
        <v>2276.6187323031286</v>
      </c>
      <c r="AM14" s="131">
        <f t="shared" si="0"/>
        <v>2154.6244435240737</v>
      </c>
      <c r="AN14" s="131">
        <f t="shared" si="0"/>
        <v>2138.8302391830216</v>
      </c>
      <c r="AO14" s="131">
        <f t="shared" si="0"/>
        <v>2182.2773435989347</v>
      </c>
      <c r="AP14" s="131">
        <f t="shared" si="0"/>
        <v>2380.5046323150341</v>
      </c>
      <c r="AQ14" s="131">
        <f t="shared" si="0"/>
        <v>2482.7486930279692</v>
      </c>
      <c r="AR14" s="131">
        <f t="shared" si="0"/>
        <v>2555.569689637121</v>
      </c>
      <c r="AS14" s="131">
        <f t="shared" si="0"/>
        <v>2615.7369379855163</v>
      </c>
      <c r="AT14" s="131">
        <f t="shared" si="0"/>
        <v>2330.9246185202978</v>
      </c>
      <c r="AU14" s="131">
        <f t="shared" si="0"/>
        <v>2114.7387361477586</v>
      </c>
      <c r="AV14" s="131">
        <f t="shared" si="0"/>
        <v>2009.3494475410182</v>
      </c>
      <c r="AW14" s="131">
        <f t="shared" si="0"/>
        <v>2029.6441912247492</v>
      </c>
      <c r="AX14" s="131">
        <f t="shared" si="0"/>
        <v>2141.830811489287</v>
      </c>
      <c r="AY14" s="131">
        <f t="shared" si="0"/>
        <v>2230.6631326907482</v>
      </c>
      <c r="AZ14" s="125">
        <f t="shared" si="0"/>
        <v>2257.8220580142051</v>
      </c>
      <c r="BA14" s="122">
        <f>SUM($E14:$AZ14)</f>
        <v>86547.155304919128</v>
      </c>
    </row>
    <row r="15" spans="1:53" x14ac:dyDescent="0.2">
      <c r="A15" s="136" t="s">
        <v>123</v>
      </c>
      <c r="B15" s="137">
        <v>1</v>
      </c>
      <c r="C15" s="138" t="s">
        <v>293</v>
      </c>
      <c r="D15" s="138">
        <v>3440.4241505689879</v>
      </c>
      <c r="E15" s="138">
        <v>3440.4241505689879</v>
      </c>
      <c r="F15" s="138">
        <v>3440.4241505689879</v>
      </c>
      <c r="G15" s="138">
        <v>3440.4241505689879</v>
      </c>
      <c r="H15" s="138">
        <v>3440.4241505689879</v>
      </c>
      <c r="I15" s="138">
        <v>3440.4241505689879</v>
      </c>
      <c r="J15" s="138">
        <v>3440.4241505689879</v>
      </c>
      <c r="K15" s="138">
        <v>3440.4241505689879</v>
      </c>
      <c r="L15" s="138">
        <v>3440.4241505689879</v>
      </c>
      <c r="M15" s="138">
        <v>3440.4241505689879</v>
      </c>
      <c r="N15" s="138">
        <v>3440.4241505689879</v>
      </c>
      <c r="O15" s="138">
        <v>3440.4241505689879</v>
      </c>
      <c r="P15" s="138">
        <v>3440.4241505689879</v>
      </c>
      <c r="Q15" s="138">
        <v>3440.4241505689879</v>
      </c>
      <c r="R15" s="138">
        <v>3440.4241505689879</v>
      </c>
      <c r="S15" s="138">
        <v>3440.4241505689879</v>
      </c>
      <c r="T15" s="138">
        <v>3440.4241505689879</v>
      </c>
      <c r="U15" s="138">
        <v>3440.4241505689879</v>
      </c>
      <c r="V15" s="138">
        <v>3440.4241505689879</v>
      </c>
      <c r="W15" s="138">
        <v>3440.4241505689879</v>
      </c>
      <c r="X15" s="138">
        <v>3440.4241505689879</v>
      </c>
      <c r="Y15" s="138">
        <v>3440.4241505689879</v>
      </c>
      <c r="Z15" s="138">
        <v>3440.4241505689879</v>
      </c>
      <c r="AA15" s="138">
        <v>3440.4241505689879</v>
      </c>
      <c r="AB15" s="138">
        <v>3440.4241505689879</v>
      </c>
      <c r="AC15" s="138">
        <v>3440.4241505689879</v>
      </c>
      <c r="AD15" s="138">
        <v>3440.4241505689879</v>
      </c>
      <c r="AE15" s="138">
        <v>3440.4241505689879</v>
      </c>
      <c r="AF15" s="138">
        <v>3440.4241505689879</v>
      </c>
      <c r="AG15" s="138">
        <v>3440.4241505689879</v>
      </c>
      <c r="AH15" s="138">
        <v>3440.4241505689879</v>
      </c>
      <c r="AI15" s="138">
        <v>3440.4241505689879</v>
      </c>
      <c r="AJ15" s="138">
        <v>3440.4241505689879</v>
      </c>
      <c r="AK15" s="138">
        <v>3440.4241505689879</v>
      </c>
      <c r="AL15" s="138">
        <v>3440.4241505689879</v>
      </c>
      <c r="AM15" s="138">
        <v>3440.4241505689879</v>
      </c>
      <c r="AN15" s="138">
        <v>3440.4241505689879</v>
      </c>
      <c r="AO15" s="138">
        <v>3440.4241505689879</v>
      </c>
      <c r="AP15" s="138">
        <v>3440.4241505689879</v>
      </c>
      <c r="AQ15" s="138">
        <v>3440.4241505689879</v>
      </c>
      <c r="AR15" s="138">
        <v>3440.4241505689879</v>
      </c>
      <c r="AS15" s="138">
        <v>3440.4241505689879</v>
      </c>
      <c r="AT15" s="138">
        <v>3440.4241505689879</v>
      </c>
      <c r="AU15" s="138">
        <v>3440.4241505689879</v>
      </c>
      <c r="AV15" s="138">
        <v>3440.4241505689879</v>
      </c>
      <c r="AW15" s="138">
        <v>3440.4241505689879</v>
      </c>
      <c r="AX15" s="138">
        <v>3440.4241505689879</v>
      </c>
      <c r="AY15" s="138">
        <v>3440.4241505689879</v>
      </c>
      <c r="AZ15">
        <v>0</v>
      </c>
    </row>
    <row r="16" spans="1:53" x14ac:dyDescent="0.2">
      <c r="A16" s="125"/>
      <c r="B16" s="133">
        <v>2</v>
      </c>
      <c r="C16" s="124" t="s">
        <v>293</v>
      </c>
      <c r="D16" s="121">
        <v>0</v>
      </c>
      <c r="E16" s="125">
        <v>0</v>
      </c>
      <c r="F16" s="125"/>
      <c r="G16" s="125">
        <v>0</v>
      </c>
      <c r="H16" s="125"/>
      <c r="I16" s="125">
        <v>0</v>
      </c>
      <c r="J16" s="125">
        <v>0</v>
      </c>
      <c r="K16" s="125">
        <v>0</v>
      </c>
      <c r="L16" s="125">
        <v>0</v>
      </c>
      <c r="M16" s="125">
        <v>0</v>
      </c>
      <c r="N16" s="125"/>
      <c r="O16" s="125">
        <v>0</v>
      </c>
      <c r="P16" s="125">
        <v>0</v>
      </c>
      <c r="Q16" s="125">
        <v>0</v>
      </c>
      <c r="R16" s="125">
        <v>0</v>
      </c>
      <c r="S16" s="125">
        <v>0</v>
      </c>
      <c r="T16" s="125">
        <v>0</v>
      </c>
      <c r="U16" s="125"/>
      <c r="V16" s="125">
        <v>0</v>
      </c>
      <c r="W16" s="125">
        <v>0</v>
      </c>
      <c r="X16" s="125">
        <v>0</v>
      </c>
      <c r="Y16" s="125">
        <v>0</v>
      </c>
      <c r="Z16" s="125">
        <v>0</v>
      </c>
      <c r="AA16" s="125">
        <v>0</v>
      </c>
      <c r="AB16" s="125">
        <v>0</v>
      </c>
      <c r="AC16" s="125">
        <v>0</v>
      </c>
      <c r="AD16" s="125"/>
      <c r="AE16" s="125">
        <v>0</v>
      </c>
      <c r="AF16" s="125">
        <v>0</v>
      </c>
      <c r="AG16" s="125">
        <v>0</v>
      </c>
      <c r="AH16" s="125">
        <v>0</v>
      </c>
      <c r="AI16" s="125">
        <v>0</v>
      </c>
      <c r="AJ16" s="125"/>
      <c r="AK16" s="125">
        <v>0</v>
      </c>
      <c r="AL16" s="125">
        <v>0</v>
      </c>
      <c r="AM16" s="125">
        <v>0</v>
      </c>
      <c r="AN16" s="125">
        <v>0</v>
      </c>
      <c r="AO16" s="125">
        <v>0</v>
      </c>
      <c r="AP16" s="125">
        <v>0</v>
      </c>
      <c r="AQ16" s="125">
        <v>0</v>
      </c>
      <c r="AR16" s="125">
        <v>0</v>
      </c>
      <c r="AS16" s="125">
        <v>0</v>
      </c>
      <c r="AT16" s="125">
        <v>0</v>
      </c>
      <c r="AU16" s="125">
        <v>0</v>
      </c>
      <c r="AV16" s="125">
        <v>0</v>
      </c>
      <c r="AW16" s="125">
        <v>0</v>
      </c>
      <c r="AX16" s="125">
        <v>0</v>
      </c>
      <c r="AY16" s="125"/>
      <c r="AZ16">
        <v>0</v>
      </c>
      <c r="BA16">
        <v>0</v>
      </c>
    </row>
    <row r="17" spans="1:53" x14ac:dyDescent="0.2">
      <c r="A17" s="125"/>
      <c r="B17" s="133">
        <v>3</v>
      </c>
      <c r="C17" s="124" t="s">
        <v>293</v>
      </c>
      <c r="D17" s="121"/>
      <c r="E17" s="125">
        <v>0</v>
      </c>
      <c r="F17" s="125"/>
      <c r="G17" s="125">
        <v>0</v>
      </c>
      <c r="H17" s="125">
        <v>0</v>
      </c>
      <c r="I17" s="125"/>
      <c r="J17" s="125"/>
      <c r="K17" s="125"/>
      <c r="L17" s="125">
        <v>0</v>
      </c>
      <c r="M17" s="125"/>
      <c r="N17" s="125"/>
      <c r="O17" s="125">
        <v>0</v>
      </c>
      <c r="P17" s="125">
        <v>0</v>
      </c>
      <c r="Q17" s="125"/>
      <c r="R17" s="125"/>
      <c r="S17" s="125">
        <v>0</v>
      </c>
      <c r="T17" s="125"/>
      <c r="U17" s="125"/>
      <c r="V17" s="125">
        <v>0</v>
      </c>
      <c r="W17" s="125"/>
      <c r="X17" s="125"/>
      <c r="Y17" s="125">
        <v>0</v>
      </c>
      <c r="Z17" s="125">
        <v>0</v>
      </c>
      <c r="AA17" s="125">
        <v>0</v>
      </c>
      <c r="AB17" s="125"/>
      <c r="AC17" s="125"/>
      <c r="AD17" s="125">
        <v>0</v>
      </c>
      <c r="AE17" s="125">
        <v>0</v>
      </c>
      <c r="AF17" s="125"/>
      <c r="AG17" s="125"/>
      <c r="AH17" s="125"/>
      <c r="AI17" s="125"/>
      <c r="AJ17" s="125">
        <v>0</v>
      </c>
      <c r="AK17" s="125">
        <v>0</v>
      </c>
      <c r="AL17" s="125"/>
      <c r="AM17" s="125">
        <v>0</v>
      </c>
      <c r="AN17" s="125"/>
      <c r="AO17" s="125"/>
      <c r="AP17" s="125">
        <v>0</v>
      </c>
      <c r="AQ17" s="125"/>
      <c r="AR17" s="125">
        <v>0</v>
      </c>
      <c r="AS17" s="125"/>
      <c r="AT17" s="125"/>
      <c r="AU17" s="125"/>
      <c r="AV17" s="125"/>
      <c r="AW17" s="125"/>
      <c r="AX17" s="125">
        <v>0</v>
      </c>
      <c r="AY17" s="125">
        <v>0</v>
      </c>
      <c r="AZ17">
        <v>0</v>
      </c>
      <c r="BA17">
        <v>0</v>
      </c>
    </row>
    <row r="18" spans="1:53" x14ac:dyDescent="0.2">
      <c r="A18" s="139"/>
      <c r="B18" s="130">
        <v>4</v>
      </c>
      <c r="C18" s="139" t="s">
        <v>293</v>
      </c>
      <c r="D18" s="139"/>
      <c r="E18" s="139"/>
      <c r="F18" s="139"/>
      <c r="G18" s="139"/>
      <c r="H18" s="139"/>
      <c r="I18" s="139"/>
      <c r="J18" s="139">
        <v>0</v>
      </c>
      <c r="K18" s="139"/>
      <c r="L18" s="139"/>
      <c r="M18" s="139"/>
      <c r="N18" s="139"/>
      <c r="O18" s="139"/>
      <c r="P18" s="139"/>
      <c r="Q18" s="139"/>
      <c r="R18" s="139">
        <v>0</v>
      </c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>
        <v>0</v>
      </c>
      <c r="AH18" s="139"/>
      <c r="AI18" s="139"/>
      <c r="AJ18" s="139"/>
      <c r="AK18" s="139"/>
      <c r="AL18" s="139"/>
      <c r="AM18" s="139">
        <v>0</v>
      </c>
      <c r="AN18" s="139"/>
      <c r="AO18" s="139"/>
      <c r="AP18" s="139"/>
      <c r="AQ18" s="139"/>
      <c r="AR18" s="139"/>
      <c r="AS18" s="139"/>
      <c r="AT18" s="139"/>
      <c r="AU18" s="139"/>
      <c r="AV18" s="139">
        <v>0</v>
      </c>
      <c r="AW18" s="139"/>
      <c r="AX18" s="139">
        <v>0</v>
      </c>
      <c r="AY18" s="139"/>
    </row>
    <row r="20" spans="1:53" x14ac:dyDescent="0.2">
      <c r="A20" s="1" t="s">
        <v>294</v>
      </c>
    </row>
    <row r="21" spans="1:53" x14ac:dyDescent="0.2">
      <c r="A21" s="140" t="s">
        <v>125</v>
      </c>
      <c r="B21" s="137">
        <v>1</v>
      </c>
      <c r="C21" s="138" t="s">
        <v>293</v>
      </c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8"/>
      <c r="AB21" s="138"/>
      <c r="AC21" s="138"/>
      <c r="AD21" s="138"/>
      <c r="AE21" s="138"/>
      <c r="AF21" s="138"/>
      <c r="AG21" s="138"/>
      <c r="AH21" s="138"/>
      <c r="AI21" s="138"/>
      <c r="AJ21" s="138"/>
      <c r="AK21" s="138"/>
      <c r="AL21" s="138"/>
      <c r="AM21" s="138"/>
      <c r="AN21" s="138"/>
      <c r="AO21" s="138"/>
      <c r="AP21" s="138">
        <v>181.55080908032289</v>
      </c>
      <c r="AQ21" s="138">
        <v>1058.3255969432516</v>
      </c>
      <c r="AR21" s="138">
        <v>886.85245202630051</v>
      </c>
      <c r="AS21" s="138"/>
      <c r="AT21" s="138"/>
      <c r="AU21" s="138"/>
      <c r="AV21" s="138"/>
      <c r="AW21" s="138"/>
      <c r="AX21" s="138"/>
      <c r="AY21" s="138"/>
    </row>
    <row r="22" spans="1:53" x14ac:dyDescent="0.2">
      <c r="A22" s="124"/>
      <c r="B22" s="134">
        <v>2</v>
      </c>
      <c r="C22" s="125" t="s">
        <v>293</v>
      </c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>
        <v>1558.2327370893063</v>
      </c>
      <c r="AH22" s="125">
        <v>611.04258377635233</v>
      </c>
      <c r="AI22" s="125">
        <v>1683.4671954264463</v>
      </c>
      <c r="AJ22" s="125">
        <v>4477.5983763410259</v>
      </c>
      <c r="AK22" s="125">
        <v>5193.1986341348102</v>
      </c>
      <c r="AL22" s="125">
        <v>3925.9150065631434</v>
      </c>
      <c r="AM22" s="125">
        <v>5048.2922582899537</v>
      </c>
      <c r="AN22" s="125">
        <v>4394.265032915363</v>
      </c>
      <c r="AO22" s="125">
        <v>5058.6891834843518</v>
      </c>
      <c r="AP22" s="125">
        <v>7299.298511752274</v>
      </c>
      <c r="AQ22" s="125">
        <v>6269.7477026719507</v>
      </c>
      <c r="AR22" s="125">
        <v>5443.9729148090228</v>
      </c>
      <c r="AS22" s="125">
        <v>4254.2712863776833</v>
      </c>
      <c r="AT22" s="125">
        <v>2192.7603860272429</v>
      </c>
      <c r="AU22" s="125"/>
      <c r="AV22" s="125"/>
      <c r="AW22" s="125">
        <v>841.03431184810324</v>
      </c>
      <c r="AX22" s="125">
        <v>4829.3447580577376</v>
      </c>
      <c r="AY22" s="125">
        <v>6173.1213854708822</v>
      </c>
    </row>
    <row r="23" spans="1:53" x14ac:dyDescent="0.2">
      <c r="A23" s="124"/>
      <c r="B23" s="141">
        <v>3</v>
      </c>
      <c r="C23" s="125" t="s">
        <v>293</v>
      </c>
      <c r="D23" s="125">
        <v>6803.0284818190203</v>
      </c>
      <c r="E23" s="125">
        <v>6066.4373647470638</v>
      </c>
      <c r="F23" s="125">
        <v>3609.4848206631495</v>
      </c>
      <c r="G23" s="125">
        <v>6514.892266668875</v>
      </c>
      <c r="H23" s="125">
        <v>4391.4643243499395</v>
      </c>
      <c r="I23" s="125">
        <v>3839.4408325563418</v>
      </c>
      <c r="J23" s="125">
        <v>2848.0317254027077</v>
      </c>
      <c r="K23" s="125">
        <v>2742.6134189010818</v>
      </c>
      <c r="L23" s="125">
        <v>2132.6347814690753</v>
      </c>
      <c r="M23" s="125">
        <v>3331.739178671698</v>
      </c>
      <c r="N23" s="125">
        <v>1932.710586614945</v>
      </c>
      <c r="O23" s="125">
        <v>2464.9631777003815</v>
      </c>
      <c r="P23" s="125">
        <v>2471.5721668039228</v>
      </c>
      <c r="Q23" s="125">
        <v>2519.3725721501819</v>
      </c>
      <c r="R23" s="125">
        <v>2739.5486822997077</v>
      </c>
      <c r="S23" s="125">
        <v>3067.0261261412888</v>
      </c>
      <c r="T23" s="125">
        <v>2733.0285551831403</v>
      </c>
      <c r="U23" s="125">
        <v>1166.0517511666178</v>
      </c>
      <c r="V23" s="125">
        <v>1578.5694914615708</v>
      </c>
      <c r="W23" s="125">
        <v>570.09089014340043</v>
      </c>
      <c r="X23" s="125">
        <v>1086.2333989145591</v>
      </c>
      <c r="Y23" s="125"/>
      <c r="Z23" s="125"/>
      <c r="AA23" s="125">
        <v>1289.2378608215777</v>
      </c>
      <c r="AB23" s="125">
        <v>3055.7186576522445</v>
      </c>
      <c r="AC23" s="125">
        <v>5050.6401503399356</v>
      </c>
      <c r="AD23" s="125">
        <v>5136.612924965345</v>
      </c>
      <c r="AE23" s="125">
        <v>6137.5856995907616</v>
      </c>
      <c r="AF23" s="125">
        <v>6950.5584742161709</v>
      </c>
      <c r="AG23" s="125">
        <v>6238.038549288377</v>
      </c>
      <c r="AH23" s="125">
        <v>3715.0657746629677</v>
      </c>
      <c r="AI23" s="125">
        <v>5175.2559279759216</v>
      </c>
      <c r="AJ23" s="125">
        <v>2003.6683883874671</v>
      </c>
      <c r="AK23" s="125">
        <v>1960.7001354112481</v>
      </c>
      <c r="AL23" s="125">
        <v>1407.0998776174638</v>
      </c>
      <c r="AM23" s="125">
        <v>2300.3835051891306</v>
      </c>
      <c r="AN23" s="125">
        <v>1474.0062534623203</v>
      </c>
      <c r="AO23" s="125">
        <v>1956.0334788369109</v>
      </c>
      <c r="AP23" s="125">
        <v>1539.6093282679221</v>
      </c>
      <c r="AQ23" s="125">
        <v>0</v>
      </c>
      <c r="AR23" s="125">
        <v>0</v>
      </c>
      <c r="AS23" s="125">
        <v>0</v>
      </c>
      <c r="AT23" s="125">
        <v>0</v>
      </c>
      <c r="AU23" s="125">
        <v>1376.3896947990143</v>
      </c>
      <c r="AV23" s="125">
        <v>3459.2087763249147</v>
      </c>
      <c r="AW23" s="125">
        <v>5134.2391639157104</v>
      </c>
      <c r="AX23" s="125">
        <v>3172.6530657949806</v>
      </c>
      <c r="AY23" s="125">
        <v>1499.9537536945363</v>
      </c>
    </row>
    <row r="24" spans="1:53" x14ac:dyDescent="0.2">
      <c r="A24" s="142"/>
      <c r="B24" s="143">
        <v>4</v>
      </c>
      <c r="C24" s="142" t="s">
        <v>293</v>
      </c>
      <c r="D24" s="139">
        <v>696.88213701973564</v>
      </c>
      <c r="E24" s="139">
        <v>0</v>
      </c>
      <c r="F24" s="139">
        <v>0</v>
      </c>
      <c r="G24" s="139">
        <v>1960.5204049557806</v>
      </c>
      <c r="H24" s="139">
        <v>0</v>
      </c>
      <c r="I24" s="139">
        <v>851.88059566487209</v>
      </c>
      <c r="J24" s="139">
        <v>1823.492954406468</v>
      </c>
      <c r="K24" s="139">
        <v>3434.1106101023497</v>
      </c>
      <c r="L24" s="139">
        <v>3422.7352346947218</v>
      </c>
      <c r="M24" s="139">
        <v>3395.9171237146948</v>
      </c>
      <c r="N24" s="139">
        <v>2112.0120757063178</v>
      </c>
      <c r="O24" s="139">
        <v>3483.2352789798706</v>
      </c>
      <c r="P24" s="139">
        <v>3027.1717260041778</v>
      </c>
      <c r="Q24" s="139">
        <v>4054.7263449483507</v>
      </c>
      <c r="R24" s="139">
        <v>3939.9259396020916</v>
      </c>
      <c r="S24" s="139">
        <v>3718.7498294525667</v>
      </c>
      <c r="T24" s="139">
        <v>3442.2723856109851</v>
      </c>
      <c r="U24" s="139">
        <v>3024.2699565691337</v>
      </c>
      <c r="V24" s="139">
        <v>4813.2467605856564</v>
      </c>
      <c r="W24" s="139">
        <v>4540.7290202907034</v>
      </c>
      <c r="X24" s="139">
        <v>5361.2076216088735</v>
      </c>
      <c r="Y24" s="139">
        <v>3761.7575184143352</v>
      </c>
      <c r="Z24" s="139">
        <v>6213.7739442589809</v>
      </c>
      <c r="AA24" s="139">
        <v>5609.1306736689467</v>
      </c>
      <c r="AB24" s="139">
        <v>2988.0955070237824</v>
      </c>
      <c r="AC24" s="139">
        <v>2311.6311360377404</v>
      </c>
      <c r="AD24" s="139">
        <v>1749.6583614123383</v>
      </c>
      <c r="AE24" s="139">
        <v>1628.685586786929</v>
      </c>
      <c r="AF24" s="139">
        <v>635.71281216151237</v>
      </c>
      <c r="AG24" s="139">
        <v>0</v>
      </c>
      <c r="AH24" s="139">
        <v>0</v>
      </c>
      <c r="AI24" s="139">
        <v>0</v>
      </c>
      <c r="AJ24" s="139">
        <v>0</v>
      </c>
      <c r="AK24" s="139">
        <v>0</v>
      </c>
      <c r="AL24" s="139">
        <v>0</v>
      </c>
      <c r="AM24" s="139">
        <v>0</v>
      </c>
      <c r="AN24" s="139">
        <v>0</v>
      </c>
      <c r="AO24" s="139">
        <v>0</v>
      </c>
      <c r="AP24" s="139">
        <v>0</v>
      </c>
      <c r="AQ24" s="139">
        <v>0</v>
      </c>
      <c r="AR24" s="139">
        <v>0</v>
      </c>
      <c r="AS24" s="139">
        <v>0</v>
      </c>
      <c r="AT24" s="139">
        <v>0</v>
      </c>
      <c r="AU24" s="139">
        <v>0</v>
      </c>
      <c r="AV24" s="139">
        <v>0</v>
      </c>
      <c r="AW24" s="139">
        <v>458.05705277317247</v>
      </c>
      <c r="AX24" s="139">
        <v>0</v>
      </c>
      <c r="AY24" s="139">
        <v>0</v>
      </c>
    </row>
    <row r="25" spans="1:53" x14ac:dyDescent="0.2">
      <c r="A25" s="140" t="s">
        <v>133</v>
      </c>
      <c r="B25" s="137">
        <v>1</v>
      </c>
      <c r="C25" s="124" t="s">
        <v>293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</row>
    <row r="26" spans="1:53" x14ac:dyDescent="0.2">
      <c r="A26" s="124"/>
      <c r="B26" s="133">
        <v>2</v>
      </c>
      <c r="C26" s="124" t="s">
        <v>293</v>
      </c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</row>
    <row r="27" spans="1:53" x14ac:dyDescent="0.2">
      <c r="A27" s="124"/>
      <c r="B27" s="134">
        <v>3</v>
      </c>
      <c r="C27" s="124" t="s">
        <v>293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</row>
    <row r="28" spans="1:53" x14ac:dyDescent="0.2">
      <c r="A28" s="124"/>
      <c r="B28" s="134">
        <v>4</v>
      </c>
      <c r="C28" s="124" t="s">
        <v>293</v>
      </c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</row>
    <row r="29" spans="1:53" x14ac:dyDescent="0.2">
      <c r="A29" s="124"/>
      <c r="B29" s="141">
        <v>5</v>
      </c>
      <c r="C29" s="124" t="s">
        <v>293</v>
      </c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>
        <v>15.732751042858045</v>
      </c>
      <c r="AQ29" s="125">
        <v>180.20869322734819</v>
      </c>
      <c r="AR29" s="125">
        <v>130.68121220887718</v>
      </c>
      <c r="AS29" s="125"/>
      <c r="AT29" s="125"/>
      <c r="AU29" s="125"/>
      <c r="AV29" s="125"/>
      <c r="AW29" s="125"/>
      <c r="AX29" s="125"/>
      <c r="AY29" s="125"/>
    </row>
    <row r="30" spans="1:53" x14ac:dyDescent="0.2">
      <c r="A30" s="124"/>
      <c r="B30" s="141">
        <v>6</v>
      </c>
      <c r="C30" s="124" t="s">
        <v>293</v>
      </c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>
        <v>0</v>
      </c>
      <c r="AH30" s="125">
        <v>0</v>
      </c>
      <c r="AI30" s="125">
        <v>31.999538918894903</v>
      </c>
      <c r="AJ30" s="125">
        <v>391.99637413598754</v>
      </c>
      <c r="AK30" s="125">
        <v>87.921140888052506</v>
      </c>
      <c r="AL30" s="125">
        <v>150.70777814065559</v>
      </c>
      <c r="AM30" s="125">
        <v>271.14414695501927</v>
      </c>
      <c r="AN30" s="125">
        <v>0</v>
      </c>
      <c r="AO30" s="125">
        <v>0</v>
      </c>
      <c r="AP30" s="125">
        <v>0</v>
      </c>
      <c r="AQ30" s="125">
        <v>0</v>
      </c>
      <c r="AR30" s="125">
        <v>0</v>
      </c>
      <c r="AS30" s="125">
        <v>0</v>
      </c>
      <c r="AT30" s="125">
        <v>0</v>
      </c>
      <c r="AU30" s="125"/>
      <c r="AV30" s="125"/>
      <c r="AW30" s="125">
        <v>0</v>
      </c>
      <c r="AX30" s="125">
        <v>0</v>
      </c>
      <c r="AY30" s="125">
        <v>0</v>
      </c>
    </row>
    <row r="31" spans="1:53" x14ac:dyDescent="0.2">
      <c r="A31" s="124"/>
      <c r="B31" s="144">
        <v>7</v>
      </c>
      <c r="C31" s="124" t="s">
        <v>293</v>
      </c>
      <c r="D31" s="125">
        <v>1160.6562788706178</v>
      </c>
      <c r="E31" s="125">
        <v>685.33975714971893</v>
      </c>
      <c r="F31" s="125">
        <v>165.66317393970587</v>
      </c>
      <c r="G31" s="125">
        <v>402.57726335726198</v>
      </c>
      <c r="H31" s="125">
        <v>364.65078578052476</v>
      </c>
      <c r="I31" s="125">
        <v>0</v>
      </c>
      <c r="J31" s="125">
        <v>0</v>
      </c>
      <c r="K31" s="125">
        <v>0</v>
      </c>
      <c r="L31" s="125">
        <v>0</v>
      </c>
      <c r="M31" s="125">
        <v>0</v>
      </c>
      <c r="N31" s="125">
        <v>0</v>
      </c>
      <c r="O31" s="125">
        <v>96.072829697430876</v>
      </c>
      <c r="P31" s="125">
        <v>284.07601762600325</v>
      </c>
      <c r="Q31" s="125">
        <v>539.62374522273012</v>
      </c>
      <c r="R31" s="125">
        <v>685.53421512129262</v>
      </c>
      <c r="S31" s="125">
        <v>767.48092184869859</v>
      </c>
      <c r="T31" s="125">
        <v>683.90264337583449</v>
      </c>
      <c r="U31" s="125">
        <v>222.40095458551122</v>
      </c>
      <c r="V31" s="125">
        <v>223.90641027403564</v>
      </c>
      <c r="W31" s="125">
        <v>0</v>
      </c>
      <c r="X31" s="125">
        <v>106.1832854607474</v>
      </c>
      <c r="Y31" s="125"/>
      <c r="Z31" s="125"/>
      <c r="AA31" s="125">
        <v>0</v>
      </c>
      <c r="AB31" s="125">
        <v>908.46100852430391</v>
      </c>
      <c r="AC31" s="125">
        <v>0</v>
      </c>
      <c r="AD31" s="125">
        <v>0</v>
      </c>
      <c r="AE31" s="125">
        <v>0</v>
      </c>
      <c r="AF31" s="125">
        <v>0</v>
      </c>
      <c r="AG31" s="125">
        <v>0</v>
      </c>
      <c r="AH31" s="125">
        <v>0</v>
      </c>
      <c r="AI31" s="125">
        <v>0</v>
      </c>
      <c r="AJ31" s="125">
        <v>0</v>
      </c>
      <c r="AK31" s="125">
        <v>0</v>
      </c>
      <c r="AL31" s="125">
        <v>0</v>
      </c>
      <c r="AM31" s="125">
        <v>0</v>
      </c>
      <c r="AN31" s="125">
        <v>0</v>
      </c>
      <c r="AO31" s="125">
        <v>0</v>
      </c>
      <c r="AP31" s="125">
        <v>0</v>
      </c>
      <c r="AQ31" s="125">
        <v>0</v>
      </c>
      <c r="AR31" s="125">
        <v>0</v>
      </c>
      <c r="AS31" s="125">
        <v>0</v>
      </c>
      <c r="AT31" s="125">
        <v>0</v>
      </c>
      <c r="AU31" s="125">
        <v>0</v>
      </c>
      <c r="AV31" s="125">
        <v>0</v>
      </c>
      <c r="AW31" s="125">
        <v>0</v>
      </c>
      <c r="AX31" s="125">
        <v>0</v>
      </c>
      <c r="AY31" s="125">
        <v>0</v>
      </c>
    </row>
    <row r="32" spans="1:53" x14ac:dyDescent="0.2">
      <c r="A32" s="142"/>
      <c r="B32" s="143">
        <v>8</v>
      </c>
      <c r="C32" s="142" t="s">
        <v>293</v>
      </c>
      <c r="D32" s="139">
        <v>0</v>
      </c>
      <c r="E32" s="139">
        <v>0</v>
      </c>
      <c r="F32" s="139">
        <v>0</v>
      </c>
      <c r="G32" s="139">
        <v>0</v>
      </c>
      <c r="H32" s="139">
        <v>0</v>
      </c>
      <c r="I32" s="139">
        <v>0</v>
      </c>
      <c r="J32" s="139">
        <v>0</v>
      </c>
      <c r="K32" s="139">
        <v>0</v>
      </c>
      <c r="L32" s="139">
        <v>0</v>
      </c>
      <c r="M32" s="139">
        <v>0</v>
      </c>
      <c r="N32" s="139">
        <v>0</v>
      </c>
      <c r="O32" s="139">
        <v>0</v>
      </c>
      <c r="P32" s="139">
        <v>0</v>
      </c>
      <c r="Q32" s="139">
        <v>0</v>
      </c>
      <c r="R32" s="139">
        <v>74.811073411019152</v>
      </c>
      <c r="S32" s="139">
        <v>263.01440893512927</v>
      </c>
      <c r="T32" s="139">
        <v>6.0677022077234142</v>
      </c>
      <c r="U32" s="139">
        <v>0</v>
      </c>
      <c r="V32" s="139">
        <v>0</v>
      </c>
      <c r="W32" s="139">
        <v>0</v>
      </c>
      <c r="X32" s="139">
        <v>0</v>
      </c>
      <c r="Y32" s="139">
        <v>0</v>
      </c>
      <c r="Z32" s="139">
        <v>0</v>
      </c>
      <c r="AA32" s="139">
        <v>0</v>
      </c>
      <c r="AB32" s="139">
        <v>0</v>
      </c>
      <c r="AC32" s="139">
        <v>0</v>
      </c>
      <c r="AD32" s="139">
        <v>0</v>
      </c>
      <c r="AE32" s="139">
        <v>0</v>
      </c>
      <c r="AF32" s="139">
        <v>0</v>
      </c>
      <c r="AG32" s="139">
        <v>0</v>
      </c>
      <c r="AH32" s="139">
        <v>0</v>
      </c>
      <c r="AI32" s="139">
        <v>0</v>
      </c>
      <c r="AJ32" s="139">
        <v>0</v>
      </c>
      <c r="AK32" s="139">
        <v>0</v>
      </c>
      <c r="AL32" s="139">
        <v>0</v>
      </c>
      <c r="AM32" s="139">
        <v>0</v>
      </c>
      <c r="AN32" s="139">
        <v>0</v>
      </c>
      <c r="AO32" s="139">
        <v>0</v>
      </c>
      <c r="AP32" s="139">
        <v>0</v>
      </c>
      <c r="AQ32" s="139">
        <v>0</v>
      </c>
      <c r="AR32" s="139">
        <v>0</v>
      </c>
      <c r="AS32" s="139">
        <v>0</v>
      </c>
      <c r="AT32" s="139">
        <v>0</v>
      </c>
      <c r="AU32" s="139">
        <v>0</v>
      </c>
      <c r="AV32" s="139">
        <v>0</v>
      </c>
      <c r="AW32" s="139">
        <v>0</v>
      </c>
      <c r="AX32" s="139">
        <v>0</v>
      </c>
      <c r="AY32" s="139">
        <v>0</v>
      </c>
    </row>
    <row r="33" spans="1:51" x14ac:dyDescent="0.2">
      <c r="A33" s="145" t="s">
        <v>134</v>
      </c>
      <c r="B33" s="133">
        <v>1</v>
      </c>
      <c r="C33" s="124" t="s">
        <v>293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</row>
    <row r="34" spans="1:51" x14ac:dyDescent="0.2">
      <c r="A34" s="124"/>
      <c r="B34" s="133">
        <v>2</v>
      </c>
      <c r="C34" s="124" t="s">
        <v>293</v>
      </c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</row>
    <row r="35" spans="1:51" x14ac:dyDescent="0.2">
      <c r="A35" s="124"/>
      <c r="B35" s="133">
        <v>3</v>
      </c>
      <c r="C35" s="124" t="s">
        <v>293</v>
      </c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</row>
    <row r="36" spans="1:51" x14ac:dyDescent="0.2">
      <c r="A36" s="124"/>
      <c r="B36" s="134">
        <v>4</v>
      </c>
      <c r="C36" s="124" t="s">
        <v>293</v>
      </c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</row>
    <row r="37" spans="1:51" x14ac:dyDescent="0.2">
      <c r="A37" s="124"/>
      <c r="B37" s="134">
        <v>5</v>
      </c>
      <c r="C37" s="124" t="s">
        <v>293</v>
      </c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</row>
    <row r="38" spans="1:51" x14ac:dyDescent="0.2">
      <c r="A38" s="124"/>
      <c r="B38" s="134">
        <v>6</v>
      </c>
      <c r="C38" s="124" t="s">
        <v>293</v>
      </c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</row>
    <row r="39" spans="1:51" x14ac:dyDescent="0.2">
      <c r="A39" s="124"/>
      <c r="B39" s="141">
        <v>7</v>
      </c>
      <c r="C39" s="124" t="s">
        <v>293</v>
      </c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</row>
    <row r="40" spans="1:51" x14ac:dyDescent="0.2">
      <c r="A40" s="124"/>
      <c r="B40" s="141">
        <v>8</v>
      </c>
      <c r="C40" s="124" t="s">
        <v>293</v>
      </c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</row>
    <row r="41" spans="1:51" x14ac:dyDescent="0.2">
      <c r="A41" s="124"/>
      <c r="B41" s="141">
        <v>9</v>
      </c>
      <c r="C41" s="124" t="s">
        <v>293</v>
      </c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>
        <v>25.628510290726776</v>
      </c>
      <c r="AQ41" s="121">
        <v>301.9892935351329</v>
      </c>
      <c r="AR41" s="121">
        <v>326.08118962791355</v>
      </c>
      <c r="AS41" s="121"/>
      <c r="AT41" s="121"/>
      <c r="AU41" s="121"/>
      <c r="AV41" s="121"/>
      <c r="AW41" s="121"/>
      <c r="AX41" s="121"/>
      <c r="AY41" s="121"/>
    </row>
    <row r="42" spans="1:51" x14ac:dyDescent="0.2">
      <c r="A42" s="124"/>
      <c r="B42" s="144">
        <v>10</v>
      </c>
      <c r="C42" s="124" t="s">
        <v>293</v>
      </c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>
        <v>0</v>
      </c>
      <c r="AH42" s="121">
        <v>0</v>
      </c>
      <c r="AI42" s="121">
        <v>0</v>
      </c>
      <c r="AJ42" s="121">
        <v>0</v>
      </c>
      <c r="AK42" s="121">
        <v>0</v>
      </c>
      <c r="AL42" s="121">
        <v>0</v>
      </c>
      <c r="AM42" s="121">
        <v>0</v>
      </c>
      <c r="AN42" s="121">
        <v>0</v>
      </c>
      <c r="AO42" s="121">
        <v>0</v>
      </c>
      <c r="AP42" s="121">
        <v>0</v>
      </c>
      <c r="AQ42" s="121">
        <v>0</v>
      </c>
      <c r="AR42" s="121">
        <v>474.8385311275199</v>
      </c>
      <c r="AS42" s="121">
        <v>0</v>
      </c>
      <c r="AT42" s="121">
        <v>0</v>
      </c>
      <c r="AU42" s="121"/>
      <c r="AV42" s="121"/>
      <c r="AW42" s="121">
        <v>0</v>
      </c>
      <c r="AX42" s="121">
        <v>0</v>
      </c>
      <c r="AY42" s="121">
        <v>11.196147212264112</v>
      </c>
    </row>
    <row r="43" spans="1:51" x14ac:dyDescent="0.2">
      <c r="A43" s="124"/>
      <c r="B43" s="144">
        <v>11</v>
      </c>
      <c r="C43" s="124" t="s">
        <v>293</v>
      </c>
      <c r="D43" s="121">
        <v>0</v>
      </c>
      <c r="E43" s="121">
        <v>0</v>
      </c>
      <c r="F43" s="121">
        <v>0</v>
      </c>
      <c r="G43" s="121">
        <v>0</v>
      </c>
      <c r="H43" s="121">
        <v>0</v>
      </c>
      <c r="I43" s="121">
        <v>0</v>
      </c>
      <c r="J43" s="121">
        <v>0</v>
      </c>
      <c r="K43" s="121">
        <v>0</v>
      </c>
      <c r="L43" s="121">
        <v>0</v>
      </c>
      <c r="M43" s="121">
        <v>0</v>
      </c>
      <c r="N43" s="121">
        <v>0</v>
      </c>
      <c r="O43" s="121">
        <v>0</v>
      </c>
      <c r="P43" s="121">
        <v>0</v>
      </c>
      <c r="Q43" s="121">
        <v>0</v>
      </c>
      <c r="R43" s="121">
        <v>0</v>
      </c>
      <c r="S43" s="121">
        <v>0</v>
      </c>
      <c r="T43" s="121">
        <v>0</v>
      </c>
      <c r="U43" s="121">
        <v>0</v>
      </c>
      <c r="V43" s="121">
        <v>0</v>
      </c>
      <c r="W43" s="121">
        <v>0</v>
      </c>
      <c r="X43" s="121">
        <v>0</v>
      </c>
      <c r="Y43" s="121"/>
      <c r="Z43" s="121"/>
      <c r="AA43" s="121">
        <v>0</v>
      </c>
      <c r="AB43" s="121">
        <v>0</v>
      </c>
      <c r="AC43" s="121">
        <v>0</v>
      </c>
      <c r="AD43" s="121">
        <v>0</v>
      </c>
      <c r="AE43" s="121">
        <v>0</v>
      </c>
      <c r="AF43" s="121">
        <v>0</v>
      </c>
      <c r="AG43" s="121">
        <v>0</v>
      </c>
      <c r="AH43" s="121">
        <v>0</v>
      </c>
      <c r="AI43" s="121">
        <v>0</v>
      </c>
      <c r="AJ43" s="121">
        <v>0</v>
      </c>
      <c r="AK43" s="121">
        <v>0</v>
      </c>
      <c r="AL43" s="121">
        <v>0</v>
      </c>
      <c r="AM43" s="121">
        <v>0</v>
      </c>
      <c r="AN43" s="121">
        <v>0</v>
      </c>
      <c r="AO43" s="121">
        <v>0</v>
      </c>
      <c r="AP43" s="121">
        <v>0</v>
      </c>
      <c r="AQ43" s="121">
        <v>0</v>
      </c>
      <c r="AR43" s="121">
        <v>0</v>
      </c>
      <c r="AS43" s="121">
        <v>0</v>
      </c>
      <c r="AT43" s="121">
        <v>0</v>
      </c>
      <c r="AU43" s="121">
        <v>0</v>
      </c>
      <c r="AV43" s="121">
        <v>0</v>
      </c>
      <c r="AW43" s="121">
        <v>0</v>
      </c>
      <c r="AX43" s="121">
        <v>0</v>
      </c>
      <c r="AY43" s="121">
        <v>0</v>
      </c>
    </row>
    <row r="44" spans="1:51" x14ac:dyDescent="0.2">
      <c r="A44" s="124"/>
      <c r="B44" s="144">
        <v>12</v>
      </c>
      <c r="C44" s="142" t="s">
        <v>293</v>
      </c>
      <c r="D44" s="121">
        <v>0</v>
      </c>
      <c r="E44" s="121">
        <v>0</v>
      </c>
      <c r="F44" s="121">
        <v>0</v>
      </c>
      <c r="G44" s="121">
        <v>0</v>
      </c>
      <c r="H44" s="121">
        <v>0</v>
      </c>
      <c r="I44" s="121">
        <v>0</v>
      </c>
      <c r="J44" s="121">
        <v>0</v>
      </c>
      <c r="K44" s="121">
        <v>0</v>
      </c>
      <c r="L44" s="121">
        <v>0</v>
      </c>
      <c r="M44" s="121">
        <v>0</v>
      </c>
      <c r="N44" s="121">
        <v>0</v>
      </c>
      <c r="O44" s="121">
        <v>0</v>
      </c>
      <c r="P44" s="121">
        <v>0</v>
      </c>
      <c r="Q44" s="121">
        <v>0</v>
      </c>
      <c r="R44" s="121">
        <v>0</v>
      </c>
      <c r="S44" s="121">
        <v>0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1">
        <v>0</v>
      </c>
      <c r="AP44" s="121">
        <v>0</v>
      </c>
      <c r="AQ44" s="121">
        <v>0</v>
      </c>
      <c r="AR44" s="121">
        <v>0</v>
      </c>
      <c r="AS44" s="121">
        <v>0</v>
      </c>
      <c r="AT44" s="121">
        <v>0</v>
      </c>
      <c r="AU44" s="121">
        <v>0</v>
      </c>
      <c r="AV44" s="121">
        <v>0</v>
      </c>
      <c r="AW44" s="121">
        <v>0</v>
      </c>
      <c r="AX44" s="121">
        <v>0</v>
      </c>
      <c r="AY44" s="121">
        <v>0</v>
      </c>
    </row>
    <row r="45" spans="1:51" x14ac:dyDescent="0.2">
      <c r="A45" s="140" t="s">
        <v>123</v>
      </c>
      <c r="B45" s="137">
        <v>1</v>
      </c>
      <c r="C45" s="124" t="s">
        <v>293</v>
      </c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8"/>
      <c r="AB45" s="138"/>
      <c r="AC45" s="138"/>
      <c r="AD45" s="138"/>
      <c r="AE45" s="138"/>
      <c r="AF45" s="138"/>
      <c r="AG45" s="138"/>
      <c r="AH45" s="138"/>
      <c r="AI45" s="138"/>
      <c r="AJ45" s="138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</row>
    <row r="46" spans="1:51" x14ac:dyDescent="0.2">
      <c r="A46" s="124"/>
      <c r="B46" s="133">
        <v>2</v>
      </c>
      <c r="C46" s="124" t="s">
        <v>293</v>
      </c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</row>
    <row r="47" spans="1:51" x14ac:dyDescent="0.2">
      <c r="A47" s="124"/>
      <c r="B47" s="133">
        <v>3</v>
      </c>
      <c r="C47" s="124" t="s">
        <v>293</v>
      </c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</row>
    <row r="48" spans="1:51" x14ac:dyDescent="0.2">
      <c r="A48" s="124"/>
      <c r="B48" s="133">
        <v>4</v>
      </c>
      <c r="C48" s="124" t="s">
        <v>293</v>
      </c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</row>
    <row r="49" spans="1:51" x14ac:dyDescent="0.2">
      <c r="A49" s="124"/>
      <c r="B49" s="133">
        <v>5</v>
      </c>
      <c r="C49" s="124" t="s">
        <v>293</v>
      </c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</row>
    <row r="50" spans="1:51" x14ac:dyDescent="0.2">
      <c r="A50" s="124"/>
      <c r="B50" s="133">
        <v>6</v>
      </c>
      <c r="C50" s="124" t="s">
        <v>293</v>
      </c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</row>
    <row r="51" spans="1:51" x14ac:dyDescent="0.2">
      <c r="A51" s="124"/>
      <c r="B51" s="133">
        <v>7</v>
      </c>
      <c r="C51" s="124" t="s">
        <v>293</v>
      </c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125"/>
      <c r="V51" s="125"/>
      <c r="W51" s="125"/>
      <c r="X51" s="125"/>
      <c r="Y51" s="125"/>
      <c r="Z51" s="125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25"/>
      <c r="AO51" s="125"/>
      <c r="AP51" s="125"/>
      <c r="AQ51" s="125"/>
      <c r="AR51" s="125"/>
      <c r="AS51" s="125"/>
      <c r="AT51" s="125"/>
      <c r="AU51" s="125"/>
      <c r="AV51" s="125"/>
      <c r="AW51" s="125"/>
      <c r="AX51" s="125"/>
      <c r="AY51" s="125"/>
    </row>
    <row r="52" spans="1:51" x14ac:dyDescent="0.2">
      <c r="A52" s="124"/>
      <c r="B52" s="133">
        <v>8</v>
      </c>
      <c r="C52" s="124" t="s">
        <v>293</v>
      </c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125"/>
      <c r="V52" s="125"/>
      <c r="W52" s="125"/>
      <c r="X52" s="125"/>
      <c r="Y52" s="125"/>
      <c r="Z52" s="125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25"/>
      <c r="AO52" s="125"/>
      <c r="AP52" s="125"/>
      <c r="AQ52" s="125"/>
      <c r="AR52" s="125"/>
      <c r="AS52" s="125"/>
      <c r="AT52" s="125"/>
      <c r="AU52" s="125"/>
      <c r="AV52" s="125"/>
      <c r="AW52" s="125"/>
      <c r="AX52" s="125"/>
      <c r="AY52" s="125"/>
    </row>
    <row r="53" spans="1:51" x14ac:dyDescent="0.2">
      <c r="A53" s="124"/>
      <c r="B53" s="133">
        <v>9</v>
      </c>
      <c r="C53" s="124" t="s">
        <v>293</v>
      </c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125"/>
      <c r="V53" s="125"/>
      <c r="W53" s="125"/>
      <c r="X53" s="125"/>
      <c r="Y53" s="125"/>
      <c r="Z53" s="125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25"/>
      <c r="AO53" s="125"/>
      <c r="AP53" s="125"/>
      <c r="AQ53" s="125"/>
      <c r="AR53" s="125"/>
      <c r="AS53" s="125"/>
      <c r="AT53" s="125"/>
      <c r="AU53" s="125"/>
      <c r="AV53" s="125"/>
      <c r="AW53" s="125"/>
      <c r="AX53" s="125"/>
      <c r="AY53" s="125"/>
    </row>
    <row r="54" spans="1:51" x14ac:dyDescent="0.2">
      <c r="A54" s="124"/>
      <c r="B54" s="133">
        <v>10</v>
      </c>
      <c r="C54" s="124" t="s">
        <v>293</v>
      </c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125"/>
      <c r="V54" s="125"/>
      <c r="W54" s="125"/>
      <c r="X54" s="125"/>
      <c r="Y54" s="125"/>
      <c r="Z54" s="125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25"/>
      <c r="AO54" s="125"/>
      <c r="AP54" s="125"/>
      <c r="AQ54" s="125"/>
      <c r="AR54" s="125"/>
      <c r="AS54" s="125"/>
      <c r="AT54" s="125"/>
      <c r="AU54" s="125"/>
      <c r="AV54" s="125"/>
      <c r="AW54" s="125"/>
      <c r="AX54" s="125"/>
      <c r="AY54" s="125"/>
    </row>
    <row r="55" spans="1:51" x14ac:dyDescent="0.2">
      <c r="A55" s="124"/>
      <c r="B55" s="133">
        <v>11</v>
      </c>
      <c r="C55" s="124" t="s">
        <v>293</v>
      </c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</row>
    <row r="56" spans="1:51" x14ac:dyDescent="0.2">
      <c r="A56" s="124"/>
      <c r="B56" s="133">
        <v>12</v>
      </c>
      <c r="C56" s="124" t="s">
        <v>293</v>
      </c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125"/>
      <c r="V56" s="125"/>
      <c r="W56" s="125"/>
      <c r="X56" s="125"/>
      <c r="Y56" s="125"/>
      <c r="Z56" s="125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25"/>
      <c r="AO56" s="125"/>
      <c r="AP56" s="125"/>
      <c r="AQ56" s="125"/>
      <c r="AR56" s="125"/>
      <c r="AS56" s="125"/>
      <c r="AT56" s="125"/>
      <c r="AU56" s="125"/>
      <c r="AV56" s="125"/>
      <c r="AW56" s="125"/>
      <c r="AX56" s="125"/>
      <c r="AY56" s="125"/>
    </row>
    <row r="57" spans="1:51" x14ac:dyDescent="0.2">
      <c r="A57" s="124"/>
      <c r="B57" s="134">
        <v>13</v>
      </c>
      <c r="C57" s="124" t="s">
        <v>293</v>
      </c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125"/>
      <c r="V57" s="125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25"/>
      <c r="AO57" s="125"/>
      <c r="AP57" s="125"/>
      <c r="AQ57" s="125"/>
      <c r="AR57" s="125"/>
      <c r="AS57" s="125"/>
      <c r="AT57" s="125"/>
      <c r="AU57" s="125"/>
      <c r="AV57" s="125"/>
      <c r="AW57" s="125"/>
      <c r="AX57" s="125"/>
      <c r="AY57" s="125"/>
    </row>
    <row r="58" spans="1:51" x14ac:dyDescent="0.2">
      <c r="A58" s="124"/>
      <c r="B58" s="134">
        <v>14</v>
      </c>
      <c r="C58" s="124" t="s">
        <v>293</v>
      </c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125"/>
      <c r="V58" s="125"/>
      <c r="W58" s="125"/>
      <c r="X58" s="125"/>
      <c r="Y58" s="125"/>
      <c r="Z58" s="125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25"/>
      <c r="AO58" s="125"/>
      <c r="AP58" s="125"/>
      <c r="AQ58" s="125"/>
      <c r="AR58" s="125"/>
      <c r="AS58" s="125"/>
      <c r="AT58" s="125"/>
      <c r="AU58" s="125"/>
      <c r="AV58" s="125"/>
      <c r="AW58" s="125"/>
      <c r="AX58" s="125"/>
      <c r="AY58" s="125"/>
    </row>
    <row r="59" spans="1:51" x14ac:dyDescent="0.2">
      <c r="A59" s="124"/>
      <c r="B59" s="134">
        <v>15</v>
      </c>
      <c r="C59" s="124" t="s">
        <v>293</v>
      </c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125"/>
      <c r="V59" s="125"/>
      <c r="W59" s="125"/>
      <c r="X59" s="125"/>
      <c r="Y59" s="125"/>
      <c r="Z59" s="125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</row>
    <row r="60" spans="1:51" x14ac:dyDescent="0.2">
      <c r="A60" s="124"/>
      <c r="B60" s="134">
        <v>16</v>
      </c>
      <c r="C60" s="124" t="s">
        <v>293</v>
      </c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</row>
    <row r="61" spans="1:51" x14ac:dyDescent="0.2">
      <c r="A61" s="124"/>
      <c r="B61" s="134">
        <v>17</v>
      </c>
      <c r="C61" s="124" t="s">
        <v>293</v>
      </c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  <c r="V61" s="125"/>
      <c r="W61" s="125"/>
      <c r="X61" s="125"/>
      <c r="Y61" s="125"/>
      <c r="Z61" s="125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25"/>
      <c r="AO61" s="125"/>
      <c r="AP61" s="125"/>
      <c r="AQ61" s="125"/>
      <c r="AR61" s="125"/>
      <c r="AS61" s="125"/>
      <c r="AT61" s="125"/>
      <c r="AU61" s="125"/>
      <c r="AV61" s="125"/>
      <c r="AW61" s="125"/>
      <c r="AX61" s="125"/>
      <c r="AY61" s="125"/>
    </row>
    <row r="62" spans="1:51" x14ac:dyDescent="0.2">
      <c r="A62" s="124"/>
      <c r="B62" s="134">
        <v>18</v>
      </c>
      <c r="C62" s="124" t="s">
        <v>293</v>
      </c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  <c r="V62" s="125"/>
      <c r="W62" s="125"/>
      <c r="X62" s="125"/>
      <c r="Y62" s="125"/>
      <c r="Z62" s="125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25"/>
      <c r="AO62" s="125"/>
      <c r="AP62" s="125"/>
      <c r="AQ62" s="125"/>
      <c r="AR62" s="125"/>
      <c r="AS62" s="125"/>
      <c r="AT62" s="125"/>
      <c r="AU62" s="125"/>
      <c r="AV62" s="125"/>
      <c r="AW62" s="125"/>
      <c r="AX62" s="125"/>
      <c r="AY62" s="125"/>
    </row>
    <row r="63" spans="1:51" x14ac:dyDescent="0.2">
      <c r="A63" s="124"/>
      <c r="B63" s="134">
        <v>19</v>
      </c>
      <c r="C63" s="124" t="s">
        <v>293</v>
      </c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5"/>
      <c r="AP63" s="125"/>
      <c r="AQ63" s="125"/>
      <c r="AR63" s="125"/>
      <c r="AS63" s="125"/>
      <c r="AT63" s="125"/>
      <c r="AU63" s="125"/>
      <c r="AV63" s="125"/>
      <c r="AW63" s="125"/>
      <c r="AX63" s="125"/>
      <c r="AY63" s="125"/>
    </row>
    <row r="64" spans="1:51" x14ac:dyDescent="0.2">
      <c r="A64" s="124"/>
      <c r="B64" s="134">
        <v>20</v>
      </c>
      <c r="C64" s="124" t="s">
        <v>293</v>
      </c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  <c r="V64" s="125"/>
      <c r="W64" s="125"/>
      <c r="X64" s="125"/>
      <c r="Y64" s="125"/>
      <c r="Z64" s="125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25"/>
      <c r="AO64" s="125"/>
      <c r="AP64" s="125"/>
      <c r="AQ64" s="125"/>
      <c r="AR64" s="125"/>
      <c r="AS64" s="125"/>
      <c r="AT64" s="125"/>
      <c r="AU64" s="125"/>
      <c r="AV64" s="125"/>
      <c r="AW64" s="125"/>
      <c r="AX64" s="125"/>
      <c r="AY64" s="125"/>
    </row>
    <row r="65" spans="1:51" x14ac:dyDescent="0.2">
      <c r="A65" s="124"/>
      <c r="B65" s="134">
        <v>21</v>
      </c>
      <c r="C65" s="124" t="s">
        <v>293</v>
      </c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  <c r="V65" s="125"/>
      <c r="W65" s="125"/>
      <c r="X65" s="125"/>
      <c r="Y65" s="125"/>
      <c r="Z65" s="125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25"/>
      <c r="AO65" s="125"/>
      <c r="AP65" s="125"/>
      <c r="AQ65" s="125"/>
      <c r="AR65" s="125"/>
      <c r="AS65" s="125"/>
      <c r="AT65" s="125"/>
      <c r="AU65" s="125"/>
      <c r="AV65" s="125"/>
      <c r="AW65" s="125"/>
      <c r="AX65" s="125"/>
      <c r="AY65" s="125"/>
    </row>
    <row r="66" spans="1:51" x14ac:dyDescent="0.2">
      <c r="A66" s="124"/>
      <c r="B66" s="134">
        <v>22</v>
      </c>
      <c r="C66" s="124" t="s">
        <v>293</v>
      </c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  <c r="V66" s="125"/>
      <c r="W66" s="125"/>
      <c r="X66" s="125"/>
      <c r="Y66" s="125"/>
      <c r="Z66" s="125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25"/>
      <c r="AO66" s="125"/>
      <c r="AP66" s="125"/>
      <c r="AQ66" s="125"/>
      <c r="AR66" s="125"/>
      <c r="AS66" s="125"/>
      <c r="AT66" s="125"/>
      <c r="AU66" s="125"/>
      <c r="AV66" s="125"/>
      <c r="AW66" s="125"/>
      <c r="AX66" s="125"/>
      <c r="AY66" s="125"/>
    </row>
    <row r="67" spans="1:51" x14ac:dyDescent="0.2">
      <c r="A67" s="124"/>
      <c r="B67" s="134">
        <v>23</v>
      </c>
      <c r="C67" s="124" t="s">
        <v>293</v>
      </c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125"/>
      <c r="V67" s="125"/>
      <c r="W67" s="125"/>
      <c r="X67" s="125"/>
      <c r="Y67" s="125"/>
      <c r="Z67" s="125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25"/>
      <c r="AO67" s="125"/>
      <c r="AP67" s="125"/>
      <c r="AQ67" s="125"/>
      <c r="AR67" s="125"/>
      <c r="AS67" s="125"/>
      <c r="AT67" s="125"/>
      <c r="AU67" s="125"/>
      <c r="AV67" s="125"/>
      <c r="AW67" s="125"/>
      <c r="AX67" s="125"/>
      <c r="AY67" s="125"/>
    </row>
    <row r="68" spans="1:51" x14ac:dyDescent="0.2">
      <c r="A68" s="124"/>
      <c r="B68" s="134">
        <v>24</v>
      </c>
      <c r="C68" s="124" t="s">
        <v>293</v>
      </c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125"/>
      <c r="V68" s="125"/>
      <c r="W68" s="125"/>
      <c r="X68" s="125"/>
      <c r="Y68" s="125"/>
      <c r="Z68" s="125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25"/>
      <c r="AO68" s="125"/>
      <c r="AP68" s="125"/>
      <c r="AQ68" s="125"/>
      <c r="AR68" s="125"/>
      <c r="AS68" s="125"/>
      <c r="AT68" s="125"/>
      <c r="AU68" s="125"/>
      <c r="AV68" s="125"/>
      <c r="AW68" s="125"/>
      <c r="AX68" s="125"/>
      <c r="AY68" s="125"/>
    </row>
    <row r="69" spans="1:51" x14ac:dyDescent="0.2">
      <c r="A69" s="124"/>
      <c r="B69" s="141">
        <v>25</v>
      </c>
      <c r="C69" s="124" t="s">
        <v>293</v>
      </c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</row>
    <row r="70" spans="1:51" x14ac:dyDescent="0.2">
      <c r="A70" s="124"/>
      <c r="B70" s="141">
        <v>26</v>
      </c>
      <c r="C70" s="124" t="s">
        <v>293</v>
      </c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  <c r="V70" s="125"/>
      <c r="W70" s="125"/>
      <c r="X70" s="125"/>
      <c r="Y70" s="125"/>
      <c r="Z70" s="125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25"/>
      <c r="AO70" s="125"/>
      <c r="AP70" s="125"/>
      <c r="AQ70" s="125"/>
      <c r="AR70" s="125"/>
      <c r="AS70" s="125"/>
      <c r="AT70" s="125"/>
      <c r="AU70" s="125"/>
      <c r="AV70" s="125"/>
      <c r="AW70" s="125"/>
      <c r="AX70" s="125"/>
      <c r="AY70" s="125"/>
    </row>
    <row r="71" spans="1:51" x14ac:dyDescent="0.2">
      <c r="A71" s="124"/>
      <c r="B71" s="141">
        <v>27</v>
      </c>
      <c r="C71" s="124" t="s">
        <v>293</v>
      </c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  <c r="V71" s="125"/>
      <c r="W71" s="125"/>
      <c r="X71" s="125"/>
      <c r="Y71" s="125"/>
      <c r="Z71" s="125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25"/>
      <c r="AO71" s="125"/>
      <c r="AP71" s="125"/>
      <c r="AQ71" s="125"/>
      <c r="AR71" s="125"/>
      <c r="AS71" s="125"/>
      <c r="AT71" s="125"/>
      <c r="AU71" s="125"/>
      <c r="AV71" s="125"/>
      <c r="AW71" s="125"/>
      <c r="AX71" s="125"/>
      <c r="AY71" s="125"/>
    </row>
    <row r="72" spans="1:51" x14ac:dyDescent="0.2">
      <c r="A72" s="124"/>
      <c r="B72" s="141">
        <v>28</v>
      </c>
      <c r="C72" s="124" t="s">
        <v>293</v>
      </c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  <c r="V72" s="125"/>
      <c r="W72" s="125"/>
      <c r="X72" s="125"/>
      <c r="Y72" s="125"/>
      <c r="Z72" s="125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25"/>
      <c r="AO72" s="125"/>
      <c r="AP72" s="125"/>
      <c r="AQ72" s="125"/>
      <c r="AR72" s="125"/>
      <c r="AS72" s="125"/>
      <c r="AT72" s="125"/>
      <c r="AU72" s="125"/>
      <c r="AV72" s="125"/>
      <c r="AW72" s="125"/>
      <c r="AX72" s="125"/>
      <c r="AY72" s="125"/>
    </row>
    <row r="73" spans="1:51" x14ac:dyDescent="0.2">
      <c r="A73" s="124"/>
      <c r="B73" s="141">
        <v>29</v>
      </c>
      <c r="C73" s="124" t="s">
        <v>293</v>
      </c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</row>
    <row r="74" spans="1:51" x14ac:dyDescent="0.2">
      <c r="A74" s="124"/>
      <c r="B74" s="141">
        <v>30</v>
      </c>
      <c r="C74" s="124" t="s">
        <v>293</v>
      </c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</row>
    <row r="75" spans="1:51" x14ac:dyDescent="0.2">
      <c r="A75" s="124"/>
      <c r="B75" s="141">
        <v>31</v>
      </c>
      <c r="C75" s="124" t="s">
        <v>293</v>
      </c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</row>
    <row r="76" spans="1:51" x14ac:dyDescent="0.2">
      <c r="A76" s="124"/>
      <c r="B76" s="141">
        <v>32</v>
      </c>
      <c r="C76" s="124" t="s">
        <v>293</v>
      </c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  <c r="V76" s="125"/>
      <c r="W76" s="125"/>
      <c r="X76" s="125"/>
      <c r="Y76" s="125"/>
      <c r="Z76" s="125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25"/>
      <c r="AO76" s="125"/>
      <c r="AP76" s="125"/>
      <c r="AQ76" s="125"/>
      <c r="AR76" s="125"/>
      <c r="AS76" s="125"/>
      <c r="AT76" s="125"/>
      <c r="AU76" s="125"/>
      <c r="AV76" s="125"/>
      <c r="AW76" s="125"/>
      <c r="AX76" s="125"/>
      <c r="AY76" s="125"/>
    </row>
    <row r="77" spans="1:51" x14ac:dyDescent="0.2">
      <c r="A77" s="124"/>
      <c r="B77" s="141">
        <v>33</v>
      </c>
      <c r="C77" s="124" t="s">
        <v>293</v>
      </c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  <c r="V77" s="125"/>
      <c r="W77" s="125"/>
      <c r="X77" s="125"/>
      <c r="Y77" s="125"/>
      <c r="Z77" s="125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25"/>
      <c r="AO77" s="125"/>
      <c r="AP77" s="125"/>
      <c r="AQ77" s="125"/>
      <c r="AR77" s="125"/>
      <c r="AS77" s="125"/>
      <c r="AT77" s="125"/>
      <c r="AU77" s="125"/>
      <c r="AV77" s="125"/>
      <c r="AW77" s="125"/>
      <c r="AX77" s="125"/>
      <c r="AY77" s="125"/>
    </row>
    <row r="78" spans="1:51" x14ac:dyDescent="0.2">
      <c r="A78" s="124"/>
      <c r="B78" s="141">
        <v>34</v>
      </c>
      <c r="C78" s="124" t="s">
        <v>293</v>
      </c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  <c r="V78" s="125"/>
      <c r="W78" s="125"/>
      <c r="X78" s="125"/>
      <c r="Y78" s="125"/>
      <c r="Z78" s="125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25"/>
      <c r="AO78" s="125"/>
      <c r="AP78" s="125"/>
      <c r="AQ78" s="125"/>
      <c r="AR78" s="125"/>
      <c r="AS78" s="125"/>
      <c r="AT78" s="125"/>
      <c r="AU78" s="125"/>
      <c r="AV78" s="125"/>
      <c r="AW78" s="125"/>
      <c r="AX78" s="125"/>
      <c r="AY78" s="125"/>
    </row>
    <row r="79" spans="1:51" x14ac:dyDescent="0.2">
      <c r="A79" s="124"/>
      <c r="B79" s="141">
        <v>35</v>
      </c>
      <c r="C79" s="124" t="s">
        <v>293</v>
      </c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125"/>
      <c r="V79" s="125"/>
      <c r="W79" s="125"/>
      <c r="X79" s="125"/>
      <c r="Y79" s="125"/>
      <c r="Z79" s="125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25"/>
      <c r="AO79" s="125"/>
      <c r="AP79" s="125"/>
      <c r="AQ79" s="125"/>
      <c r="AR79" s="125"/>
      <c r="AS79" s="125"/>
      <c r="AT79" s="125"/>
      <c r="AU79" s="125"/>
      <c r="AV79" s="125"/>
      <c r="AW79" s="125"/>
      <c r="AX79" s="125"/>
      <c r="AY79" s="125"/>
    </row>
    <row r="80" spans="1:51" x14ac:dyDescent="0.2">
      <c r="A80" s="124"/>
      <c r="B80" s="141">
        <v>36</v>
      </c>
      <c r="C80" s="124" t="s">
        <v>293</v>
      </c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  <c r="V80" s="125"/>
      <c r="W80" s="125"/>
      <c r="X80" s="125"/>
      <c r="Y80" s="125"/>
      <c r="Z80" s="125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25"/>
      <c r="AO80" s="125"/>
      <c r="AP80" s="125"/>
      <c r="AQ80" s="125"/>
      <c r="AR80" s="125"/>
      <c r="AS80" s="125"/>
      <c r="AT80" s="125"/>
      <c r="AU80" s="125"/>
      <c r="AV80" s="125"/>
      <c r="AW80" s="125"/>
      <c r="AX80" s="125"/>
      <c r="AY80" s="125"/>
    </row>
    <row r="81" spans="1:52" x14ac:dyDescent="0.2">
      <c r="A81" s="124"/>
      <c r="B81" s="144">
        <v>37</v>
      </c>
      <c r="C81" s="124" t="s">
        <v>293</v>
      </c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  <c r="V81" s="125"/>
      <c r="W81" s="125"/>
      <c r="X81" s="125"/>
      <c r="Y81" s="125"/>
      <c r="Z81" s="125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25"/>
      <c r="AO81" s="125"/>
      <c r="AP81" s="125"/>
      <c r="AQ81" s="125"/>
      <c r="AR81" s="125"/>
      <c r="AS81" s="125"/>
      <c r="AT81" s="125"/>
      <c r="AU81" s="125"/>
      <c r="AV81" s="125"/>
      <c r="AW81" s="125"/>
      <c r="AX81" s="125"/>
      <c r="AY81" s="125"/>
    </row>
    <row r="82" spans="1:52" x14ac:dyDescent="0.2">
      <c r="A82" s="124"/>
      <c r="B82" s="144">
        <v>38</v>
      </c>
      <c r="C82" s="124" t="s">
        <v>293</v>
      </c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  <c r="V82" s="125"/>
      <c r="W82" s="125"/>
      <c r="X82" s="125"/>
      <c r="Y82" s="125"/>
      <c r="Z82" s="125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25"/>
      <c r="AO82" s="125"/>
      <c r="AP82" s="125"/>
      <c r="AQ82" s="125"/>
      <c r="AR82" s="125"/>
      <c r="AS82" s="125"/>
      <c r="AT82" s="125"/>
      <c r="AU82" s="125"/>
      <c r="AV82" s="125"/>
      <c r="AW82" s="125"/>
      <c r="AX82" s="125"/>
      <c r="AY82" s="125"/>
    </row>
    <row r="83" spans="1:52" x14ac:dyDescent="0.2">
      <c r="A83" s="124"/>
      <c r="B83" s="144">
        <v>39</v>
      </c>
      <c r="C83" s="124" t="s">
        <v>293</v>
      </c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  <c r="V83" s="125"/>
      <c r="W83" s="125"/>
      <c r="X83" s="125"/>
      <c r="Y83" s="125"/>
      <c r="Z83" s="125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25"/>
      <c r="AO83" s="125"/>
      <c r="AP83" s="125"/>
      <c r="AQ83" s="125"/>
      <c r="AR83" s="125"/>
      <c r="AS83" s="125"/>
      <c r="AT83" s="125"/>
      <c r="AU83" s="125"/>
      <c r="AV83" s="125"/>
      <c r="AW83" s="125"/>
      <c r="AX83" s="125"/>
      <c r="AY83" s="125"/>
    </row>
    <row r="84" spans="1:52" x14ac:dyDescent="0.2">
      <c r="A84" s="124"/>
      <c r="B84" s="144">
        <v>40</v>
      </c>
      <c r="C84" s="124" t="s">
        <v>293</v>
      </c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  <c r="V84" s="125"/>
      <c r="W84" s="125"/>
      <c r="X84" s="125"/>
      <c r="Y84" s="125"/>
      <c r="Z84" s="125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25"/>
      <c r="AO84" s="125"/>
      <c r="AP84" s="125"/>
      <c r="AQ84" s="125"/>
      <c r="AR84" s="125"/>
      <c r="AS84" s="125"/>
      <c r="AT84" s="125"/>
      <c r="AU84" s="125"/>
      <c r="AV84" s="125"/>
      <c r="AW84" s="125"/>
      <c r="AX84" s="125"/>
      <c r="AY84" s="125"/>
    </row>
    <row r="85" spans="1:52" x14ac:dyDescent="0.2">
      <c r="A85" s="124"/>
      <c r="B85" s="144">
        <v>41</v>
      </c>
      <c r="C85" s="124" t="s">
        <v>293</v>
      </c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/>
      <c r="AQ85" s="125"/>
      <c r="AR85" s="125"/>
      <c r="AS85" s="125"/>
      <c r="AT85" s="125"/>
      <c r="AU85" s="125"/>
      <c r="AV85" s="125"/>
      <c r="AW85" s="125"/>
      <c r="AX85" s="125"/>
      <c r="AY85" s="125"/>
    </row>
    <row r="86" spans="1:52" x14ac:dyDescent="0.2">
      <c r="A86" s="124"/>
      <c r="B86" s="144">
        <v>42</v>
      </c>
      <c r="C86" s="124" t="s">
        <v>293</v>
      </c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  <c r="V86" s="125"/>
      <c r="W86" s="125"/>
      <c r="X86" s="125"/>
      <c r="Y86" s="125"/>
      <c r="Z86" s="125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25"/>
      <c r="AO86" s="125"/>
      <c r="AP86" s="125"/>
      <c r="AQ86" s="125"/>
      <c r="AR86" s="125"/>
      <c r="AS86" s="125"/>
      <c r="AT86" s="125"/>
      <c r="AU86" s="125"/>
      <c r="AV86" s="125"/>
      <c r="AW86" s="125"/>
      <c r="AX86" s="125"/>
      <c r="AY86" s="125"/>
    </row>
    <row r="87" spans="1:52" x14ac:dyDescent="0.2">
      <c r="A87" s="124"/>
      <c r="B87" s="144">
        <v>43</v>
      </c>
      <c r="C87" s="124" t="s">
        <v>293</v>
      </c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25"/>
      <c r="AO87" s="125"/>
      <c r="AP87" s="125"/>
      <c r="AQ87" s="125"/>
      <c r="AR87" s="125"/>
      <c r="AS87" s="125"/>
      <c r="AT87" s="125"/>
      <c r="AU87" s="125"/>
      <c r="AV87" s="125"/>
      <c r="AW87" s="125"/>
      <c r="AX87" s="125"/>
      <c r="AY87" s="125"/>
    </row>
    <row r="88" spans="1:52" x14ac:dyDescent="0.2">
      <c r="A88" s="124"/>
      <c r="B88" s="144">
        <v>44</v>
      </c>
      <c r="C88" s="124" t="s">
        <v>293</v>
      </c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25"/>
      <c r="AO88" s="125"/>
      <c r="AP88" s="125"/>
      <c r="AQ88" s="125"/>
      <c r="AR88" s="125"/>
      <c r="AS88" s="125"/>
      <c r="AT88" s="125"/>
      <c r="AU88" s="125"/>
      <c r="AV88" s="125"/>
      <c r="AW88" s="125"/>
      <c r="AX88" s="125"/>
      <c r="AY88" s="125"/>
    </row>
    <row r="89" spans="1:52" x14ac:dyDescent="0.2">
      <c r="A89" s="124"/>
      <c r="B89" s="144">
        <v>45</v>
      </c>
      <c r="C89" s="124" t="s">
        <v>293</v>
      </c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  <c r="V89" s="125"/>
      <c r="W89" s="125"/>
      <c r="X89" s="125"/>
      <c r="Y89" s="125"/>
      <c r="Z89" s="125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25"/>
      <c r="AO89" s="125"/>
      <c r="AP89" s="125">
        <v>0</v>
      </c>
      <c r="AQ89" s="125">
        <v>0</v>
      </c>
      <c r="AR89" s="125">
        <v>0</v>
      </c>
      <c r="AS89" s="125"/>
      <c r="AT89" s="125"/>
      <c r="AU89" s="125"/>
      <c r="AV89" s="125"/>
      <c r="AW89" s="125"/>
      <c r="AX89" s="125"/>
      <c r="AY89" s="125"/>
    </row>
    <row r="90" spans="1:52" x14ac:dyDescent="0.2">
      <c r="A90" s="124"/>
      <c r="B90" s="144">
        <v>46</v>
      </c>
      <c r="C90" s="124" t="s">
        <v>293</v>
      </c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  <c r="V90" s="125"/>
      <c r="W90" s="125"/>
      <c r="X90" s="125"/>
      <c r="Y90" s="125"/>
      <c r="Z90" s="125"/>
      <c r="AA90" s="125"/>
      <c r="AB90" s="125"/>
      <c r="AC90" s="125"/>
      <c r="AD90" s="125"/>
      <c r="AE90" s="125"/>
      <c r="AF90" s="125"/>
      <c r="AG90" s="125">
        <v>0</v>
      </c>
      <c r="AH90" s="125">
        <v>0</v>
      </c>
      <c r="AI90" s="125">
        <v>0</v>
      </c>
      <c r="AJ90" s="125">
        <v>0</v>
      </c>
      <c r="AK90" s="125">
        <v>0</v>
      </c>
      <c r="AL90" s="125">
        <v>0</v>
      </c>
      <c r="AM90" s="125">
        <v>0</v>
      </c>
      <c r="AN90" s="125">
        <v>0</v>
      </c>
      <c r="AO90" s="125">
        <v>0</v>
      </c>
      <c r="AP90" s="125">
        <v>0</v>
      </c>
      <c r="AQ90" s="125">
        <v>0</v>
      </c>
      <c r="AR90" s="125">
        <v>0</v>
      </c>
      <c r="AS90" s="125">
        <v>0</v>
      </c>
      <c r="AT90" s="125">
        <v>0</v>
      </c>
      <c r="AU90" s="125"/>
      <c r="AV90" s="125"/>
      <c r="AW90" s="125">
        <v>0</v>
      </c>
      <c r="AX90" s="125">
        <v>0</v>
      </c>
      <c r="AY90" s="125">
        <v>0</v>
      </c>
    </row>
    <row r="91" spans="1:52" x14ac:dyDescent="0.2">
      <c r="A91" s="124"/>
      <c r="B91" s="144">
        <v>47</v>
      </c>
      <c r="C91" s="124" t="s">
        <v>293</v>
      </c>
      <c r="D91" s="125">
        <v>0</v>
      </c>
      <c r="E91" s="125">
        <v>0</v>
      </c>
      <c r="F91" s="125">
        <v>0</v>
      </c>
      <c r="G91" s="125">
        <v>0</v>
      </c>
      <c r="H91" s="125">
        <v>0</v>
      </c>
      <c r="I91" s="125">
        <v>0</v>
      </c>
      <c r="J91" s="125">
        <v>0</v>
      </c>
      <c r="K91" s="125">
        <v>0</v>
      </c>
      <c r="L91" s="125">
        <v>0</v>
      </c>
      <c r="M91" s="125">
        <v>0</v>
      </c>
      <c r="N91" s="125">
        <v>0</v>
      </c>
      <c r="O91" s="125">
        <v>0</v>
      </c>
      <c r="P91" s="125">
        <v>0</v>
      </c>
      <c r="Q91" s="125">
        <v>0</v>
      </c>
      <c r="R91" s="125">
        <v>0</v>
      </c>
      <c r="S91" s="125">
        <v>0</v>
      </c>
      <c r="T91" s="125">
        <v>0</v>
      </c>
      <c r="U91" s="125">
        <v>0</v>
      </c>
      <c r="V91" s="125">
        <v>0</v>
      </c>
      <c r="W91" s="125">
        <v>0</v>
      </c>
      <c r="X91" s="125">
        <v>0</v>
      </c>
      <c r="Y91" s="125"/>
      <c r="Z91" s="125"/>
      <c r="AA91" s="125">
        <v>0</v>
      </c>
      <c r="AB91" s="125">
        <v>0</v>
      </c>
      <c r="AC91" s="125">
        <v>0</v>
      </c>
      <c r="AD91" s="125">
        <v>0</v>
      </c>
      <c r="AE91" s="125">
        <v>0</v>
      </c>
      <c r="AF91" s="125">
        <v>0</v>
      </c>
      <c r="AG91" s="125">
        <v>0</v>
      </c>
      <c r="AH91" s="125">
        <v>0</v>
      </c>
      <c r="AI91" s="125">
        <v>0</v>
      </c>
      <c r="AJ91" s="125">
        <v>0</v>
      </c>
      <c r="AK91" s="125">
        <v>0</v>
      </c>
      <c r="AL91" s="125">
        <v>0</v>
      </c>
      <c r="AM91" s="125">
        <v>0</v>
      </c>
      <c r="AN91" s="125">
        <v>0</v>
      </c>
      <c r="AO91" s="125">
        <v>0</v>
      </c>
      <c r="AP91" s="125">
        <v>0</v>
      </c>
      <c r="AQ91" s="125">
        <v>0</v>
      </c>
      <c r="AR91" s="125">
        <v>0</v>
      </c>
      <c r="AS91" s="125">
        <v>0</v>
      </c>
      <c r="AT91" s="125">
        <v>0</v>
      </c>
      <c r="AU91" s="125">
        <v>0</v>
      </c>
      <c r="AV91" s="125">
        <v>0</v>
      </c>
      <c r="AW91" s="125">
        <v>0</v>
      </c>
      <c r="AX91" s="125">
        <v>0</v>
      </c>
      <c r="AY91" s="125">
        <v>0</v>
      </c>
    </row>
    <row r="92" spans="1:52" x14ac:dyDescent="0.2">
      <c r="A92" s="142"/>
      <c r="B92" s="143">
        <v>48</v>
      </c>
      <c r="C92" s="142" t="s">
        <v>293</v>
      </c>
      <c r="D92" s="139">
        <v>0</v>
      </c>
      <c r="E92" s="139">
        <v>0</v>
      </c>
      <c r="F92" s="139">
        <v>0</v>
      </c>
      <c r="G92" s="139">
        <v>0</v>
      </c>
      <c r="H92" s="139">
        <v>0</v>
      </c>
      <c r="I92" s="139">
        <v>0</v>
      </c>
      <c r="J92" s="139">
        <v>0</v>
      </c>
      <c r="K92" s="139">
        <v>0</v>
      </c>
      <c r="L92" s="139">
        <v>0</v>
      </c>
      <c r="M92" s="139">
        <v>0</v>
      </c>
      <c r="N92" s="139">
        <v>0</v>
      </c>
      <c r="O92" s="139">
        <v>0</v>
      </c>
      <c r="P92" s="139">
        <v>0</v>
      </c>
      <c r="Q92" s="139">
        <v>0</v>
      </c>
      <c r="R92" s="139">
        <v>0</v>
      </c>
      <c r="S92" s="139">
        <v>0</v>
      </c>
      <c r="T92" s="139">
        <v>0</v>
      </c>
      <c r="U92" s="139">
        <v>0</v>
      </c>
      <c r="V92" s="139">
        <v>0</v>
      </c>
      <c r="W92" s="139">
        <v>0</v>
      </c>
      <c r="X92" s="139">
        <v>0</v>
      </c>
      <c r="Y92" s="139">
        <v>0</v>
      </c>
      <c r="Z92" s="139">
        <v>0</v>
      </c>
      <c r="AA92" s="139">
        <v>0</v>
      </c>
      <c r="AB92" s="139">
        <v>0</v>
      </c>
      <c r="AC92" s="139">
        <v>0</v>
      </c>
      <c r="AD92" s="139">
        <v>0</v>
      </c>
      <c r="AE92" s="139">
        <v>0</v>
      </c>
      <c r="AF92" s="139">
        <v>0</v>
      </c>
      <c r="AG92" s="139">
        <v>0</v>
      </c>
      <c r="AH92" s="139">
        <v>0</v>
      </c>
      <c r="AI92" s="139">
        <v>0</v>
      </c>
      <c r="AJ92" s="139">
        <v>0</v>
      </c>
      <c r="AK92" s="139">
        <v>0</v>
      </c>
      <c r="AL92" s="139">
        <v>0</v>
      </c>
      <c r="AM92" s="139">
        <v>0</v>
      </c>
      <c r="AN92" s="139">
        <v>0</v>
      </c>
      <c r="AO92" s="139">
        <v>0</v>
      </c>
      <c r="AP92" s="139">
        <v>0</v>
      </c>
      <c r="AQ92" s="139">
        <v>0</v>
      </c>
      <c r="AR92" s="139">
        <v>0</v>
      </c>
      <c r="AS92" s="139">
        <v>0</v>
      </c>
      <c r="AT92" s="139">
        <v>0</v>
      </c>
      <c r="AU92" s="139">
        <v>0</v>
      </c>
      <c r="AV92" s="139">
        <v>0</v>
      </c>
      <c r="AW92" s="139">
        <v>0</v>
      </c>
      <c r="AX92" s="139">
        <v>0</v>
      </c>
      <c r="AY92" s="139">
        <v>0</v>
      </c>
      <c r="AZ92" s="122">
        <f>SUM(D21:AY92)</f>
        <v>298522.71153328393</v>
      </c>
    </row>
    <row r="94" spans="1:52" x14ac:dyDescent="0.2">
      <c r="A94" s="1" t="s">
        <v>295</v>
      </c>
      <c r="B94" s="121"/>
      <c r="C94" s="121"/>
      <c r="D94" s="128"/>
      <c r="E94" s="128"/>
      <c r="F94" s="128"/>
      <c r="G94" s="128"/>
      <c r="H94" s="128"/>
      <c r="I94" s="128"/>
      <c r="J94" s="128"/>
      <c r="K94" s="128"/>
      <c r="L94" s="128"/>
      <c r="M94" s="128"/>
      <c r="N94" s="128"/>
      <c r="O94" s="128"/>
      <c r="P94" s="128"/>
      <c r="Q94" s="128"/>
      <c r="R94" s="128"/>
      <c r="S94" s="128"/>
      <c r="T94" s="128"/>
      <c r="U94" s="128"/>
      <c r="V94" s="128"/>
      <c r="W94" s="128"/>
      <c r="X94" s="128"/>
      <c r="Y94" s="128"/>
      <c r="Z94" s="128"/>
      <c r="AA94" s="128"/>
      <c r="AB94" s="128"/>
      <c r="AC94" s="128"/>
      <c r="AD94" s="128"/>
      <c r="AE94" s="128"/>
      <c r="AF94" s="128"/>
      <c r="AG94" s="128"/>
      <c r="AH94" s="128"/>
      <c r="AI94" s="128"/>
      <c r="AJ94" s="128"/>
      <c r="AK94" s="128"/>
      <c r="AL94" s="128"/>
      <c r="AM94" s="128"/>
      <c r="AN94" s="128"/>
      <c r="AO94" s="128"/>
      <c r="AP94" s="128"/>
      <c r="AQ94" s="128"/>
      <c r="AR94" s="128"/>
      <c r="AS94" s="128"/>
      <c r="AT94" s="128"/>
      <c r="AU94" s="128"/>
      <c r="AV94" s="128"/>
      <c r="AW94" s="128"/>
      <c r="AX94" s="128"/>
      <c r="AY94" s="128"/>
    </row>
    <row r="95" spans="1:52" x14ac:dyDescent="0.2">
      <c r="A95" s="140" t="s">
        <v>125</v>
      </c>
      <c r="B95" s="137">
        <v>1</v>
      </c>
      <c r="C95" s="138">
        <v>7456.083976861295</v>
      </c>
      <c r="D95" s="125">
        <v>7252.3031184624242</v>
      </c>
      <c r="E95" s="125">
        <v>7257.5133426498196</v>
      </c>
      <c r="F95" s="125">
        <v>7262.723844033867</v>
      </c>
      <c r="G95" s="125">
        <v>7267.9337869628098</v>
      </c>
      <c r="H95" s="125">
        <v>7273.1423355050574</v>
      </c>
      <c r="I95" s="125">
        <v>7278.3486535958036</v>
      </c>
      <c r="J95" s="125">
        <v>7283.55190518377</v>
      </c>
      <c r="K95" s="125">
        <v>7288.7512543780158</v>
      </c>
      <c r="L95" s="125">
        <v>7293.9458655948156</v>
      </c>
      <c r="M95" s="125">
        <v>7299.1349037045593</v>
      </c>
      <c r="N95" s="125">
        <v>7299.298511752274</v>
      </c>
      <c r="O95" s="125">
        <v>7299.298511752274</v>
      </c>
      <c r="P95" s="125">
        <v>7299.298511752274</v>
      </c>
      <c r="Q95" s="125">
        <v>7299.298511752274</v>
      </c>
      <c r="R95" s="125">
        <v>7299.298511752274</v>
      </c>
      <c r="S95" s="125">
        <v>7299.298511752274</v>
      </c>
      <c r="T95" s="125">
        <v>7299.298511752274</v>
      </c>
      <c r="U95" s="125">
        <v>7299.298511752274</v>
      </c>
      <c r="V95" s="125">
        <v>7299.298511752274</v>
      </c>
      <c r="W95" s="125">
        <v>7299.298511752274</v>
      </c>
      <c r="X95" s="125">
        <v>7299.298511752274</v>
      </c>
      <c r="Y95" s="125">
        <v>5869.33336784536</v>
      </c>
      <c r="Z95" s="125">
        <v>5871.3497936899848</v>
      </c>
      <c r="AA95" s="125">
        <v>7299.298511752274</v>
      </c>
      <c r="AB95" s="125">
        <v>7299.298511752274</v>
      </c>
      <c r="AC95" s="125">
        <v>7299.298511752274</v>
      </c>
      <c r="AD95" s="125">
        <v>7299.298511752274</v>
      </c>
      <c r="AE95" s="125">
        <v>7299.298511752274</v>
      </c>
      <c r="AF95" s="125">
        <v>7299.298511752274</v>
      </c>
      <c r="AG95" s="125">
        <v>7299.298511752274</v>
      </c>
      <c r="AH95" s="125">
        <v>5128.1355838139134</v>
      </c>
      <c r="AI95" s="125">
        <v>7299.298511752274</v>
      </c>
      <c r="AJ95" s="125">
        <v>7299.298511752274</v>
      </c>
      <c r="AK95" s="125">
        <v>7299.298511752274</v>
      </c>
      <c r="AL95" s="125">
        <v>7299.298511752274</v>
      </c>
      <c r="AM95" s="125">
        <v>7299.298511752274</v>
      </c>
      <c r="AN95" s="125">
        <v>7299.298511752274</v>
      </c>
      <c r="AO95" s="125">
        <v>7299.298511752274</v>
      </c>
      <c r="AP95" s="125">
        <v>7117.7477026719507</v>
      </c>
      <c r="AQ95" s="125">
        <v>6240.9729148090228</v>
      </c>
      <c r="AR95" s="125">
        <v>5792.6010731479228</v>
      </c>
      <c r="AS95" s="125">
        <v>7299.298511752274</v>
      </c>
      <c r="AT95" s="125">
        <v>5133.7876114018309</v>
      </c>
      <c r="AU95" s="125">
        <v>5134.2391639157104</v>
      </c>
      <c r="AV95" s="125">
        <v>5134.6873776430839</v>
      </c>
      <c r="AW95" s="125">
        <v>7299.298511752274</v>
      </c>
      <c r="AX95" s="125">
        <v>7299.298511752274</v>
      </c>
      <c r="AY95" s="125">
        <v>7299.298511752274</v>
      </c>
    </row>
    <row r="96" spans="1:52" x14ac:dyDescent="0.2">
      <c r="A96" s="124"/>
      <c r="B96" s="134">
        <v>2</v>
      </c>
      <c r="C96" s="125">
        <v>7456.083976861295</v>
      </c>
      <c r="D96" s="125">
        <v>7456.083976861295</v>
      </c>
      <c r="E96" s="125">
        <v>7252.3031184624242</v>
      </c>
      <c r="F96" s="125">
        <v>7257.5133426498196</v>
      </c>
      <c r="G96" s="125">
        <v>7262.723844033867</v>
      </c>
      <c r="H96" s="125">
        <v>7267.9337869628098</v>
      </c>
      <c r="I96" s="125">
        <v>7273.1423355050574</v>
      </c>
      <c r="J96" s="125">
        <v>7278.3486535958036</v>
      </c>
      <c r="K96" s="125">
        <v>7283.55190518377</v>
      </c>
      <c r="L96" s="125">
        <v>7288.7512543780158</v>
      </c>
      <c r="M96" s="125">
        <v>7293.9458655948156</v>
      </c>
      <c r="N96" s="125">
        <v>7299.1349037045593</v>
      </c>
      <c r="O96" s="125">
        <v>7299.298511752274</v>
      </c>
      <c r="P96" s="125">
        <v>7299.298511752274</v>
      </c>
      <c r="Q96" s="125">
        <v>7299.298511752274</v>
      </c>
      <c r="R96" s="125">
        <v>7299.298511752274</v>
      </c>
      <c r="S96" s="125">
        <v>7299.298511752274</v>
      </c>
      <c r="T96" s="125">
        <v>7299.298511752274</v>
      </c>
      <c r="U96" s="125">
        <v>7299.298511752274</v>
      </c>
      <c r="V96" s="125">
        <v>7299.298511752274</v>
      </c>
      <c r="W96" s="125">
        <v>7299.298511752274</v>
      </c>
      <c r="X96" s="125">
        <v>7299.298511752274</v>
      </c>
      <c r="Y96" s="125">
        <v>7299.298511752274</v>
      </c>
      <c r="Z96" s="125">
        <v>5869.33336784536</v>
      </c>
      <c r="AA96" s="125">
        <v>5871.3497936899848</v>
      </c>
      <c r="AB96" s="125">
        <v>7299.298511752274</v>
      </c>
      <c r="AC96" s="125">
        <v>7299.298511752274</v>
      </c>
      <c r="AD96" s="125">
        <v>7299.298511752274</v>
      </c>
      <c r="AE96" s="125">
        <v>7299.298511752274</v>
      </c>
      <c r="AF96" s="125">
        <v>7299.298511752274</v>
      </c>
      <c r="AG96" s="125">
        <v>5741.0657746629677</v>
      </c>
      <c r="AH96" s="125">
        <v>6688.2559279759216</v>
      </c>
      <c r="AI96" s="125">
        <v>3444.6683883874671</v>
      </c>
      <c r="AJ96" s="125">
        <v>2821.7001354112481</v>
      </c>
      <c r="AK96" s="125">
        <v>2106.0998776174638</v>
      </c>
      <c r="AL96" s="125">
        <v>3373.3835051891306</v>
      </c>
      <c r="AM96" s="125">
        <v>2251.0062534623203</v>
      </c>
      <c r="AN96" s="125">
        <v>2905.0334788369109</v>
      </c>
      <c r="AO96" s="125">
        <v>2240.6093282679221</v>
      </c>
      <c r="AP96" s="125">
        <v>0</v>
      </c>
      <c r="AQ96" s="125">
        <v>0</v>
      </c>
      <c r="AR96" s="125">
        <v>0</v>
      </c>
      <c r="AS96" s="125">
        <v>150.32978677023948</v>
      </c>
      <c r="AT96" s="125">
        <v>3870.8679124952705</v>
      </c>
      <c r="AU96" s="125">
        <v>5133.7876114018309</v>
      </c>
      <c r="AV96" s="125">
        <v>5134.2391639157104</v>
      </c>
      <c r="AW96" s="125">
        <v>4293.6530657949806</v>
      </c>
      <c r="AX96" s="125">
        <v>2469.9537536945363</v>
      </c>
      <c r="AY96" s="125">
        <v>1126.1771262813918</v>
      </c>
    </row>
    <row r="97" spans="1:52" x14ac:dyDescent="0.2">
      <c r="A97" s="124"/>
      <c r="B97" s="141">
        <v>3</v>
      </c>
      <c r="C97" s="125">
        <v>2038.8821370197356</v>
      </c>
      <c r="D97" s="125">
        <v>653.05549504227474</v>
      </c>
      <c r="E97" s="125">
        <v>844.70210715650592</v>
      </c>
      <c r="F97" s="125">
        <v>3292.5204049557806</v>
      </c>
      <c r="G97" s="125">
        <v>742.62107598094462</v>
      </c>
      <c r="H97" s="125">
        <v>2228.8805956648721</v>
      </c>
      <c r="I97" s="125">
        <v>3428.492954406468</v>
      </c>
      <c r="J97" s="125">
        <v>4425.1106101023497</v>
      </c>
      <c r="K97" s="125">
        <v>4535.7352346947218</v>
      </c>
      <c r="L97" s="125">
        <v>5150.9171237146948</v>
      </c>
      <c r="M97" s="125">
        <v>3957.0120757063178</v>
      </c>
      <c r="N97" s="125">
        <v>5361.2352789798706</v>
      </c>
      <c r="O97" s="125">
        <v>4834.1717260041778</v>
      </c>
      <c r="P97" s="125">
        <v>4827.7263449483507</v>
      </c>
      <c r="Q97" s="125">
        <v>4779.9259396020916</v>
      </c>
      <c r="R97" s="125">
        <v>4559.7498294525667</v>
      </c>
      <c r="S97" s="125">
        <v>4232.2723856109851</v>
      </c>
      <c r="T97" s="125">
        <v>4566.2699565691337</v>
      </c>
      <c r="U97" s="125">
        <v>6133.2467605856564</v>
      </c>
      <c r="V97" s="125">
        <v>5720.7290202907034</v>
      </c>
      <c r="W97" s="125">
        <v>6729.2076216088735</v>
      </c>
      <c r="X97" s="125">
        <v>6213.0651128377149</v>
      </c>
      <c r="Y97" s="125">
        <v>7299.298511752274</v>
      </c>
      <c r="Z97" s="125">
        <v>7299.298511752274</v>
      </c>
      <c r="AA97" s="125">
        <v>4580.0955070237824</v>
      </c>
      <c r="AB97" s="125">
        <v>2815.6311360377404</v>
      </c>
      <c r="AC97" s="125">
        <v>2248.6583614123383</v>
      </c>
      <c r="AD97" s="125">
        <v>2162.685586786929</v>
      </c>
      <c r="AE97" s="125">
        <v>1161.7128121615124</v>
      </c>
      <c r="AF97" s="125">
        <v>348.74003753610305</v>
      </c>
      <c r="AG97" s="125">
        <v>0</v>
      </c>
      <c r="AH97" s="125">
        <v>0</v>
      </c>
      <c r="AI97" s="125">
        <v>0</v>
      </c>
      <c r="AJ97" s="125">
        <v>0</v>
      </c>
      <c r="AK97" s="125">
        <v>0</v>
      </c>
      <c r="AL97" s="125">
        <v>0</v>
      </c>
      <c r="AM97" s="125">
        <v>0</v>
      </c>
      <c r="AN97" s="125">
        <v>0</v>
      </c>
      <c r="AO97" s="125">
        <v>0</v>
      </c>
      <c r="AP97" s="125">
        <v>0</v>
      </c>
      <c r="AQ97" s="125">
        <v>0</v>
      </c>
      <c r="AR97" s="125">
        <v>0</v>
      </c>
      <c r="AS97" s="125">
        <v>0</v>
      </c>
      <c r="AT97" s="125">
        <v>0</v>
      </c>
      <c r="AU97" s="125">
        <v>1211.4782176962563</v>
      </c>
      <c r="AV97" s="125">
        <v>1397.0570527731725</v>
      </c>
      <c r="AW97" s="125">
        <v>0</v>
      </c>
      <c r="AX97" s="125">
        <v>0</v>
      </c>
      <c r="AY97" s="125">
        <v>0</v>
      </c>
    </row>
    <row r="98" spans="1:52" x14ac:dyDescent="0.2">
      <c r="A98" s="124"/>
      <c r="B98" s="144">
        <v>4</v>
      </c>
      <c r="C98" s="121">
        <v>0</v>
      </c>
      <c r="D98" s="125">
        <v>0</v>
      </c>
      <c r="E98" s="125">
        <v>0</v>
      </c>
      <c r="F98" s="125">
        <v>0</v>
      </c>
      <c r="G98" s="125">
        <v>0</v>
      </c>
      <c r="H98" s="125">
        <v>0</v>
      </c>
      <c r="I98" s="125">
        <v>0</v>
      </c>
      <c r="J98" s="125">
        <v>0</v>
      </c>
      <c r="K98" s="125">
        <v>0</v>
      </c>
      <c r="L98" s="125">
        <v>0</v>
      </c>
      <c r="M98" s="125">
        <v>0</v>
      </c>
      <c r="N98" s="125">
        <v>0</v>
      </c>
      <c r="O98" s="125">
        <v>0</v>
      </c>
      <c r="P98" s="125">
        <v>0</v>
      </c>
      <c r="Q98" s="125">
        <v>0</v>
      </c>
      <c r="R98" s="125">
        <v>0</v>
      </c>
      <c r="S98" s="125">
        <v>0</v>
      </c>
      <c r="T98" s="125">
        <v>0</v>
      </c>
      <c r="U98" s="125">
        <v>0</v>
      </c>
      <c r="V98" s="125">
        <v>0</v>
      </c>
      <c r="W98" s="125">
        <v>0</v>
      </c>
      <c r="X98" s="125">
        <v>0</v>
      </c>
      <c r="Y98" s="125">
        <v>822.30759442337967</v>
      </c>
      <c r="Z98" s="125">
        <v>97.832161916672703</v>
      </c>
      <c r="AA98" s="125">
        <v>0</v>
      </c>
      <c r="AB98" s="125">
        <v>0</v>
      </c>
      <c r="AC98" s="125">
        <v>0</v>
      </c>
      <c r="AD98" s="125">
        <v>0</v>
      </c>
      <c r="AE98" s="125">
        <v>0</v>
      </c>
      <c r="AF98" s="125">
        <v>0</v>
      </c>
      <c r="AG98" s="125">
        <v>0</v>
      </c>
      <c r="AH98" s="125">
        <v>0</v>
      </c>
      <c r="AI98" s="125">
        <v>0</v>
      </c>
      <c r="AJ98" s="125">
        <v>0</v>
      </c>
      <c r="AK98" s="125">
        <v>0</v>
      </c>
      <c r="AL98" s="125">
        <v>0</v>
      </c>
      <c r="AM98" s="125">
        <v>0</v>
      </c>
      <c r="AN98" s="125">
        <v>0</v>
      </c>
      <c r="AO98" s="125">
        <v>0</v>
      </c>
      <c r="AP98" s="125">
        <v>0</v>
      </c>
      <c r="AQ98" s="125">
        <v>0</v>
      </c>
      <c r="AR98" s="125">
        <v>0</v>
      </c>
      <c r="AS98" s="125">
        <v>0</v>
      </c>
      <c r="AT98" s="125">
        <v>0</v>
      </c>
      <c r="AU98" s="125">
        <v>0</v>
      </c>
      <c r="AV98" s="125">
        <v>0</v>
      </c>
      <c r="AW98" s="125">
        <v>0</v>
      </c>
      <c r="AX98" s="125">
        <v>0</v>
      </c>
      <c r="AY98" s="125">
        <v>0</v>
      </c>
    </row>
    <row r="99" spans="1:52" x14ac:dyDescent="0.2">
      <c r="A99" s="142"/>
      <c r="B99" s="146" t="s">
        <v>296</v>
      </c>
      <c r="C99" s="139">
        <v>0</v>
      </c>
      <c r="D99" s="139">
        <v>0</v>
      </c>
      <c r="E99" s="139">
        <v>0</v>
      </c>
      <c r="F99" s="139">
        <v>0</v>
      </c>
      <c r="G99" s="139">
        <v>0</v>
      </c>
      <c r="H99" s="139">
        <v>0</v>
      </c>
      <c r="I99" s="139">
        <v>0</v>
      </c>
      <c r="J99" s="139">
        <v>0</v>
      </c>
      <c r="K99" s="139">
        <v>0</v>
      </c>
      <c r="L99" s="139">
        <v>0</v>
      </c>
      <c r="M99" s="139">
        <v>0</v>
      </c>
      <c r="N99" s="139">
        <v>0</v>
      </c>
      <c r="O99" s="139">
        <v>0</v>
      </c>
      <c r="P99" s="139">
        <v>0</v>
      </c>
      <c r="Q99" s="139">
        <v>0</v>
      </c>
      <c r="R99" s="139">
        <v>0</v>
      </c>
      <c r="S99" s="139">
        <v>0</v>
      </c>
      <c r="T99" s="139">
        <v>0</v>
      </c>
      <c r="U99" s="139">
        <v>0</v>
      </c>
      <c r="V99" s="139">
        <v>0</v>
      </c>
      <c r="W99" s="139">
        <v>0</v>
      </c>
      <c r="X99" s="139">
        <v>0</v>
      </c>
      <c r="Y99" s="139">
        <v>0</v>
      </c>
      <c r="Z99" s="139">
        <v>0</v>
      </c>
      <c r="AA99" s="139">
        <v>0</v>
      </c>
      <c r="AB99" s="139">
        <v>0</v>
      </c>
      <c r="AC99" s="139">
        <v>0</v>
      </c>
      <c r="AD99" s="139">
        <v>0</v>
      </c>
      <c r="AE99" s="139">
        <v>0</v>
      </c>
      <c r="AF99" s="139">
        <v>0</v>
      </c>
      <c r="AG99" s="139">
        <v>0</v>
      </c>
      <c r="AH99" s="139">
        <v>0</v>
      </c>
      <c r="AI99" s="139">
        <v>0</v>
      </c>
      <c r="AJ99" s="139">
        <v>0</v>
      </c>
      <c r="AK99" s="139">
        <v>0</v>
      </c>
      <c r="AL99" s="139">
        <v>0</v>
      </c>
      <c r="AM99" s="139">
        <v>0</v>
      </c>
      <c r="AN99" s="139">
        <v>0</v>
      </c>
      <c r="AO99" s="139">
        <v>0</v>
      </c>
      <c r="AP99" s="139">
        <v>0</v>
      </c>
      <c r="AQ99" s="139">
        <v>0</v>
      </c>
      <c r="AR99" s="139">
        <v>0</v>
      </c>
      <c r="AS99" s="139">
        <v>0</v>
      </c>
      <c r="AT99" s="139">
        <v>0</v>
      </c>
      <c r="AU99" s="139">
        <v>0</v>
      </c>
      <c r="AV99" s="139">
        <v>0</v>
      </c>
      <c r="AW99" s="139">
        <v>0</v>
      </c>
      <c r="AX99" s="139">
        <v>0</v>
      </c>
      <c r="AY99" s="139">
        <v>0</v>
      </c>
      <c r="AZ99" s="122">
        <f>SUM($D99:$AY99)</f>
        <v>0</v>
      </c>
    </row>
    <row r="100" spans="1:52" x14ac:dyDescent="0.2">
      <c r="A100" s="145" t="s">
        <v>133</v>
      </c>
      <c r="B100" s="133">
        <v>1</v>
      </c>
      <c r="C100" s="121">
        <v>150</v>
      </c>
      <c r="D100" s="121">
        <v>2935.8396286779675</v>
      </c>
      <c r="E100" s="121">
        <v>495</v>
      </c>
      <c r="F100" s="121">
        <v>500</v>
      </c>
      <c r="G100" s="121">
        <v>2458.0972481128438</v>
      </c>
      <c r="H100" s="121">
        <v>1326.5486240564219</v>
      </c>
      <c r="I100" s="121">
        <v>1811.5486240564219</v>
      </c>
      <c r="J100" s="121">
        <v>1131.5486240564219</v>
      </c>
      <c r="K100" s="121">
        <v>1811.5486240564219</v>
      </c>
      <c r="L100" s="121">
        <v>645</v>
      </c>
      <c r="M100" s="121">
        <v>1826.5486240564219</v>
      </c>
      <c r="N100" s="121">
        <v>300</v>
      </c>
      <c r="O100" s="121">
        <v>1826.5486240564219</v>
      </c>
      <c r="P100" s="121">
        <v>1131.5486240564219</v>
      </c>
      <c r="Q100" s="121">
        <v>830</v>
      </c>
      <c r="R100" s="121">
        <v>2113.0972481128438</v>
      </c>
      <c r="S100" s="121">
        <v>1326.5486240564219</v>
      </c>
      <c r="T100" s="121">
        <v>1826.5486240564219</v>
      </c>
      <c r="U100" s="121">
        <v>480</v>
      </c>
      <c r="V100" s="121">
        <v>2195</v>
      </c>
      <c r="W100" s="121">
        <v>330</v>
      </c>
      <c r="X100" s="121">
        <v>1481.5486240564219</v>
      </c>
      <c r="Y100" s="121">
        <v>480</v>
      </c>
      <c r="Z100" s="121">
        <v>2195</v>
      </c>
      <c r="AA100" s="121">
        <v>1476.5486240564219</v>
      </c>
      <c r="AB100" s="121">
        <v>1245.3175068536382</v>
      </c>
      <c r="AC100" s="121">
        <v>1716.5486240564219</v>
      </c>
      <c r="AD100" s="121">
        <v>1251.5486240564219</v>
      </c>
      <c r="AE100" s="121">
        <v>1716.5486240564219</v>
      </c>
      <c r="AF100" s="121">
        <v>1596.5486240564219</v>
      </c>
      <c r="AG100" s="121">
        <v>1716.5486240564219</v>
      </c>
      <c r="AH100" s="121">
        <v>1251.5486240564219</v>
      </c>
      <c r="AI100" s="121">
        <v>885</v>
      </c>
      <c r="AJ100" s="121">
        <v>1048.5404765432261</v>
      </c>
      <c r="AK100" s="121">
        <v>1811.5486240564219</v>
      </c>
      <c r="AL100" s="121">
        <v>495</v>
      </c>
      <c r="AM100" s="121">
        <v>2463.0972481128438</v>
      </c>
      <c r="AN100" s="121">
        <v>1461.5486240564219</v>
      </c>
      <c r="AO100" s="121">
        <v>845</v>
      </c>
      <c r="AP100" s="121">
        <v>2443.0972481128438</v>
      </c>
      <c r="AQ100" s="121">
        <v>1481.5486240564219</v>
      </c>
      <c r="AR100" s="121">
        <v>1476.5486240564219</v>
      </c>
      <c r="AS100" s="121">
        <v>1481.5486240564219</v>
      </c>
      <c r="AT100" s="121">
        <v>1476.5486240564219</v>
      </c>
      <c r="AU100" s="121">
        <v>495</v>
      </c>
      <c r="AV100" s="121">
        <v>1826.5486240564219</v>
      </c>
      <c r="AW100" s="121">
        <v>218.60786621573106</v>
      </c>
      <c r="AX100" s="121">
        <v>1395.2751615314546</v>
      </c>
      <c r="AY100" s="121">
        <v>845</v>
      </c>
    </row>
    <row r="101" spans="1:52" x14ac:dyDescent="0.2">
      <c r="A101" s="124"/>
      <c r="B101" s="133">
        <v>2</v>
      </c>
      <c r="C101" s="121">
        <v>2935.8396286779675</v>
      </c>
      <c r="D101" s="121">
        <v>320</v>
      </c>
      <c r="E101" s="121">
        <v>2935.8396286779675</v>
      </c>
      <c r="F101" s="121">
        <v>495</v>
      </c>
      <c r="G101" s="121">
        <v>845</v>
      </c>
      <c r="H101" s="121">
        <v>2458.0972481128438</v>
      </c>
      <c r="I101" s="121">
        <v>1326.5486240564219</v>
      </c>
      <c r="J101" s="121">
        <v>1826.5486240564219</v>
      </c>
      <c r="K101" s="121">
        <v>1476.5486240564219</v>
      </c>
      <c r="L101" s="121">
        <v>1826.5486240564219</v>
      </c>
      <c r="M101" s="121">
        <v>1826.5486240564219</v>
      </c>
      <c r="N101" s="121">
        <v>1826.5486240564219</v>
      </c>
      <c r="O101" s="121">
        <v>995</v>
      </c>
      <c r="P101" s="121">
        <v>1826.5486240564219</v>
      </c>
      <c r="Q101" s="121">
        <v>1826.5486240564219</v>
      </c>
      <c r="R101" s="121">
        <v>845</v>
      </c>
      <c r="S101" s="121">
        <v>2808.0972481128438</v>
      </c>
      <c r="T101" s="121">
        <v>1326.5486240564219</v>
      </c>
      <c r="U101" s="121">
        <v>1826.5486240564219</v>
      </c>
      <c r="V101" s="121">
        <v>845</v>
      </c>
      <c r="W101" s="121">
        <v>2808.0972481128438</v>
      </c>
      <c r="X101" s="121">
        <v>1311.5486240564219</v>
      </c>
      <c r="Y101" s="121">
        <v>1481.5486240564219</v>
      </c>
      <c r="Z101" s="121">
        <v>830</v>
      </c>
      <c r="AA101" s="121">
        <v>2808.0972481128438</v>
      </c>
      <c r="AB101" s="121">
        <v>1589.7836280818469</v>
      </c>
      <c r="AC101" s="121">
        <v>1590.3175068536382</v>
      </c>
      <c r="AD101" s="121">
        <v>1716.5486240564219</v>
      </c>
      <c r="AE101" s="121">
        <v>1596.5486240564219</v>
      </c>
      <c r="AF101" s="121">
        <v>1826.5486240564219</v>
      </c>
      <c r="AG101" s="121">
        <v>1826.5486240564219</v>
      </c>
      <c r="AH101" s="121">
        <v>1826.5486240564219</v>
      </c>
      <c r="AI101" s="121">
        <v>1596.5486240564219</v>
      </c>
      <c r="AJ101" s="121">
        <v>885</v>
      </c>
      <c r="AK101" s="121">
        <v>1393.5404765432261</v>
      </c>
      <c r="AL101" s="121">
        <v>1811.5486240564219</v>
      </c>
      <c r="AM101" s="121">
        <v>845</v>
      </c>
      <c r="AN101" s="121">
        <v>2463.0972481128438</v>
      </c>
      <c r="AO101" s="121">
        <v>1476.5486240564219</v>
      </c>
      <c r="AP101" s="121">
        <v>845</v>
      </c>
      <c r="AQ101" s="121">
        <v>2793.0972481128438</v>
      </c>
      <c r="AR101" s="121">
        <v>1826.5486240564219</v>
      </c>
      <c r="AS101" s="121">
        <v>1826.5486240564219</v>
      </c>
      <c r="AT101" s="121">
        <v>1826.5486240564219</v>
      </c>
      <c r="AU101" s="121">
        <v>1804.2750043707358</v>
      </c>
      <c r="AV101" s="121">
        <v>1326.5486240564219</v>
      </c>
      <c r="AW101" s="121">
        <v>1826.5486240564219</v>
      </c>
      <c r="AX101" s="121">
        <v>563.60786621573106</v>
      </c>
      <c r="AY101" s="121">
        <v>1395.2751615314546</v>
      </c>
    </row>
    <row r="102" spans="1:52" x14ac:dyDescent="0.2">
      <c r="A102" s="124"/>
      <c r="B102" s="134">
        <v>3</v>
      </c>
      <c r="C102" s="121">
        <v>2999.3507586071873</v>
      </c>
      <c r="D102" s="121">
        <v>2935.8396286779675</v>
      </c>
      <c r="E102" s="121">
        <v>2935.8396286779675</v>
      </c>
      <c r="F102" s="121">
        <v>2935.8396286779675</v>
      </c>
      <c r="G102" s="121">
        <v>2654.5347493372728</v>
      </c>
      <c r="H102" s="121">
        <v>845</v>
      </c>
      <c r="I102" s="121">
        <v>2458.0972481128438</v>
      </c>
      <c r="J102" s="121">
        <v>1326.5486240564219</v>
      </c>
      <c r="K102" s="121">
        <v>1826.5486240564219</v>
      </c>
      <c r="L102" s="121">
        <v>1826.5486240564219</v>
      </c>
      <c r="M102" s="121">
        <v>1826.5486240564219</v>
      </c>
      <c r="N102" s="121">
        <v>1826.5486240564219</v>
      </c>
      <c r="O102" s="121">
        <v>1826.5486240564219</v>
      </c>
      <c r="P102" s="121">
        <v>1826.5486240564219</v>
      </c>
      <c r="Q102" s="121">
        <v>1826.5486240564219</v>
      </c>
      <c r="R102" s="121">
        <v>1826.5486240564219</v>
      </c>
      <c r="S102" s="121">
        <v>845</v>
      </c>
      <c r="T102" s="121">
        <v>2808.0972481128438</v>
      </c>
      <c r="U102" s="121">
        <v>1326.5486240564219</v>
      </c>
      <c r="V102" s="121">
        <v>1826.5486240564219</v>
      </c>
      <c r="W102" s="121">
        <v>845</v>
      </c>
      <c r="X102" s="121">
        <v>2808.0972481128438</v>
      </c>
      <c r="Y102" s="121">
        <v>1326.5486240564219</v>
      </c>
      <c r="Z102" s="121">
        <v>1826.5486240564219</v>
      </c>
      <c r="AA102" s="121">
        <v>845</v>
      </c>
      <c r="AB102" s="121">
        <v>2808.0972481128438</v>
      </c>
      <c r="AC102" s="121">
        <v>1589.7836280818469</v>
      </c>
      <c r="AD102" s="121">
        <v>1590.3175068536382</v>
      </c>
      <c r="AE102" s="121">
        <v>1826.5486240564219</v>
      </c>
      <c r="AF102" s="121">
        <v>1596.5486240564219</v>
      </c>
      <c r="AG102" s="121">
        <v>1826.5486240564219</v>
      </c>
      <c r="AH102" s="121">
        <v>1826.5486240564219</v>
      </c>
      <c r="AI102" s="121">
        <v>1826.5486240564219</v>
      </c>
      <c r="AJ102" s="121">
        <v>1826.5486240564219</v>
      </c>
      <c r="AK102" s="121">
        <v>1826.5486240564219</v>
      </c>
      <c r="AL102" s="121">
        <v>1393.5404765432261</v>
      </c>
      <c r="AM102" s="121">
        <v>1826.5486240564219</v>
      </c>
      <c r="AN102" s="121">
        <v>845</v>
      </c>
      <c r="AO102" s="121">
        <v>2463.0972481128438</v>
      </c>
      <c r="AP102" s="121">
        <v>1826.5486240564219</v>
      </c>
      <c r="AQ102" s="121">
        <v>845</v>
      </c>
      <c r="AR102" s="121">
        <v>2808.0972481128438</v>
      </c>
      <c r="AS102" s="121">
        <v>1826.5486240564219</v>
      </c>
      <c r="AT102" s="121">
        <v>1826.5486240564219</v>
      </c>
      <c r="AU102" s="121">
        <v>1826.5486240564219</v>
      </c>
      <c r="AV102" s="121">
        <v>1804.2750043707358</v>
      </c>
      <c r="AW102" s="121">
        <v>1326.5486240564219</v>
      </c>
      <c r="AX102" s="121">
        <v>1826.5486240564219</v>
      </c>
      <c r="AY102" s="121">
        <v>1395.156490272153</v>
      </c>
    </row>
    <row r="103" spans="1:52" x14ac:dyDescent="0.2">
      <c r="A103" s="124"/>
      <c r="B103" s="134">
        <v>4</v>
      </c>
      <c r="C103" s="121">
        <v>2999.3507586071873</v>
      </c>
      <c r="D103" s="121">
        <v>2999.3507586071873</v>
      </c>
      <c r="E103" s="121">
        <v>2935.8396286779675</v>
      </c>
      <c r="F103" s="121">
        <v>2935.8396286779675</v>
      </c>
      <c r="G103" s="121">
        <v>2935.8396286779675</v>
      </c>
      <c r="H103" s="121">
        <v>2654.5347493372728</v>
      </c>
      <c r="I103" s="121">
        <v>845</v>
      </c>
      <c r="J103" s="121">
        <v>2808.0972481128438</v>
      </c>
      <c r="K103" s="121">
        <v>1326.5486240564219</v>
      </c>
      <c r="L103" s="121">
        <v>1826.5486240564219</v>
      </c>
      <c r="M103" s="121">
        <v>1826.5486240564219</v>
      </c>
      <c r="N103" s="121">
        <v>1826.5486240564219</v>
      </c>
      <c r="O103" s="121">
        <v>1826.5486240564219</v>
      </c>
      <c r="P103" s="121">
        <v>1826.5486240564219</v>
      </c>
      <c r="Q103" s="121">
        <v>1826.5486240564219</v>
      </c>
      <c r="R103" s="121">
        <v>1826.5486240564219</v>
      </c>
      <c r="S103" s="121">
        <v>1826.5486240564219</v>
      </c>
      <c r="T103" s="121">
        <v>845</v>
      </c>
      <c r="U103" s="121">
        <v>2808.0972481128438</v>
      </c>
      <c r="V103" s="121">
        <v>1326.5486240564219</v>
      </c>
      <c r="W103" s="121">
        <v>1826.5486240564219</v>
      </c>
      <c r="X103" s="121">
        <v>845</v>
      </c>
      <c r="Y103" s="121">
        <v>2808.0972481128438</v>
      </c>
      <c r="Z103" s="121">
        <v>1326.5486240564219</v>
      </c>
      <c r="AA103" s="121">
        <v>1826.5486240564219</v>
      </c>
      <c r="AB103" s="121">
        <v>845</v>
      </c>
      <c r="AC103" s="121">
        <v>2808.0972481128438</v>
      </c>
      <c r="AD103" s="121">
        <v>1589.7836280818469</v>
      </c>
      <c r="AE103" s="121">
        <v>1590.3175068536382</v>
      </c>
      <c r="AF103" s="121">
        <v>1805.9275695049589</v>
      </c>
      <c r="AG103" s="121">
        <v>1826.5486240564219</v>
      </c>
      <c r="AH103" s="121">
        <v>1826.5486240564219</v>
      </c>
      <c r="AI103" s="121">
        <v>1826.5486240564219</v>
      </c>
      <c r="AJ103" s="121">
        <v>1826.5486240564219</v>
      </c>
      <c r="AK103" s="121">
        <v>1826.5486240564219</v>
      </c>
      <c r="AL103" s="121">
        <v>1826.5486240564219</v>
      </c>
      <c r="AM103" s="121">
        <v>1393.5404765432261</v>
      </c>
      <c r="AN103" s="121">
        <v>1826.5486240564219</v>
      </c>
      <c r="AO103" s="121">
        <v>845</v>
      </c>
      <c r="AP103" s="121">
        <v>2463.0972481128438</v>
      </c>
      <c r="AQ103" s="121">
        <v>1826.5486240564219</v>
      </c>
      <c r="AR103" s="121">
        <v>845</v>
      </c>
      <c r="AS103" s="121">
        <v>2293.6598992075542</v>
      </c>
      <c r="AT103" s="121">
        <v>1826.5486240564219</v>
      </c>
      <c r="AU103" s="121">
        <v>1826.5486240564219</v>
      </c>
      <c r="AV103" s="121">
        <v>1826.5486240564219</v>
      </c>
      <c r="AW103" s="121">
        <v>1804.2750043707358</v>
      </c>
      <c r="AX103" s="121">
        <v>1326.5486240564219</v>
      </c>
      <c r="AY103" s="121">
        <v>1826.5486240564219</v>
      </c>
    </row>
    <row r="104" spans="1:52" x14ac:dyDescent="0.2">
      <c r="A104" s="124"/>
      <c r="B104" s="141">
        <v>5</v>
      </c>
      <c r="C104" s="121">
        <v>2999.3507586071873</v>
      </c>
      <c r="D104" s="121">
        <v>2999.3507586071873</v>
      </c>
      <c r="E104" s="121">
        <v>2999.3507586071873</v>
      </c>
      <c r="F104" s="121">
        <v>2935.8396286779675</v>
      </c>
      <c r="G104" s="121">
        <v>2935.8396286779675</v>
      </c>
      <c r="H104" s="121">
        <v>2935.8396286779675</v>
      </c>
      <c r="I104" s="121">
        <v>2654.5347493372728</v>
      </c>
      <c r="J104" s="121">
        <v>845</v>
      </c>
      <c r="K104" s="121">
        <v>2453.3891697314957</v>
      </c>
      <c r="L104" s="121">
        <v>1326.5486240564219</v>
      </c>
      <c r="M104" s="121">
        <v>1826.5486240564219</v>
      </c>
      <c r="N104" s="121">
        <v>1826.5486240564219</v>
      </c>
      <c r="O104" s="121">
        <v>1826.5486240564219</v>
      </c>
      <c r="P104" s="121">
        <v>1826.5486240564219</v>
      </c>
      <c r="Q104" s="121">
        <v>1826.5486240564219</v>
      </c>
      <c r="R104" s="121">
        <v>1826.5486240564219</v>
      </c>
      <c r="S104" s="121">
        <v>1826.5486240564219</v>
      </c>
      <c r="T104" s="121">
        <v>1826.5486240564219</v>
      </c>
      <c r="U104" s="121">
        <v>845</v>
      </c>
      <c r="V104" s="121">
        <v>2808.0972481128438</v>
      </c>
      <c r="W104" s="121">
        <v>1326.5486240564219</v>
      </c>
      <c r="X104" s="121">
        <v>1826.5486240564219</v>
      </c>
      <c r="Y104" s="121">
        <v>845</v>
      </c>
      <c r="Z104" s="121">
        <v>2808.0972481128438</v>
      </c>
      <c r="AA104" s="121">
        <v>1326.5486240564219</v>
      </c>
      <c r="AB104" s="121">
        <v>1826.5486240564219</v>
      </c>
      <c r="AC104" s="121">
        <v>845</v>
      </c>
      <c r="AD104" s="121">
        <v>1998.2778105130519</v>
      </c>
      <c r="AE104" s="121">
        <v>945.06143859489885</v>
      </c>
      <c r="AF104" s="121">
        <v>0</v>
      </c>
      <c r="AG104" s="121">
        <v>508.92756950495891</v>
      </c>
      <c r="AH104" s="121">
        <v>1232.4761935613808</v>
      </c>
      <c r="AI104" s="121">
        <v>1826.5486240564219</v>
      </c>
      <c r="AJ104" s="121">
        <v>1826.5486240564219</v>
      </c>
      <c r="AK104" s="121">
        <v>1826.5486240564219</v>
      </c>
      <c r="AL104" s="121">
        <v>1826.5486240564219</v>
      </c>
      <c r="AM104" s="121">
        <v>1826.5486240564219</v>
      </c>
      <c r="AN104" s="121">
        <v>1339.9908113481065</v>
      </c>
      <c r="AO104" s="121">
        <v>1444.5394354045284</v>
      </c>
      <c r="AP104" s="121">
        <v>616.80668436167036</v>
      </c>
      <c r="AQ104" s="121">
        <v>1062.6952392471658</v>
      </c>
      <c r="AR104" s="121">
        <v>853.56265109471042</v>
      </c>
      <c r="AS104" s="121">
        <v>0</v>
      </c>
      <c r="AT104" s="121">
        <v>780.65989920755419</v>
      </c>
      <c r="AU104" s="121">
        <v>646.20852326397608</v>
      </c>
      <c r="AV104" s="121">
        <v>138.75714732039796</v>
      </c>
      <c r="AW104" s="121">
        <v>658.30577137681985</v>
      </c>
      <c r="AX104" s="121">
        <v>1062.5807757475557</v>
      </c>
      <c r="AY104" s="121">
        <v>1137.1293998039775</v>
      </c>
    </row>
    <row r="105" spans="1:52" x14ac:dyDescent="0.2">
      <c r="A105" s="124"/>
      <c r="B105" s="141">
        <v>6</v>
      </c>
      <c r="C105" s="121">
        <v>2999.3507586071873</v>
      </c>
      <c r="D105" s="121">
        <v>2999.3507586071873</v>
      </c>
      <c r="E105" s="121">
        <v>2999.3507586071873</v>
      </c>
      <c r="F105" s="121">
        <v>2999.3507586071873</v>
      </c>
      <c r="G105" s="121">
        <v>2935.8396286779675</v>
      </c>
      <c r="H105" s="121">
        <v>2935.8396286779675</v>
      </c>
      <c r="I105" s="121">
        <v>2575.7571722813791</v>
      </c>
      <c r="J105" s="121">
        <v>2069.2919216186519</v>
      </c>
      <c r="K105" s="121">
        <v>0</v>
      </c>
      <c r="L105" s="121">
        <v>72.389169731495713</v>
      </c>
      <c r="M105" s="121">
        <v>378.9377937879176</v>
      </c>
      <c r="N105" s="121">
        <v>1322.4864178443395</v>
      </c>
      <c r="O105" s="121">
        <v>1826.5486240564219</v>
      </c>
      <c r="P105" s="121">
        <v>1826.5486240564219</v>
      </c>
      <c r="Q105" s="121">
        <v>1826.5486240564219</v>
      </c>
      <c r="R105" s="121">
        <v>1826.5486240564219</v>
      </c>
      <c r="S105" s="121">
        <v>1826.5486240564219</v>
      </c>
      <c r="T105" s="121">
        <v>1826.5486240564219</v>
      </c>
      <c r="U105" s="121">
        <v>1826.5486240564219</v>
      </c>
      <c r="V105" s="121">
        <v>845</v>
      </c>
      <c r="W105" s="121">
        <v>2388.5331120467281</v>
      </c>
      <c r="X105" s="121">
        <v>1326.5486240564219</v>
      </c>
      <c r="Y105" s="121">
        <v>1826.5486240564219</v>
      </c>
      <c r="Z105" s="121">
        <v>845</v>
      </c>
      <c r="AA105" s="121">
        <v>2807.5443228116683</v>
      </c>
      <c r="AB105" s="121">
        <v>1326.5486240564219</v>
      </c>
      <c r="AC105" s="121">
        <v>1037.1805624002081</v>
      </c>
      <c r="AD105" s="121">
        <v>0</v>
      </c>
      <c r="AE105" s="121">
        <v>0</v>
      </c>
      <c r="AF105" s="121">
        <v>0</v>
      </c>
      <c r="AG105" s="121">
        <v>0</v>
      </c>
      <c r="AH105" s="121">
        <v>0</v>
      </c>
      <c r="AI105" s="121">
        <v>65.476654642485897</v>
      </c>
      <c r="AJ105" s="121">
        <v>247.02890456292033</v>
      </c>
      <c r="AK105" s="121">
        <v>35.656387731289769</v>
      </c>
      <c r="AL105" s="121">
        <v>129.49723364705596</v>
      </c>
      <c r="AM105" s="121">
        <v>120.90171074845858</v>
      </c>
      <c r="AN105" s="121">
        <v>0</v>
      </c>
      <c r="AO105" s="121">
        <v>0</v>
      </c>
      <c r="AP105" s="121">
        <v>0</v>
      </c>
      <c r="AQ105" s="121">
        <v>0</v>
      </c>
      <c r="AR105" s="121">
        <v>0</v>
      </c>
      <c r="AS105" s="121">
        <v>0</v>
      </c>
      <c r="AT105" s="121">
        <v>0</v>
      </c>
      <c r="AU105" s="121">
        <v>0</v>
      </c>
      <c r="AV105" s="121">
        <v>0</v>
      </c>
      <c r="AW105" s="121">
        <v>0</v>
      </c>
      <c r="AX105" s="121">
        <v>0</v>
      </c>
      <c r="AY105" s="121">
        <v>0</v>
      </c>
    </row>
    <row r="106" spans="1:52" x14ac:dyDescent="0.2">
      <c r="A106" s="124"/>
      <c r="B106" s="144">
        <v>7</v>
      </c>
      <c r="C106" s="121">
        <v>296.72251091655608</v>
      </c>
      <c r="D106" s="121">
        <v>111.41699065312559</v>
      </c>
      <c r="E106" s="121">
        <v>95.427992110594005</v>
      </c>
      <c r="F106" s="121">
        <v>151.11557677807548</v>
      </c>
      <c r="G106" s="121">
        <v>45.889072028000953</v>
      </c>
      <c r="H106" s="121">
        <v>185.07791492544379</v>
      </c>
      <c r="I106" s="121">
        <v>0</v>
      </c>
      <c r="J106" s="121">
        <v>0</v>
      </c>
      <c r="K106" s="121">
        <v>0</v>
      </c>
      <c r="L106" s="121">
        <v>0</v>
      </c>
      <c r="M106" s="121">
        <v>0</v>
      </c>
      <c r="N106" s="121">
        <v>0</v>
      </c>
      <c r="O106" s="121">
        <v>188.41358814690861</v>
      </c>
      <c r="P106" s="121">
        <v>554.88619457732727</v>
      </c>
      <c r="Q106" s="121">
        <v>1023.8110734110192</v>
      </c>
      <c r="R106" s="121">
        <v>1141.0144089351293</v>
      </c>
      <c r="S106" s="121">
        <v>1059.0677022077234</v>
      </c>
      <c r="T106" s="121">
        <v>1142.6459806805874</v>
      </c>
      <c r="U106" s="121">
        <v>1169.793650151498</v>
      </c>
      <c r="V106" s="121">
        <v>811.43586393388432</v>
      </c>
      <c r="W106" s="121">
        <v>0</v>
      </c>
      <c r="X106" s="121">
        <v>607.34982658598074</v>
      </c>
      <c r="Y106" s="121">
        <v>434.89845064240262</v>
      </c>
      <c r="Z106" s="121">
        <v>781.44707469882451</v>
      </c>
      <c r="AA106" s="121">
        <v>0</v>
      </c>
      <c r="AB106" s="121">
        <v>837.08331428736437</v>
      </c>
      <c r="AC106" s="121">
        <v>0</v>
      </c>
      <c r="AD106" s="121">
        <v>0</v>
      </c>
      <c r="AE106" s="121">
        <v>0</v>
      </c>
      <c r="AF106" s="121">
        <v>0</v>
      </c>
      <c r="AG106" s="121">
        <v>0</v>
      </c>
      <c r="AH106" s="121">
        <v>0</v>
      </c>
      <c r="AI106" s="121">
        <v>0</v>
      </c>
      <c r="AJ106" s="121">
        <v>0</v>
      </c>
      <c r="AK106" s="121">
        <v>0</v>
      </c>
      <c r="AL106" s="121">
        <v>0</v>
      </c>
      <c r="AM106" s="121">
        <v>0</v>
      </c>
      <c r="AN106" s="121">
        <v>0</v>
      </c>
      <c r="AO106" s="121">
        <v>0</v>
      </c>
      <c r="AP106" s="121">
        <v>0</v>
      </c>
      <c r="AQ106" s="121">
        <v>0</v>
      </c>
      <c r="AR106" s="121">
        <v>0</v>
      </c>
      <c r="AS106" s="121">
        <v>0</v>
      </c>
      <c r="AT106" s="121">
        <v>0</v>
      </c>
      <c r="AU106" s="121">
        <v>0</v>
      </c>
      <c r="AV106" s="121">
        <v>0</v>
      </c>
      <c r="AW106" s="121">
        <v>0</v>
      </c>
      <c r="AX106" s="121">
        <v>0</v>
      </c>
      <c r="AY106" s="121">
        <v>0</v>
      </c>
    </row>
    <row r="107" spans="1:52" x14ac:dyDescent="0.2">
      <c r="A107" s="124"/>
      <c r="B107" s="144">
        <v>8</v>
      </c>
      <c r="C107" s="121">
        <v>0</v>
      </c>
      <c r="D107" s="121">
        <v>0</v>
      </c>
      <c r="E107" s="121">
        <v>0</v>
      </c>
      <c r="F107" s="121">
        <v>0</v>
      </c>
      <c r="G107" s="121">
        <v>0</v>
      </c>
      <c r="H107" s="121">
        <v>0</v>
      </c>
      <c r="I107" s="121">
        <v>0</v>
      </c>
      <c r="J107" s="121">
        <v>0</v>
      </c>
      <c r="K107" s="121">
        <v>0</v>
      </c>
      <c r="L107" s="121">
        <v>0</v>
      </c>
      <c r="M107" s="121">
        <v>0</v>
      </c>
      <c r="N107" s="121">
        <v>0</v>
      </c>
      <c r="O107" s="121">
        <v>0</v>
      </c>
      <c r="P107" s="121">
        <v>0</v>
      </c>
      <c r="Q107" s="121">
        <v>0</v>
      </c>
      <c r="R107" s="121">
        <v>0</v>
      </c>
      <c r="S107" s="121">
        <v>0</v>
      </c>
      <c r="T107" s="121">
        <v>0</v>
      </c>
      <c r="U107" s="121">
        <v>0</v>
      </c>
      <c r="V107" s="121">
        <v>0</v>
      </c>
      <c r="W107" s="121">
        <v>0</v>
      </c>
      <c r="X107" s="121">
        <v>0</v>
      </c>
      <c r="Y107" s="121">
        <v>0</v>
      </c>
      <c r="Z107" s="121">
        <v>0</v>
      </c>
      <c r="AA107" s="121">
        <v>0</v>
      </c>
      <c r="AB107" s="121">
        <v>0</v>
      </c>
      <c r="AC107" s="121">
        <v>0</v>
      </c>
      <c r="AD107" s="121">
        <v>0</v>
      </c>
      <c r="AE107" s="121">
        <v>0</v>
      </c>
      <c r="AF107" s="121">
        <v>0</v>
      </c>
      <c r="AG107" s="121">
        <v>0</v>
      </c>
      <c r="AH107" s="121">
        <v>0</v>
      </c>
      <c r="AI107" s="121">
        <v>0</v>
      </c>
      <c r="AJ107" s="121">
        <v>0</v>
      </c>
      <c r="AK107" s="121">
        <v>0</v>
      </c>
      <c r="AL107" s="121">
        <v>0</v>
      </c>
      <c r="AM107" s="121">
        <v>0</v>
      </c>
      <c r="AN107" s="121">
        <v>0</v>
      </c>
      <c r="AO107" s="121">
        <v>0</v>
      </c>
      <c r="AP107" s="121">
        <v>0</v>
      </c>
      <c r="AQ107" s="121">
        <v>0</v>
      </c>
      <c r="AR107" s="121">
        <v>0</v>
      </c>
      <c r="AS107" s="121">
        <v>0</v>
      </c>
      <c r="AT107" s="121">
        <v>0</v>
      </c>
      <c r="AU107" s="121">
        <v>0</v>
      </c>
      <c r="AV107" s="121">
        <v>0</v>
      </c>
      <c r="AW107" s="121">
        <v>0</v>
      </c>
      <c r="AX107" s="121">
        <v>0</v>
      </c>
      <c r="AY107" s="121">
        <v>0</v>
      </c>
    </row>
    <row r="108" spans="1:52" x14ac:dyDescent="0.2">
      <c r="A108" s="142"/>
      <c r="B108" s="146" t="s">
        <v>296</v>
      </c>
      <c r="C108" s="128">
        <v>0</v>
      </c>
      <c r="D108" s="139">
        <v>0</v>
      </c>
      <c r="E108" s="139">
        <v>0</v>
      </c>
      <c r="F108" s="139">
        <v>0</v>
      </c>
      <c r="G108" s="139">
        <v>0</v>
      </c>
      <c r="H108" s="139">
        <v>0</v>
      </c>
      <c r="I108" s="139">
        <v>0</v>
      </c>
      <c r="J108" s="139">
        <v>0</v>
      </c>
      <c r="K108" s="139">
        <v>0</v>
      </c>
      <c r="L108" s="139">
        <v>0</v>
      </c>
      <c r="M108" s="139">
        <v>0</v>
      </c>
      <c r="N108" s="139">
        <v>0</v>
      </c>
      <c r="O108" s="139">
        <v>0</v>
      </c>
      <c r="P108" s="139">
        <v>0</v>
      </c>
      <c r="Q108" s="139">
        <v>0</v>
      </c>
      <c r="R108" s="139">
        <v>0</v>
      </c>
      <c r="S108" s="139">
        <v>0</v>
      </c>
      <c r="T108" s="139">
        <v>0</v>
      </c>
      <c r="U108" s="139">
        <v>0</v>
      </c>
      <c r="V108" s="139">
        <v>0</v>
      </c>
      <c r="W108" s="139">
        <v>0</v>
      </c>
      <c r="X108" s="139">
        <v>0</v>
      </c>
      <c r="Y108" s="139">
        <v>0</v>
      </c>
      <c r="Z108" s="139">
        <v>0</v>
      </c>
      <c r="AA108" s="139">
        <v>0</v>
      </c>
      <c r="AB108" s="139">
        <v>0</v>
      </c>
      <c r="AC108" s="139">
        <v>0</v>
      </c>
      <c r="AD108" s="139">
        <v>0</v>
      </c>
      <c r="AE108" s="139">
        <v>0</v>
      </c>
      <c r="AF108" s="139">
        <v>0</v>
      </c>
      <c r="AG108" s="139">
        <v>0</v>
      </c>
      <c r="AH108" s="139">
        <v>0</v>
      </c>
      <c r="AI108" s="139">
        <v>0</v>
      </c>
      <c r="AJ108" s="139">
        <v>0</v>
      </c>
      <c r="AK108" s="139">
        <v>0</v>
      </c>
      <c r="AL108" s="139">
        <v>0</v>
      </c>
      <c r="AM108" s="139">
        <v>0</v>
      </c>
      <c r="AN108" s="139">
        <v>0</v>
      </c>
      <c r="AO108" s="139">
        <v>0</v>
      </c>
      <c r="AP108" s="139">
        <v>0</v>
      </c>
      <c r="AQ108" s="139">
        <v>0</v>
      </c>
      <c r="AR108" s="139">
        <v>0</v>
      </c>
      <c r="AS108" s="139">
        <v>0</v>
      </c>
      <c r="AT108" s="139">
        <v>0</v>
      </c>
      <c r="AU108" s="139">
        <v>0</v>
      </c>
      <c r="AV108" s="139">
        <v>0</v>
      </c>
      <c r="AW108" s="139">
        <v>0</v>
      </c>
      <c r="AX108" s="139">
        <v>0</v>
      </c>
      <c r="AY108" s="139">
        <v>0</v>
      </c>
      <c r="AZ108" s="122">
        <f>SUM($D108:$AY108)</f>
        <v>0</v>
      </c>
    </row>
    <row r="109" spans="1:52" x14ac:dyDescent="0.2">
      <c r="A109" s="145" t="s">
        <v>134</v>
      </c>
      <c r="B109" s="133">
        <v>1</v>
      </c>
      <c r="C109" s="121">
        <v>1071.4049550772042</v>
      </c>
      <c r="D109" s="121">
        <v>1092.0263200527177</v>
      </c>
      <c r="E109" s="121">
        <v>1252.564043985336</v>
      </c>
      <c r="F109" s="121">
        <v>1119.9963778893102</v>
      </c>
      <c r="G109" s="121">
        <v>1064.1504944861549</v>
      </c>
      <c r="H109" s="121">
        <v>1198.2714793856344</v>
      </c>
      <c r="I109" s="121">
        <v>1115.111124755872</v>
      </c>
      <c r="J109" s="121">
        <v>1323.3734919738893</v>
      </c>
      <c r="K109" s="121">
        <v>1580.8752653452254</v>
      </c>
      <c r="L109" s="121">
        <v>1764.0957472676075</v>
      </c>
      <c r="M109" s="121">
        <v>1862.5301235672052</v>
      </c>
      <c r="N109" s="121">
        <v>1588.67287337628</v>
      </c>
      <c r="O109" s="121">
        <v>1387.0864861305733</v>
      </c>
      <c r="P109" s="121">
        <v>1173.8773202571413</v>
      </c>
      <c r="Q109" s="121">
        <v>1097.4927499247158</v>
      </c>
      <c r="R109" s="121">
        <v>1229.9973325156618</v>
      </c>
      <c r="S109" s="121">
        <v>1350.5490425358307</v>
      </c>
      <c r="T109" s="121">
        <v>1527.8168441279299</v>
      </c>
      <c r="U109" s="121">
        <v>1479.8920830475263</v>
      </c>
      <c r="V109" s="121">
        <v>1273.7008306976368</v>
      </c>
      <c r="W109" s="121">
        <v>1217.036662992472</v>
      </c>
      <c r="X109" s="121">
        <v>1167.5325451479064</v>
      </c>
      <c r="Y109" s="121">
        <v>1040.9666110634857</v>
      </c>
      <c r="Z109" s="121">
        <v>1238.9853486285385</v>
      </c>
      <c r="AA109" s="121">
        <v>1377.6948405837761</v>
      </c>
      <c r="AB109" s="121">
        <v>1596.0679483868482</v>
      </c>
      <c r="AC109" s="121">
        <v>1781.3481152069264</v>
      </c>
      <c r="AD109" s="121">
        <v>2041.8832594712133</v>
      </c>
      <c r="AE109" s="121">
        <v>2221.1679221546142</v>
      </c>
      <c r="AF109" s="121">
        <v>2341.365447726565</v>
      </c>
      <c r="AG109" s="121">
        <v>2447.5850218804617</v>
      </c>
      <c r="AH109" s="121">
        <v>2439.0644077088477</v>
      </c>
      <c r="AI109" s="121">
        <v>2437.0552699778718</v>
      </c>
      <c r="AJ109" s="121">
        <v>2455.9261764194566</v>
      </c>
      <c r="AK109" s="121">
        <v>2451.538309097743</v>
      </c>
      <c r="AL109" s="121">
        <v>2276.6187323031286</v>
      </c>
      <c r="AM109" s="121">
        <v>2154.6244435240737</v>
      </c>
      <c r="AN109" s="121">
        <v>2138.8302391830216</v>
      </c>
      <c r="AO109" s="121">
        <v>2182.2773435989347</v>
      </c>
      <c r="AP109" s="121">
        <v>2380.5046323150341</v>
      </c>
      <c r="AQ109" s="121">
        <v>2482.7486930279692</v>
      </c>
      <c r="AR109" s="121">
        <v>2555.569689637121</v>
      </c>
      <c r="AS109" s="121">
        <v>2615.7369379855163</v>
      </c>
      <c r="AT109" s="121">
        <v>2330.9246185202978</v>
      </c>
      <c r="AU109" s="121">
        <v>2114.7387361477586</v>
      </c>
      <c r="AV109" s="121">
        <v>2009.3494475410182</v>
      </c>
      <c r="AW109" s="121">
        <v>2029.6441912247492</v>
      </c>
      <c r="AX109" s="121">
        <v>2141.830811489287</v>
      </c>
      <c r="AY109" s="121">
        <v>2230.6631326907482</v>
      </c>
    </row>
    <row r="110" spans="1:52" x14ac:dyDescent="0.2">
      <c r="A110" s="124"/>
      <c r="B110" s="133">
        <v>2</v>
      </c>
      <c r="C110" s="121">
        <v>1118.861746770013</v>
      </c>
      <c r="D110" s="121">
        <v>1071.4049550772042</v>
      </c>
      <c r="E110" s="121">
        <v>1092.0263200527177</v>
      </c>
      <c r="F110" s="121">
        <v>1252.564043985336</v>
      </c>
      <c r="G110" s="121">
        <v>1119.9963778893102</v>
      </c>
      <c r="H110" s="121">
        <v>1064.1504944861549</v>
      </c>
      <c r="I110" s="121">
        <v>1198.2714793856344</v>
      </c>
      <c r="J110" s="121">
        <v>1115.111124755872</v>
      </c>
      <c r="K110" s="121">
        <v>1323.3734919738893</v>
      </c>
      <c r="L110" s="121">
        <v>1580.8752653452254</v>
      </c>
      <c r="M110" s="121">
        <v>1764.0957472676075</v>
      </c>
      <c r="N110" s="121">
        <v>1862.5301235672052</v>
      </c>
      <c r="O110" s="121">
        <v>1588.67287337628</v>
      </c>
      <c r="P110" s="121">
        <v>1387.0864861305733</v>
      </c>
      <c r="Q110" s="121">
        <v>1173.8773202571413</v>
      </c>
      <c r="R110" s="121">
        <v>1097.4927499247158</v>
      </c>
      <c r="S110" s="121">
        <v>1229.9973325156618</v>
      </c>
      <c r="T110" s="121">
        <v>1350.5490425358307</v>
      </c>
      <c r="U110" s="121">
        <v>1527.8168441279299</v>
      </c>
      <c r="V110" s="121">
        <v>1479.8920830475263</v>
      </c>
      <c r="W110" s="121">
        <v>1273.7008306976368</v>
      </c>
      <c r="X110" s="121">
        <v>1217.036662992472</v>
      </c>
      <c r="Y110" s="121">
        <v>1167.5325451479064</v>
      </c>
      <c r="Z110" s="121">
        <v>1040.9666110634857</v>
      </c>
      <c r="AA110" s="121">
        <v>1238.9853486285385</v>
      </c>
      <c r="AB110" s="121">
        <v>1377.6948405837761</v>
      </c>
      <c r="AC110" s="121">
        <v>1596.0679483868482</v>
      </c>
      <c r="AD110" s="121">
        <v>1781.3481152069264</v>
      </c>
      <c r="AE110" s="121">
        <v>2041.8832594712133</v>
      </c>
      <c r="AF110" s="121">
        <v>2221.1679221546142</v>
      </c>
      <c r="AG110" s="121">
        <v>2341.365447726565</v>
      </c>
      <c r="AH110" s="121">
        <v>2447.5850218804617</v>
      </c>
      <c r="AI110" s="121">
        <v>2439.0644077088477</v>
      </c>
      <c r="AJ110" s="121">
        <v>2437.0552699778718</v>
      </c>
      <c r="AK110" s="121">
        <v>2455.9261764194566</v>
      </c>
      <c r="AL110" s="121">
        <v>2451.538309097743</v>
      </c>
      <c r="AM110" s="121">
        <v>2276.6187323031286</v>
      </c>
      <c r="AN110" s="121">
        <v>2154.6244435240737</v>
      </c>
      <c r="AO110" s="121">
        <v>2138.8302391830216</v>
      </c>
      <c r="AP110" s="121">
        <v>2182.2773435989347</v>
      </c>
      <c r="AQ110" s="121">
        <v>2380.5046323150341</v>
      </c>
      <c r="AR110" s="121">
        <v>2482.7486930279692</v>
      </c>
      <c r="AS110" s="121">
        <v>2555.569689637121</v>
      </c>
      <c r="AT110" s="121">
        <v>2615.7369379855163</v>
      </c>
      <c r="AU110" s="121">
        <v>2330.9246185202978</v>
      </c>
      <c r="AV110" s="121">
        <v>2114.7387361477586</v>
      </c>
      <c r="AW110" s="121">
        <v>2009.3494475410182</v>
      </c>
      <c r="AX110" s="121">
        <v>2029.6441912247492</v>
      </c>
      <c r="AY110" s="121">
        <v>2141.830811489287</v>
      </c>
    </row>
    <row r="111" spans="1:52" x14ac:dyDescent="0.2">
      <c r="A111" s="124"/>
      <c r="B111" s="133">
        <v>3</v>
      </c>
      <c r="C111" s="121">
        <v>1163.3175533108354</v>
      </c>
      <c r="D111" s="121">
        <v>1118.861746770013</v>
      </c>
      <c r="E111" s="121">
        <v>1071.4049550772042</v>
      </c>
      <c r="F111" s="121">
        <v>1092.0263200527177</v>
      </c>
      <c r="G111" s="121">
        <v>1252.564043985336</v>
      </c>
      <c r="H111" s="121">
        <v>1119.9963778893102</v>
      </c>
      <c r="I111" s="121">
        <v>1064.1504944861549</v>
      </c>
      <c r="J111" s="121">
        <v>1198.2714793856344</v>
      </c>
      <c r="K111" s="121">
        <v>1115.111124755872</v>
      </c>
      <c r="L111" s="121">
        <v>1323.3734919738893</v>
      </c>
      <c r="M111" s="121">
        <v>1580.8752653452254</v>
      </c>
      <c r="N111" s="121">
        <v>1764.0957472676075</v>
      </c>
      <c r="O111" s="121">
        <v>1862.5301235672052</v>
      </c>
      <c r="P111" s="121">
        <v>1588.67287337628</v>
      </c>
      <c r="Q111" s="121">
        <v>1387.0864861305733</v>
      </c>
      <c r="R111" s="121">
        <v>1173.8773202571413</v>
      </c>
      <c r="S111" s="121">
        <v>1097.4927499247158</v>
      </c>
      <c r="T111" s="121">
        <v>1229.9973325156618</v>
      </c>
      <c r="U111" s="121">
        <v>1350.5490425358307</v>
      </c>
      <c r="V111" s="121">
        <v>1527.8168441279299</v>
      </c>
      <c r="W111" s="121">
        <v>1479.8920830475263</v>
      </c>
      <c r="X111" s="121">
        <v>1273.7008306976368</v>
      </c>
      <c r="Y111" s="121">
        <v>1217.036662992472</v>
      </c>
      <c r="Z111" s="121">
        <v>1167.5325451479064</v>
      </c>
      <c r="AA111" s="121">
        <v>1040.9666110634857</v>
      </c>
      <c r="AB111" s="121">
        <v>1238.9853486285385</v>
      </c>
      <c r="AC111" s="121">
        <v>1377.6948405837761</v>
      </c>
      <c r="AD111" s="121">
        <v>1596.0679483868482</v>
      </c>
      <c r="AE111" s="121">
        <v>1781.3481152069264</v>
      </c>
      <c r="AF111" s="121">
        <v>2041.8832594712133</v>
      </c>
      <c r="AG111" s="121">
        <v>2221.1679221546142</v>
      </c>
      <c r="AH111" s="121">
        <v>2341.365447726565</v>
      </c>
      <c r="AI111" s="121">
        <v>2447.5850218804617</v>
      </c>
      <c r="AJ111" s="121">
        <v>2439.0644077088477</v>
      </c>
      <c r="AK111" s="121">
        <v>2437.0552699778718</v>
      </c>
      <c r="AL111" s="121">
        <v>2455.9261764194566</v>
      </c>
      <c r="AM111" s="121">
        <v>2451.538309097743</v>
      </c>
      <c r="AN111" s="121">
        <v>2276.6187323031286</v>
      </c>
      <c r="AO111" s="121">
        <v>2154.6244435240737</v>
      </c>
      <c r="AP111" s="121">
        <v>2138.8302391830216</v>
      </c>
      <c r="AQ111" s="121">
        <v>2182.2773435989347</v>
      </c>
      <c r="AR111" s="121">
        <v>2380.5046323150341</v>
      </c>
      <c r="AS111" s="121">
        <v>2482.7486930279692</v>
      </c>
      <c r="AT111" s="121">
        <v>2555.569689637121</v>
      </c>
      <c r="AU111" s="121">
        <v>2615.7369379855163</v>
      </c>
      <c r="AV111" s="121">
        <v>2330.9246185202978</v>
      </c>
      <c r="AW111" s="121">
        <v>2114.7387361477586</v>
      </c>
      <c r="AX111" s="121">
        <v>2009.3494475410182</v>
      </c>
      <c r="AY111" s="121">
        <v>2029.6441912247492</v>
      </c>
    </row>
    <row r="112" spans="1:52" x14ac:dyDescent="0.2">
      <c r="A112" s="124"/>
      <c r="B112" s="134">
        <v>4</v>
      </c>
      <c r="C112" s="121">
        <v>1109.9110895850308</v>
      </c>
      <c r="D112" s="121">
        <v>1163.3175533108354</v>
      </c>
      <c r="E112" s="121">
        <v>1118.861746770013</v>
      </c>
      <c r="F112" s="121">
        <v>1071.4049550772042</v>
      </c>
      <c r="G112" s="121">
        <v>1092.0263200527177</v>
      </c>
      <c r="H112" s="121">
        <v>1252.564043985336</v>
      </c>
      <c r="I112" s="121">
        <v>1119.9963778893102</v>
      </c>
      <c r="J112" s="121">
        <v>1064.1504944861549</v>
      </c>
      <c r="K112" s="121">
        <v>1198.2714793856344</v>
      </c>
      <c r="L112" s="121">
        <v>1115.111124755872</v>
      </c>
      <c r="M112" s="121">
        <v>1323.3734919738893</v>
      </c>
      <c r="N112" s="121">
        <v>1580.8752653452254</v>
      </c>
      <c r="O112" s="121">
        <v>1764.0957472676075</v>
      </c>
      <c r="P112" s="121">
        <v>1862.5301235672052</v>
      </c>
      <c r="Q112" s="121">
        <v>1588.67287337628</v>
      </c>
      <c r="R112" s="121">
        <v>1387.0864861305733</v>
      </c>
      <c r="S112" s="121">
        <v>1173.8773202571413</v>
      </c>
      <c r="T112" s="121">
        <v>1097.4927499247158</v>
      </c>
      <c r="U112" s="121">
        <v>1229.9973325156618</v>
      </c>
      <c r="V112" s="121">
        <v>1350.5490425358307</v>
      </c>
      <c r="W112" s="121">
        <v>1527.8168441279299</v>
      </c>
      <c r="X112" s="121">
        <v>1479.8920830475263</v>
      </c>
      <c r="Y112" s="121">
        <v>1273.7008306976368</v>
      </c>
      <c r="Z112" s="121">
        <v>1217.036662992472</v>
      </c>
      <c r="AA112" s="121">
        <v>1167.5325451479064</v>
      </c>
      <c r="AB112" s="121">
        <v>1040.9666110634857</v>
      </c>
      <c r="AC112" s="121">
        <v>1238.9853486285385</v>
      </c>
      <c r="AD112" s="121">
        <v>1377.6948405837761</v>
      </c>
      <c r="AE112" s="121">
        <v>1596.0679483868482</v>
      </c>
      <c r="AF112" s="121">
        <v>1781.3481152069264</v>
      </c>
      <c r="AG112" s="121">
        <v>2041.8832594712133</v>
      </c>
      <c r="AH112" s="121">
        <v>2221.1679221546142</v>
      </c>
      <c r="AI112" s="121">
        <v>2341.365447726565</v>
      </c>
      <c r="AJ112" s="121">
        <v>2447.5850218804617</v>
      </c>
      <c r="AK112" s="121">
        <v>2439.0644077088477</v>
      </c>
      <c r="AL112" s="121">
        <v>2437.0552699778718</v>
      </c>
      <c r="AM112" s="121">
        <v>2455.9261764194566</v>
      </c>
      <c r="AN112" s="121">
        <v>2451.538309097743</v>
      </c>
      <c r="AO112" s="121">
        <v>2276.6187323031286</v>
      </c>
      <c r="AP112" s="121">
        <v>2154.6244435240737</v>
      </c>
      <c r="AQ112" s="121">
        <v>2138.8302391830216</v>
      </c>
      <c r="AR112" s="121">
        <v>2182.2773435989347</v>
      </c>
      <c r="AS112" s="121">
        <v>2380.5046323150341</v>
      </c>
      <c r="AT112" s="121">
        <v>2482.7486930279692</v>
      </c>
      <c r="AU112" s="121">
        <v>2555.569689637121</v>
      </c>
      <c r="AV112" s="121">
        <v>2615.7369379855163</v>
      </c>
      <c r="AW112" s="121">
        <v>2330.9246185202978</v>
      </c>
      <c r="AX112" s="121">
        <v>2114.7387361477586</v>
      </c>
      <c r="AY112" s="121">
        <v>2009.3494475410182</v>
      </c>
    </row>
    <row r="113" spans="1:52" x14ac:dyDescent="0.2">
      <c r="A113" s="124"/>
      <c r="B113" s="134">
        <v>5</v>
      </c>
      <c r="C113" s="121">
        <v>1084.1103181949243</v>
      </c>
      <c r="D113" s="121">
        <v>1109.9110895850308</v>
      </c>
      <c r="E113" s="121">
        <v>1163.3175533108354</v>
      </c>
      <c r="F113" s="121">
        <v>1118.861746770013</v>
      </c>
      <c r="G113" s="121">
        <v>1071.4049550772042</v>
      </c>
      <c r="H113" s="121">
        <v>1092.0263200527177</v>
      </c>
      <c r="I113" s="121">
        <v>1252.564043985336</v>
      </c>
      <c r="J113" s="121">
        <v>1119.9963778893102</v>
      </c>
      <c r="K113" s="121">
        <v>1064.1504944861549</v>
      </c>
      <c r="L113" s="121">
        <v>1198.2714793856344</v>
      </c>
      <c r="M113" s="121">
        <v>1115.111124755872</v>
      </c>
      <c r="N113" s="121">
        <v>1323.3734919738893</v>
      </c>
      <c r="O113" s="121">
        <v>1580.8752653452254</v>
      </c>
      <c r="P113" s="121">
        <v>1764.0957472676075</v>
      </c>
      <c r="Q113" s="121">
        <v>1862.5301235672052</v>
      </c>
      <c r="R113" s="121">
        <v>1588.67287337628</v>
      </c>
      <c r="S113" s="121">
        <v>1387.0864861305733</v>
      </c>
      <c r="T113" s="121">
        <v>1173.8773202571413</v>
      </c>
      <c r="U113" s="121">
        <v>1097.4927499247158</v>
      </c>
      <c r="V113" s="121">
        <v>1229.9973325156618</v>
      </c>
      <c r="W113" s="121">
        <v>1350.5490425358307</v>
      </c>
      <c r="X113" s="121">
        <v>1527.8168441279299</v>
      </c>
      <c r="Y113" s="121">
        <v>1479.8920830475263</v>
      </c>
      <c r="Z113" s="121">
        <v>1273.7008306976368</v>
      </c>
      <c r="AA113" s="121">
        <v>1217.036662992472</v>
      </c>
      <c r="AB113" s="121">
        <v>1167.5325451479064</v>
      </c>
      <c r="AC113" s="121">
        <v>1040.9666110634857</v>
      </c>
      <c r="AD113" s="121">
        <v>1238.9853486285385</v>
      </c>
      <c r="AE113" s="121">
        <v>1377.6948405837761</v>
      </c>
      <c r="AF113" s="121">
        <v>1596.0679483868482</v>
      </c>
      <c r="AG113" s="121">
        <v>1781.3481152069264</v>
      </c>
      <c r="AH113" s="121">
        <v>2041.8832594712133</v>
      </c>
      <c r="AI113" s="121">
        <v>2221.1679221546142</v>
      </c>
      <c r="AJ113" s="121">
        <v>2341.365447726565</v>
      </c>
      <c r="AK113" s="121">
        <v>2447.5850218804617</v>
      </c>
      <c r="AL113" s="121">
        <v>2439.0644077088477</v>
      </c>
      <c r="AM113" s="121">
        <v>2437.0552699778718</v>
      </c>
      <c r="AN113" s="121">
        <v>2455.9261764194566</v>
      </c>
      <c r="AO113" s="121">
        <v>2451.538309097743</v>
      </c>
      <c r="AP113" s="121">
        <v>2276.6187323031286</v>
      </c>
      <c r="AQ113" s="121">
        <v>2154.6244435240737</v>
      </c>
      <c r="AR113" s="121">
        <v>2138.8302391830216</v>
      </c>
      <c r="AS113" s="121">
        <v>2182.2773435989347</v>
      </c>
      <c r="AT113" s="121">
        <v>2380.5046323150341</v>
      </c>
      <c r="AU113" s="121">
        <v>2482.7486930279692</v>
      </c>
      <c r="AV113" s="121">
        <v>2555.569689637121</v>
      </c>
      <c r="AW113" s="121">
        <v>2615.7369379855163</v>
      </c>
      <c r="AX113" s="121">
        <v>2330.9246185202978</v>
      </c>
      <c r="AY113" s="121">
        <v>2114.7387361477586</v>
      </c>
    </row>
    <row r="114" spans="1:52" x14ac:dyDescent="0.2">
      <c r="A114" s="124"/>
      <c r="B114" s="134">
        <v>6</v>
      </c>
      <c r="C114" s="121">
        <v>1065.2540336039983</v>
      </c>
      <c r="D114" s="121">
        <v>1084.1103181949243</v>
      </c>
      <c r="E114" s="121">
        <v>1109.9110895850308</v>
      </c>
      <c r="F114" s="121">
        <v>1163.3175533108354</v>
      </c>
      <c r="G114" s="121">
        <v>1118.861746770013</v>
      </c>
      <c r="H114" s="121">
        <v>1071.4049550772042</v>
      </c>
      <c r="I114" s="121">
        <v>1092.0263200527177</v>
      </c>
      <c r="J114" s="121">
        <v>1252.564043985336</v>
      </c>
      <c r="K114" s="121">
        <v>1119.9963778893102</v>
      </c>
      <c r="L114" s="121">
        <v>1064.1504944861549</v>
      </c>
      <c r="M114" s="121">
        <v>1198.2714793856344</v>
      </c>
      <c r="N114" s="121">
        <v>1115.111124755872</v>
      </c>
      <c r="O114" s="121">
        <v>1188.1162352305184</v>
      </c>
      <c r="P114" s="121">
        <v>1350.9915005757439</v>
      </c>
      <c r="Q114" s="121">
        <v>1460.0872478433514</v>
      </c>
      <c r="R114" s="121">
        <v>1495.6173714105566</v>
      </c>
      <c r="S114" s="121">
        <v>1362.2902447868366</v>
      </c>
      <c r="T114" s="121">
        <v>962.37673091740999</v>
      </c>
      <c r="U114" s="121">
        <v>1090.2540511745513</v>
      </c>
      <c r="V114" s="121">
        <v>1097.4927499247158</v>
      </c>
      <c r="W114" s="121">
        <v>1229.9973325156618</v>
      </c>
      <c r="X114" s="121">
        <v>1350.5490425358307</v>
      </c>
      <c r="Y114" s="121">
        <v>1527.8168441279299</v>
      </c>
      <c r="Z114" s="121">
        <v>1479.8920830475263</v>
      </c>
      <c r="AA114" s="121">
        <v>1273.7008306976368</v>
      </c>
      <c r="AB114" s="121">
        <v>1217.036662992472</v>
      </c>
      <c r="AC114" s="121">
        <v>1167.5325451479064</v>
      </c>
      <c r="AD114" s="121">
        <v>1040.9666110634857</v>
      </c>
      <c r="AE114" s="121">
        <v>1238.9853486285385</v>
      </c>
      <c r="AF114" s="121">
        <v>1377.6948405837761</v>
      </c>
      <c r="AG114" s="121">
        <v>1596.0679483868482</v>
      </c>
      <c r="AH114" s="121">
        <v>1781.3481152069264</v>
      </c>
      <c r="AI114" s="121">
        <v>2041.8832594712133</v>
      </c>
      <c r="AJ114" s="121">
        <v>2221.1679221546142</v>
      </c>
      <c r="AK114" s="121">
        <v>2341.365447726565</v>
      </c>
      <c r="AL114" s="121">
        <v>2447.5850218804617</v>
      </c>
      <c r="AM114" s="121">
        <v>2439.0644077088477</v>
      </c>
      <c r="AN114" s="121">
        <v>2437.0552699778718</v>
      </c>
      <c r="AO114" s="121">
        <v>2455.9261764194566</v>
      </c>
      <c r="AP114" s="121">
        <v>2451.538309097743</v>
      </c>
      <c r="AQ114" s="121">
        <v>2276.6187323031286</v>
      </c>
      <c r="AR114" s="121">
        <v>2154.6244435240737</v>
      </c>
      <c r="AS114" s="121">
        <v>2138.8302391830216</v>
      </c>
      <c r="AT114" s="121">
        <v>2182.2773435989347</v>
      </c>
      <c r="AU114" s="121">
        <v>2380.5046323150341</v>
      </c>
      <c r="AV114" s="121">
        <v>2482.7486930279692</v>
      </c>
      <c r="AW114" s="121">
        <v>2555.569689637121</v>
      </c>
      <c r="AX114" s="121">
        <v>2615.7369379855163</v>
      </c>
      <c r="AY114" s="121">
        <v>2330.9246185202978</v>
      </c>
    </row>
    <row r="115" spans="1:52" x14ac:dyDescent="0.2">
      <c r="A115" s="124"/>
      <c r="B115" s="141">
        <v>7</v>
      </c>
      <c r="C115" s="121">
        <v>1141.3799221323459</v>
      </c>
      <c r="D115" s="121">
        <v>1065.2540336039983</v>
      </c>
      <c r="E115" s="121">
        <v>1084.1103181949243</v>
      </c>
      <c r="F115" s="121">
        <v>1109.9110895850308</v>
      </c>
      <c r="G115" s="121">
        <v>1163.3175533108354</v>
      </c>
      <c r="H115" s="121">
        <v>1118.861746770013</v>
      </c>
      <c r="I115" s="121">
        <v>1071.4049550772042</v>
      </c>
      <c r="J115" s="121">
        <v>1092.0263200527177</v>
      </c>
      <c r="K115" s="121">
        <v>1252.564043985336</v>
      </c>
      <c r="L115" s="121">
        <v>1119.9963778893102</v>
      </c>
      <c r="M115" s="121">
        <v>843.36013911512282</v>
      </c>
      <c r="N115" s="121">
        <v>292.63161850075721</v>
      </c>
      <c r="O115" s="121">
        <v>0</v>
      </c>
      <c r="P115" s="121">
        <v>0</v>
      </c>
      <c r="Q115" s="121">
        <v>0</v>
      </c>
      <c r="R115" s="121">
        <v>0</v>
      </c>
      <c r="S115" s="121">
        <v>0</v>
      </c>
      <c r="T115" s="121">
        <v>0</v>
      </c>
      <c r="U115" s="121">
        <v>0</v>
      </c>
      <c r="V115" s="121">
        <v>41.25405117455125</v>
      </c>
      <c r="W115" s="121">
        <v>209.74680109926703</v>
      </c>
      <c r="X115" s="121">
        <v>524.74413361492884</v>
      </c>
      <c r="Y115" s="121">
        <v>705.29317615075956</v>
      </c>
      <c r="Z115" s="121">
        <v>1278.1100202786895</v>
      </c>
      <c r="AA115" s="121">
        <v>1479.8920830475263</v>
      </c>
      <c r="AB115" s="121">
        <v>1273.7008306976368</v>
      </c>
      <c r="AC115" s="121">
        <v>1217.036662992472</v>
      </c>
      <c r="AD115" s="121">
        <v>1167.5325451479064</v>
      </c>
      <c r="AE115" s="121">
        <v>1040.9666110634857</v>
      </c>
      <c r="AF115" s="121">
        <v>1238.9853486285385</v>
      </c>
      <c r="AG115" s="121">
        <v>1377.6948405837761</v>
      </c>
      <c r="AH115" s="121">
        <v>1596.0679483868482</v>
      </c>
      <c r="AI115" s="121">
        <v>1781.3481152069264</v>
      </c>
      <c r="AJ115" s="121">
        <v>2041.8832594712133</v>
      </c>
      <c r="AK115" s="121">
        <v>2221.1679221546142</v>
      </c>
      <c r="AL115" s="121">
        <v>2341.365447726565</v>
      </c>
      <c r="AM115" s="121">
        <v>2447.5850218804617</v>
      </c>
      <c r="AN115" s="121">
        <v>2439.0644077088477</v>
      </c>
      <c r="AO115" s="121">
        <v>2437.0552699778718</v>
      </c>
      <c r="AP115" s="121">
        <v>2455.9261764194566</v>
      </c>
      <c r="AQ115" s="121">
        <v>2451.538309097743</v>
      </c>
      <c r="AR115" s="121">
        <v>2276.6187323031286</v>
      </c>
      <c r="AS115" s="121">
        <v>2154.6244435240737</v>
      </c>
      <c r="AT115" s="121">
        <v>2138.8302391830216</v>
      </c>
      <c r="AU115" s="121">
        <v>2182.2773435989347</v>
      </c>
      <c r="AV115" s="121">
        <v>2380.5046323150341</v>
      </c>
      <c r="AW115" s="121">
        <v>2482.7486930279692</v>
      </c>
      <c r="AX115" s="121">
        <v>2555.569689637121</v>
      </c>
      <c r="AY115" s="121">
        <v>2615.7369379855163</v>
      </c>
    </row>
    <row r="116" spans="1:52" x14ac:dyDescent="0.2">
      <c r="A116" s="124"/>
      <c r="B116" s="141">
        <v>8</v>
      </c>
      <c r="C116" s="121">
        <v>533.3832840272521</v>
      </c>
      <c r="D116" s="121">
        <v>492.76320615959798</v>
      </c>
      <c r="E116" s="121">
        <v>655.01723976359631</v>
      </c>
      <c r="F116" s="121">
        <v>789.12755795852058</v>
      </c>
      <c r="G116" s="121">
        <v>1073.0386475435514</v>
      </c>
      <c r="H116" s="121">
        <v>1163.3175533108354</v>
      </c>
      <c r="I116" s="121">
        <v>1061.2179476243998</v>
      </c>
      <c r="J116" s="121">
        <v>615.62290270160406</v>
      </c>
      <c r="K116" s="121">
        <v>512.64922275432173</v>
      </c>
      <c r="L116" s="121">
        <v>421.21326673965768</v>
      </c>
      <c r="M116" s="121">
        <v>0</v>
      </c>
      <c r="N116" s="121">
        <v>0</v>
      </c>
      <c r="O116" s="121">
        <v>0</v>
      </c>
      <c r="P116" s="121">
        <v>0</v>
      </c>
      <c r="Q116" s="121">
        <v>0</v>
      </c>
      <c r="R116" s="121">
        <v>0</v>
      </c>
      <c r="S116" s="121">
        <v>0</v>
      </c>
      <c r="T116" s="121">
        <v>0</v>
      </c>
      <c r="U116" s="121">
        <v>0</v>
      </c>
      <c r="V116" s="121">
        <v>0</v>
      </c>
      <c r="W116" s="121">
        <v>0</v>
      </c>
      <c r="X116" s="121">
        <v>0</v>
      </c>
      <c r="Y116" s="121">
        <v>0</v>
      </c>
      <c r="Z116" s="121">
        <v>0</v>
      </c>
      <c r="AA116" s="121">
        <v>88.11002027868949</v>
      </c>
      <c r="AB116" s="121">
        <v>308.00210332621577</v>
      </c>
      <c r="AC116" s="121">
        <v>397.70293402385255</v>
      </c>
      <c r="AD116" s="121">
        <v>506.73959701632452</v>
      </c>
      <c r="AE116" s="121">
        <v>528.2721421642309</v>
      </c>
      <c r="AF116" s="121">
        <v>539.23875322771664</v>
      </c>
      <c r="AG116" s="121">
        <v>386.22410185625517</v>
      </c>
      <c r="AH116" s="121">
        <v>296.91894244003129</v>
      </c>
      <c r="AI116" s="121">
        <v>402.98689082687952</v>
      </c>
      <c r="AJ116" s="121">
        <v>732.33500603380594</v>
      </c>
      <c r="AK116" s="121">
        <v>556.21826550501919</v>
      </c>
      <c r="AL116" s="121">
        <v>874.38618765963338</v>
      </c>
      <c r="AM116" s="121">
        <v>1242.7516353861984</v>
      </c>
      <c r="AN116" s="121">
        <v>1293.33665726666</v>
      </c>
      <c r="AO116" s="121">
        <v>2421.4010649755078</v>
      </c>
      <c r="AP116" s="121">
        <v>2437.0552699778718</v>
      </c>
      <c r="AQ116" s="121">
        <v>2455.9261764194566</v>
      </c>
      <c r="AR116" s="121">
        <v>2451.538309097743</v>
      </c>
      <c r="AS116" s="121">
        <v>2276.6187323031286</v>
      </c>
      <c r="AT116" s="121">
        <v>2154.6244435240737</v>
      </c>
      <c r="AU116" s="121">
        <v>1618.4567108995102</v>
      </c>
      <c r="AV116" s="121">
        <v>1213.7340544984449</v>
      </c>
      <c r="AW116" s="121">
        <v>2355.238686813479</v>
      </c>
      <c r="AX116" s="121">
        <v>2482.7486930279692</v>
      </c>
      <c r="AY116" s="121">
        <v>2555.569689637121</v>
      </c>
    </row>
    <row r="117" spans="1:52" x14ac:dyDescent="0.2">
      <c r="A117" s="124"/>
      <c r="B117" s="141">
        <v>9</v>
      </c>
      <c r="C117" s="121">
        <v>0</v>
      </c>
      <c r="D117" s="121">
        <v>0</v>
      </c>
      <c r="E117" s="121">
        <v>0</v>
      </c>
      <c r="F117" s="121">
        <v>0</v>
      </c>
      <c r="G117" s="121">
        <v>0</v>
      </c>
      <c r="H117" s="121">
        <v>123.03864754355141</v>
      </c>
      <c r="I117" s="121">
        <v>0</v>
      </c>
      <c r="J117" s="121">
        <v>0</v>
      </c>
      <c r="K117" s="121">
        <v>0</v>
      </c>
      <c r="L117" s="121">
        <v>0</v>
      </c>
      <c r="M117" s="121">
        <v>0</v>
      </c>
      <c r="N117" s="121">
        <v>0</v>
      </c>
      <c r="O117" s="121">
        <v>0</v>
      </c>
      <c r="P117" s="121">
        <v>0</v>
      </c>
      <c r="Q117" s="121">
        <v>0</v>
      </c>
      <c r="R117" s="121">
        <v>0</v>
      </c>
      <c r="S117" s="121">
        <v>0</v>
      </c>
      <c r="T117" s="121">
        <v>0</v>
      </c>
      <c r="U117" s="121">
        <v>0</v>
      </c>
      <c r="V117" s="121">
        <v>0</v>
      </c>
      <c r="W117" s="121">
        <v>0</v>
      </c>
      <c r="X117" s="121">
        <v>0</v>
      </c>
      <c r="Y117" s="121">
        <v>0</v>
      </c>
      <c r="Z117" s="121">
        <v>0</v>
      </c>
      <c r="AA117" s="121">
        <v>0</v>
      </c>
      <c r="AB117" s="121">
        <v>0</v>
      </c>
      <c r="AC117" s="121">
        <v>0</v>
      </c>
      <c r="AD117" s="121">
        <v>0</v>
      </c>
      <c r="AE117" s="121">
        <v>0</v>
      </c>
      <c r="AF117" s="121">
        <v>0</v>
      </c>
      <c r="AG117" s="121">
        <v>0</v>
      </c>
      <c r="AH117" s="121">
        <v>0</v>
      </c>
      <c r="AI117" s="121">
        <v>0</v>
      </c>
      <c r="AJ117" s="121">
        <v>0</v>
      </c>
      <c r="AK117" s="121">
        <v>0</v>
      </c>
      <c r="AL117" s="121">
        <v>0</v>
      </c>
      <c r="AM117" s="121">
        <v>0</v>
      </c>
      <c r="AN117" s="121">
        <v>0</v>
      </c>
      <c r="AO117" s="121">
        <v>0</v>
      </c>
      <c r="AP117" s="121">
        <v>1004.772554684781</v>
      </c>
      <c r="AQ117" s="121">
        <v>1780.8385311275199</v>
      </c>
      <c r="AR117" s="121">
        <v>2129.8449867915433</v>
      </c>
      <c r="AS117" s="121">
        <v>1631.3832958892863</v>
      </c>
      <c r="AT117" s="121">
        <v>428.00202819241485</v>
      </c>
      <c r="AU117" s="121">
        <v>0</v>
      </c>
      <c r="AV117" s="121">
        <v>0</v>
      </c>
      <c r="AW117" s="121">
        <v>0</v>
      </c>
      <c r="AX117" s="121">
        <v>1403.238686813479</v>
      </c>
      <c r="AY117" s="121">
        <v>2482.7486930279692</v>
      </c>
    </row>
    <row r="118" spans="1:52" x14ac:dyDescent="0.2">
      <c r="A118" s="124"/>
      <c r="B118" s="144">
        <v>10</v>
      </c>
      <c r="C118" s="121">
        <v>0</v>
      </c>
      <c r="D118" s="121">
        <v>0</v>
      </c>
      <c r="E118" s="121">
        <v>0</v>
      </c>
      <c r="F118" s="121">
        <v>0</v>
      </c>
      <c r="G118" s="121">
        <v>0</v>
      </c>
      <c r="H118" s="121">
        <v>0</v>
      </c>
      <c r="I118" s="121">
        <v>0</v>
      </c>
      <c r="J118" s="121">
        <v>0</v>
      </c>
      <c r="K118" s="121">
        <v>0</v>
      </c>
      <c r="L118" s="121">
        <v>0</v>
      </c>
      <c r="M118" s="121">
        <v>0</v>
      </c>
      <c r="N118" s="121">
        <v>0</v>
      </c>
      <c r="O118" s="121">
        <v>0</v>
      </c>
      <c r="P118" s="121">
        <v>0</v>
      </c>
      <c r="Q118" s="121">
        <v>0</v>
      </c>
      <c r="R118" s="121">
        <v>0</v>
      </c>
      <c r="S118" s="121">
        <v>0</v>
      </c>
      <c r="T118" s="121">
        <v>0</v>
      </c>
      <c r="U118" s="121">
        <v>0</v>
      </c>
      <c r="V118" s="121">
        <v>0</v>
      </c>
      <c r="W118" s="121">
        <v>0</v>
      </c>
      <c r="X118" s="121">
        <v>0</v>
      </c>
      <c r="Y118" s="121">
        <v>0</v>
      </c>
      <c r="Z118" s="121">
        <v>0</v>
      </c>
      <c r="AA118" s="121">
        <v>0</v>
      </c>
      <c r="AB118" s="121">
        <v>0</v>
      </c>
      <c r="AC118" s="121">
        <v>0</v>
      </c>
      <c r="AD118" s="121">
        <v>0</v>
      </c>
      <c r="AE118" s="121">
        <v>0</v>
      </c>
      <c r="AF118" s="121">
        <v>0</v>
      </c>
      <c r="AG118" s="121">
        <v>0</v>
      </c>
      <c r="AH118" s="121">
        <v>0</v>
      </c>
      <c r="AI118" s="121">
        <v>0</v>
      </c>
      <c r="AJ118" s="121">
        <v>0</v>
      </c>
      <c r="AK118" s="121">
        <v>0</v>
      </c>
      <c r="AL118" s="121">
        <v>0</v>
      </c>
      <c r="AM118" s="121">
        <v>0</v>
      </c>
      <c r="AN118" s="121">
        <v>0</v>
      </c>
      <c r="AO118" s="121">
        <v>0</v>
      </c>
      <c r="AP118" s="121">
        <v>0</v>
      </c>
      <c r="AQ118" s="121">
        <v>0</v>
      </c>
      <c r="AR118" s="121">
        <v>0</v>
      </c>
      <c r="AS118" s="121">
        <v>0</v>
      </c>
      <c r="AT118" s="121">
        <v>0</v>
      </c>
      <c r="AU118" s="121">
        <v>0</v>
      </c>
      <c r="AV118" s="121">
        <v>0</v>
      </c>
      <c r="AW118" s="121">
        <v>0</v>
      </c>
      <c r="AX118" s="121">
        <v>0</v>
      </c>
      <c r="AY118" s="121">
        <v>2.0425396012149228</v>
      </c>
    </row>
    <row r="119" spans="1:52" x14ac:dyDescent="0.2">
      <c r="A119" s="124"/>
      <c r="B119" s="144">
        <v>11</v>
      </c>
      <c r="C119" s="121">
        <v>0</v>
      </c>
      <c r="D119" s="121">
        <v>0</v>
      </c>
      <c r="E119" s="121">
        <v>0</v>
      </c>
      <c r="F119" s="121">
        <v>0</v>
      </c>
      <c r="G119" s="121">
        <v>0</v>
      </c>
      <c r="H119" s="121">
        <v>0</v>
      </c>
      <c r="I119" s="121">
        <v>0</v>
      </c>
      <c r="J119" s="121">
        <v>0</v>
      </c>
      <c r="K119" s="121">
        <v>0</v>
      </c>
      <c r="L119" s="121">
        <v>0</v>
      </c>
      <c r="M119" s="121">
        <v>0</v>
      </c>
      <c r="N119" s="121">
        <v>0</v>
      </c>
      <c r="O119" s="121">
        <v>0</v>
      </c>
      <c r="P119" s="121">
        <v>0</v>
      </c>
      <c r="Q119" s="121">
        <v>0</v>
      </c>
      <c r="R119" s="121">
        <v>0</v>
      </c>
      <c r="S119" s="121">
        <v>0</v>
      </c>
      <c r="T119" s="121">
        <v>0</v>
      </c>
      <c r="U119" s="121">
        <v>0</v>
      </c>
      <c r="V119" s="121">
        <v>0</v>
      </c>
      <c r="W119" s="121">
        <v>0</v>
      </c>
      <c r="X119" s="121">
        <v>0</v>
      </c>
      <c r="Y119" s="121">
        <v>0</v>
      </c>
      <c r="Z119" s="121">
        <v>0</v>
      </c>
      <c r="AA119" s="121">
        <v>0</v>
      </c>
      <c r="AB119" s="121">
        <v>0</v>
      </c>
      <c r="AC119" s="121">
        <v>0</v>
      </c>
      <c r="AD119" s="121">
        <v>0</v>
      </c>
      <c r="AE119" s="121">
        <v>0</v>
      </c>
      <c r="AF119" s="121">
        <v>0</v>
      </c>
      <c r="AG119" s="121">
        <v>0</v>
      </c>
      <c r="AH119" s="121">
        <v>0</v>
      </c>
      <c r="AI119" s="121">
        <v>0</v>
      </c>
      <c r="AJ119" s="121">
        <v>0</v>
      </c>
      <c r="AK119" s="121">
        <v>0</v>
      </c>
      <c r="AL119" s="121">
        <v>0</v>
      </c>
      <c r="AM119" s="121">
        <v>0</v>
      </c>
      <c r="AN119" s="121">
        <v>0</v>
      </c>
      <c r="AO119" s="121">
        <v>0</v>
      </c>
      <c r="AP119" s="121">
        <v>0</v>
      </c>
      <c r="AQ119" s="121">
        <v>0</v>
      </c>
      <c r="AR119" s="121">
        <v>0</v>
      </c>
      <c r="AS119" s="121">
        <v>0</v>
      </c>
      <c r="AT119" s="121">
        <v>0</v>
      </c>
      <c r="AU119" s="121">
        <v>0</v>
      </c>
      <c r="AV119" s="121">
        <v>0</v>
      </c>
      <c r="AW119" s="121">
        <v>0</v>
      </c>
      <c r="AX119" s="121">
        <v>0</v>
      </c>
      <c r="AY119" s="121">
        <v>0</v>
      </c>
    </row>
    <row r="120" spans="1:52" x14ac:dyDescent="0.2">
      <c r="A120" s="124"/>
      <c r="B120" s="144">
        <v>12</v>
      </c>
      <c r="C120" s="121">
        <v>0</v>
      </c>
      <c r="D120" s="121">
        <v>0</v>
      </c>
      <c r="E120" s="121">
        <v>0</v>
      </c>
      <c r="F120" s="121">
        <v>0</v>
      </c>
      <c r="G120" s="121">
        <v>0</v>
      </c>
      <c r="H120" s="121">
        <v>0</v>
      </c>
      <c r="I120" s="121">
        <v>0</v>
      </c>
      <c r="J120" s="121">
        <v>0</v>
      </c>
      <c r="K120" s="121">
        <v>0</v>
      </c>
      <c r="L120" s="121">
        <v>0</v>
      </c>
      <c r="M120" s="121">
        <v>0</v>
      </c>
      <c r="N120" s="121">
        <v>0</v>
      </c>
      <c r="O120" s="121">
        <v>0</v>
      </c>
      <c r="P120" s="121">
        <v>0</v>
      </c>
      <c r="Q120" s="121">
        <v>0</v>
      </c>
      <c r="R120" s="121">
        <v>0</v>
      </c>
      <c r="S120" s="121">
        <v>0</v>
      </c>
      <c r="T120" s="121">
        <v>0</v>
      </c>
      <c r="U120" s="121">
        <v>0</v>
      </c>
      <c r="V120" s="121">
        <v>0</v>
      </c>
      <c r="W120" s="121">
        <v>0</v>
      </c>
      <c r="X120" s="121">
        <v>0</v>
      </c>
      <c r="Y120" s="121">
        <v>0</v>
      </c>
      <c r="Z120" s="121">
        <v>0</v>
      </c>
      <c r="AA120" s="121">
        <v>0</v>
      </c>
      <c r="AB120" s="121">
        <v>0</v>
      </c>
      <c r="AC120" s="121">
        <v>0</v>
      </c>
      <c r="AD120" s="121">
        <v>0</v>
      </c>
      <c r="AE120" s="121">
        <v>0</v>
      </c>
      <c r="AF120" s="121">
        <v>0</v>
      </c>
      <c r="AG120" s="121">
        <v>0</v>
      </c>
      <c r="AH120" s="121">
        <v>0</v>
      </c>
      <c r="AI120" s="121">
        <v>0</v>
      </c>
      <c r="AJ120" s="121">
        <v>0</v>
      </c>
      <c r="AK120" s="121">
        <v>0</v>
      </c>
      <c r="AL120" s="121">
        <v>0</v>
      </c>
      <c r="AM120" s="121">
        <v>0</v>
      </c>
      <c r="AN120" s="121">
        <v>0</v>
      </c>
      <c r="AO120" s="121">
        <v>0</v>
      </c>
      <c r="AP120" s="121">
        <v>0</v>
      </c>
      <c r="AQ120" s="121">
        <v>0</v>
      </c>
      <c r="AR120" s="121">
        <v>0</v>
      </c>
      <c r="AS120" s="121">
        <v>0</v>
      </c>
      <c r="AT120" s="121">
        <v>0</v>
      </c>
      <c r="AU120" s="121">
        <v>0</v>
      </c>
      <c r="AV120" s="121">
        <v>0</v>
      </c>
      <c r="AW120" s="121">
        <v>0</v>
      </c>
      <c r="AX120" s="121">
        <v>0</v>
      </c>
      <c r="AY120" s="121">
        <v>0</v>
      </c>
    </row>
    <row r="121" spans="1:52" x14ac:dyDescent="0.2">
      <c r="A121" s="142"/>
      <c r="B121" s="146" t="s">
        <v>296</v>
      </c>
      <c r="C121" s="128">
        <v>0</v>
      </c>
      <c r="D121" s="139">
        <v>0</v>
      </c>
      <c r="E121" s="139">
        <v>0</v>
      </c>
      <c r="F121" s="139">
        <v>0</v>
      </c>
      <c r="G121" s="139">
        <v>0</v>
      </c>
      <c r="H121" s="139">
        <v>0</v>
      </c>
      <c r="I121" s="139">
        <v>0</v>
      </c>
      <c r="J121" s="139">
        <v>0</v>
      </c>
      <c r="K121" s="139">
        <v>0</v>
      </c>
      <c r="L121" s="139">
        <v>0</v>
      </c>
      <c r="M121" s="139">
        <v>0</v>
      </c>
      <c r="N121" s="139">
        <v>0</v>
      </c>
      <c r="O121" s="139">
        <v>0</v>
      </c>
      <c r="P121" s="139">
        <v>0</v>
      </c>
      <c r="Q121" s="139">
        <v>0</v>
      </c>
      <c r="R121" s="139">
        <v>0</v>
      </c>
      <c r="S121" s="139">
        <v>0</v>
      </c>
      <c r="T121" s="139">
        <v>0</v>
      </c>
      <c r="U121" s="139">
        <v>0</v>
      </c>
      <c r="V121" s="139">
        <v>0</v>
      </c>
      <c r="W121" s="139">
        <v>0</v>
      </c>
      <c r="X121" s="139">
        <v>0</v>
      </c>
      <c r="Y121" s="139">
        <v>0</v>
      </c>
      <c r="Z121" s="139">
        <v>0</v>
      </c>
      <c r="AA121" s="139">
        <v>0</v>
      </c>
      <c r="AB121" s="139">
        <v>0</v>
      </c>
      <c r="AC121" s="139">
        <v>0</v>
      </c>
      <c r="AD121" s="139">
        <v>0</v>
      </c>
      <c r="AE121" s="139">
        <v>0</v>
      </c>
      <c r="AF121" s="139">
        <v>0</v>
      </c>
      <c r="AG121" s="139">
        <v>0</v>
      </c>
      <c r="AH121" s="139">
        <v>0</v>
      </c>
      <c r="AI121" s="139">
        <v>0</v>
      </c>
      <c r="AJ121" s="139">
        <v>0</v>
      </c>
      <c r="AK121" s="139">
        <v>0</v>
      </c>
      <c r="AL121" s="139">
        <v>0</v>
      </c>
      <c r="AM121" s="139">
        <v>0</v>
      </c>
      <c r="AN121" s="139">
        <v>0</v>
      </c>
      <c r="AO121" s="139">
        <v>0</v>
      </c>
      <c r="AP121" s="139">
        <v>0</v>
      </c>
      <c r="AQ121" s="139">
        <v>0</v>
      </c>
      <c r="AR121" s="139">
        <v>0</v>
      </c>
      <c r="AS121" s="139">
        <v>0</v>
      </c>
      <c r="AT121" s="139">
        <v>0</v>
      </c>
      <c r="AU121" s="139">
        <v>0</v>
      </c>
      <c r="AV121" s="139">
        <v>0</v>
      </c>
      <c r="AW121" s="139">
        <v>0</v>
      </c>
      <c r="AX121" s="139">
        <v>0</v>
      </c>
      <c r="AY121" s="139">
        <v>0</v>
      </c>
      <c r="AZ121" s="122">
        <f>SUM($D121:$AY121)</f>
        <v>0</v>
      </c>
    </row>
    <row r="122" spans="1:52" x14ac:dyDescent="0.2">
      <c r="A122" s="145" t="s">
        <v>123</v>
      </c>
      <c r="B122" s="133">
        <v>1</v>
      </c>
      <c r="C122" s="121">
        <v>1876.3735886949778</v>
      </c>
      <c r="D122" s="121">
        <v>3440.4241505689879</v>
      </c>
      <c r="E122" s="121">
        <v>3440.4241505689879</v>
      </c>
      <c r="F122" s="121">
        <v>3440.4241505689879</v>
      </c>
      <c r="G122" s="121">
        <v>3440.4241505689879</v>
      </c>
      <c r="H122" s="121">
        <v>3440.4241505689879</v>
      </c>
      <c r="I122" s="121">
        <v>3440.4241505689879</v>
      </c>
      <c r="J122" s="121">
        <v>3440.4241505689879</v>
      </c>
      <c r="K122" s="121">
        <v>3440.4241505689879</v>
      </c>
      <c r="L122" s="121">
        <v>3440.4241505689879</v>
      </c>
      <c r="M122" s="121">
        <v>3440.4241505689879</v>
      </c>
      <c r="N122" s="121">
        <v>3440.4241505689879</v>
      </c>
      <c r="O122" s="121">
        <v>3440.4241505689879</v>
      </c>
      <c r="P122" s="121">
        <v>3440.4241505689879</v>
      </c>
      <c r="Q122" s="121">
        <v>3440.4241505689879</v>
      </c>
      <c r="R122" s="121">
        <v>3440.4241505689879</v>
      </c>
      <c r="S122" s="121">
        <v>3440.4241505689879</v>
      </c>
      <c r="T122" s="121">
        <v>3440.4241505689879</v>
      </c>
      <c r="U122" s="121">
        <v>3440.4241505689879</v>
      </c>
      <c r="V122" s="121">
        <v>3440.4241505689879</v>
      </c>
      <c r="W122" s="121">
        <v>3440.4241505689879</v>
      </c>
      <c r="X122" s="121">
        <v>3440.4241505689879</v>
      </c>
      <c r="Y122" s="121">
        <v>3440.4241505689879</v>
      </c>
      <c r="Z122" s="121">
        <v>3440.4241505689879</v>
      </c>
      <c r="AA122" s="121">
        <v>3440.4241505689879</v>
      </c>
      <c r="AB122" s="121">
        <v>3440.4241505689879</v>
      </c>
      <c r="AC122" s="121">
        <v>3440.4241505689879</v>
      </c>
      <c r="AD122" s="121">
        <v>3440.4241505689879</v>
      </c>
      <c r="AE122" s="121">
        <v>3440.4241505689879</v>
      </c>
      <c r="AF122" s="121">
        <v>3440.4241505689879</v>
      </c>
      <c r="AG122" s="121">
        <v>3440.4241505689879</v>
      </c>
      <c r="AH122" s="121">
        <v>3440.4241505689879</v>
      </c>
      <c r="AI122" s="121">
        <v>3440.4241505689879</v>
      </c>
      <c r="AJ122" s="121">
        <v>3440.4241505689879</v>
      </c>
      <c r="AK122" s="121">
        <v>3440.4241505689879</v>
      </c>
      <c r="AL122" s="121">
        <v>3440.4241505689879</v>
      </c>
      <c r="AM122" s="121">
        <v>3440.4241505689879</v>
      </c>
      <c r="AN122" s="121">
        <v>3440.4241505689879</v>
      </c>
      <c r="AO122" s="121">
        <v>3440.4241505689879</v>
      </c>
      <c r="AP122" s="121">
        <v>3440.4241505689879</v>
      </c>
      <c r="AQ122" s="121">
        <v>3440.4241505689879</v>
      </c>
      <c r="AR122" s="121">
        <v>3440.4241505689879</v>
      </c>
      <c r="AS122" s="121">
        <v>3440.4241505689879</v>
      </c>
      <c r="AT122" s="121">
        <v>3440.4241505689879</v>
      </c>
      <c r="AU122" s="121">
        <v>3440.4241505689879</v>
      </c>
      <c r="AV122" s="121">
        <v>3440.4241505689879</v>
      </c>
      <c r="AW122" s="121">
        <v>3440.4241505689879</v>
      </c>
      <c r="AX122" s="121">
        <v>3440.4241505689879</v>
      </c>
      <c r="AY122" s="121">
        <v>3440.4241505689879</v>
      </c>
    </row>
    <row r="123" spans="1:52" x14ac:dyDescent="0.2">
      <c r="A123" s="124"/>
      <c r="B123" s="133">
        <v>2</v>
      </c>
      <c r="C123" s="121">
        <v>504.98824383782005</v>
      </c>
      <c r="D123" s="121">
        <v>699.3355124800803</v>
      </c>
      <c r="E123" s="121">
        <v>261.19561906373201</v>
      </c>
      <c r="F123" s="121">
        <v>76.623391743409684</v>
      </c>
      <c r="G123" s="121">
        <v>519.89704782624267</v>
      </c>
      <c r="H123" s="121">
        <v>245.04971900959617</v>
      </c>
      <c r="I123" s="121">
        <v>933.3627448227121</v>
      </c>
      <c r="J123" s="121">
        <v>1784.413403417811</v>
      </c>
      <c r="K123" s="121">
        <v>2389.9622886415737</v>
      </c>
      <c r="L123" s="121">
        <v>2399.4575395055022</v>
      </c>
      <c r="M123" s="121">
        <v>1810.1847189447365</v>
      </c>
      <c r="N123" s="121">
        <v>1143.9359961374444</v>
      </c>
      <c r="O123" s="121">
        <v>439.27366057585914</v>
      </c>
      <c r="P123" s="121">
        <v>186.82049088770555</v>
      </c>
      <c r="Q123" s="121">
        <v>624.75189153197789</v>
      </c>
      <c r="R123" s="121">
        <v>1023.1787095853042</v>
      </c>
      <c r="S123" s="121">
        <v>1609.0538176184614</v>
      </c>
      <c r="T123" s="121">
        <v>1450.6611240595194</v>
      </c>
      <c r="U123" s="121">
        <v>769.19319158098097</v>
      </c>
      <c r="V123" s="121">
        <v>581.91651145233209</v>
      </c>
      <c r="W123" s="121">
        <v>418.30399902884801</v>
      </c>
      <c r="X123" s="121">
        <v>0</v>
      </c>
      <c r="Y123" s="121">
        <v>654.45753950550215</v>
      </c>
      <c r="Z123" s="121">
        <v>1112.8963414459515</v>
      </c>
      <c r="AA123" s="121">
        <v>1834.6256514311633</v>
      </c>
      <c r="AB123" s="121">
        <v>2399.4575395055022</v>
      </c>
      <c r="AC123" s="121">
        <v>2399.4575395055022</v>
      </c>
      <c r="AD123" s="121">
        <v>2399.4575395055022</v>
      </c>
      <c r="AE123" s="121">
        <v>2399.4575395055022</v>
      </c>
      <c r="AF123" s="121">
        <v>2399.4575395055022</v>
      </c>
      <c r="AG123" s="121">
        <v>2399.4575395055022</v>
      </c>
      <c r="AH123" s="121">
        <v>2399.4575395055022</v>
      </c>
      <c r="AI123" s="121">
        <v>2399.4575395055022</v>
      </c>
      <c r="AJ123" s="121">
        <v>2399.4575395055022</v>
      </c>
      <c r="AK123" s="121">
        <v>2399.4575395055022</v>
      </c>
      <c r="AL123" s="121">
        <v>2399.4575395055022</v>
      </c>
      <c r="AM123" s="121">
        <v>2399.4575395055022</v>
      </c>
      <c r="AN123" s="121">
        <v>2399.4575395055022</v>
      </c>
      <c r="AO123" s="121">
        <v>2399.4575395055022</v>
      </c>
      <c r="AP123" s="121">
        <v>2399.4575395055022</v>
      </c>
      <c r="AQ123" s="121">
        <v>2399.4575395055022</v>
      </c>
      <c r="AR123" s="121">
        <v>2399.4575395055022</v>
      </c>
      <c r="AS123" s="121">
        <v>2399.4575395055022</v>
      </c>
      <c r="AT123" s="121">
        <v>2399.4575395055022</v>
      </c>
      <c r="AU123" s="121">
        <v>2399.4575395055022</v>
      </c>
      <c r="AV123" s="121">
        <v>2399.4575395055022</v>
      </c>
      <c r="AW123" s="121">
        <v>2399.4575395055022</v>
      </c>
      <c r="AX123" s="121">
        <v>2399.4575395055022</v>
      </c>
      <c r="AY123" s="121">
        <v>2399.4575395055022</v>
      </c>
    </row>
    <row r="124" spans="1:52" x14ac:dyDescent="0.2">
      <c r="A124" s="124"/>
      <c r="B124" s="133">
        <v>3</v>
      </c>
      <c r="C124" s="121">
        <v>0</v>
      </c>
      <c r="D124" s="121">
        <v>0</v>
      </c>
      <c r="E124" s="121">
        <v>0</v>
      </c>
      <c r="F124" s="121">
        <v>0</v>
      </c>
      <c r="G124" s="121">
        <v>0</v>
      </c>
      <c r="H124" s="121">
        <v>0</v>
      </c>
      <c r="I124" s="121">
        <v>0</v>
      </c>
      <c r="J124" s="121">
        <v>0</v>
      </c>
      <c r="K124" s="121">
        <v>0</v>
      </c>
      <c r="L124" s="121">
        <v>315.83315243745187</v>
      </c>
      <c r="M124" s="121">
        <v>0</v>
      </c>
      <c r="N124" s="121">
        <v>0</v>
      </c>
      <c r="O124" s="121">
        <v>0</v>
      </c>
      <c r="P124" s="121">
        <v>0</v>
      </c>
      <c r="Q124" s="121">
        <v>0</v>
      </c>
      <c r="R124" s="121">
        <v>0</v>
      </c>
      <c r="S124" s="121">
        <v>0</v>
      </c>
      <c r="T124" s="121">
        <v>0</v>
      </c>
      <c r="U124" s="121">
        <v>0</v>
      </c>
      <c r="V124" s="121">
        <v>0</v>
      </c>
      <c r="W124" s="121">
        <v>0</v>
      </c>
      <c r="X124" s="121">
        <v>0</v>
      </c>
      <c r="Y124" s="121">
        <v>0</v>
      </c>
      <c r="Z124" s="121">
        <v>0</v>
      </c>
      <c r="AA124" s="121">
        <v>0</v>
      </c>
      <c r="AB124" s="121">
        <v>47.524314107801047</v>
      </c>
      <c r="AC124" s="121">
        <v>908.60034946986241</v>
      </c>
      <c r="AD124" s="121">
        <v>1501.1412405676369</v>
      </c>
      <c r="AE124" s="121">
        <v>1673.4554322139677</v>
      </c>
      <c r="AF124" s="121">
        <v>1673.4554322139677</v>
      </c>
      <c r="AG124" s="121">
        <v>1673.4554322139677</v>
      </c>
      <c r="AH124" s="121">
        <v>1673.4554322139677</v>
      </c>
      <c r="AI124" s="121">
        <v>1673.4554322139677</v>
      </c>
      <c r="AJ124" s="121">
        <v>1673.4554322139677</v>
      </c>
      <c r="AK124" s="121">
        <v>1673.4554322139677</v>
      </c>
      <c r="AL124" s="121">
        <v>1281.2131578508499</v>
      </c>
      <c r="AM124" s="121">
        <v>1229.0128648957641</v>
      </c>
      <c r="AN124" s="121">
        <v>1372.6067762817302</v>
      </c>
      <c r="AO124" s="121">
        <v>1673.4554322139677</v>
      </c>
      <c r="AP124" s="121">
        <v>1673.4554322139677</v>
      </c>
      <c r="AQ124" s="121">
        <v>1673.4554322139677</v>
      </c>
      <c r="AR124" s="121">
        <v>1673.4554322139677</v>
      </c>
      <c r="AS124" s="121">
        <v>1673.4554322139677</v>
      </c>
      <c r="AT124" s="121">
        <v>1149.3897646107837</v>
      </c>
      <c r="AU124" s="121">
        <v>801.07517903201256</v>
      </c>
      <c r="AV124" s="121">
        <v>868.14988205998225</v>
      </c>
      <c r="AW124" s="121">
        <v>1238.929841404221</v>
      </c>
      <c r="AX124" s="121">
        <v>1532.5231804839216</v>
      </c>
      <c r="AY124" s="121">
        <v>1622.2841983621609</v>
      </c>
    </row>
    <row r="125" spans="1:52" x14ac:dyDescent="0.2">
      <c r="A125" s="124"/>
      <c r="B125" s="133">
        <v>4</v>
      </c>
      <c r="C125" s="121">
        <v>0</v>
      </c>
      <c r="D125" s="121">
        <v>0</v>
      </c>
      <c r="E125" s="121">
        <v>0</v>
      </c>
      <c r="F125" s="121">
        <v>0</v>
      </c>
      <c r="G125" s="121">
        <v>0</v>
      </c>
      <c r="H125" s="121">
        <v>0</v>
      </c>
      <c r="I125" s="121">
        <v>0</v>
      </c>
      <c r="J125" s="121">
        <v>0</v>
      </c>
      <c r="K125" s="121">
        <v>0</v>
      </c>
      <c r="L125" s="121">
        <v>0</v>
      </c>
      <c r="M125" s="121">
        <v>0</v>
      </c>
      <c r="N125" s="121">
        <v>0</v>
      </c>
      <c r="O125" s="121">
        <v>0</v>
      </c>
      <c r="P125" s="121">
        <v>0</v>
      </c>
      <c r="Q125" s="121">
        <v>0</v>
      </c>
      <c r="R125" s="121">
        <v>0</v>
      </c>
      <c r="S125" s="121">
        <v>0</v>
      </c>
      <c r="T125" s="121">
        <v>0</v>
      </c>
      <c r="U125" s="121">
        <v>0</v>
      </c>
      <c r="V125" s="121">
        <v>0</v>
      </c>
      <c r="W125" s="121">
        <v>0</v>
      </c>
      <c r="X125" s="121">
        <v>0</v>
      </c>
      <c r="Y125" s="121">
        <v>0</v>
      </c>
      <c r="Z125" s="121">
        <v>0</v>
      </c>
      <c r="AA125" s="121">
        <v>0</v>
      </c>
      <c r="AB125" s="121">
        <v>0</v>
      </c>
      <c r="AC125" s="121">
        <v>0</v>
      </c>
      <c r="AD125" s="121">
        <v>0</v>
      </c>
      <c r="AE125" s="121">
        <v>224.94203676804273</v>
      </c>
      <c r="AF125" s="121">
        <v>576.00073961046553</v>
      </c>
      <c r="AG125" s="121">
        <v>547.83986829899141</v>
      </c>
      <c r="AH125" s="121">
        <v>541.19961115913111</v>
      </c>
      <c r="AI125" s="121">
        <v>603.56849175024718</v>
      </c>
      <c r="AJ125" s="121">
        <v>589.066465899778</v>
      </c>
      <c r="AK125" s="121">
        <v>10.952307371023153</v>
      </c>
      <c r="AL125" s="121">
        <v>0</v>
      </c>
      <c r="AM125" s="121">
        <v>0</v>
      </c>
      <c r="AN125" s="121">
        <v>0</v>
      </c>
      <c r="AO125" s="121">
        <v>354.29815103781561</v>
      </c>
      <c r="AP125" s="121">
        <v>692.21766929176931</v>
      </c>
      <c r="AQ125" s="121">
        <v>932.89312683278786</v>
      </c>
      <c r="AR125" s="121">
        <v>1131.7475877646548</v>
      </c>
      <c r="AS125" s="121">
        <v>190.43480034812615</v>
      </c>
      <c r="AT125" s="121">
        <v>0</v>
      </c>
      <c r="AU125" s="121">
        <v>0</v>
      </c>
      <c r="AV125" s="121">
        <v>0</v>
      </c>
      <c r="AW125" s="121">
        <v>0</v>
      </c>
      <c r="AX125" s="121">
        <v>0</v>
      </c>
      <c r="AY125" s="121">
        <v>0</v>
      </c>
    </row>
    <row r="126" spans="1:52" x14ac:dyDescent="0.2">
      <c r="A126" s="124"/>
      <c r="B126" s="133">
        <v>5</v>
      </c>
      <c r="C126" s="121">
        <v>0</v>
      </c>
      <c r="D126" s="121">
        <v>0</v>
      </c>
      <c r="E126" s="121">
        <v>0</v>
      </c>
      <c r="F126" s="121">
        <v>0</v>
      </c>
      <c r="G126" s="121">
        <v>0</v>
      </c>
      <c r="H126" s="121">
        <v>0</v>
      </c>
      <c r="I126" s="121">
        <v>0</v>
      </c>
      <c r="J126" s="121">
        <v>0</v>
      </c>
      <c r="K126" s="121">
        <v>0</v>
      </c>
      <c r="L126" s="121">
        <v>0</v>
      </c>
      <c r="M126" s="121">
        <v>0</v>
      </c>
      <c r="N126" s="121">
        <v>0</v>
      </c>
      <c r="O126" s="121">
        <v>0</v>
      </c>
      <c r="P126" s="121">
        <v>0</v>
      </c>
      <c r="Q126" s="121">
        <v>0</v>
      </c>
      <c r="R126" s="121">
        <v>0</v>
      </c>
      <c r="S126" s="121">
        <v>0</v>
      </c>
      <c r="T126" s="121">
        <v>0</v>
      </c>
      <c r="U126" s="121">
        <v>0</v>
      </c>
      <c r="V126" s="121">
        <v>0</v>
      </c>
      <c r="W126" s="121">
        <v>0</v>
      </c>
      <c r="X126" s="121">
        <v>0</v>
      </c>
      <c r="Y126" s="121">
        <v>0</v>
      </c>
      <c r="Z126" s="121">
        <v>0</v>
      </c>
      <c r="AA126" s="121">
        <v>0</v>
      </c>
      <c r="AB126" s="121">
        <v>0</v>
      </c>
      <c r="AC126" s="121">
        <v>0</v>
      </c>
      <c r="AD126" s="121">
        <v>0</v>
      </c>
      <c r="AE126" s="121">
        <v>0</v>
      </c>
      <c r="AF126" s="121">
        <v>0</v>
      </c>
      <c r="AG126" s="121">
        <v>0</v>
      </c>
      <c r="AH126" s="121">
        <v>0</v>
      </c>
      <c r="AI126" s="121">
        <v>0</v>
      </c>
      <c r="AJ126" s="121">
        <v>0</v>
      </c>
      <c r="AK126" s="121">
        <v>0</v>
      </c>
      <c r="AL126" s="121">
        <v>0</v>
      </c>
      <c r="AM126" s="121">
        <v>0</v>
      </c>
      <c r="AN126" s="121">
        <v>0</v>
      </c>
      <c r="AO126" s="121">
        <v>0</v>
      </c>
      <c r="AP126" s="121">
        <v>0</v>
      </c>
      <c r="AQ126" s="121">
        <v>0</v>
      </c>
      <c r="AR126" s="121">
        <v>0</v>
      </c>
      <c r="AS126" s="121">
        <v>0</v>
      </c>
      <c r="AT126" s="121">
        <v>0</v>
      </c>
      <c r="AU126" s="121">
        <v>0</v>
      </c>
      <c r="AV126" s="121">
        <v>0</v>
      </c>
      <c r="AW126" s="121">
        <v>0</v>
      </c>
      <c r="AX126" s="121">
        <v>0</v>
      </c>
      <c r="AY126" s="121">
        <v>0</v>
      </c>
    </row>
    <row r="127" spans="1:52" x14ac:dyDescent="0.2">
      <c r="A127" s="124"/>
      <c r="B127" s="133">
        <v>6</v>
      </c>
      <c r="C127" s="121">
        <v>0</v>
      </c>
      <c r="D127" s="121">
        <v>0</v>
      </c>
      <c r="E127" s="121">
        <v>0</v>
      </c>
      <c r="F127" s="121">
        <v>0</v>
      </c>
      <c r="G127" s="121">
        <v>0</v>
      </c>
      <c r="H127" s="121">
        <v>0</v>
      </c>
      <c r="I127" s="121">
        <v>0</v>
      </c>
      <c r="J127" s="121">
        <v>0</v>
      </c>
      <c r="K127" s="121">
        <v>0</v>
      </c>
      <c r="L127" s="121">
        <v>0</v>
      </c>
      <c r="M127" s="121">
        <v>0</v>
      </c>
      <c r="N127" s="121">
        <v>0</v>
      </c>
      <c r="O127" s="121">
        <v>0</v>
      </c>
      <c r="P127" s="121">
        <v>0</v>
      </c>
      <c r="Q127" s="121">
        <v>0</v>
      </c>
      <c r="R127" s="121">
        <v>0</v>
      </c>
      <c r="S127" s="121">
        <v>0</v>
      </c>
      <c r="T127" s="121">
        <v>0</v>
      </c>
      <c r="U127" s="121">
        <v>0</v>
      </c>
      <c r="V127" s="121">
        <v>0</v>
      </c>
      <c r="W127" s="121">
        <v>0</v>
      </c>
      <c r="X127" s="121">
        <v>0</v>
      </c>
      <c r="Y127" s="121">
        <v>0</v>
      </c>
      <c r="Z127" s="121">
        <v>0</v>
      </c>
      <c r="AA127" s="121">
        <v>0</v>
      </c>
      <c r="AB127" s="121">
        <v>0</v>
      </c>
      <c r="AC127" s="121">
        <v>0</v>
      </c>
      <c r="AD127" s="121">
        <v>0</v>
      </c>
      <c r="AE127" s="121">
        <v>0</v>
      </c>
      <c r="AF127" s="121">
        <v>0</v>
      </c>
      <c r="AG127" s="121">
        <v>0</v>
      </c>
      <c r="AH127" s="121">
        <v>0</v>
      </c>
      <c r="AI127" s="121">
        <v>0</v>
      </c>
      <c r="AJ127" s="121">
        <v>0</v>
      </c>
      <c r="AK127" s="121">
        <v>0</v>
      </c>
      <c r="AL127" s="121">
        <v>0</v>
      </c>
      <c r="AM127" s="121">
        <v>0</v>
      </c>
      <c r="AN127" s="121">
        <v>0</v>
      </c>
      <c r="AO127" s="121">
        <v>0</v>
      </c>
      <c r="AP127" s="121">
        <v>0</v>
      </c>
      <c r="AQ127" s="121">
        <v>0</v>
      </c>
      <c r="AR127" s="121">
        <v>0</v>
      </c>
      <c r="AS127" s="121">
        <v>0</v>
      </c>
      <c r="AT127" s="121">
        <v>0</v>
      </c>
      <c r="AU127" s="121">
        <v>0</v>
      </c>
      <c r="AV127" s="121">
        <v>0</v>
      </c>
      <c r="AW127" s="121">
        <v>0</v>
      </c>
      <c r="AX127" s="121">
        <v>0</v>
      </c>
      <c r="AY127" s="121">
        <v>0</v>
      </c>
    </row>
    <row r="128" spans="1:52" x14ac:dyDescent="0.2">
      <c r="A128" s="124"/>
      <c r="B128" s="133">
        <v>7</v>
      </c>
      <c r="C128" s="121">
        <v>0</v>
      </c>
      <c r="D128" s="121">
        <v>0</v>
      </c>
      <c r="E128" s="121">
        <v>0</v>
      </c>
      <c r="F128" s="121">
        <v>0</v>
      </c>
      <c r="G128" s="121">
        <v>0</v>
      </c>
      <c r="H128" s="121">
        <v>0</v>
      </c>
      <c r="I128" s="121">
        <v>0</v>
      </c>
      <c r="J128" s="121">
        <v>0</v>
      </c>
      <c r="K128" s="121">
        <v>0</v>
      </c>
      <c r="L128" s="121">
        <v>0</v>
      </c>
      <c r="M128" s="121">
        <v>0</v>
      </c>
      <c r="N128" s="121">
        <v>0</v>
      </c>
      <c r="O128" s="121">
        <v>0</v>
      </c>
      <c r="P128" s="121">
        <v>0</v>
      </c>
      <c r="Q128" s="121">
        <v>0</v>
      </c>
      <c r="R128" s="121">
        <v>0</v>
      </c>
      <c r="S128" s="121">
        <v>0</v>
      </c>
      <c r="T128" s="121">
        <v>0</v>
      </c>
      <c r="U128" s="121">
        <v>0</v>
      </c>
      <c r="V128" s="121">
        <v>0</v>
      </c>
      <c r="W128" s="121">
        <v>0</v>
      </c>
      <c r="X128" s="121">
        <v>0</v>
      </c>
      <c r="Y128" s="121">
        <v>0</v>
      </c>
      <c r="Z128" s="121">
        <v>0</v>
      </c>
      <c r="AA128" s="121">
        <v>0</v>
      </c>
      <c r="AB128" s="121">
        <v>0</v>
      </c>
      <c r="AC128" s="121">
        <v>0</v>
      </c>
      <c r="AD128" s="121">
        <v>0</v>
      </c>
      <c r="AE128" s="121">
        <v>0</v>
      </c>
      <c r="AF128" s="121">
        <v>0</v>
      </c>
      <c r="AG128" s="121">
        <v>0</v>
      </c>
      <c r="AH128" s="121">
        <v>0</v>
      </c>
      <c r="AI128" s="121">
        <v>0</v>
      </c>
      <c r="AJ128" s="121">
        <v>0</v>
      </c>
      <c r="AK128" s="121">
        <v>0</v>
      </c>
      <c r="AL128" s="121">
        <v>0</v>
      </c>
      <c r="AM128" s="121">
        <v>0</v>
      </c>
      <c r="AN128" s="121">
        <v>0</v>
      </c>
      <c r="AO128" s="121">
        <v>0</v>
      </c>
      <c r="AP128" s="121">
        <v>0</v>
      </c>
      <c r="AQ128" s="121">
        <v>0</v>
      </c>
      <c r="AR128" s="121">
        <v>0</v>
      </c>
      <c r="AS128" s="121">
        <v>0</v>
      </c>
      <c r="AT128" s="121">
        <v>0</v>
      </c>
      <c r="AU128" s="121">
        <v>0</v>
      </c>
      <c r="AV128" s="121">
        <v>0</v>
      </c>
      <c r="AW128" s="121">
        <v>0</v>
      </c>
      <c r="AX128" s="121">
        <v>0</v>
      </c>
      <c r="AY128" s="121">
        <v>0</v>
      </c>
    </row>
    <row r="129" spans="1:51" x14ac:dyDescent="0.2">
      <c r="A129" s="124"/>
      <c r="B129" s="133">
        <v>8</v>
      </c>
      <c r="C129" s="121">
        <v>0</v>
      </c>
      <c r="D129" s="121">
        <v>0</v>
      </c>
      <c r="E129" s="121">
        <v>0</v>
      </c>
      <c r="F129" s="121">
        <v>0</v>
      </c>
      <c r="G129" s="121">
        <v>0</v>
      </c>
      <c r="H129" s="121">
        <v>0</v>
      </c>
      <c r="I129" s="121">
        <v>0</v>
      </c>
      <c r="J129" s="121">
        <v>0</v>
      </c>
      <c r="K129" s="121">
        <v>0</v>
      </c>
      <c r="L129" s="121">
        <v>0</v>
      </c>
      <c r="M129" s="121">
        <v>0</v>
      </c>
      <c r="N129" s="121">
        <v>0</v>
      </c>
      <c r="O129" s="121">
        <v>0</v>
      </c>
      <c r="P129" s="121">
        <v>0</v>
      </c>
      <c r="Q129" s="121">
        <v>0</v>
      </c>
      <c r="R129" s="121">
        <v>0</v>
      </c>
      <c r="S129" s="121">
        <v>0</v>
      </c>
      <c r="T129" s="121">
        <v>0</v>
      </c>
      <c r="U129" s="121">
        <v>0</v>
      </c>
      <c r="V129" s="121">
        <v>0</v>
      </c>
      <c r="W129" s="121">
        <v>0</v>
      </c>
      <c r="X129" s="121">
        <v>0</v>
      </c>
      <c r="Y129" s="121">
        <v>0</v>
      </c>
      <c r="Z129" s="121">
        <v>0</v>
      </c>
      <c r="AA129" s="121">
        <v>0</v>
      </c>
      <c r="AB129" s="121">
        <v>0</v>
      </c>
      <c r="AC129" s="121">
        <v>0</v>
      </c>
      <c r="AD129" s="121">
        <v>0</v>
      </c>
      <c r="AE129" s="121">
        <v>0</v>
      </c>
      <c r="AF129" s="121">
        <v>0</v>
      </c>
      <c r="AG129" s="121">
        <v>0</v>
      </c>
      <c r="AH129" s="121">
        <v>0</v>
      </c>
      <c r="AI129" s="121">
        <v>0</v>
      </c>
      <c r="AJ129" s="121">
        <v>0</v>
      </c>
      <c r="AK129" s="121">
        <v>0</v>
      </c>
      <c r="AL129" s="121">
        <v>0</v>
      </c>
      <c r="AM129" s="121">
        <v>0</v>
      </c>
      <c r="AN129" s="121">
        <v>0</v>
      </c>
      <c r="AO129" s="121">
        <v>0</v>
      </c>
      <c r="AP129" s="121">
        <v>0</v>
      </c>
      <c r="AQ129" s="121">
        <v>0</v>
      </c>
      <c r="AR129" s="121">
        <v>0</v>
      </c>
      <c r="AS129" s="121">
        <v>0</v>
      </c>
      <c r="AT129" s="121">
        <v>0</v>
      </c>
      <c r="AU129" s="121">
        <v>0</v>
      </c>
      <c r="AV129" s="121">
        <v>0</v>
      </c>
      <c r="AW129" s="121">
        <v>0</v>
      </c>
      <c r="AX129" s="121">
        <v>0</v>
      </c>
      <c r="AY129" s="121">
        <v>0</v>
      </c>
    </row>
    <row r="130" spans="1:51" x14ac:dyDescent="0.2">
      <c r="A130" s="124"/>
      <c r="B130" s="133">
        <v>9</v>
      </c>
      <c r="C130" s="121">
        <v>0</v>
      </c>
      <c r="D130" s="121">
        <v>0</v>
      </c>
      <c r="E130" s="121">
        <v>0</v>
      </c>
      <c r="F130" s="121">
        <v>0</v>
      </c>
      <c r="G130" s="121">
        <v>0</v>
      </c>
      <c r="H130" s="121">
        <v>0</v>
      </c>
      <c r="I130" s="121">
        <v>0</v>
      </c>
      <c r="J130" s="121">
        <v>0</v>
      </c>
      <c r="K130" s="121">
        <v>0</v>
      </c>
      <c r="L130" s="121">
        <v>0</v>
      </c>
      <c r="M130" s="121">
        <v>0</v>
      </c>
      <c r="N130" s="121">
        <v>0</v>
      </c>
      <c r="O130" s="121">
        <v>0</v>
      </c>
      <c r="P130" s="121">
        <v>0</v>
      </c>
      <c r="Q130" s="121">
        <v>0</v>
      </c>
      <c r="R130" s="121">
        <v>0</v>
      </c>
      <c r="S130" s="121">
        <v>0</v>
      </c>
      <c r="T130" s="121">
        <v>0</v>
      </c>
      <c r="U130" s="121">
        <v>0</v>
      </c>
      <c r="V130" s="121">
        <v>0</v>
      </c>
      <c r="W130" s="121">
        <v>0</v>
      </c>
      <c r="X130" s="121">
        <v>0</v>
      </c>
      <c r="Y130" s="121">
        <v>0</v>
      </c>
      <c r="Z130" s="121">
        <v>0</v>
      </c>
      <c r="AA130" s="121">
        <v>0</v>
      </c>
      <c r="AB130" s="121">
        <v>0</v>
      </c>
      <c r="AC130" s="121">
        <v>0</v>
      </c>
      <c r="AD130" s="121">
        <v>0</v>
      </c>
      <c r="AE130" s="121">
        <v>0</v>
      </c>
      <c r="AF130" s="121">
        <v>0</v>
      </c>
      <c r="AG130" s="121">
        <v>0</v>
      </c>
      <c r="AH130" s="121">
        <v>0</v>
      </c>
      <c r="AI130" s="121">
        <v>0</v>
      </c>
      <c r="AJ130" s="121">
        <v>0</v>
      </c>
      <c r="AK130" s="121">
        <v>0</v>
      </c>
      <c r="AL130" s="121">
        <v>0</v>
      </c>
      <c r="AM130" s="121">
        <v>0</v>
      </c>
      <c r="AN130" s="121">
        <v>0</v>
      </c>
      <c r="AO130" s="121">
        <v>0</v>
      </c>
      <c r="AP130" s="121">
        <v>0</v>
      </c>
      <c r="AQ130" s="121">
        <v>0</v>
      </c>
      <c r="AR130" s="121">
        <v>0</v>
      </c>
      <c r="AS130" s="121">
        <v>0</v>
      </c>
      <c r="AT130" s="121">
        <v>0</v>
      </c>
      <c r="AU130" s="121">
        <v>0</v>
      </c>
      <c r="AV130" s="121">
        <v>0</v>
      </c>
      <c r="AW130" s="121">
        <v>0</v>
      </c>
      <c r="AX130" s="121">
        <v>0</v>
      </c>
      <c r="AY130" s="121">
        <v>0</v>
      </c>
    </row>
    <row r="131" spans="1:51" x14ac:dyDescent="0.2">
      <c r="A131" s="124"/>
      <c r="B131" s="133">
        <v>10</v>
      </c>
      <c r="C131" s="121">
        <v>0</v>
      </c>
      <c r="D131" s="121">
        <v>0</v>
      </c>
      <c r="E131" s="121">
        <v>0</v>
      </c>
      <c r="F131" s="121">
        <v>0</v>
      </c>
      <c r="G131" s="121">
        <v>0</v>
      </c>
      <c r="H131" s="121">
        <v>0</v>
      </c>
      <c r="I131" s="121">
        <v>0</v>
      </c>
      <c r="J131" s="121">
        <v>0</v>
      </c>
      <c r="K131" s="121">
        <v>0</v>
      </c>
      <c r="L131" s="121">
        <v>0</v>
      </c>
      <c r="M131" s="121">
        <v>0</v>
      </c>
      <c r="N131" s="121">
        <v>0</v>
      </c>
      <c r="O131" s="121">
        <v>0</v>
      </c>
      <c r="P131" s="121">
        <v>0</v>
      </c>
      <c r="Q131" s="121">
        <v>0</v>
      </c>
      <c r="R131" s="121">
        <v>0</v>
      </c>
      <c r="S131" s="121">
        <v>0</v>
      </c>
      <c r="T131" s="121">
        <v>0</v>
      </c>
      <c r="U131" s="121">
        <v>0</v>
      </c>
      <c r="V131" s="121">
        <v>0</v>
      </c>
      <c r="W131" s="121">
        <v>0</v>
      </c>
      <c r="X131" s="121">
        <v>0</v>
      </c>
      <c r="Y131" s="121">
        <v>0</v>
      </c>
      <c r="Z131" s="121">
        <v>0</v>
      </c>
      <c r="AA131" s="121">
        <v>0</v>
      </c>
      <c r="AB131" s="121">
        <v>0</v>
      </c>
      <c r="AC131" s="121">
        <v>0</v>
      </c>
      <c r="AD131" s="121">
        <v>0</v>
      </c>
      <c r="AE131" s="121">
        <v>0</v>
      </c>
      <c r="AF131" s="121">
        <v>0</v>
      </c>
      <c r="AG131" s="121">
        <v>0</v>
      </c>
      <c r="AH131" s="121">
        <v>0</v>
      </c>
      <c r="AI131" s="121">
        <v>0</v>
      </c>
      <c r="AJ131" s="121">
        <v>0</v>
      </c>
      <c r="AK131" s="121">
        <v>0</v>
      </c>
      <c r="AL131" s="121">
        <v>0</v>
      </c>
      <c r="AM131" s="121">
        <v>0</v>
      </c>
      <c r="AN131" s="121">
        <v>0</v>
      </c>
      <c r="AO131" s="121">
        <v>0</v>
      </c>
      <c r="AP131" s="121">
        <v>0</v>
      </c>
      <c r="AQ131" s="121">
        <v>0</v>
      </c>
      <c r="AR131" s="121">
        <v>0</v>
      </c>
      <c r="AS131" s="121">
        <v>0</v>
      </c>
      <c r="AT131" s="121">
        <v>0</v>
      </c>
      <c r="AU131" s="121">
        <v>0</v>
      </c>
      <c r="AV131" s="121">
        <v>0</v>
      </c>
      <c r="AW131" s="121">
        <v>0</v>
      </c>
      <c r="AX131" s="121">
        <v>0</v>
      </c>
      <c r="AY131" s="121">
        <v>0</v>
      </c>
    </row>
    <row r="132" spans="1:51" x14ac:dyDescent="0.2">
      <c r="A132" s="124"/>
      <c r="B132" s="133">
        <v>11</v>
      </c>
      <c r="C132" s="121">
        <v>0</v>
      </c>
      <c r="D132" s="121">
        <v>0</v>
      </c>
      <c r="E132" s="121">
        <v>0</v>
      </c>
      <c r="F132" s="121">
        <v>0</v>
      </c>
      <c r="G132" s="121">
        <v>0</v>
      </c>
      <c r="H132" s="121">
        <v>0</v>
      </c>
      <c r="I132" s="121">
        <v>0</v>
      </c>
      <c r="J132" s="121">
        <v>0</v>
      </c>
      <c r="K132" s="121">
        <v>0</v>
      </c>
      <c r="L132" s="121">
        <v>0</v>
      </c>
      <c r="M132" s="121">
        <v>0</v>
      </c>
      <c r="N132" s="121">
        <v>0</v>
      </c>
      <c r="O132" s="121">
        <v>0</v>
      </c>
      <c r="P132" s="121">
        <v>0</v>
      </c>
      <c r="Q132" s="121">
        <v>0</v>
      </c>
      <c r="R132" s="121">
        <v>0</v>
      </c>
      <c r="S132" s="121">
        <v>0</v>
      </c>
      <c r="T132" s="121">
        <v>0</v>
      </c>
      <c r="U132" s="121">
        <v>0</v>
      </c>
      <c r="V132" s="121">
        <v>0</v>
      </c>
      <c r="W132" s="121">
        <v>0</v>
      </c>
      <c r="X132" s="121">
        <v>0</v>
      </c>
      <c r="Y132" s="121">
        <v>0</v>
      </c>
      <c r="Z132" s="121">
        <v>0</v>
      </c>
      <c r="AA132" s="121">
        <v>0</v>
      </c>
      <c r="AB132" s="121">
        <v>0</v>
      </c>
      <c r="AC132" s="121">
        <v>0</v>
      </c>
      <c r="AD132" s="121">
        <v>0</v>
      </c>
      <c r="AE132" s="121">
        <v>0</v>
      </c>
      <c r="AF132" s="121">
        <v>0</v>
      </c>
      <c r="AG132" s="121">
        <v>0</v>
      </c>
      <c r="AH132" s="121">
        <v>0</v>
      </c>
      <c r="AI132" s="121">
        <v>0</v>
      </c>
      <c r="AJ132" s="121">
        <v>0</v>
      </c>
      <c r="AK132" s="121">
        <v>0</v>
      </c>
      <c r="AL132" s="121">
        <v>0</v>
      </c>
      <c r="AM132" s="121">
        <v>0</v>
      </c>
      <c r="AN132" s="121">
        <v>0</v>
      </c>
      <c r="AO132" s="121">
        <v>0</v>
      </c>
      <c r="AP132" s="121">
        <v>0</v>
      </c>
      <c r="AQ132" s="121">
        <v>0</v>
      </c>
      <c r="AR132" s="121">
        <v>0</v>
      </c>
      <c r="AS132" s="121">
        <v>0</v>
      </c>
      <c r="AT132" s="121">
        <v>0</v>
      </c>
      <c r="AU132" s="121">
        <v>0</v>
      </c>
      <c r="AV132" s="121">
        <v>0</v>
      </c>
      <c r="AW132" s="121">
        <v>0</v>
      </c>
      <c r="AX132" s="121">
        <v>0</v>
      </c>
      <c r="AY132" s="121">
        <v>0</v>
      </c>
    </row>
    <row r="133" spans="1:51" x14ac:dyDescent="0.2">
      <c r="A133" s="124"/>
      <c r="B133" s="133">
        <v>12</v>
      </c>
      <c r="C133" s="121">
        <v>0</v>
      </c>
      <c r="D133" s="121">
        <v>0</v>
      </c>
      <c r="E133" s="121">
        <v>0</v>
      </c>
      <c r="F133" s="121">
        <v>0</v>
      </c>
      <c r="G133" s="121">
        <v>0</v>
      </c>
      <c r="H133" s="121">
        <v>0</v>
      </c>
      <c r="I133" s="121">
        <v>0</v>
      </c>
      <c r="J133" s="121">
        <v>0</v>
      </c>
      <c r="K133" s="121">
        <v>0</v>
      </c>
      <c r="L133" s="121">
        <v>0</v>
      </c>
      <c r="M133" s="121">
        <v>0</v>
      </c>
      <c r="N133" s="121">
        <v>0</v>
      </c>
      <c r="O133" s="121">
        <v>0</v>
      </c>
      <c r="P133" s="121">
        <v>0</v>
      </c>
      <c r="Q133" s="121">
        <v>0</v>
      </c>
      <c r="R133" s="121">
        <v>0</v>
      </c>
      <c r="S133" s="121">
        <v>0</v>
      </c>
      <c r="T133" s="121">
        <v>0</v>
      </c>
      <c r="U133" s="121">
        <v>0</v>
      </c>
      <c r="V133" s="121">
        <v>0</v>
      </c>
      <c r="W133" s="121">
        <v>0</v>
      </c>
      <c r="X133" s="121">
        <v>0</v>
      </c>
      <c r="Y133" s="121">
        <v>0</v>
      </c>
      <c r="Z133" s="121">
        <v>0</v>
      </c>
      <c r="AA133" s="121">
        <v>0</v>
      </c>
      <c r="AB133" s="121">
        <v>0</v>
      </c>
      <c r="AC133" s="121">
        <v>0</v>
      </c>
      <c r="AD133" s="121">
        <v>0</v>
      </c>
      <c r="AE133" s="121">
        <v>0</v>
      </c>
      <c r="AF133" s="121">
        <v>0</v>
      </c>
      <c r="AG133" s="121">
        <v>0</v>
      </c>
      <c r="AH133" s="121">
        <v>0</v>
      </c>
      <c r="AI133" s="121">
        <v>0</v>
      </c>
      <c r="AJ133" s="121">
        <v>0</v>
      </c>
      <c r="AK133" s="121">
        <v>0</v>
      </c>
      <c r="AL133" s="121">
        <v>0</v>
      </c>
      <c r="AM133" s="121">
        <v>0</v>
      </c>
      <c r="AN133" s="121">
        <v>0</v>
      </c>
      <c r="AO133" s="121">
        <v>0</v>
      </c>
      <c r="AP133" s="121">
        <v>0</v>
      </c>
      <c r="AQ133" s="121">
        <v>0</v>
      </c>
      <c r="AR133" s="121">
        <v>0</v>
      </c>
      <c r="AS133" s="121">
        <v>0</v>
      </c>
      <c r="AT133" s="121">
        <v>0</v>
      </c>
      <c r="AU133" s="121">
        <v>0</v>
      </c>
      <c r="AV133" s="121">
        <v>0</v>
      </c>
      <c r="AW133" s="121">
        <v>0</v>
      </c>
      <c r="AX133" s="121">
        <v>0</v>
      </c>
      <c r="AY133" s="121">
        <v>0</v>
      </c>
    </row>
    <row r="134" spans="1:51" x14ac:dyDescent="0.2">
      <c r="A134" s="124"/>
      <c r="B134" s="134">
        <v>13</v>
      </c>
      <c r="C134" s="121">
        <v>0</v>
      </c>
      <c r="D134" s="121">
        <v>0</v>
      </c>
      <c r="E134" s="121">
        <v>0</v>
      </c>
      <c r="F134" s="121">
        <v>0</v>
      </c>
      <c r="G134" s="121">
        <v>0</v>
      </c>
      <c r="H134" s="121">
        <v>0</v>
      </c>
      <c r="I134" s="121">
        <v>0</v>
      </c>
      <c r="J134" s="121">
        <v>0</v>
      </c>
      <c r="K134" s="121">
        <v>0</v>
      </c>
      <c r="L134" s="121">
        <v>0</v>
      </c>
      <c r="M134" s="121">
        <v>0</v>
      </c>
      <c r="N134" s="121">
        <v>0</v>
      </c>
      <c r="O134" s="121">
        <v>0</v>
      </c>
      <c r="P134" s="121">
        <v>0</v>
      </c>
      <c r="Q134" s="121">
        <v>0</v>
      </c>
      <c r="R134" s="121">
        <v>0</v>
      </c>
      <c r="S134" s="121">
        <v>0</v>
      </c>
      <c r="T134" s="121">
        <v>0</v>
      </c>
      <c r="U134" s="121">
        <v>0</v>
      </c>
      <c r="V134" s="121">
        <v>0</v>
      </c>
      <c r="W134" s="121">
        <v>0</v>
      </c>
      <c r="X134" s="121">
        <v>0</v>
      </c>
      <c r="Y134" s="121">
        <v>0</v>
      </c>
      <c r="Z134" s="121">
        <v>0</v>
      </c>
      <c r="AA134" s="121">
        <v>0</v>
      </c>
      <c r="AB134" s="121">
        <v>0</v>
      </c>
      <c r="AC134" s="121">
        <v>0</v>
      </c>
      <c r="AD134" s="121">
        <v>0</v>
      </c>
      <c r="AE134" s="121">
        <v>0</v>
      </c>
      <c r="AF134" s="121">
        <v>0</v>
      </c>
      <c r="AG134" s="121">
        <v>0</v>
      </c>
      <c r="AH134" s="121">
        <v>0</v>
      </c>
      <c r="AI134" s="121">
        <v>0</v>
      </c>
      <c r="AJ134" s="121">
        <v>0</v>
      </c>
      <c r="AK134" s="121">
        <v>0</v>
      </c>
      <c r="AL134" s="121">
        <v>0</v>
      </c>
      <c r="AM134" s="121">
        <v>0</v>
      </c>
      <c r="AN134" s="121">
        <v>0</v>
      </c>
      <c r="AO134" s="121">
        <v>0</v>
      </c>
      <c r="AP134" s="121">
        <v>0</v>
      </c>
      <c r="AQ134" s="121">
        <v>0</v>
      </c>
      <c r="AR134" s="121">
        <v>0</v>
      </c>
      <c r="AS134" s="121">
        <v>0</v>
      </c>
      <c r="AT134" s="121">
        <v>0</v>
      </c>
      <c r="AU134" s="121">
        <v>0</v>
      </c>
      <c r="AV134" s="121">
        <v>0</v>
      </c>
      <c r="AW134" s="121">
        <v>0</v>
      </c>
      <c r="AX134" s="121">
        <v>0</v>
      </c>
      <c r="AY134" s="121">
        <v>0</v>
      </c>
    </row>
    <row r="135" spans="1:51" x14ac:dyDescent="0.2">
      <c r="A135" s="124"/>
      <c r="B135" s="134">
        <v>14</v>
      </c>
      <c r="C135" s="121">
        <v>0</v>
      </c>
      <c r="D135" s="121">
        <v>0</v>
      </c>
      <c r="E135" s="121">
        <v>0</v>
      </c>
      <c r="F135" s="121">
        <v>0</v>
      </c>
      <c r="G135" s="121">
        <v>0</v>
      </c>
      <c r="H135" s="121">
        <v>0</v>
      </c>
      <c r="I135" s="121">
        <v>0</v>
      </c>
      <c r="J135" s="121">
        <v>0</v>
      </c>
      <c r="K135" s="121">
        <v>0</v>
      </c>
      <c r="L135" s="121">
        <v>0</v>
      </c>
      <c r="M135" s="121">
        <v>0</v>
      </c>
      <c r="N135" s="121">
        <v>0</v>
      </c>
      <c r="O135" s="121">
        <v>0</v>
      </c>
      <c r="P135" s="121">
        <v>0</v>
      </c>
      <c r="Q135" s="121">
        <v>0</v>
      </c>
      <c r="R135" s="121">
        <v>0</v>
      </c>
      <c r="S135" s="121">
        <v>0</v>
      </c>
      <c r="T135" s="121">
        <v>0</v>
      </c>
      <c r="U135" s="121">
        <v>0</v>
      </c>
      <c r="V135" s="121">
        <v>0</v>
      </c>
      <c r="W135" s="121">
        <v>0</v>
      </c>
      <c r="X135" s="121">
        <v>0</v>
      </c>
      <c r="Y135" s="121">
        <v>0</v>
      </c>
      <c r="Z135" s="121">
        <v>0</v>
      </c>
      <c r="AA135" s="121">
        <v>0</v>
      </c>
      <c r="AB135" s="121">
        <v>0</v>
      </c>
      <c r="AC135" s="121">
        <v>0</v>
      </c>
      <c r="AD135" s="121">
        <v>0</v>
      </c>
      <c r="AE135" s="121">
        <v>0</v>
      </c>
      <c r="AF135" s="121">
        <v>0</v>
      </c>
      <c r="AG135" s="121">
        <v>0</v>
      </c>
      <c r="AH135" s="121">
        <v>0</v>
      </c>
      <c r="AI135" s="121">
        <v>0</v>
      </c>
      <c r="AJ135" s="121">
        <v>0</v>
      </c>
      <c r="AK135" s="121">
        <v>0</v>
      </c>
      <c r="AL135" s="121">
        <v>0</v>
      </c>
      <c r="AM135" s="121">
        <v>0</v>
      </c>
      <c r="AN135" s="121">
        <v>0</v>
      </c>
      <c r="AO135" s="121">
        <v>0</v>
      </c>
      <c r="AP135" s="121">
        <v>0</v>
      </c>
      <c r="AQ135" s="121">
        <v>0</v>
      </c>
      <c r="AR135" s="121">
        <v>0</v>
      </c>
      <c r="AS135" s="121">
        <v>0</v>
      </c>
      <c r="AT135" s="121">
        <v>0</v>
      </c>
      <c r="AU135" s="121">
        <v>0</v>
      </c>
      <c r="AV135" s="121">
        <v>0</v>
      </c>
      <c r="AW135" s="121">
        <v>0</v>
      </c>
      <c r="AX135" s="121">
        <v>0</v>
      </c>
      <c r="AY135" s="121">
        <v>0</v>
      </c>
    </row>
    <row r="136" spans="1:51" x14ac:dyDescent="0.2">
      <c r="A136" s="124"/>
      <c r="B136" s="134">
        <v>15</v>
      </c>
      <c r="C136" s="121">
        <v>0</v>
      </c>
      <c r="D136" s="121">
        <v>0</v>
      </c>
      <c r="E136" s="121">
        <v>0</v>
      </c>
      <c r="F136" s="121">
        <v>0</v>
      </c>
      <c r="G136" s="121">
        <v>0</v>
      </c>
      <c r="H136" s="121">
        <v>0</v>
      </c>
      <c r="I136" s="121">
        <v>0</v>
      </c>
      <c r="J136" s="121">
        <v>0</v>
      </c>
      <c r="K136" s="121">
        <v>0</v>
      </c>
      <c r="L136" s="121">
        <v>0</v>
      </c>
      <c r="M136" s="121">
        <v>0</v>
      </c>
      <c r="N136" s="121">
        <v>0</v>
      </c>
      <c r="O136" s="121">
        <v>0</v>
      </c>
      <c r="P136" s="121">
        <v>0</v>
      </c>
      <c r="Q136" s="121">
        <v>0</v>
      </c>
      <c r="R136" s="121">
        <v>0</v>
      </c>
      <c r="S136" s="121">
        <v>0</v>
      </c>
      <c r="T136" s="121">
        <v>0</v>
      </c>
      <c r="U136" s="121">
        <v>0</v>
      </c>
      <c r="V136" s="121">
        <v>0</v>
      </c>
      <c r="W136" s="121">
        <v>0</v>
      </c>
      <c r="X136" s="121">
        <v>0</v>
      </c>
      <c r="Y136" s="121">
        <v>0</v>
      </c>
      <c r="Z136" s="121">
        <v>0</v>
      </c>
      <c r="AA136" s="121">
        <v>0</v>
      </c>
      <c r="AB136" s="121">
        <v>0</v>
      </c>
      <c r="AC136" s="121">
        <v>0</v>
      </c>
      <c r="AD136" s="121">
        <v>0</v>
      </c>
      <c r="AE136" s="121">
        <v>0</v>
      </c>
      <c r="AF136" s="121">
        <v>0</v>
      </c>
      <c r="AG136" s="121">
        <v>0</v>
      </c>
      <c r="AH136" s="121">
        <v>0</v>
      </c>
      <c r="AI136" s="121">
        <v>0</v>
      </c>
      <c r="AJ136" s="121">
        <v>0</v>
      </c>
      <c r="AK136" s="121">
        <v>0</v>
      </c>
      <c r="AL136" s="121">
        <v>0</v>
      </c>
      <c r="AM136" s="121">
        <v>0</v>
      </c>
      <c r="AN136" s="121">
        <v>0</v>
      </c>
      <c r="AO136" s="121">
        <v>0</v>
      </c>
      <c r="AP136" s="121">
        <v>0</v>
      </c>
      <c r="AQ136" s="121">
        <v>0</v>
      </c>
      <c r="AR136" s="121">
        <v>0</v>
      </c>
      <c r="AS136" s="121">
        <v>0</v>
      </c>
      <c r="AT136" s="121">
        <v>0</v>
      </c>
      <c r="AU136" s="121">
        <v>0</v>
      </c>
      <c r="AV136" s="121">
        <v>0</v>
      </c>
      <c r="AW136" s="121">
        <v>0</v>
      </c>
      <c r="AX136" s="121">
        <v>0</v>
      </c>
      <c r="AY136" s="121">
        <v>0</v>
      </c>
    </row>
    <row r="137" spans="1:51" x14ac:dyDescent="0.2">
      <c r="A137" s="124"/>
      <c r="B137" s="134">
        <v>16</v>
      </c>
      <c r="C137" s="121">
        <v>0</v>
      </c>
      <c r="D137" s="121">
        <v>0</v>
      </c>
      <c r="E137" s="121">
        <v>0</v>
      </c>
      <c r="F137" s="121">
        <v>0</v>
      </c>
      <c r="G137" s="121">
        <v>0</v>
      </c>
      <c r="H137" s="121">
        <v>0</v>
      </c>
      <c r="I137" s="121">
        <v>0</v>
      </c>
      <c r="J137" s="121">
        <v>0</v>
      </c>
      <c r="K137" s="121">
        <v>0</v>
      </c>
      <c r="L137" s="121">
        <v>0</v>
      </c>
      <c r="M137" s="121">
        <v>0</v>
      </c>
      <c r="N137" s="121">
        <v>0</v>
      </c>
      <c r="O137" s="121">
        <v>0</v>
      </c>
      <c r="P137" s="121">
        <v>0</v>
      </c>
      <c r="Q137" s="121">
        <v>0</v>
      </c>
      <c r="R137" s="121">
        <v>0</v>
      </c>
      <c r="S137" s="121">
        <v>0</v>
      </c>
      <c r="T137" s="121">
        <v>0</v>
      </c>
      <c r="U137" s="121">
        <v>0</v>
      </c>
      <c r="V137" s="121">
        <v>0</v>
      </c>
      <c r="W137" s="121">
        <v>0</v>
      </c>
      <c r="X137" s="121">
        <v>0</v>
      </c>
      <c r="Y137" s="121">
        <v>0</v>
      </c>
      <c r="Z137" s="121">
        <v>0</v>
      </c>
      <c r="AA137" s="121">
        <v>0</v>
      </c>
      <c r="AB137" s="121">
        <v>0</v>
      </c>
      <c r="AC137" s="121">
        <v>0</v>
      </c>
      <c r="AD137" s="121">
        <v>0</v>
      </c>
      <c r="AE137" s="121">
        <v>0</v>
      </c>
      <c r="AF137" s="121">
        <v>0</v>
      </c>
      <c r="AG137" s="121">
        <v>0</v>
      </c>
      <c r="AH137" s="121">
        <v>0</v>
      </c>
      <c r="AI137" s="121">
        <v>0</v>
      </c>
      <c r="AJ137" s="121">
        <v>0</v>
      </c>
      <c r="AK137" s="121">
        <v>0</v>
      </c>
      <c r="AL137" s="121">
        <v>0</v>
      </c>
      <c r="AM137" s="121">
        <v>0</v>
      </c>
      <c r="AN137" s="121">
        <v>0</v>
      </c>
      <c r="AO137" s="121">
        <v>0</v>
      </c>
      <c r="AP137" s="121">
        <v>0</v>
      </c>
      <c r="AQ137" s="121">
        <v>0</v>
      </c>
      <c r="AR137" s="121">
        <v>0</v>
      </c>
      <c r="AS137" s="121">
        <v>0</v>
      </c>
      <c r="AT137" s="121">
        <v>0</v>
      </c>
      <c r="AU137" s="121">
        <v>0</v>
      </c>
      <c r="AV137" s="121">
        <v>0</v>
      </c>
      <c r="AW137" s="121">
        <v>0</v>
      </c>
      <c r="AX137" s="121">
        <v>0</v>
      </c>
      <c r="AY137" s="121">
        <v>0</v>
      </c>
    </row>
    <row r="138" spans="1:51" x14ac:dyDescent="0.2">
      <c r="A138" s="124"/>
      <c r="B138" s="134">
        <v>17</v>
      </c>
      <c r="C138" s="121">
        <v>0</v>
      </c>
      <c r="D138" s="121">
        <v>0</v>
      </c>
      <c r="E138" s="121">
        <v>0</v>
      </c>
      <c r="F138" s="121">
        <v>0</v>
      </c>
      <c r="G138" s="121">
        <v>0</v>
      </c>
      <c r="H138" s="121">
        <v>0</v>
      </c>
      <c r="I138" s="121">
        <v>0</v>
      </c>
      <c r="J138" s="121">
        <v>0</v>
      </c>
      <c r="K138" s="121">
        <v>0</v>
      </c>
      <c r="L138" s="121">
        <v>0</v>
      </c>
      <c r="M138" s="121">
        <v>0</v>
      </c>
      <c r="N138" s="121">
        <v>0</v>
      </c>
      <c r="O138" s="121">
        <v>0</v>
      </c>
      <c r="P138" s="121">
        <v>0</v>
      </c>
      <c r="Q138" s="121">
        <v>0</v>
      </c>
      <c r="R138" s="121">
        <v>0</v>
      </c>
      <c r="S138" s="121">
        <v>0</v>
      </c>
      <c r="T138" s="121">
        <v>0</v>
      </c>
      <c r="U138" s="121">
        <v>0</v>
      </c>
      <c r="V138" s="121">
        <v>0</v>
      </c>
      <c r="W138" s="121">
        <v>0</v>
      </c>
      <c r="X138" s="121">
        <v>0</v>
      </c>
      <c r="Y138" s="121">
        <v>0</v>
      </c>
      <c r="Z138" s="121">
        <v>0</v>
      </c>
      <c r="AA138" s="121">
        <v>0</v>
      </c>
      <c r="AB138" s="121">
        <v>0</v>
      </c>
      <c r="AC138" s="121">
        <v>0</v>
      </c>
      <c r="AD138" s="121">
        <v>0</v>
      </c>
      <c r="AE138" s="121">
        <v>0</v>
      </c>
      <c r="AF138" s="121">
        <v>0</v>
      </c>
      <c r="AG138" s="121">
        <v>0</v>
      </c>
      <c r="AH138" s="121">
        <v>0</v>
      </c>
      <c r="AI138" s="121">
        <v>0</v>
      </c>
      <c r="AJ138" s="121">
        <v>0</v>
      </c>
      <c r="AK138" s="121">
        <v>0</v>
      </c>
      <c r="AL138" s="121">
        <v>0</v>
      </c>
      <c r="AM138" s="121">
        <v>0</v>
      </c>
      <c r="AN138" s="121">
        <v>0</v>
      </c>
      <c r="AO138" s="121">
        <v>0</v>
      </c>
      <c r="AP138" s="121">
        <v>0</v>
      </c>
      <c r="AQ138" s="121">
        <v>0</v>
      </c>
      <c r="AR138" s="121">
        <v>0</v>
      </c>
      <c r="AS138" s="121">
        <v>0</v>
      </c>
      <c r="AT138" s="121">
        <v>0</v>
      </c>
      <c r="AU138" s="121">
        <v>0</v>
      </c>
      <c r="AV138" s="121">
        <v>0</v>
      </c>
      <c r="AW138" s="121">
        <v>0</v>
      </c>
      <c r="AX138" s="121">
        <v>0</v>
      </c>
      <c r="AY138" s="121">
        <v>0</v>
      </c>
    </row>
    <row r="139" spans="1:51" x14ac:dyDescent="0.2">
      <c r="A139" s="124"/>
      <c r="B139" s="134">
        <v>18</v>
      </c>
      <c r="C139" s="121">
        <v>0</v>
      </c>
      <c r="D139" s="121">
        <v>0</v>
      </c>
      <c r="E139" s="121">
        <v>0</v>
      </c>
      <c r="F139" s="121">
        <v>0</v>
      </c>
      <c r="G139" s="121">
        <v>0</v>
      </c>
      <c r="H139" s="121">
        <v>0</v>
      </c>
      <c r="I139" s="121">
        <v>0</v>
      </c>
      <c r="J139" s="121">
        <v>0</v>
      </c>
      <c r="K139" s="121">
        <v>0</v>
      </c>
      <c r="L139" s="121">
        <v>0</v>
      </c>
      <c r="M139" s="121">
        <v>0</v>
      </c>
      <c r="N139" s="121">
        <v>0</v>
      </c>
      <c r="O139" s="121">
        <v>0</v>
      </c>
      <c r="P139" s="121">
        <v>0</v>
      </c>
      <c r="Q139" s="121">
        <v>0</v>
      </c>
      <c r="R139" s="121">
        <v>0</v>
      </c>
      <c r="S139" s="121">
        <v>0</v>
      </c>
      <c r="T139" s="121">
        <v>0</v>
      </c>
      <c r="U139" s="121">
        <v>0</v>
      </c>
      <c r="V139" s="121">
        <v>0</v>
      </c>
      <c r="W139" s="121">
        <v>0</v>
      </c>
      <c r="X139" s="121">
        <v>0</v>
      </c>
      <c r="Y139" s="121">
        <v>0</v>
      </c>
      <c r="Z139" s="121">
        <v>0</v>
      </c>
      <c r="AA139" s="121">
        <v>0</v>
      </c>
      <c r="AB139" s="121">
        <v>0</v>
      </c>
      <c r="AC139" s="121">
        <v>0</v>
      </c>
      <c r="AD139" s="121">
        <v>0</v>
      </c>
      <c r="AE139" s="121">
        <v>0</v>
      </c>
      <c r="AF139" s="121">
        <v>0</v>
      </c>
      <c r="AG139" s="121">
        <v>0</v>
      </c>
      <c r="AH139" s="121">
        <v>0</v>
      </c>
      <c r="AI139" s="121">
        <v>0</v>
      </c>
      <c r="AJ139" s="121">
        <v>0</v>
      </c>
      <c r="AK139" s="121">
        <v>0</v>
      </c>
      <c r="AL139" s="121">
        <v>0</v>
      </c>
      <c r="AM139" s="121">
        <v>0</v>
      </c>
      <c r="AN139" s="121">
        <v>0</v>
      </c>
      <c r="AO139" s="121">
        <v>0</v>
      </c>
      <c r="AP139" s="121">
        <v>0</v>
      </c>
      <c r="AQ139" s="121">
        <v>0</v>
      </c>
      <c r="AR139" s="121">
        <v>0</v>
      </c>
      <c r="AS139" s="121">
        <v>0</v>
      </c>
      <c r="AT139" s="121">
        <v>0</v>
      </c>
      <c r="AU139" s="121">
        <v>0</v>
      </c>
      <c r="AV139" s="121">
        <v>0</v>
      </c>
      <c r="AW139" s="121">
        <v>0</v>
      </c>
      <c r="AX139" s="121">
        <v>0</v>
      </c>
      <c r="AY139" s="121">
        <v>0</v>
      </c>
    </row>
    <row r="140" spans="1:51" x14ac:dyDescent="0.2">
      <c r="A140" s="124"/>
      <c r="B140" s="134">
        <v>19</v>
      </c>
      <c r="C140" s="121">
        <v>0</v>
      </c>
      <c r="D140" s="121">
        <v>0</v>
      </c>
      <c r="E140" s="121">
        <v>0</v>
      </c>
      <c r="F140" s="121">
        <v>0</v>
      </c>
      <c r="G140" s="121">
        <v>0</v>
      </c>
      <c r="H140" s="121">
        <v>0</v>
      </c>
      <c r="I140" s="121">
        <v>0</v>
      </c>
      <c r="J140" s="121">
        <v>0</v>
      </c>
      <c r="K140" s="121">
        <v>0</v>
      </c>
      <c r="L140" s="121">
        <v>0</v>
      </c>
      <c r="M140" s="121">
        <v>0</v>
      </c>
      <c r="N140" s="121">
        <v>0</v>
      </c>
      <c r="O140" s="121">
        <v>0</v>
      </c>
      <c r="P140" s="121">
        <v>0</v>
      </c>
      <c r="Q140" s="121">
        <v>0</v>
      </c>
      <c r="R140" s="121">
        <v>0</v>
      </c>
      <c r="S140" s="121">
        <v>0</v>
      </c>
      <c r="T140" s="121">
        <v>0</v>
      </c>
      <c r="U140" s="121">
        <v>0</v>
      </c>
      <c r="V140" s="121">
        <v>0</v>
      </c>
      <c r="W140" s="121">
        <v>0</v>
      </c>
      <c r="X140" s="121">
        <v>0</v>
      </c>
      <c r="Y140" s="121">
        <v>0</v>
      </c>
      <c r="Z140" s="121">
        <v>0</v>
      </c>
      <c r="AA140" s="121">
        <v>0</v>
      </c>
      <c r="AB140" s="121">
        <v>0</v>
      </c>
      <c r="AC140" s="121">
        <v>0</v>
      </c>
      <c r="AD140" s="121">
        <v>0</v>
      </c>
      <c r="AE140" s="121">
        <v>0</v>
      </c>
      <c r="AF140" s="121">
        <v>0</v>
      </c>
      <c r="AG140" s="121">
        <v>0</v>
      </c>
      <c r="AH140" s="121">
        <v>0</v>
      </c>
      <c r="AI140" s="121">
        <v>0</v>
      </c>
      <c r="AJ140" s="121">
        <v>0</v>
      </c>
      <c r="AK140" s="121">
        <v>0</v>
      </c>
      <c r="AL140" s="121">
        <v>0</v>
      </c>
      <c r="AM140" s="121">
        <v>0</v>
      </c>
      <c r="AN140" s="121">
        <v>0</v>
      </c>
      <c r="AO140" s="121">
        <v>0</v>
      </c>
      <c r="AP140" s="121">
        <v>0</v>
      </c>
      <c r="AQ140" s="121">
        <v>0</v>
      </c>
      <c r="AR140" s="121">
        <v>0</v>
      </c>
      <c r="AS140" s="121">
        <v>0</v>
      </c>
      <c r="AT140" s="121">
        <v>0</v>
      </c>
      <c r="AU140" s="121">
        <v>0</v>
      </c>
      <c r="AV140" s="121">
        <v>0</v>
      </c>
      <c r="AW140" s="121">
        <v>0</v>
      </c>
      <c r="AX140" s="121">
        <v>0</v>
      </c>
      <c r="AY140" s="121">
        <v>0</v>
      </c>
    </row>
    <row r="141" spans="1:51" x14ac:dyDescent="0.2">
      <c r="A141" s="124"/>
      <c r="B141" s="134">
        <v>20</v>
      </c>
      <c r="C141" s="121">
        <v>0</v>
      </c>
      <c r="D141" s="121">
        <v>0</v>
      </c>
      <c r="E141" s="121">
        <v>0</v>
      </c>
      <c r="F141" s="121">
        <v>0</v>
      </c>
      <c r="G141" s="121">
        <v>0</v>
      </c>
      <c r="H141" s="121">
        <v>0</v>
      </c>
      <c r="I141" s="121">
        <v>0</v>
      </c>
      <c r="J141" s="121">
        <v>0</v>
      </c>
      <c r="K141" s="121">
        <v>0</v>
      </c>
      <c r="L141" s="121">
        <v>0</v>
      </c>
      <c r="M141" s="121">
        <v>0</v>
      </c>
      <c r="N141" s="121">
        <v>0</v>
      </c>
      <c r="O141" s="121">
        <v>0</v>
      </c>
      <c r="P141" s="121">
        <v>0</v>
      </c>
      <c r="Q141" s="121">
        <v>0</v>
      </c>
      <c r="R141" s="121">
        <v>0</v>
      </c>
      <c r="S141" s="121">
        <v>0</v>
      </c>
      <c r="T141" s="121">
        <v>0</v>
      </c>
      <c r="U141" s="121">
        <v>0</v>
      </c>
      <c r="V141" s="121">
        <v>0</v>
      </c>
      <c r="W141" s="121">
        <v>0</v>
      </c>
      <c r="X141" s="121">
        <v>0</v>
      </c>
      <c r="Y141" s="121">
        <v>0</v>
      </c>
      <c r="Z141" s="121">
        <v>0</v>
      </c>
      <c r="AA141" s="121">
        <v>0</v>
      </c>
      <c r="AB141" s="121">
        <v>0</v>
      </c>
      <c r="AC141" s="121">
        <v>0</v>
      </c>
      <c r="AD141" s="121">
        <v>0</v>
      </c>
      <c r="AE141" s="121">
        <v>0</v>
      </c>
      <c r="AF141" s="121">
        <v>0</v>
      </c>
      <c r="AG141" s="121">
        <v>0</v>
      </c>
      <c r="AH141" s="121">
        <v>0</v>
      </c>
      <c r="AI141" s="121">
        <v>0</v>
      </c>
      <c r="AJ141" s="121">
        <v>0</v>
      </c>
      <c r="AK141" s="121">
        <v>0</v>
      </c>
      <c r="AL141" s="121">
        <v>0</v>
      </c>
      <c r="AM141" s="121">
        <v>0</v>
      </c>
      <c r="AN141" s="121">
        <v>0</v>
      </c>
      <c r="AO141" s="121">
        <v>0</v>
      </c>
      <c r="AP141" s="121">
        <v>0</v>
      </c>
      <c r="AQ141" s="121">
        <v>0</v>
      </c>
      <c r="AR141" s="121">
        <v>0</v>
      </c>
      <c r="AS141" s="121">
        <v>0</v>
      </c>
      <c r="AT141" s="121">
        <v>0</v>
      </c>
      <c r="AU141" s="121">
        <v>0</v>
      </c>
      <c r="AV141" s="121">
        <v>0</v>
      </c>
      <c r="AW141" s="121">
        <v>0</v>
      </c>
      <c r="AX141" s="121">
        <v>0</v>
      </c>
      <c r="AY141" s="121">
        <v>0</v>
      </c>
    </row>
    <row r="142" spans="1:51" x14ac:dyDescent="0.2">
      <c r="A142" s="124"/>
      <c r="B142" s="134">
        <v>21</v>
      </c>
      <c r="C142" s="121">
        <v>0</v>
      </c>
      <c r="D142" s="121">
        <v>0</v>
      </c>
      <c r="E142" s="121">
        <v>0</v>
      </c>
      <c r="F142" s="121">
        <v>0</v>
      </c>
      <c r="G142" s="121">
        <v>0</v>
      </c>
      <c r="H142" s="121">
        <v>0</v>
      </c>
      <c r="I142" s="121">
        <v>0</v>
      </c>
      <c r="J142" s="121">
        <v>0</v>
      </c>
      <c r="K142" s="121">
        <v>0</v>
      </c>
      <c r="L142" s="121">
        <v>0</v>
      </c>
      <c r="M142" s="121">
        <v>0</v>
      </c>
      <c r="N142" s="121">
        <v>0</v>
      </c>
      <c r="O142" s="121">
        <v>0</v>
      </c>
      <c r="P142" s="121">
        <v>0</v>
      </c>
      <c r="Q142" s="121">
        <v>0</v>
      </c>
      <c r="R142" s="121">
        <v>0</v>
      </c>
      <c r="S142" s="121">
        <v>0</v>
      </c>
      <c r="T142" s="121">
        <v>0</v>
      </c>
      <c r="U142" s="121">
        <v>0</v>
      </c>
      <c r="V142" s="121">
        <v>0</v>
      </c>
      <c r="W142" s="121">
        <v>0</v>
      </c>
      <c r="X142" s="121">
        <v>0</v>
      </c>
      <c r="Y142" s="121">
        <v>0</v>
      </c>
      <c r="Z142" s="121">
        <v>0</v>
      </c>
      <c r="AA142" s="121">
        <v>0</v>
      </c>
      <c r="AB142" s="121">
        <v>0</v>
      </c>
      <c r="AC142" s="121">
        <v>0</v>
      </c>
      <c r="AD142" s="121">
        <v>0</v>
      </c>
      <c r="AE142" s="121">
        <v>0</v>
      </c>
      <c r="AF142" s="121">
        <v>0</v>
      </c>
      <c r="AG142" s="121">
        <v>0</v>
      </c>
      <c r="AH142" s="121">
        <v>0</v>
      </c>
      <c r="AI142" s="121">
        <v>0</v>
      </c>
      <c r="AJ142" s="121">
        <v>0</v>
      </c>
      <c r="AK142" s="121">
        <v>0</v>
      </c>
      <c r="AL142" s="121">
        <v>0</v>
      </c>
      <c r="AM142" s="121">
        <v>0</v>
      </c>
      <c r="AN142" s="121">
        <v>0</v>
      </c>
      <c r="AO142" s="121">
        <v>0</v>
      </c>
      <c r="AP142" s="121">
        <v>0</v>
      </c>
      <c r="AQ142" s="121">
        <v>0</v>
      </c>
      <c r="AR142" s="121">
        <v>0</v>
      </c>
      <c r="AS142" s="121">
        <v>0</v>
      </c>
      <c r="AT142" s="121">
        <v>0</v>
      </c>
      <c r="AU142" s="121">
        <v>0</v>
      </c>
      <c r="AV142" s="121">
        <v>0</v>
      </c>
      <c r="AW142" s="121">
        <v>0</v>
      </c>
      <c r="AX142" s="121">
        <v>0</v>
      </c>
      <c r="AY142" s="121">
        <v>0</v>
      </c>
    </row>
    <row r="143" spans="1:51" x14ac:dyDescent="0.2">
      <c r="A143" s="124"/>
      <c r="B143" s="134">
        <v>22</v>
      </c>
      <c r="C143" s="121">
        <v>0</v>
      </c>
      <c r="D143" s="121">
        <v>0</v>
      </c>
      <c r="E143" s="121">
        <v>0</v>
      </c>
      <c r="F143" s="121">
        <v>0</v>
      </c>
      <c r="G143" s="121">
        <v>0</v>
      </c>
      <c r="H143" s="121">
        <v>0</v>
      </c>
      <c r="I143" s="121">
        <v>0</v>
      </c>
      <c r="J143" s="121">
        <v>0</v>
      </c>
      <c r="K143" s="121">
        <v>0</v>
      </c>
      <c r="L143" s="121">
        <v>0</v>
      </c>
      <c r="M143" s="121">
        <v>0</v>
      </c>
      <c r="N143" s="121">
        <v>0</v>
      </c>
      <c r="O143" s="121">
        <v>0</v>
      </c>
      <c r="P143" s="121">
        <v>0</v>
      </c>
      <c r="Q143" s="121">
        <v>0</v>
      </c>
      <c r="R143" s="121">
        <v>0</v>
      </c>
      <c r="S143" s="121">
        <v>0</v>
      </c>
      <c r="T143" s="121">
        <v>0</v>
      </c>
      <c r="U143" s="121">
        <v>0</v>
      </c>
      <c r="V143" s="121">
        <v>0</v>
      </c>
      <c r="W143" s="121">
        <v>0</v>
      </c>
      <c r="X143" s="121">
        <v>0</v>
      </c>
      <c r="Y143" s="121">
        <v>0</v>
      </c>
      <c r="Z143" s="121">
        <v>0</v>
      </c>
      <c r="AA143" s="121">
        <v>0</v>
      </c>
      <c r="AB143" s="121">
        <v>0</v>
      </c>
      <c r="AC143" s="121">
        <v>0</v>
      </c>
      <c r="AD143" s="121">
        <v>0</v>
      </c>
      <c r="AE143" s="121">
        <v>0</v>
      </c>
      <c r="AF143" s="121">
        <v>0</v>
      </c>
      <c r="AG143" s="121">
        <v>0</v>
      </c>
      <c r="AH143" s="121">
        <v>0</v>
      </c>
      <c r="AI143" s="121">
        <v>0</v>
      </c>
      <c r="AJ143" s="121">
        <v>0</v>
      </c>
      <c r="AK143" s="121">
        <v>0</v>
      </c>
      <c r="AL143" s="121">
        <v>0</v>
      </c>
      <c r="AM143" s="121">
        <v>0</v>
      </c>
      <c r="AN143" s="121">
        <v>0</v>
      </c>
      <c r="AO143" s="121">
        <v>0</v>
      </c>
      <c r="AP143" s="121">
        <v>0</v>
      </c>
      <c r="AQ143" s="121">
        <v>0</v>
      </c>
      <c r="AR143" s="121">
        <v>0</v>
      </c>
      <c r="AS143" s="121">
        <v>0</v>
      </c>
      <c r="AT143" s="121">
        <v>0</v>
      </c>
      <c r="AU143" s="121">
        <v>0</v>
      </c>
      <c r="AV143" s="121">
        <v>0</v>
      </c>
      <c r="AW143" s="121">
        <v>0</v>
      </c>
      <c r="AX143" s="121">
        <v>0</v>
      </c>
      <c r="AY143" s="121">
        <v>0</v>
      </c>
    </row>
    <row r="144" spans="1:51" x14ac:dyDescent="0.2">
      <c r="A144" s="124"/>
      <c r="B144" s="134">
        <v>23</v>
      </c>
      <c r="C144" s="121">
        <v>0</v>
      </c>
      <c r="D144" s="121">
        <v>0</v>
      </c>
      <c r="E144" s="121">
        <v>0</v>
      </c>
      <c r="F144" s="121">
        <v>0</v>
      </c>
      <c r="G144" s="121">
        <v>0</v>
      </c>
      <c r="H144" s="121">
        <v>0</v>
      </c>
      <c r="I144" s="121">
        <v>0</v>
      </c>
      <c r="J144" s="121">
        <v>0</v>
      </c>
      <c r="K144" s="121">
        <v>0</v>
      </c>
      <c r="L144" s="121">
        <v>0</v>
      </c>
      <c r="M144" s="121">
        <v>0</v>
      </c>
      <c r="N144" s="121">
        <v>0</v>
      </c>
      <c r="O144" s="121">
        <v>0</v>
      </c>
      <c r="P144" s="121">
        <v>0</v>
      </c>
      <c r="Q144" s="121">
        <v>0</v>
      </c>
      <c r="R144" s="121">
        <v>0</v>
      </c>
      <c r="S144" s="121">
        <v>0</v>
      </c>
      <c r="T144" s="121">
        <v>0</v>
      </c>
      <c r="U144" s="121">
        <v>0</v>
      </c>
      <c r="V144" s="121">
        <v>0</v>
      </c>
      <c r="W144" s="121">
        <v>0</v>
      </c>
      <c r="X144" s="121">
        <v>0</v>
      </c>
      <c r="Y144" s="121">
        <v>0</v>
      </c>
      <c r="Z144" s="121">
        <v>0</v>
      </c>
      <c r="AA144" s="121">
        <v>0</v>
      </c>
      <c r="AB144" s="121">
        <v>0</v>
      </c>
      <c r="AC144" s="121">
        <v>0</v>
      </c>
      <c r="AD144" s="121">
        <v>0</v>
      </c>
      <c r="AE144" s="121">
        <v>0</v>
      </c>
      <c r="AF144" s="121">
        <v>0</v>
      </c>
      <c r="AG144" s="121">
        <v>0</v>
      </c>
      <c r="AH144" s="121">
        <v>0</v>
      </c>
      <c r="AI144" s="121">
        <v>0</v>
      </c>
      <c r="AJ144" s="121">
        <v>0</v>
      </c>
      <c r="AK144" s="121">
        <v>0</v>
      </c>
      <c r="AL144" s="121">
        <v>0</v>
      </c>
      <c r="AM144" s="121">
        <v>0</v>
      </c>
      <c r="AN144" s="121">
        <v>0</v>
      </c>
      <c r="AO144" s="121">
        <v>0</v>
      </c>
      <c r="AP144" s="121">
        <v>0</v>
      </c>
      <c r="AQ144" s="121">
        <v>0</v>
      </c>
      <c r="AR144" s="121">
        <v>0</v>
      </c>
      <c r="AS144" s="121">
        <v>0</v>
      </c>
      <c r="AT144" s="121">
        <v>0</v>
      </c>
      <c r="AU144" s="121">
        <v>0</v>
      </c>
      <c r="AV144" s="121">
        <v>0</v>
      </c>
      <c r="AW144" s="121">
        <v>0</v>
      </c>
      <c r="AX144" s="121">
        <v>0</v>
      </c>
      <c r="AY144" s="121">
        <v>0</v>
      </c>
    </row>
    <row r="145" spans="1:51" x14ac:dyDescent="0.2">
      <c r="A145" s="124"/>
      <c r="B145" s="134">
        <v>24</v>
      </c>
      <c r="C145" s="121">
        <v>0</v>
      </c>
      <c r="D145" s="121">
        <v>0</v>
      </c>
      <c r="E145" s="121">
        <v>0</v>
      </c>
      <c r="F145" s="121">
        <v>0</v>
      </c>
      <c r="G145" s="121">
        <v>0</v>
      </c>
      <c r="H145" s="121">
        <v>0</v>
      </c>
      <c r="I145" s="121">
        <v>0</v>
      </c>
      <c r="J145" s="121">
        <v>0</v>
      </c>
      <c r="K145" s="121">
        <v>0</v>
      </c>
      <c r="L145" s="121">
        <v>0</v>
      </c>
      <c r="M145" s="121">
        <v>0</v>
      </c>
      <c r="N145" s="121">
        <v>0</v>
      </c>
      <c r="O145" s="121">
        <v>0</v>
      </c>
      <c r="P145" s="121">
        <v>0</v>
      </c>
      <c r="Q145" s="121">
        <v>0</v>
      </c>
      <c r="R145" s="121">
        <v>0</v>
      </c>
      <c r="S145" s="121">
        <v>0</v>
      </c>
      <c r="T145" s="121">
        <v>0</v>
      </c>
      <c r="U145" s="121">
        <v>0</v>
      </c>
      <c r="V145" s="121">
        <v>0</v>
      </c>
      <c r="W145" s="121">
        <v>0</v>
      </c>
      <c r="X145" s="121">
        <v>0</v>
      </c>
      <c r="Y145" s="121">
        <v>0</v>
      </c>
      <c r="Z145" s="121">
        <v>0</v>
      </c>
      <c r="AA145" s="121">
        <v>0</v>
      </c>
      <c r="AB145" s="121">
        <v>0</v>
      </c>
      <c r="AC145" s="121">
        <v>0</v>
      </c>
      <c r="AD145" s="121">
        <v>0</v>
      </c>
      <c r="AE145" s="121">
        <v>0</v>
      </c>
      <c r="AF145" s="121">
        <v>0</v>
      </c>
      <c r="AG145" s="121">
        <v>0</v>
      </c>
      <c r="AH145" s="121">
        <v>0</v>
      </c>
      <c r="AI145" s="121">
        <v>0</v>
      </c>
      <c r="AJ145" s="121">
        <v>0</v>
      </c>
      <c r="AK145" s="121">
        <v>0</v>
      </c>
      <c r="AL145" s="121">
        <v>0</v>
      </c>
      <c r="AM145" s="121">
        <v>0</v>
      </c>
      <c r="AN145" s="121">
        <v>0</v>
      </c>
      <c r="AO145" s="121">
        <v>0</v>
      </c>
      <c r="AP145" s="121">
        <v>0</v>
      </c>
      <c r="AQ145" s="121">
        <v>0</v>
      </c>
      <c r="AR145" s="121">
        <v>0</v>
      </c>
      <c r="AS145" s="121">
        <v>0</v>
      </c>
      <c r="AT145" s="121">
        <v>0</v>
      </c>
      <c r="AU145" s="121">
        <v>0</v>
      </c>
      <c r="AV145" s="121">
        <v>0</v>
      </c>
      <c r="AW145" s="121">
        <v>0</v>
      </c>
      <c r="AX145" s="121">
        <v>0</v>
      </c>
      <c r="AY145" s="121">
        <v>0</v>
      </c>
    </row>
    <row r="146" spans="1:51" x14ac:dyDescent="0.2">
      <c r="A146" s="124"/>
      <c r="B146" s="141">
        <v>25</v>
      </c>
      <c r="C146" s="121">
        <v>0</v>
      </c>
      <c r="D146" s="121">
        <v>0</v>
      </c>
      <c r="E146" s="121">
        <v>0</v>
      </c>
      <c r="F146" s="121">
        <v>0</v>
      </c>
      <c r="G146" s="121">
        <v>0</v>
      </c>
      <c r="H146" s="121">
        <v>0</v>
      </c>
      <c r="I146" s="121">
        <v>0</v>
      </c>
      <c r="J146" s="121">
        <v>0</v>
      </c>
      <c r="K146" s="121">
        <v>0</v>
      </c>
      <c r="L146" s="121">
        <v>0</v>
      </c>
      <c r="M146" s="121">
        <v>0</v>
      </c>
      <c r="N146" s="121">
        <v>0</v>
      </c>
      <c r="O146" s="121">
        <v>0</v>
      </c>
      <c r="P146" s="121">
        <v>0</v>
      </c>
      <c r="Q146" s="121">
        <v>0</v>
      </c>
      <c r="R146" s="121">
        <v>0</v>
      </c>
      <c r="S146" s="121">
        <v>0</v>
      </c>
      <c r="T146" s="121">
        <v>0</v>
      </c>
      <c r="U146" s="121">
        <v>0</v>
      </c>
      <c r="V146" s="121">
        <v>0</v>
      </c>
      <c r="W146" s="121">
        <v>0</v>
      </c>
      <c r="X146" s="121">
        <v>0</v>
      </c>
      <c r="Y146" s="121">
        <v>0</v>
      </c>
      <c r="Z146" s="121">
        <v>0</v>
      </c>
      <c r="AA146" s="121">
        <v>0</v>
      </c>
      <c r="AB146" s="121">
        <v>0</v>
      </c>
      <c r="AC146" s="121">
        <v>0</v>
      </c>
      <c r="AD146" s="121">
        <v>0</v>
      </c>
      <c r="AE146" s="121">
        <v>0</v>
      </c>
      <c r="AF146" s="121">
        <v>0</v>
      </c>
      <c r="AG146" s="121">
        <v>0</v>
      </c>
      <c r="AH146" s="121">
        <v>0</v>
      </c>
      <c r="AI146" s="121">
        <v>0</v>
      </c>
      <c r="AJ146" s="121">
        <v>0</v>
      </c>
      <c r="AK146" s="121">
        <v>0</v>
      </c>
      <c r="AL146" s="121">
        <v>0</v>
      </c>
      <c r="AM146" s="121">
        <v>0</v>
      </c>
      <c r="AN146" s="121">
        <v>0</v>
      </c>
      <c r="AO146" s="121">
        <v>0</v>
      </c>
      <c r="AP146" s="121">
        <v>0</v>
      </c>
      <c r="AQ146" s="121">
        <v>0</v>
      </c>
      <c r="AR146" s="121">
        <v>0</v>
      </c>
      <c r="AS146" s="121">
        <v>0</v>
      </c>
      <c r="AT146" s="121">
        <v>0</v>
      </c>
      <c r="AU146" s="121">
        <v>0</v>
      </c>
      <c r="AV146" s="121">
        <v>0</v>
      </c>
      <c r="AW146" s="121">
        <v>0</v>
      </c>
      <c r="AX146" s="121">
        <v>0</v>
      </c>
      <c r="AY146" s="121">
        <v>0</v>
      </c>
    </row>
    <row r="147" spans="1:51" x14ac:dyDescent="0.2">
      <c r="A147" s="124"/>
      <c r="B147" s="141">
        <v>26</v>
      </c>
      <c r="C147" s="121">
        <v>0</v>
      </c>
      <c r="D147" s="121">
        <v>0</v>
      </c>
      <c r="E147" s="121">
        <v>0</v>
      </c>
      <c r="F147" s="121">
        <v>0</v>
      </c>
      <c r="G147" s="121">
        <v>0</v>
      </c>
      <c r="H147" s="121">
        <v>0</v>
      </c>
      <c r="I147" s="121">
        <v>0</v>
      </c>
      <c r="J147" s="121">
        <v>0</v>
      </c>
      <c r="K147" s="121">
        <v>0</v>
      </c>
      <c r="L147" s="121">
        <v>0</v>
      </c>
      <c r="M147" s="121">
        <v>0</v>
      </c>
      <c r="N147" s="121">
        <v>0</v>
      </c>
      <c r="O147" s="121">
        <v>0</v>
      </c>
      <c r="P147" s="121">
        <v>0</v>
      </c>
      <c r="Q147" s="121">
        <v>0</v>
      </c>
      <c r="R147" s="121">
        <v>0</v>
      </c>
      <c r="S147" s="121">
        <v>0</v>
      </c>
      <c r="T147" s="121">
        <v>0</v>
      </c>
      <c r="U147" s="121">
        <v>0</v>
      </c>
      <c r="V147" s="121">
        <v>0</v>
      </c>
      <c r="W147" s="121">
        <v>0</v>
      </c>
      <c r="X147" s="121">
        <v>0</v>
      </c>
      <c r="Y147" s="121">
        <v>0</v>
      </c>
      <c r="Z147" s="121">
        <v>0</v>
      </c>
      <c r="AA147" s="121">
        <v>0</v>
      </c>
      <c r="AB147" s="121">
        <v>0</v>
      </c>
      <c r="AC147" s="121">
        <v>0</v>
      </c>
      <c r="AD147" s="121">
        <v>0</v>
      </c>
      <c r="AE147" s="121">
        <v>0</v>
      </c>
      <c r="AF147" s="121">
        <v>0</v>
      </c>
      <c r="AG147" s="121">
        <v>0</v>
      </c>
      <c r="AH147" s="121">
        <v>0</v>
      </c>
      <c r="AI147" s="121">
        <v>0</v>
      </c>
      <c r="AJ147" s="121">
        <v>0</v>
      </c>
      <c r="AK147" s="121">
        <v>0</v>
      </c>
      <c r="AL147" s="121">
        <v>0</v>
      </c>
      <c r="AM147" s="121">
        <v>0</v>
      </c>
      <c r="AN147" s="121">
        <v>0</v>
      </c>
      <c r="AO147" s="121">
        <v>0</v>
      </c>
      <c r="AP147" s="121">
        <v>0</v>
      </c>
      <c r="AQ147" s="121">
        <v>0</v>
      </c>
      <c r="AR147" s="121">
        <v>0</v>
      </c>
      <c r="AS147" s="121">
        <v>0</v>
      </c>
      <c r="AT147" s="121">
        <v>0</v>
      </c>
      <c r="AU147" s="121">
        <v>0</v>
      </c>
      <c r="AV147" s="121">
        <v>0</v>
      </c>
      <c r="AW147" s="121">
        <v>0</v>
      </c>
      <c r="AX147" s="121">
        <v>0</v>
      </c>
      <c r="AY147" s="121">
        <v>0</v>
      </c>
    </row>
    <row r="148" spans="1:51" x14ac:dyDescent="0.2">
      <c r="A148" s="124"/>
      <c r="B148" s="141">
        <v>27</v>
      </c>
      <c r="C148" s="121">
        <v>0</v>
      </c>
      <c r="D148" s="121">
        <v>0</v>
      </c>
      <c r="E148" s="121">
        <v>0</v>
      </c>
      <c r="F148" s="121">
        <v>0</v>
      </c>
      <c r="G148" s="121">
        <v>0</v>
      </c>
      <c r="H148" s="121">
        <v>0</v>
      </c>
      <c r="I148" s="121">
        <v>0</v>
      </c>
      <c r="J148" s="121">
        <v>0</v>
      </c>
      <c r="K148" s="121">
        <v>0</v>
      </c>
      <c r="L148" s="121">
        <v>0</v>
      </c>
      <c r="M148" s="121">
        <v>0</v>
      </c>
      <c r="N148" s="121">
        <v>0</v>
      </c>
      <c r="O148" s="121">
        <v>0</v>
      </c>
      <c r="P148" s="121">
        <v>0</v>
      </c>
      <c r="Q148" s="121">
        <v>0</v>
      </c>
      <c r="R148" s="121">
        <v>0</v>
      </c>
      <c r="S148" s="121">
        <v>0</v>
      </c>
      <c r="T148" s="121">
        <v>0</v>
      </c>
      <c r="U148" s="121">
        <v>0</v>
      </c>
      <c r="V148" s="121">
        <v>0</v>
      </c>
      <c r="W148" s="121">
        <v>0</v>
      </c>
      <c r="X148" s="121">
        <v>0</v>
      </c>
      <c r="Y148" s="121">
        <v>0</v>
      </c>
      <c r="Z148" s="121">
        <v>0</v>
      </c>
      <c r="AA148" s="121">
        <v>0</v>
      </c>
      <c r="AB148" s="121">
        <v>0</v>
      </c>
      <c r="AC148" s="121">
        <v>0</v>
      </c>
      <c r="AD148" s="121">
        <v>0</v>
      </c>
      <c r="AE148" s="121">
        <v>0</v>
      </c>
      <c r="AF148" s="121">
        <v>0</v>
      </c>
      <c r="AG148" s="121">
        <v>0</v>
      </c>
      <c r="AH148" s="121">
        <v>0</v>
      </c>
      <c r="AI148" s="121">
        <v>0</v>
      </c>
      <c r="AJ148" s="121">
        <v>0</v>
      </c>
      <c r="AK148" s="121">
        <v>0</v>
      </c>
      <c r="AL148" s="121">
        <v>0</v>
      </c>
      <c r="AM148" s="121">
        <v>0</v>
      </c>
      <c r="AN148" s="121">
        <v>0</v>
      </c>
      <c r="AO148" s="121">
        <v>0</v>
      </c>
      <c r="AP148" s="121">
        <v>0</v>
      </c>
      <c r="AQ148" s="121">
        <v>0</v>
      </c>
      <c r="AR148" s="121">
        <v>0</v>
      </c>
      <c r="AS148" s="121">
        <v>0</v>
      </c>
      <c r="AT148" s="121">
        <v>0</v>
      </c>
      <c r="AU148" s="121">
        <v>0</v>
      </c>
      <c r="AV148" s="121">
        <v>0</v>
      </c>
      <c r="AW148" s="121">
        <v>0</v>
      </c>
      <c r="AX148" s="121">
        <v>0</v>
      </c>
      <c r="AY148" s="121">
        <v>0</v>
      </c>
    </row>
    <row r="149" spans="1:51" x14ac:dyDescent="0.2">
      <c r="A149" s="124"/>
      <c r="B149" s="141">
        <v>28</v>
      </c>
      <c r="C149" s="121">
        <v>0</v>
      </c>
      <c r="D149" s="121">
        <v>0</v>
      </c>
      <c r="E149" s="121">
        <v>0</v>
      </c>
      <c r="F149" s="121">
        <v>0</v>
      </c>
      <c r="G149" s="121">
        <v>0</v>
      </c>
      <c r="H149" s="121">
        <v>0</v>
      </c>
      <c r="I149" s="121">
        <v>0</v>
      </c>
      <c r="J149" s="121">
        <v>0</v>
      </c>
      <c r="K149" s="121">
        <v>0</v>
      </c>
      <c r="L149" s="121">
        <v>0</v>
      </c>
      <c r="M149" s="121">
        <v>0</v>
      </c>
      <c r="N149" s="121">
        <v>0</v>
      </c>
      <c r="O149" s="121">
        <v>0</v>
      </c>
      <c r="P149" s="121">
        <v>0</v>
      </c>
      <c r="Q149" s="121">
        <v>0</v>
      </c>
      <c r="R149" s="121">
        <v>0</v>
      </c>
      <c r="S149" s="121">
        <v>0</v>
      </c>
      <c r="T149" s="121">
        <v>0</v>
      </c>
      <c r="U149" s="121">
        <v>0</v>
      </c>
      <c r="V149" s="121">
        <v>0</v>
      </c>
      <c r="W149" s="121">
        <v>0</v>
      </c>
      <c r="X149" s="121">
        <v>0</v>
      </c>
      <c r="Y149" s="121">
        <v>0</v>
      </c>
      <c r="Z149" s="121">
        <v>0</v>
      </c>
      <c r="AA149" s="121">
        <v>0</v>
      </c>
      <c r="AB149" s="121">
        <v>0</v>
      </c>
      <c r="AC149" s="121">
        <v>0</v>
      </c>
      <c r="AD149" s="121">
        <v>0</v>
      </c>
      <c r="AE149" s="121">
        <v>0</v>
      </c>
      <c r="AF149" s="121">
        <v>0</v>
      </c>
      <c r="AG149" s="121">
        <v>0</v>
      </c>
      <c r="AH149" s="121">
        <v>0</v>
      </c>
      <c r="AI149" s="121">
        <v>0</v>
      </c>
      <c r="AJ149" s="121">
        <v>0</v>
      </c>
      <c r="AK149" s="121">
        <v>0</v>
      </c>
      <c r="AL149" s="121">
        <v>0</v>
      </c>
      <c r="AM149" s="121">
        <v>0</v>
      </c>
      <c r="AN149" s="121">
        <v>0</v>
      </c>
      <c r="AO149" s="121">
        <v>0</v>
      </c>
      <c r="AP149" s="121">
        <v>0</v>
      </c>
      <c r="AQ149" s="121">
        <v>0</v>
      </c>
      <c r="AR149" s="121">
        <v>0</v>
      </c>
      <c r="AS149" s="121">
        <v>0</v>
      </c>
      <c r="AT149" s="121">
        <v>0</v>
      </c>
      <c r="AU149" s="121">
        <v>0</v>
      </c>
      <c r="AV149" s="121">
        <v>0</v>
      </c>
      <c r="AW149" s="121">
        <v>0</v>
      </c>
      <c r="AX149" s="121">
        <v>0</v>
      </c>
      <c r="AY149" s="121">
        <v>0</v>
      </c>
    </row>
    <row r="150" spans="1:51" x14ac:dyDescent="0.2">
      <c r="A150" s="124"/>
      <c r="B150" s="141">
        <v>29</v>
      </c>
      <c r="C150" s="121">
        <v>0</v>
      </c>
      <c r="D150" s="121">
        <v>0</v>
      </c>
      <c r="E150" s="121">
        <v>0</v>
      </c>
      <c r="F150" s="121">
        <v>0</v>
      </c>
      <c r="G150" s="121">
        <v>0</v>
      </c>
      <c r="H150" s="121">
        <v>0</v>
      </c>
      <c r="I150" s="121">
        <v>0</v>
      </c>
      <c r="J150" s="121">
        <v>0</v>
      </c>
      <c r="K150" s="121">
        <v>0</v>
      </c>
      <c r="L150" s="121">
        <v>0</v>
      </c>
      <c r="M150" s="121">
        <v>0</v>
      </c>
      <c r="N150" s="121">
        <v>0</v>
      </c>
      <c r="O150" s="121">
        <v>0</v>
      </c>
      <c r="P150" s="121">
        <v>0</v>
      </c>
      <c r="Q150" s="121">
        <v>0</v>
      </c>
      <c r="R150" s="121">
        <v>0</v>
      </c>
      <c r="S150" s="121">
        <v>0</v>
      </c>
      <c r="T150" s="121">
        <v>0</v>
      </c>
      <c r="U150" s="121">
        <v>0</v>
      </c>
      <c r="V150" s="121">
        <v>0</v>
      </c>
      <c r="W150" s="121">
        <v>0</v>
      </c>
      <c r="X150" s="121">
        <v>0</v>
      </c>
      <c r="Y150" s="121">
        <v>0</v>
      </c>
      <c r="Z150" s="121">
        <v>0</v>
      </c>
      <c r="AA150" s="121">
        <v>0</v>
      </c>
      <c r="AB150" s="121">
        <v>0</v>
      </c>
      <c r="AC150" s="121">
        <v>0</v>
      </c>
      <c r="AD150" s="121">
        <v>0</v>
      </c>
      <c r="AE150" s="121">
        <v>0</v>
      </c>
      <c r="AF150" s="121">
        <v>0</v>
      </c>
      <c r="AG150" s="121">
        <v>0</v>
      </c>
      <c r="AH150" s="121">
        <v>0</v>
      </c>
      <c r="AI150" s="121">
        <v>0</v>
      </c>
      <c r="AJ150" s="121">
        <v>0</v>
      </c>
      <c r="AK150" s="121">
        <v>0</v>
      </c>
      <c r="AL150" s="121">
        <v>0</v>
      </c>
      <c r="AM150" s="121">
        <v>0</v>
      </c>
      <c r="AN150" s="121">
        <v>0</v>
      </c>
      <c r="AO150" s="121">
        <v>0</v>
      </c>
      <c r="AP150" s="121">
        <v>0</v>
      </c>
      <c r="AQ150" s="121">
        <v>0</v>
      </c>
      <c r="AR150" s="121">
        <v>0</v>
      </c>
      <c r="AS150" s="121">
        <v>0</v>
      </c>
      <c r="AT150" s="121">
        <v>0</v>
      </c>
      <c r="AU150" s="121">
        <v>0</v>
      </c>
      <c r="AV150" s="121">
        <v>0</v>
      </c>
      <c r="AW150" s="121">
        <v>0</v>
      </c>
      <c r="AX150" s="121">
        <v>0</v>
      </c>
      <c r="AY150" s="121">
        <v>0</v>
      </c>
    </row>
    <row r="151" spans="1:51" x14ac:dyDescent="0.2">
      <c r="A151" s="124"/>
      <c r="B151" s="141">
        <v>30</v>
      </c>
      <c r="C151" s="121">
        <v>0</v>
      </c>
      <c r="D151" s="121">
        <v>0</v>
      </c>
      <c r="E151" s="121">
        <v>0</v>
      </c>
      <c r="F151" s="121">
        <v>0</v>
      </c>
      <c r="G151" s="121">
        <v>0</v>
      </c>
      <c r="H151" s="121">
        <v>0</v>
      </c>
      <c r="I151" s="121">
        <v>0</v>
      </c>
      <c r="J151" s="121">
        <v>0</v>
      </c>
      <c r="K151" s="121">
        <v>0</v>
      </c>
      <c r="L151" s="121">
        <v>0</v>
      </c>
      <c r="M151" s="121">
        <v>0</v>
      </c>
      <c r="N151" s="121">
        <v>0</v>
      </c>
      <c r="O151" s="121">
        <v>0</v>
      </c>
      <c r="P151" s="121">
        <v>0</v>
      </c>
      <c r="Q151" s="121">
        <v>0</v>
      </c>
      <c r="R151" s="121">
        <v>0</v>
      </c>
      <c r="S151" s="121">
        <v>0</v>
      </c>
      <c r="T151" s="121">
        <v>0</v>
      </c>
      <c r="U151" s="121">
        <v>0</v>
      </c>
      <c r="V151" s="121">
        <v>0</v>
      </c>
      <c r="W151" s="121">
        <v>0</v>
      </c>
      <c r="X151" s="121">
        <v>0</v>
      </c>
      <c r="Y151" s="121">
        <v>0</v>
      </c>
      <c r="Z151" s="121">
        <v>0</v>
      </c>
      <c r="AA151" s="121">
        <v>0</v>
      </c>
      <c r="AB151" s="121">
        <v>0</v>
      </c>
      <c r="AC151" s="121">
        <v>0</v>
      </c>
      <c r="AD151" s="121">
        <v>0</v>
      </c>
      <c r="AE151" s="121">
        <v>0</v>
      </c>
      <c r="AF151" s="121">
        <v>0</v>
      </c>
      <c r="AG151" s="121">
        <v>0</v>
      </c>
      <c r="AH151" s="121">
        <v>0</v>
      </c>
      <c r="AI151" s="121">
        <v>0</v>
      </c>
      <c r="AJ151" s="121">
        <v>0</v>
      </c>
      <c r="AK151" s="121">
        <v>0</v>
      </c>
      <c r="AL151" s="121">
        <v>0</v>
      </c>
      <c r="AM151" s="121">
        <v>0</v>
      </c>
      <c r="AN151" s="121">
        <v>0</v>
      </c>
      <c r="AO151" s="121">
        <v>0</v>
      </c>
      <c r="AP151" s="121">
        <v>0</v>
      </c>
      <c r="AQ151" s="121">
        <v>0</v>
      </c>
      <c r="AR151" s="121">
        <v>0</v>
      </c>
      <c r="AS151" s="121">
        <v>0</v>
      </c>
      <c r="AT151" s="121">
        <v>0</v>
      </c>
      <c r="AU151" s="121">
        <v>0</v>
      </c>
      <c r="AV151" s="121">
        <v>0</v>
      </c>
      <c r="AW151" s="121">
        <v>0</v>
      </c>
      <c r="AX151" s="121">
        <v>0</v>
      </c>
      <c r="AY151" s="121">
        <v>0</v>
      </c>
    </row>
    <row r="152" spans="1:51" x14ac:dyDescent="0.2">
      <c r="A152" s="124"/>
      <c r="B152" s="141">
        <v>31</v>
      </c>
      <c r="C152" s="121">
        <v>0</v>
      </c>
      <c r="D152" s="121">
        <v>0</v>
      </c>
      <c r="E152" s="121">
        <v>0</v>
      </c>
      <c r="F152" s="121">
        <v>0</v>
      </c>
      <c r="G152" s="121">
        <v>0</v>
      </c>
      <c r="H152" s="121">
        <v>0</v>
      </c>
      <c r="I152" s="121">
        <v>0</v>
      </c>
      <c r="J152" s="121">
        <v>0</v>
      </c>
      <c r="K152" s="121">
        <v>0</v>
      </c>
      <c r="L152" s="121">
        <v>0</v>
      </c>
      <c r="M152" s="121">
        <v>0</v>
      </c>
      <c r="N152" s="121">
        <v>0</v>
      </c>
      <c r="O152" s="121">
        <v>0</v>
      </c>
      <c r="P152" s="121">
        <v>0</v>
      </c>
      <c r="Q152" s="121">
        <v>0</v>
      </c>
      <c r="R152" s="121">
        <v>0</v>
      </c>
      <c r="S152" s="121">
        <v>0</v>
      </c>
      <c r="T152" s="121">
        <v>0</v>
      </c>
      <c r="U152" s="121">
        <v>0</v>
      </c>
      <c r="V152" s="121">
        <v>0</v>
      </c>
      <c r="W152" s="121">
        <v>0</v>
      </c>
      <c r="X152" s="121">
        <v>0</v>
      </c>
      <c r="Y152" s="121">
        <v>0</v>
      </c>
      <c r="Z152" s="121">
        <v>0</v>
      </c>
      <c r="AA152" s="121">
        <v>0</v>
      </c>
      <c r="AB152" s="121">
        <v>0</v>
      </c>
      <c r="AC152" s="121">
        <v>0</v>
      </c>
      <c r="AD152" s="121">
        <v>0</v>
      </c>
      <c r="AE152" s="121">
        <v>0</v>
      </c>
      <c r="AF152" s="121">
        <v>0</v>
      </c>
      <c r="AG152" s="121">
        <v>0</v>
      </c>
      <c r="AH152" s="121">
        <v>0</v>
      </c>
      <c r="AI152" s="121">
        <v>0</v>
      </c>
      <c r="AJ152" s="121">
        <v>0</v>
      </c>
      <c r="AK152" s="121">
        <v>0</v>
      </c>
      <c r="AL152" s="121">
        <v>0</v>
      </c>
      <c r="AM152" s="121">
        <v>0</v>
      </c>
      <c r="AN152" s="121">
        <v>0</v>
      </c>
      <c r="AO152" s="121">
        <v>0</v>
      </c>
      <c r="AP152" s="121">
        <v>0</v>
      </c>
      <c r="AQ152" s="121">
        <v>0</v>
      </c>
      <c r="AR152" s="121">
        <v>0</v>
      </c>
      <c r="AS152" s="121">
        <v>0</v>
      </c>
      <c r="AT152" s="121">
        <v>0</v>
      </c>
      <c r="AU152" s="121">
        <v>0</v>
      </c>
      <c r="AV152" s="121">
        <v>0</v>
      </c>
      <c r="AW152" s="121">
        <v>0</v>
      </c>
      <c r="AX152" s="121">
        <v>0</v>
      </c>
      <c r="AY152" s="121">
        <v>0</v>
      </c>
    </row>
    <row r="153" spans="1:51" x14ac:dyDescent="0.2">
      <c r="A153" s="124"/>
      <c r="B153" s="141">
        <v>32</v>
      </c>
      <c r="C153" s="121">
        <v>0</v>
      </c>
      <c r="D153" s="121">
        <v>0</v>
      </c>
      <c r="E153" s="121">
        <v>0</v>
      </c>
      <c r="F153" s="121">
        <v>0</v>
      </c>
      <c r="G153" s="121">
        <v>0</v>
      </c>
      <c r="H153" s="121">
        <v>0</v>
      </c>
      <c r="I153" s="121">
        <v>0</v>
      </c>
      <c r="J153" s="121">
        <v>0</v>
      </c>
      <c r="K153" s="121">
        <v>0</v>
      </c>
      <c r="L153" s="121">
        <v>0</v>
      </c>
      <c r="M153" s="121">
        <v>0</v>
      </c>
      <c r="N153" s="121">
        <v>0</v>
      </c>
      <c r="O153" s="121">
        <v>0</v>
      </c>
      <c r="P153" s="121">
        <v>0</v>
      </c>
      <c r="Q153" s="121">
        <v>0</v>
      </c>
      <c r="R153" s="121">
        <v>0</v>
      </c>
      <c r="S153" s="121">
        <v>0</v>
      </c>
      <c r="T153" s="121">
        <v>0</v>
      </c>
      <c r="U153" s="121">
        <v>0</v>
      </c>
      <c r="V153" s="121">
        <v>0</v>
      </c>
      <c r="W153" s="121">
        <v>0</v>
      </c>
      <c r="X153" s="121">
        <v>0</v>
      </c>
      <c r="Y153" s="121">
        <v>0</v>
      </c>
      <c r="Z153" s="121">
        <v>0</v>
      </c>
      <c r="AA153" s="121">
        <v>0</v>
      </c>
      <c r="AB153" s="121">
        <v>0</v>
      </c>
      <c r="AC153" s="121">
        <v>0</v>
      </c>
      <c r="AD153" s="121">
        <v>0</v>
      </c>
      <c r="AE153" s="121">
        <v>0</v>
      </c>
      <c r="AF153" s="121">
        <v>0</v>
      </c>
      <c r="AG153" s="121">
        <v>0</v>
      </c>
      <c r="AH153" s="121">
        <v>0</v>
      </c>
      <c r="AI153" s="121">
        <v>0</v>
      </c>
      <c r="AJ153" s="121">
        <v>0</v>
      </c>
      <c r="AK153" s="121">
        <v>0</v>
      </c>
      <c r="AL153" s="121">
        <v>0</v>
      </c>
      <c r="AM153" s="121">
        <v>0</v>
      </c>
      <c r="AN153" s="121">
        <v>0</v>
      </c>
      <c r="AO153" s="121">
        <v>0</v>
      </c>
      <c r="AP153" s="121">
        <v>0</v>
      </c>
      <c r="AQ153" s="121">
        <v>0</v>
      </c>
      <c r="AR153" s="121">
        <v>0</v>
      </c>
      <c r="AS153" s="121">
        <v>0</v>
      </c>
      <c r="AT153" s="121">
        <v>0</v>
      </c>
      <c r="AU153" s="121">
        <v>0</v>
      </c>
      <c r="AV153" s="121">
        <v>0</v>
      </c>
      <c r="AW153" s="121">
        <v>0</v>
      </c>
      <c r="AX153" s="121">
        <v>0</v>
      </c>
      <c r="AY153" s="121">
        <v>0</v>
      </c>
    </row>
    <row r="154" spans="1:51" x14ac:dyDescent="0.2">
      <c r="A154" s="124"/>
      <c r="B154" s="141">
        <v>33</v>
      </c>
      <c r="C154" s="121">
        <v>0</v>
      </c>
      <c r="D154" s="121">
        <v>0</v>
      </c>
      <c r="E154" s="121">
        <v>0</v>
      </c>
      <c r="F154" s="121">
        <v>0</v>
      </c>
      <c r="G154" s="121">
        <v>0</v>
      </c>
      <c r="H154" s="121">
        <v>0</v>
      </c>
      <c r="I154" s="121">
        <v>0</v>
      </c>
      <c r="J154" s="121">
        <v>0</v>
      </c>
      <c r="K154" s="121">
        <v>0</v>
      </c>
      <c r="L154" s="121">
        <v>0</v>
      </c>
      <c r="M154" s="121">
        <v>0</v>
      </c>
      <c r="N154" s="121">
        <v>0</v>
      </c>
      <c r="O154" s="121">
        <v>0</v>
      </c>
      <c r="P154" s="121">
        <v>0</v>
      </c>
      <c r="Q154" s="121">
        <v>0</v>
      </c>
      <c r="R154" s="121">
        <v>0</v>
      </c>
      <c r="S154" s="121">
        <v>0</v>
      </c>
      <c r="T154" s="121">
        <v>0</v>
      </c>
      <c r="U154" s="121">
        <v>0</v>
      </c>
      <c r="V154" s="121">
        <v>0</v>
      </c>
      <c r="W154" s="121">
        <v>0</v>
      </c>
      <c r="X154" s="121">
        <v>0</v>
      </c>
      <c r="Y154" s="121">
        <v>0</v>
      </c>
      <c r="Z154" s="121">
        <v>0</v>
      </c>
      <c r="AA154" s="121">
        <v>0</v>
      </c>
      <c r="AB154" s="121">
        <v>0</v>
      </c>
      <c r="AC154" s="121">
        <v>0</v>
      </c>
      <c r="AD154" s="121">
        <v>0</v>
      </c>
      <c r="AE154" s="121">
        <v>0</v>
      </c>
      <c r="AF154" s="121">
        <v>0</v>
      </c>
      <c r="AG154" s="121">
        <v>0</v>
      </c>
      <c r="AH154" s="121">
        <v>0</v>
      </c>
      <c r="AI154" s="121">
        <v>0</v>
      </c>
      <c r="AJ154" s="121">
        <v>0</v>
      </c>
      <c r="AK154" s="121">
        <v>0</v>
      </c>
      <c r="AL154" s="121">
        <v>0</v>
      </c>
      <c r="AM154" s="121">
        <v>0</v>
      </c>
      <c r="AN154" s="121">
        <v>0</v>
      </c>
      <c r="AO154" s="121">
        <v>0</v>
      </c>
      <c r="AP154" s="121">
        <v>0</v>
      </c>
      <c r="AQ154" s="121">
        <v>0</v>
      </c>
      <c r="AR154" s="121">
        <v>0</v>
      </c>
      <c r="AS154" s="121">
        <v>0</v>
      </c>
      <c r="AT154" s="121">
        <v>0</v>
      </c>
      <c r="AU154" s="121">
        <v>0</v>
      </c>
      <c r="AV154" s="121">
        <v>0</v>
      </c>
      <c r="AW154" s="121">
        <v>0</v>
      </c>
      <c r="AX154" s="121">
        <v>0</v>
      </c>
      <c r="AY154" s="121">
        <v>0</v>
      </c>
    </row>
    <row r="155" spans="1:51" x14ac:dyDescent="0.2">
      <c r="A155" s="124"/>
      <c r="B155" s="141">
        <v>34</v>
      </c>
      <c r="C155" s="121">
        <v>0</v>
      </c>
      <c r="D155" s="121">
        <v>0</v>
      </c>
      <c r="E155" s="121">
        <v>0</v>
      </c>
      <c r="F155" s="121">
        <v>0</v>
      </c>
      <c r="G155" s="121">
        <v>0</v>
      </c>
      <c r="H155" s="121">
        <v>0</v>
      </c>
      <c r="I155" s="121">
        <v>0</v>
      </c>
      <c r="J155" s="121">
        <v>0</v>
      </c>
      <c r="K155" s="121">
        <v>0</v>
      </c>
      <c r="L155" s="121">
        <v>0</v>
      </c>
      <c r="M155" s="121">
        <v>0</v>
      </c>
      <c r="N155" s="121">
        <v>0</v>
      </c>
      <c r="O155" s="121">
        <v>0</v>
      </c>
      <c r="P155" s="121">
        <v>0</v>
      </c>
      <c r="Q155" s="121">
        <v>0</v>
      </c>
      <c r="R155" s="121">
        <v>0</v>
      </c>
      <c r="S155" s="121">
        <v>0</v>
      </c>
      <c r="T155" s="121">
        <v>0</v>
      </c>
      <c r="U155" s="121">
        <v>0</v>
      </c>
      <c r="V155" s="121">
        <v>0</v>
      </c>
      <c r="W155" s="121">
        <v>0</v>
      </c>
      <c r="X155" s="121">
        <v>0</v>
      </c>
      <c r="Y155" s="121">
        <v>0</v>
      </c>
      <c r="Z155" s="121">
        <v>0</v>
      </c>
      <c r="AA155" s="121">
        <v>0</v>
      </c>
      <c r="AB155" s="121">
        <v>0</v>
      </c>
      <c r="AC155" s="121">
        <v>0</v>
      </c>
      <c r="AD155" s="121">
        <v>0</v>
      </c>
      <c r="AE155" s="121">
        <v>0</v>
      </c>
      <c r="AF155" s="121">
        <v>0</v>
      </c>
      <c r="AG155" s="121">
        <v>0</v>
      </c>
      <c r="AH155" s="121">
        <v>0</v>
      </c>
      <c r="AI155" s="121">
        <v>0</v>
      </c>
      <c r="AJ155" s="121">
        <v>0</v>
      </c>
      <c r="AK155" s="121">
        <v>0</v>
      </c>
      <c r="AL155" s="121">
        <v>0</v>
      </c>
      <c r="AM155" s="121">
        <v>0</v>
      </c>
      <c r="AN155" s="121">
        <v>0</v>
      </c>
      <c r="AO155" s="121">
        <v>0</v>
      </c>
      <c r="AP155" s="121">
        <v>0</v>
      </c>
      <c r="AQ155" s="121">
        <v>0</v>
      </c>
      <c r="AR155" s="121">
        <v>0</v>
      </c>
      <c r="AS155" s="121">
        <v>0</v>
      </c>
      <c r="AT155" s="121">
        <v>0</v>
      </c>
      <c r="AU155" s="121">
        <v>0</v>
      </c>
      <c r="AV155" s="121">
        <v>0</v>
      </c>
      <c r="AW155" s="121">
        <v>0</v>
      </c>
      <c r="AX155" s="121">
        <v>0</v>
      </c>
      <c r="AY155" s="121">
        <v>0</v>
      </c>
    </row>
    <row r="156" spans="1:51" x14ac:dyDescent="0.2">
      <c r="A156" s="124"/>
      <c r="B156" s="141">
        <v>35</v>
      </c>
      <c r="C156" s="121">
        <v>0</v>
      </c>
      <c r="D156" s="121">
        <v>0</v>
      </c>
      <c r="E156" s="121">
        <v>0</v>
      </c>
      <c r="F156" s="121">
        <v>0</v>
      </c>
      <c r="G156" s="121">
        <v>0</v>
      </c>
      <c r="H156" s="121">
        <v>0</v>
      </c>
      <c r="I156" s="121">
        <v>0</v>
      </c>
      <c r="J156" s="121">
        <v>0</v>
      </c>
      <c r="K156" s="121">
        <v>0</v>
      </c>
      <c r="L156" s="121">
        <v>0</v>
      </c>
      <c r="M156" s="121">
        <v>0</v>
      </c>
      <c r="N156" s="121">
        <v>0</v>
      </c>
      <c r="O156" s="121">
        <v>0</v>
      </c>
      <c r="P156" s="121">
        <v>0</v>
      </c>
      <c r="Q156" s="121">
        <v>0</v>
      </c>
      <c r="R156" s="121">
        <v>0</v>
      </c>
      <c r="S156" s="121">
        <v>0</v>
      </c>
      <c r="T156" s="121">
        <v>0</v>
      </c>
      <c r="U156" s="121">
        <v>0</v>
      </c>
      <c r="V156" s="121">
        <v>0</v>
      </c>
      <c r="W156" s="121">
        <v>0</v>
      </c>
      <c r="X156" s="121">
        <v>0</v>
      </c>
      <c r="Y156" s="121">
        <v>0</v>
      </c>
      <c r="Z156" s="121">
        <v>0</v>
      </c>
      <c r="AA156" s="121">
        <v>0</v>
      </c>
      <c r="AB156" s="121">
        <v>0</v>
      </c>
      <c r="AC156" s="121">
        <v>0</v>
      </c>
      <c r="AD156" s="121">
        <v>0</v>
      </c>
      <c r="AE156" s="121">
        <v>0</v>
      </c>
      <c r="AF156" s="121">
        <v>0</v>
      </c>
      <c r="AG156" s="121">
        <v>0</v>
      </c>
      <c r="AH156" s="121">
        <v>0</v>
      </c>
      <c r="AI156" s="121">
        <v>0</v>
      </c>
      <c r="AJ156" s="121">
        <v>0</v>
      </c>
      <c r="AK156" s="121">
        <v>0</v>
      </c>
      <c r="AL156" s="121">
        <v>0</v>
      </c>
      <c r="AM156" s="121">
        <v>0</v>
      </c>
      <c r="AN156" s="121">
        <v>0</v>
      </c>
      <c r="AO156" s="121">
        <v>0</v>
      </c>
      <c r="AP156" s="121">
        <v>0</v>
      </c>
      <c r="AQ156" s="121">
        <v>0</v>
      </c>
      <c r="AR156" s="121">
        <v>0</v>
      </c>
      <c r="AS156" s="121">
        <v>0</v>
      </c>
      <c r="AT156" s="121">
        <v>0</v>
      </c>
      <c r="AU156" s="121">
        <v>0</v>
      </c>
      <c r="AV156" s="121">
        <v>0</v>
      </c>
      <c r="AW156" s="121">
        <v>0</v>
      </c>
      <c r="AX156" s="121">
        <v>0</v>
      </c>
      <c r="AY156" s="121">
        <v>0</v>
      </c>
    </row>
    <row r="157" spans="1:51" x14ac:dyDescent="0.2">
      <c r="A157" s="124"/>
      <c r="B157" s="141">
        <v>36</v>
      </c>
      <c r="C157" s="121">
        <v>0</v>
      </c>
      <c r="D157" s="121">
        <v>0</v>
      </c>
      <c r="E157" s="121">
        <v>0</v>
      </c>
      <c r="F157" s="121">
        <v>0</v>
      </c>
      <c r="G157" s="121">
        <v>0</v>
      </c>
      <c r="H157" s="121">
        <v>0</v>
      </c>
      <c r="I157" s="121">
        <v>0</v>
      </c>
      <c r="J157" s="121">
        <v>0</v>
      </c>
      <c r="K157" s="121">
        <v>0</v>
      </c>
      <c r="L157" s="121">
        <v>0</v>
      </c>
      <c r="M157" s="121">
        <v>0</v>
      </c>
      <c r="N157" s="121">
        <v>0</v>
      </c>
      <c r="O157" s="121">
        <v>0</v>
      </c>
      <c r="P157" s="121">
        <v>0</v>
      </c>
      <c r="Q157" s="121">
        <v>0</v>
      </c>
      <c r="R157" s="121">
        <v>0</v>
      </c>
      <c r="S157" s="121">
        <v>0</v>
      </c>
      <c r="T157" s="121">
        <v>0</v>
      </c>
      <c r="U157" s="121">
        <v>0</v>
      </c>
      <c r="V157" s="121">
        <v>0</v>
      </c>
      <c r="W157" s="121">
        <v>0</v>
      </c>
      <c r="X157" s="121">
        <v>0</v>
      </c>
      <c r="Y157" s="121">
        <v>0</v>
      </c>
      <c r="Z157" s="121">
        <v>0</v>
      </c>
      <c r="AA157" s="121">
        <v>0</v>
      </c>
      <c r="AB157" s="121">
        <v>0</v>
      </c>
      <c r="AC157" s="121">
        <v>0</v>
      </c>
      <c r="AD157" s="121">
        <v>0</v>
      </c>
      <c r="AE157" s="121">
        <v>0</v>
      </c>
      <c r="AF157" s="121">
        <v>0</v>
      </c>
      <c r="AG157" s="121">
        <v>0</v>
      </c>
      <c r="AH157" s="121">
        <v>0</v>
      </c>
      <c r="AI157" s="121">
        <v>0</v>
      </c>
      <c r="AJ157" s="121">
        <v>0</v>
      </c>
      <c r="AK157" s="121">
        <v>0</v>
      </c>
      <c r="AL157" s="121">
        <v>0</v>
      </c>
      <c r="AM157" s="121">
        <v>0</v>
      </c>
      <c r="AN157" s="121">
        <v>0</v>
      </c>
      <c r="AO157" s="121">
        <v>0</v>
      </c>
      <c r="AP157" s="121">
        <v>0</v>
      </c>
      <c r="AQ157" s="121">
        <v>0</v>
      </c>
      <c r="AR157" s="121">
        <v>0</v>
      </c>
      <c r="AS157" s="121">
        <v>0</v>
      </c>
      <c r="AT157" s="121">
        <v>0</v>
      </c>
      <c r="AU157" s="121">
        <v>0</v>
      </c>
      <c r="AV157" s="121">
        <v>0</v>
      </c>
      <c r="AW157" s="121">
        <v>0</v>
      </c>
      <c r="AX157" s="121">
        <v>0</v>
      </c>
      <c r="AY157" s="121">
        <v>0</v>
      </c>
    </row>
    <row r="158" spans="1:51" x14ac:dyDescent="0.2">
      <c r="A158" s="124"/>
      <c r="B158" s="144">
        <v>37</v>
      </c>
      <c r="C158" s="121">
        <v>0</v>
      </c>
      <c r="D158" s="121">
        <v>0</v>
      </c>
      <c r="E158" s="121">
        <v>0</v>
      </c>
      <c r="F158" s="121">
        <v>0</v>
      </c>
      <c r="G158" s="121">
        <v>0</v>
      </c>
      <c r="H158" s="121">
        <v>0</v>
      </c>
      <c r="I158" s="121">
        <v>0</v>
      </c>
      <c r="J158" s="121">
        <v>0</v>
      </c>
      <c r="K158" s="121">
        <v>0</v>
      </c>
      <c r="L158" s="121">
        <v>0</v>
      </c>
      <c r="M158" s="121">
        <v>0</v>
      </c>
      <c r="N158" s="121">
        <v>0</v>
      </c>
      <c r="O158" s="121">
        <v>0</v>
      </c>
      <c r="P158" s="121">
        <v>0</v>
      </c>
      <c r="Q158" s="121">
        <v>0</v>
      </c>
      <c r="R158" s="121">
        <v>0</v>
      </c>
      <c r="S158" s="121">
        <v>0</v>
      </c>
      <c r="T158" s="121">
        <v>0</v>
      </c>
      <c r="U158" s="121">
        <v>0</v>
      </c>
      <c r="V158" s="121">
        <v>0</v>
      </c>
      <c r="W158" s="121">
        <v>0</v>
      </c>
      <c r="X158" s="121">
        <v>0</v>
      </c>
      <c r="Y158" s="121">
        <v>0</v>
      </c>
      <c r="Z158" s="121">
        <v>0</v>
      </c>
      <c r="AA158" s="121">
        <v>0</v>
      </c>
      <c r="AB158" s="121">
        <v>0</v>
      </c>
      <c r="AC158" s="121">
        <v>0</v>
      </c>
      <c r="AD158" s="121">
        <v>0</v>
      </c>
      <c r="AE158" s="121">
        <v>0</v>
      </c>
      <c r="AF158" s="121">
        <v>0</v>
      </c>
      <c r="AG158" s="121">
        <v>0</v>
      </c>
      <c r="AH158" s="121">
        <v>0</v>
      </c>
      <c r="AI158" s="121">
        <v>0</v>
      </c>
      <c r="AJ158" s="121">
        <v>0</v>
      </c>
      <c r="AK158" s="121">
        <v>0</v>
      </c>
      <c r="AL158" s="121">
        <v>0</v>
      </c>
      <c r="AM158" s="121">
        <v>0</v>
      </c>
      <c r="AN158" s="121">
        <v>0</v>
      </c>
      <c r="AO158" s="121">
        <v>0</v>
      </c>
      <c r="AP158" s="121">
        <v>0</v>
      </c>
      <c r="AQ158" s="121">
        <v>0</v>
      </c>
      <c r="AR158" s="121">
        <v>0</v>
      </c>
      <c r="AS158" s="121">
        <v>0</v>
      </c>
      <c r="AT158" s="121">
        <v>0</v>
      </c>
      <c r="AU158" s="121">
        <v>0</v>
      </c>
      <c r="AV158" s="121">
        <v>0</v>
      </c>
      <c r="AW158" s="121">
        <v>0</v>
      </c>
      <c r="AX158" s="121">
        <v>0</v>
      </c>
      <c r="AY158" s="121">
        <v>0</v>
      </c>
    </row>
    <row r="159" spans="1:51" x14ac:dyDescent="0.2">
      <c r="A159" s="124"/>
      <c r="B159" s="144">
        <v>38</v>
      </c>
      <c r="C159" s="121">
        <v>0</v>
      </c>
      <c r="D159" s="121">
        <v>0</v>
      </c>
      <c r="E159" s="121">
        <v>0</v>
      </c>
      <c r="F159" s="121">
        <v>0</v>
      </c>
      <c r="G159" s="121">
        <v>0</v>
      </c>
      <c r="H159" s="121">
        <v>0</v>
      </c>
      <c r="I159" s="121">
        <v>0</v>
      </c>
      <c r="J159" s="121">
        <v>0</v>
      </c>
      <c r="K159" s="121">
        <v>0</v>
      </c>
      <c r="L159" s="121">
        <v>0</v>
      </c>
      <c r="M159" s="121">
        <v>0</v>
      </c>
      <c r="N159" s="121">
        <v>0</v>
      </c>
      <c r="O159" s="121">
        <v>0</v>
      </c>
      <c r="P159" s="121">
        <v>0</v>
      </c>
      <c r="Q159" s="121">
        <v>0</v>
      </c>
      <c r="R159" s="121">
        <v>0</v>
      </c>
      <c r="S159" s="121">
        <v>0</v>
      </c>
      <c r="T159" s="121">
        <v>0</v>
      </c>
      <c r="U159" s="121">
        <v>0</v>
      </c>
      <c r="V159" s="121">
        <v>0</v>
      </c>
      <c r="W159" s="121">
        <v>0</v>
      </c>
      <c r="X159" s="121">
        <v>0</v>
      </c>
      <c r="Y159" s="121">
        <v>0</v>
      </c>
      <c r="Z159" s="121">
        <v>0</v>
      </c>
      <c r="AA159" s="121">
        <v>0</v>
      </c>
      <c r="AB159" s="121">
        <v>0</v>
      </c>
      <c r="AC159" s="121">
        <v>0</v>
      </c>
      <c r="AD159" s="121">
        <v>0</v>
      </c>
      <c r="AE159" s="121">
        <v>0</v>
      </c>
      <c r="AF159" s="121">
        <v>0</v>
      </c>
      <c r="AG159" s="121">
        <v>0</v>
      </c>
      <c r="AH159" s="121">
        <v>0</v>
      </c>
      <c r="AI159" s="121">
        <v>0</v>
      </c>
      <c r="AJ159" s="121">
        <v>0</v>
      </c>
      <c r="AK159" s="121">
        <v>0</v>
      </c>
      <c r="AL159" s="121">
        <v>0</v>
      </c>
      <c r="AM159" s="121">
        <v>0</v>
      </c>
      <c r="AN159" s="121">
        <v>0</v>
      </c>
      <c r="AO159" s="121">
        <v>0</v>
      </c>
      <c r="AP159" s="121">
        <v>0</v>
      </c>
      <c r="AQ159" s="121">
        <v>0</v>
      </c>
      <c r="AR159" s="121">
        <v>0</v>
      </c>
      <c r="AS159" s="121">
        <v>0</v>
      </c>
      <c r="AT159" s="121">
        <v>0</v>
      </c>
      <c r="AU159" s="121">
        <v>0</v>
      </c>
      <c r="AV159" s="121">
        <v>0</v>
      </c>
      <c r="AW159" s="121">
        <v>0</v>
      </c>
      <c r="AX159" s="121">
        <v>0</v>
      </c>
      <c r="AY159" s="121">
        <v>0</v>
      </c>
    </row>
    <row r="160" spans="1:51" x14ac:dyDescent="0.2">
      <c r="A160" s="124"/>
      <c r="B160" s="144">
        <v>39</v>
      </c>
      <c r="C160" s="121">
        <v>0</v>
      </c>
      <c r="D160" s="121">
        <v>0</v>
      </c>
      <c r="E160" s="121">
        <v>0</v>
      </c>
      <c r="F160" s="121">
        <v>0</v>
      </c>
      <c r="G160" s="121">
        <v>0</v>
      </c>
      <c r="H160" s="121">
        <v>0</v>
      </c>
      <c r="I160" s="121">
        <v>0</v>
      </c>
      <c r="J160" s="121">
        <v>0</v>
      </c>
      <c r="K160" s="121">
        <v>0</v>
      </c>
      <c r="L160" s="121">
        <v>0</v>
      </c>
      <c r="M160" s="121">
        <v>0</v>
      </c>
      <c r="N160" s="121">
        <v>0</v>
      </c>
      <c r="O160" s="121">
        <v>0</v>
      </c>
      <c r="P160" s="121">
        <v>0</v>
      </c>
      <c r="Q160" s="121">
        <v>0</v>
      </c>
      <c r="R160" s="121">
        <v>0</v>
      </c>
      <c r="S160" s="121">
        <v>0</v>
      </c>
      <c r="T160" s="121">
        <v>0</v>
      </c>
      <c r="U160" s="121">
        <v>0</v>
      </c>
      <c r="V160" s="121">
        <v>0</v>
      </c>
      <c r="W160" s="121">
        <v>0</v>
      </c>
      <c r="X160" s="121">
        <v>0</v>
      </c>
      <c r="Y160" s="121">
        <v>0</v>
      </c>
      <c r="Z160" s="121">
        <v>0</v>
      </c>
      <c r="AA160" s="121">
        <v>0</v>
      </c>
      <c r="AB160" s="121">
        <v>0</v>
      </c>
      <c r="AC160" s="121">
        <v>0</v>
      </c>
      <c r="AD160" s="121">
        <v>0</v>
      </c>
      <c r="AE160" s="121">
        <v>0</v>
      </c>
      <c r="AF160" s="121">
        <v>0</v>
      </c>
      <c r="AG160" s="121">
        <v>0</v>
      </c>
      <c r="AH160" s="121">
        <v>0</v>
      </c>
      <c r="AI160" s="121">
        <v>0</v>
      </c>
      <c r="AJ160" s="121">
        <v>0</v>
      </c>
      <c r="AK160" s="121">
        <v>0</v>
      </c>
      <c r="AL160" s="121">
        <v>0</v>
      </c>
      <c r="AM160" s="121">
        <v>0</v>
      </c>
      <c r="AN160" s="121">
        <v>0</v>
      </c>
      <c r="AO160" s="121">
        <v>0</v>
      </c>
      <c r="AP160" s="121">
        <v>0</v>
      </c>
      <c r="AQ160" s="121">
        <v>0</v>
      </c>
      <c r="AR160" s="121">
        <v>0</v>
      </c>
      <c r="AS160" s="121">
        <v>0</v>
      </c>
      <c r="AT160" s="121">
        <v>0</v>
      </c>
      <c r="AU160" s="121">
        <v>0</v>
      </c>
      <c r="AV160" s="121">
        <v>0</v>
      </c>
      <c r="AW160" s="121">
        <v>0</v>
      </c>
      <c r="AX160" s="121">
        <v>0</v>
      </c>
      <c r="AY160" s="121">
        <v>0</v>
      </c>
    </row>
    <row r="161" spans="1:52" x14ac:dyDescent="0.2">
      <c r="A161" s="124"/>
      <c r="B161" s="144">
        <v>40</v>
      </c>
      <c r="C161" s="121">
        <v>0</v>
      </c>
      <c r="D161" s="121">
        <v>0</v>
      </c>
      <c r="E161" s="121">
        <v>0</v>
      </c>
      <c r="F161" s="121">
        <v>0</v>
      </c>
      <c r="G161" s="121">
        <v>0</v>
      </c>
      <c r="H161" s="121">
        <v>0</v>
      </c>
      <c r="I161" s="121">
        <v>0</v>
      </c>
      <c r="J161" s="121">
        <v>0</v>
      </c>
      <c r="K161" s="121">
        <v>0</v>
      </c>
      <c r="L161" s="121">
        <v>0</v>
      </c>
      <c r="M161" s="121">
        <v>0</v>
      </c>
      <c r="N161" s="121">
        <v>0</v>
      </c>
      <c r="O161" s="121">
        <v>0</v>
      </c>
      <c r="P161" s="121">
        <v>0</v>
      </c>
      <c r="Q161" s="121">
        <v>0</v>
      </c>
      <c r="R161" s="121">
        <v>0</v>
      </c>
      <c r="S161" s="121">
        <v>0</v>
      </c>
      <c r="T161" s="121">
        <v>0</v>
      </c>
      <c r="U161" s="121">
        <v>0</v>
      </c>
      <c r="V161" s="121">
        <v>0</v>
      </c>
      <c r="W161" s="121">
        <v>0</v>
      </c>
      <c r="X161" s="121">
        <v>0</v>
      </c>
      <c r="Y161" s="121">
        <v>0</v>
      </c>
      <c r="Z161" s="121">
        <v>0</v>
      </c>
      <c r="AA161" s="121">
        <v>0</v>
      </c>
      <c r="AB161" s="121">
        <v>0</v>
      </c>
      <c r="AC161" s="121">
        <v>0</v>
      </c>
      <c r="AD161" s="121">
        <v>0</v>
      </c>
      <c r="AE161" s="121">
        <v>0</v>
      </c>
      <c r="AF161" s="121">
        <v>0</v>
      </c>
      <c r="AG161" s="121">
        <v>0</v>
      </c>
      <c r="AH161" s="121">
        <v>0</v>
      </c>
      <c r="AI161" s="121">
        <v>0</v>
      </c>
      <c r="AJ161" s="121">
        <v>0</v>
      </c>
      <c r="AK161" s="121">
        <v>0</v>
      </c>
      <c r="AL161" s="121">
        <v>0</v>
      </c>
      <c r="AM161" s="121">
        <v>0</v>
      </c>
      <c r="AN161" s="121">
        <v>0</v>
      </c>
      <c r="AO161" s="121">
        <v>0</v>
      </c>
      <c r="AP161" s="121">
        <v>0</v>
      </c>
      <c r="AQ161" s="121">
        <v>0</v>
      </c>
      <c r="AR161" s="121">
        <v>0</v>
      </c>
      <c r="AS161" s="121">
        <v>0</v>
      </c>
      <c r="AT161" s="121">
        <v>0</v>
      </c>
      <c r="AU161" s="121">
        <v>0</v>
      </c>
      <c r="AV161" s="121">
        <v>0</v>
      </c>
      <c r="AW161" s="121">
        <v>0</v>
      </c>
      <c r="AX161" s="121">
        <v>0</v>
      </c>
      <c r="AY161" s="121">
        <v>0</v>
      </c>
    </row>
    <row r="162" spans="1:52" x14ac:dyDescent="0.2">
      <c r="A162" s="124"/>
      <c r="B162" s="144">
        <v>41</v>
      </c>
      <c r="C162" s="121">
        <v>0</v>
      </c>
      <c r="D162" s="121">
        <v>0</v>
      </c>
      <c r="E162" s="121">
        <v>0</v>
      </c>
      <c r="F162" s="121">
        <v>0</v>
      </c>
      <c r="G162" s="121">
        <v>0</v>
      </c>
      <c r="H162" s="121">
        <v>0</v>
      </c>
      <c r="I162" s="121">
        <v>0</v>
      </c>
      <c r="J162" s="121">
        <v>0</v>
      </c>
      <c r="K162" s="121">
        <v>0</v>
      </c>
      <c r="L162" s="121">
        <v>0</v>
      </c>
      <c r="M162" s="121">
        <v>0</v>
      </c>
      <c r="N162" s="121">
        <v>0</v>
      </c>
      <c r="O162" s="121">
        <v>0</v>
      </c>
      <c r="P162" s="121">
        <v>0</v>
      </c>
      <c r="Q162" s="121">
        <v>0</v>
      </c>
      <c r="R162" s="121">
        <v>0</v>
      </c>
      <c r="S162" s="121">
        <v>0</v>
      </c>
      <c r="T162" s="121">
        <v>0</v>
      </c>
      <c r="U162" s="121">
        <v>0</v>
      </c>
      <c r="V162" s="121">
        <v>0</v>
      </c>
      <c r="W162" s="121">
        <v>0</v>
      </c>
      <c r="X162" s="121">
        <v>0</v>
      </c>
      <c r="Y162" s="121">
        <v>0</v>
      </c>
      <c r="Z162" s="121">
        <v>0</v>
      </c>
      <c r="AA162" s="121">
        <v>0</v>
      </c>
      <c r="AB162" s="121">
        <v>0</v>
      </c>
      <c r="AC162" s="121">
        <v>0</v>
      </c>
      <c r="AD162" s="121">
        <v>0</v>
      </c>
      <c r="AE162" s="121">
        <v>0</v>
      </c>
      <c r="AF162" s="121">
        <v>0</v>
      </c>
      <c r="AG162" s="121">
        <v>0</v>
      </c>
      <c r="AH162" s="121">
        <v>0</v>
      </c>
      <c r="AI162" s="121">
        <v>0</v>
      </c>
      <c r="AJ162" s="121">
        <v>0</v>
      </c>
      <c r="AK162" s="121">
        <v>0</v>
      </c>
      <c r="AL162" s="121">
        <v>0</v>
      </c>
      <c r="AM162" s="121">
        <v>0</v>
      </c>
      <c r="AN162" s="121">
        <v>0</v>
      </c>
      <c r="AO162" s="121">
        <v>0</v>
      </c>
      <c r="AP162" s="121">
        <v>0</v>
      </c>
      <c r="AQ162" s="121">
        <v>0</v>
      </c>
      <c r="AR162" s="121">
        <v>0</v>
      </c>
      <c r="AS162" s="121">
        <v>0</v>
      </c>
      <c r="AT162" s="121">
        <v>0</v>
      </c>
      <c r="AU162" s="121">
        <v>0</v>
      </c>
      <c r="AV162" s="121">
        <v>0</v>
      </c>
      <c r="AW162" s="121">
        <v>0</v>
      </c>
      <c r="AX162" s="121">
        <v>0</v>
      </c>
      <c r="AY162" s="121">
        <v>0</v>
      </c>
    </row>
    <row r="163" spans="1:52" x14ac:dyDescent="0.2">
      <c r="A163" s="124"/>
      <c r="B163" s="144">
        <v>42</v>
      </c>
      <c r="C163" s="121">
        <v>0</v>
      </c>
      <c r="D163" s="121">
        <v>0</v>
      </c>
      <c r="E163" s="121">
        <v>0</v>
      </c>
      <c r="F163" s="121">
        <v>0</v>
      </c>
      <c r="G163" s="121">
        <v>0</v>
      </c>
      <c r="H163" s="121">
        <v>0</v>
      </c>
      <c r="I163" s="121">
        <v>0</v>
      </c>
      <c r="J163" s="121">
        <v>0</v>
      </c>
      <c r="K163" s="121">
        <v>0</v>
      </c>
      <c r="L163" s="121">
        <v>0</v>
      </c>
      <c r="M163" s="121">
        <v>0</v>
      </c>
      <c r="N163" s="121">
        <v>0</v>
      </c>
      <c r="O163" s="121">
        <v>0</v>
      </c>
      <c r="P163" s="121">
        <v>0</v>
      </c>
      <c r="Q163" s="121">
        <v>0</v>
      </c>
      <c r="R163" s="121">
        <v>0</v>
      </c>
      <c r="S163" s="121">
        <v>0</v>
      </c>
      <c r="T163" s="121">
        <v>0</v>
      </c>
      <c r="U163" s="121">
        <v>0</v>
      </c>
      <c r="V163" s="121">
        <v>0</v>
      </c>
      <c r="W163" s="121">
        <v>0</v>
      </c>
      <c r="X163" s="121">
        <v>0</v>
      </c>
      <c r="Y163" s="121">
        <v>0</v>
      </c>
      <c r="Z163" s="121">
        <v>0</v>
      </c>
      <c r="AA163" s="121">
        <v>0</v>
      </c>
      <c r="AB163" s="121">
        <v>0</v>
      </c>
      <c r="AC163" s="121">
        <v>0</v>
      </c>
      <c r="AD163" s="121">
        <v>0</v>
      </c>
      <c r="AE163" s="121">
        <v>0</v>
      </c>
      <c r="AF163" s="121">
        <v>0</v>
      </c>
      <c r="AG163" s="121">
        <v>0</v>
      </c>
      <c r="AH163" s="121">
        <v>0</v>
      </c>
      <c r="AI163" s="121">
        <v>0</v>
      </c>
      <c r="AJ163" s="121">
        <v>0</v>
      </c>
      <c r="AK163" s="121">
        <v>0</v>
      </c>
      <c r="AL163" s="121">
        <v>0</v>
      </c>
      <c r="AM163" s="121">
        <v>0</v>
      </c>
      <c r="AN163" s="121">
        <v>0</v>
      </c>
      <c r="AO163" s="121">
        <v>0</v>
      </c>
      <c r="AP163" s="121">
        <v>0</v>
      </c>
      <c r="AQ163" s="121">
        <v>0</v>
      </c>
      <c r="AR163" s="121">
        <v>0</v>
      </c>
      <c r="AS163" s="121">
        <v>0</v>
      </c>
      <c r="AT163" s="121">
        <v>0</v>
      </c>
      <c r="AU163" s="121">
        <v>0</v>
      </c>
      <c r="AV163" s="121">
        <v>0</v>
      </c>
      <c r="AW163" s="121">
        <v>0</v>
      </c>
      <c r="AX163" s="121">
        <v>0</v>
      </c>
      <c r="AY163" s="121">
        <v>0</v>
      </c>
    </row>
    <row r="164" spans="1:52" x14ac:dyDescent="0.2">
      <c r="A164" s="124"/>
      <c r="B164" s="144">
        <v>43</v>
      </c>
      <c r="C164" s="121">
        <v>0</v>
      </c>
      <c r="D164" s="121">
        <v>0</v>
      </c>
      <c r="E164" s="121">
        <v>0</v>
      </c>
      <c r="F164" s="121">
        <v>0</v>
      </c>
      <c r="G164" s="121">
        <v>0</v>
      </c>
      <c r="H164" s="121">
        <v>0</v>
      </c>
      <c r="I164" s="121">
        <v>0</v>
      </c>
      <c r="J164" s="121">
        <v>0</v>
      </c>
      <c r="K164" s="121">
        <v>0</v>
      </c>
      <c r="L164" s="121">
        <v>0</v>
      </c>
      <c r="M164" s="121">
        <v>0</v>
      </c>
      <c r="N164" s="121">
        <v>0</v>
      </c>
      <c r="O164" s="121">
        <v>0</v>
      </c>
      <c r="P164" s="121">
        <v>0</v>
      </c>
      <c r="Q164" s="121">
        <v>0</v>
      </c>
      <c r="R164" s="121">
        <v>0</v>
      </c>
      <c r="S164" s="121">
        <v>0</v>
      </c>
      <c r="T164" s="121">
        <v>0</v>
      </c>
      <c r="U164" s="121">
        <v>0</v>
      </c>
      <c r="V164" s="121">
        <v>0</v>
      </c>
      <c r="W164" s="121">
        <v>0</v>
      </c>
      <c r="X164" s="121">
        <v>0</v>
      </c>
      <c r="Y164" s="121">
        <v>0</v>
      </c>
      <c r="Z164" s="121">
        <v>0</v>
      </c>
      <c r="AA164" s="121">
        <v>0</v>
      </c>
      <c r="AB164" s="121">
        <v>0</v>
      </c>
      <c r="AC164" s="121">
        <v>0</v>
      </c>
      <c r="AD164" s="121">
        <v>0</v>
      </c>
      <c r="AE164" s="121">
        <v>0</v>
      </c>
      <c r="AF164" s="121">
        <v>0</v>
      </c>
      <c r="AG164" s="121">
        <v>0</v>
      </c>
      <c r="AH164" s="121">
        <v>0</v>
      </c>
      <c r="AI164" s="121">
        <v>0</v>
      </c>
      <c r="AJ164" s="121">
        <v>0</v>
      </c>
      <c r="AK164" s="121">
        <v>0</v>
      </c>
      <c r="AL164" s="121">
        <v>0</v>
      </c>
      <c r="AM164" s="121">
        <v>0</v>
      </c>
      <c r="AN164" s="121">
        <v>0</v>
      </c>
      <c r="AO164" s="121">
        <v>0</v>
      </c>
      <c r="AP164" s="121">
        <v>0</v>
      </c>
      <c r="AQ164" s="121">
        <v>0</v>
      </c>
      <c r="AR164" s="121">
        <v>0</v>
      </c>
      <c r="AS164" s="121">
        <v>0</v>
      </c>
      <c r="AT164" s="121">
        <v>0</v>
      </c>
      <c r="AU164" s="121">
        <v>0</v>
      </c>
      <c r="AV164" s="121">
        <v>0</v>
      </c>
      <c r="AW164" s="121">
        <v>0</v>
      </c>
      <c r="AX164" s="121">
        <v>0</v>
      </c>
      <c r="AY164" s="121">
        <v>0</v>
      </c>
    </row>
    <row r="165" spans="1:52" x14ac:dyDescent="0.2">
      <c r="A165" s="124"/>
      <c r="B165" s="144">
        <v>44</v>
      </c>
      <c r="C165" s="121">
        <v>0</v>
      </c>
      <c r="D165" s="121">
        <v>0</v>
      </c>
      <c r="E165" s="121">
        <v>0</v>
      </c>
      <c r="F165" s="121">
        <v>0</v>
      </c>
      <c r="G165" s="121">
        <v>0</v>
      </c>
      <c r="H165" s="121">
        <v>0</v>
      </c>
      <c r="I165" s="121">
        <v>0</v>
      </c>
      <c r="J165" s="121">
        <v>0</v>
      </c>
      <c r="K165" s="121">
        <v>0</v>
      </c>
      <c r="L165" s="121">
        <v>0</v>
      </c>
      <c r="M165" s="121">
        <v>0</v>
      </c>
      <c r="N165" s="121">
        <v>0</v>
      </c>
      <c r="O165" s="121">
        <v>0</v>
      </c>
      <c r="P165" s="121">
        <v>0</v>
      </c>
      <c r="Q165" s="121">
        <v>0</v>
      </c>
      <c r="R165" s="121">
        <v>0</v>
      </c>
      <c r="S165" s="121">
        <v>0</v>
      </c>
      <c r="T165" s="121">
        <v>0</v>
      </c>
      <c r="U165" s="121">
        <v>0</v>
      </c>
      <c r="V165" s="121">
        <v>0</v>
      </c>
      <c r="W165" s="121">
        <v>0</v>
      </c>
      <c r="X165" s="121">
        <v>0</v>
      </c>
      <c r="Y165" s="121">
        <v>0</v>
      </c>
      <c r="Z165" s="121">
        <v>0</v>
      </c>
      <c r="AA165" s="121">
        <v>0</v>
      </c>
      <c r="AB165" s="121">
        <v>0</v>
      </c>
      <c r="AC165" s="121">
        <v>0</v>
      </c>
      <c r="AD165" s="121">
        <v>0</v>
      </c>
      <c r="AE165" s="121">
        <v>0</v>
      </c>
      <c r="AF165" s="121">
        <v>0</v>
      </c>
      <c r="AG165" s="121">
        <v>0</v>
      </c>
      <c r="AH165" s="121">
        <v>0</v>
      </c>
      <c r="AI165" s="121">
        <v>0</v>
      </c>
      <c r="AJ165" s="121">
        <v>0</v>
      </c>
      <c r="AK165" s="121">
        <v>0</v>
      </c>
      <c r="AL165" s="121">
        <v>0</v>
      </c>
      <c r="AM165" s="121">
        <v>0</v>
      </c>
      <c r="AN165" s="121">
        <v>0</v>
      </c>
      <c r="AO165" s="121">
        <v>0</v>
      </c>
      <c r="AP165" s="121">
        <v>0</v>
      </c>
      <c r="AQ165" s="121">
        <v>0</v>
      </c>
      <c r="AR165" s="121">
        <v>0</v>
      </c>
      <c r="AS165" s="121">
        <v>0</v>
      </c>
      <c r="AT165" s="121">
        <v>0</v>
      </c>
      <c r="AU165" s="121">
        <v>0</v>
      </c>
      <c r="AV165" s="121">
        <v>0</v>
      </c>
      <c r="AW165" s="121">
        <v>0</v>
      </c>
      <c r="AX165" s="121">
        <v>0</v>
      </c>
      <c r="AY165" s="121">
        <v>0</v>
      </c>
    </row>
    <row r="166" spans="1:52" x14ac:dyDescent="0.2">
      <c r="A166" s="124"/>
      <c r="B166" s="144">
        <v>45</v>
      </c>
      <c r="C166" s="121">
        <v>0</v>
      </c>
      <c r="D166" s="121">
        <v>0</v>
      </c>
      <c r="E166" s="121">
        <v>0</v>
      </c>
      <c r="F166" s="121">
        <v>0</v>
      </c>
      <c r="G166" s="121">
        <v>0</v>
      </c>
      <c r="H166" s="121">
        <v>0</v>
      </c>
      <c r="I166" s="121">
        <v>0</v>
      </c>
      <c r="J166" s="121">
        <v>0</v>
      </c>
      <c r="K166" s="121">
        <v>0</v>
      </c>
      <c r="L166" s="121">
        <v>0</v>
      </c>
      <c r="M166" s="121">
        <v>0</v>
      </c>
      <c r="N166" s="121">
        <v>0</v>
      </c>
      <c r="O166" s="121">
        <v>0</v>
      </c>
      <c r="P166" s="121">
        <v>0</v>
      </c>
      <c r="Q166" s="121">
        <v>0</v>
      </c>
      <c r="R166" s="121">
        <v>0</v>
      </c>
      <c r="S166" s="121">
        <v>0</v>
      </c>
      <c r="T166" s="121">
        <v>0</v>
      </c>
      <c r="U166" s="121">
        <v>0</v>
      </c>
      <c r="V166" s="121">
        <v>0</v>
      </c>
      <c r="W166" s="121">
        <v>0</v>
      </c>
      <c r="X166" s="121">
        <v>0</v>
      </c>
      <c r="Y166" s="121">
        <v>0</v>
      </c>
      <c r="Z166" s="121">
        <v>0</v>
      </c>
      <c r="AA166" s="121">
        <v>0</v>
      </c>
      <c r="AB166" s="121">
        <v>0</v>
      </c>
      <c r="AC166" s="121">
        <v>0</v>
      </c>
      <c r="AD166" s="121">
        <v>0</v>
      </c>
      <c r="AE166" s="121">
        <v>0</v>
      </c>
      <c r="AF166" s="121">
        <v>0</v>
      </c>
      <c r="AG166" s="121">
        <v>0</v>
      </c>
      <c r="AH166" s="121">
        <v>0</v>
      </c>
      <c r="AI166" s="121">
        <v>0</v>
      </c>
      <c r="AJ166" s="121">
        <v>0</v>
      </c>
      <c r="AK166" s="121">
        <v>0</v>
      </c>
      <c r="AL166" s="121">
        <v>0</v>
      </c>
      <c r="AM166" s="121">
        <v>0</v>
      </c>
      <c r="AN166" s="121">
        <v>0</v>
      </c>
      <c r="AO166" s="121">
        <v>0</v>
      </c>
      <c r="AP166" s="121">
        <v>0</v>
      </c>
      <c r="AQ166" s="121">
        <v>0</v>
      </c>
      <c r="AR166" s="121">
        <v>0</v>
      </c>
      <c r="AS166" s="121">
        <v>0</v>
      </c>
      <c r="AT166" s="121">
        <v>0</v>
      </c>
      <c r="AU166" s="121">
        <v>0</v>
      </c>
      <c r="AV166" s="121">
        <v>0</v>
      </c>
      <c r="AW166" s="121">
        <v>0</v>
      </c>
      <c r="AX166" s="121">
        <v>0</v>
      </c>
      <c r="AY166" s="121">
        <v>0</v>
      </c>
    </row>
    <row r="167" spans="1:52" x14ac:dyDescent="0.2">
      <c r="A167" s="124"/>
      <c r="B167" s="144">
        <v>46</v>
      </c>
      <c r="C167" s="121">
        <v>0</v>
      </c>
      <c r="D167" s="121">
        <v>0</v>
      </c>
      <c r="E167" s="121">
        <v>0</v>
      </c>
      <c r="F167" s="121">
        <v>0</v>
      </c>
      <c r="G167" s="121">
        <v>0</v>
      </c>
      <c r="H167" s="121">
        <v>0</v>
      </c>
      <c r="I167" s="121">
        <v>0</v>
      </c>
      <c r="J167" s="121">
        <v>0</v>
      </c>
      <c r="K167" s="121">
        <v>0</v>
      </c>
      <c r="L167" s="121">
        <v>0</v>
      </c>
      <c r="M167" s="121">
        <v>0</v>
      </c>
      <c r="N167" s="121">
        <v>0</v>
      </c>
      <c r="O167" s="121">
        <v>0</v>
      </c>
      <c r="P167" s="121">
        <v>0</v>
      </c>
      <c r="Q167" s="121">
        <v>0</v>
      </c>
      <c r="R167" s="121">
        <v>0</v>
      </c>
      <c r="S167" s="121">
        <v>0</v>
      </c>
      <c r="T167" s="121">
        <v>0</v>
      </c>
      <c r="U167" s="121">
        <v>0</v>
      </c>
      <c r="V167" s="121">
        <v>0</v>
      </c>
      <c r="W167" s="121">
        <v>0</v>
      </c>
      <c r="X167" s="121">
        <v>0</v>
      </c>
      <c r="Y167" s="121">
        <v>0</v>
      </c>
      <c r="Z167" s="121">
        <v>0</v>
      </c>
      <c r="AA167" s="121">
        <v>0</v>
      </c>
      <c r="AB167" s="121">
        <v>0</v>
      </c>
      <c r="AC167" s="121">
        <v>0</v>
      </c>
      <c r="AD167" s="121">
        <v>0</v>
      </c>
      <c r="AE167" s="121">
        <v>0</v>
      </c>
      <c r="AF167" s="121">
        <v>0</v>
      </c>
      <c r="AG167" s="121">
        <v>0</v>
      </c>
      <c r="AH167" s="121">
        <v>0</v>
      </c>
      <c r="AI167" s="121">
        <v>0</v>
      </c>
      <c r="AJ167" s="121">
        <v>0</v>
      </c>
      <c r="AK167" s="121">
        <v>0</v>
      </c>
      <c r="AL167" s="121">
        <v>0</v>
      </c>
      <c r="AM167" s="121">
        <v>0</v>
      </c>
      <c r="AN167" s="121">
        <v>0</v>
      </c>
      <c r="AO167" s="121">
        <v>0</v>
      </c>
      <c r="AP167" s="121">
        <v>0</v>
      </c>
      <c r="AQ167" s="121">
        <v>0</v>
      </c>
      <c r="AR167" s="121">
        <v>0</v>
      </c>
      <c r="AS167" s="121">
        <v>0</v>
      </c>
      <c r="AT167" s="121">
        <v>0</v>
      </c>
      <c r="AU167" s="121">
        <v>0</v>
      </c>
      <c r="AV167" s="121">
        <v>0</v>
      </c>
      <c r="AW167" s="121">
        <v>0</v>
      </c>
      <c r="AX167" s="121">
        <v>0</v>
      </c>
      <c r="AY167" s="121">
        <v>0</v>
      </c>
    </row>
    <row r="168" spans="1:52" x14ac:dyDescent="0.2">
      <c r="A168" s="124"/>
      <c r="B168" s="144">
        <v>47</v>
      </c>
      <c r="C168" s="121">
        <v>0</v>
      </c>
      <c r="D168" s="121">
        <v>0</v>
      </c>
      <c r="E168" s="121">
        <v>0</v>
      </c>
      <c r="F168" s="121">
        <v>0</v>
      </c>
      <c r="G168" s="121">
        <v>0</v>
      </c>
      <c r="H168" s="121">
        <v>0</v>
      </c>
      <c r="I168" s="121">
        <v>0</v>
      </c>
      <c r="J168" s="121">
        <v>0</v>
      </c>
      <c r="K168" s="121">
        <v>0</v>
      </c>
      <c r="L168" s="121">
        <v>0</v>
      </c>
      <c r="M168" s="121">
        <v>0</v>
      </c>
      <c r="N168" s="121">
        <v>0</v>
      </c>
      <c r="O168" s="121">
        <v>0</v>
      </c>
      <c r="P168" s="121">
        <v>0</v>
      </c>
      <c r="Q168" s="121">
        <v>0</v>
      </c>
      <c r="R168" s="121">
        <v>0</v>
      </c>
      <c r="S168" s="121">
        <v>0</v>
      </c>
      <c r="T168" s="121">
        <v>0</v>
      </c>
      <c r="U168" s="121">
        <v>0</v>
      </c>
      <c r="V168" s="121">
        <v>0</v>
      </c>
      <c r="W168" s="121">
        <v>0</v>
      </c>
      <c r="X168" s="121">
        <v>0</v>
      </c>
      <c r="Y168" s="121">
        <v>0</v>
      </c>
      <c r="Z168" s="121">
        <v>0</v>
      </c>
      <c r="AA168" s="121">
        <v>0</v>
      </c>
      <c r="AB168" s="121">
        <v>0</v>
      </c>
      <c r="AC168" s="121">
        <v>0</v>
      </c>
      <c r="AD168" s="121">
        <v>0</v>
      </c>
      <c r="AE168" s="121">
        <v>0</v>
      </c>
      <c r="AF168" s="121">
        <v>0</v>
      </c>
      <c r="AG168" s="121">
        <v>0</v>
      </c>
      <c r="AH168" s="121">
        <v>0</v>
      </c>
      <c r="AI168" s="121">
        <v>0</v>
      </c>
      <c r="AJ168" s="121">
        <v>0</v>
      </c>
      <c r="AK168" s="121">
        <v>0</v>
      </c>
      <c r="AL168" s="121">
        <v>0</v>
      </c>
      <c r="AM168" s="121">
        <v>0</v>
      </c>
      <c r="AN168" s="121">
        <v>0</v>
      </c>
      <c r="AO168" s="121">
        <v>0</v>
      </c>
      <c r="AP168" s="121">
        <v>0</v>
      </c>
      <c r="AQ168" s="121">
        <v>0</v>
      </c>
      <c r="AR168" s="121">
        <v>0</v>
      </c>
      <c r="AS168" s="121">
        <v>0</v>
      </c>
      <c r="AT168" s="121">
        <v>0</v>
      </c>
      <c r="AU168" s="121">
        <v>0</v>
      </c>
      <c r="AV168" s="121">
        <v>0</v>
      </c>
      <c r="AW168" s="121">
        <v>0</v>
      </c>
      <c r="AX168" s="121">
        <v>0</v>
      </c>
      <c r="AY168" s="121">
        <v>0</v>
      </c>
    </row>
    <row r="169" spans="1:52" x14ac:dyDescent="0.2">
      <c r="A169" s="124"/>
      <c r="B169" s="144">
        <v>48</v>
      </c>
      <c r="C169" s="121">
        <v>0</v>
      </c>
      <c r="D169" s="121">
        <v>0</v>
      </c>
      <c r="E169" s="121">
        <v>0</v>
      </c>
      <c r="F169" s="121">
        <v>0</v>
      </c>
      <c r="G169" s="121">
        <v>0</v>
      </c>
      <c r="H169" s="121">
        <v>0</v>
      </c>
      <c r="I169" s="121">
        <v>0</v>
      </c>
      <c r="J169" s="121">
        <v>0</v>
      </c>
      <c r="K169" s="121">
        <v>0</v>
      </c>
      <c r="L169" s="121">
        <v>0</v>
      </c>
      <c r="M169" s="121">
        <v>0</v>
      </c>
      <c r="N169" s="121">
        <v>0</v>
      </c>
      <c r="O169" s="121">
        <v>0</v>
      </c>
      <c r="P169" s="121">
        <v>0</v>
      </c>
      <c r="Q169" s="121">
        <v>0</v>
      </c>
      <c r="R169" s="121">
        <v>0</v>
      </c>
      <c r="S169" s="121">
        <v>0</v>
      </c>
      <c r="T169" s="121">
        <v>0</v>
      </c>
      <c r="U169" s="121">
        <v>0</v>
      </c>
      <c r="V169" s="121">
        <v>0</v>
      </c>
      <c r="W169" s="121">
        <v>0</v>
      </c>
      <c r="X169" s="121">
        <v>0</v>
      </c>
      <c r="Y169" s="121">
        <v>0</v>
      </c>
      <c r="Z169" s="121">
        <v>0</v>
      </c>
      <c r="AA169" s="121">
        <v>0</v>
      </c>
      <c r="AB169" s="121">
        <v>0</v>
      </c>
      <c r="AC169" s="121">
        <v>0</v>
      </c>
      <c r="AD169" s="121">
        <v>0</v>
      </c>
      <c r="AE169" s="121">
        <v>0</v>
      </c>
      <c r="AF169" s="121">
        <v>0</v>
      </c>
      <c r="AG169" s="121">
        <v>0</v>
      </c>
      <c r="AH169" s="121">
        <v>0</v>
      </c>
      <c r="AI169" s="121">
        <v>0</v>
      </c>
      <c r="AJ169" s="121">
        <v>0</v>
      </c>
      <c r="AK169" s="121">
        <v>0</v>
      </c>
      <c r="AL169" s="121">
        <v>0</v>
      </c>
      <c r="AM169" s="121">
        <v>0</v>
      </c>
      <c r="AN169" s="121">
        <v>0</v>
      </c>
      <c r="AO169" s="121">
        <v>0</v>
      </c>
      <c r="AP169" s="121">
        <v>0</v>
      </c>
      <c r="AQ169" s="121">
        <v>0</v>
      </c>
      <c r="AR169" s="121">
        <v>0</v>
      </c>
      <c r="AS169" s="121">
        <v>0</v>
      </c>
      <c r="AT169" s="121">
        <v>0</v>
      </c>
      <c r="AU169" s="121">
        <v>0</v>
      </c>
      <c r="AV169" s="121">
        <v>0</v>
      </c>
      <c r="AW169" s="121">
        <v>0</v>
      </c>
      <c r="AX169" s="121">
        <v>0</v>
      </c>
      <c r="AY169" s="121">
        <v>0</v>
      </c>
    </row>
    <row r="170" spans="1:52" x14ac:dyDescent="0.2">
      <c r="A170" s="142"/>
      <c r="B170" s="146" t="s">
        <v>296</v>
      </c>
      <c r="C170" s="128">
        <v>0</v>
      </c>
      <c r="D170" s="139">
        <v>0</v>
      </c>
      <c r="E170" s="139">
        <v>0</v>
      </c>
      <c r="F170" s="139">
        <v>0</v>
      </c>
      <c r="G170" s="139">
        <v>0</v>
      </c>
      <c r="H170" s="139">
        <v>0</v>
      </c>
      <c r="I170" s="139">
        <v>0</v>
      </c>
      <c r="J170" s="139">
        <v>0</v>
      </c>
      <c r="K170" s="139">
        <v>0</v>
      </c>
      <c r="L170" s="139">
        <v>0</v>
      </c>
      <c r="M170" s="139">
        <v>0</v>
      </c>
      <c r="N170" s="139">
        <v>0</v>
      </c>
      <c r="O170" s="139">
        <v>0</v>
      </c>
      <c r="P170" s="139">
        <v>0</v>
      </c>
      <c r="Q170" s="139">
        <v>0</v>
      </c>
      <c r="R170" s="139">
        <v>0</v>
      </c>
      <c r="S170" s="139">
        <v>0</v>
      </c>
      <c r="T170" s="139">
        <v>0</v>
      </c>
      <c r="U170" s="139">
        <v>0</v>
      </c>
      <c r="V170" s="139">
        <v>0</v>
      </c>
      <c r="W170" s="139">
        <v>0</v>
      </c>
      <c r="X170" s="139">
        <v>0</v>
      </c>
      <c r="Y170" s="139">
        <v>0</v>
      </c>
      <c r="Z170" s="139">
        <v>0</v>
      </c>
      <c r="AA170" s="139">
        <v>0</v>
      </c>
      <c r="AB170" s="139">
        <v>0</v>
      </c>
      <c r="AC170" s="139">
        <v>0</v>
      </c>
      <c r="AD170" s="139">
        <v>0</v>
      </c>
      <c r="AE170" s="139">
        <v>0</v>
      </c>
      <c r="AF170" s="139">
        <v>0</v>
      </c>
      <c r="AG170" s="139">
        <v>0</v>
      </c>
      <c r="AH170" s="139">
        <v>0</v>
      </c>
      <c r="AI170" s="139">
        <v>0</v>
      </c>
      <c r="AJ170" s="139">
        <v>0</v>
      </c>
      <c r="AK170" s="139">
        <v>0</v>
      </c>
      <c r="AL170" s="139">
        <v>0</v>
      </c>
      <c r="AM170" s="139">
        <v>0</v>
      </c>
      <c r="AN170" s="139">
        <v>0</v>
      </c>
      <c r="AO170" s="139">
        <v>0</v>
      </c>
      <c r="AP170" s="139">
        <v>0</v>
      </c>
      <c r="AQ170" s="139">
        <v>0</v>
      </c>
      <c r="AR170" s="139">
        <v>0</v>
      </c>
      <c r="AS170" s="139">
        <v>0</v>
      </c>
      <c r="AT170" s="139">
        <v>0</v>
      </c>
      <c r="AU170" s="139">
        <v>0</v>
      </c>
      <c r="AV170" s="139">
        <v>0</v>
      </c>
      <c r="AW170" s="139">
        <v>0</v>
      </c>
      <c r="AX170" s="139">
        <v>0</v>
      </c>
      <c r="AY170" s="139">
        <v>0</v>
      </c>
      <c r="AZ170" s="122">
        <f>SUM($D170:$AY170)</f>
        <v>0</v>
      </c>
    </row>
    <row r="172" spans="1:52" x14ac:dyDescent="0.2">
      <c r="A172" s="1" t="s">
        <v>124</v>
      </c>
      <c r="B172" s="147" t="s">
        <v>297</v>
      </c>
      <c r="C172" s="148">
        <v>0.45857219391613702</v>
      </c>
      <c r="D172" s="148">
        <v>0.30256926631890069</v>
      </c>
      <c r="E172" s="148">
        <v>0.30256926631890069</v>
      </c>
      <c r="F172" s="148">
        <v>0.30256926631890069</v>
      </c>
      <c r="G172" s="148">
        <v>0.30256926631890069</v>
      </c>
      <c r="H172" s="148">
        <v>0.30256926631890069</v>
      </c>
      <c r="I172" s="148">
        <v>0.30256926631890069</v>
      </c>
      <c r="J172" s="148">
        <v>0.30256926631890069</v>
      </c>
      <c r="K172" s="148">
        <v>0.30256926631890069</v>
      </c>
      <c r="L172" s="148">
        <v>0.30256926631890069</v>
      </c>
      <c r="M172" s="148">
        <v>0.30256926631890069</v>
      </c>
      <c r="N172" s="148">
        <v>0.30256926631890069</v>
      </c>
      <c r="O172" s="148">
        <v>0.30256926631890069</v>
      </c>
      <c r="P172" s="148">
        <v>0.30256926631890069</v>
      </c>
      <c r="Q172" s="148">
        <v>0.30256926631890069</v>
      </c>
      <c r="R172" s="148">
        <v>0.30256926631890069</v>
      </c>
      <c r="S172" s="148">
        <v>0.30256926631890069</v>
      </c>
      <c r="T172" s="148">
        <v>0.30256926631890069</v>
      </c>
      <c r="U172" s="148">
        <v>0.30256926631890069</v>
      </c>
      <c r="V172" s="148">
        <v>0.30256926631890069</v>
      </c>
      <c r="W172" s="148">
        <v>0.30256926631890069</v>
      </c>
      <c r="X172" s="148">
        <v>0.30256926631890069</v>
      </c>
      <c r="Y172" s="148">
        <v>0.30256926631890069</v>
      </c>
      <c r="Z172" s="148">
        <v>0.30256926631890069</v>
      </c>
      <c r="AA172" s="148">
        <v>0.30256926631890069</v>
      </c>
      <c r="AB172" s="148">
        <v>0.30256926631890069</v>
      </c>
      <c r="AC172" s="148">
        <v>0.30256926631890069</v>
      </c>
      <c r="AD172" s="148">
        <v>0.30256926631890069</v>
      </c>
      <c r="AE172" s="148">
        <v>0.30256926631890069</v>
      </c>
      <c r="AF172" s="148">
        <v>0.30256926631890069</v>
      </c>
      <c r="AG172" s="148">
        <v>0.30256926631890069</v>
      </c>
      <c r="AH172" s="148">
        <v>0.30256926631890069</v>
      </c>
      <c r="AI172" s="148">
        <v>0.30256926631890069</v>
      </c>
      <c r="AJ172" s="148">
        <v>0.30256926631890069</v>
      </c>
      <c r="AK172" s="148">
        <v>0.30256926631890069</v>
      </c>
      <c r="AL172" s="148">
        <v>0.30256926631890069</v>
      </c>
      <c r="AM172" s="148">
        <v>0.30256926631890069</v>
      </c>
      <c r="AN172" s="148">
        <v>0.30256926631890069</v>
      </c>
      <c r="AO172" s="148">
        <v>0.30256926631890069</v>
      </c>
      <c r="AP172" s="148">
        <v>0.30256926631890069</v>
      </c>
      <c r="AQ172" s="148">
        <v>0.30256926631890069</v>
      </c>
      <c r="AR172" s="148">
        <v>0.30256926631890069</v>
      </c>
      <c r="AS172" s="148">
        <v>0.30256926631890069</v>
      </c>
      <c r="AT172" s="148">
        <v>0.30256926631890069</v>
      </c>
      <c r="AU172" s="148">
        <v>0.30256926631890069</v>
      </c>
      <c r="AV172" s="148">
        <v>0.30256926631890069</v>
      </c>
      <c r="AW172" s="148">
        <v>0.30256926631890069</v>
      </c>
      <c r="AX172" s="148">
        <v>0.30256926631890069</v>
      </c>
      <c r="AY172" s="148">
        <v>0.30256926631890069</v>
      </c>
    </row>
    <row r="174" spans="1:52" x14ac:dyDescent="0.2">
      <c r="A174" s="1" t="s">
        <v>272</v>
      </c>
    </row>
    <row r="175" spans="1:52" x14ac:dyDescent="0.2">
      <c r="A175" s="149" t="s">
        <v>125</v>
      </c>
      <c r="B175" s="149" t="s">
        <v>298</v>
      </c>
      <c r="C175" s="138" t="s">
        <v>293</v>
      </c>
      <c r="D175" s="138">
        <f t="shared" ref="D175:AY175" si="1">SUM(D95:D98)</f>
        <v>15361.442590365994</v>
      </c>
      <c r="E175" s="138">
        <f t="shared" si="1"/>
        <v>15354.518568268752</v>
      </c>
      <c r="F175" s="138">
        <f t="shared" si="1"/>
        <v>17812.757591639467</v>
      </c>
      <c r="G175" s="138">
        <f t="shared" si="1"/>
        <v>15273.27870697762</v>
      </c>
      <c r="H175" s="138">
        <f t="shared" si="1"/>
        <v>16769.95671813274</v>
      </c>
      <c r="I175" s="138">
        <f t="shared" si="1"/>
        <v>17979.98394350733</v>
      </c>
      <c r="J175" s="138">
        <f t="shared" si="1"/>
        <v>18987.011168881923</v>
      </c>
      <c r="K175" s="138">
        <f t="shared" si="1"/>
        <v>19108.038394256509</v>
      </c>
      <c r="L175" s="138">
        <f t="shared" si="1"/>
        <v>19733.614243687527</v>
      </c>
      <c r="M175" s="138">
        <f t="shared" si="1"/>
        <v>18550.092845005693</v>
      </c>
      <c r="N175" s="138">
        <f t="shared" si="1"/>
        <v>19959.668694436703</v>
      </c>
      <c r="O175" s="138">
        <f t="shared" si="1"/>
        <v>19432.768749508727</v>
      </c>
      <c r="P175" s="138">
        <f t="shared" si="1"/>
        <v>19426.323368452897</v>
      </c>
      <c r="Q175" s="138">
        <f t="shared" si="1"/>
        <v>19378.52296310664</v>
      </c>
      <c r="R175" s="138">
        <f t="shared" si="1"/>
        <v>19158.346852957115</v>
      </c>
      <c r="S175" s="138">
        <f t="shared" si="1"/>
        <v>18830.869409115534</v>
      </c>
      <c r="T175" s="138">
        <f t="shared" si="1"/>
        <v>19164.866980073682</v>
      </c>
      <c r="U175" s="138">
        <f t="shared" si="1"/>
        <v>20731.843784090204</v>
      </c>
      <c r="V175" s="138">
        <f t="shared" si="1"/>
        <v>20319.326043795252</v>
      </c>
      <c r="W175" s="138">
        <f t="shared" si="1"/>
        <v>21327.804645113421</v>
      </c>
      <c r="X175" s="138">
        <f t="shared" si="1"/>
        <v>20811.662136342264</v>
      </c>
      <c r="Y175" s="138">
        <f t="shared" si="1"/>
        <v>21290.237985773285</v>
      </c>
      <c r="Z175" s="138">
        <f t="shared" si="1"/>
        <v>19137.813835204288</v>
      </c>
      <c r="AA175" s="138">
        <f t="shared" si="1"/>
        <v>17750.74381246604</v>
      </c>
      <c r="AB175" s="138">
        <f t="shared" si="1"/>
        <v>17414.22815954229</v>
      </c>
      <c r="AC175" s="138">
        <f t="shared" si="1"/>
        <v>16847.255384916887</v>
      </c>
      <c r="AD175" s="138">
        <f t="shared" si="1"/>
        <v>16761.282610291477</v>
      </c>
      <c r="AE175" s="138">
        <f t="shared" si="1"/>
        <v>15760.309835666059</v>
      </c>
      <c r="AF175" s="138">
        <f t="shared" si="1"/>
        <v>14947.337061040651</v>
      </c>
      <c r="AG175" s="138">
        <f t="shared" si="1"/>
        <v>13040.364286415243</v>
      </c>
      <c r="AH175" s="138">
        <f t="shared" si="1"/>
        <v>11816.391511789836</v>
      </c>
      <c r="AI175" s="138">
        <f t="shared" si="1"/>
        <v>10743.966900139741</v>
      </c>
      <c r="AJ175" s="138">
        <f t="shared" si="1"/>
        <v>10120.998647163522</v>
      </c>
      <c r="AK175" s="138">
        <f t="shared" si="1"/>
        <v>9405.3983893697368</v>
      </c>
      <c r="AL175" s="138">
        <f t="shared" si="1"/>
        <v>10672.682016941404</v>
      </c>
      <c r="AM175" s="138">
        <f t="shared" si="1"/>
        <v>9550.3047652145942</v>
      </c>
      <c r="AN175" s="138">
        <f t="shared" si="1"/>
        <v>10204.331990589184</v>
      </c>
      <c r="AO175" s="138">
        <f t="shared" si="1"/>
        <v>9539.9078400201961</v>
      </c>
      <c r="AP175" s="138">
        <f t="shared" si="1"/>
        <v>7117.7477026719507</v>
      </c>
      <c r="AQ175" s="138">
        <f t="shared" si="1"/>
        <v>6240.9729148090228</v>
      </c>
      <c r="AR175" s="138">
        <f t="shared" si="1"/>
        <v>5792.6010731479228</v>
      </c>
      <c r="AS175" s="138">
        <f t="shared" si="1"/>
        <v>7449.6282985225134</v>
      </c>
      <c r="AT175" s="138">
        <f t="shared" si="1"/>
        <v>9004.6555238971014</v>
      </c>
      <c r="AU175" s="138">
        <f t="shared" si="1"/>
        <v>11479.504993013798</v>
      </c>
      <c r="AV175" s="138">
        <f t="shared" si="1"/>
        <v>11665.983594331967</v>
      </c>
      <c r="AW175" s="138">
        <f t="shared" si="1"/>
        <v>11592.951577547254</v>
      </c>
      <c r="AX175" s="138">
        <f t="shared" si="1"/>
        <v>9769.2522654468103</v>
      </c>
      <c r="AY175" s="138">
        <f t="shared" si="1"/>
        <v>8425.4756380336657</v>
      </c>
    </row>
    <row r="176" spans="1:52" x14ac:dyDescent="0.2">
      <c r="A176" s="139"/>
      <c r="B176" s="150" t="s">
        <v>299</v>
      </c>
      <c r="C176" s="139" t="s">
        <v>293</v>
      </c>
      <c r="D176" s="139">
        <v>1198</v>
      </c>
      <c r="E176" s="139">
        <v>1195</v>
      </c>
      <c r="F176" s="139">
        <v>1332</v>
      </c>
      <c r="G176" s="139">
        <v>1385</v>
      </c>
      <c r="H176" s="139">
        <v>1377</v>
      </c>
      <c r="I176" s="139">
        <v>1605</v>
      </c>
      <c r="J176" s="139">
        <v>991</v>
      </c>
      <c r="K176" s="139">
        <v>1113</v>
      </c>
      <c r="L176" s="139">
        <v>1755</v>
      </c>
      <c r="M176" s="139">
        <v>1845</v>
      </c>
      <c r="N176" s="139">
        <v>1878</v>
      </c>
      <c r="O176" s="139">
        <v>1807</v>
      </c>
      <c r="P176" s="139">
        <v>773</v>
      </c>
      <c r="Q176" s="139">
        <v>840</v>
      </c>
      <c r="R176" s="139">
        <v>841</v>
      </c>
      <c r="S176" s="139">
        <v>790</v>
      </c>
      <c r="T176" s="139">
        <v>1542</v>
      </c>
      <c r="U176" s="139">
        <v>1320</v>
      </c>
      <c r="V176" s="139">
        <v>1180</v>
      </c>
      <c r="W176" s="139">
        <v>1368</v>
      </c>
      <c r="X176" s="139">
        <v>1629</v>
      </c>
      <c r="Y176" s="139">
        <v>1810</v>
      </c>
      <c r="Z176" s="139">
        <v>1788</v>
      </c>
      <c r="AA176" s="139">
        <v>1592</v>
      </c>
      <c r="AB176" s="139">
        <v>504</v>
      </c>
      <c r="AC176" s="139">
        <v>499</v>
      </c>
      <c r="AD176" s="139">
        <v>534</v>
      </c>
      <c r="AE176" s="139">
        <v>526</v>
      </c>
      <c r="AF176" s="139">
        <v>1410</v>
      </c>
      <c r="AG176" s="139">
        <v>2026</v>
      </c>
      <c r="AH176" s="139">
        <v>1513</v>
      </c>
      <c r="AI176" s="139">
        <v>1441</v>
      </c>
      <c r="AJ176" s="139">
        <v>861</v>
      </c>
      <c r="AK176" s="139">
        <v>699</v>
      </c>
      <c r="AL176" s="139">
        <v>1073</v>
      </c>
      <c r="AM176" s="139">
        <v>777</v>
      </c>
      <c r="AN176" s="139">
        <v>949</v>
      </c>
      <c r="AO176" s="139">
        <v>701</v>
      </c>
      <c r="AP176" s="139">
        <v>848</v>
      </c>
      <c r="AQ176" s="139">
        <v>797</v>
      </c>
      <c r="AR176" s="139">
        <v>1388</v>
      </c>
      <c r="AS176" s="139">
        <v>1386</v>
      </c>
      <c r="AT176" s="139">
        <v>1283</v>
      </c>
      <c r="AU176" s="139">
        <v>1489</v>
      </c>
      <c r="AV176" s="139">
        <v>939</v>
      </c>
      <c r="AW176" s="139">
        <v>1121</v>
      </c>
      <c r="AX176" s="139">
        <v>970</v>
      </c>
      <c r="AY176" s="139">
        <v>1035</v>
      </c>
    </row>
    <row r="177" spans="1:51" x14ac:dyDescent="0.2">
      <c r="A177" s="149" t="s">
        <v>133</v>
      </c>
      <c r="B177" s="149" t="s">
        <v>298</v>
      </c>
      <c r="C177" s="138" t="s">
        <v>293</v>
      </c>
      <c r="D177" s="138">
        <f t="shared" ref="D177:AY177" si="2">SUM(D100:D107)</f>
        <v>15301.148523830621</v>
      </c>
      <c r="E177" s="138">
        <f t="shared" si="2"/>
        <v>15396.64839535887</v>
      </c>
      <c r="F177" s="138">
        <f t="shared" si="2"/>
        <v>12952.985221419165</v>
      </c>
      <c r="G177" s="138">
        <f t="shared" si="2"/>
        <v>14811.039955512022</v>
      </c>
      <c r="H177" s="138">
        <f t="shared" si="2"/>
        <v>13340.937793787916</v>
      </c>
      <c r="I177" s="138">
        <f t="shared" si="2"/>
        <v>11671.48641784434</v>
      </c>
      <c r="J177" s="138">
        <f t="shared" si="2"/>
        <v>10007.035041900761</v>
      </c>
      <c r="K177" s="138">
        <f t="shared" si="2"/>
        <v>8894.5836659571833</v>
      </c>
      <c r="L177" s="138">
        <f t="shared" si="2"/>
        <v>7523.5836659571833</v>
      </c>
      <c r="M177" s="138">
        <f t="shared" si="2"/>
        <v>9511.6809140700279</v>
      </c>
      <c r="N177" s="138">
        <f t="shared" si="2"/>
        <v>8928.6809140700279</v>
      </c>
      <c r="O177" s="138">
        <f t="shared" si="2"/>
        <v>10316.156708429018</v>
      </c>
      <c r="P177" s="138">
        <f t="shared" si="2"/>
        <v>10819.17793891586</v>
      </c>
      <c r="Q177" s="138">
        <f t="shared" si="2"/>
        <v>10986.554193693129</v>
      </c>
      <c r="R177" s="138">
        <f t="shared" si="2"/>
        <v>11405.306153273661</v>
      </c>
      <c r="S177" s="138">
        <f t="shared" si="2"/>
        <v>11518.359446546256</v>
      </c>
      <c r="T177" s="138">
        <f t="shared" si="2"/>
        <v>11601.937725019119</v>
      </c>
      <c r="U177" s="138">
        <f t="shared" si="2"/>
        <v>10282.536770433608</v>
      </c>
      <c r="V177" s="138">
        <f t="shared" si="2"/>
        <v>10657.630360159574</v>
      </c>
      <c r="W177" s="138">
        <f t="shared" si="2"/>
        <v>9524.7276082724165</v>
      </c>
      <c r="X177" s="138">
        <f t="shared" si="2"/>
        <v>10206.641570924512</v>
      </c>
      <c r="Y177" s="138">
        <f t="shared" si="2"/>
        <v>9202.6415709245121</v>
      </c>
      <c r="Z177" s="138">
        <f t="shared" si="2"/>
        <v>10612.641570924514</v>
      </c>
      <c r="AA177" s="138">
        <f t="shared" si="2"/>
        <v>11090.287443093777</v>
      </c>
      <c r="AB177" s="138">
        <f t="shared" si="2"/>
        <v>10478.378945448538</v>
      </c>
      <c r="AC177" s="138">
        <f t="shared" si="2"/>
        <v>9586.9275695049582</v>
      </c>
      <c r="AD177" s="138">
        <f t="shared" si="2"/>
        <v>8146.4761935613815</v>
      </c>
      <c r="AE177" s="138">
        <f t="shared" si="2"/>
        <v>7675.0248176178029</v>
      </c>
      <c r="AF177" s="138">
        <f t="shared" si="2"/>
        <v>6825.5734416742243</v>
      </c>
      <c r="AG177" s="138">
        <f t="shared" si="2"/>
        <v>7705.1220657306467</v>
      </c>
      <c r="AH177" s="138">
        <f t="shared" si="2"/>
        <v>7963.6706897870681</v>
      </c>
      <c r="AI177" s="138">
        <f t="shared" si="2"/>
        <v>8026.6711508681738</v>
      </c>
      <c r="AJ177" s="138">
        <f t="shared" si="2"/>
        <v>7660.2152532754126</v>
      </c>
      <c r="AK177" s="138">
        <f t="shared" si="2"/>
        <v>8720.3913605002035</v>
      </c>
      <c r="AL177" s="138">
        <f t="shared" si="2"/>
        <v>7482.6835823595484</v>
      </c>
      <c r="AM177" s="138">
        <f t="shared" si="2"/>
        <v>8475.6366835173703</v>
      </c>
      <c r="AN177" s="138">
        <f t="shared" si="2"/>
        <v>7936.1853075737945</v>
      </c>
      <c r="AO177" s="138">
        <f t="shared" si="2"/>
        <v>7074.1853075737936</v>
      </c>
      <c r="AP177" s="138">
        <f t="shared" si="2"/>
        <v>8194.5498046437788</v>
      </c>
      <c r="AQ177" s="138">
        <f t="shared" si="2"/>
        <v>8008.8897354728533</v>
      </c>
      <c r="AR177" s="138">
        <f t="shared" si="2"/>
        <v>7809.757147320398</v>
      </c>
      <c r="AS177" s="138">
        <f t="shared" si="2"/>
        <v>7428.3057713768194</v>
      </c>
      <c r="AT177" s="138">
        <f t="shared" si="2"/>
        <v>7736.8543954332417</v>
      </c>
      <c r="AU177" s="138">
        <f t="shared" si="2"/>
        <v>6598.5807757475559</v>
      </c>
      <c r="AV177" s="138">
        <f t="shared" si="2"/>
        <v>6922.6780238603997</v>
      </c>
      <c r="AW177" s="138">
        <f t="shared" si="2"/>
        <v>5834.2858900761312</v>
      </c>
      <c r="AX177" s="138">
        <f t="shared" si="2"/>
        <v>6174.5610516075849</v>
      </c>
      <c r="AY177" s="138">
        <f t="shared" si="2"/>
        <v>6599.1096756640063</v>
      </c>
    </row>
    <row r="178" spans="1:51" x14ac:dyDescent="0.2">
      <c r="A178" s="139"/>
      <c r="B178" s="150" t="s">
        <v>299</v>
      </c>
      <c r="C178" s="139" t="s">
        <v>293</v>
      </c>
      <c r="D178" s="139">
        <v>2330</v>
      </c>
      <c r="E178" s="139">
        <v>2778</v>
      </c>
      <c r="F178" s="139">
        <v>2702</v>
      </c>
      <c r="G178" s="139">
        <v>2432</v>
      </c>
      <c r="H178" s="139">
        <v>3481</v>
      </c>
      <c r="I178" s="139">
        <v>3161</v>
      </c>
      <c r="J178" s="139">
        <v>3269</v>
      </c>
      <c r="K178" s="139">
        <v>2381</v>
      </c>
      <c r="L178" s="139">
        <v>1020</v>
      </c>
      <c r="M178" s="139">
        <v>883</v>
      </c>
      <c r="N178" s="139">
        <v>1038</v>
      </c>
      <c r="O178" s="139">
        <v>1176</v>
      </c>
      <c r="P178" s="139">
        <v>818</v>
      </c>
      <c r="Q178" s="139">
        <v>949</v>
      </c>
      <c r="R178" s="139">
        <v>878</v>
      </c>
      <c r="S178" s="139">
        <v>1053</v>
      </c>
      <c r="T178" s="139">
        <v>1577</v>
      </c>
      <c r="U178" s="139">
        <v>1961</v>
      </c>
      <c r="V178" s="139">
        <v>2076</v>
      </c>
      <c r="W178" s="139">
        <v>1675</v>
      </c>
      <c r="X178" s="139">
        <v>1499</v>
      </c>
      <c r="Y178" s="139">
        <v>1480</v>
      </c>
      <c r="Z178" s="139">
        <v>1627</v>
      </c>
      <c r="AA178" s="139">
        <v>1062</v>
      </c>
      <c r="AB178" s="139">
        <v>2953</v>
      </c>
      <c r="AC178" s="139">
        <v>2692</v>
      </c>
      <c r="AD178" s="139">
        <v>2643</v>
      </c>
      <c r="AE178" s="139">
        <v>2556</v>
      </c>
      <c r="AF178" s="139">
        <v>1297</v>
      </c>
      <c r="AG178" s="139">
        <v>1103</v>
      </c>
      <c r="AH178" s="139">
        <v>1135</v>
      </c>
      <c r="AI178" s="139">
        <v>1253</v>
      </c>
      <c r="AJ178" s="139">
        <v>1950</v>
      </c>
      <c r="AK178" s="139">
        <v>1582</v>
      </c>
      <c r="AL178" s="139">
        <v>1564</v>
      </c>
      <c r="AM178" s="139">
        <v>2001</v>
      </c>
      <c r="AN178" s="139">
        <v>1722</v>
      </c>
      <c r="AO178" s="139">
        <v>1657</v>
      </c>
      <c r="AP178" s="139">
        <v>1837</v>
      </c>
      <c r="AQ178" s="139">
        <v>1905</v>
      </c>
      <c r="AR178" s="139">
        <v>2213</v>
      </c>
      <c r="AS178" s="139">
        <v>1513</v>
      </c>
      <c r="AT178" s="139">
        <v>1961</v>
      </c>
      <c r="AU178" s="139">
        <v>2334</v>
      </c>
      <c r="AV178" s="139">
        <v>1307</v>
      </c>
      <c r="AW178" s="139">
        <v>1400</v>
      </c>
      <c r="AX178" s="139">
        <v>1252</v>
      </c>
      <c r="AY178" s="139">
        <v>1170</v>
      </c>
    </row>
    <row r="179" spans="1:51" x14ac:dyDescent="0.2">
      <c r="A179" s="149" t="s">
        <v>134</v>
      </c>
      <c r="B179" s="149" t="s">
        <v>298</v>
      </c>
      <c r="C179" s="138" t="s">
        <v>293</v>
      </c>
      <c r="D179" s="138">
        <f t="shared" ref="D179:AY179" si="3">SUM(D109:D120)</f>
        <v>8197.6492227543222</v>
      </c>
      <c r="E179" s="138">
        <f t="shared" si="3"/>
        <v>8547.2132667396581</v>
      </c>
      <c r="F179" s="138">
        <f t="shared" si="3"/>
        <v>8717.209644628967</v>
      </c>
      <c r="G179" s="138">
        <f t="shared" si="3"/>
        <v>8955.3601391151224</v>
      </c>
      <c r="H179" s="138">
        <f t="shared" si="3"/>
        <v>9203.6316185007581</v>
      </c>
      <c r="I179" s="138">
        <f t="shared" si="3"/>
        <v>8974.7427432566292</v>
      </c>
      <c r="J179" s="138">
        <f t="shared" si="3"/>
        <v>8781.1162352305182</v>
      </c>
      <c r="K179" s="138">
        <f t="shared" si="3"/>
        <v>9166.9915005757448</v>
      </c>
      <c r="L179" s="138">
        <f t="shared" si="3"/>
        <v>9587.0872478433521</v>
      </c>
      <c r="M179" s="138">
        <f t="shared" si="3"/>
        <v>9687.6173714105553</v>
      </c>
      <c r="N179" s="138">
        <f t="shared" si="3"/>
        <v>9527.2902447868364</v>
      </c>
      <c r="O179" s="138">
        <f t="shared" si="3"/>
        <v>9371.3767309174109</v>
      </c>
      <c r="P179" s="138">
        <f t="shared" si="3"/>
        <v>9127.2540511745501</v>
      </c>
      <c r="Q179" s="138">
        <f t="shared" si="3"/>
        <v>8569.746801099267</v>
      </c>
      <c r="R179" s="138">
        <f t="shared" si="3"/>
        <v>7972.7441336149295</v>
      </c>
      <c r="S179" s="138">
        <f t="shared" si="3"/>
        <v>7601.2931761507598</v>
      </c>
      <c r="T179" s="138">
        <f t="shared" si="3"/>
        <v>7342.1100202786893</v>
      </c>
      <c r="U179" s="138">
        <f t="shared" si="3"/>
        <v>7776.0021033262155</v>
      </c>
      <c r="V179" s="138">
        <f t="shared" si="3"/>
        <v>8000.7029340238523</v>
      </c>
      <c r="W179" s="138">
        <f t="shared" si="3"/>
        <v>8288.7395970163234</v>
      </c>
      <c r="X179" s="138">
        <f t="shared" si="3"/>
        <v>8541.2721421642327</v>
      </c>
      <c r="Y179" s="138">
        <f t="shared" si="3"/>
        <v>8412.2387532277153</v>
      </c>
      <c r="Z179" s="138">
        <f t="shared" si="3"/>
        <v>8696.2241018562563</v>
      </c>
      <c r="AA179" s="138">
        <f t="shared" si="3"/>
        <v>8883.9189424400302</v>
      </c>
      <c r="AB179" s="138">
        <f t="shared" si="3"/>
        <v>9219.98689082688</v>
      </c>
      <c r="AC179" s="138">
        <f t="shared" si="3"/>
        <v>9817.3350060338053</v>
      </c>
      <c r="AD179" s="138">
        <f t="shared" si="3"/>
        <v>10751.218265505018</v>
      </c>
      <c r="AE179" s="138">
        <f t="shared" si="3"/>
        <v>11826.386187659635</v>
      </c>
      <c r="AF179" s="138">
        <f t="shared" si="3"/>
        <v>13137.751635386199</v>
      </c>
      <c r="AG179" s="138">
        <f t="shared" si="3"/>
        <v>14193.33665726666</v>
      </c>
      <c r="AH179" s="138">
        <f t="shared" si="3"/>
        <v>15165.401064975509</v>
      </c>
      <c r="AI179" s="138">
        <f t="shared" si="3"/>
        <v>16112.456334953382</v>
      </c>
      <c r="AJ179" s="138">
        <f t="shared" si="3"/>
        <v>17116.382511372834</v>
      </c>
      <c r="AK179" s="138">
        <f t="shared" si="3"/>
        <v>17349.920820470579</v>
      </c>
      <c r="AL179" s="138">
        <f t="shared" si="3"/>
        <v>17723.539552773709</v>
      </c>
      <c r="AM179" s="138">
        <f t="shared" si="3"/>
        <v>17905.163996297782</v>
      </c>
      <c r="AN179" s="138">
        <f t="shared" si="3"/>
        <v>17646.994235480801</v>
      </c>
      <c r="AO179" s="138">
        <f t="shared" si="3"/>
        <v>18518.271579079737</v>
      </c>
      <c r="AP179" s="138">
        <f t="shared" si="3"/>
        <v>19482.147701104044</v>
      </c>
      <c r="AQ179" s="138">
        <f t="shared" si="3"/>
        <v>20303.90710059688</v>
      </c>
      <c r="AR179" s="138">
        <f t="shared" si="3"/>
        <v>20752.557069478567</v>
      </c>
      <c r="AS179" s="138">
        <f t="shared" si="3"/>
        <v>20418.294007464086</v>
      </c>
      <c r="AT179" s="138">
        <f t="shared" si="3"/>
        <v>19269.218625984384</v>
      </c>
      <c r="AU179" s="138">
        <f t="shared" si="3"/>
        <v>18280.957362132147</v>
      </c>
      <c r="AV179" s="138">
        <f t="shared" si="3"/>
        <v>17703.306809673159</v>
      </c>
      <c r="AW179" s="138">
        <f t="shared" si="3"/>
        <v>18493.951000897909</v>
      </c>
      <c r="AX179" s="138">
        <f t="shared" si="3"/>
        <v>19683.781812387195</v>
      </c>
      <c r="AY179" s="138">
        <f t="shared" si="3"/>
        <v>20513.248797865679</v>
      </c>
    </row>
    <row r="180" spans="1:51" x14ac:dyDescent="0.2">
      <c r="A180" s="139"/>
      <c r="B180" s="150" t="s">
        <v>299</v>
      </c>
      <c r="C180" s="139" t="s">
        <v>293</v>
      </c>
      <c r="D180" s="139">
        <v>903</v>
      </c>
      <c r="E180" s="139">
        <v>950</v>
      </c>
      <c r="F180" s="139">
        <v>826</v>
      </c>
      <c r="G180" s="139">
        <v>950</v>
      </c>
      <c r="H180" s="139">
        <v>1344</v>
      </c>
      <c r="I180" s="139">
        <v>1517</v>
      </c>
      <c r="J180" s="139">
        <v>1195</v>
      </c>
      <c r="K180" s="139">
        <v>1344</v>
      </c>
      <c r="L180" s="139">
        <v>1762</v>
      </c>
      <c r="M180" s="139">
        <v>1749</v>
      </c>
      <c r="N180" s="139">
        <v>1543</v>
      </c>
      <c r="O180" s="139">
        <v>1418</v>
      </c>
      <c r="P180" s="139">
        <v>1655</v>
      </c>
      <c r="Q180" s="139">
        <v>1827</v>
      </c>
      <c r="R180" s="139">
        <v>1722</v>
      </c>
      <c r="S180" s="139">
        <v>1787</v>
      </c>
      <c r="T180" s="139">
        <v>1046</v>
      </c>
      <c r="U180" s="139">
        <v>1049</v>
      </c>
      <c r="V180" s="139">
        <v>929</v>
      </c>
      <c r="W180" s="139">
        <v>915</v>
      </c>
      <c r="X180" s="139">
        <v>1170</v>
      </c>
      <c r="Y180" s="139">
        <v>955</v>
      </c>
      <c r="Z180" s="139">
        <v>1190</v>
      </c>
      <c r="AA180" s="139">
        <v>1260</v>
      </c>
      <c r="AB180" s="139">
        <v>1184</v>
      </c>
      <c r="AC180" s="139">
        <v>1108</v>
      </c>
      <c r="AD180" s="139">
        <v>1146</v>
      </c>
      <c r="AE180" s="139">
        <v>1030</v>
      </c>
      <c r="AF180" s="139">
        <v>1392</v>
      </c>
      <c r="AG180" s="139">
        <v>1467</v>
      </c>
      <c r="AH180" s="139">
        <v>1490</v>
      </c>
      <c r="AI180" s="139">
        <v>1452</v>
      </c>
      <c r="AJ180" s="139">
        <v>2218</v>
      </c>
      <c r="AK180" s="139">
        <v>1903</v>
      </c>
      <c r="AL180" s="139">
        <v>1973</v>
      </c>
      <c r="AM180" s="139">
        <v>2397</v>
      </c>
      <c r="AN180" s="139">
        <v>1311</v>
      </c>
      <c r="AO180" s="139">
        <v>1391</v>
      </c>
      <c r="AP180" s="139">
        <v>1359</v>
      </c>
      <c r="AQ180" s="139">
        <v>1306</v>
      </c>
      <c r="AR180" s="139">
        <v>2950</v>
      </c>
      <c r="AS180" s="139">
        <v>3480</v>
      </c>
      <c r="AT180" s="139">
        <v>3103</v>
      </c>
      <c r="AU180" s="139">
        <v>2587</v>
      </c>
      <c r="AV180" s="139">
        <v>1239</v>
      </c>
      <c r="AW180" s="139">
        <v>952</v>
      </c>
      <c r="AX180" s="139">
        <v>1390</v>
      </c>
      <c r="AY180" s="139">
        <v>1250</v>
      </c>
    </row>
    <row r="181" spans="1:51" x14ac:dyDescent="0.2">
      <c r="A181" s="149" t="s">
        <v>123</v>
      </c>
      <c r="B181" s="149" t="s">
        <v>298</v>
      </c>
      <c r="C181" s="138" t="s">
        <v>293</v>
      </c>
      <c r="D181" s="138">
        <f t="shared" ref="D181:AY181" si="4">(1-D172)*SUM(D122:D169)</f>
        <v>2887.195619063732</v>
      </c>
      <c r="E181" s="138">
        <f t="shared" si="4"/>
        <v>2581.6233917434097</v>
      </c>
      <c r="F181" s="138">
        <f t="shared" si="4"/>
        <v>2452.8970478262427</v>
      </c>
      <c r="G181" s="138">
        <f t="shared" si="4"/>
        <v>2762.0497190095962</v>
      </c>
      <c r="H181" s="138">
        <f t="shared" si="4"/>
        <v>2570.3627448227121</v>
      </c>
      <c r="I181" s="138">
        <f t="shared" si="4"/>
        <v>3050.4134034178114</v>
      </c>
      <c r="J181" s="138">
        <f t="shared" si="4"/>
        <v>3643.9622886415737</v>
      </c>
      <c r="K181" s="138">
        <f t="shared" si="4"/>
        <v>4066.2906919429543</v>
      </c>
      <c r="L181" s="138">
        <f t="shared" si="4"/>
        <v>4293.1847189447362</v>
      </c>
      <c r="M181" s="138">
        <f t="shared" si="4"/>
        <v>3661.9359961374439</v>
      </c>
      <c r="N181" s="138">
        <f t="shared" si="4"/>
        <v>3197.2736605758596</v>
      </c>
      <c r="O181" s="138">
        <f t="shared" si="4"/>
        <v>2705.8204908877055</v>
      </c>
      <c r="P181" s="138">
        <f t="shared" si="4"/>
        <v>2529.7518915319779</v>
      </c>
      <c r="Q181" s="138">
        <f t="shared" si="4"/>
        <v>2835.1787095853042</v>
      </c>
      <c r="R181" s="138">
        <f t="shared" si="4"/>
        <v>3113.0538176184614</v>
      </c>
      <c r="S181" s="138">
        <f t="shared" si="4"/>
        <v>3521.6611240595198</v>
      </c>
      <c r="T181" s="138">
        <f t="shared" si="4"/>
        <v>3411.193191580981</v>
      </c>
      <c r="U181" s="138">
        <f t="shared" si="4"/>
        <v>2935.9165114523321</v>
      </c>
      <c r="V181" s="138">
        <f t="shared" si="4"/>
        <v>2805.303999028848</v>
      </c>
      <c r="W181" s="138">
        <f t="shared" si="4"/>
        <v>2691.1956044499293</v>
      </c>
      <c r="X181" s="138">
        <f t="shared" si="4"/>
        <v>2399.4575395055022</v>
      </c>
      <c r="Y181" s="138">
        <f t="shared" si="4"/>
        <v>2855.8963414459517</v>
      </c>
      <c r="Z181" s="138">
        <f t="shared" si="4"/>
        <v>3175.6256514311631</v>
      </c>
      <c r="AA181" s="138">
        <f t="shared" si="4"/>
        <v>3678.9818536133034</v>
      </c>
      <c r="AB181" s="138">
        <f t="shared" si="4"/>
        <v>4106.0578889753642</v>
      </c>
      <c r="AC181" s="138">
        <f t="shared" si="4"/>
        <v>4706.5987800731391</v>
      </c>
      <c r="AD181" s="138">
        <f t="shared" si="4"/>
        <v>5119.8550084875114</v>
      </c>
      <c r="AE181" s="138">
        <f t="shared" si="4"/>
        <v>5396.9137113299348</v>
      </c>
      <c r="AF181" s="138">
        <f t="shared" si="4"/>
        <v>5641.752840018461</v>
      </c>
      <c r="AG181" s="138">
        <f t="shared" si="4"/>
        <v>5622.1125828785998</v>
      </c>
      <c r="AH181" s="138">
        <f t="shared" si="4"/>
        <v>5617.4814634697168</v>
      </c>
      <c r="AI181" s="138">
        <f t="shared" si="4"/>
        <v>5660.9794376192467</v>
      </c>
      <c r="AJ181" s="138">
        <f t="shared" si="4"/>
        <v>5650.8652790904925</v>
      </c>
      <c r="AK181" s="138">
        <f t="shared" si="4"/>
        <v>5247.6706973563514</v>
      </c>
      <c r="AL181" s="138">
        <f t="shared" si="4"/>
        <v>4966.470404401266</v>
      </c>
      <c r="AM181" s="138">
        <f t="shared" si="4"/>
        <v>4930.0643157872319</v>
      </c>
      <c r="AN181" s="138">
        <f t="shared" si="4"/>
        <v>5030.211122757285</v>
      </c>
      <c r="AO181" s="138">
        <f t="shared" si="4"/>
        <v>5487.1306410112393</v>
      </c>
      <c r="AP181" s="138">
        <f t="shared" si="4"/>
        <v>5722.8060985522579</v>
      </c>
      <c r="AQ181" s="138">
        <f t="shared" si="4"/>
        <v>5890.660559484124</v>
      </c>
      <c r="AR181" s="138">
        <f t="shared" si="4"/>
        <v>6029.3477720675955</v>
      </c>
      <c r="AS181" s="138">
        <f t="shared" si="4"/>
        <v>5372.8473041162852</v>
      </c>
      <c r="AT181" s="138">
        <f t="shared" si="4"/>
        <v>4874.5327185375145</v>
      </c>
      <c r="AU181" s="138">
        <f t="shared" si="4"/>
        <v>4631.6074215654844</v>
      </c>
      <c r="AV181" s="138">
        <f t="shared" si="4"/>
        <v>4678.3873809097231</v>
      </c>
      <c r="AW181" s="138">
        <f t="shared" si="4"/>
        <v>4936.9807199894231</v>
      </c>
      <c r="AX181" s="138">
        <f t="shared" si="4"/>
        <v>5141.7417378676628</v>
      </c>
      <c r="AY181" s="138">
        <f t="shared" si="4"/>
        <v>5204.3438304224455</v>
      </c>
    </row>
    <row r="182" spans="1:51" x14ac:dyDescent="0.2">
      <c r="A182" s="139"/>
      <c r="B182" s="150" t="s">
        <v>299</v>
      </c>
      <c r="C182" s="139" t="s">
        <v>293</v>
      </c>
      <c r="D182" s="139">
        <v>2626</v>
      </c>
      <c r="E182" s="139">
        <v>2505</v>
      </c>
      <c r="F182" s="139">
        <v>1933</v>
      </c>
      <c r="G182" s="139">
        <v>2517</v>
      </c>
      <c r="H182" s="139">
        <v>1637</v>
      </c>
      <c r="I182" s="139">
        <v>1266</v>
      </c>
      <c r="J182" s="139">
        <v>1254</v>
      </c>
      <c r="K182" s="139">
        <v>1351</v>
      </c>
      <c r="L182" s="139">
        <v>2483</v>
      </c>
      <c r="M182" s="139">
        <v>2518</v>
      </c>
      <c r="N182" s="139">
        <v>2758</v>
      </c>
      <c r="O182" s="139">
        <v>2519</v>
      </c>
      <c r="P182" s="139">
        <v>1905</v>
      </c>
      <c r="Q182" s="139">
        <v>1812</v>
      </c>
      <c r="R182" s="139">
        <v>1504</v>
      </c>
      <c r="S182" s="139">
        <v>2071</v>
      </c>
      <c r="T182" s="139">
        <v>2642</v>
      </c>
      <c r="U182" s="139">
        <v>2354</v>
      </c>
      <c r="V182" s="139">
        <v>2387</v>
      </c>
      <c r="W182" s="139">
        <v>2691.1956044499293</v>
      </c>
      <c r="X182" s="139">
        <v>1745</v>
      </c>
      <c r="Y182" s="139">
        <v>1743</v>
      </c>
      <c r="Z182" s="139">
        <v>1341</v>
      </c>
      <c r="AA182" s="139">
        <v>1232</v>
      </c>
      <c r="AB182" s="139">
        <v>798</v>
      </c>
      <c r="AC182" s="139">
        <v>806</v>
      </c>
      <c r="AD182" s="139">
        <v>822</v>
      </c>
      <c r="AE182" s="139">
        <v>748</v>
      </c>
      <c r="AF182" s="139">
        <v>1021</v>
      </c>
      <c r="AG182" s="139">
        <v>1008</v>
      </c>
      <c r="AH182" s="139">
        <v>941</v>
      </c>
      <c r="AI182" s="139">
        <v>999</v>
      </c>
      <c r="AJ182" s="139">
        <v>1567</v>
      </c>
      <c r="AK182" s="139">
        <v>1567</v>
      </c>
      <c r="AL182" s="139">
        <v>1338</v>
      </c>
      <c r="AM182" s="139">
        <v>1158</v>
      </c>
      <c r="AN182" s="139">
        <v>603</v>
      </c>
      <c r="AO182" s="139">
        <v>722</v>
      </c>
      <c r="AP182" s="139">
        <v>717</v>
      </c>
      <c r="AQ182" s="139">
        <v>686</v>
      </c>
      <c r="AR182" s="139">
        <v>1766</v>
      </c>
      <c r="AS182" s="139">
        <v>1824</v>
      </c>
      <c r="AT182" s="139">
        <v>1674</v>
      </c>
      <c r="AU182" s="139">
        <v>1364</v>
      </c>
      <c r="AV182" s="139">
        <v>1040</v>
      </c>
      <c r="AW182" s="139">
        <v>1005</v>
      </c>
      <c r="AX182" s="139">
        <v>1120</v>
      </c>
      <c r="AY182" s="139">
        <v>1141</v>
      </c>
    </row>
    <row r="184" spans="1:51" x14ac:dyDescent="0.2">
      <c r="A184" s="1" t="s">
        <v>300</v>
      </c>
    </row>
    <row r="185" spans="1:51" x14ac:dyDescent="0.2">
      <c r="A185" s="140" t="s">
        <v>125</v>
      </c>
      <c r="B185" s="137">
        <v>1</v>
      </c>
      <c r="C185" s="138">
        <v>0</v>
      </c>
      <c r="D185" s="138">
        <v>0</v>
      </c>
      <c r="E185" s="138">
        <v>0</v>
      </c>
      <c r="F185" s="138">
        <v>0</v>
      </c>
      <c r="G185" s="138">
        <v>0</v>
      </c>
      <c r="H185" s="138">
        <v>0</v>
      </c>
      <c r="I185" s="138">
        <v>0</v>
      </c>
      <c r="J185" s="138">
        <v>0</v>
      </c>
      <c r="K185" s="138">
        <v>0</v>
      </c>
      <c r="L185" s="138">
        <v>0</v>
      </c>
      <c r="M185" s="138">
        <v>0</v>
      </c>
      <c r="N185" s="138">
        <v>0</v>
      </c>
      <c r="O185" s="138">
        <v>0</v>
      </c>
      <c r="P185" s="138">
        <v>0</v>
      </c>
      <c r="Q185" s="138">
        <v>0</v>
      </c>
      <c r="R185" s="138">
        <v>0</v>
      </c>
      <c r="S185" s="138">
        <v>0</v>
      </c>
      <c r="T185" s="138">
        <v>0</v>
      </c>
      <c r="U185" s="138">
        <v>0</v>
      </c>
      <c r="V185" s="138">
        <v>0</v>
      </c>
      <c r="W185" s="138">
        <v>0</v>
      </c>
      <c r="X185" s="138">
        <v>0</v>
      </c>
      <c r="Y185" s="138">
        <v>0</v>
      </c>
      <c r="Z185" s="138">
        <v>0</v>
      </c>
      <c r="AA185" s="138">
        <v>0</v>
      </c>
      <c r="AB185" s="138">
        <v>0</v>
      </c>
      <c r="AC185" s="138">
        <v>0</v>
      </c>
      <c r="AD185" s="138">
        <v>0</v>
      </c>
      <c r="AE185" s="138">
        <v>0</v>
      </c>
      <c r="AF185" s="138">
        <v>0</v>
      </c>
      <c r="AG185" s="138">
        <v>0</v>
      </c>
      <c r="AH185" s="138">
        <v>0</v>
      </c>
      <c r="AI185" s="138">
        <v>0</v>
      </c>
      <c r="AJ185" s="138">
        <v>0</v>
      </c>
      <c r="AK185" s="138">
        <v>0</v>
      </c>
      <c r="AL185" s="138">
        <v>0</v>
      </c>
      <c r="AM185" s="138">
        <v>0</v>
      </c>
      <c r="AN185" s="138">
        <v>0</v>
      </c>
      <c r="AO185" s="138">
        <v>0</v>
      </c>
      <c r="AP185" s="138">
        <v>848</v>
      </c>
      <c r="AQ185" s="138">
        <v>797</v>
      </c>
      <c r="AR185" s="138">
        <v>1388</v>
      </c>
      <c r="AS185" s="138">
        <v>1235.6702132297605</v>
      </c>
      <c r="AT185" s="138">
        <v>0</v>
      </c>
      <c r="AU185" s="138">
        <v>0</v>
      </c>
      <c r="AV185" s="138">
        <v>0</v>
      </c>
      <c r="AW185" s="138">
        <v>0</v>
      </c>
      <c r="AX185" s="138">
        <v>0</v>
      </c>
      <c r="AY185" s="138">
        <v>0</v>
      </c>
    </row>
    <row r="186" spans="1:51" x14ac:dyDescent="0.2">
      <c r="A186" s="124"/>
      <c r="B186" s="134">
        <v>2</v>
      </c>
      <c r="C186" s="121">
        <v>0</v>
      </c>
      <c r="D186" s="121">
        <v>544.94450495772526</v>
      </c>
      <c r="E186" s="121">
        <v>350.29789284349408</v>
      </c>
      <c r="F186" s="121">
        <v>0</v>
      </c>
      <c r="G186" s="121">
        <v>642.37892401905538</v>
      </c>
      <c r="H186" s="121">
        <v>0</v>
      </c>
      <c r="I186" s="121">
        <v>0</v>
      </c>
      <c r="J186" s="121">
        <v>0</v>
      </c>
      <c r="K186" s="121">
        <v>0</v>
      </c>
      <c r="L186" s="121">
        <v>0</v>
      </c>
      <c r="M186" s="121">
        <v>0</v>
      </c>
      <c r="N186" s="121">
        <v>0</v>
      </c>
      <c r="O186" s="121">
        <v>0</v>
      </c>
      <c r="P186" s="121">
        <v>0</v>
      </c>
      <c r="Q186" s="121">
        <v>0</v>
      </c>
      <c r="R186" s="121">
        <v>0</v>
      </c>
      <c r="S186" s="121">
        <v>0</v>
      </c>
      <c r="T186" s="121">
        <v>0</v>
      </c>
      <c r="U186" s="121">
        <v>0</v>
      </c>
      <c r="V186" s="121">
        <v>0</v>
      </c>
      <c r="W186" s="121">
        <v>0</v>
      </c>
      <c r="X186" s="121">
        <v>0</v>
      </c>
      <c r="Y186" s="121">
        <v>0</v>
      </c>
      <c r="Z186" s="121">
        <v>0</v>
      </c>
      <c r="AA186" s="121">
        <v>0</v>
      </c>
      <c r="AB186" s="121">
        <v>0</v>
      </c>
      <c r="AC186" s="121">
        <v>0</v>
      </c>
      <c r="AD186" s="121">
        <v>0</v>
      </c>
      <c r="AE186" s="121">
        <v>0</v>
      </c>
      <c r="AF186" s="121">
        <v>1061.259962463897</v>
      </c>
      <c r="AG186" s="121">
        <v>2026</v>
      </c>
      <c r="AH186" s="121">
        <v>1513</v>
      </c>
      <c r="AI186" s="121">
        <v>1441</v>
      </c>
      <c r="AJ186" s="121">
        <v>861</v>
      </c>
      <c r="AK186" s="121">
        <v>699</v>
      </c>
      <c r="AL186" s="121">
        <v>1073</v>
      </c>
      <c r="AM186" s="121">
        <v>777</v>
      </c>
      <c r="AN186" s="121">
        <v>949</v>
      </c>
      <c r="AO186" s="121">
        <v>701</v>
      </c>
      <c r="AP186" s="121">
        <v>0</v>
      </c>
      <c r="AQ186" s="121">
        <v>0</v>
      </c>
      <c r="AR186" s="121">
        <v>0</v>
      </c>
      <c r="AS186" s="121">
        <v>150.32978677023948</v>
      </c>
      <c r="AT186" s="121">
        <v>1283</v>
      </c>
      <c r="AU186" s="121">
        <v>277.52178230374375</v>
      </c>
      <c r="AV186" s="121">
        <v>0</v>
      </c>
      <c r="AW186" s="121">
        <v>1121</v>
      </c>
      <c r="AX186" s="121">
        <v>970</v>
      </c>
      <c r="AY186" s="121">
        <v>1035</v>
      </c>
    </row>
    <row r="187" spans="1:51" x14ac:dyDescent="0.2">
      <c r="A187" s="124"/>
      <c r="B187" s="141">
        <v>3</v>
      </c>
      <c r="C187" s="121">
        <v>1342</v>
      </c>
      <c r="D187" s="121">
        <v>653.05549504227474</v>
      </c>
      <c r="E187" s="121">
        <v>844.70210715650592</v>
      </c>
      <c r="F187" s="121">
        <v>1332</v>
      </c>
      <c r="G187" s="121">
        <v>742.62107598094462</v>
      </c>
      <c r="H187" s="121">
        <v>1377</v>
      </c>
      <c r="I187" s="121">
        <v>1605</v>
      </c>
      <c r="J187" s="121">
        <v>991</v>
      </c>
      <c r="K187" s="121">
        <v>1113</v>
      </c>
      <c r="L187" s="121">
        <v>1755</v>
      </c>
      <c r="M187" s="121">
        <v>1845</v>
      </c>
      <c r="N187" s="121">
        <v>1878</v>
      </c>
      <c r="O187" s="121">
        <v>1807</v>
      </c>
      <c r="P187" s="121">
        <v>773</v>
      </c>
      <c r="Q187" s="121">
        <v>840</v>
      </c>
      <c r="R187" s="121">
        <v>841</v>
      </c>
      <c r="S187" s="121">
        <v>790</v>
      </c>
      <c r="T187" s="121">
        <v>1542</v>
      </c>
      <c r="U187" s="121">
        <v>1320</v>
      </c>
      <c r="V187" s="121">
        <v>1180</v>
      </c>
      <c r="W187" s="121">
        <v>1368</v>
      </c>
      <c r="X187" s="121">
        <v>1629</v>
      </c>
      <c r="Y187" s="121">
        <v>987.69240557662033</v>
      </c>
      <c r="Z187" s="121">
        <v>1690.1678380833273</v>
      </c>
      <c r="AA187" s="121">
        <v>1592</v>
      </c>
      <c r="AB187" s="121">
        <v>504</v>
      </c>
      <c r="AC187" s="121">
        <v>499</v>
      </c>
      <c r="AD187" s="121">
        <v>534</v>
      </c>
      <c r="AE187" s="121">
        <v>526</v>
      </c>
      <c r="AF187" s="121">
        <v>348.74003753610305</v>
      </c>
      <c r="AG187" s="121">
        <v>0</v>
      </c>
      <c r="AH187" s="121">
        <v>0</v>
      </c>
      <c r="AI187" s="121">
        <v>0</v>
      </c>
      <c r="AJ187" s="121">
        <v>0</v>
      </c>
      <c r="AK187" s="121">
        <v>0</v>
      </c>
      <c r="AL187" s="121">
        <v>0</v>
      </c>
      <c r="AM187" s="121">
        <v>0</v>
      </c>
      <c r="AN187" s="121">
        <v>0</v>
      </c>
      <c r="AO187" s="121">
        <v>0</v>
      </c>
      <c r="AP187" s="121">
        <v>0</v>
      </c>
      <c r="AQ187" s="121">
        <v>0</v>
      </c>
      <c r="AR187" s="121">
        <v>0</v>
      </c>
      <c r="AS187" s="121">
        <v>0</v>
      </c>
      <c r="AT187" s="121">
        <v>0</v>
      </c>
      <c r="AU187" s="121">
        <v>1211.4782176962563</v>
      </c>
      <c r="AV187" s="121">
        <v>939</v>
      </c>
      <c r="AW187" s="121">
        <v>0</v>
      </c>
      <c r="AX187" s="121">
        <v>0</v>
      </c>
      <c r="AY187" s="121">
        <v>0</v>
      </c>
    </row>
    <row r="188" spans="1:51" x14ac:dyDescent="0.2">
      <c r="A188" s="142"/>
      <c r="B188" s="143">
        <v>4</v>
      </c>
      <c r="C188" s="121">
        <v>0</v>
      </c>
      <c r="D188" s="121">
        <v>0</v>
      </c>
      <c r="E188" s="121">
        <v>0</v>
      </c>
      <c r="F188" s="121">
        <v>0</v>
      </c>
      <c r="G188" s="121">
        <v>0</v>
      </c>
      <c r="H188" s="121">
        <v>0</v>
      </c>
      <c r="I188" s="121">
        <v>0</v>
      </c>
      <c r="J188" s="121">
        <v>0</v>
      </c>
      <c r="K188" s="121">
        <v>0</v>
      </c>
      <c r="L188" s="121">
        <v>0</v>
      </c>
      <c r="M188" s="121">
        <v>0</v>
      </c>
      <c r="N188" s="121">
        <v>0</v>
      </c>
      <c r="O188" s="121">
        <v>0</v>
      </c>
      <c r="P188" s="121">
        <v>0</v>
      </c>
      <c r="Q188" s="121">
        <v>0</v>
      </c>
      <c r="R188" s="121">
        <v>0</v>
      </c>
      <c r="S188" s="121">
        <v>0</v>
      </c>
      <c r="T188" s="121">
        <v>0</v>
      </c>
      <c r="U188" s="121">
        <v>0</v>
      </c>
      <c r="V188" s="121">
        <v>0</v>
      </c>
      <c r="W188" s="121">
        <v>0</v>
      </c>
      <c r="X188" s="121">
        <v>0</v>
      </c>
      <c r="Y188" s="121">
        <v>822.30759442337967</v>
      </c>
      <c r="Z188" s="121">
        <v>97.832161916672703</v>
      </c>
      <c r="AA188" s="121">
        <v>0</v>
      </c>
      <c r="AB188" s="121">
        <v>0</v>
      </c>
      <c r="AC188" s="121">
        <v>0</v>
      </c>
      <c r="AD188" s="121">
        <v>0</v>
      </c>
      <c r="AE188" s="121">
        <v>0</v>
      </c>
      <c r="AF188" s="121">
        <v>0</v>
      </c>
      <c r="AG188" s="121">
        <v>0</v>
      </c>
      <c r="AH188" s="121">
        <v>0</v>
      </c>
      <c r="AI188" s="121">
        <v>0</v>
      </c>
      <c r="AJ188" s="121">
        <v>0</v>
      </c>
      <c r="AK188" s="121">
        <v>0</v>
      </c>
      <c r="AL188" s="121">
        <v>0</v>
      </c>
      <c r="AM188" s="121">
        <v>0</v>
      </c>
      <c r="AN188" s="121">
        <v>0</v>
      </c>
      <c r="AO188" s="121">
        <v>0</v>
      </c>
      <c r="AP188" s="121">
        <v>0</v>
      </c>
      <c r="AQ188" s="121">
        <v>0</v>
      </c>
      <c r="AR188" s="121">
        <v>0</v>
      </c>
      <c r="AS188" s="121">
        <v>0</v>
      </c>
      <c r="AT188" s="121">
        <v>0</v>
      </c>
      <c r="AU188" s="121">
        <v>0</v>
      </c>
      <c r="AV188" s="121">
        <v>0</v>
      </c>
      <c r="AW188" s="121">
        <v>0</v>
      </c>
      <c r="AX188" s="121">
        <v>0</v>
      </c>
      <c r="AY188" s="121">
        <v>0</v>
      </c>
    </row>
    <row r="189" spans="1:51" x14ac:dyDescent="0.2">
      <c r="A189" s="140" t="s">
        <v>133</v>
      </c>
      <c r="B189" s="137">
        <v>1</v>
      </c>
      <c r="C189" s="138">
        <v>0</v>
      </c>
      <c r="D189" s="138">
        <v>0</v>
      </c>
      <c r="E189" s="138">
        <v>0</v>
      </c>
      <c r="F189" s="138">
        <v>0</v>
      </c>
      <c r="G189" s="138">
        <v>0</v>
      </c>
      <c r="H189" s="138">
        <v>0</v>
      </c>
      <c r="I189" s="138">
        <v>0</v>
      </c>
      <c r="J189" s="138">
        <v>0</v>
      </c>
      <c r="K189" s="138">
        <v>0</v>
      </c>
      <c r="L189" s="138">
        <v>0</v>
      </c>
      <c r="M189" s="138">
        <v>0</v>
      </c>
      <c r="N189" s="138">
        <v>0</v>
      </c>
      <c r="O189" s="138">
        <v>0</v>
      </c>
      <c r="P189" s="138">
        <v>0</v>
      </c>
      <c r="Q189" s="138">
        <v>0</v>
      </c>
      <c r="R189" s="138">
        <v>0</v>
      </c>
      <c r="S189" s="138">
        <v>0</v>
      </c>
      <c r="T189" s="138">
        <v>0</v>
      </c>
      <c r="U189" s="138">
        <v>0</v>
      </c>
      <c r="V189" s="138">
        <v>0</v>
      </c>
      <c r="W189" s="138">
        <v>0</v>
      </c>
      <c r="X189" s="138">
        <v>0</v>
      </c>
      <c r="Y189" s="138">
        <v>0</v>
      </c>
      <c r="Z189" s="138">
        <v>0</v>
      </c>
      <c r="AA189" s="138">
        <v>0</v>
      </c>
      <c r="AB189" s="138">
        <v>0</v>
      </c>
      <c r="AC189" s="138">
        <v>0</v>
      </c>
      <c r="AD189" s="138">
        <v>0</v>
      </c>
      <c r="AE189" s="138">
        <v>0</v>
      </c>
      <c r="AF189" s="138">
        <v>0</v>
      </c>
      <c r="AG189" s="138">
        <v>0</v>
      </c>
      <c r="AH189" s="138">
        <v>0</v>
      </c>
      <c r="AI189" s="138">
        <v>0</v>
      </c>
      <c r="AJ189" s="138">
        <v>0</v>
      </c>
      <c r="AK189" s="138">
        <v>0</v>
      </c>
      <c r="AL189" s="138">
        <v>0</v>
      </c>
      <c r="AM189" s="138">
        <v>0</v>
      </c>
      <c r="AN189" s="138">
        <v>0</v>
      </c>
      <c r="AO189" s="138">
        <v>0</v>
      </c>
      <c r="AP189" s="138">
        <v>0</v>
      </c>
      <c r="AQ189" s="138">
        <v>0</v>
      </c>
      <c r="AR189" s="138">
        <v>0</v>
      </c>
      <c r="AS189" s="138">
        <v>0</v>
      </c>
      <c r="AT189" s="138">
        <v>0</v>
      </c>
      <c r="AU189" s="138">
        <v>0</v>
      </c>
      <c r="AV189" s="138">
        <v>0</v>
      </c>
      <c r="AW189" s="138">
        <v>0</v>
      </c>
      <c r="AX189" s="138">
        <v>0</v>
      </c>
      <c r="AY189" s="138">
        <v>0</v>
      </c>
    </row>
    <row r="190" spans="1:51" x14ac:dyDescent="0.2">
      <c r="A190" s="124"/>
      <c r="B190" s="133">
        <v>2</v>
      </c>
      <c r="C190" s="121">
        <v>0</v>
      </c>
      <c r="D190" s="121">
        <v>0</v>
      </c>
      <c r="E190" s="121">
        <v>0</v>
      </c>
      <c r="F190" s="121">
        <v>0</v>
      </c>
      <c r="G190" s="121">
        <v>0</v>
      </c>
      <c r="H190" s="121">
        <v>0</v>
      </c>
      <c r="I190" s="121">
        <v>0</v>
      </c>
      <c r="J190" s="121">
        <v>0</v>
      </c>
      <c r="K190" s="121">
        <v>0</v>
      </c>
      <c r="L190" s="121">
        <v>0</v>
      </c>
      <c r="M190" s="121">
        <v>0</v>
      </c>
      <c r="N190" s="121">
        <v>0</v>
      </c>
      <c r="O190" s="121">
        <v>0</v>
      </c>
      <c r="P190" s="121">
        <v>0</v>
      </c>
      <c r="Q190" s="121">
        <v>0</v>
      </c>
      <c r="R190" s="121">
        <v>0</v>
      </c>
      <c r="S190" s="121">
        <v>0</v>
      </c>
      <c r="T190" s="121">
        <v>0</v>
      </c>
      <c r="U190" s="121">
        <v>0</v>
      </c>
      <c r="V190" s="121">
        <v>0</v>
      </c>
      <c r="W190" s="121">
        <v>0</v>
      </c>
      <c r="X190" s="121">
        <v>0</v>
      </c>
      <c r="Y190" s="121">
        <v>0</v>
      </c>
      <c r="Z190" s="121">
        <v>0</v>
      </c>
      <c r="AA190" s="121">
        <v>0</v>
      </c>
      <c r="AB190" s="121">
        <v>0</v>
      </c>
      <c r="AC190" s="121">
        <v>0</v>
      </c>
      <c r="AD190" s="121">
        <v>0</v>
      </c>
      <c r="AE190" s="121">
        <v>0</v>
      </c>
      <c r="AF190" s="121">
        <v>0</v>
      </c>
      <c r="AG190" s="121">
        <v>0</v>
      </c>
      <c r="AH190" s="121">
        <v>0</v>
      </c>
      <c r="AI190" s="121">
        <v>0</v>
      </c>
      <c r="AJ190" s="121">
        <v>0</v>
      </c>
      <c r="AK190" s="121">
        <v>0</v>
      </c>
      <c r="AL190" s="121">
        <v>0</v>
      </c>
      <c r="AM190" s="121">
        <v>0</v>
      </c>
      <c r="AN190" s="121">
        <v>0</v>
      </c>
      <c r="AO190" s="121">
        <v>0</v>
      </c>
      <c r="AP190" s="121">
        <v>0</v>
      </c>
      <c r="AQ190" s="121">
        <v>0</v>
      </c>
      <c r="AR190" s="121">
        <v>0</v>
      </c>
      <c r="AS190" s="121">
        <v>0</v>
      </c>
      <c r="AT190" s="121">
        <v>0</v>
      </c>
      <c r="AU190" s="121">
        <v>0</v>
      </c>
      <c r="AV190" s="121">
        <v>0</v>
      </c>
      <c r="AW190" s="121">
        <v>0</v>
      </c>
      <c r="AX190" s="121">
        <v>0</v>
      </c>
      <c r="AY190" s="121">
        <v>0</v>
      </c>
    </row>
    <row r="191" spans="1:51" x14ac:dyDescent="0.2">
      <c r="A191" s="124"/>
      <c r="B191" s="134">
        <v>3</v>
      </c>
      <c r="C191" s="121">
        <v>0</v>
      </c>
      <c r="D191" s="121">
        <v>0</v>
      </c>
      <c r="E191" s="121">
        <v>0</v>
      </c>
      <c r="F191" s="121">
        <v>0</v>
      </c>
      <c r="G191" s="121">
        <v>0</v>
      </c>
      <c r="H191" s="121">
        <v>0</v>
      </c>
      <c r="I191" s="121">
        <v>0</v>
      </c>
      <c r="J191" s="121">
        <v>0</v>
      </c>
      <c r="K191" s="121">
        <v>0</v>
      </c>
      <c r="L191" s="121">
        <v>0</v>
      </c>
      <c r="M191" s="121">
        <v>0</v>
      </c>
      <c r="N191" s="121">
        <v>0</v>
      </c>
      <c r="O191" s="121">
        <v>0</v>
      </c>
      <c r="P191" s="121">
        <v>0</v>
      </c>
      <c r="Q191" s="121">
        <v>0</v>
      </c>
      <c r="R191" s="121">
        <v>0</v>
      </c>
      <c r="S191" s="121">
        <v>0</v>
      </c>
      <c r="T191" s="121">
        <v>0</v>
      </c>
      <c r="U191" s="121">
        <v>0</v>
      </c>
      <c r="V191" s="121">
        <v>0</v>
      </c>
      <c r="W191" s="121">
        <v>0</v>
      </c>
      <c r="X191" s="121">
        <v>0</v>
      </c>
      <c r="Y191" s="121">
        <v>0</v>
      </c>
      <c r="Z191" s="121">
        <v>0</v>
      </c>
      <c r="AA191" s="121">
        <v>0</v>
      </c>
      <c r="AB191" s="121">
        <v>0</v>
      </c>
      <c r="AC191" s="121">
        <v>0</v>
      </c>
      <c r="AD191" s="121">
        <v>0</v>
      </c>
      <c r="AE191" s="121">
        <v>20.621054551462976</v>
      </c>
      <c r="AF191" s="121">
        <v>0</v>
      </c>
      <c r="AG191" s="121">
        <v>0</v>
      </c>
      <c r="AH191" s="121">
        <v>0</v>
      </c>
      <c r="AI191" s="121">
        <v>0</v>
      </c>
      <c r="AJ191" s="121">
        <v>0</v>
      </c>
      <c r="AK191" s="121">
        <v>0</v>
      </c>
      <c r="AL191" s="121">
        <v>0</v>
      </c>
      <c r="AM191" s="121">
        <v>0</v>
      </c>
      <c r="AN191" s="121">
        <v>0</v>
      </c>
      <c r="AO191" s="121">
        <v>0</v>
      </c>
      <c r="AP191" s="121">
        <v>0</v>
      </c>
      <c r="AQ191" s="121">
        <v>0</v>
      </c>
      <c r="AR191" s="121">
        <v>514.43734890528958</v>
      </c>
      <c r="AS191" s="121">
        <v>0</v>
      </c>
      <c r="AT191" s="121">
        <v>0</v>
      </c>
      <c r="AU191" s="121">
        <v>0</v>
      </c>
      <c r="AV191" s="121">
        <v>0</v>
      </c>
      <c r="AW191" s="121">
        <v>0</v>
      </c>
      <c r="AX191" s="121">
        <v>0</v>
      </c>
      <c r="AY191" s="121">
        <v>0</v>
      </c>
    </row>
    <row r="192" spans="1:51" x14ac:dyDescent="0.2">
      <c r="A192" s="124"/>
      <c r="B192" s="134">
        <v>4</v>
      </c>
      <c r="C192" s="121">
        <v>0</v>
      </c>
      <c r="D192" s="121">
        <v>0</v>
      </c>
      <c r="E192" s="121">
        <v>0</v>
      </c>
      <c r="F192" s="121">
        <v>0</v>
      </c>
      <c r="G192" s="121">
        <v>0</v>
      </c>
      <c r="H192" s="121">
        <v>0</v>
      </c>
      <c r="I192" s="121">
        <v>0</v>
      </c>
      <c r="J192" s="121">
        <v>354.70807838134806</v>
      </c>
      <c r="K192" s="121">
        <v>0</v>
      </c>
      <c r="L192" s="121">
        <v>0</v>
      </c>
      <c r="M192" s="121">
        <v>0</v>
      </c>
      <c r="N192" s="121">
        <v>0</v>
      </c>
      <c r="O192" s="121">
        <v>0</v>
      </c>
      <c r="P192" s="121">
        <v>0</v>
      </c>
      <c r="Q192" s="121">
        <v>0</v>
      </c>
      <c r="R192" s="121">
        <v>0</v>
      </c>
      <c r="S192" s="121">
        <v>0</v>
      </c>
      <c r="T192" s="121">
        <v>0</v>
      </c>
      <c r="U192" s="121">
        <v>0</v>
      </c>
      <c r="V192" s="121">
        <v>0</v>
      </c>
      <c r="W192" s="121">
        <v>0</v>
      </c>
      <c r="X192" s="121">
        <v>0</v>
      </c>
      <c r="Y192" s="121">
        <v>0</v>
      </c>
      <c r="Z192" s="121">
        <v>0</v>
      </c>
      <c r="AA192" s="121">
        <v>0</v>
      </c>
      <c r="AB192" s="121">
        <v>0</v>
      </c>
      <c r="AC192" s="121">
        <v>809.81943759979185</v>
      </c>
      <c r="AD192" s="121">
        <v>644.72218948694808</v>
      </c>
      <c r="AE192" s="121">
        <v>1590.3175068536382</v>
      </c>
      <c r="AF192" s="121">
        <v>1297</v>
      </c>
      <c r="AG192" s="121">
        <v>594.07243049504109</v>
      </c>
      <c r="AH192" s="121">
        <v>0</v>
      </c>
      <c r="AI192" s="121">
        <v>0</v>
      </c>
      <c r="AJ192" s="121">
        <v>0</v>
      </c>
      <c r="AK192" s="121">
        <v>0</v>
      </c>
      <c r="AL192" s="121">
        <v>0</v>
      </c>
      <c r="AM192" s="121">
        <v>53.549665195119587</v>
      </c>
      <c r="AN192" s="121">
        <v>382.00918865189351</v>
      </c>
      <c r="AO192" s="121">
        <v>212.46056459547162</v>
      </c>
      <c r="AP192" s="121">
        <v>1220.1933156383298</v>
      </c>
      <c r="AQ192" s="121">
        <v>842.30476075283423</v>
      </c>
      <c r="AR192" s="121">
        <v>845</v>
      </c>
      <c r="AS192" s="121">
        <v>1513</v>
      </c>
      <c r="AT192" s="121">
        <v>1180.3401007924458</v>
      </c>
      <c r="AU192" s="121">
        <v>1687.7914767360239</v>
      </c>
      <c r="AV192" s="121">
        <v>1168.242852679602</v>
      </c>
      <c r="AW192" s="121">
        <v>741.69422862318015</v>
      </c>
      <c r="AX192" s="121">
        <v>189.41922425244434</v>
      </c>
      <c r="AY192" s="121">
        <v>32.870600196022451</v>
      </c>
    </row>
    <row r="193" spans="1:51" x14ac:dyDescent="0.2">
      <c r="A193" s="124"/>
      <c r="B193" s="141">
        <v>5</v>
      </c>
      <c r="C193" s="121">
        <v>0</v>
      </c>
      <c r="D193" s="121">
        <v>0</v>
      </c>
      <c r="E193" s="121">
        <v>0</v>
      </c>
      <c r="F193" s="121">
        <v>0</v>
      </c>
      <c r="G193" s="121">
        <v>0</v>
      </c>
      <c r="H193" s="121">
        <v>360.08245639658844</v>
      </c>
      <c r="I193" s="121">
        <v>585.2428277186209</v>
      </c>
      <c r="J193" s="121">
        <v>845</v>
      </c>
      <c r="K193" s="121">
        <v>2381</v>
      </c>
      <c r="L193" s="121">
        <v>947.61083026850429</v>
      </c>
      <c r="M193" s="121">
        <v>504.0622062120824</v>
      </c>
      <c r="N193" s="121">
        <v>0</v>
      </c>
      <c r="O193" s="121">
        <v>0</v>
      </c>
      <c r="P193" s="121">
        <v>0</v>
      </c>
      <c r="Q193" s="121">
        <v>0</v>
      </c>
      <c r="R193" s="121">
        <v>0</v>
      </c>
      <c r="S193" s="121">
        <v>0</v>
      </c>
      <c r="T193" s="121">
        <v>0</v>
      </c>
      <c r="U193" s="121">
        <v>0</v>
      </c>
      <c r="V193" s="121">
        <v>419.56413606611568</v>
      </c>
      <c r="W193" s="121">
        <v>0</v>
      </c>
      <c r="X193" s="121">
        <v>0</v>
      </c>
      <c r="Y193" s="121">
        <v>0</v>
      </c>
      <c r="Z193" s="121">
        <v>0.55292530117549177</v>
      </c>
      <c r="AA193" s="121">
        <v>0</v>
      </c>
      <c r="AB193" s="121">
        <v>789.36806165621374</v>
      </c>
      <c r="AC193" s="121">
        <v>845</v>
      </c>
      <c r="AD193" s="121">
        <v>1998.2778105130519</v>
      </c>
      <c r="AE193" s="121">
        <v>945.06143859489885</v>
      </c>
      <c r="AF193" s="121">
        <v>0</v>
      </c>
      <c r="AG193" s="121">
        <v>508.92756950495891</v>
      </c>
      <c r="AH193" s="121">
        <v>1135</v>
      </c>
      <c r="AI193" s="121">
        <v>1187.523345357514</v>
      </c>
      <c r="AJ193" s="121">
        <v>1702.9710954370796</v>
      </c>
      <c r="AK193" s="121">
        <v>1546.3436122687103</v>
      </c>
      <c r="AL193" s="121">
        <v>1434.502766352944</v>
      </c>
      <c r="AM193" s="121">
        <v>1826.5486240564219</v>
      </c>
      <c r="AN193" s="121">
        <v>1339.9908113481065</v>
      </c>
      <c r="AO193" s="121">
        <v>1444.5394354045284</v>
      </c>
      <c r="AP193" s="121">
        <v>616.80668436167036</v>
      </c>
      <c r="AQ193" s="121">
        <v>1062.6952392471658</v>
      </c>
      <c r="AR193" s="121">
        <v>853.56265109471042</v>
      </c>
      <c r="AS193" s="121">
        <v>0</v>
      </c>
      <c r="AT193" s="121">
        <v>780.65989920755419</v>
      </c>
      <c r="AU193" s="121">
        <v>646.20852326397608</v>
      </c>
      <c r="AV193" s="121">
        <v>138.75714732039796</v>
      </c>
      <c r="AW193" s="121">
        <v>658.30577137681985</v>
      </c>
      <c r="AX193" s="121">
        <v>1062.5807757475557</v>
      </c>
      <c r="AY193" s="121">
        <v>1137.1293998039775</v>
      </c>
    </row>
    <row r="194" spans="1:51" x14ac:dyDescent="0.2">
      <c r="A194" s="124"/>
      <c r="B194" s="141">
        <v>6</v>
      </c>
      <c r="C194" s="121">
        <v>1727.2774890834439</v>
      </c>
      <c r="D194" s="121">
        <v>2218.5830093468744</v>
      </c>
      <c r="E194" s="121">
        <v>2682.572007889406</v>
      </c>
      <c r="F194" s="121">
        <v>2550.8844232219244</v>
      </c>
      <c r="G194" s="121">
        <v>2386.110927971999</v>
      </c>
      <c r="H194" s="121">
        <v>2935.8396286779675</v>
      </c>
      <c r="I194" s="121">
        <v>2575.7571722813791</v>
      </c>
      <c r="J194" s="121">
        <v>2069.2919216186519</v>
      </c>
      <c r="K194" s="121">
        <v>0</v>
      </c>
      <c r="L194" s="121">
        <v>72.389169731495713</v>
      </c>
      <c r="M194" s="121">
        <v>378.9377937879176</v>
      </c>
      <c r="N194" s="121">
        <v>1038</v>
      </c>
      <c r="O194" s="121">
        <v>987.58641185309136</v>
      </c>
      <c r="P194" s="121">
        <v>263.11380542267273</v>
      </c>
      <c r="Q194" s="121">
        <v>0</v>
      </c>
      <c r="R194" s="121">
        <v>0</v>
      </c>
      <c r="S194" s="121">
        <v>0</v>
      </c>
      <c r="T194" s="121">
        <v>434.3540193194126</v>
      </c>
      <c r="U194" s="121">
        <v>791.20634984850199</v>
      </c>
      <c r="V194" s="121">
        <v>845</v>
      </c>
      <c r="W194" s="121">
        <v>1675</v>
      </c>
      <c r="X194" s="121">
        <v>891.65017341401926</v>
      </c>
      <c r="Y194" s="121">
        <v>1045.1015493575974</v>
      </c>
      <c r="Z194" s="121">
        <v>845</v>
      </c>
      <c r="AA194" s="121">
        <v>1062</v>
      </c>
      <c r="AB194" s="121">
        <v>1326.5486240564219</v>
      </c>
      <c r="AC194" s="121">
        <v>1037.1805624002081</v>
      </c>
      <c r="AD194" s="121">
        <v>0</v>
      </c>
      <c r="AE194" s="121">
        <v>0</v>
      </c>
      <c r="AF194" s="121">
        <v>0</v>
      </c>
      <c r="AG194" s="121">
        <v>0</v>
      </c>
      <c r="AH194" s="121">
        <v>0</v>
      </c>
      <c r="AI194" s="121">
        <v>65.476654642485897</v>
      </c>
      <c r="AJ194" s="121">
        <v>247.02890456292033</v>
      </c>
      <c r="AK194" s="121">
        <v>35.656387731289769</v>
      </c>
      <c r="AL194" s="121">
        <v>129.49723364705596</v>
      </c>
      <c r="AM194" s="121">
        <v>120.90171074845858</v>
      </c>
      <c r="AN194" s="121">
        <v>0</v>
      </c>
      <c r="AO194" s="121">
        <v>0</v>
      </c>
      <c r="AP194" s="121">
        <v>0</v>
      </c>
      <c r="AQ194" s="121">
        <v>0</v>
      </c>
      <c r="AR194" s="121">
        <v>0</v>
      </c>
      <c r="AS194" s="121">
        <v>0</v>
      </c>
      <c r="AT194" s="121">
        <v>0</v>
      </c>
      <c r="AU194" s="121">
        <v>0</v>
      </c>
      <c r="AV194" s="121">
        <v>0</v>
      </c>
      <c r="AW194" s="121">
        <v>0</v>
      </c>
      <c r="AX194" s="121">
        <v>0</v>
      </c>
      <c r="AY194" s="121">
        <v>0</v>
      </c>
    </row>
    <row r="195" spans="1:51" x14ac:dyDescent="0.2">
      <c r="A195" s="124"/>
      <c r="B195" s="144">
        <v>7</v>
      </c>
      <c r="C195" s="121">
        <v>296.72251091655608</v>
      </c>
      <c r="D195" s="121">
        <v>111.41699065312559</v>
      </c>
      <c r="E195" s="121">
        <v>95.427992110594005</v>
      </c>
      <c r="F195" s="121">
        <v>151.11557677807548</v>
      </c>
      <c r="G195" s="121">
        <v>45.889072028000953</v>
      </c>
      <c r="H195" s="121">
        <v>185.07791492544379</v>
      </c>
      <c r="I195" s="121">
        <v>0</v>
      </c>
      <c r="J195" s="121">
        <v>0</v>
      </c>
      <c r="K195" s="121">
        <v>0</v>
      </c>
      <c r="L195" s="121">
        <v>0</v>
      </c>
      <c r="M195" s="121">
        <v>0</v>
      </c>
      <c r="N195" s="121">
        <v>0</v>
      </c>
      <c r="O195" s="121">
        <v>188.41358814690861</v>
      </c>
      <c r="P195" s="121">
        <v>554.88619457732727</v>
      </c>
      <c r="Q195" s="121">
        <v>949</v>
      </c>
      <c r="R195" s="121">
        <v>878</v>
      </c>
      <c r="S195" s="121">
        <v>1053</v>
      </c>
      <c r="T195" s="121">
        <v>1142.6459806805874</v>
      </c>
      <c r="U195" s="121">
        <v>1169.793650151498</v>
      </c>
      <c r="V195" s="121">
        <v>811.43586393388432</v>
      </c>
      <c r="W195" s="121">
        <v>0</v>
      </c>
      <c r="X195" s="121">
        <v>607.34982658598074</v>
      </c>
      <c r="Y195" s="121">
        <v>434.89845064240262</v>
      </c>
      <c r="Z195" s="121">
        <v>781.44707469882451</v>
      </c>
      <c r="AA195" s="121">
        <v>0</v>
      </c>
      <c r="AB195" s="121">
        <v>837.08331428736437</v>
      </c>
      <c r="AC195" s="121">
        <v>0</v>
      </c>
      <c r="AD195" s="121">
        <v>0</v>
      </c>
      <c r="AE195" s="121">
        <v>0</v>
      </c>
      <c r="AF195" s="121">
        <v>0</v>
      </c>
      <c r="AG195" s="121">
        <v>0</v>
      </c>
      <c r="AH195" s="121">
        <v>0</v>
      </c>
      <c r="AI195" s="121">
        <v>0</v>
      </c>
      <c r="AJ195" s="121">
        <v>0</v>
      </c>
      <c r="AK195" s="121">
        <v>0</v>
      </c>
      <c r="AL195" s="121">
        <v>0</v>
      </c>
      <c r="AM195" s="121">
        <v>0</v>
      </c>
      <c r="AN195" s="121">
        <v>0</v>
      </c>
      <c r="AO195" s="121">
        <v>0</v>
      </c>
      <c r="AP195" s="121">
        <v>0</v>
      </c>
      <c r="AQ195" s="121">
        <v>0</v>
      </c>
      <c r="AR195" s="121">
        <v>0</v>
      </c>
      <c r="AS195" s="121">
        <v>0</v>
      </c>
      <c r="AT195" s="121">
        <v>0</v>
      </c>
      <c r="AU195" s="121">
        <v>0</v>
      </c>
      <c r="AV195" s="121">
        <v>0</v>
      </c>
      <c r="AW195" s="121">
        <v>0</v>
      </c>
      <c r="AX195" s="121">
        <v>0</v>
      </c>
      <c r="AY195" s="121">
        <v>0</v>
      </c>
    </row>
    <row r="196" spans="1:51" x14ac:dyDescent="0.2">
      <c r="A196" s="142"/>
      <c r="B196" s="143">
        <v>8</v>
      </c>
      <c r="C196" s="128">
        <v>0</v>
      </c>
      <c r="D196" s="128">
        <v>0</v>
      </c>
      <c r="E196" s="128">
        <v>0</v>
      </c>
      <c r="F196" s="128">
        <v>0</v>
      </c>
      <c r="G196" s="128">
        <v>0</v>
      </c>
      <c r="H196" s="128">
        <v>0</v>
      </c>
      <c r="I196" s="128">
        <v>0</v>
      </c>
      <c r="J196" s="128">
        <v>0</v>
      </c>
      <c r="K196" s="128">
        <v>0</v>
      </c>
      <c r="L196" s="128">
        <v>0</v>
      </c>
      <c r="M196" s="128">
        <v>0</v>
      </c>
      <c r="N196" s="128">
        <v>0</v>
      </c>
      <c r="O196" s="128">
        <v>0</v>
      </c>
      <c r="P196" s="128">
        <v>0</v>
      </c>
      <c r="Q196" s="128">
        <v>0</v>
      </c>
      <c r="R196" s="128">
        <v>0</v>
      </c>
      <c r="S196" s="128">
        <v>0</v>
      </c>
      <c r="T196" s="128">
        <v>0</v>
      </c>
      <c r="U196" s="128">
        <v>0</v>
      </c>
      <c r="V196" s="128">
        <v>0</v>
      </c>
      <c r="W196" s="128">
        <v>0</v>
      </c>
      <c r="X196" s="128">
        <v>0</v>
      </c>
      <c r="Y196" s="128">
        <v>0</v>
      </c>
      <c r="Z196" s="128">
        <v>0</v>
      </c>
      <c r="AA196" s="128">
        <v>0</v>
      </c>
      <c r="AB196" s="128">
        <v>0</v>
      </c>
      <c r="AC196" s="128">
        <v>0</v>
      </c>
      <c r="AD196" s="128">
        <v>0</v>
      </c>
      <c r="AE196" s="128">
        <v>0</v>
      </c>
      <c r="AF196" s="128">
        <v>0</v>
      </c>
      <c r="AG196" s="128">
        <v>0</v>
      </c>
      <c r="AH196" s="128">
        <v>0</v>
      </c>
      <c r="AI196" s="128">
        <v>0</v>
      </c>
      <c r="AJ196" s="128">
        <v>0</v>
      </c>
      <c r="AK196" s="128">
        <v>0</v>
      </c>
      <c r="AL196" s="128">
        <v>0</v>
      </c>
      <c r="AM196" s="128">
        <v>0</v>
      </c>
      <c r="AN196" s="128">
        <v>0</v>
      </c>
      <c r="AO196" s="128">
        <v>0</v>
      </c>
      <c r="AP196" s="128">
        <v>0</v>
      </c>
      <c r="AQ196" s="128">
        <v>0</v>
      </c>
      <c r="AR196" s="128">
        <v>0</v>
      </c>
      <c r="AS196" s="128">
        <v>0</v>
      </c>
      <c r="AT196" s="128">
        <v>0</v>
      </c>
      <c r="AU196" s="128">
        <v>0</v>
      </c>
      <c r="AV196" s="128">
        <v>0</v>
      </c>
      <c r="AW196" s="128">
        <v>0</v>
      </c>
      <c r="AX196" s="128">
        <v>0</v>
      </c>
      <c r="AY196" s="128">
        <v>0</v>
      </c>
    </row>
    <row r="197" spans="1:51" x14ac:dyDescent="0.2">
      <c r="A197" s="145" t="s">
        <v>134</v>
      </c>
      <c r="B197" s="133">
        <v>1</v>
      </c>
      <c r="C197" s="121">
        <v>0</v>
      </c>
      <c r="D197" s="121">
        <v>0</v>
      </c>
      <c r="E197" s="121">
        <v>0</v>
      </c>
      <c r="F197" s="121">
        <v>0</v>
      </c>
      <c r="G197" s="121">
        <v>0</v>
      </c>
      <c r="H197" s="121">
        <v>0</v>
      </c>
      <c r="I197" s="121">
        <v>0</v>
      </c>
      <c r="J197" s="121">
        <v>0</v>
      </c>
      <c r="K197" s="121">
        <v>0</v>
      </c>
      <c r="L197" s="121">
        <v>0</v>
      </c>
      <c r="M197" s="121">
        <v>0</v>
      </c>
      <c r="N197" s="121">
        <v>0</v>
      </c>
      <c r="O197" s="121">
        <v>0</v>
      </c>
      <c r="P197" s="121">
        <v>0</v>
      </c>
      <c r="Q197" s="121">
        <v>0</v>
      </c>
      <c r="R197" s="121">
        <v>0</v>
      </c>
      <c r="S197" s="121">
        <v>0</v>
      </c>
      <c r="T197" s="121">
        <v>0</v>
      </c>
      <c r="U197" s="121">
        <v>0</v>
      </c>
      <c r="V197" s="121">
        <v>0</v>
      </c>
      <c r="W197" s="121">
        <v>0</v>
      </c>
      <c r="X197" s="121">
        <v>0</v>
      </c>
      <c r="Y197" s="121">
        <v>0</v>
      </c>
      <c r="Z197" s="121">
        <v>0</v>
      </c>
      <c r="AA197" s="121">
        <v>0</v>
      </c>
      <c r="AB197" s="121">
        <v>0</v>
      </c>
      <c r="AC197" s="121">
        <v>0</v>
      </c>
      <c r="AD197" s="121">
        <v>0</v>
      </c>
      <c r="AE197" s="121">
        <v>0</v>
      </c>
      <c r="AF197" s="121">
        <v>0</v>
      </c>
      <c r="AG197" s="121">
        <v>0</v>
      </c>
      <c r="AH197" s="121">
        <v>0</v>
      </c>
      <c r="AI197" s="121">
        <v>0</v>
      </c>
      <c r="AJ197" s="121">
        <v>0</v>
      </c>
      <c r="AK197" s="121">
        <v>0</v>
      </c>
      <c r="AL197" s="121">
        <v>0</v>
      </c>
      <c r="AM197" s="121">
        <v>0</v>
      </c>
      <c r="AN197" s="121">
        <v>0</v>
      </c>
      <c r="AO197" s="121">
        <v>0</v>
      </c>
      <c r="AP197" s="121">
        <v>0</v>
      </c>
      <c r="AQ197" s="121">
        <v>0</v>
      </c>
      <c r="AR197" s="121">
        <v>0</v>
      </c>
      <c r="AS197" s="121">
        <v>0</v>
      </c>
      <c r="AT197" s="121">
        <v>0</v>
      </c>
      <c r="AU197" s="121">
        <v>0</v>
      </c>
      <c r="AV197" s="121">
        <v>0</v>
      </c>
      <c r="AW197" s="121">
        <v>0</v>
      </c>
      <c r="AX197" s="121">
        <v>0</v>
      </c>
      <c r="AY197" s="121">
        <v>0</v>
      </c>
    </row>
    <row r="198" spans="1:51" x14ac:dyDescent="0.2">
      <c r="A198" s="124"/>
      <c r="B198" s="133">
        <v>2</v>
      </c>
      <c r="C198" s="121">
        <v>0</v>
      </c>
      <c r="D198" s="121">
        <v>0</v>
      </c>
      <c r="E198" s="121">
        <v>0</v>
      </c>
      <c r="F198" s="121">
        <v>0</v>
      </c>
      <c r="G198" s="121">
        <v>0</v>
      </c>
      <c r="H198" s="121">
        <v>0</v>
      </c>
      <c r="I198" s="121">
        <v>0</v>
      </c>
      <c r="J198" s="121">
        <v>0</v>
      </c>
      <c r="K198" s="121">
        <v>0</v>
      </c>
      <c r="L198" s="121">
        <v>0</v>
      </c>
      <c r="M198" s="121">
        <v>0</v>
      </c>
      <c r="N198" s="121">
        <v>0</v>
      </c>
      <c r="O198" s="121">
        <v>0</v>
      </c>
      <c r="P198" s="121">
        <v>0</v>
      </c>
      <c r="Q198" s="121">
        <v>0</v>
      </c>
      <c r="R198" s="121">
        <v>0</v>
      </c>
      <c r="S198" s="121">
        <v>0</v>
      </c>
      <c r="T198" s="121">
        <v>0</v>
      </c>
      <c r="U198" s="121">
        <v>0</v>
      </c>
      <c r="V198" s="121">
        <v>0</v>
      </c>
      <c r="W198" s="121">
        <v>0</v>
      </c>
      <c r="X198" s="121">
        <v>0</v>
      </c>
      <c r="Y198" s="121">
        <v>0</v>
      </c>
      <c r="Z198" s="121">
        <v>0</v>
      </c>
      <c r="AA198" s="121">
        <v>0</v>
      </c>
      <c r="AB198" s="121">
        <v>0</v>
      </c>
      <c r="AC198" s="121">
        <v>0</v>
      </c>
      <c r="AD198" s="121">
        <v>0</v>
      </c>
      <c r="AE198" s="121">
        <v>0</v>
      </c>
      <c r="AF198" s="121">
        <v>0</v>
      </c>
      <c r="AG198" s="121">
        <v>0</v>
      </c>
      <c r="AH198" s="121">
        <v>0</v>
      </c>
      <c r="AI198" s="121">
        <v>0</v>
      </c>
      <c r="AJ198" s="121">
        <v>0</v>
      </c>
      <c r="AK198" s="121">
        <v>0</v>
      </c>
      <c r="AL198" s="121">
        <v>0</v>
      </c>
      <c r="AM198" s="121">
        <v>0</v>
      </c>
      <c r="AN198" s="121">
        <v>0</v>
      </c>
      <c r="AO198" s="121">
        <v>0</v>
      </c>
      <c r="AP198" s="121">
        <v>0</v>
      </c>
      <c r="AQ198" s="121">
        <v>0</v>
      </c>
      <c r="AR198" s="121">
        <v>0</v>
      </c>
      <c r="AS198" s="121">
        <v>0</v>
      </c>
      <c r="AT198" s="121">
        <v>0</v>
      </c>
      <c r="AU198" s="121">
        <v>0</v>
      </c>
      <c r="AV198" s="121">
        <v>0</v>
      </c>
      <c r="AW198" s="121">
        <v>0</v>
      </c>
      <c r="AX198" s="121">
        <v>0</v>
      </c>
      <c r="AY198" s="121">
        <v>0</v>
      </c>
    </row>
    <row r="199" spans="1:51" x14ac:dyDescent="0.2">
      <c r="A199" s="124"/>
      <c r="B199" s="133">
        <v>3</v>
      </c>
      <c r="C199" s="121">
        <v>0</v>
      </c>
      <c r="D199" s="121">
        <v>0</v>
      </c>
      <c r="E199" s="121">
        <v>0</v>
      </c>
      <c r="F199" s="121">
        <v>0</v>
      </c>
      <c r="G199" s="121">
        <v>0</v>
      </c>
      <c r="H199" s="121">
        <v>0</v>
      </c>
      <c r="I199" s="121">
        <v>0</v>
      </c>
      <c r="J199" s="121">
        <v>0</v>
      </c>
      <c r="K199" s="121">
        <v>0</v>
      </c>
      <c r="L199" s="121">
        <v>0</v>
      </c>
      <c r="M199" s="121">
        <v>0</v>
      </c>
      <c r="N199" s="121">
        <v>0</v>
      </c>
      <c r="O199" s="121">
        <v>0</v>
      </c>
      <c r="P199" s="121">
        <v>0</v>
      </c>
      <c r="Q199" s="121">
        <v>0</v>
      </c>
      <c r="R199" s="121">
        <v>0</v>
      </c>
      <c r="S199" s="121">
        <v>0</v>
      </c>
      <c r="T199" s="121">
        <v>0</v>
      </c>
      <c r="U199" s="121">
        <v>0</v>
      </c>
      <c r="V199" s="121">
        <v>0</v>
      </c>
      <c r="W199" s="121">
        <v>0</v>
      </c>
      <c r="X199" s="121">
        <v>0</v>
      </c>
      <c r="Y199" s="121">
        <v>0</v>
      </c>
      <c r="Z199" s="121">
        <v>0</v>
      </c>
      <c r="AA199" s="121">
        <v>0</v>
      </c>
      <c r="AB199" s="121">
        <v>0</v>
      </c>
      <c r="AC199" s="121">
        <v>0</v>
      </c>
      <c r="AD199" s="121">
        <v>0</v>
      </c>
      <c r="AE199" s="121">
        <v>0</v>
      </c>
      <c r="AF199" s="121">
        <v>0</v>
      </c>
      <c r="AG199" s="121">
        <v>0</v>
      </c>
      <c r="AH199" s="121">
        <v>0</v>
      </c>
      <c r="AI199" s="121">
        <v>0</v>
      </c>
      <c r="AJ199" s="121">
        <v>0</v>
      </c>
      <c r="AK199" s="121">
        <v>0</v>
      </c>
      <c r="AL199" s="121">
        <v>0</v>
      </c>
      <c r="AM199" s="121">
        <v>0</v>
      </c>
      <c r="AN199" s="121">
        <v>0</v>
      </c>
      <c r="AO199" s="121">
        <v>0</v>
      </c>
      <c r="AP199" s="121">
        <v>0</v>
      </c>
      <c r="AQ199" s="121">
        <v>0</v>
      </c>
      <c r="AR199" s="121">
        <v>0</v>
      </c>
      <c r="AS199" s="121">
        <v>0</v>
      </c>
      <c r="AT199" s="121">
        <v>0</v>
      </c>
      <c r="AU199" s="121">
        <v>0</v>
      </c>
      <c r="AV199" s="121">
        <v>0</v>
      </c>
      <c r="AW199" s="121">
        <v>0</v>
      </c>
      <c r="AX199" s="121">
        <v>0</v>
      </c>
      <c r="AY199" s="121">
        <v>0</v>
      </c>
    </row>
    <row r="200" spans="1:51" x14ac:dyDescent="0.2">
      <c r="A200" s="124"/>
      <c r="B200" s="134">
        <v>4</v>
      </c>
      <c r="C200" s="121">
        <v>0</v>
      </c>
      <c r="D200" s="121">
        <v>0</v>
      </c>
      <c r="E200" s="121">
        <v>0</v>
      </c>
      <c r="F200" s="121">
        <v>0</v>
      </c>
      <c r="G200" s="121">
        <v>0</v>
      </c>
      <c r="H200" s="121">
        <v>0</v>
      </c>
      <c r="I200" s="121">
        <v>0</v>
      </c>
      <c r="J200" s="121">
        <v>0</v>
      </c>
      <c r="K200" s="121">
        <v>0</v>
      </c>
      <c r="L200" s="121">
        <v>0</v>
      </c>
      <c r="M200" s="121">
        <v>0</v>
      </c>
      <c r="N200" s="121">
        <v>0</v>
      </c>
      <c r="O200" s="121">
        <v>0</v>
      </c>
      <c r="P200" s="121">
        <v>0</v>
      </c>
      <c r="Q200" s="121">
        <v>0</v>
      </c>
      <c r="R200" s="121">
        <v>0</v>
      </c>
      <c r="S200" s="121">
        <v>0</v>
      </c>
      <c r="T200" s="121">
        <v>0</v>
      </c>
      <c r="U200" s="121">
        <v>0</v>
      </c>
      <c r="V200" s="121">
        <v>0</v>
      </c>
      <c r="W200" s="121">
        <v>0</v>
      </c>
      <c r="X200" s="121">
        <v>0</v>
      </c>
      <c r="Y200" s="121">
        <v>0</v>
      </c>
      <c r="Z200" s="121">
        <v>0</v>
      </c>
      <c r="AA200" s="121">
        <v>0</v>
      </c>
      <c r="AB200" s="121">
        <v>0</v>
      </c>
      <c r="AC200" s="121">
        <v>0</v>
      </c>
      <c r="AD200" s="121">
        <v>0</v>
      </c>
      <c r="AE200" s="121">
        <v>0</v>
      </c>
      <c r="AF200" s="121">
        <v>0</v>
      </c>
      <c r="AG200" s="121">
        <v>0</v>
      </c>
      <c r="AH200" s="121">
        <v>0</v>
      </c>
      <c r="AI200" s="121">
        <v>0</v>
      </c>
      <c r="AJ200" s="121">
        <v>0</v>
      </c>
      <c r="AK200" s="121">
        <v>0</v>
      </c>
      <c r="AL200" s="121">
        <v>0</v>
      </c>
      <c r="AM200" s="121">
        <v>0</v>
      </c>
      <c r="AN200" s="121">
        <v>0</v>
      </c>
      <c r="AO200" s="121">
        <v>0</v>
      </c>
      <c r="AP200" s="121">
        <v>0</v>
      </c>
      <c r="AQ200" s="121">
        <v>0</v>
      </c>
      <c r="AR200" s="121">
        <v>0</v>
      </c>
      <c r="AS200" s="121">
        <v>0</v>
      </c>
      <c r="AT200" s="121">
        <v>0</v>
      </c>
      <c r="AU200" s="121">
        <v>0</v>
      </c>
      <c r="AV200" s="121">
        <v>0</v>
      </c>
      <c r="AW200" s="121">
        <v>0</v>
      </c>
      <c r="AX200" s="121">
        <v>0</v>
      </c>
      <c r="AY200" s="121">
        <v>0</v>
      </c>
    </row>
    <row r="201" spans="1:51" x14ac:dyDescent="0.2">
      <c r="A201" s="124"/>
      <c r="B201" s="134">
        <v>5</v>
      </c>
      <c r="C201" s="121">
        <v>0</v>
      </c>
      <c r="D201" s="121">
        <v>0</v>
      </c>
      <c r="E201" s="121">
        <v>0</v>
      </c>
      <c r="F201" s="121">
        <v>0</v>
      </c>
      <c r="G201" s="121">
        <v>0</v>
      </c>
      <c r="H201" s="121">
        <v>0</v>
      </c>
      <c r="I201" s="121">
        <v>0</v>
      </c>
      <c r="J201" s="121">
        <v>0</v>
      </c>
      <c r="K201" s="121">
        <v>0</v>
      </c>
      <c r="L201" s="121">
        <v>0</v>
      </c>
      <c r="M201" s="121">
        <v>0</v>
      </c>
      <c r="N201" s="121">
        <v>135.25725674337082</v>
      </c>
      <c r="O201" s="121">
        <v>229.88376476948156</v>
      </c>
      <c r="P201" s="121">
        <v>304.00849942425612</v>
      </c>
      <c r="Q201" s="121">
        <v>366.91275215664859</v>
      </c>
      <c r="R201" s="121">
        <v>226.38262858944336</v>
      </c>
      <c r="S201" s="121">
        <v>424.70975521316336</v>
      </c>
      <c r="T201" s="121">
        <v>83.623269082590014</v>
      </c>
      <c r="U201" s="121">
        <v>0</v>
      </c>
      <c r="V201" s="121">
        <v>0</v>
      </c>
      <c r="W201" s="121">
        <v>0</v>
      </c>
      <c r="X201" s="121">
        <v>0</v>
      </c>
      <c r="Y201" s="121">
        <v>0</v>
      </c>
      <c r="Z201" s="121">
        <v>0</v>
      </c>
      <c r="AA201" s="121">
        <v>0</v>
      </c>
      <c r="AB201" s="121">
        <v>0</v>
      </c>
      <c r="AC201" s="121">
        <v>0</v>
      </c>
      <c r="AD201" s="121">
        <v>0</v>
      </c>
      <c r="AE201" s="121">
        <v>0</v>
      </c>
      <c r="AF201" s="121">
        <v>0</v>
      </c>
      <c r="AG201" s="121">
        <v>0</v>
      </c>
      <c r="AH201" s="121">
        <v>0</v>
      </c>
      <c r="AI201" s="121">
        <v>0</v>
      </c>
      <c r="AJ201" s="121">
        <v>0</v>
      </c>
      <c r="AK201" s="121">
        <v>0</v>
      </c>
      <c r="AL201" s="121">
        <v>0</v>
      </c>
      <c r="AM201" s="121">
        <v>0</v>
      </c>
      <c r="AN201" s="121">
        <v>0</v>
      </c>
      <c r="AO201" s="121">
        <v>0</v>
      </c>
      <c r="AP201" s="121">
        <v>0</v>
      </c>
      <c r="AQ201" s="121">
        <v>0</v>
      </c>
      <c r="AR201" s="121">
        <v>0</v>
      </c>
      <c r="AS201" s="121">
        <v>0</v>
      </c>
      <c r="AT201" s="121">
        <v>0</v>
      </c>
      <c r="AU201" s="121">
        <v>0</v>
      </c>
      <c r="AV201" s="121">
        <v>0</v>
      </c>
      <c r="AW201" s="121">
        <v>0</v>
      </c>
      <c r="AX201" s="121">
        <v>0</v>
      </c>
      <c r="AY201" s="121">
        <v>0</v>
      </c>
    </row>
    <row r="202" spans="1:51" x14ac:dyDescent="0.2">
      <c r="A202" s="124"/>
      <c r="B202" s="134">
        <v>6</v>
      </c>
      <c r="C202" s="121">
        <v>0</v>
      </c>
      <c r="D202" s="121">
        <v>0</v>
      </c>
      <c r="E202" s="121">
        <v>0</v>
      </c>
      <c r="F202" s="121">
        <v>0</v>
      </c>
      <c r="G202" s="121">
        <v>0</v>
      </c>
      <c r="H202" s="121">
        <v>0</v>
      </c>
      <c r="I202" s="121">
        <v>0</v>
      </c>
      <c r="J202" s="121">
        <v>0</v>
      </c>
      <c r="K202" s="121">
        <v>0</v>
      </c>
      <c r="L202" s="121">
        <v>220.79035537103209</v>
      </c>
      <c r="M202" s="121">
        <v>905.63986088487718</v>
      </c>
      <c r="N202" s="121">
        <v>1115.111124755872</v>
      </c>
      <c r="O202" s="121">
        <v>1188.1162352305184</v>
      </c>
      <c r="P202" s="121">
        <v>1350.9915005757439</v>
      </c>
      <c r="Q202" s="121">
        <v>1460.0872478433514</v>
      </c>
      <c r="R202" s="121">
        <v>1495.6173714105566</v>
      </c>
      <c r="S202" s="121">
        <v>1362.2902447868366</v>
      </c>
      <c r="T202" s="121">
        <v>962.37673091740999</v>
      </c>
      <c r="U202" s="121">
        <v>1049</v>
      </c>
      <c r="V202" s="121">
        <v>887.74594882544875</v>
      </c>
      <c r="W202" s="121">
        <v>705.25319890073297</v>
      </c>
      <c r="X202" s="121">
        <v>645.25586638507116</v>
      </c>
      <c r="Y202" s="121">
        <v>249.70682384924044</v>
      </c>
      <c r="Z202" s="121">
        <v>0</v>
      </c>
      <c r="AA202" s="121">
        <v>0</v>
      </c>
      <c r="AB202" s="121">
        <v>0</v>
      </c>
      <c r="AC202" s="121">
        <v>0</v>
      </c>
      <c r="AD202" s="121">
        <v>0</v>
      </c>
      <c r="AE202" s="121">
        <v>0</v>
      </c>
      <c r="AF202" s="121">
        <v>0</v>
      </c>
      <c r="AG202" s="121">
        <v>0</v>
      </c>
      <c r="AH202" s="121">
        <v>0</v>
      </c>
      <c r="AI202" s="121">
        <v>0</v>
      </c>
      <c r="AJ202" s="121">
        <v>0</v>
      </c>
      <c r="AK202" s="121">
        <v>0</v>
      </c>
      <c r="AL202" s="121">
        <v>0</v>
      </c>
      <c r="AM202" s="121">
        <v>0</v>
      </c>
      <c r="AN202" s="121">
        <v>0</v>
      </c>
      <c r="AO202" s="121">
        <v>0</v>
      </c>
      <c r="AP202" s="121">
        <v>0</v>
      </c>
      <c r="AQ202" s="121">
        <v>0</v>
      </c>
      <c r="AR202" s="121">
        <v>0</v>
      </c>
      <c r="AS202" s="121">
        <v>0</v>
      </c>
      <c r="AT202" s="121">
        <v>0</v>
      </c>
      <c r="AU202" s="121">
        <v>0</v>
      </c>
      <c r="AV202" s="121">
        <v>0</v>
      </c>
      <c r="AW202" s="121">
        <v>0</v>
      </c>
      <c r="AX202" s="121">
        <v>0</v>
      </c>
      <c r="AY202" s="121">
        <v>0</v>
      </c>
    </row>
    <row r="203" spans="1:51" x14ac:dyDescent="0.2">
      <c r="A203" s="124"/>
      <c r="B203" s="141">
        <v>7</v>
      </c>
      <c r="C203" s="121">
        <v>648.6167159727479</v>
      </c>
      <c r="D203" s="121">
        <v>410.23679384040202</v>
      </c>
      <c r="E203" s="121">
        <v>294.98276023640369</v>
      </c>
      <c r="F203" s="121">
        <v>36.872442041479417</v>
      </c>
      <c r="G203" s="121">
        <v>0</v>
      </c>
      <c r="H203" s="121">
        <v>57.643799145613229</v>
      </c>
      <c r="I203" s="121">
        <v>455.78205237560019</v>
      </c>
      <c r="J203" s="121">
        <v>579.37709729839594</v>
      </c>
      <c r="K203" s="121">
        <v>831.35077724567827</v>
      </c>
      <c r="L203" s="121">
        <v>1119.9963778893102</v>
      </c>
      <c r="M203" s="121">
        <v>843.36013911512282</v>
      </c>
      <c r="N203" s="121">
        <v>292.63161850075721</v>
      </c>
      <c r="O203" s="121">
        <v>0</v>
      </c>
      <c r="P203" s="121">
        <v>0</v>
      </c>
      <c r="Q203" s="121">
        <v>0</v>
      </c>
      <c r="R203" s="121">
        <v>0</v>
      </c>
      <c r="S203" s="121">
        <v>0</v>
      </c>
      <c r="T203" s="121">
        <v>0</v>
      </c>
      <c r="U203" s="121">
        <v>0</v>
      </c>
      <c r="V203" s="121">
        <v>41.25405117455125</v>
      </c>
      <c r="W203" s="121">
        <v>209.74680109926703</v>
      </c>
      <c r="X203" s="121">
        <v>524.74413361492884</v>
      </c>
      <c r="Y203" s="121">
        <v>705.29317615075956</v>
      </c>
      <c r="Z203" s="121">
        <v>1190</v>
      </c>
      <c r="AA203" s="121">
        <v>1171.8899797213105</v>
      </c>
      <c r="AB203" s="121">
        <v>875.99789667378423</v>
      </c>
      <c r="AC203" s="121">
        <v>710.29706597614745</v>
      </c>
      <c r="AD203" s="121">
        <v>639.26040298367548</v>
      </c>
      <c r="AE203" s="121">
        <v>501.7278578357691</v>
      </c>
      <c r="AF203" s="121">
        <v>852.76124677228336</v>
      </c>
      <c r="AG203" s="121">
        <v>1080.7758981437448</v>
      </c>
      <c r="AH203" s="121">
        <v>1193.0810575599687</v>
      </c>
      <c r="AI203" s="121">
        <v>1049.0131091731205</v>
      </c>
      <c r="AJ203" s="121">
        <v>1485.6649939661941</v>
      </c>
      <c r="AK203" s="121">
        <v>1346.7817344949808</v>
      </c>
      <c r="AL203" s="121">
        <v>1098.6138123403666</v>
      </c>
      <c r="AM203" s="121">
        <v>1154.2483646138016</v>
      </c>
      <c r="AN203" s="121">
        <v>17.66334273333996</v>
      </c>
      <c r="AO203" s="121">
        <v>0</v>
      </c>
      <c r="AP203" s="121">
        <v>0</v>
      </c>
      <c r="AQ203" s="121">
        <v>0</v>
      </c>
      <c r="AR203" s="121">
        <v>0</v>
      </c>
      <c r="AS203" s="121">
        <v>0</v>
      </c>
      <c r="AT203" s="121">
        <v>520.3735282835114</v>
      </c>
      <c r="AU203" s="121">
        <v>968.5432891004898</v>
      </c>
      <c r="AV203" s="121">
        <v>25.265945501555052</v>
      </c>
      <c r="AW203" s="121">
        <v>0</v>
      </c>
      <c r="AX203" s="121">
        <v>0</v>
      </c>
      <c r="AY203" s="121">
        <v>0</v>
      </c>
    </row>
    <row r="204" spans="1:51" x14ac:dyDescent="0.2">
      <c r="A204" s="124"/>
      <c r="B204" s="141">
        <v>8</v>
      </c>
      <c r="C204" s="121">
        <v>533.3832840272521</v>
      </c>
      <c r="D204" s="121">
        <v>492.76320615959798</v>
      </c>
      <c r="E204" s="121">
        <v>655.01723976359631</v>
      </c>
      <c r="F204" s="121">
        <v>789.12755795852058</v>
      </c>
      <c r="G204" s="121">
        <v>950</v>
      </c>
      <c r="H204" s="121">
        <v>1163.3175533108354</v>
      </c>
      <c r="I204" s="121">
        <v>1061.2179476243998</v>
      </c>
      <c r="J204" s="121">
        <v>615.62290270160406</v>
      </c>
      <c r="K204" s="121">
        <v>512.64922275432173</v>
      </c>
      <c r="L204" s="121">
        <v>421.21326673965768</v>
      </c>
      <c r="M204" s="121">
        <v>0</v>
      </c>
      <c r="N204" s="121">
        <v>0</v>
      </c>
      <c r="O204" s="121">
        <v>0</v>
      </c>
      <c r="P204" s="121">
        <v>0</v>
      </c>
      <c r="Q204" s="121">
        <v>0</v>
      </c>
      <c r="R204" s="121">
        <v>0</v>
      </c>
      <c r="S204" s="121">
        <v>0</v>
      </c>
      <c r="T204" s="121">
        <v>0</v>
      </c>
      <c r="U204" s="121">
        <v>0</v>
      </c>
      <c r="V204" s="121">
        <v>0</v>
      </c>
      <c r="W204" s="121">
        <v>0</v>
      </c>
      <c r="X204" s="121">
        <v>0</v>
      </c>
      <c r="Y204" s="121">
        <v>0</v>
      </c>
      <c r="Z204" s="121">
        <v>0</v>
      </c>
      <c r="AA204" s="121">
        <v>88.11002027868949</v>
      </c>
      <c r="AB204" s="121">
        <v>308.00210332621577</v>
      </c>
      <c r="AC204" s="121">
        <v>397.70293402385255</v>
      </c>
      <c r="AD204" s="121">
        <v>506.73959701632452</v>
      </c>
      <c r="AE204" s="121">
        <v>528.2721421642309</v>
      </c>
      <c r="AF204" s="121">
        <v>539.23875322771664</v>
      </c>
      <c r="AG204" s="121">
        <v>386.22410185625517</v>
      </c>
      <c r="AH204" s="121">
        <v>296.91894244003129</v>
      </c>
      <c r="AI204" s="121">
        <v>402.98689082687952</v>
      </c>
      <c r="AJ204" s="121">
        <v>732.33500603380594</v>
      </c>
      <c r="AK204" s="121">
        <v>556.21826550501919</v>
      </c>
      <c r="AL204" s="121">
        <v>874.38618765963338</v>
      </c>
      <c r="AM204" s="121">
        <v>1242.7516353861984</v>
      </c>
      <c r="AN204" s="121">
        <v>1293.33665726666</v>
      </c>
      <c r="AO204" s="121">
        <v>1391</v>
      </c>
      <c r="AP204" s="121">
        <v>354.22744531521903</v>
      </c>
      <c r="AQ204" s="121">
        <v>0</v>
      </c>
      <c r="AR204" s="121">
        <v>820.15501320845669</v>
      </c>
      <c r="AS204" s="121">
        <v>1848.6167041107137</v>
      </c>
      <c r="AT204" s="121">
        <v>2154.6244435240737</v>
      </c>
      <c r="AU204" s="121">
        <v>1618.4567108995102</v>
      </c>
      <c r="AV204" s="121">
        <v>1213.7340544984449</v>
      </c>
      <c r="AW204" s="121">
        <v>952</v>
      </c>
      <c r="AX204" s="121">
        <v>0</v>
      </c>
      <c r="AY204" s="121">
        <v>0</v>
      </c>
    </row>
    <row r="205" spans="1:51" x14ac:dyDescent="0.2">
      <c r="A205" s="124"/>
      <c r="B205" s="141">
        <v>9</v>
      </c>
      <c r="C205" s="121">
        <v>0</v>
      </c>
      <c r="D205" s="121">
        <v>0</v>
      </c>
      <c r="E205" s="121">
        <v>0</v>
      </c>
      <c r="F205" s="121">
        <v>0</v>
      </c>
      <c r="G205" s="121">
        <v>0</v>
      </c>
      <c r="H205" s="121">
        <v>123.03864754355141</v>
      </c>
      <c r="I205" s="121">
        <v>0</v>
      </c>
      <c r="J205" s="121">
        <v>0</v>
      </c>
      <c r="K205" s="121">
        <v>0</v>
      </c>
      <c r="L205" s="121">
        <v>0</v>
      </c>
      <c r="M205" s="121">
        <v>0</v>
      </c>
      <c r="N205" s="121">
        <v>0</v>
      </c>
      <c r="O205" s="121">
        <v>0</v>
      </c>
      <c r="P205" s="121">
        <v>0</v>
      </c>
      <c r="Q205" s="121">
        <v>0</v>
      </c>
      <c r="R205" s="121">
        <v>0</v>
      </c>
      <c r="S205" s="121">
        <v>0</v>
      </c>
      <c r="T205" s="121">
        <v>0</v>
      </c>
      <c r="U205" s="121">
        <v>0</v>
      </c>
      <c r="V205" s="121">
        <v>0</v>
      </c>
      <c r="W205" s="121">
        <v>0</v>
      </c>
      <c r="X205" s="121">
        <v>0</v>
      </c>
      <c r="Y205" s="121">
        <v>0</v>
      </c>
      <c r="Z205" s="121">
        <v>0</v>
      </c>
      <c r="AA205" s="121">
        <v>0</v>
      </c>
      <c r="AB205" s="121">
        <v>0</v>
      </c>
      <c r="AC205" s="121">
        <v>0</v>
      </c>
      <c r="AD205" s="121">
        <v>0</v>
      </c>
      <c r="AE205" s="121">
        <v>0</v>
      </c>
      <c r="AF205" s="121">
        <v>0</v>
      </c>
      <c r="AG205" s="121">
        <v>0</v>
      </c>
      <c r="AH205" s="121">
        <v>0</v>
      </c>
      <c r="AI205" s="121">
        <v>0</v>
      </c>
      <c r="AJ205" s="121">
        <v>0</v>
      </c>
      <c r="AK205" s="121">
        <v>0</v>
      </c>
      <c r="AL205" s="121">
        <v>0</v>
      </c>
      <c r="AM205" s="121">
        <v>0</v>
      </c>
      <c r="AN205" s="121">
        <v>0</v>
      </c>
      <c r="AO205" s="121">
        <v>0</v>
      </c>
      <c r="AP205" s="121">
        <v>1004.772554684781</v>
      </c>
      <c r="AQ205" s="121">
        <v>1306</v>
      </c>
      <c r="AR205" s="121">
        <v>2129.8449867915433</v>
      </c>
      <c r="AS205" s="121">
        <v>1631.3832958892863</v>
      </c>
      <c r="AT205" s="121">
        <v>428.00202819241485</v>
      </c>
      <c r="AU205" s="121">
        <v>0</v>
      </c>
      <c r="AV205" s="121">
        <v>0</v>
      </c>
      <c r="AW205" s="121">
        <v>0</v>
      </c>
      <c r="AX205" s="121">
        <v>1390</v>
      </c>
      <c r="AY205" s="121">
        <v>1247.9574603987851</v>
      </c>
    </row>
    <row r="206" spans="1:51" x14ac:dyDescent="0.2">
      <c r="A206" s="124"/>
      <c r="B206" s="144">
        <v>10</v>
      </c>
      <c r="C206" s="121">
        <v>0</v>
      </c>
      <c r="D206" s="121">
        <v>0</v>
      </c>
      <c r="E206" s="121">
        <v>0</v>
      </c>
      <c r="F206" s="121">
        <v>0</v>
      </c>
      <c r="G206" s="121">
        <v>0</v>
      </c>
      <c r="H206" s="121">
        <v>0</v>
      </c>
      <c r="I206" s="121">
        <v>0</v>
      </c>
      <c r="J206" s="121">
        <v>0</v>
      </c>
      <c r="K206" s="121">
        <v>0</v>
      </c>
      <c r="L206" s="121">
        <v>0</v>
      </c>
      <c r="M206" s="121">
        <v>0</v>
      </c>
      <c r="N206" s="121">
        <v>0</v>
      </c>
      <c r="O206" s="121">
        <v>0</v>
      </c>
      <c r="P206" s="121">
        <v>0</v>
      </c>
      <c r="Q206" s="121">
        <v>0</v>
      </c>
      <c r="R206" s="121">
        <v>0</v>
      </c>
      <c r="S206" s="121">
        <v>0</v>
      </c>
      <c r="T206" s="121">
        <v>0</v>
      </c>
      <c r="U206" s="121">
        <v>0</v>
      </c>
      <c r="V206" s="121">
        <v>0</v>
      </c>
      <c r="W206" s="121">
        <v>0</v>
      </c>
      <c r="X206" s="121">
        <v>0</v>
      </c>
      <c r="Y206" s="121">
        <v>0</v>
      </c>
      <c r="Z206" s="121">
        <v>0</v>
      </c>
      <c r="AA206" s="121">
        <v>0</v>
      </c>
      <c r="AB206" s="121">
        <v>0</v>
      </c>
      <c r="AC206" s="121">
        <v>0</v>
      </c>
      <c r="AD206" s="121">
        <v>0</v>
      </c>
      <c r="AE206" s="121">
        <v>0</v>
      </c>
      <c r="AF206" s="121">
        <v>0</v>
      </c>
      <c r="AG206" s="121">
        <v>0</v>
      </c>
      <c r="AH206" s="121">
        <v>0</v>
      </c>
      <c r="AI206" s="121">
        <v>0</v>
      </c>
      <c r="AJ206" s="121">
        <v>0</v>
      </c>
      <c r="AK206" s="121">
        <v>0</v>
      </c>
      <c r="AL206" s="121">
        <v>0</v>
      </c>
      <c r="AM206" s="121">
        <v>0</v>
      </c>
      <c r="AN206" s="121">
        <v>0</v>
      </c>
      <c r="AO206" s="121">
        <v>0</v>
      </c>
      <c r="AP206" s="121">
        <v>0</v>
      </c>
      <c r="AQ206" s="121">
        <v>0</v>
      </c>
      <c r="AR206" s="121">
        <v>0</v>
      </c>
      <c r="AS206" s="121">
        <v>0</v>
      </c>
      <c r="AT206" s="121">
        <v>0</v>
      </c>
      <c r="AU206" s="121">
        <v>0</v>
      </c>
      <c r="AV206" s="121">
        <v>0</v>
      </c>
      <c r="AW206" s="121">
        <v>0</v>
      </c>
      <c r="AX206" s="121">
        <v>0</v>
      </c>
      <c r="AY206" s="121">
        <v>2.0425396012149228</v>
      </c>
    </row>
    <row r="207" spans="1:51" x14ac:dyDescent="0.2">
      <c r="A207" s="124"/>
      <c r="B207" s="144">
        <v>11</v>
      </c>
      <c r="C207" s="121">
        <v>0</v>
      </c>
      <c r="D207" s="121">
        <v>0</v>
      </c>
      <c r="E207" s="121">
        <v>0</v>
      </c>
      <c r="F207" s="121">
        <v>0</v>
      </c>
      <c r="G207" s="121">
        <v>0</v>
      </c>
      <c r="H207" s="121">
        <v>0</v>
      </c>
      <c r="I207" s="121">
        <v>0</v>
      </c>
      <c r="J207" s="121">
        <v>0</v>
      </c>
      <c r="K207" s="121">
        <v>0</v>
      </c>
      <c r="L207" s="121">
        <v>0</v>
      </c>
      <c r="M207" s="121">
        <v>0</v>
      </c>
      <c r="N207" s="121">
        <v>0</v>
      </c>
      <c r="O207" s="121">
        <v>0</v>
      </c>
      <c r="P207" s="121">
        <v>0</v>
      </c>
      <c r="Q207" s="121">
        <v>0</v>
      </c>
      <c r="R207" s="121">
        <v>0</v>
      </c>
      <c r="S207" s="121">
        <v>0</v>
      </c>
      <c r="T207" s="121">
        <v>0</v>
      </c>
      <c r="U207" s="121">
        <v>0</v>
      </c>
      <c r="V207" s="121">
        <v>0</v>
      </c>
      <c r="W207" s="121">
        <v>0</v>
      </c>
      <c r="X207" s="121">
        <v>0</v>
      </c>
      <c r="Y207" s="121">
        <v>0</v>
      </c>
      <c r="Z207" s="121">
        <v>0</v>
      </c>
      <c r="AA207" s="121">
        <v>0</v>
      </c>
      <c r="AB207" s="121">
        <v>0</v>
      </c>
      <c r="AC207" s="121">
        <v>0</v>
      </c>
      <c r="AD207" s="121">
        <v>0</v>
      </c>
      <c r="AE207" s="121">
        <v>0</v>
      </c>
      <c r="AF207" s="121">
        <v>0</v>
      </c>
      <c r="AG207" s="121">
        <v>0</v>
      </c>
      <c r="AH207" s="121">
        <v>0</v>
      </c>
      <c r="AI207" s="121">
        <v>0</v>
      </c>
      <c r="AJ207" s="121">
        <v>0</v>
      </c>
      <c r="AK207" s="121">
        <v>0</v>
      </c>
      <c r="AL207" s="121">
        <v>0</v>
      </c>
      <c r="AM207" s="121">
        <v>0</v>
      </c>
      <c r="AN207" s="121">
        <v>0</v>
      </c>
      <c r="AO207" s="121">
        <v>0</v>
      </c>
      <c r="AP207" s="121">
        <v>0</v>
      </c>
      <c r="AQ207" s="121">
        <v>0</v>
      </c>
      <c r="AR207" s="121">
        <v>0</v>
      </c>
      <c r="AS207" s="121">
        <v>0</v>
      </c>
      <c r="AT207" s="121">
        <v>0</v>
      </c>
      <c r="AU207" s="121">
        <v>0</v>
      </c>
      <c r="AV207" s="121">
        <v>0</v>
      </c>
      <c r="AW207" s="121">
        <v>0</v>
      </c>
      <c r="AX207" s="121">
        <v>0</v>
      </c>
      <c r="AY207" s="121">
        <v>0</v>
      </c>
    </row>
    <row r="208" spans="1:51" x14ac:dyDescent="0.2">
      <c r="A208" s="124"/>
      <c r="B208" s="144">
        <v>12</v>
      </c>
      <c r="C208" s="121">
        <v>0</v>
      </c>
      <c r="D208" s="121">
        <v>0</v>
      </c>
      <c r="E208" s="121">
        <v>0</v>
      </c>
      <c r="F208" s="121">
        <v>0</v>
      </c>
      <c r="G208" s="121">
        <v>0</v>
      </c>
      <c r="H208" s="121">
        <v>0</v>
      </c>
      <c r="I208" s="121">
        <v>0</v>
      </c>
      <c r="J208" s="121">
        <v>0</v>
      </c>
      <c r="K208" s="121">
        <v>0</v>
      </c>
      <c r="L208" s="121">
        <v>0</v>
      </c>
      <c r="M208" s="121">
        <v>0</v>
      </c>
      <c r="N208" s="121">
        <v>0</v>
      </c>
      <c r="O208" s="121">
        <v>0</v>
      </c>
      <c r="P208" s="121">
        <v>0</v>
      </c>
      <c r="Q208" s="121">
        <v>0</v>
      </c>
      <c r="R208" s="121">
        <v>0</v>
      </c>
      <c r="S208" s="121">
        <v>0</v>
      </c>
      <c r="T208" s="121">
        <v>0</v>
      </c>
      <c r="U208" s="121">
        <v>0</v>
      </c>
      <c r="V208" s="121">
        <v>0</v>
      </c>
      <c r="W208" s="121">
        <v>0</v>
      </c>
      <c r="X208" s="121">
        <v>0</v>
      </c>
      <c r="Y208" s="121">
        <v>0</v>
      </c>
      <c r="Z208" s="121">
        <v>0</v>
      </c>
      <c r="AA208" s="121">
        <v>0</v>
      </c>
      <c r="AB208" s="121">
        <v>0</v>
      </c>
      <c r="AC208" s="121">
        <v>0</v>
      </c>
      <c r="AD208" s="121">
        <v>0</v>
      </c>
      <c r="AE208" s="121">
        <v>0</v>
      </c>
      <c r="AF208" s="121">
        <v>0</v>
      </c>
      <c r="AG208" s="121">
        <v>0</v>
      </c>
      <c r="AH208" s="121">
        <v>0</v>
      </c>
      <c r="AI208" s="121">
        <v>0</v>
      </c>
      <c r="AJ208" s="121">
        <v>0</v>
      </c>
      <c r="AK208" s="121">
        <v>0</v>
      </c>
      <c r="AL208" s="121">
        <v>0</v>
      </c>
      <c r="AM208" s="121">
        <v>0</v>
      </c>
      <c r="AN208" s="121">
        <v>0</v>
      </c>
      <c r="AO208" s="121">
        <v>0</v>
      </c>
      <c r="AP208" s="121">
        <v>0</v>
      </c>
      <c r="AQ208" s="121">
        <v>0</v>
      </c>
      <c r="AR208" s="121">
        <v>0</v>
      </c>
      <c r="AS208" s="121">
        <v>0</v>
      </c>
      <c r="AT208" s="121">
        <v>0</v>
      </c>
      <c r="AU208" s="121">
        <v>0</v>
      </c>
      <c r="AV208" s="121">
        <v>0</v>
      </c>
      <c r="AW208" s="121">
        <v>0</v>
      </c>
      <c r="AX208" s="121">
        <v>0</v>
      </c>
      <c r="AY208" s="121">
        <v>0</v>
      </c>
    </row>
    <row r="209" spans="1:51" x14ac:dyDescent="0.2">
      <c r="A209" s="140" t="s">
        <v>123</v>
      </c>
      <c r="B209" s="137">
        <v>1</v>
      </c>
      <c r="C209" s="138">
        <v>316.58532304074623</v>
      </c>
      <c r="D209" s="138">
        <v>2138.2619204417701</v>
      </c>
      <c r="E209" s="138">
        <v>2322.8341477620925</v>
      </c>
      <c r="F209" s="138">
        <v>1879.5604916792595</v>
      </c>
      <c r="G209" s="138">
        <v>2154.407820495906</v>
      </c>
      <c r="H209" s="138">
        <v>1466.0947946827901</v>
      </c>
      <c r="I209" s="138">
        <v>615.04413608769119</v>
      </c>
      <c r="J209" s="138">
        <v>9.4952508639287316</v>
      </c>
      <c r="K209" s="138">
        <v>0</v>
      </c>
      <c r="L209" s="138">
        <v>589.27282056076569</v>
      </c>
      <c r="M209" s="138">
        <v>1255.5215433680578</v>
      </c>
      <c r="N209" s="138">
        <v>1960.183878929643</v>
      </c>
      <c r="O209" s="138">
        <v>2212.6370486177966</v>
      </c>
      <c r="P209" s="138">
        <v>1774.7056479735243</v>
      </c>
      <c r="Q209" s="138">
        <v>1376.2788299201979</v>
      </c>
      <c r="R209" s="138">
        <v>790.40372188704089</v>
      </c>
      <c r="S209" s="138">
        <v>948.7964154459828</v>
      </c>
      <c r="T209" s="138">
        <v>1630.2643479245212</v>
      </c>
      <c r="U209" s="138">
        <v>1817.5410280531701</v>
      </c>
      <c r="V209" s="138">
        <v>1981.1535404766541</v>
      </c>
      <c r="W209" s="138">
        <v>2399.4575395055022</v>
      </c>
      <c r="X209" s="138">
        <v>1745</v>
      </c>
      <c r="Y209" s="138">
        <v>1286.5611980595506</v>
      </c>
      <c r="Z209" s="138">
        <v>564.83188807433885</v>
      </c>
      <c r="AA209" s="138">
        <v>0</v>
      </c>
      <c r="AB209" s="138">
        <v>0</v>
      </c>
      <c r="AC209" s="138">
        <v>0</v>
      </c>
      <c r="AD209" s="138">
        <v>0</v>
      </c>
      <c r="AE209" s="138">
        <v>0</v>
      </c>
      <c r="AF209" s="138">
        <v>0</v>
      </c>
      <c r="AG209" s="138">
        <v>0</v>
      </c>
      <c r="AH209" s="138">
        <v>0</v>
      </c>
      <c r="AI209" s="138">
        <v>0</v>
      </c>
      <c r="AJ209" s="138">
        <v>0</v>
      </c>
      <c r="AK209" s="138">
        <v>0</v>
      </c>
      <c r="AL209" s="138">
        <v>0</v>
      </c>
      <c r="AM209" s="138">
        <v>0</v>
      </c>
      <c r="AN209" s="138">
        <v>0</v>
      </c>
      <c r="AO209" s="138">
        <v>0</v>
      </c>
      <c r="AP209" s="138">
        <v>0</v>
      </c>
      <c r="AQ209" s="138">
        <v>0</v>
      </c>
      <c r="AR209" s="138">
        <v>0</v>
      </c>
      <c r="AS209" s="138">
        <v>0</v>
      </c>
      <c r="AT209" s="138">
        <v>0</v>
      </c>
      <c r="AU209" s="138">
        <v>0</v>
      </c>
      <c r="AV209" s="138">
        <v>0</v>
      </c>
      <c r="AW209" s="138">
        <v>0</v>
      </c>
      <c r="AX209" s="138">
        <v>0</v>
      </c>
      <c r="AY209" s="138">
        <v>0</v>
      </c>
    </row>
    <row r="210" spans="1:51" x14ac:dyDescent="0.2">
      <c r="A210" s="124"/>
      <c r="B210" s="133">
        <v>2</v>
      </c>
      <c r="C210" s="121">
        <v>273.41467695925377</v>
      </c>
      <c r="D210" s="125">
        <v>487.73807955822997</v>
      </c>
      <c r="E210" s="125">
        <v>182.16585223790756</v>
      </c>
      <c r="F210" s="125">
        <v>53.439508320740501</v>
      </c>
      <c r="G210" s="125">
        <v>362.59217950409402</v>
      </c>
      <c r="H210" s="125">
        <v>170.90520531720989</v>
      </c>
      <c r="I210" s="125">
        <v>650.95586391230881</v>
      </c>
      <c r="J210" s="125">
        <v>1244.5047491360713</v>
      </c>
      <c r="K210" s="125">
        <v>1351</v>
      </c>
      <c r="L210" s="125">
        <v>1673.4554322139677</v>
      </c>
      <c r="M210" s="125">
        <v>1262.4784566319422</v>
      </c>
      <c r="N210" s="125">
        <v>797.81612107035699</v>
      </c>
      <c r="O210" s="125">
        <v>306.36295138220362</v>
      </c>
      <c r="P210" s="125">
        <v>130.29435202647562</v>
      </c>
      <c r="Q210" s="125">
        <v>435.72117007980194</v>
      </c>
      <c r="R210" s="125">
        <v>713.59627811295911</v>
      </c>
      <c r="S210" s="125">
        <v>1122.2035845540172</v>
      </c>
      <c r="T210" s="125">
        <v>1011.7356520754788</v>
      </c>
      <c r="U210" s="125">
        <v>536.45897194682993</v>
      </c>
      <c r="V210" s="125">
        <v>405.8464595233458</v>
      </c>
      <c r="W210" s="125">
        <v>291.73806494442732</v>
      </c>
      <c r="X210" s="125">
        <v>0</v>
      </c>
      <c r="Y210" s="125">
        <v>456.43880194044942</v>
      </c>
      <c r="Z210" s="125">
        <v>776.16811192566115</v>
      </c>
      <c r="AA210" s="125">
        <v>1232</v>
      </c>
      <c r="AB210" s="125">
        <v>764.85508274410529</v>
      </c>
      <c r="AC210" s="125">
        <v>172.31419164633064</v>
      </c>
      <c r="AD210" s="125">
        <v>0</v>
      </c>
      <c r="AE210" s="125">
        <v>0</v>
      </c>
      <c r="AF210" s="125">
        <v>0</v>
      </c>
      <c r="AG210" s="125">
        <v>0</v>
      </c>
      <c r="AH210" s="125">
        <v>0</v>
      </c>
      <c r="AI210" s="125">
        <v>0</v>
      </c>
      <c r="AJ210" s="125">
        <v>0</v>
      </c>
      <c r="AK210" s="125">
        <v>392.24227436311776</v>
      </c>
      <c r="AL210" s="125">
        <v>444.4425673182036</v>
      </c>
      <c r="AM210" s="125">
        <v>300.84865593223742</v>
      </c>
      <c r="AN210" s="125">
        <v>0</v>
      </c>
      <c r="AO210" s="125">
        <v>0</v>
      </c>
      <c r="AP210" s="125">
        <v>0</v>
      </c>
      <c r="AQ210" s="125">
        <v>0</v>
      </c>
      <c r="AR210" s="125">
        <v>0</v>
      </c>
      <c r="AS210" s="125">
        <v>524.06566760318401</v>
      </c>
      <c r="AT210" s="125">
        <v>872.38025318195514</v>
      </c>
      <c r="AU210" s="125">
        <v>805.30555015398545</v>
      </c>
      <c r="AV210" s="125">
        <v>434.52559080974675</v>
      </c>
      <c r="AW210" s="125">
        <v>140.93225173004612</v>
      </c>
      <c r="AX210" s="125">
        <v>51.171233851806846</v>
      </c>
      <c r="AY210" s="125">
        <v>9.569141297024089</v>
      </c>
    </row>
    <row r="211" spans="1:51" x14ac:dyDescent="0.2">
      <c r="A211" s="124"/>
      <c r="B211" s="133">
        <v>3</v>
      </c>
      <c r="C211" s="121">
        <v>0</v>
      </c>
      <c r="D211" s="125">
        <v>0</v>
      </c>
      <c r="E211" s="125">
        <v>0</v>
      </c>
      <c r="F211" s="125">
        <v>0</v>
      </c>
      <c r="G211" s="125">
        <v>0</v>
      </c>
      <c r="H211" s="125">
        <v>0</v>
      </c>
      <c r="I211" s="125">
        <v>0</v>
      </c>
      <c r="J211" s="125">
        <v>0</v>
      </c>
      <c r="K211" s="125">
        <v>0</v>
      </c>
      <c r="L211" s="125">
        <v>220.27174722526655</v>
      </c>
      <c r="M211" s="125">
        <v>0</v>
      </c>
      <c r="N211" s="125">
        <v>0</v>
      </c>
      <c r="O211" s="125">
        <v>0</v>
      </c>
      <c r="P211" s="125">
        <v>0</v>
      </c>
      <c r="Q211" s="125">
        <v>0</v>
      </c>
      <c r="R211" s="125">
        <v>0</v>
      </c>
      <c r="S211" s="125">
        <v>0</v>
      </c>
      <c r="T211" s="125">
        <v>0</v>
      </c>
      <c r="U211" s="125">
        <v>0</v>
      </c>
      <c r="V211" s="125">
        <v>0</v>
      </c>
      <c r="W211" s="125">
        <v>0</v>
      </c>
      <c r="X211" s="125">
        <v>0</v>
      </c>
      <c r="Y211" s="125">
        <v>0</v>
      </c>
      <c r="Z211" s="125">
        <v>0</v>
      </c>
      <c r="AA211" s="125">
        <v>0</v>
      </c>
      <c r="AB211" s="125">
        <v>33.144917255894704</v>
      </c>
      <c r="AC211" s="125">
        <v>633.68580835366936</v>
      </c>
      <c r="AD211" s="125">
        <v>822</v>
      </c>
      <c r="AE211" s="125">
        <v>591.11851026114311</v>
      </c>
      <c r="AF211" s="125">
        <v>619.27938157261724</v>
      </c>
      <c r="AG211" s="125">
        <v>625.91963871247754</v>
      </c>
      <c r="AH211" s="125">
        <v>563.55075812136147</v>
      </c>
      <c r="AI211" s="125">
        <v>578.05278397183065</v>
      </c>
      <c r="AJ211" s="125">
        <v>1156.1669425005855</v>
      </c>
      <c r="AK211" s="125">
        <v>1167.1192498716086</v>
      </c>
      <c r="AL211" s="125">
        <v>893.5574326817964</v>
      </c>
      <c r="AM211" s="125">
        <v>857.15134406776258</v>
      </c>
      <c r="AN211" s="125">
        <v>603</v>
      </c>
      <c r="AO211" s="125">
        <v>474.90158057983933</v>
      </c>
      <c r="AP211" s="125">
        <v>234.22612303882073</v>
      </c>
      <c r="AQ211" s="125">
        <v>35.371662106953977</v>
      </c>
      <c r="AR211" s="125">
        <v>976.6844495234825</v>
      </c>
      <c r="AS211" s="125">
        <v>1167.1192498716086</v>
      </c>
      <c r="AT211" s="125">
        <v>801.61974681804486</v>
      </c>
      <c r="AU211" s="125">
        <v>558.69444984601455</v>
      </c>
      <c r="AV211" s="125">
        <v>605.47440919025325</v>
      </c>
      <c r="AW211" s="125">
        <v>864.06774826995388</v>
      </c>
      <c r="AX211" s="125">
        <v>1068.8287661481932</v>
      </c>
      <c r="AY211" s="125">
        <v>1131.4308587029759</v>
      </c>
    </row>
    <row r="212" spans="1:51" x14ac:dyDescent="0.2">
      <c r="A212" s="124"/>
      <c r="B212" s="133">
        <v>4</v>
      </c>
      <c r="C212" s="121">
        <v>0</v>
      </c>
      <c r="D212" s="125">
        <v>0</v>
      </c>
      <c r="E212" s="125">
        <v>0</v>
      </c>
      <c r="F212" s="125">
        <v>0</v>
      </c>
      <c r="G212" s="125">
        <v>0</v>
      </c>
      <c r="H212" s="125">
        <v>0</v>
      </c>
      <c r="I212" s="125">
        <v>0</v>
      </c>
      <c r="J212" s="125">
        <v>0</v>
      </c>
      <c r="K212" s="125">
        <v>0</v>
      </c>
      <c r="L212" s="125">
        <v>0</v>
      </c>
      <c r="M212" s="125">
        <v>0</v>
      </c>
      <c r="N212" s="125">
        <v>0</v>
      </c>
      <c r="O212" s="125">
        <v>0</v>
      </c>
      <c r="P212" s="125">
        <v>0</v>
      </c>
      <c r="Q212" s="125">
        <v>0</v>
      </c>
      <c r="R212" s="125">
        <v>0</v>
      </c>
      <c r="S212" s="125">
        <v>0</v>
      </c>
      <c r="T212" s="125">
        <v>0</v>
      </c>
      <c r="U212" s="125">
        <v>0</v>
      </c>
      <c r="V212" s="125">
        <v>0</v>
      </c>
      <c r="W212" s="125">
        <v>0</v>
      </c>
      <c r="X212" s="125">
        <v>0</v>
      </c>
      <c r="Y212" s="125">
        <v>0</v>
      </c>
      <c r="Z212" s="125">
        <v>0</v>
      </c>
      <c r="AA212" s="125">
        <v>0</v>
      </c>
      <c r="AB212" s="125">
        <v>0</v>
      </c>
      <c r="AC212" s="125">
        <v>0</v>
      </c>
      <c r="AD212" s="125">
        <v>0</v>
      </c>
      <c r="AE212" s="125">
        <v>156.88148973885686</v>
      </c>
      <c r="AF212" s="125">
        <v>401.72061842738282</v>
      </c>
      <c r="AG212" s="125">
        <v>382.08036128752241</v>
      </c>
      <c r="AH212" s="125">
        <v>377.44924187863847</v>
      </c>
      <c r="AI212" s="125">
        <v>420.94721602816941</v>
      </c>
      <c r="AJ212" s="125">
        <v>410.83305749941445</v>
      </c>
      <c r="AK212" s="125">
        <v>7.6384757652735891</v>
      </c>
      <c r="AL212" s="125">
        <v>0</v>
      </c>
      <c r="AM212" s="125">
        <v>0</v>
      </c>
      <c r="AN212" s="125">
        <v>0</v>
      </c>
      <c r="AO212" s="125">
        <v>247.0984194201607</v>
      </c>
      <c r="AP212" s="125">
        <v>482.77387696117927</v>
      </c>
      <c r="AQ212" s="125">
        <v>650.62833789304602</v>
      </c>
      <c r="AR212" s="125">
        <v>789.3155504765175</v>
      </c>
      <c r="AS212" s="125">
        <v>132.81508252520729</v>
      </c>
      <c r="AT212" s="125">
        <v>0</v>
      </c>
      <c r="AU212" s="125">
        <v>0</v>
      </c>
      <c r="AV212" s="125">
        <v>0</v>
      </c>
      <c r="AW212" s="125">
        <v>0</v>
      </c>
      <c r="AX212" s="125">
        <v>0</v>
      </c>
      <c r="AY212" s="125">
        <v>0</v>
      </c>
    </row>
    <row r="213" spans="1:51" x14ac:dyDescent="0.2">
      <c r="A213" s="124"/>
      <c r="B213" s="133">
        <v>5</v>
      </c>
      <c r="C213" s="121">
        <v>0</v>
      </c>
      <c r="D213" s="125">
        <v>0</v>
      </c>
      <c r="E213" s="125">
        <v>0</v>
      </c>
      <c r="F213" s="125">
        <v>0</v>
      </c>
      <c r="G213" s="125">
        <v>0</v>
      </c>
      <c r="H213" s="125">
        <v>0</v>
      </c>
      <c r="I213" s="125">
        <v>0</v>
      </c>
      <c r="J213" s="125">
        <v>0</v>
      </c>
      <c r="K213" s="125">
        <v>0</v>
      </c>
      <c r="L213" s="125">
        <v>0</v>
      </c>
      <c r="M213" s="125">
        <v>0</v>
      </c>
      <c r="N213" s="125">
        <v>0</v>
      </c>
      <c r="O213" s="125">
        <v>0</v>
      </c>
      <c r="P213" s="125">
        <v>0</v>
      </c>
      <c r="Q213" s="125">
        <v>0</v>
      </c>
      <c r="R213" s="125">
        <v>0</v>
      </c>
      <c r="S213" s="125">
        <v>0</v>
      </c>
      <c r="T213" s="125">
        <v>0</v>
      </c>
      <c r="U213" s="125">
        <v>0</v>
      </c>
      <c r="V213" s="125">
        <v>0</v>
      </c>
      <c r="W213" s="125">
        <v>0</v>
      </c>
      <c r="X213" s="125">
        <v>0</v>
      </c>
      <c r="Y213" s="125">
        <v>0</v>
      </c>
      <c r="Z213" s="125">
        <v>0</v>
      </c>
      <c r="AA213" s="125">
        <v>0</v>
      </c>
      <c r="AB213" s="125">
        <v>0</v>
      </c>
      <c r="AC213" s="125">
        <v>0</v>
      </c>
      <c r="AD213" s="125">
        <v>0</v>
      </c>
      <c r="AE213" s="125">
        <v>0</v>
      </c>
      <c r="AF213" s="125">
        <v>0</v>
      </c>
      <c r="AG213" s="125">
        <v>0</v>
      </c>
      <c r="AH213" s="125">
        <v>0</v>
      </c>
      <c r="AI213" s="125">
        <v>0</v>
      </c>
      <c r="AJ213" s="125">
        <v>0</v>
      </c>
      <c r="AK213" s="125">
        <v>0</v>
      </c>
      <c r="AL213" s="125">
        <v>0</v>
      </c>
      <c r="AM213" s="125">
        <v>0</v>
      </c>
      <c r="AN213" s="125">
        <v>0</v>
      </c>
      <c r="AO213" s="125">
        <v>0</v>
      </c>
      <c r="AP213" s="125">
        <v>0</v>
      </c>
      <c r="AQ213" s="125">
        <v>0</v>
      </c>
      <c r="AR213" s="125">
        <v>0</v>
      </c>
      <c r="AS213" s="125">
        <v>0</v>
      </c>
      <c r="AT213" s="125">
        <v>0</v>
      </c>
      <c r="AU213" s="125">
        <v>0</v>
      </c>
      <c r="AV213" s="125">
        <v>0</v>
      </c>
      <c r="AW213" s="125">
        <v>0</v>
      </c>
      <c r="AX213" s="125">
        <v>0</v>
      </c>
      <c r="AY213" s="125">
        <v>0</v>
      </c>
    </row>
    <row r="214" spans="1:51" x14ac:dyDescent="0.2">
      <c r="A214" s="124"/>
      <c r="B214" s="133">
        <v>6</v>
      </c>
      <c r="C214" s="121">
        <v>0</v>
      </c>
      <c r="D214" s="125">
        <v>0</v>
      </c>
      <c r="E214" s="125">
        <v>0</v>
      </c>
      <c r="F214" s="125">
        <v>0</v>
      </c>
      <c r="G214" s="125">
        <v>0</v>
      </c>
      <c r="H214" s="125">
        <v>0</v>
      </c>
      <c r="I214" s="125">
        <v>0</v>
      </c>
      <c r="J214" s="125">
        <v>0</v>
      </c>
      <c r="K214" s="125">
        <v>0</v>
      </c>
      <c r="L214" s="125">
        <v>0</v>
      </c>
      <c r="M214" s="125">
        <v>0</v>
      </c>
      <c r="N214" s="125">
        <v>0</v>
      </c>
      <c r="O214" s="125">
        <v>0</v>
      </c>
      <c r="P214" s="125">
        <v>0</v>
      </c>
      <c r="Q214" s="125">
        <v>0</v>
      </c>
      <c r="R214" s="125">
        <v>0</v>
      </c>
      <c r="S214" s="125">
        <v>0</v>
      </c>
      <c r="T214" s="125">
        <v>0</v>
      </c>
      <c r="U214" s="125">
        <v>0</v>
      </c>
      <c r="V214" s="125">
        <v>0</v>
      </c>
      <c r="W214" s="125">
        <v>0</v>
      </c>
      <c r="X214" s="125">
        <v>0</v>
      </c>
      <c r="Y214" s="125">
        <v>0</v>
      </c>
      <c r="Z214" s="125">
        <v>0</v>
      </c>
      <c r="AA214" s="125">
        <v>0</v>
      </c>
      <c r="AB214" s="125">
        <v>0</v>
      </c>
      <c r="AC214" s="125">
        <v>0</v>
      </c>
      <c r="AD214" s="125">
        <v>0</v>
      </c>
      <c r="AE214" s="125">
        <v>0</v>
      </c>
      <c r="AF214" s="125">
        <v>0</v>
      </c>
      <c r="AG214" s="125">
        <v>0</v>
      </c>
      <c r="AH214" s="125">
        <v>0</v>
      </c>
      <c r="AI214" s="125">
        <v>0</v>
      </c>
      <c r="AJ214" s="125">
        <v>0</v>
      </c>
      <c r="AK214" s="125">
        <v>0</v>
      </c>
      <c r="AL214" s="125">
        <v>0</v>
      </c>
      <c r="AM214" s="125">
        <v>0</v>
      </c>
      <c r="AN214" s="125">
        <v>0</v>
      </c>
      <c r="AO214" s="125">
        <v>0</v>
      </c>
      <c r="AP214" s="125">
        <v>0</v>
      </c>
      <c r="AQ214" s="125">
        <v>0</v>
      </c>
      <c r="AR214" s="125">
        <v>0</v>
      </c>
      <c r="AS214" s="125">
        <v>0</v>
      </c>
      <c r="AT214" s="125">
        <v>0</v>
      </c>
      <c r="AU214" s="125">
        <v>0</v>
      </c>
      <c r="AV214" s="125">
        <v>0</v>
      </c>
      <c r="AW214" s="125">
        <v>0</v>
      </c>
      <c r="AX214" s="125">
        <v>0</v>
      </c>
      <c r="AY214" s="125">
        <v>0</v>
      </c>
    </row>
    <row r="215" spans="1:51" x14ac:dyDescent="0.2">
      <c r="A215" s="124"/>
      <c r="B215" s="133">
        <v>7</v>
      </c>
      <c r="C215" s="121">
        <v>0</v>
      </c>
      <c r="D215" s="125">
        <v>0</v>
      </c>
      <c r="E215" s="125">
        <v>0</v>
      </c>
      <c r="F215" s="125">
        <v>0</v>
      </c>
      <c r="G215" s="125">
        <v>0</v>
      </c>
      <c r="H215" s="125">
        <v>0</v>
      </c>
      <c r="I215" s="125">
        <v>0</v>
      </c>
      <c r="J215" s="125">
        <v>0</v>
      </c>
      <c r="K215" s="125">
        <v>0</v>
      </c>
      <c r="L215" s="125">
        <v>0</v>
      </c>
      <c r="M215" s="125">
        <v>0</v>
      </c>
      <c r="N215" s="125">
        <v>0</v>
      </c>
      <c r="O215" s="125">
        <v>0</v>
      </c>
      <c r="P215" s="125">
        <v>0</v>
      </c>
      <c r="Q215" s="125">
        <v>0</v>
      </c>
      <c r="R215" s="125">
        <v>0</v>
      </c>
      <c r="S215" s="125">
        <v>0</v>
      </c>
      <c r="T215" s="125">
        <v>0</v>
      </c>
      <c r="U215" s="125">
        <v>0</v>
      </c>
      <c r="V215" s="125">
        <v>0</v>
      </c>
      <c r="W215" s="125">
        <v>0</v>
      </c>
      <c r="X215" s="125">
        <v>0</v>
      </c>
      <c r="Y215" s="125">
        <v>0</v>
      </c>
      <c r="Z215" s="125">
        <v>0</v>
      </c>
      <c r="AA215" s="125">
        <v>0</v>
      </c>
      <c r="AB215" s="125">
        <v>0</v>
      </c>
      <c r="AC215" s="125">
        <v>0</v>
      </c>
      <c r="AD215" s="125">
        <v>0</v>
      </c>
      <c r="AE215" s="125">
        <v>0</v>
      </c>
      <c r="AF215" s="125">
        <v>0</v>
      </c>
      <c r="AG215" s="125">
        <v>0</v>
      </c>
      <c r="AH215" s="125">
        <v>0</v>
      </c>
      <c r="AI215" s="125">
        <v>0</v>
      </c>
      <c r="AJ215" s="125">
        <v>0</v>
      </c>
      <c r="AK215" s="125">
        <v>0</v>
      </c>
      <c r="AL215" s="125">
        <v>0</v>
      </c>
      <c r="AM215" s="125">
        <v>0</v>
      </c>
      <c r="AN215" s="125">
        <v>0</v>
      </c>
      <c r="AO215" s="125">
        <v>0</v>
      </c>
      <c r="AP215" s="125">
        <v>0</v>
      </c>
      <c r="AQ215" s="125">
        <v>0</v>
      </c>
      <c r="AR215" s="125">
        <v>0</v>
      </c>
      <c r="AS215" s="125">
        <v>0</v>
      </c>
      <c r="AT215" s="125">
        <v>0</v>
      </c>
      <c r="AU215" s="125">
        <v>0</v>
      </c>
      <c r="AV215" s="125">
        <v>0</v>
      </c>
      <c r="AW215" s="125">
        <v>0</v>
      </c>
      <c r="AX215" s="125">
        <v>0</v>
      </c>
      <c r="AY215" s="125">
        <v>0</v>
      </c>
    </row>
    <row r="216" spans="1:51" x14ac:dyDescent="0.2">
      <c r="A216" s="124"/>
      <c r="B216" s="133">
        <v>8</v>
      </c>
      <c r="C216" s="121">
        <v>0</v>
      </c>
      <c r="D216" s="125">
        <v>0</v>
      </c>
      <c r="E216" s="125">
        <v>0</v>
      </c>
      <c r="F216" s="125">
        <v>0</v>
      </c>
      <c r="G216" s="125">
        <v>0</v>
      </c>
      <c r="H216" s="125">
        <v>0</v>
      </c>
      <c r="I216" s="125">
        <v>0</v>
      </c>
      <c r="J216" s="125">
        <v>0</v>
      </c>
      <c r="K216" s="125">
        <v>0</v>
      </c>
      <c r="L216" s="125">
        <v>0</v>
      </c>
      <c r="M216" s="125">
        <v>0</v>
      </c>
      <c r="N216" s="125">
        <v>0</v>
      </c>
      <c r="O216" s="125">
        <v>0</v>
      </c>
      <c r="P216" s="125">
        <v>0</v>
      </c>
      <c r="Q216" s="125">
        <v>0</v>
      </c>
      <c r="R216" s="125">
        <v>0</v>
      </c>
      <c r="S216" s="125">
        <v>0</v>
      </c>
      <c r="T216" s="125">
        <v>0</v>
      </c>
      <c r="U216" s="125">
        <v>0</v>
      </c>
      <c r="V216" s="125">
        <v>0</v>
      </c>
      <c r="W216" s="125">
        <v>0</v>
      </c>
      <c r="X216" s="125">
        <v>0</v>
      </c>
      <c r="Y216" s="125">
        <v>0</v>
      </c>
      <c r="Z216" s="125">
        <v>0</v>
      </c>
      <c r="AA216" s="125">
        <v>0</v>
      </c>
      <c r="AB216" s="125">
        <v>0</v>
      </c>
      <c r="AC216" s="125">
        <v>0</v>
      </c>
      <c r="AD216" s="125">
        <v>0</v>
      </c>
      <c r="AE216" s="125">
        <v>0</v>
      </c>
      <c r="AF216" s="125">
        <v>0</v>
      </c>
      <c r="AG216" s="125">
        <v>0</v>
      </c>
      <c r="AH216" s="125">
        <v>0</v>
      </c>
      <c r="AI216" s="125">
        <v>0</v>
      </c>
      <c r="AJ216" s="125">
        <v>0</v>
      </c>
      <c r="AK216" s="125">
        <v>0</v>
      </c>
      <c r="AL216" s="125">
        <v>0</v>
      </c>
      <c r="AM216" s="125">
        <v>0</v>
      </c>
      <c r="AN216" s="125">
        <v>0</v>
      </c>
      <c r="AO216" s="125">
        <v>0</v>
      </c>
      <c r="AP216" s="125">
        <v>0</v>
      </c>
      <c r="AQ216" s="125">
        <v>0</v>
      </c>
      <c r="AR216" s="125">
        <v>0</v>
      </c>
      <c r="AS216" s="125">
        <v>0</v>
      </c>
      <c r="AT216" s="125">
        <v>0</v>
      </c>
      <c r="AU216" s="125">
        <v>0</v>
      </c>
      <c r="AV216" s="125">
        <v>0</v>
      </c>
      <c r="AW216" s="125">
        <v>0</v>
      </c>
      <c r="AX216" s="125">
        <v>0</v>
      </c>
      <c r="AY216" s="125">
        <v>0</v>
      </c>
    </row>
    <row r="217" spans="1:51" x14ac:dyDescent="0.2">
      <c r="A217" s="124"/>
      <c r="B217" s="133">
        <v>9</v>
      </c>
      <c r="C217" s="121">
        <v>0</v>
      </c>
      <c r="D217" s="125">
        <v>0</v>
      </c>
      <c r="E217" s="125">
        <v>0</v>
      </c>
      <c r="F217" s="125">
        <v>0</v>
      </c>
      <c r="G217" s="125">
        <v>0</v>
      </c>
      <c r="H217" s="125">
        <v>0</v>
      </c>
      <c r="I217" s="125">
        <v>0</v>
      </c>
      <c r="J217" s="125">
        <v>0</v>
      </c>
      <c r="K217" s="125">
        <v>0</v>
      </c>
      <c r="L217" s="125">
        <v>0</v>
      </c>
      <c r="M217" s="125">
        <v>0</v>
      </c>
      <c r="N217" s="125">
        <v>0</v>
      </c>
      <c r="O217" s="125">
        <v>0</v>
      </c>
      <c r="P217" s="125">
        <v>0</v>
      </c>
      <c r="Q217" s="125">
        <v>0</v>
      </c>
      <c r="R217" s="125">
        <v>0</v>
      </c>
      <c r="S217" s="125">
        <v>0</v>
      </c>
      <c r="T217" s="125">
        <v>0</v>
      </c>
      <c r="U217" s="125">
        <v>0</v>
      </c>
      <c r="V217" s="125">
        <v>0</v>
      </c>
      <c r="W217" s="125">
        <v>0</v>
      </c>
      <c r="X217" s="125">
        <v>0</v>
      </c>
      <c r="Y217" s="125">
        <v>0</v>
      </c>
      <c r="Z217" s="125">
        <v>0</v>
      </c>
      <c r="AA217" s="125">
        <v>0</v>
      </c>
      <c r="AB217" s="125">
        <v>0</v>
      </c>
      <c r="AC217" s="125">
        <v>0</v>
      </c>
      <c r="AD217" s="125">
        <v>0</v>
      </c>
      <c r="AE217" s="125">
        <v>0</v>
      </c>
      <c r="AF217" s="125">
        <v>0</v>
      </c>
      <c r="AG217" s="125">
        <v>0</v>
      </c>
      <c r="AH217" s="125">
        <v>0</v>
      </c>
      <c r="AI217" s="125">
        <v>0</v>
      </c>
      <c r="AJ217" s="125">
        <v>0</v>
      </c>
      <c r="AK217" s="125">
        <v>0</v>
      </c>
      <c r="AL217" s="125">
        <v>0</v>
      </c>
      <c r="AM217" s="125">
        <v>0</v>
      </c>
      <c r="AN217" s="125">
        <v>0</v>
      </c>
      <c r="AO217" s="125">
        <v>0</v>
      </c>
      <c r="AP217" s="125">
        <v>0</v>
      </c>
      <c r="AQ217" s="125">
        <v>0</v>
      </c>
      <c r="AR217" s="125">
        <v>0</v>
      </c>
      <c r="AS217" s="125">
        <v>0</v>
      </c>
      <c r="AT217" s="125">
        <v>0</v>
      </c>
      <c r="AU217" s="125">
        <v>0</v>
      </c>
      <c r="AV217" s="125">
        <v>0</v>
      </c>
      <c r="AW217" s="125">
        <v>0</v>
      </c>
      <c r="AX217" s="125">
        <v>0</v>
      </c>
      <c r="AY217" s="125">
        <v>0</v>
      </c>
    </row>
    <row r="218" spans="1:51" x14ac:dyDescent="0.2">
      <c r="A218" s="124"/>
      <c r="B218" s="133">
        <v>10</v>
      </c>
      <c r="C218" s="121">
        <v>0</v>
      </c>
      <c r="D218" s="125">
        <v>0</v>
      </c>
      <c r="E218" s="125">
        <v>0</v>
      </c>
      <c r="F218" s="125">
        <v>0</v>
      </c>
      <c r="G218" s="125">
        <v>0</v>
      </c>
      <c r="H218" s="125">
        <v>0</v>
      </c>
      <c r="I218" s="125">
        <v>0</v>
      </c>
      <c r="J218" s="125">
        <v>0</v>
      </c>
      <c r="K218" s="125">
        <v>0</v>
      </c>
      <c r="L218" s="125">
        <v>0</v>
      </c>
      <c r="M218" s="125">
        <v>0</v>
      </c>
      <c r="N218" s="125">
        <v>0</v>
      </c>
      <c r="O218" s="125">
        <v>0</v>
      </c>
      <c r="P218" s="125">
        <v>0</v>
      </c>
      <c r="Q218" s="125">
        <v>0</v>
      </c>
      <c r="R218" s="125">
        <v>0</v>
      </c>
      <c r="S218" s="125">
        <v>0</v>
      </c>
      <c r="T218" s="125">
        <v>0</v>
      </c>
      <c r="U218" s="125">
        <v>0</v>
      </c>
      <c r="V218" s="125">
        <v>0</v>
      </c>
      <c r="W218" s="125">
        <v>0</v>
      </c>
      <c r="X218" s="125">
        <v>0</v>
      </c>
      <c r="Y218" s="125">
        <v>0</v>
      </c>
      <c r="Z218" s="125">
        <v>0</v>
      </c>
      <c r="AA218" s="125">
        <v>0</v>
      </c>
      <c r="AB218" s="125">
        <v>0</v>
      </c>
      <c r="AC218" s="125">
        <v>0</v>
      </c>
      <c r="AD218" s="125">
        <v>0</v>
      </c>
      <c r="AE218" s="125">
        <v>0</v>
      </c>
      <c r="AF218" s="125">
        <v>0</v>
      </c>
      <c r="AG218" s="125">
        <v>0</v>
      </c>
      <c r="AH218" s="125">
        <v>0</v>
      </c>
      <c r="AI218" s="125">
        <v>0</v>
      </c>
      <c r="AJ218" s="125">
        <v>0</v>
      </c>
      <c r="AK218" s="125">
        <v>0</v>
      </c>
      <c r="AL218" s="125">
        <v>0</v>
      </c>
      <c r="AM218" s="125">
        <v>0</v>
      </c>
      <c r="AN218" s="125">
        <v>0</v>
      </c>
      <c r="AO218" s="125">
        <v>0</v>
      </c>
      <c r="AP218" s="125">
        <v>0</v>
      </c>
      <c r="AQ218" s="125">
        <v>0</v>
      </c>
      <c r="AR218" s="125">
        <v>0</v>
      </c>
      <c r="AS218" s="125">
        <v>0</v>
      </c>
      <c r="AT218" s="125">
        <v>0</v>
      </c>
      <c r="AU218" s="125">
        <v>0</v>
      </c>
      <c r="AV218" s="125">
        <v>0</v>
      </c>
      <c r="AW218" s="125">
        <v>0</v>
      </c>
      <c r="AX218" s="125">
        <v>0</v>
      </c>
      <c r="AY218" s="125">
        <v>0</v>
      </c>
    </row>
    <row r="219" spans="1:51" x14ac:dyDescent="0.2">
      <c r="A219" s="124"/>
      <c r="B219" s="133">
        <v>11</v>
      </c>
      <c r="C219" s="121">
        <v>0</v>
      </c>
      <c r="D219" s="125">
        <v>0</v>
      </c>
      <c r="E219" s="125">
        <v>0</v>
      </c>
      <c r="F219" s="125">
        <v>0</v>
      </c>
      <c r="G219" s="125">
        <v>0</v>
      </c>
      <c r="H219" s="125">
        <v>0</v>
      </c>
      <c r="I219" s="125">
        <v>0</v>
      </c>
      <c r="J219" s="125">
        <v>0</v>
      </c>
      <c r="K219" s="125">
        <v>0</v>
      </c>
      <c r="L219" s="125">
        <v>0</v>
      </c>
      <c r="M219" s="125">
        <v>0</v>
      </c>
      <c r="N219" s="125">
        <v>0</v>
      </c>
      <c r="O219" s="125">
        <v>0</v>
      </c>
      <c r="P219" s="125">
        <v>0</v>
      </c>
      <c r="Q219" s="125">
        <v>0</v>
      </c>
      <c r="R219" s="125">
        <v>0</v>
      </c>
      <c r="S219" s="125">
        <v>0</v>
      </c>
      <c r="T219" s="125">
        <v>0</v>
      </c>
      <c r="U219" s="125">
        <v>0</v>
      </c>
      <c r="V219" s="125">
        <v>0</v>
      </c>
      <c r="W219" s="125">
        <v>0</v>
      </c>
      <c r="X219" s="125">
        <v>0</v>
      </c>
      <c r="Y219" s="125">
        <v>0</v>
      </c>
      <c r="Z219" s="125">
        <v>0</v>
      </c>
      <c r="AA219" s="125">
        <v>0</v>
      </c>
      <c r="AB219" s="125">
        <v>0</v>
      </c>
      <c r="AC219" s="125">
        <v>0</v>
      </c>
      <c r="AD219" s="125">
        <v>0</v>
      </c>
      <c r="AE219" s="125">
        <v>0</v>
      </c>
      <c r="AF219" s="125">
        <v>0</v>
      </c>
      <c r="AG219" s="125">
        <v>0</v>
      </c>
      <c r="AH219" s="125">
        <v>0</v>
      </c>
      <c r="AI219" s="125">
        <v>0</v>
      </c>
      <c r="AJ219" s="125">
        <v>0</v>
      </c>
      <c r="AK219" s="125">
        <v>0</v>
      </c>
      <c r="AL219" s="125">
        <v>0</v>
      </c>
      <c r="AM219" s="125">
        <v>0</v>
      </c>
      <c r="AN219" s="125">
        <v>0</v>
      </c>
      <c r="AO219" s="125">
        <v>0</v>
      </c>
      <c r="AP219" s="125">
        <v>0</v>
      </c>
      <c r="AQ219" s="125">
        <v>0</v>
      </c>
      <c r="AR219" s="125">
        <v>0</v>
      </c>
      <c r="AS219" s="125">
        <v>0</v>
      </c>
      <c r="AT219" s="125">
        <v>0</v>
      </c>
      <c r="AU219" s="125">
        <v>0</v>
      </c>
      <c r="AV219" s="125">
        <v>0</v>
      </c>
      <c r="AW219" s="125">
        <v>0</v>
      </c>
      <c r="AX219" s="125">
        <v>0</v>
      </c>
      <c r="AY219" s="125">
        <v>0</v>
      </c>
    </row>
    <row r="220" spans="1:51" x14ac:dyDescent="0.2">
      <c r="A220" s="124"/>
      <c r="B220" s="133">
        <v>12</v>
      </c>
      <c r="C220" s="121">
        <v>0</v>
      </c>
      <c r="D220" s="125">
        <v>0</v>
      </c>
      <c r="E220" s="125">
        <v>0</v>
      </c>
      <c r="F220" s="125">
        <v>0</v>
      </c>
      <c r="G220" s="125">
        <v>0</v>
      </c>
      <c r="H220" s="125">
        <v>0</v>
      </c>
      <c r="I220" s="125">
        <v>0</v>
      </c>
      <c r="J220" s="125">
        <v>0</v>
      </c>
      <c r="K220" s="125">
        <v>0</v>
      </c>
      <c r="L220" s="125">
        <v>0</v>
      </c>
      <c r="M220" s="125">
        <v>0</v>
      </c>
      <c r="N220" s="125">
        <v>0</v>
      </c>
      <c r="O220" s="125">
        <v>0</v>
      </c>
      <c r="P220" s="125">
        <v>0</v>
      </c>
      <c r="Q220" s="125">
        <v>0</v>
      </c>
      <c r="R220" s="125">
        <v>0</v>
      </c>
      <c r="S220" s="125">
        <v>0</v>
      </c>
      <c r="T220" s="125">
        <v>0</v>
      </c>
      <c r="U220" s="125">
        <v>0</v>
      </c>
      <c r="V220" s="125">
        <v>0</v>
      </c>
      <c r="W220" s="125">
        <v>0</v>
      </c>
      <c r="X220" s="125">
        <v>0</v>
      </c>
      <c r="Y220" s="125">
        <v>0</v>
      </c>
      <c r="Z220" s="125">
        <v>0</v>
      </c>
      <c r="AA220" s="125">
        <v>0</v>
      </c>
      <c r="AB220" s="125">
        <v>0</v>
      </c>
      <c r="AC220" s="125">
        <v>0</v>
      </c>
      <c r="AD220" s="125">
        <v>0</v>
      </c>
      <c r="AE220" s="125">
        <v>0</v>
      </c>
      <c r="AF220" s="125">
        <v>0</v>
      </c>
      <c r="AG220" s="125">
        <v>0</v>
      </c>
      <c r="AH220" s="125">
        <v>0</v>
      </c>
      <c r="AI220" s="125">
        <v>0</v>
      </c>
      <c r="AJ220" s="125">
        <v>0</v>
      </c>
      <c r="AK220" s="125">
        <v>0</v>
      </c>
      <c r="AL220" s="125">
        <v>0</v>
      </c>
      <c r="AM220" s="125">
        <v>0</v>
      </c>
      <c r="AN220" s="125">
        <v>0</v>
      </c>
      <c r="AO220" s="125">
        <v>0</v>
      </c>
      <c r="AP220" s="125">
        <v>0</v>
      </c>
      <c r="AQ220" s="125">
        <v>0</v>
      </c>
      <c r="AR220" s="125">
        <v>0</v>
      </c>
      <c r="AS220" s="125">
        <v>0</v>
      </c>
      <c r="AT220" s="125">
        <v>0</v>
      </c>
      <c r="AU220" s="125">
        <v>0</v>
      </c>
      <c r="AV220" s="125">
        <v>0</v>
      </c>
      <c r="AW220" s="125">
        <v>0</v>
      </c>
      <c r="AX220" s="125">
        <v>0</v>
      </c>
      <c r="AY220" s="125">
        <v>0</v>
      </c>
    </row>
    <row r="221" spans="1:51" x14ac:dyDescent="0.2">
      <c r="A221" s="124"/>
      <c r="B221" s="134">
        <v>13</v>
      </c>
      <c r="C221" s="121">
        <v>0</v>
      </c>
      <c r="D221" s="125">
        <v>0</v>
      </c>
      <c r="E221" s="125">
        <v>0</v>
      </c>
      <c r="F221" s="125">
        <v>0</v>
      </c>
      <c r="G221" s="125">
        <v>0</v>
      </c>
      <c r="H221" s="125">
        <v>0</v>
      </c>
      <c r="I221" s="125">
        <v>0</v>
      </c>
      <c r="J221" s="125">
        <v>0</v>
      </c>
      <c r="K221" s="125">
        <v>0</v>
      </c>
      <c r="L221" s="125">
        <v>0</v>
      </c>
      <c r="M221" s="125">
        <v>0</v>
      </c>
      <c r="N221" s="125">
        <v>0</v>
      </c>
      <c r="O221" s="125">
        <v>0</v>
      </c>
      <c r="P221" s="125">
        <v>0</v>
      </c>
      <c r="Q221" s="125">
        <v>0</v>
      </c>
      <c r="R221" s="125">
        <v>0</v>
      </c>
      <c r="S221" s="125">
        <v>0</v>
      </c>
      <c r="T221" s="125">
        <v>0</v>
      </c>
      <c r="U221" s="125">
        <v>0</v>
      </c>
      <c r="V221" s="125">
        <v>0</v>
      </c>
      <c r="W221" s="125">
        <v>0</v>
      </c>
      <c r="X221" s="125">
        <v>0</v>
      </c>
      <c r="Y221" s="125">
        <v>0</v>
      </c>
      <c r="Z221" s="125">
        <v>0</v>
      </c>
      <c r="AA221" s="125">
        <v>0</v>
      </c>
      <c r="AB221" s="125">
        <v>0</v>
      </c>
      <c r="AC221" s="125">
        <v>0</v>
      </c>
      <c r="AD221" s="125">
        <v>0</v>
      </c>
      <c r="AE221" s="125">
        <v>0</v>
      </c>
      <c r="AF221" s="125">
        <v>0</v>
      </c>
      <c r="AG221" s="125">
        <v>0</v>
      </c>
      <c r="AH221" s="125">
        <v>0</v>
      </c>
      <c r="AI221" s="125">
        <v>0</v>
      </c>
      <c r="AJ221" s="125">
        <v>0</v>
      </c>
      <c r="AK221" s="125">
        <v>0</v>
      </c>
      <c r="AL221" s="125">
        <v>0</v>
      </c>
      <c r="AM221" s="125">
        <v>0</v>
      </c>
      <c r="AN221" s="125">
        <v>0</v>
      </c>
      <c r="AO221" s="125">
        <v>0</v>
      </c>
      <c r="AP221" s="125">
        <v>0</v>
      </c>
      <c r="AQ221" s="125">
        <v>0</v>
      </c>
      <c r="AR221" s="125">
        <v>0</v>
      </c>
      <c r="AS221" s="125">
        <v>0</v>
      </c>
      <c r="AT221" s="125">
        <v>0</v>
      </c>
      <c r="AU221" s="125">
        <v>0</v>
      </c>
      <c r="AV221" s="125">
        <v>0</v>
      </c>
      <c r="AW221" s="125">
        <v>0</v>
      </c>
      <c r="AX221" s="125">
        <v>0</v>
      </c>
      <c r="AY221" s="125">
        <v>0</v>
      </c>
    </row>
    <row r="222" spans="1:51" x14ac:dyDescent="0.2">
      <c r="A222" s="124"/>
      <c r="B222" s="134">
        <v>14</v>
      </c>
      <c r="C222" s="121">
        <v>0</v>
      </c>
      <c r="D222" s="125">
        <v>0</v>
      </c>
      <c r="E222" s="125">
        <v>0</v>
      </c>
      <c r="F222" s="125">
        <v>0</v>
      </c>
      <c r="G222" s="125">
        <v>0</v>
      </c>
      <c r="H222" s="125">
        <v>0</v>
      </c>
      <c r="I222" s="125">
        <v>0</v>
      </c>
      <c r="J222" s="125">
        <v>0</v>
      </c>
      <c r="K222" s="125">
        <v>0</v>
      </c>
      <c r="L222" s="125">
        <v>0</v>
      </c>
      <c r="M222" s="125">
        <v>0</v>
      </c>
      <c r="N222" s="125">
        <v>0</v>
      </c>
      <c r="O222" s="125">
        <v>0</v>
      </c>
      <c r="P222" s="125">
        <v>0</v>
      </c>
      <c r="Q222" s="125">
        <v>0</v>
      </c>
      <c r="R222" s="125">
        <v>0</v>
      </c>
      <c r="S222" s="125">
        <v>0</v>
      </c>
      <c r="T222" s="125">
        <v>0</v>
      </c>
      <c r="U222" s="125">
        <v>0</v>
      </c>
      <c r="V222" s="125">
        <v>0</v>
      </c>
      <c r="W222" s="125">
        <v>0</v>
      </c>
      <c r="X222" s="125">
        <v>0</v>
      </c>
      <c r="Y222" s="125">
        <v>0</v>
      </c>
      <c r="Z222" s="125">
        <v>0</v>
      </c>
      <c r="AA222" s="125">
        <v>0</v>
      </c>
      <c r="AB222" s="125">
        <v>0</v>
      </c>
      <c r="AC222" s="125">
        <v>0</v>
      </c>
      <c r="AD222" s="125">
        <v>0</v>
      </c>
      <c r="AE222" s="125">
        <v>0</v>
      </c>
      <c r="AF222" s="125">
        <v>0</v>
      </c>
      <c r="AG222" s="125">
        <v>0</v>
      </c>
      <c r="AH222" s="125">
        <v>0</v>
      </c>
      <c r="AI222" s="125">
        <v>0</v>
      </c>
      <c r="AJ222" s="125">
        <v>0</v>
      </c>
      <c r="AK222" s="125">
        <v>0</v>
      </c>
      <c r="AL222" s="125">
        <v>0</v>
      </c>
      <c r="AM222" s="125">
        <v>0</v>
      </c>
      <c r="AN222" s="125">
        <v>0</v>
      </c>
      <c r="AO222" s="125">
        <v>0</v>
      </c>
      <c r="AP222" s="125">
        <v>0</v>
      </c>
      <c r="AQ222" s="125">
        <v>0</v>
      </c>
      <c r="AR222" s="125">
        <v>0</v>
      </c>
      <c r="AS222" s="125">
        <v>0</v>
      </c>
      <c r="AT222" s="125">
        <v>0</v>
      </c>
      <c r="AU222" s="125">
        <v>0</v>
      </c>
      <c r="AV222" s="125">
        <v>0</v>
      </c>
      <c r="AW222" s="125">
        <v>0</v>
      </c>
      <c r="AX222" s="125">
        <v>0</v>
      </c>
      <c r="AY222" s="125">
        <v>0</v>
      </c>
    </row>
    <row r="223" spans="1:51" x14ac:dyDescent="0.2">
      <c r="A223" s="124"/>
      <c r="B223" s="134">
        <v>15</v>
      </c>
      <c r="C223" s="121">
        <v>0</v>
      </c>
      <c r="D223" s="125">
        <v>0</v>
      </c>
      <c r="E223" s="125">
        <v>0</v>
      </c>
      <c r="F223" s="125">
        <v>0</v>
      </c>
      <c r="G223" s="125">
        <v>0</v>
      </c>
      <c r="H223" s="125">
        <v>0</v>
      </c>
      <c r="I223" s="125">
        <v>0</v>
      </c>
      <c r="J223" s="125">
        <v>0</v>
      </c>
      <c r="K223" s="125">
        <v>0</v>
      </c>
      <c r="L223" s="125">
        <v>0</v>
      </c>
      <c r="M223" s="125">
        <v>0</v>
      </c>
      <c r="N223" s="125">
        <v>0</v>
      </c>
      <c r="O223" s="125">
        <v>0</v>
      </c>
      <c r="P223" s="125">
        <v>0</v>
      </c>
      <c r="Q223" s="125">
        <v>0</v>
      </c>
      <c r="R223" s="125">
        <v>0</v>
      </c>
      <c r="S223" s="125">
        <v>0</v>
      </c>
      <c r="T223" s="125">
        <v>0</v>
      </c>
      <c r="U223" s="125">
        <v>0</v>
      </c>
      <c r="V223" s="125">
        <v>0</v>
      </c>
      <c r="W223" s="125">
        <v>0</v>
      </c>
      <c r="X223" s="125">
        <v>0</v>
      </c>
      <c r="Y223" s="125">
        <v>0</v>
      </c>
      <c r="Z223" s="125">
        <v>0</v>
      </c>
      <c r="AA223" s="125">
        <v>0</v>
      </c>
      <c r="AB223" s="125">
        <v>0</v>
      </c>
      <c r="AC223" s="125">
        <v>0</v>
      </c>
      <c r="AD223" s="125">
        <v>0</v>
      </c>
      <c r="AE223" s="125">
        <v>0</v>
      </c>
      <c r="AF223" s="125">
        <v>0</v>
      </c>
      <c r="AG223" s="125">
        <v>0</v>
      </c>
      <c r="AH223" s="125">
        <v>0</v>
      </c>
      <c r="AI223" s="125">
        <v>0</v>
      </c>
      <c r="AJ223" s="125">
        <v>0</v>
      </c>
      <c r="AK223" s="125">
        <v>0</v>
      </c>
      <c r="AL223" s="125">
        <v>0</v>
      </c>
      <c r="AM223" s="125">
        <v>0</v>
      </c>
      <c r="AN223" s="125">
        <v>0</v>
      </c>
      <c r="AO223" s="125">
        <v>0</v>
      </c>
      <c r="AP223" s="125">
        <v>0</v>
      </c>
      <c r="AQ223" s="125">
        <v>0</v>
      </c>
      <c r="AR223" s="125">
        <v>0</v>
      </c>
      <c r="AS223" s="125">
        <v>0</v>
      </c>
      <c r="AT223" s="125">
        <v>0</v>
      </c>
      <c r="AU223" s="125">
        <v>0</v>
      </c>
      <c r="AV223" s="125">
        <v>0</v>
      </c>
      <c r="AW223" s="125">
        <v>0</v>
      </c>
      <c r="AX223" s="125">
        <v>0</v>
      </c>
      <c r="AY223" s="125">
        <v>0</v>
      </c>
    </row>
    <row r="224" spans="1:51" x14ac:dyDescent="0.2">
      <c r="A224" s="124"/>
      <c r="B224" s="134">
        <v>16</v>
      </c>
      <c r="C224" s="121">
        <v>0</v>
      </c>
      <c r="D224" s="125">
        <v>0</v>
      </c>
      <c r="E224" s="125">
        <v>0</v>
      </c>
      <c r="F224" s="125">
        <v>0</v>
      </c>
      <c r="G224" s="125">
        <v>0</v>
      </c>
      <c r="H224" s="125">
        <v>0</v>
      </c>
      <c r="I224" s="125">
        <v>0</v>
      </c>
      <c r="J224" s="125">
        <v>0</v>
      </c>
      <c r="K224" s="125">
        <v>0</v>
      </c>
      <c r="L224" s="125">
        <v>0</v>
      </c>
      <c r="M224" s="125">
        <v>0</v>
      </c>
      <c r="N224" s="125">
        <v>0</v>
      </c>
      <c r="O224" s="125">
        <v>0</v>
      </c>
      <c r="P224" s="125">
        <v>0</v>
      </c>
      <c r="Q224" s="125">
        <v>0</v>
      </c>
      <c r="R224" s="125">
        <v>0</v>
      </c>
      <c r="S224" s="125">
        <v>0</v>
      </c>
      <c r="T224" s="125">
        <v>0</v>
      </c>
      <c r="U224" s="125">
        <v>0</v>
      </c>
      <c r="V224" s="125">
        <v>0</v>
      </c>
      <c r="W224" s="125">
        <v>0</v>
      </c>
      <c r="X224" s="125">
        <v>0</v>
      </c>
      <c r="Y224" s="125">
        <v>0</v>
      </c>
      <c r="Z224" s="125">
        <v>0</v>
      </c>
      <c r="AA224" s="125">
        <v>0</v>
      </c>
      <c r="AB224" s="125">
        <v>0</v>
      </c>
      <c r="AC224" s="125">
        <v>0</v>
      </c>
      <c r="AD224" s="125">
        <v>0</v>
      </c>
      <c r="AE224" s="125">
        <v>0</v>
      </c>
      <c r="AF224" s="125">
        <v>0</v>
      </c>
      <c r="AG224" s="125">
        <v>0</v>
      </c>
      <c r="AH224" s="125">
        <v>0</v>
      </c>
      <c r="AI224" s="125">
        <v>0</v>
      </c>
      <c r="AJ224" s="125">
        <v>0</v>
      </c>
      <c r="AK224" s="125">
        <v>0</v>
      </c>
      <c r="AL224" s="125">
        <v>0</v>
      </c>
      <c r="AM224" s="125">
        <v>0</v>
      </c>
      <c r="AN224" s="125">
        <v>0</v>
      </c>
      <c r="AO224" s="125">
        <v>0</v>
      </c>
      <c r="AP224" s="125">
        <v>0</v>
      </c>
      <c r="AQ224" s="125">
        <v>0</v>
      </c>
      <c r="AR224" s="125">
        <v>0</v>
      </c>
      <c r="AS224" s="125">
        <v>0</v>
      </c>
      <c r="AT224" s="125">
        <v>0</v>
      </c>
      <c r="AU224" s="125">
        <v>0</v>
      </c>
      <c r="AV224" s="125">
        <v>0</v>
      </c>
      <c r="AW224" s="125">
        <v>0</v>
      </c>
      <c r="AX224" s="125">
        <v>0</v>
      </c>
      <c r="AY224" s="125">
        <v>0</v>
      </c>
    </row>
    <row r="225" spans="1:51" x14ac:dyDescent="0.2">
      <c r="A225" s="124"/>
      <c r="B225" s="134">
        <v>17</v>
      </c>
      <c r="C225" s="121">
        <v>0</v>
      </c>
      <c r="D225" s="125">
        <v>0</v>
      </c>
      <c r="E225" s="125">
        <v>0</v>
      </c>
      <c r="F225" s="125">
        <v>0</v>
      </c>
      <c r="G225" s="125">
        <v>0</v>
      </c>
      <c r="H225" s="125">
        <v>0</v>
      </c>
      <c r="I225" s="125">
        <v>0</v>
      </c>
      <c r="J225" s="125">
        <v>0</v>
      </c>
      <c r="K225" s="125">
        <v>0</v>
      </c>
      <c r="L225" s="125">
        <v>0</v>
      </c>
      <c r="M225" s="125">
        <v>0</v>
      </c>
      <c r="N225" s="125">
        <v>0</v>
      </c>
      <c r="O225" s="125">
        <v>0</v>
      </c>
      <c r="P225" s="125">
        <v>0</v>
      </c>
      <c r="Q225" s="125">
        <v>0</v>
      </c>
      <c r="R225" s="125">
        <v>0</v>
      </c>
      <c r="S225" s="125">
        <v>0</v>
      </c>
      <c r="T225" s="125">
        <v>0</v>
      </c>
      <c r="U225" s="125">
        <v>0</v>
      </c>
      <c r="V225" s="125">
        <v>0</v>
      </c>
      <c r="W225" s="125">
        <v>0</v>
      </c>
      <c r="X225" s="125">
        <v>0</v>
      </c>
      <c r="Y225" s="125">
        <v>0</v>
      </c>
      <c r="Z225" s="125">
        <v>0</v>
      </c>
      <c r="AA225" s="125">
        <v>0</v>
      </c>
      <c r="AB225" s="125">
        <v>0</v>
      </c>
      <c r="AC225" s="125">
        <v>0</v>
      </c>
      <c r="AD225" s="125">
        <v>0</v>
      </c>
      <c r="AE225" s="125">
        <v>0</v>
      </c>
      <c r="AF225" s="125">
        <v>0</v>
      </c>
      <c r="AG225" s="125">
        <v>0</v>
      </c>
      <c r="AH225" s="125">
        <v>0</v>
      </c>
      <c r="AI225" s="125">
        <v>0</v>
      </c>
      <c r="AJ225" s="125">
        <v>0</v>
      </c>
      <c r="AK225" s="125">
        <v>0</v>
      </c>
      <c r="AL225" s="125">
        <v>0</v>
      </c>
      <c r="AM225" s="125">
        <v>0</v>
      </c>
      <c r="AN225" s="125">
        <v>0</v>
      </c>
      <c r="AO225" s="125">
        <v>0</v>
      </c>
      <c r="AP225" s="125">
        <v>0</v>
      </c>
      <c r="AQ225" s="125">
        <v>0</v>
      </c>
      <c r="AR225" s="125">
        <v>0</v>
      </c>
      <c r="AS225" s="125">
        <v>0</v>
      </c>
      <c r="AT225" s="125">
        <v>0</v>
      </c>
      <c r="AU225" s="125">
        <v>0</v>
      </c>
      <c r="AV225" s="125">
        <v>0</v>
      </c>
      <c r="AW225" s="125">
        <v>0</v>
      </c>
      <c r="AX225" s="125">
        <v>0</v>
      </c>
      <c r="AY225" s="125">
        <v>0</v>
      </c>
    </row>
    <row r="226" spans="1:51" x14ac:dyDescent="0.2">
      <c r="A226" s="124"/>
      <c r="B226" s="134">
        <v>18</v>
      </c>
      <c r="C226" s="121">
        <v>0</v>
      </c>
      <c r="D226" s="125">
        <v>0</v>
      </c>
      <c r="E226" s="125">
        <v>0</v>
      </c>
      <c r="F226" s="125">
        <v>0</v>
      </c>
      <c r="G226" s="125">
        <v>0</v>
      </c>
      <c r="H226" s="125">
        <v>0</v>
      </c>
      <c r="I226" s="125">
        <v>0</v>
      </c>
      <c r="J226" s="125">
        <v>0</v>
      </c>
      <c r="K226" s="125">
        <v>0</v>
      </c>
      <c r="L226" s="125">
        <v>0</v>
      </c>
      <c r="M226" s="125">
        <v>0</v>
      </c>
      <c r="N226" s="125">
        <v>0</v>
      </c>
      <c r="O226" s="125">
        <v>0</v>
      </c>
      <c r="P226" s="125">
        <v>0</v>
      </c>
      <c r="Q226" s="125">
        <v>0</v>
      </c>
      <c r="R226" s="125">
        <v>0</v>
      </c>
      <c r="S226" s="125">
        <v>0</v>
      </c>
      <c r="T226" s="125">
        <v>0</v>
      </c>
      <c r="U226" s="125">
        <v>0</v>
      </c>
      <c r="V226" s="125">
        <v>0</v>
      </c>
      <c r="W226" s="125">
        <v>0</v>
      </c>
      <c r="X226" s="125">
        <v>0</v>
      </c>
      <c r="Y226" s="125">
        <v>0</v>
      </c>
      <c r="Z226" s="125">
        <v>0</v>
      </c>
      <c r="AA226" s="125">
        <v>0</v>
      </c>
      <c r="AB226" s="125">
        <v>0</v>
      </c>
      <c r="AC226" s="125">
        <v>0</v>
      </c>
      <c r="AD226" s="125">
        <v>0</v>
      </c>
      <c r="AE226" s="125">
        <v>0</v>
      </c>
      <c r="AF226" s="125">
        <v>0</v>
      </c>
      <c r="AG226" s="125">
        <v>0</v>
      </c>
      <c r="AH226" s="125">
        <v>0</v>
      </c>
      <c r="AI226" s="125">
        <v>0</v>
      </c>
      <c r="AJ226" s="125">
        <v>0</v>
      </c>
      <c r="AK226" s="125">
        <v>0</v>
      </c>
      <c r="AL226" s="125">
        <v>0</v>
      </c>
      <c r="AM226" s="125">
        <v>0</v>
      </c>
      <c r="AN226" s="125">
        <v>0</v>
      </c>
      <c r="AO226" s="125">
        <v>0</v>
      </c>
      <c r="AP226" s="125">
        <v>0</v>
      </c>
      <c r="AQ226" s="125">
        <v>0</v>
      </c>
      <c r="AR226" s="125">
        <v>0</v>
      </c>
      <c r="AS226" s="125">
        <v>0</v>
      </c>
      <c r="AT226" s="125">
        <v>0</v>
      </c>
      <c r="AU226" s="125">
        <v>0</v>
      </c>
      <c r="AV226" s="125">
        <v>0</v>
      </c>
      <c r="AW226" s="125">
        <v>0</v>
      </c>
      <c r="AX226" s="125">
        <v>0</v>
      </c>
      <c r="AY226" s="125">
        <v>0</v>
      </c>
    </row>
    <row r="227" spans="1:51" x14ac:dyDescent="0.2">
      <c r="A227" s="124"/>
      <c r="B227" s="134">
        <v>19</v>
      </c>
      <c r="C227" s="121">
        <v>0</v>
      </c>
      <c r="D227" s="125">
        <v>0</v>
      </c>
      <c r="E227" s="125">
        <v>0</v>
      </c>
      <c r="F227" s="125">
        <v>0</v>
      </c>
      <c r="G227" s="125">
        <v>0</v>
      </c>
      <c r="H227" s="125">
        <v>0</v>
      </c>
      <c r="I227" s="125">
        <v>0</v>
      </c>
      <c r="J227" s="125">
        <v>0</v>
      </c>
      <c r="K227" s="125">
        <v>0</v>
      </c>
      <c r="L227" s="125">
        <v>0</v>
      </c>
      <c r="M227" s="125">
        <v>0</v>
      </c>
      <c r="N227" s="125">
        <v>0</v>
      </c>
      <c r="O227" s="125">
        <v>0</v>
      </c>
      <c r="P227" s="125">
        <v>0</v>
      </c>
      <c r="Q227" s="125">
        <v>0</v>
      </c>
      <c r="R227" s="125">
        <v>0</v>
      </c>
      <c r="S227" s="125">
        <v>0</v>
      </c>
      <c r="T227" s="125">
        <v>0</v>
      </c>
      <c r="U227" s="125">
        <v>0</v>
      </c>
      <c r="V227" s="125">
        <v>0</v>
      </c>
      <c r="W227" s="125">
        <v>0</v>
      </c>
      <c r="X227" s="125">
        <v>0</v>
      </c>
      <c r="Y227" s="125">
        <v>0</v>
      </c>
      <c r="Z227" s="125">
        <v>0</v>
      </c>
      <c r="AA227" s="125">
        <v>0</v>
      </c>
      <c r="AB227" s="125">
        <v>0</v>
      </c>
      <c r="AC227" s="125">
        <v>0</v>
      </c>
      <c r="AD227" s="125">
        <v>0</v>
      </c>
      <c r="AE227" s="125">
        <v>0</v>
      </c>
      <c r="AF227" s="125">
        <v>0</v>
      </c>
      <c r="AG227" s="125">
        <v>0</v>
      </c>
      <c r="AH227" s="125">
        <v>0</v>
      </c>
      <c r="AI227" s="125">
        <v>0</v>
      </c>
      <c r="AJ227" s="125">
        <v>0</v>
      </c>
      <c r="AK227" s="125">
        <v>0</v>
      </c>
      <c r="AL227" s="125">
        <v>0</v>
      </c>
      <c r="AM227" s="125">
        <v>0</v>
      </c>
      <c r="AN227" s="125">
        <v>0</v>
      </c>
      <c r="AO227" s="125">
        <v>0</v>
      </c>
      <c r="AP227" s="125">
        <v>0</v>
      </c>
      <c r="AQ227" s="125">
        <v>0</v>
      </c>
      <c r="AR227" s="125">
        <v>0</v>
      </c>
      <c r="AS227" s="125">
        <v>0</v>
      </c>
      <c r="AT227" s="125">
        <v>0</v>
      </c>
      <c r="AU227" s="125">
        <v>0</v>
      </c>
      <c r="AV227" s="125">
        <v>0</v>
      </c>
      <c r="AW227" s="125">
        <v>0</v>
      </c>
      <c r="AX227" s="125">
        <v>0</v>
      </c>
      <c r="AY227" s="125">
        <v>0</v>
      </c>
    </row>
    <row r="228" spans="1:51" x14ac:dyDescent="0.2">
      <c r="A228" s="124"/>
      <c r="B228" s="134">
        <v>20</v>
      </c>
      <c r="C228" s="121">
        <v>0</v>
      </c>
      <c r="D228" s="125">
        <v>0</v>
      </c>
      <c r="E228" s="125">
        <v>0</v>
      </c>
      <c r="F228" s="125">
        <v>0</v>
      </c>
      <c r="G228" s="125">
        <v>0</v>
      </c>
      <c r="H228" s="125">
        <v>0</v>
      </c>
      <c r="I228" s="125">
        <v>0</v>
      </c>
      <c r="J228" s="125">
        <v>0</v>
      </c>
      <c r="K228" s="125">
        <v>0</v>
      </c>
      <c r="L228" s="125">
        <v>0</v>
      </c>
      <c r="M228" s="125">
        <v>0</v>
      </c>
      <c r="N228" s="125">
        <v>0</v>
      </c>
      <c r="O228" s="125">
        <v>0</v>
      </c>
      <c r="P228" s="125">
        <v>0</v>
      </c>
      <c r="Q228" s="125">
        <v>0</v>
      </c>
      <c r="R228" s="125">
        <v>0</v>
      </c>
      <c r="S228" s="125">
        <v>0</v>
      </c>
      <c r="T228" s="125">
        <v>0</v>
      </c>
      <c r="U228" s="125">
        <v>0</v>
      </c>
      <c r="V228" s="125">
        <v>0</v>
      </c>
      <c r="W228" s="125">
        <v>0</v>
      </c>
      <c r="X228" s="125">
        <v>0</v>
      </c>
      <c r="Y228" s="125">
        <v>0</v>
      </c>
      <c r="Z228" s="125">
        <v>0</v>
      </c>
      <c r="AA228" s="125">
        <v>0</v>
      </c>
      <c r="AB228" s="125">
        <v>0</v>
      </c>
      <c r="AC228" s="125">
        <v>0</v>
      </c>
      <c r="AD228" s="125">
        <v>0</v>
      </c>
      <c r="AE228" s="125">
        <v>0</v>
      </c>
      <c r="AF228" s="125">
        <v>0</v>
      </c>
      <c r="AG228" s="125">
        <v>0</v>
      </c>
      <c r="AH228" s="125">
        <v>0</v>
      </c>
      <c r="AI228" s="125">
        <v>0</v>
      </c>
      <c r="AJ228" s="125">
        <v>0</v>
      </c>
      <c r="AK228" s="125">
        <v>0</v>
      </c>
      <c r="AL228" s="125">
        <v>0</v>
      </c>
      <c r="AM228" s="125">
        <v>0</v>
      </c>
      <c r="AN228" s="125">
        <v>0</v>
      </c>
      <c r="AO228" s="125">
        <v>0</v>
      </c>
      <c r="AP228" s="125">
        <v>0</v>
      </c>
      <c r="AQ228" s="125">
        <v>0</v>
      </c>
      <c r="AR228" s="125">
        <v>0</v>
      </c>
      <c r="AS228" s="125">
        <v>0</v>
      </c>
      <c r="AT228" s="125">
        <v>0</v>
      </c>
      <c r="AU228" s="125">
        <v>0</v>
      </c>
      <c r="AV228" s="125">
        <v>0</v>
      </c>
      <c r="AW228" s="125">
        <v>0</v>
      </c>
      <c r="AX228" s="125">
        <v>0</v>
      </c>
      <c r="AY228" s="125">
        <v>0</v>
      </c>
    </row>
    <row r="229" spans="1:51" x14ac:dyDescent="0.2">
      <c r="A229" s="124"/>
      <c r="B229" s="134">
        <v>21</v>
      </c>
      <c r="C229" s="121">
        <v>0</v>
      </c>
      <c r="D229" s="125">
        <v>0</v>
      </c>
      <c r="E229" s="125">
        <v>0</v>
      </c>
      <c r="F229" s="125">
        <v>0</v>
      </c>
      <c r="G229" s="125">
        <v>0</v>
      </c>
      <c r="H229" s="125">
        <v>0</v>
      </c>
      <c r="I229" s="125">
        <v>0</v>
      </c>
      <c r="J229" s="125">
        <v>0</v>
      </c>
      <c r="K229" s="125">
        <v>0</v>
      </c>
      <c r="L229" s="125">
        <v>0</v>
      </c>
      <c r="M229" s="125">
        <v>0</v>
      </c>
      <c r="N229" s="125">
        <v>0</v>
      </c>
      <c r="O229" s="125">
        <v>0</v>
      </c>
      <c r="P229" s="125">
        <v>0</v>
      </c>
      <c r="Q229" s="125">
        <v>0</v>
      </c>
      <c r="R229" s="125">
        <v>0</v>
      </c>
      <c r="S229" s="125">
        <v>0</v>
      </c>
      <c r="T229" s="125">
        <v>0</v>
      </c>
      <c r="U229" s="125">
        <v>0</v>
      </c>
      <c r="V229" s="125">
        <v>0</v>
      </c>
      <c r="W229" s="125">
        <v>0</v>
      </c>
      <c r="X229" s="125">
        <v>0</v>
      </c>
      <c r="Y229" s="125">
        <v>0</v>
      </c>
      <c r="Z229" s="125">
        <v>0</v>
      </c>
      <c r="AA229" s="125">
        <v>0</v>
      </c>
      <c r="AB229" s="125">
        <v>0</v>
      </c>
      <c r="AC229" s="125">
        <v>0</v>
      </c>
      <c r="AD229" s="125">
        <v>0</v>
      </c>
      <c r="AE229" s="125">
        <v>0</v>
      </c>
      <c r="AF229" s="125">
        <v>0</v>
      </c>
      <c r="AG229" s="125">
        <v>0</v>
      </c>
      <c r="AH229" s="125">
        <v>0</v>
      </c>
      <c r="AI229" s="125">
        <v>0</v>
      </c>
      <c r="AJ229" s="125">
        <v>0</v>
      </c>
      <c r="AK229" s="125">
        <v>0</v>
      </c>
      <c r="AL229" s="125">
        <v>0</v>
      </c>
      <c r="AM229" s="125">
        <v>0</v>
      </c>
      <c r="AN229" s="125">
        <v>0</v>
      </c>
      <c r="AO229" s="125">
        <v>0</v>
      </c>
      <c r="AP229" s="125">
        <v>0</v>
      </c>
      <c r="AQ229" s="125">
        <v>0</v>
      </c>
      <c r="AR229" s="125">
        <v>0</v>
      </c>
      <c r="AS229" s="125">
        <v>0</v>
      </c>
      <c r="AT229" s="125">
        <v>0</v>
      </c>
      <c r="AU229" s="125">
        <v>0</v>
      </c>
      <c r="AV229" s="125">
        <v>0</v>
      </c>
      <c r="AW229" s="125">
        <v>0</v>
      </c>
      <c r="AX229" s="125">
        <v>0</v>
      </c>
      <c r="AY229" s="125">
        <v>0</v>
      </c>
    </row>
    <row r="230" spans="1:51" x14ac:dyDescent="0.2">
      <c r="A230" s="124"/>
      <c r="B230" s="134">
        <v>22</v>
      </c>
      <c r="C230" s="121">
        <v>0</v>
      </c>
      <c r="D230" s="125">
        <v>0</v>
      </c>
      <c r="E230" s="125">
        <v>0</v>
      </c>
      <c r="F230" s="125">
        <v>0</v>
      </c>
      <c r="G230" s="125">
        <v>0</v>
      </c>
      <c r="H230" s="125">
        <v>0</v>
      </c>
      <c r="I230" s="125">
        <v>0</v>
      </c>
      <c r="J230" s="125">
        <v>0</v>
      </c>
      <c r="K230" s="125">
        <v>0</v>
      </c>
      <c r="L230" s="125">
        <v>0</v>
      </c>
      <c r="M230" s="125">
        <v>0</v>
      </c>
      <c r="N230" s="125">
        <v>0</v>
      </c>
      <c r="O230" s="125">
        <v>0</v>
      </c>
      <c r="P230" s="125">
        <v>0</v>
      </c>
      <c r="Q230" s="125">
        <v>0</v>
      </c>
      <c r="R230" s="125">
        <v>0</v>
      </c>
      <c r="S230" s="125">
        <v>0</v>
      </c>
      <c r="T230" s="125">
        <v>0</v>
      </c>
      <c r="U230" s="125">
        <v>0</v>
      </c>
      <c r="V230" s="125">
        <v>0</v>
      </c>
      <c r="W230" s="125">
        <v>0</v>
      </c>
      <c r="X230" s="125">
        <v>0</v>
      </c>
      <c r="Y230" s="125">
        <v>0</v>
      </c>
      <c r="Z230" s="125">
        <v>0</v>
      </c>
      <c r="AA230" s="125">
        <v>0</v>
      </c>
      <c r="AB230" s="125">
        <v>0</v>
      </c>
      <c r="AC230" s="125">
        <v>0</v>
      </c>
      <c r="AD230" s="125">
        <v>0</v>
      </c>
      <c r="AE230" s="125">
        <v>0</v>
      </c>
      <c r="AF230" s="125">
        <v>0</v>
      </c>
      <c r="AG230" s="125">
        <v>0</v>
      </c>
      <c r="AH230" s="125">
        <v>0</v>
      </c>
      <c r="AI230" s="125">
        <v>0</v>
      </c>
      <c r="AJ230" s="125">
        <v>0</v>
      </c>
      <c r="AK230" s="125">
        <v>0</v>
      </c>
      <c r="AL230" s="125">
        <v>0</v>
      </c>
      <c r="AM230" s="125">
        <v>0</v>
      </c>
      <c r="AN230" s="125">
        <v>0</v>
      </c>
      <c r="AO230" s="125">
        <v>0</v>
      </c>
      <c r="AP230" s="125">
        <v>0</v>
      </c>
      <c r="AQ230" s="125">
        <v>0</v>
      </c>
      <c r="AR230" s="125">
        <v>0</v>
      </c>
      <c r="AS230" s="125">
        <v>0</v>
      </c>
      <c r="AT230" s="125">
        <v>0</v>
      </c>
      <c r="AU230" s="125">
        <v>0</v>
      </c>
      <c r="AV230" s="125">
        <v>0</v>
      </c>
      <c r="AW230" s="125">
        <v>0</v>
      </c>
      <c r="AX230" s="125">
        <v>0</v>
      </c>
      <c r="AY230" s="125">
        <v>0</v>
      </c>
    </row>
    <row r="231" spans="1:51" x14ac:dyDescent="0.2">
      <c r="A231" s="124"/>
      <c r="B231" s="134">
        <v>23</v>
      </c>
      <c r="C231" s="121">
        <v>0</v>
      </c>
      <c r="D231" s="125">
        <v>0</v>
      </c>
      <c r="E231" s="125">
        <v>0</v>
      </c>
      <c r="F231" s="125">
        <v>0</v>
      </c>
      <c r="G231" s="125">
        <v>0</v>
      </c>
      <c r="H231" s="125">
        <v>0</v>
      </c>
      <c r="I231" s="125">
        <v>0</v>
      </c>
      <c r="J231" s="125">
        <v>0</v>
      </c>
      <c r="K231" s="125">
        <v>0</v>
      </c>
      <c r="L231" s="125">
        <v>0</v>
      </c>
      <c r="M231" s="125">
        <v>0</v>
      </c>
      <c r="N231" s="125">
        <v>0</v>
      </c>
      <c r="O231" s="125">
        <v>0</v>
      </c>
      <c r="P231" s="125">
        <v>0</v>
      </c>
      <c r="Q231" s="125">
        <v>0</v>
      </c>
      <c r="R231" s="125">
        <v>0</v>
      </c>
      <c r="S231" s="125">
        <v>0</v>
      </c>
      <c r="T231" s="125">
        <v>0</v>
      </c>
      <c r="U231" s="125">
        <v>0</v>
      </c>
      <c r="V231" s="125">
        <v>0</v>
      </c>
      <c r="W231" s="125">
        <v>0</v>
      </c>
      <c r="X231" s="125">
        <v>0</v>
      </c>
      <c r="Y231" s="125">
        <v>0</v>
      </c>
      <c r="Z231" s="125">
        <v>0</v>
      </c>
      <c r="AA231" s="125">
        <v>0</v>
      </c>
      <c r="AB231" s="125">
        <v>0</v>
      </c>
      <c r="AC231" s="125">
        <v>0</v>
      </c>
      <c r="AD231" s="125">
        <v>0</v>
      </c>
      <c r="AE231" s="125">
        <v>0</v>
      </c>
      <c r="AF231" s="125">
        <v>0</v>
      </c>
      <c r="AG231" s="125">
        <v>0</v>
      </c>
      <c r="AH231" s="125">
        <v>0</v>
      </c>
      <c r="AI231" s="125">
        <v>0</v>
      </c>
      <c r="AJ231" s="125">
        <v>0</v>
      </c>
      <c r="AK231" s="125">
        <v>0</v>
      </c>
      <c r="AL231" s="125">
        <v>0</v>
      </c>
      <c r="AM231" s="125">
        <v>0</v>
      </c>
      <c r="AN231" s="125">
        <v>0</v>
      </c>
      <c r="AO231" s="125">
        <v>0</v>
      </c>
      <c r="AP231" s="125">
        <v>0</v>
      </c>
      <c r="AQ231" s="125">
        <v>0</v>
      </c>
      <c r="AR231" s="125">
        <v>0</v>
      </c>
      <c r="AS231" s="125">
        <v>0</v>
      </c>
      <c r="AT231" s="125">
        <v>0</v>
      </c>
      <c r="AU231" s="125">
        <v>0</v>
      </c>
      <c r="AV231" s="125">
        <v>0</v>
      </c>
      <c r="AW231" s="125">
        <v>0</v>
      </c>
      <c r="AX231" s="125">
        <v>0</v>
      </c>
      <c r="AY231" s="125">
        <v>0</v>
      </c>
    </row>
    <row r="232" spans="1:51" x14ac:dyDescent="0.2">
      <c r="A232" s="124"/>
      <c r="B232" s="134">
        <v>24</v>
      </c>
      <c r="C232" s="121">
        <v>0</v>
      </c>
      <c r="D232" s="125">
        <v>0</v>
      </c>
      <c r="E232" s="125">
        <v>0</v>
      </c>
      <c r="F232" s="125">
        <v>0</v>
      </c>
      <c r="G232" s="125">
        <v>0</v>
      </c>
      <c r="H232" s="125">
        <v>0</v>
      </c>
      <c r="I232" s="125">
        <v>0</v>
      </c>
      <c r="J232" s="125">
        <v>0</v>
      </c>
      <c r="K232" s="125">
        <v>0</v>
      </c>
      <c r="L232" s="125">
        <v>0</v>
      </c>
      <c r="M232" s="125">
        <v>0</v>
      </c>
      <c r="N232" s="125">
        <v>0</v>
      </c>
      <c r="O232" s="125">
        <v>0</v>
      </c>
      <c r="P232" s="125">
        <v>0</v>
      </c>
      <c r="Q232" s="125">
        <v>0</v>
      </c>
      <c r="R232" s="125">
        <v>0</v>
      </c>
      <c r="S232" s="125">
        <v>0</v>
      </c>
      <c r="T232" s="125">
        <v>0</v>
      </c>
      <c r="U232" s="125">
        <v>0</v>
      </c>
      <c r="V232" s="125">
        <v>0</v>
      </c>
      <c r="W232" s="125">
        <v>0</v>
      </c>
      <c r="X232" s="125">
        <v>0</v>
      </c>
      <c r="Y232" s="125">
        <v>0</v>
      </c>
      <c r="Z232" s="125">
        <v>0</v>
      </c>
      <c r="AA232" s="125">
        <v>0</v>
      </c>
      <c r="AB232" s="125">
        <v>0</v>
      </c>
      <c r="AC232" s="125">
        <v>0</v>
      </c>
      <c r="AD232" s="125">
        <v>0</v>
      </c>
      <c r="AE232" s="125">
        <v>0</v>
      </c>
      <c r="AF232" s="125">
        <v>0</v>
      </c>
      <c r="AG232" s="125">
        <v>0</v>
      </c>
      <c r="AH232" s="125">
        <v>0</v>
      </c>
      <c r="AI232" s="125">
        <v>0</v>
      </c>
      <c r="AJ232" s="125">
        <v>0</v>
      </c>
      <c r="AK232" s="125">
        <v>0</v>
      </c>
      <c r="AL232" s="125">
        <v>0</v>
      </c>
      <c r="AM232" s="125">
        <v>0</v>
      </c>
      <c r="AN232" s="125">
        <v>0</v>
      </c>
      <c r="AO232" s="125">
        <v>0</v>
      </c>
      <c r="AP232" s="125">
        <v>0</v>
      </c>
      <c r="AQ232" s="125">
        <v>0</v>
      </c>
      <c r="AR232" s="125">
        <v>0</v>
      </c>
      <c r="AS232" s="125">
        <v>0</v>
      </c>
      <c r="AT232" s="125">
        <v>0</v>
      </c>
      <c r="AU232" s="125">
        <v>0</v>
      </c>
      <c r="AV232" s="125">
        <v>0</v>
      </c>
      <c r="AW232" s="125">
        <v>0</v>
      </c>
      <c r="AX232" s="125">
        <v>0</v>
      </c>
      <c r="AY232" s="125">
        <v>0</v>
      </c>
    </row>
    <row r="233" spans="1:51" x14ac:dyDescent="0.2">
      <c r="A233" s="124"/>
      <c r="B233" s="141">
        <v>25</v>
      </c>
      <c r="C233" s="121">
        <v>0</v>
      </c>
      <c r="D233" s="125">
        <v>0</v>
      </c>
      <c r="E233" s="125">
        <v>0</v>
      </c>
      <c r="F233" s="125">
        <v>0</v>
      </c>
      <c r="G233" s="125">
        <v>0</v>
      </c>
      <c r="H233" s="125">
        <v>0</v>
      </c>
      <c r="I233" s="125">
        <v>0</v>
      </c>
      <c r="J233" s="125">
        <v>0</v>
      </c>
      <c r="K233" s="125">
        <v>0</v>
      </c>
      <c r="L233" s="125">
        <v>0</v>
      </c>
      <c r="M233" s="125">
        <v>0</v>
      </c>
      <c r="N233" s="125">
        <v>0</v>
      </c>
      <c r="O233" s="125">
        <v>0</v>
      </c>
      <c r="P233" s="125">
        <v>0</v>
      </c>
      <c r="Q233" s="125">
        <v>0</v>
      </c>
      <c r="R233" s="125">
        <v>0</v>
      </c>
      <c r="S233" s="125">
        <v>0</v>
      </c>
      <c r="T233" s="125">
        <v>0</v>
      </c>
      <c r="U233" s="125">
        <v>0</v>
      </c>
      <c r="V233" s="125">
        <v>0</v>
      </c>
      <c r="W233" s="125">
        <v>0</v>
      </c>
      <c r="X233" s="125">
        <v>0</v>
      </c>
      <c r="Y233" s="125">
        <v>0</v>
      </c>
      <c r="Z233" s="125">
        <v>0</v>
      </c>
      <c r="AA233" s="125">
        <v>0</v>
      </c>
      <c r="AB233" s="125">
        <v>0</v>
      </c>
      <c r="AC233" s="125">
        <v>0</v>
      </c>
      <c r="AD233" s="125">
        <v>0</v>
      </c>
      <c r="AE233" s="125">
        <v>0</v>
      </c>
      <c r="AF233" s="125">
        <v>0</v>
      </c>
      <c r="AG233" s="125">
        <v>0</v>
      </c>
      <c r="AH233" s="125">
        <v>0</v>
      </c>
      <c r="AI233" s="125">
        <v>0</v>
      </c>
      <c r="AJ233" s="125">
        <v>0</v>
      </c>
      <c r="AK233" s="125">
        <v>0</v>
      </c>
      <c r="AL233" s="125">
        <v>0</v>
      </c>
      <c r="AM233" s="125">
        <v>0</v>
      </c>
      <c r="AN233" s="125">
        <v>0</v>
      </c>
      <c r="AO233" s="125">
        <v>0</v>
      </c>
      <c r="AP233" s="125">
        <v>0</v>
      </c>
      <c r="AQ233" s="125">
        <v>0</v>
      </c>
      <c r="AR233" s="125">
        <v>0</v>
      </c>
      <c r="AS233" s="125">
        <v>0</v>
      </c>
      <c r="AT233" s="125">
        <v>0</v>
      </c>
      <c r="AU233" s="125">
        <v>0</v>
      </c>
      <c r="AV233" s="125">
        <v>0</v>
      </c>
      <c r="AW233" s="125">
        <v>0</v>
      </c>
      <c r="AX233" s="125">
        <v>0</v>
      </c>
      <c r="AY233" s="125">
        <v>0</v>
      </c>
    </row>
    <row r="234" spans="1:51" x14ac:dyDescent="0.2">
      <c r="A234" s="124"/>
      <c r="B234" s="141">
        <v>26</v>
      </c>
      <c r="C234" s="121">
        <v>0</v>
      </c>
      <c r="D234" s="125">
        <v>0</v>
      </c>
      <c r="E234" s="125">
        <v>0</v>
      </c>
      <c r="F234" s="125">
        <v>0</v>
      </c>
      <c r="G234" s="125">
        <v>0</v>
      </c>
      <c r="H234" s="125">
        <v>0</v>
      </c>
      <c r="I234" s="125">
        <v>0</v>
      </c>
      <c r="J234" s="125">
        <v>0</v>
      </c>
      <c r="K234" s="125">
        <v>0</v>
      </c>
      <c r="L234" s="125">
        <v>0</v>
      </c>
      <c r="M234" s="125">
        <v>0</v>
      </c>
      <c r="N234" s="125">
        <v>0</v>
      </c>
      <c r="O234" s="125">
        <v>0</v>
      </c>
      <c r="P234" s="125">
        <v>0</v>
      </c>
      <c r="Q234" s="125">
        <v>0</v>
      </c>
      <c r="R234" s="125">
        <v>0</v>
      </c>
      <c r="S234" s="125">
        <v>0</v>
      </c>
      <c r="T234" s="125">
        <v>0</v>
      </c>
      <c r="U234" s="125">
        <v>0</v>
      </c>
      <c r="V234" s="125">
        <v>0</v>
      </c>
      <c r="W234" s="125">
        <v>0</v>
      </c>
      <c r="X234" s="125">
        <v>0</v>
      </c>
      <c r="Y234" s="125">
        <v>0</v>
      </c>
      <c r="Z234" s="125">
        <v>0</v>
      </c>
      <c r="AA234" s="125">
        <v>0</v>
      </c>
      <c r="AB234" s="125">
        <v>0</v>
      </c>
      <c r="AC234" s="125">
        <v>0</v>
      </c>
      <c r="AD234" s="125">
        <v>0</v>
      </c>
      <c r="AE234" s="125">
        <v>0</v>
      </c>
      <c r="AF234" s="125">
        <v>0</v>
      </c>
      <c r="AG234" s="125">
        <v>0</v>
      </c>
      <c r="AH234" s="125">
        <v>0</v>
      </c>
      <c r="AI234" s="125">
        <v>0</v>
      </c>
      <c r="AJ234" s="125">
        <v>0</v>
      </c>
      <c r="AK234" s="125">
        <v>0</v>
      </c>
      <c r="AL234" s="125">
        <v>0</v>
      </c>
      <c r="AM234" s="125">
        <v>0</v>
      </c>
      <c r="AN234" s="125">
        <v>0</v>
      </c>
      <c r="AO234" s="125">
        <v>0</v>
      </c>
      <c r="AP234" s="125">
        <v>0</v>
      </c>
      <c r="AQ234" s="125">
        <v>0</v>
      </c>
      <c r="AR234" s="125">
        <v>0</v>
      </c>
      <c r="AS234" s="125">
        <v>0</v>
      </c>
      <c r="AT234" s="125">
        <v>0</v>
      </c>
      <c r="AU234" s="125">
        <v>0</v>
      </c>
      <c r="AV234" s="125">
        <v>0</v>
      </c>
      <c r="AW234" s="125">
        <v>0</v>
      </c>
      <c r="AX234" s="125">
        <v>0</v>
      </c>
      <c r="AY234" s="125">
        <v>0</v>
      </c>
    </row>
    <row r="235" spans="1:51" x14ac:dyDescent="0.2">
      <c r="A235" s="124"/>
      <c r="B235" s="141">
        <v>27</v>
      </c>
      <c r="C235" s="121">
        <v>0</v>
      </c>
      <c r="D235" s="125">
        <v>0</v>
      </c>
      <c r="E235" s="125">
        <v>0</v>
      </c>
      <c r="F235" s="125">
        <v>0</v>
      </c>
      <c r="G235" s="125">
        <v>0</v>
      </c>
      <c r="H235" s="125">
        <v>0</v>
      </c>
      <c r="I235" s="125">
        <v>0</v>
      </c>
      <c r="J235" s="125">
        <v>0</v>
      </c>
      <c r="K235" s="125">
        <v>0</v>
      </c>
      <c r="L235" s="125">
        <v>0</v>
      </c>
      <c r="M235" s="125">
        <v>0</v>
      </c>
      <c r="N235" s="125">
        <v>0</v>
      </c>
      <c r="O235" s="125">
        <v>0</v>
      </c>
      <c r="P235" s="125">
        <v>0</v>
      </c>
      <c r="Q235" s="125">
        <v>0</v>
      </c>
      <c r="R235" s="125">
        <v>0</v>
      </c>
      <c r="S235" s="125">
        <v>0</v>
      </c>
      <c r="T235" s="125">
        <v>0</v>
      </c>
      <c r="U235" s="125">
        <v>0</v>
      </c>
      <c r="V235" s="125">
        <v>0</v>
      </c>
      <c r="W235" s="125">
        <v>0</v>
      </c>
      <c r="X235" s="125">
        <v>0</v>
      </c>
      <c r="Y235" s="125">
        <v>0</v>
      </c>
      <c r="Z235" s="125">
        <v>0</v>
      </c>
      <c r="AA235" s="125">
        <v>0</v>
      </c>
      <c r="AB235" s="125">
        <v>0</v>
      </c>
      <c r="AC235" s="125">
        <v>0</v>
      </c>
      <c r="AD235" s="125">
        <v>0</v>
      </c>
      <c r="AE235" s="125">
        <v>0</v>
      </c>
      <c r="AF235" s="125">
        <v>0</v>
      </c>
      <c r="AG235" s="125">
        <v>0</v>
      </c>
      <c r="AH235" s="125">
        <v>0</v>
      </c>
      <c r="AI235" s="125">
        <v>0</v>
      </c>
      <c r="AJ235" s="125">
        <v>0</v>
      </c>
      <c r="AK235" s="125">
        <v>0</v>
      </c>
      <c r="AL235" s="125">
        <v>0</v>
      </c>
      <c r="AM235" s="125">
        <v>0</v>
      </c>
      <c r="AN235" s="125">
        <v>0</v>
      </c>
      <c r="AO235" s="125">
        <v>0</v>
      </c>
      <c r="AP235" s="125">
        <v>0</v>
      </c>
      <c r="AQ235" s="125">
        <v>0</v>
      </c>
      <c r="AR235" s="125">
        <v>0</v>
      </c>
      <c r="AS235" s="125">
        <v>0</v>
      </c>
      <c r="AT235" s="125">
        <v>0</v>
      </c>
      <c r="AU235" s="125">
        <v>0</v>
      </c>
      <c r="AV235" s="125">
        <v>0</v>
      </c>
      <c r="AW235" s="125">
        <v>0</v>
      </c>
      <c r="AX235" s="125">
        <v>0</v>
      </c>
      <c r="AY235" s="125">
        <v>0</v>
      </c>
    </row>
    <row r="236" spans="1:51" x14ac:dyDescent="0.2">
      <c r="A236" s="124"/>
      <c r="B236" s="141">
        <v>28</v>
      </c>
      <c r="C236" s="121">
        <v>0</v>
      </c>
      <c r="D236" s="125">
        <v>0</v>
      </c>
      <c r="E236" s="125">
        <v>0</v>
      </c>
      <c r="F236" s="125">
        <v>0</v>
      </c>
      <c r="G236" s="125">
        <v>0</v>
      </c>
      <c r="H236" s="125">
        <v>0</v>
      </c>
      <c r="I236" s="125">
        <v>0</v>
      </c>
      <c r="J236" s="125">
        <v>0</v>
      </c>
      <c r="K236" s="125">
        <v>0</v>
      </c>
      <c r="L236" s="125">
        <v>0</v>
      </c>
      <c r="M236" s="125">
        <v>0</v>
      </c>
      <c r="N236" s="125">
        <v>0</v>
      </c>
      <c r="O236" s="125">
        <v>0</v>
      </c>
      <c r="P236" s="125">
        <v>0</v>
      </c>
      <c r="Q236" s="125">
        <v>0</v>
      </c>
      <c r="R236" s="125">
        <v>0</v>
      </c>
      <c r="S236" s="125">
        <v>0</v>
      </c>
      <c r="T236" s="125">
        <v>0</v>
      </c>
      <c r="U236" s="125">
        <v>0</v>
      </c>
      <c r="V236" s="125">
        <v>0</v>
      </c>
      <c r="W236" s="125">
        <v>0</v>
      </c>
      <c r="X236" s="125">
        <v>0</v>
      </c>
      <c r="Y236" s="125">
        <v>0</v>
      </c>
      <c r="Z236" s="125">
        <v>0</v>
      </c>
      <c r="AA236" s="125">
        <v>0</v>
      </c>
      <c r="AB236" s="125">
        <v>0</v>
      </c>
      <c r="AC236" s="125">
        <v>0</v>
      </c>
      <c r="AD236" s="125">
        <v>0</v>
      </c>
      <c r="AE236" s="125">
        <v>0</v>
      </c>
      <c r="AF236" s="125">
        <v>0</v>
      </c>
      <c r="AG236" s="125">
        <v>0</v>
      </c>
      <c r="AH236" s="125">
        <v>0</v>
      </c>
      <c r="AI236" s="125">
        <v>0</v>
      </c>
      <c r="AJ236" s="125">
        <v>0</v>
      </c>
      <c r="AK236" s="125">
        <v>0</v>
      </c>
      <c r="AL236" s="125">
        <v>0</v>
      </c>
      <c r="AM236" s="125">
        <v>0</v>
      </c>
      <c r="AN236" s="125">
        <v>0</v>
      </c>
      <c r="AO236" s="125">
        <v>0</v>
      </c>
      <c r="AP236" s="125">
        <v>0</v>
      </c>
      <c r="AQ236" s="125">
        <v>0</v>
      </c>
      <c r="AR236" s="125">
        <v>0</v>
      </c>
      <c r="AS236" s="125">
        <v>0</v>
      </c>
      <c r="AT236" s="125">
        <v>0</v>
      </c>
      <c r="AU236" s="125">
        <v>0</v>
      </c>
      <c r="AV236" s="125">
        <v>0</v>
      </c>
      <c r="AW236" s="125">
        <v>0</v>
      </c>
      <c r="AX236" s="125">
        <v>0</v>
      </c>
      <c r="AY236" s="125">
        <v>0</v>
      </c>
    </row>
    <row r="237" spans="1:51" x14ac:dyDescent="0.2">
      <c r="A237" s="124"/>
      <c r="B237" s="141">
        <v>29</v>
      </c>
      <c r="C237" s="121">
        <v>0</v>
      </c>
      <c r="D237" s="125">
        <v>0</v>
      </c>
      <c r="E237" s="125">
        <v>0</v>
      </c>
      <c r="F237" s="125">
        <v>0</v>
      </c>
      <c r="G237" s="125">
        <v>0</v>
      </c>
      <c r="H237" s="125">
        <v>0</v>
      </c>
      <c r="I237" s="125">
        <v>0</v>
      </c>
      <c r="J237" s="125">
        <v>0</v>
      </c>
      <c r="K237" s="125">
        <v>0</v>
      </c>
      <c r="L237" s="125">
        <v>0</v>
      </c>
      <c r="M237" s="125">
        <v>0</v>
      </c>
      <c r="N237" s="125">
        <v>0</v>
      </c>
      <c r="O237" s="125">
        <v>0</v>
      </c>
      <c r="P237" s="125">
        <v>0</v>
      </c>
      <c r="Q237" s="125">
        <v>0</v>
      </c>
      <c r="R237" s="125">
        <v>0</v>
      </c>
      <c r="S237" s="125">
        <v>0</v>
      </c>
      <c r="T237" s="125">
        <v>0</v>
      </c>
      <c r="U237" s="125">
        <v>0</v>
      </c>
      <c r="V237" s="125">
        <v>0</v>
      </c>
      <c r="W237" s="125">
        <v>0</v>
      </c>
      <c r="X237" s="125">
        <v>0</v>
      </c>
      <c r="Y237" s="125">
        <v>0</v>
      </c>
      <c r="Z237" s="125">
        <v>0</v>
      </c>
      <c r="AA237" s="125">
        <v>0</v>
      </c>
      <c r="AB237" s="125">
        <v>0</v>
      </c>
      <c r="AC237" s="125">
        <v>0</v>
      </c>
      <c r="AD237" s="125">
        <v>0</v>
      </c>
      <c r="AE237" s="125">
        <v>0</v>
      </c>
      <c r="AF237" s="125">
        <v>0</v>
      </c>
      <c r="AG237" s="125">
        <v>0</v>
      </c>
      <c r="AH237" s="125">
        <v>0</v>
      </c>
      <c r="AI237" s="125">
        <v>0</v>
      </c>
      <c r="AJ237" s="125">
        <v>0</v>
      </c>
      <c r="AK237" s="125">
        <v>0</v>
      </c>
      <c r="AL237" s="125">
        <v>0</v>
      </c>
      <c r="AM237" s="125">
        <v>0</v>
      </c>
      <c r="AN237" s="125">
        <v>0</v>
      </c>
      <c r="AO237" s="125">
        <v>0</v>
      </c>
      <c r="AP237" s="125">
        <v>0</v>
      </c>
      <c r="AQ237" s="125">
        <v>0</v>
      </c>
      <c r="AR237" s="125">
        <v>0</v>
      </c>
      <c r="AS237" s="125">
        <v>0</v>
      </c>
      <c r="AT237" s="125">
        <v>0</v>
      </c>
      <c r="AU237" s="125">
        <v>0</v>
      </c>
      <c r="AV237" s="125">
        <v>0</v>
      </c>
      <c r="AW237" s="125">
        <v>0</v>
      </c>
      <c r="AX237" s="125">
        <v>0</v>
      </c>
      <c r="AY237" s="125">
        <v>0</v>
      </c>
    </row>
    <row r="238" spans="1:51" x14ac:dyDescent="0.2">
      <c r="A238" s="124"/>
      <c r="B238" s="141">
        <v>30</v>
      </c>
      <c r="C238" s="121">
        <v>0</v>
      </c>
      <c r="D238" s="125">
        <v>0</v>
      </c>
      <c r="E238" s="125">
        <v>0</v>
      </c>
      <c r="F238" s="125">
        <v>0</v>
      </c>
      <c r="G238" s="125">
        <v>0</v>
      </c>
      <c r="H238" s="125">
        <v>0</v>
      </c>
      <c r="I238" s="125">
        <v>0</v>
      </c>
      <c r="J238" s="125">
        <v>0</v>
      </c>
      <c r="K238" s="125">
        <v>0</v>
      </c>
      <c r="L238" s="125">
        <v>0</v>
      </c>
      <c r="M238" s="125">
        <v>0</v>
      </c>
      <c r="N238" s="125">
        <v>0</v>
      </c>
      <c r="O238" s="125">
        <v>0</v>
      </c>
      <c r="P238" s="125">
        <v>0</v>
      </c>
      <c r="Q238" s="125">
        <v>0</v>
      </c>
      <c r="R238" s="125">
        <v>0</v>
      </c>
      <c r="S238" s="125">
        <v>0</v>
      </c>
      <c r="T238" s="125">
        <v>0</v>
      </c>
      <c r="U238" s="125">
        <v>0</v>
      </c>
      <c r="V238" s="125">
        <v>0</v>
      </c>
      <c r="W238" s="125">
        <v>0</v>
      </c>
      <c r="X238" s="125">
        <v>0</v>
      </c>
      <c r="Y238" s="125">
        <v>0</v>
      </c>
      <c r="Z238" s="125">
        <v>0</v>
      </c>
      <c r="AA238" s="125">
        <v>0</v>
      </c>
      <c r="AB238" s="125">
        <v>0</v>
      </c>
      <c r="AC238" s="125">
        <v>0</v>
      </c>
      <c r="AD238" s="125">
        <v>0</v>
      </c>
      <c r="AE238" s="125">
        <v>0</v>
      </c>
      <c r="AF238" s="125">
        <v>0</v>
      </c>
      <c r="AG238" s="125">
        <v>0</v>
      </c>
      <c r="AH238" s="125">
        <v>0</v>
      </c>
      <c r="AI238" s="125">
        <v>0</v>
      </c>
      <c r="AJ238" s="125">
        <v>0</v>
      </c>
      <c r="AK238" s="125">
        <v>0</v>
      </c>
      <c r="AL238" s="125">
        <v>0</v>
      </c>
      <c r="AM238" s="125">
        <v>0</v>
      </c>
      <c r="AN238" s="125">
        <v>0</v>
      </c>
      <c r="AO238" s="125">
        <v>0</v>
      </c>
      <c r="AP238" s="125">
        <v>0</v>
      </c>
      <c r="AQ238" s="125">
        <v>0</v>
      </c>
      <c r="AR238" s="125">
        <v>0</v>
      </c>
      <c r="AS238" s="125">
        <v>0</v>
      </c>
      <c r="AT238" s="125">
        <v>0</v>
      </c>
      <c r="AU238" s="125">
        <v>0</v>
      </c>
      <c r="AV238" s="125">
        <v>0</v>
      </c>
      <c r="AW238" s="125">
        <v>0</v>
      </c>
      <c r="AX238" s="125">
        <v>0</v>
      </c>
      <c r="AY238" s="125">
        <v>0</v>
      </c>
    </row>
    <row r="239" spans="1:51" x14ac:dyDescent="0.2">
      <c r="A239" s="124"/>
      <c r="B239" s="141">
        <v>31</v>
      </c>
      <c r="C239" s="121">
        <v>0</v>
      </c>
      <c r="D239" s="125">
        <v>0</v>
      </c>
      <c r="E239" s="125">
        <v>0</v>
      </c>
      <c r="F239" s="125">
        <v>0</v>
      </c>
      <c r="G239" s="125">
        <v>0</v>
      </c>
      <c r="H239" s="125">
        <v>0</v>
      </c>
      <c r="I239" s="125">
        <v>0</v>
      </c>
      <c r="J239" s="125">
        <v>0</v>
      </c>
      <c r="K239" s="125">
        <v>0</v>
      </c>
      <c r="L239" s="125">
        <v>0</v>
      </c>
      <c r="M239" s="125">
        <v>0</v>
      </c>
      <c r="N239" s="125">
        <v>0</v>
      </c>
      <c r="O239" s="125">
        <v>0</v>
      </c>
      <c r="P239" s="125">
        <v>0</v>
      </c>
      <c r="Q239" s="125">
        <v>0</v>
      </c>
      <c r="R239" s="125">
        <v>0</v>
      </c>
      <c r="S239" s="125">
        <v>0</v>
      </c>
      <c r="T239" s="125">
        <v>0</v>
      </c>
      <c r="U239" s="125">
        <v>0</v>
      </c>
      <c r="V239" s="125">
        <v>0</v>
      </c>
      <c r="W239" s="125">
        <v>0</v>
      </c>
      <c r="X239" s="125">
        <v>0</v>
      </c>
      <c r="Y239" s="125">
        <v>0</v>
      </c>
      <c r="Z239" s="125">
        <v>0</v>
      </c>
      <c r="AA239" s="125">
        <v>0</v>
      </c>
      <c r="AB239" s="125">
        <v>0</v>
      </c>
      <c r="AC239" s="125">
        <v>0</v>
      </c>
      <c r="AD239" s="125">
        <v>0</v>
      </c>
      <c r="AE239" s="125">
        <v>0</v>
      </c>
      <c r="AF239" s="125">
        <v>0</v>
      </c>
      <c r="AG239" s="125">
        <v>0</v>
      </c>
      <c r="AH239" s="125">
        <v>0</v>
      </c>
      <c r="AI239" s="125">
        <v>0</v>
      </c>
      <c r="AJ239" s="125">
        <v>0</v>
      </c>
      <c r="AK239" s="125">
        <v>0</v>
      </c>
      <c r="AL239" s="125">
        <v>0</v>
      </c>
      <c r="AM239" s="125">
        <v>0</v>
      </c>
      <c r="AN239" s="125">
        <v>0</v>
      </c>
      <c r="AO239" s="125">
        <v>0</v>
      </c>
      <c r="AP239" s="125">
        <v>0</v>
      </c>
      <c r="AQ239" s="125">
        <v>0</v>
      </c>
      <c r="AR239" s="125">
        <v>0</v>
      </c>
      <c r="AS239" s="125">
        <v>0</v>
      </c>
      <c r="AT239" s="125">
        <v>0</v>
      </c>
      <c r="AU239" s="125">
        <v>0</v>
      </c>
      <c r="AV239" s="125">
        <v>0</v>
      </c>
      <c r="AW239" s="125">
        <v>0</v>
      </c>
      <c r="AX239" s="125">
        <v>0</v>
      </c>
      <c r="AY239" s="125">
        <v>0</v>
      </c>
    </row>
    <row r="240" spans="1:51" x14ac:dyDescent="0.2">
      <c r="A240" s="124"/>
      <c r="B240" s="141">
        <v>32</v>
      </c>
      <c r="C240" s="121">
        <v>0</v>
      </c>
      <c r="D240" s="125">
        <v>0</v>
      </c>
      <c r="E240" s="125">
        <v>0</v>
      </c>
      <c r="F240" s="125">
        <v>0</v>
      </c>
      <c r="G240" s="125">
        <v>0</v>
      </c>
      <c r="H240" s="125">
        <v>0</v>
      </c>
      <c r="I240" s="125">
        <v>0</v>
      </c>
      <c r="J240" s="125">
        <v>0</v>
      </c>
      <c r="K240" s="125">
        <v>0</v>
      </c>
      <c r="L240" s="125">
        <v>0</v>
      </c>
      <c r="M240" s="125">
        <v>0</v>
      </c>
      <c r="N240" s="125">
        <v>0</v>
      </c>
      <c r="O240" s="125">
        <v>0</v>
      </c>
      <c r="P240" s="125">
        <v>0</v>
      </c>
      <c r="Q240" s="125">
        <v>0</v>
      </c>
      <c r="R240" s="125">
        <v>0</v>
      </c>
      <c r="S240" s="125">
        <v>0</v>
      </c>
      <c r="T240" s="125">
        <v>0</v>
      </c>
      <c r="U240" s="125">
        <v>0</v>
      </c>
      <c r="V240" s="125">
        <v>0</v>
      </c>
      <c r="W240" s="125">
        <v>0</v>
      </c>
      <c r="X240" s="125">
        <v>0</v>
      </c>
      <c r="Y240" s="125">
        <v>0</v>
      </c>
      <c r="Z240" s="125">
        <v>0</v>
      </c>
      <c r="AA240" s="125">
        <v>0</v>
      </c>
      <c r="AB240" s="125">
        <v>0</v>
      </c>
      <c r="AC240" s="125">
        <v>0</v>
      </c>
      <c r="AD240" s="125">
        <v>0</v>
      </c>
      <c r="AE240" s="125">
        <v>0</v>
      </c>
      <c r="AF240" s="125">
        <v>0</v>
      </c>
      <c r="AG240" s="125">
        <v>0</v>
      </c>
      <c r="AH240" s="125">
        <v>0</v>
      </c>
      <c r="AI240" s="125">
        <v>0</v>
      </c>
      <c r="AJ240" s="125">
        <v>0</v>
      </c>
      <c r="AK240" s="125">
        <v>0</v>
      </c>
      <c r="AL240" s="125">
        <v>0</v>
      </c>
      <c r="AM240" s="125">
        <v>0</v>
      </c>
      <c r="AN240" s="125">
        <v>0</v>
      </c>
      <c r="AO240" s="125">
        <v>0</v>
      </c>
      <c r="AP240" s="125">
        <v>0</v>
      </c>
      <c r="AQ240" s="125">
        <v>0</v>
      </c>
      <c r="AR240" s="125">
        <v>0</v>
      </c>
      <c r="AS240" s="125">
        <v>0</v>
      </c>
      <c r="AT240" s="125">
        <v>0</v>
      </c>
      <c r="AU240" s="125">
        <v>0</v>
      </c>
      <c r="AV240" s="125">
        <v>0</v>
      </c>
      <c r="AW240" s="125">
        <v>0</v>
      </c>
      <c r="AX240" s="125">
        <v>0</v>
      </c>
      <c r="AY240" s="125">
        <v>0</v>
      </c>
    </row>
    <row r="241" spans="1:51" x14ac:dyDescent="0.2">
      <c r="A241" s="124"/>
      <c r="B241" s="141">
        <v>33</v>
      </c>
      <c r="C241" s="121">
        <v>0</v>
      </c>
      <c r="D241" s="125">
        <v>0</v>
      </c>
      <c r="E241" s="125">
        <v>0</v>
      </c>
      <c r="F241" s="125">
        <v>0</v>
      </c>
      <c r="G241" s="125">
        <v>0</v>
      </c>
      <c r="H241" s="125">
        <v>0</v>
      </c>
      <c r="I241" s="125">
        <v>0</v>
      </c>
      <c r="J241" s="125">
        <v>0</v>
      </c>
      <c r="K241" s="125">
        <v>0</v>
      </c>
      <c r="L241" s="125">
        <v>0</v>
      </c>
      <c r="M241" s="125">
        <v>0</v>
      </c>
      <c r="N241" s="125">
        <v>0</v>
      </c>
      <c r="O241" s="125">
        <v>0</v>
      </c>
      <c r="P241" s="125">
        <v>0</v>
      </c>
      <c r="Q241" s="125">
        <v>0</v>
      </c>
      <c r="R241" s="125">
        <v>0</v>
      </c>
      <c r="S241" s="125">
        <v>0</v>
      </c>
      <c r="T241" s="125">
        <v>0</v>
      </c>
      <c r="U241" s="125">
        <v>0</v>
      </c>
      <c r="V241" s="125">
        <v>0</v>
      </c>
      <c r="W241" s="125">
        <v>0</v>
      </c>
      <c r="X241" s="125">
        <v>0</v>
      </c>
      <c r="Y241" s="125">
        <v>0</v>
      </c>
      <c r="Z241" s="125">
        <v>0</v>
      </c>
      <c r="AA241" s="125">
        <v>0</v>
      </c>
      <c r="AB241" s="125">
        <v>0</v>
      </c>
      <c r="AC241" s="125">
        <v>0</v>
      </c>
      <c r="AD241" s="125">
        <v>0</v>
      </c>
      <c r="AE241" s="125">
        <v>0</v>
      </c>
      <c r="AF241" s="125">
        <v>0</v>
      </c>
      <c r="AG241" s="125">
        <v>0</v>
      </c>
      <c r="AH241" s="125">
        <v>0</v>
      </c>
      <c r="AI241" s="125">
        <v>0</v>
      </c>
      <c r="AJ241" s="125">
        <v>0</v>
      </c>
      <c r="AK241" s="125">
        <v>0</v>
      </c>
      <c r="AL241" s="125">
        <v>0</v>
      </c>
      <c r="AM241" s="125">
        <v>0</v>
      </c>
      <c r="AN241" s="125">
        <v>0</v>
      </c>
      <c r="AO241" s="125">
        <v>0</v>
      </c>
      <c r="AP241" s="125">
        <v>0</v>
      </c>
      <c r="AQ241" s="125">
        <v>0</v>
      </c>
      <c r="AR241" s="125">
        <v>0</v>
      </c>
      <c r="AS241" s="125">
        <v>0</v>
      </c>
      <c r="AT241" s="125">
        <v>0</v>
      </c>
      <c r="AU241" s="125">
        <v>0</v>
      </c>
      <c r="AV241" s="125">
        <v>0</v>
      </c>
      <c r="AW241" s="125">
        <v>0</v>
      </c>
      <c r="AX241" s="125">
        <v>0</v>
      </c>
      <c r="AY241" s="125">
        <v>0</v>
      </c>
    </row>
    <row r="242" spans="1:51" x14ac:dyDescent="0.2">
      <c r="A242" s="124"/>
      <c r="B242" s="141">
        <v>34</v>
      </c>
      <c r="C242" s="121">
        <v>0</v>
      </c>
      <c r="D242" s="125">
        <v>0</v>
      </c>
      <c r="E242" s="125">
        <v>0</v>
      </c>
      <c r="F242" s="125">
        <v>0</v>
      </c>
      <c r="G242" s="125">
        <v>0</v>
      </c>
      <c r="H242" s="125">
        <v>0</v>
      </c>
      <c r="I242" s="125">
        <v>0</v>
      </c>
      <c r="J242" s="125">
        <v>0</v>
      </c>
      <c r="K242" s="125">
        <v>0</v>
      </c>
      <c r="L242" s="125">
        <v>0</v>
      </c>
      <c r="M242" s="125">
        <v>0</v>
      </c>
      <c r="N242" s="125">
        <v>0</v>
      </c>
      <c r="O242" s="125">
        <v>0</v>
      </c>
      <c r="P242" s="125">
        <v>0</v>
      </c>
      <c r="Q242" s="125">
        <v>0</v>
      </c>
      <c r="R242" s="125">
        <v>0</v>
      </c>
      <c r="S242" s="125">
        <v>0</v>
      </c>
      <c r="T242" s="125">
        <v>0</v>
      </c>
      <c r="U242" s="125">
        <v>0</v>
      </c>
      <c r="V242" s="125">
        <v>0</v>
      </c>
      <c r="W242" s="125">
        <v>0</v>
      </c>
      <c r="X242" s="125">
        <v>0</v>
      </c>
      <c r="Y242" s="125">
        <v>0</v>
      </c>
      <c r="Z242" s="125">
        <v>0</v>
      </c>
      <c r="AA242" s="125">
        <v>0</v>
      </c>
      <c r="AB242" s="125">
        <v>0</v>
      </c>
      <c r="AC242" s="125">
        <v>0</v>
      </c>
      <c r="AD242" s="125">
        <v>0</v>
      </c>
      <c r="AE242" s="125">
        <v>0</v>
      </c>
      <c r="AF242" s="125">
        <v>0</v>
      </c>
      <c r="AG242" s="125">
        <v>0</v>
      </c>
      <c r="AH242" s="125">
        <v>0</v>
      </c>
      <c r="AI242" s="125">
        <v>0</v>
      </c>
      <c r="AJ242" s="125">
        <v>0</v>
      </c>
      <c r="AK242" s="125">
        <v>0</v>
      </c>
      <c r="AL242" s="125">
        <v>0</v>
      </c>
      <c r="AM242" s="125">
        <v>0</v>
      </c>
      <c r="AN242" s="125">
        <v>0</v>
      </c>
      <c r="AO242" s="125">
        <v>0</v>
      </c>
      <c r="AP242" s="125">
        <v>0</v>
      </c>
      <c r="AQ242" s="125">
        <v>0</v>
      </c>
      <c r="AR242" s="125">
        <v>0</v>
      </c>
      <c r="AS242" s="125">
        <v>0</v>
      </c>
      <c r="AT242" s="125">
        <v>0</v>
      </c>
      <c r="AU242" s="125">
        <v>0</v>
      </c>
      <c r="AV242" s="125">
        <v>0</v>
      </c>
      <c r="AW242" s="125">
        <v>0</v>
      </c>
      <c r="AX242" s="125">
        <v>0</v>
      </c>
      <c r="AY242" s="125">
        <v>0</v>
      </c>
    </row>
    <row r="243" spans="1:51" x14ac:dyDescent="0.2">
      <c r="A243" s="124"/>
      <c r="B243" s="141">
        <v>35</v>
      </c>
      <c r="C243" s="121">
        <v>0</v>
      </c>
      <c r="D243" s="125">
        <v>0</v>
      </c>
      <c r="E243" s="125">
        <v>0</v>
      </c>
      <c r="F243" s="125">
        <v>0</v>
      </c>
      <c r="G243" s="125">
        <v>0</v>
      </c>
      <c r="H243" s="125">
        <v>0</v>
      </c>
      <c r="I243" s="125">
        <v>0</v>
      </c>
      <c r="J243" s="125">
        <v>0</v>
      </c>
      <c r="K243" s="125">
        <v>0</v>
      </c>
      <c r="L243" s="125">
        <v>0</v>
      </c>
      <c r="M243" s="125">
        <v>0</v>
      </c>
      <c r="N243" s="125">
        <v>0</v>
      </c>
      <c r="O243" s="125">
        <v>0</v>
      </c>
      <c r="P243" s="125">
        <v>0</v>
      </c>
      <c r="Q243" s="125">
        <v>0</v>
      </c>
      <c r="R243" s="125">
        <v>0</v>
      </c>
      <c r="S243" s="125">
        <v>0</v>
      </c>
      <c r="T243" s="125">
        <v>0</v>
      </c>
      <c r="U243" s="125">
        <v>0</v>
      </c>
      <c r="V243" s="125">
        <v>0</v>
      </c>
      <c r="W243" s="125">
        <v>0</v>
      </c>
      <c r="X243" s="125">
        <v>0</v>
      </c>
      <c r="Y243" s="125">
        <v>0</v>
      </c>
      <c r="Z243" s="125">
        <v>0</v>
      </c>
      <c r="AA243" s="125">
        <v>0</v>
      </c>
      <c r="AB243" s="125">
        <v>0</v>
      </c>
      <c r="AC243" s="125">
        <v>0</v>
      </c>
      <c r="AD243" s="125">
        <v>0</v>
      </c>
      <c r="AE243" s="125">
        <v>0</v>
      </c>
      <c r="AF243" s="125">
        <v>0</v>
      </c>
      <c r="AG243" s="125">
        <v>0</v>
      </c>
      <c r="AH243" s="125">
        <v>0</v>
      </c>
      <c r="AI243" s="125">
        <v>0</v>
      </c>
      <c r="AJ243" s="125">
        <v>0</v>
      </c>
      <c r="AK243" s="125">
        <v>0</v>
      </c>
      <c r="AL243" s="125">
        <v>0</v>
      </c>
      <c r="AM243" s="125">
        <v>0</v>
      </c>
      <c r="AN243" s="125">
        <v>0</v>
      </c>
      <c r="AO243" s="125">
        <v>0</v>
      </c>
      <c r="AP243" s="125">
        <v>0</v>
      </c>
      <c r="AQ243" s="125">
        <v>0</v>
      </c>
      <c r="AR243" s="125">
        <v>0</v>
      </c>
      <c r="AS243" s="125">
        <v>0</v>
      </c>
      <c r="AT243" s="125">
        <v>0</v>
      </c>
      <c r="AU243" s="125">
        <v>0</v>
      </c>
      <c r="AV243" s="125">
        <v>0</v>
      </c>
      <c r="AW243" s="125">
        <v>0</v>
      </c>
      <c r="AX243" s="125">
        <v>0</v>
      </c>
      <c r="AY243" s="125">
        <v>0</v>
      </c>
    </row>
    <row r="244" spans="1:51" x14ac:dyDescent="0.2">
      <c r="A244" s="124"/>
      <c r="B244" s="141">
        <v>36</v>
      </c>
      <c r="C244" s="121">
        <v>0</v>
      </c>
      <c r="D244" s="125">
        <v>0</v>
      </c>
      <c r="E244" s="125">
        <v>0</v>
      </c>
      <c r="F244" s="125">
        <v>0</v>
      </c>
      <c r="G244" s="125">
        <v>0</v>
      </c>
      <c r="H244" s="125">
        <v>0</v>
      </c>
      <c r="I244" s="125">
        <v>0</v>
      </c>
      <c r="J244" s="125">
        <v>0</v>
      </c>
      <c r="K244" s="125">
        <v>0</v>
      </c>
      <c r="L244" s="125">
        <v>0</v>
      </c>
      <c r="M244" s="125">
        <v>0</v>
      </c>
      <c r="N244" s="125">
        <v>0</v>
      </c>
      <c r="O244" s="125">
        <v>0</v>
      </c>
      <c r="P244" s="125">
        <v>0</v>
      </c>
      <c r="Q244" s="125">
        <v>0</v>
      </c>
      <c r="R244" s="125">
        <v>0</v>
      </c>
      <c r="S244" s="125">
        <v>0</v>
      </c>
      <c r="T244" s="125">
        <v>0</v>
      </c>
      <c r="U244" s="125">
        <v>0</v>
      </c>
      <c r="V244" s="125">
        <v>0</v>
      </c>
      <c r="W244" s="125">
        <v>0</v>
      </c>
      <c r="X244" s="125">
        <v>0</v>
      </c>
      <c r="Y244" s="125">
        <v>0</v>
      </c>
      <c r="Z244" s="125">
        <v>0</v>
      </c>
      <c r="AA244" s="125">
        <v>0</v>
      </c>
      <c r="AB244" s="125">
        <v>0</v>
      </c>
      <c r="AC244" s="125">
        <v>0</v>
      </c>
      <c r="AD244" s="125">
        <v>0</v>
      </c>
      <c r="AE244" s="125">
        <v>0</v>
      </c>
      <c r="AF244" s="125">
        <v>0</v>
      </c>
      <c r="AG244" s="125">
        <v>0</v>
      </c>
      <c r="AH244" s="125">
        <v>0</v>
      </c>
      <c r="AI244" s="125">
        <v>0</v>
      </c>
      <c r="AJ244" s="125">
        <v>0</v>
      </c>
      <c r="AK244" s="125">
        <v>0</v>
      </c>
      <c r="AL244" s="125">
        <v>0</v>
      </c>
      <c r="AM244" s="125">
        <v>0</v>
      </c>
      <c r="AN244" s="125">
        <v>0</v>
      </c>
      <c r="AO244" s="125">
        <v>0</v>
      </c>
      <c r="AP244" s="125">
        <v>0</v>
      </c>
      <c r="AQ244" s="125">
        <v>0</v>
      </c>
      <c r="AR244" s="125">
        <v>0</v>
      </c>
      <c r="AS244" s="125">
        <v>0</v>
      </c>
      <c r="AT244" s="125">
        <v>0</v>
      </c>
      <c r="AU244" s="125">
        <v>0</v>
      </c>
      <c r="AV244" s="125">
        <v>0</v>
      </c>
      <c r="AW244" s="125">
        <v>0</v>
      </c>
      <c r="AX244" s="125">
        <v>0</v>
      </c>
      <c r="AY244" s="125">
        <v>0</v>
      </c>
    </row>
    <row r="245" spans="1:51" x14ac:dyDescent="0.2">
      <c r="A245" s="124"/>
      <c r="B245" s="144">
        <v>37</v>
      </c>
      <c r="C245" s="121">
        <v>0</v>
      </c>
      <c r="D245" s="125">
        <v>0</v>
      </c>
      <c r="E245" s="125">
        <v>0</v>
      </c>
      <c r="F245" s="125">
        <v>0</v>
      </c>
      <c r="G245" s="125">
        <v>0</v>
      </c>
      <c r="H245" s="125">
        <v>0</v>
      </c>
      <c r="I245" s="125">
        <v>0</v>
      </c>
      <c r="J245" s="125">
        <v>0</v>
      </c>
      <c r="K245" s="125">
        <v>0</v>
      </c>
      <c r="L245" s="125">
        <v>0</v>
      </c>
      <c r="M245" s="125">
        <v>0</v>
      </c>
      <c r="N245" s="125">
        <v>0</v>
      </c>
      <c r="O245" s="125">
        <v>0</v>
      </c>
      <c r="P245" s="125">
        <v>0</v>
      </c>
      <c r="Q245" s="125">
        <v>0</v>
      </c>
      <c r="R245" s="125">
        <v>0</v>
      </c>
      <c r="S245" s="125">
        <v>0</v>
      </c>
      <c r="T245" s="125">
        <v>0</v>
      </c>
      <c r="U245" s="125">
        <v>0</v>
      </c>
      <c r="V245" s="125">
        <v>0</v>
      </c>
      <c r="W245" s="125">
        <v>0</v>
      </c>
      <c r="X245" s="125">
        <v>0</v>
      </c>
      <c r="Y245" s="125">
        <v>0</v>
      </c>
      <c r="Z245" s="125">
        <v>0</v>
      </c>
      <c r="AA245" s="125">
        <v>0</v>
      </c>
      <c r="AB245" s="125">
        <v>0</v>
      </c>
      <c r="AC245" s="125">
        <v>0</v>
      </c>
      <c r="AD245" s="125">
        <v>0</v>
      </c>
      <c r="AE245" s="125">
        <v>0</v>
      </c>
      <c r="AF245" s="125">
        <v>0</v>
      </c>
      <c r="AG245" s="125">
        <v>0</v>
      </c>
      <c r="AH245" s="125">
        <v>0</v>
      </c>
      <c r="AI245" s="125">
        <v>0</v>
      </c>
      <c r="AJ245" s="125">
        <v>0</v>
      </c>
      <c r="AK245" s="125">
        <v>0</v>
      </c>
      <c r="AL245" s="125">
        <v>0</v>
      </c>
      <c r="AM245" s="125">
        <v>0</v>
      </c>
      <c r="AN245" s="125">
        <v>0</v>
      </c>
      <c r="AO245" s="125">
        <v>0</v>
      </c>
      <c r="AP245" s="125">
        <v>0</v>
      </c>
      <c r="AQ245" s="125">
        <v>0</v>
      </c>
      <c r="AR245" s="125">
        <v>0</v>
      </c>
      <c r="AS245" s="125">
        <v>0</v>
      </c>
      <c r="AT245" s="125">
        <v>0</v>
      </c>
      <c r="AU245" s="125">
        <v>0</v>
      </c>
      <c r="AV245" s="125">
        <v>0</v>
      </c>
      <c r="AW245" s="125">
        <v>0</v>
      </c>
      <c r="AX245" s="125">
        <v>0</v>
      </c>
      <c r="AY245" s="125">
        <v>0</v>
      </c>
    </row>
    <row r="246" spans="1:51" x14ac:dyDescent="0.2">
      <c r="A246" s="124"/>
      <c r="B246" s="144">
        <v>38</v>
      </c>
      <c r="C246" s="121">
        <v>0</v>
      </c>
      <c r="D246" s="125">
        <v>0</v>
      </c>
      <c r="E246" s="125">
        <v>0</v>
      </c>
      <c r="F246" s="125">
        <v>0</v>
      </c>
      <c r="G246" s="125">
        <v>0</v>
      </c>
      <c r="H246" s="125">
        <v>0</v>
      </c>
      <c r="I246" s="125">
        <v>0</v>
      </c>
      <c r="J246" s="125">
        <v>0</v>
      </c>
      <c r="K246" s="125">
        <v>0</v>
      </c>
      <c r="L246" s="125">
        <v>0</v>
      </c>
      <c r="M246" s="125">
        <v>0</v>
      </c>
      <c r="N246" s="125">
        <v>0</v>
      </c>
      <c r="O246" s="125">
        <v>0</v>
      </c>
      <c r="P246" s="125">
        <v>0</v>
      </c>
      <c r="Q246" s="125">
        <v>0</v>
      </c>
      <c r="R246" s="125">
        <v>0</v>
      </c>
      <c r="S246" s="125">
        <v>0</v>
      </c>
      <c r="T246" s="125">
        <v>0</v>
      </c>
      <c r="U246" s="125">
        <v>0</v>
      </c>
      <c r="V246" s="125">
        <v>0</v>
      </c>
      <c r="W246" s="125">
        <v>0</v>
      </c>
      <c r="X246" s="125">
        <v>0</v>
      </c>
      <c r="Y246" s="125">
        <v>0</v>
      </c>
      <c r="Z246" s="125">
        <v>0</v>
      </c>
      <c r="AA246" s="125">
        <v>0</v>
      </c>
      <c r="AB246" s="125">
        <v>0</v>
      </c>
      <c r="AC246" s="125">
        <v>0</v>
      </c>
      <c r="AD246" s="125">
        <v>0</v>
      </c>
      <c r="AE246" s="125">
        <v>0</v>
      </c>
      <c r="AF246" s="125">
        <v>0</v>
      </c>
      <c r="AG246" s="125">
        <v>0</v>
      </c>
      <c r="AH246" s="125">
        <v>0</v>
      </c>
      <c r="AI246" s="125">
        <v>0</v>
      </c>
      <c r="AJ246" s="125">
        <v>0</v>
      </c>
      <c r="AK246" s="125">
        <v>0</v>
      </c>
      <c r="AL246" s="125">
        <v>0</v>
      </c>
      <c r="AM246" s="125">
        <v>0</v>
      </c>
      <c r="AN246" s="125">
        <v>0</v>
      </c>
      <c r="AO246" s="125">
        <v>0</v>
      </c>
      <c r="AP246" s="125">
        <v>0</v>
      </c>
      <c r="AQ246" s="125">
        <v>0</v>
      </c>
      <c r="AR246" s="125">
        <v>0</v>
      </c>
      <c r="AS246" s="125">
        <v>0</v>
      </c>
      <c r="AT246" s="125">
        <v>0</v>
      </c>
      <c r="AU246" s="125">
        <v>0</v>
      </c>
      <c r="AV246" s="125">
        <v>0</v>
      </c>
      <c r="AW246" s="125">
        <v>0</v>
      </c>
      <c r="AX246" s="125">
        <v>0</v>
      </c>
      <c r="AY246" s="125">
        <v>0</v>
      </c>
    </row>
    <row r="247" spans="1:51" x14ac:dyDescent="0.2">
      <c r="A247" s="124"/>
      <c r="B247" s="144">
        <v>39</v>
      </c>
      <c r="C247" s="121">
        <v>0</v>
      </c>
      <c r="D247" s="125">
        <v>0</v>
      </c>
      <c r="E247" s="125">
        <v>0</v>
      </c>
      <c r="F247" s="125">
        <v>0</v>
      </c>
      <c r="G247" s="125">
        <v>0</v>
      </c>
      <c r="H247" s="125">
        <v>0</v>
      </c>
      <c r="I247" s="125">
        <v>0</v>
      </c>
      <c r="J247" s="125">
        <v>0</v>
      </c>
      <c r="K247" s="125">
        <v>0</v>
      </c>
      <c r="L247" s="125">
        <v>0</v>
      </c>
      <c r="M247" s="125">
        <v>0</v>
      </c>
      <c r="N247" s="125">
        <v>0</v>
      </c>
      <c r="O247" s="125">
        <v>0</v>
      </c>
      <c r="P247" s="125">
        <v>0</v>
      </c>
      <c r="Q247" s="125">
        <v>0</v>
      </c>
      <c r="R247" s="125">
        <v>0</v>
      </c>
      <c r="S247" s="125">
        <v>0</v>
      </c>
      <c r="T247" s="125">
        <v>0</v>
      </c>
      <c r="U247" s="125">
        <v>0</v>
      </c>
      <c r="V247" s="125">
        <v>0</v>
      </c>
      <c r="W247" s="125">
        <v>0</v>
      </c>
      <c r="X247" s="125">
        <v>0</v>
      </c>
      <c r="Y247" s="125">
        <v>0</v>
      </c>
      <c r="Z247" s="125">
        <v>0</v>
      </c>
      <c r="AA247" s="125">
        <v>0</v>
      </c>
      <c r="AB247" s="125">
        <v>0</v>
      </c>
      <c r="AC247" s="125">
        <v>0</v>
      </c>
      <c r="AD247" s="125">
        <v>0</v>
      </c>
      <c r="AE247" s="125">
        <v>0</v>
      </c>
      <c r="AF247" s="125">
        <v>0</v>
      </c>
      <c r="AG247" s="125">
        <v>0</v>
      </c>
      <c r="AH247" s="125">
        <v>0</v>
      </c>
      <c r="AI247" s="125">
        <v>0</v>
      </c>
      <c r="AJ247" s="125">
        <v>0</v>
      </c>
      <c r="AK247" s="125">
        <v>0</v>
      </c>
      <c r="AL247" s="125">
        <v>0</v>
      </c>
      <c r="AM247" s="125">
        <v>0</v>
      </c>
      <c r="AN247" s="125">
        <v>0</v>
      </c>
      <c r="AO247" s="125">
        <v>0</v>
      </c>
      <c r="AP247" s="125">
        <v>0</v>
      </c>
      <c r="AQ247" s="125">
        <v>0</v>
      </c>
      <c r="AR247" s="125">
        <v>0</v>
      </c>
      <c r="AS247" s="125">
        <v>0</v>
      </c>
      <c r="AT247" s="125">
        <v>0</v>
      </c>
      <c r="AU247" s="125">
        <v>0</v>
      </c>
      <c r="AV247" s="125">
        <v>0</v>
      </c>
      <c r="AW247" s="125">
        <v>0</v>
      </c>
      <c r="AX247" s="125">
        <v>0</v>
      </c>
      <c r="AY247" s="125">
        <v>0</v>
      </c>
    </row>
    <row r="248" spans="1:51" x14ac:dyDescent="0.2">
      <c r="A248" s="124"/>
      <c r="B248" s="144">
        <v>40</v>
      </c>
      <c r="C248" s="121">
        <v>0</v>
      </c>
      <c r="D248" s="125">
        <v>0</v>
      </c>
      <c r="E248" s="125">
        <v>0</v>
      </c>
      <c r="F248" s="125">
        <v>0</v>
      </c>
      <c r="G248" s="125">
        <v>0</v>
      </c>
      <c r="H248" s="125">
        <v>0</v>
      </c>
      <c r="I248" s="125">
        <v>0</v>
      </c>
      <c r="J248" s="125">
        <v>0</v>
      </c>
      <c r="K248" s="125">
        <v>0</v>
      </c>
      <c r="L248" s="125">
        <v>0</v>
      </c>
      <c r="M248" s="125">
        <v>0</v>
      </c>
      <c r="N248" s="125">
        <v>0</v>
      </c>
      <c r="O248" s="125">
        <v>0</v>
      </c>
      <c r="P248" s="125">
        <v>0</v>
      </c>
      <c r="Q248" s="125">
        <v>0</v>
      </c>
      <c r="R248" s="125">
        <v>0</v>
      </c>
      <c r="S248" s="125">
        <v>0</v>
      </c>
      <c r="T248" s="125">
        <v>0</v>
      </c>
      <c r="U248" s="125">
        <v>0</v>
      </c>
      <c r="V248" s="125">
        <v>0</v>
      </c>
      <c r="W248" s="125">
        <v>0</v>
      </c>
      <c r="X248" s="125">
        <v>0</v>
      </c>
      <c r="Y248" s="125">
        <v>0</v>
      </c>
      <c r="Z248" s="125">
        <v>0</v>
      </c>
      <c r="AA248" s="125">
        <v>0</v>
      </c>
      <c r="AB248" s="125">
        <v>0</v>
      </c>
      <c r="AC248" s="125">
        <v>0</v>
      </c>
      <c r="AD248" s="125">
        <v>0</v>
      </c>
      <c r="AE248" s="125">
        <v>0</v>
      </c>
      <c r="AF248" s="125">
        <v>0</v>
      </c>
      <c r="AG248" s="125">
        <v>0</v>
      </c>
      <c r="AH248" s="125">
        <v>0</v>
      </c>
      <c r="AI248" s="125">
        <v>0</v>
      </c>
      <c r="AJ248" s="125">
        <v>0</v>
      </c>
      <c r="AK248" s="125">
        <v>0</v>
      </c>
      <c r="AL248" s="125">
        <v>0</v>
      </c>
      <c r="AM248" s="125">
        <v>0</v>
      </c>
      <c r="AN248" s="125">
        <v>0</v>
      </c>
      <c r="AO248" s="125">
        <v>0</v>
      </c>
      <c r="AP248" s="125">
        <v>0</v>
      </c>
      <c r="AQ248" s="125">
        <v>0</v>
      </c>
      <c r="AR248" s="125">
        <v>0</v>
      </c>
      <c r="AS248" s="125">
        <v>0</v>
      </c>
      <c r="AT248" s="125">
        <v>0</v>
      </c>
      <c r="AU248" s="125">
        <v>0</v>
      </c>
      <c r="AV248" s="125">
        <v>0</v>
      </c>
      <c r="AW248" s="125">
        <v>0</v>
      </c>
      <c r="AX248" s="125">
        <v>0</v>
      </c>
      <c r="AY248" s="125">
        <v>0</v>
      </c>
    </row>
    <row r="249" spans="1:51" x14ac:dyDescent="0.2">
      <c r="A249" s="124"/>
      <c r="B249" s="144">
        <v>41</v>
      </c>
      <c r="C249" s="121">
        <v>0</v>
      </c>
      <c r="D249" s="125">
        <v>0</v>
      </c>
      <c r="E249" s="125">
        <v>0</v>
      </c>
      <c r="F249" s="125">
        <v>0</v>
      </c>
      <c r="G249" s="125">
        <v>0</v>
      </c>
      <c r="H249" s="125">
        <v>0</v>
      </c>
      <c r="I249" s="125">
        <v>0</v>
      </c>
      <c r="J249" s="125">
        <v>0</v>
      </c>
      <c r="K249" s="125">
        <v>0</v>
      </c>
      <c r="L249" s="125">
        <v>0</v>
      </c>
      <c r="M249" s="125">
        <v>0</v>
      </c>
      <c r="N249" s="125">
        <v>0</v>
      </c>
      <c r="O249" s="125">
        <v>0</v>
      </c>
      <c r="P249" s="125">
        <v>0</v>
      </c>
      <c r="Q249" s="125">
        <v>0</v>
      </c>
      <c r="R249" s="125">
        <v>0</v>
      </c>
      <c r="S249" s="125">
        <v>0</v>
      </c>
      <c r="T249" s="125">
        <v>0</v>
      </c>
      <c r="U249" s="125">
        <v>0</v>
      </c>
      <c r="V249" s="125">
        <v>0</v>
      </c>
      <c r="W249" s="125">
        <v>0</v>
      </c>
      <c r="X249" s="125">
        <v>0</v>
      </c>
      <c r="Y249" s="125">
        <v>0</v>
      </c>
      <c r="Z249" s="125">
        <v>0</v>
      </c>
      <c r="AA249" s="125">
        <v>0</v>
      </c>
      <c r="AB249" s="125">
        <v>0</v>
      </c>
      <c r="AC249" s="125">
        <v>0</v>
      </c>
      <c r="AD249" s="125">
        <v>0</v>
      </c>
      <c r="AE249" s="125">
        <v>0</v>
      </c>
      <c r="AF249" s="125">
        <v>0</v>
      </c>
      <c r="AG249" s="125">
        <v>0</v>
      </c>
      <c r="AH249" s="125">
        <v>0</v>
      </c>
      <c r="AI249" s="125">
        <v>0</v>
      </c>
      <c r="AJ249" s="125">
        <v>0</v>
      </c>
      <c r="AK249" s="125">
        <v>0</v>
      </c>
      <c r="AL249" s="125">
        <v>0</v>
      </c>
      <c r="AM249" s="125">
        <v>0</v>
      </c>
      <c r="AN249" s="125">
        <v>0</v>
      </c>
      <c r="AO249" s="125">
        <v>0</v>
      </c>
      <c r="AP249" s="125">
        <v>0</v>
      </c>
      <c r="AQ249" s="125">
        <v>0</v>
      </c>
      <c r="AR249" s="125">
        <v>0</v>
      </c>
      <c r="AS249" s="125">
        <v>0</v>
      </c>
      <c r="AT249" s="125">
        <v>0</v>
      </c>
      <c r="AU249" s="125">
        <v>0</v>
      </c>
      <c r="AV249" s="125">
        <v>0</v>
      </c>
      <c r="AW249" s="125">
        <v>0</v>
      </c>
      <c r="AX249" s="125">
        <v>0</v>
      </c>
      <c r="AY249" s="125">
        <v>0</v>
      </c>
    </row>
    <row r="250" spans="1:51" x14ac:dyDescent="0.2">
      <c r="A250" s="124"/>
      <c r="B250" s="144">
        <v>42</v>
      </c>
      <c r="C250" s="121">
        <v>0</v>
      </c>
      <c r="D250" s="125">
        <v>0</v>
      </c>
      <c r="E250" s="125">
        <v>0</v>
      </c>
      <c r="F250" s="125">
        <v>0</v>
      </c>
      <c r="G250" s="125">
        <v>0</v>
      </c>
      <c r="H250" s="125">
        <v>0</v>
      </c>
      <c r="I250" s="125">
        <v>0</v>
      </c>
      <c r="J250" s="125">
        <v>0</v>
      </c>
      <c r="K250" s="125">
        <v>0</v>
      </c>
      <c r="L250" s="125">
        <v>0</v>
      </c>
      <c r="M250" s="125">
        <v>0</v>
      </c>
      <c r="N250" s="125">
        <v>0</v>
      </c>
      <c r="O250" s="125">
        <v>0</v>
      </c>
      <c r="P250" s="125">
        <v>0</v>
      </c>
      <c r="Q250" s="125">
        <v>0</v>
      </c>
      <c r="R250" s="125">
        <v>0</v>
      </c>
      <c r="S250" s="125">
        <v>0</v>
      </c>
      <c r="T250" s="125">
        <v>0</v>
      </c>
      <c r="U250" s="125">
        <v>0</v>
      </c>
      <c r="V250" s="125">
        <v>0</v>
      </c>
      <c r="W250" s="125">
        <v>0</v>
      </c>
      <c r="X250" s="125">
        <v>0</v>
      </c>
      <c r="Y250" s="125">
        <v>0</v>
      </c>
      <c r="Z250" s="125">
        <v>0</v>
      </c>
      <c r="AA250" s="125">
        <v>0</v>
      </c>
      <c r="AB250" s="125">
        <v>0</v>
      </c>
      <c r="AC250" s="125">
        <v>0</v>
      </c>
      <c r="AD250" s="125">
        <v>0</v>
      </c>
      <c r="AE250" s="125">
        <v>0</v>
      </c>
      <c r="AF250" s="125">
        <v>0</v>
      </c>
      <c r="AG250" s="125">
        <v>0</v>
      </c>
      <c r="AH250" s="125">
        <v>0</v>
      </c>
      <c r="AI250" s="125">
        <v>0</v>
      </c>
      <c r="AJ250" s="125">
        <v>0</v>
      </c>
      <c r="AK250" s="125">
        <v>0</v>
      </c>
      <c r="AL250" s="125">
        <v>0</v>
      </c>
      <c r="AM250" s="125">
        <v>0</v>
      </c>
      <c r="AN250" s="125">
        <v>0</v>
      </c>
      <c r="AO250" s="125">
        <v>0</v>
      </c>
      <c r="AP250" s="125">
        <v>0</v>
      </c>
      <c r="AQ250" s="125">
        <v>0</v>
      </c>
      <c r="AR250" s="125">
        <v>0</v>
      </c>
      <c r="AS250" s="125">
        <v>0</v>
      </c>
      <c r="AT250" s="125">
        <v>0</v>
      </c>
      <c r="AU250" s="125">
        <v>0</v>
      </c>
      <c r="AV250" s="125">
        <v>0</v>
      </c>
      <c r="AW250" s="125">
        <v>0</v>
      </c>
      <c r="AX250" s="125">
        <v>0</v>
      </c>
      <c r="AY250" s="125">
        <v>0</v>
      </c>
    </row>
    <row r="251" spans="1:51" x14ac:dyDescent="0.2">
      <c r="A251" s="124"/>
      <c r="B251" s="144">
        <v>43</v>
      </c>
      <c r="C251" s="121">
        <v>0</v>
      </c>
      <c r="D251" s="125">
        <v>0</v>
      </c>
      <c r="E251" s="125">
        <v>0</v>
      </c>
      <c r="F251" s="125">
        <v>0</v>
      </c>
      <c r="G251" s="125">
        <v>0</v>
      </c>
      <c r="H251" s="125">
        <v>0</v>
      </c>
      <c r="I251" s="125">
        <v>0</v>
      </c>
      <c r="J251" s="125">
        <v>0</v>
      </c>
      <c r="K251" s="125">
        <v>0</v>
      </c>
      <c r="L251" s="125">
        <v>0</v>
      </c>
      <c r="M251" s="125">
        <v>0</v>
      </c>
      <c r="N251" s="125">
        <v>0</v>
      </c>
      <c r="O251" s="125">
        <v>0</v>
      </c>
      <c r="P251" s="125">
        <v>0</v>
      </c>
      <c r="Q251" s="125">
        <v>0</v>
      </c>
      <c r="R251" s="125">
        <v>0</v>
      </c>
      <c r="S251" s="125">
        <v>0</v>
      </c>
      <c r="T251" s="125">
        <v>0</v>
      </c>
      <c r="U251" s="125">
        <v>0</v>
      </c>
      <c r="V251" s="125">
        <v>0</v>
      </c>
      <c r="W251" s="125">
        <v>0</v>
      </c>
      <c r="X251" s="125">
        <v>0</v>
      </c>
      <c r="Y251" s="125">
        <v>0</v>
      </c>
      <c r="Z251" s="125">
        <v>0</v>
      </c>
      <c r="AA251" s="125">
        <v>0</v>
      </c>
      <c r="AB251" s="125">
        <v>0</v>
      </c>
      <c r="AC251" s="125">
        <v>0</v>
      </c>
      <c r="AD251" s="125">
        <v>0</v>
      </c>
      <c r="AE251" s="125">
        <v>0</v>
      </c>
      <c r="AF251" s="125">
        <v>0</v>
      </c>
      <c r="AG251" s="125">
        <v>0</v>
      </c>
      <c r="AH251" s="125">
        <v>0</v>
      </c>
      <c r="AI251" s="125">
        <v>0</v>
      </c>
      <c r="AJ251" s="125">
        <v>0</v>
      </c>
      <c r="AK251" s="125">
        <v>0</v>
      </c>
      <c r="AL251" s="125">
        <v>0</v>
      </c>
      <c r="AM251" s="125">
        <v>0</v>
      </c>
      <c r="AN251" s="125">
        <v>0</v>
      </c>
      <c r="AO251" s="125">
        <v>0</v>
      </c>
      <c r="AP251" s="125">
        <v>0</v>
      </c>
      <c r="AQ251" s="125">
        <v>0</v>
      </c>
      <c r="AR251" s="125">
        <v>0</v>
      </c>
      <c r="AS251" s="125">
        <v>0</v>
      </c>
      <c r="AT251" s="125">
        <v>0</v>
      </c>
      <c r="AU251" s="125">
        <v>0</v>
      </c>
      <c r="AV251" s="125">
        <v>0</v>
      </c>
      <c r="AW251" s="125">
        <v>0</v>
      </c>
      <c r="AX251" s="125">
        <v>0</v>
      </c>
      <c r="AY251" s="125">
        <v>0</v>
      </c>
    </row>
    <row r="252" spans="1:51" x14ac:dyDescent="0.2">
      <c r="A252" s="124"/>
      <c r="B252" s="144">
        <v>44</v>
      </c>
      <c r="C252" s="121">
        <v>0</v>
      </c>
      <c r="D252" s="125">
        <v>0</v>
      </c>
      <c r="E252" s="125">
        <v>0</v>
      </c>
      <c r="F252" s="125">
        <v>0</v>
      </c>
      <c r="G252" s="125">
        <v>0</v>
      </c>
      <c r="H252" s="125">
        <v>0</v>
      </c>
      <c r="I252" s="125">
        <v>0</v>
      </c>
      <c r="J252" s="125">
        <v>0</v>
      </c>
      <c r="K252" s="125">
        <v>0</v>
      </c>
      <c r="L252" s="125">
        <v>0</v>
      </c>
      <c r="M252" s="125">
        <v>0</v>
      </c>
      <c r="N252" s="125">
        <v>0</v>
      </c>
      <c r="O252" s="125">
        <v>0</v>
      </c>
      <c r="P252" s="125">
        <v>0</v>
      </c>
      <c r="Q252" s="125">
        <v>0</v>
      </c>
      <c r="R252" s="125">
        <v>0</v>
      </c>
      <c r="S252" s="125">
        <v>0</v>
      </c>
      <c r="T252" s="125">
        <v>0</v>
      </c>
      <c r="U252" s="125">
        <v>0</v>
      </c>
      <c r="V252" s="125">
        <v>0</v>
      </c>
      <c r="W252" s="125">
        <v>0</v>
      </c>
      <c r="X252" s="125">
        <v>0</v>
      </c>
      <c r="Y252" s="125">
        <v>0</v>
      </c>
      <c r="Z252" s="125">
        <v>0</v>
      </c>
      <c r="AA252" s="125">
        <v>0</v>
      </c>
      <c r="AB252" s="125">
        <v>0</v>
      </c>
      <c r="AC252" s="125">
        <v>0</v>
      </c>
      <c r="AD252" s="125">
        <v>0</v>
      </c>
      <c r="AE252" s="125">
        <v>0</v>
      </c>
      <c r="AF252" s="125">
        <v>0</v>
      </c>
      <c r="AG252" s="125">
        <v>0</v>
      </c>
      <c r="AH252" s="125">
        <v>0</v>
      </c>
      <c r="AI252" s="125">
        <v>0</v>
      </c>
      <c r="AJ252" s="125">
        <v>0</v>
      </c>
      <c r="AK252" s="125">
        <v>0</v>
      </c>
      <c r="AL252" s="125">
        <v>0</v>
      </c>
      <c r="AM252" s="125">
        <v>0</v>
      </c>
      <c r="AN252" s="125">
        <v>0</v>
      </c>
      <c r="AO252" s="125">
        <v>0</v>
      </c>
      <c r="AP252" s="125">
        <v>0</v>
      </c>
      <c r="AQ252" s="125">
        <v>0</v>
      </c>
      <c r="AR252" s="125">
        <v>0</v>
      </c>
      <c r="AS252" s="125">
        <v>0</v>
      </c>
      <c r="AT252" s="125">
        <v>0</v>
      </c>
      <c r="AU252" s="125">
        <v>0</v>
      </c>
      <c r="AV252" s="125">
        <v>0</v>
      </c>
      <c r="AW252" s="125">
        <v>0</v>
      </c>
      <c r="AX252" s="125">
        <v>0</v>
      </c>
      <c r="AY252" s="125">
        <v>0</v>
      </c>
    </row>
    <row r="253" spans="1:51" x14ac:dyDescent="0.2">
      <c r="A253" s="124"/>
      <c r="B253" s="144">
        <v>45</v>
      </c>
      <c r="C253" s="121">
        <v>0</v>
      </c>
      <c r="D253" s="125">
        <v>0</v>
      </c>
      <c r="E253" s="125">
        <v>0</v>
      </c>
      <c r="F253" s="125">
        <v>0</v>
      </c>
      <c r="G253" s="125">
        <v>0</v>
      </c>
      <c r="H253" s="125">
        <v>0</v>
      </c>
      <c r="I253" s="125">
        <v>0</v>
      </c>
      <c r="J253" s="125">
        <v>0</v>
      </c>
      <c r="K253" s="125">
        <v>0</v>
      </c>
      <c r="L253" s="125">
        <v>0</v>
      </c>
      <c r="M253" s="125">
        <v>0</v>
      </c>
      <c r="N253" s="125">
        <v>0</v>
      </c>
      <c r="O253" s="125">
        <v>0</v>
      </c>
      <c r="P253" s="125">
        <v>0</v>
      </c>
      <c r="Q253" s="125">
        <v>0</v>
      </c>
      <c r="R253" s="125">
        <v>0</v>
      </c>
      <c r="S253" s="125">
        <v>0</v>
      </c>
      <c r="T253" s="125">
        <v>0</v>
      </c>
      <c r="U253" s="125">
        <v>0</v>
      </c>
      <c r="V253" s="125">
        <v>0</v>
      </c>
      <c r="W253" s="125">
        <v>0</v>
      </c>
      <c r="X253" s="125">
        <v>0</v>
      </c>
      <c r="Y253" s="125">
        <v>0</v>
      </c>
      <c r="Z253" s="125">
        <v>0</v>
      </c>
      <c r="AA253" s="125">
        <v>0</v>
      </c>
      <c r="AB253" s="125">
        <v>0</v>
      </c>
      <c r="AC253" s="125">
        <v>0</v>
      </c>
      <c r="AD253" s="125">
        <v>0</v>
      </c>
      <c r="AE253" s="125">
        <v>0</v>
      </c>
      <c r="AF253" s="125">
        <v>0</v>
      </c>
      <c r="AG253" s="125">
        <v>0</v>
      </c>
      <c r="AH253" s="125">
        <v>0</v>
      </c>
      <c r="AI253" s="125">
        <v>0</v>
      </c>
      <c r="AJ253" s="125">
        <v>0</v>
      </c>
      <c r="AK253" s="125">
        <v>0</v>
      </c>
      <c r="AL253" s="125">
        <v>0</v>
      </c>
      <c r="AM253" s="125">
        <v>0</v>
      </c>
      <c r="AN253" s="125">
        <v>0</v>
      </c>
      <c r="AO253" s="125">
        <v>0</v>
      </c>
      <c r="AP253" s="125">
        <v>0</v>
      </c>
      <c r="AQ253" s="125">
        <v>0</v>
      </c>
      <c r="AR253" s="125">
        <v>0</v>
      </c>
      <c r="AS253" s="125">
        <v>0</v>
      </c>
      <c r="AT253" s="125">
        <v>0</v>
      </c>
      <c r="AU253" s="125">
        <v>0</v>
      </c>
      <c r="AV253" s="125">
        <v>0</v>
      </c>
      <c r="AW253" s="125">
        <v>0</v>
      </c>
      <c r="AX253" s="125">
        <v>0</v>
      </c>
      <c r="AY253" s="125">
        <v>0</v>
      </c>
    </row>
    <row r="254" spans="1:51" x14ac:dyDescent="0.2">
      <c r="A254" s="124"/>
      <c r="B254" s="144">
        <v>46</v>
      </c>
      <c r="C254" s="121">
        <v>0</v>
      </c>
      <c r="D254" s="125">
        <v>0</v>
      </c>
      <c r="E254" s="125">
        <v>0</v>
      </c>
      <c r="F254" s="125">
        <v>0</v>
      </c>
      <c r="G254" s="125">
        <v>0</v>
      </c>
      <c r="H254" s="125">
        <v>0</v>
      </c>
      <c r="I254" s="125">
        <v>0</v>
      </c>
      <c r="J254" s="125">
        <v>0</v>
      </c>
      <c r="K254" s="125">
        <v>0</v>
      </c>
      <c r="L254" s="125">
        <v>0</v>
      </c>
      <c r="M254" s="125">
        <v>0</v>
      </c>
      <c r="N254" s="125">
        <v>0</v>
      </c>
      <c r="O254" s="125">
        <v>0</v>
      </c>
      <c r="P254" s="125">
        <v>0</v>
      </c>
      <c r="Q254" s="125">
        <v>0</v>
      </c>
      <c r="R254" s="125">
        <v>0</v>
      </c>
      <c r="S254" s="125">
        <v>0</v>
      </c>
      <c r="T254" s="125">
        <v>0</v>
      </c>
      <c r="U254" s="125">
        <v>0</v>
      </c>
      <c r="V254" s="125">
        <v>0</v>
      </c>
      <c r="W254" s="125">
        <v>0</v>
      </c>
      <c r="X254" s="125">
        <v>0</v>
      </c>
      <c r="Y254" s="125">
        <v>0</v>
      </c>
      <c r="Z254" s="125">
        <v>0</v>
      </c>
      <c r="AA254" s="125">
        <v>0</v>
      </c>
      <c r="AB254" s="125">
        <v>0</v>
      </c>
      <c r="AC254" s="125">
        <v>0</v>
      </c>
      <c r="AD254" s="125">
        <v>0</v>
      </c>
      <c r="AE254" s="125">
        <v>0</v>
      </c>
      <c r="AF254" s="125">
        <v>0</v>
      </c>
      <c r="AG254" s="125">
        <v>0</v>
      </c>
      <c r="AH254" s="125">
        <v>0</v>
      </c>
      <c r="AI254" s="125">
        <v>0</v>
      </c>
      <c r="AJ254" s="125">
        <v>0</v>
      </c>
      <c r="AK254" s="125">
        <v>0</v>
      </c>
      <c r="AL254" s="125">
        <v>0</v>
      </c>
      <c r="AM254" s="125">
        <v>0</v>
      </c>
      <c r="AN254" s="125">
        <v>0</v>
      </c>
      <c r="AO254" s="125">
        <v>0</v>
      </c>
      <c r="AP254" s="125">
        <v>0</v>
      </c>
      <c r="AQ254" s="125">
        <v>0</v>
      </c>
      <c r="AR254" s="125">
        <v>0</v>
      </c>
      <c r="AS254" s="125">
        <v>0</v>
      </c>
      <c r="AT254" s="125">
        <v>0</v>
      </c>
      <c r="AU254" s="125">
        <v>0</v>
      </c>
      <c r="AV254" s="125">
        <v>0</v>
      </c>
      <c r="AW254" s="125">
        <v>0</v>
      </c>
      <c r="AX254" s="125">
        <v>0</v>
      </c>
      <c r="AY254" s="125">
        <v>0</v>
      </c>
    </row>
    <row r="255" spans="1:51" x14ac:dyDescent="0.2">
      <c r="A255" s="124"/>
      <c r="B255" s="144">
        <v>47</v>
      </c>
      <c r="C255" s="121">
        <v>0</v>
      </c>
      <c r="D255" s="125">
        <v>0</v>
      </c>
      <c r="E255" s="125">
        <v>0</v>
      </c>
      <c r="F255" s="125">
        <v>0</v>
      </c>
      <c r="G255" s="125">
        <v>0</v>
      </c>
      <c r="H255" s="125">
        <v>0</v>
      </c>
      <c r="I255" s="125">
        <v>0</v>
      </c>
      <c r="J255" s="125">
        <v>0</v>
      </c>
      <c r="K255" s="125">
        <v>0</v>
      </c>
      <c r="L255" s="125">
        <v>0</v>
      </c>
      <c r="M255" s="125">
        <v>0</v>
      </c>
      <c r="N255" s="125">
        <v>0</v>
      </c>
      <c r="O255" s="125">
        <v>0</v>
      </c>
      <c r="P255" s="125">
        <v>0</v>
      </c>
      <c r="Q255" s="125">
        <v>0</v>
      </c>
      <c r="R255" s="125">
        <v>0</v>
      </c>
      <c r="S255" s="125">
        <v>0</v>
      </c>
      <c r="T255" s="125">
        <v>0</v>
      </c>
      <c r="U255" s="125">
        <v>0</v>
      </c>
      <c r="V255" s="125">
        <v>0</v>
      </c>
      <c r="W255" s="125">
        <v>0</v>
      </c>
      <c r="X255" s="125">
        <v>0</v>
      </c>
      <c r="Y255" s="125">
        <v>0</v>
      </c>
      <c r="Z255" s="125">
        <v>0</v>
      </c>
      <c r="AA255" s="125">
        <v>0</v>
      </c>
      <c r="AB255" s="125">
        <v>0</v>
      </c>
      <c r="AC255" s="125">
        <v>0</v>
      </c>
      <c r="AD255" s="125">
        <v>0</v>
      </c>
      <c r="AE255" s="125">
        <v>0</v>
      </c>
      <c r="AF255" s="125">
        <v>0</v>
      </c>
      <c r="AG255" s="125">
        <v>0</v>
      </c>
      <c r="AH255" s="125">
        <v>0</v>
      </c>
      <c r="AI255" s="125">
        <v>0</v>
      </c>
      <c r="AJ255" s="125">
        <v>0</v>
      </c>
      <c r="AK255" s="125">
        <v>0</v>
      </c>
      <c r="AL255" s="125">
        <v>0</v>
      </c>
      <c r="AM255" s="125">
        <v>0</v>
      </c>
      <c r="AN255" s="125">
        <v>0</v>
      </c>
      <c r="AO255" s="125">
        <v>0</v>
      </c>
      <c r="AP255" s="125">
        <v>0</v>
      </c>
      <c r="AQ255" s="125">
        <v>0</v>
      </c>
      <c r="AR255" s="125">
        <v>0</v>
      </c>
      <c r="AS255" s="125">
        <v>0</v>
      </c>
      <c r="AT255" s="125">
        <v>0</v>
      </c>
      <c r="AU255" s="125">
        <v>0</v>
      </c>
      <c r="AV255" s="125">
        <v>0</v>
      </c>
      <c r="AW255" s="125">
        <v>0</v>
      </c>
      <c r="AX255" s="125">
        <v>0</v>
      </c>
      <c r="AY255" s="125">
        <v>0</v>
      </c>
    </row>
    <row r="256" spans="1:51" x14ac:dyDescent="0.2">
      <c r="A256" s="142"/>
      <c r="B256" s="143">
        <v>48</v>
      </c>
      <c r="C256" s="128">
        <v>0</v>
      </c>
      <c r="D256" s="139">
        <v>0</v>
      </c>
      <c r="E256" s="139">
        <v>0</v>
      </c>
      <c r="F256" s="139">
        <v>0</v>
      </c>
      <c r="G256" s="139">
        <v>0</v>
      </c>
      <c r="H256" s="139">
        <v>0</v>
      </c>
      <c r="I256" s="139">
        <v>0</v>
      </c>
      <c r="J256" s="139">
        <v>0</v>
      </c>
      <c r="K256" s="139">
        <v>0</v>
      </c>
      <c r="L256" s="139">
        <v>0</v>
      </c>
      <c r="M256" s="139">
        <v>0</v>
      </c>
      <c r="N256" s="139">
        <v>0</v>
      </c>
      <c r="O256" s="139">
        <v>0</v>
      </c>
      <c r="P256" s="139">
        <v>0</v>
      </c>
      <c r="Q256" s="139">
        <v>0</v>
      </c>
      <c r="R256" s="139">
        <v>0</v>
      </c>
      <c r="S256" s="139">
        <v>0</v>
      </c>
      <c r="T256" s="139">
        <v>0</v>
      </c>
      <c r="U256" s="139">
        <v>0</v>
      </c>
      <c r="V256" s="139">
        <v>0</v>
      </c>
      <c r="W256" s="139">
        <v>0</v>
      </c>
      <c r="X256" s="139">
        <v>0</v>
      </c>
      <c r="Y256" s="139">
        <v>0</v>
      </c>
      <c r="Z256" s="139">
        <v>0</v>
      </c>
      <c r="AA256" s="139">
        <v>0</v>
      </c>
      <c r="AB256" s="139">
        <v>0</v>
      </c>
      <c r="AC256" s="139">
        <v>0</v>
      </c>
      <c r="AD256" s="139">
        <v>0</v>
      </c>
      <c r="AE256" s="139">
        <v>0</v>
      </c>
      <c r="AF256" s="139">
        <v>0</v>
      </c>
      <c r="AG256" s="139">
        <v>0</v>
      </c>
      <c r="AH256" s="139">
        <v>0</v>
      </c>
      <c r="AI256" s="139">
        <v>0</v>
      </c>
      <c r="AJ256" s="139">
        <v>0</v>
      </c>
      <c r="AK256" s="139">
        <v>0</v>
      </c>
      <c r="AL256" s="139">
        <v>0</v>
      </c>
      <c r="AM256" s="139">
        <v>0</v>
      </c>
      <c r="AN256" s="139">
        <v>0</v>
      </c>
      <c r="AO256" s="139">
        <v>0</v>
      </c>
      <c r="AP256" s="139">
        <v>0</v>
      </c>
      <c r="AQ256" s="139">
        <v>0</v>
      </c>
      <c r="AR256" s="139">
        <v>0</v>
      </c>
      <c r="AS256" s="139">
        <v>0</v>
      </c>
      <c r="AT256" s="139">
        <v>0</v>
      </c>
      <c r="AU256" s="139">
        <v>0</v>
      </c>
      <c r="AV256" s="139">
        <v>0</v>
      </c>
      <c r="AW256" s="139">
        <v>0</v>
      </c>
      <c r="AX256" s="139">
        <v>0</v>
      </c>
      <c r="AY256" s="139">
        <v>0</v>
      </c>
    </row>
    <row r="258" spans="1:52" x14ac:dyDescent="0.2">
      <c r="A258" s="1" t="s">
        <v>301</v>
      </c>
    </row>
    <row r="259" spans="1:52" x14ac:dyDescent="0.2">
      <c r="A259" s="151" t="s">
        <v>124</v>
      </c>
      <c r="B259" s="152">
        <v>650</v>
      </c>
      <c r="C259" s="138" t="s">
        <v>293</v>
      </c>
      <c r="D259" s="138">
        <f>E$14*$B$259</f>
        <v>814166.62859046832</v>
      </c>
      <c r="E259" s="138">
        <f t="shared" ref="E259:AX259" si="5">F$14*$B$259</f>
        <v>727997.6456280516</v>
      </c>
      <c r="F259" s="138">
        <f t="shared" si="5"/>
        <v>691697.82141600072</v>
      </c>
      <c r="G259" s="138">
        <f t="shared" si="5"/>
        <v>778876.46160066233</v>
      </c>
      <c r="H259" s="138">
        <f t="shared" si="5"/>
        <v>724822.23109131679</v>
      </c>
      <c r="I259" s="138">
        <f t="shared" si="5"/>
        <v>860192.76978302805</v>
      </c>
      <c r="J259" s="138">
        <f t="shared" si="5"/>
        <v>1027568.9224743965</v>
      </c>
      <c r="K259" s="138">
        <f t="shared" si="5"/>
        <v>1146662.2357239448</v>
      </c>
      <c r="L259" s="138">
        <f t="shared" si="5"/>
        <v>1210644.5803186833</v>
      </c>
      <c r="M259" s="138">
        <f t="shared" si="5"/>
        <v>1032637.367694582</v>
      </c>
      <c r="N259" s="138">
        <f t="shared" si="5"/>
        <v>901606.21598487266</v>
      </c>
      <c r="O259" s="138">
        <f t="shared" si="5"/>
        <v>763020.25816714182</v>
      </c>
      <c r="P259" s="138">
        <f t="shared" si="5"/>
        <v>713370.28745106526</v>
      </c>
      <c r="Q259" s="138">
        <f t="shared" si="5"/>
        <v>799498.26613518014</v>
      </c>
      <c r="R259" s="138">
        <f t="shared" si="5"/>
        <v>877856.87764829001</v>
      </c>
      <c r="S259" s="138">
        <f t="shared" si="5"/>
        <v>993080.94868315442</v>
      </c>
      <c r="T259" s="138">
        <f t="shared" si="5"/>
        <v>961929.85398089211</v>
      </c>
      <c r="U259" s="138">
        <f t="shared" si="5"/>
        <v>827905.53995346394</v>
      </c>
      <c r="V259" s="138">
        <f t="shared" si="5"/>
        <v>791073.83094510681</v>
      </c>
      <c r="W259" s="138">
        <f t="shared" si="5"/>
        <v>758896.15434613917</v>
      </c>
      <c r="X259" s="138">
        <f t="shared" si="5"/>
        <v>676628.29719126574</v>
      </c>
      <c r="Y259" s="138">
        <f t="shared" si="5"/>
        <v>805340.47660855006</v>
      </c>
      <c r="Z259" s="138">
        <f t="shared" si="5"/>
        <v>895501.64637945453</v>
      </c>
      <c r="AA259" s="138">
        <f t="shared" si="5"/>
        <v>1037444.1664514514</v>
      </c>
      <c r="AB259" s="138">
        <f t="shared" si="5"/>
        <v>1157876.2748845022</v>
      </c>
      <c r="AC259" s="138">
        <f t="shared" si="5"/>
        <v>1327224.1186562886</v>
      </c>
      <c r="AD259" s="138">
        <f t="shared" si="5"/>
        <v>1443759.1494004992</v>
      </c>
      <c r="AE259" s="138">
        <f t="shared" si="5"/>
        <v>1521887.5410222672</v>
      </c>
      <c r="AF259" s="138">
        <f t="shared" si="5"/>
        <v>1590930.2642223001</v>
      </c>
      <c r="AG259" s="138">
        <f t="shared" si="5"/>
        <v>1585391.8650107509</v>
      </c>
      <c r="AH259" s="138">
        <f t="shared" si="5"/>
        <v>1584085.9254856168</v>
      </c>
      <c r="AI259" s="138">
        <f t="shared" si="5"/>
        <v>1596352.0146726468</v>
      </c>
      <c r="AJ259" s="138">
        <f t="shared" si="5"/>
        <v>1593499.9009135328</v>
      </c>
      <c r="AK259" s="138">
        <f t="shared" si="5"/>
        <v>1479802.1759970335</v>
      </c>
      <c r="AL259" s="138">
        <f t="shared" si="5"/>
        <v>1400505.8882906479</v>
      </c>
      <c r="AM259" s="138">
        <f t="shared" si="5"/>
        <v>1390239.655468964</v>
      </c>
      <c r="AN259" s="138">
        <f t="shared" si="5"/>
        <v>1418480.2733393076</v>
      </c>
      <c r="AO259" s="138">
        <f t="shared" si="5"/>
        <v>1547328.0110047723</v>
      </c>
      <c r="AP259" s="138">
        <f t="shared" si="5"/>
        <v>1613786.65046818</v>
      </c>
      <c r="AQ259" s="138">
        <f t="shared" si="5"/>
        <v>1661120.2982641286</v>
      </c>
      <c r="AR259" s="138">
        <f t="shared" si="5"/>
        <v>1700229.0096905855</v>
      </c>
      <c r="AS259" s="138">
        <f t="shared" si="5"/>
        <v>1515101.0020381936</v>
      </c>
      <c r="AT259" s="138">
        <f t="shared" si="5"/>
        <v>1374580.178496043</v>
      </c>
      <c r="AU259" s="138">
        <f t="shared" si="5"/>
        <v>1306077.1409016619</v>
      </c>
      <c r="AV259" s="138">
        <f t="shared" si="5"/>
        <v>1319268.7242960869</v>
      </c>
      <c r="AW259" s="138">
        <f t="shared" si="5"/>
        <v>1392190.0274680366</v>
      </c>
      <c r="AX259" s="138">
        <f t="shared" si="5"/>
        <v>1449931.0362489864</v>
      </c>
      <c r="AY259" s="138">
        <f>AZ$14*$B$259</f>
        <v>1467584.3377092334</v>
      </c>
      <c r="AZ259" s="153">
        <f>SUM($D259:$AY259)</f>
        <v>56255650.948197432</v>
      </c>
    </row>
    <row r="260" spans="1:52" x14ac:dyDescent="0.2">
      <c r="A260" s="154" t="s">
        <v>302</v>
      </c>
      <c r="B260" s="128">
        <v>60</v>
      </c>
      <c r="C260" s="139" t="s">
        <v>293</v>
      </c>
      <c r="D260" s="139">
        <f>(D$175-D$176+D$177-D$178+D$179-D$180+D$181-D$182)*$B$260</f>
        <v>2081426.1573608802</v>
      </c>
      <c r="E260" s="139">
        <f t="shared" ref="E260:AY260" si="6">(E$175-E$176+E$177-E$178+E$179-E$180+E$181-E$182)*$B$260</f>
        <v>2067120.2173266411</v>
      </c>
      <c r="F260" s="139">
        <f t="shared" si="6"/>
        <v>2108570.9703308307</v>
      </c>
      <c r="G260" s="139">
        <f t="shared" si="6"/>
        <v>2071063.7112368618</v>
      </c>
      <c r="H260" s="139">
        <f t="shared" si="6"/>
        <v>2042753.3325146476</v>
      </c>
      <c r="I260" s="139">
        <f t="shared" si="6"/>
        <v>2047657.5904815665</v>
      </c>
      <c r="J260" s="139">
        <f t="shared" si="6"/>
        <v>2082607.4840792865</v>
      </c>
      <c r="K260" s="139">
        <f t="shared" si="6"/>
        <v>2102814.2551639434</v>
      </c>
      <c r="L260" s="139">
        <f t="shared" si="6"/>
        <v>2047048.1925859679</v>
      </c>
      <c r="M260" s="139">
        <f t="shared" si="6"/>
        <v>2064979.6275974233</v>
      </c>
      <c r="N260" s="139">
        <f t="shared" si="6"/>
        <v>2063754.8108321659</v>
      </c>
      <c r="O260" s="139">
        <f t="shared" si="6"/>
        <v>2094367.3607845721</v>
      </c>
      <c r="P260" s="139">
        <f t="shared" si="6"/>
        <v>2205090.4350045174</v>
      </c>
      <c r="Q260" s="139">
        <f t="shared" si="6"/>
        <v>2180520.1600490604</v>
      </c>
      <c r="R260" s="139">
        <f t="shared" si="6"/>
        <v>2202267.0574478502</v>
      </c>
      <c r="S260" s="139">
        <f t="shared" si="6"/>
        <v>2146270.9893523245</v>
      </c>
      <c r="T260" s="139">
        <f t="shared" si="6"/>
        <v>2082786.4750171485</v>
      </c>
      <c r="U260" s="139">
        <f t="shared" si="6"/>
        <v>2102537.950158142</v>
      </c>
      <c r="V260" s="139">
        <f t="shared" si="6"/>
        <v>2112657.8002204513</v>
      </c>
      <c r="W260" s="139">
        <f t="shared" si="6"/>
        <v>2110996.3110241299</v>
      </c>
      <c r="X260" s="139">
        <f t="shared" si="6"/>
        <v>2154962.0033361902</v>
      </c>
      <c r="Y260" s="139">
        <f t="shared" si="6"/>
        <v>2146380.8790822877</v>
      </c>
      <c r="Z260" s="139">
        <f t="shared" si="6"/>
        <v>2140578.3095649732</v>
      </c>
      <c r="AA260" s="139">
        <f t="shared" si="6"/>
        <v>2175475.923096789</v>
      </c>
      <c r="AB260" s="139">
        <f t="shared" si="6"/>
        <v>2146779.1130875843</v>
      </c>
      <c r="AC260" s="139">
        <f t="shared" si="6"/>
        <v>2151187.0044317273</v>
      </c>
      <c r="AD260" s="139">
        <f t="shared" si="6"/>
        <v>2138029.9246707233</v>
      </c>
      <c r="AE260" s="139">
        <f t="shared" si="6"/>
        <v>2147918.073136406</v>
      </c>
      <c r="AF260" s="139">
        <f t="shared" si="6"/>
        <v>2125944.8986871722</v>
      </c>
      <c r="AG260" s="139">
        <f t="shared" si="6"/>
        <v>2097416.1355374688</v>
      </c>
      <c r="AH260" s="139">
        <f t="shared" si="6"/>
        <v>2129036.6838013278</v>
      </c>
      <c r="AI260" s="139">
        <f t="shared" si="6"/>
        <v>2123944.4294148325</v>
      </c>
      <c r="AJ260" s="139">
        <f t="shared" si="6"/>
        <v>2037147.7014541356</v>
      </c>
      <c r="AK260" s="139">
        <f t="shared" si="6"/>
        <v>2098342.876061812</v>
      </c>
      <c r="AL260" s="139">
        <f t="shared" si="6"/>
        <v>2093842.5333885555</v>
      </c>
      <c r="AM260" s="139">
        <f t="shared" si="6"/>
        <v>2071690.1856490192</v>
      </c>
      <c r="AN260" s="139">
        <f t="shared" si="6"/>
        <v>2173963.3593840636</v>
      </c>
      <c r="AO260" s="139">
        <f t="shared" si="6"/>
        <v>2168909.7220610976</v>
      </c>
      <c r="AP260" s="139">
        <f t="shared" si="6"/>
        <v>2145375.0784183219</v>
      </c>
      <c r="AQ260" s="139">
        <f t="shared" si="6"/>
        <v>2145025.8186217728</v>
      </c>
      <c r="AR260" s="139">
        <f t="shared" si="6"/>
        <v>1924035.7837208691</v>
      </c>
      <c r="AS260" s="139">
        <f t="shared" si="6"/>
        <v>1947964.5228887824</v>
      </c>
      <c r="AT260" s="139">
        <f t="shared" si="6"/>
        <v>1971855.6758311344</v>
      </c>
      <c r="AU260" s="139">
        <f t="shared" si="6"/>
        <v>1992999.0331475392</v>
      </c>
      <c r="AV260" s="139">
        <f t="shared" si="6"/>
        <v>2186721.3485265146</v>
      </c>
      <c r="AW260" s="139">
        <f t="shared" si="6"/>
        <v>2182810.1513106427</v>
      </c>
      <c r="AX260" s="139">
        <f t="shared" si="6"/>
        <v>2162240.2120385547</v>
      </c>
      <c r="AY260" s="139">
        <f t="shared" si="6"/>
        <v>2168770.6765191481</v>
      </c>
      <c r="AZ260" s="155">
        <f>SUM($D260:$AY260)</f>
        <v>101166638.94543785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18" t="s">
        <v>283</v>
      </c>
    </row>
    <row r="4" spans="1:99" x14ac:dyDescent="0.2">
      <c r="A4" s="117"/>
      <c r="B4" s="117"/>
      <c r="C4" s="116" t="s">
        <v>274</v>
      </c>
      <c r="D4" s="116" t="s">
        <v>92</v>
      </c>
      <c r="E4" s="117"/>
      <c r="F4" s="117"/>
      <c r="G4" s="117"/>
      <c r="H4" s="117"/>
      <c r="I4" s="117"/>
      <c r="J4" s="117"/>
      <c r="K4" s="117"/>
      <c r="L4" s="116" t="s">
        <v>93</v>
      </c>
      <c r="M4" s="117"/>
      <c r="N4" s="117"/>
      <c r="O4" s="117"/>
      <c r="P4" s="117"/>
      <c r="Q4" s="117"/>
      <c r="R4" s="117"/>
      <c r="S4" s="117"/>
      <c r="T4" s="116" t="s">
        <v>94</v>
      </c>
      <c r="U4" s="117"/>
      <c r="V4" s="117"/>
      <c r="W4" s="117"/>
      <c r="X4" s="117"/>
      <c r="Y4" s="117"/>
      <c r="Z4" s="117"/>
      <c r="AA4" s="117"/>
      <c r="AB4" s="116" t="s">
        <v>95</v>
      </c>
      <c r="AC4" s="117"/>
      <c r="AD4" s="117"/>
      <c r="AE4" s="117"/>
      <c r="AF4" s="117"/>
      <c r="AG4" s="117"/>
      <c r="AH4" s="117"/>
      <c r="AI4" s="117"/>
      <c r="AJ4" s="116" t="s">
        <v>96</v>
      </c>
      <c r="AK4" s="117"/>
      <c r="AL4" s="117"/>
      <c r="AM4" s="117"/>
      <c r="AN4" s="117"/>
      <c r="AO4" s="117"/>
      <c r="AP4" s="117"/>
      <c r="AQ4" s="117"/>
      <c r="AR4" s="116" t="s">
        <v>97</v>
      </c>
      <c r="AS4" s="117"/>
      <c r="AT4" s="117"/>
      <c r="AU4" s="117"/>
      <c r="AV4" s="117"/>
      <c r="AW4" s="117"/>
      <c r="AX4" s="117"/>
      <c r="AY4" s="117"/>
      <c r="AZ4" s="116" t="s">
        <v>98</v>
      </c>
      <c r="BA4" s="117"/>
      <c r="BB4" s="117"/>
      <c r="BC4" s="117"/>
      <c r="BD4" s="117"/>
      <c r="BE4" s="117"/>
      <c r="BF4" s="117"/>
      <c r="BG4" s="117"/>
      <c r="BH4" s="116" t="s">
        <v>99</v>
      </c>
      <c r="BI4" s="117"/>
      <c r="BJ4" s="117"/>
      <c r="BK4" s="117"/>
      <c r="BL4" s="117"/>
      <c r="BM4" s="117"/>
      <c r="BN4" s="117"/>
      <c r="BO4" s="117"/>
      <c r="BP4" s="116" t="s">
        <v>100</v>
      </c>
      <c r="BQ4" s="117"/>
      <c r="BR4" s="117"/>
      <c r="BS4" s="117"/>
      <c r="BT4" s="117"/>
      <c r="BU4" s="117"/>
      <c r="BV4" s="117"/>
      <c r="BW4" s="117"/>
      <c r="BX4" s="116" t="s">
        <v>101</v>
      </c>
      <c r="BY4" s="117"/>
      <c r="BZ4" s="117"/>
      <c r="CA4" s="117"/>
      <c r="CB4" s="117"/>
      <c r="CC4" s="117"/>
      <c r="CD4" s="117"/>
      <c r="CE4" s="117"/>
      <c r="CF4" s="116" t="s">
        <v>102</v>
      </c>
      <c r="CG4" s="117"/>
      <c r="CH4" s="117"/>
      <c r="CI4" s="117"/>
      <c r="CJ4" s="117"/>
      <c r="CK4" s="117"/>
      <c r="CL4" s="117"/>
      <c r="CM4" s="117"/>
      <c r="CN4" s="116" t="s">
        <v>103</v>
      </c>
      <c r="CO4" s="117"/>
      <c r="CP4" s="117"/>
      <c r="CQ4" s="117"/>
      <c r="CR4" s="117"/>
      <c r="CS4" s="117"/>
      <c r="CT4" s="117"/>
      <c r="CU4" s="117"/>
    </row>
    <row r="5" spans="1:99" x14ac:dyDescent="0.2">
      <c r="B5" s="116" t="s">
        <v>167</v>
      </c>
      <c r="C5" s="116" t="s">
        <v>275</v>
      </c>
      <c r="D5" s="116">
        <v>1</v>
      </c>
      <c r="E5" s="116"/>
      <c r="F5" s="116">
        <v>2</v>
      </c>
      <c r="G5" s="116"/>
      <c r="H5" s="116">
        <v>3</v>
      </c>
      <c r="I5" s="116"/>
      <c r="J5" s="116">
        <v>4</v>
      </c>
      <c r="K5" s="116"/>
      <c r="L5" s="116">
        <v>1</v>
      </c>
      <c r="M5" s="116"/>
      <c r="N5" s="116">
        <v>2</v>
      </c>
      <c r="O5" s="116"/>
      <c r="P5" s="116">
        <v>3</v>
      </c>
      <c r="Q5" s="116"/>
      <c r="R5" s="116">
        <v>4</v>
      </c>
      <c r="S5" s="116"/>
      <c r="T5" s="116">
        <v>1</v>
      </c>
      <c r="U5" s="116"/>
      <c r="V5" s="116">
        <v>2</v>
      </c>
      <c r="W5" s="116"/>
      <c r="X5" s="116">
        <v>3</v>
      </c>
      <c r="Y5" s="116"/>
      <c r="Z5" s="116">
        <v>4</v>
      </c>
      <c r="AA5" s="116"/>
      <c r="AB5" s="116">
        <v>1</v>
      </c>
      <c r="AC5" s="116"/>
      <c r="AD5" s="116">
        <v>2</v>
      </c>
      <c r="AE5" s="116"/>
      <c r="AF5" s="116">
        <v>3</v>
      </c>
      <c r="AG5" s="116"/>
      <c r="AH5" s="116">
        <v>4</v>
      </c>
      <c r="AI5" s="116"/>
      <c r="AJ5" s="116">
        <v>1</v>
      </c>
      <c r="AK5" s="116"/>
      <c r="AL5" s="116">
        <v>2</v>
      </c>
      <c r="AM5" s="116"/>
      <c r="AN5" s="116">
        <v>3</v>
      </c>
      <c r="AO5" s="116"/>
      <c r="AP5" s="116">
        <v>4</v>
      </c>
      <c r="AQ5" s="116"/>
      <c r="AR5" s="116">
        <v>1</v>
      </c>
      <c r="AS5" s="116"/>
      <c r="AT5" s="116">
        <v>2</v>
      </c>
      <c r="AU5" s="116"/>
      <c r="AV5" s="116">
        <v>3</v>
      </c>
      <c r="AW5" s="116"/>
      <c r="AX5" s="116">
        <v>4</v>
      </c>
      <c r="AY5" s="116"/>
      <c r="AZ5" s="116">
        <v>1</v>
      </c>
      <c r="BA5" s="116"/>
      <c r="BB5" s="116">
        <v>2</v>
      </c>
      <c r="BC5" s="116"/>
      <c r="BD5" s="116">
        <v>3</v>
      </c>
      <c r="BE5" s="116"/>
      <c r="BF5" s="116">
        <v>4</v>
      </c>
      <c r="BG5" s="116"/>
      <c r="BH5" s="116">
        <v>1</v>
      </c>
      <c r="BI5" s="116"/>
      <c r="BJ5" s="116">
        <v>2</v>
      </c>
      <c r="BK5" s="116"/>
      <c r="BL5" s="116">
        <v>3</v>
      </c>
      <c r="BM5" s="116"/>
      <c r="BN5" s="116">
        <v>4</v>
      </c>
      <c r="BO5" s="116"/>
      <c r="BP5" s="116">
        <v>1</v>
      </c>
      <c r="BQ5" s="116"/>
      <c r="BR5" s="116">
        <v>2</v>
      </c>
      <c r="BS5" s="116"/>
      <c r="BT5" s="116">
        <v>3</v>
      </c>
      <c r="BU5" s="116"/>
      <c r="BV5" s="116">
        <v>4</v>
      </c>
      <c r="BW5" s="116"/>
      <c r="BX5" s="116">
        <v>1</v>
      </c>
      <c r="BY5" s="116"/>
      <c r="BZ5" s="116">
        <v>2</v>
      </c>
      <c r="CA5" s="116"/>
      <c r="CB5" s="116">
        <v>3</v>
      </c>
      <c r="CC5" s="116"/>
      <c r="CD5" s="116">
        <v>4</v>
      </c>
      <c r="CE5" s="116"/>
      <c r="CF5" s="116">
        <v>1</v>
      </c>
      <c r="CG5" s="116"/>
      <c r="CH5" s="116">
        <v>2</v>
      </c>
      <c r="CI5" s="116"/>
      <c r="CJ5" s="116">
        <v>3</v>
      </c>
      <c r="CK5" s="116"/>
      <c r="CL5" s="116">
        <v>4</v>
      </c>
      <c r="CM5" s="116"/>
      <c r="CN5" s="116">
        <v>1</v>
      </c>
      <c r="CO5" s="116"/>
      <c r="CP5" s="116">
        <v>2</v>
      </c>
      <c r="CQ5" s="116"/>
      <c r="CR5" s="116">
        <v>3</v>
      </c>
      <c r="CS5" s="116"/>
      <c r="CT5" s="116">
        <v>4</v>
      </c>
      <c r="CU5" s="116"/>
    </row>
    <row r="6" spans="1:99" x14ac:dyDescent="0.2">
      <c r="B6" s="116" t="s">
        <v>126</v>
      </c>
      <c r="C6" s="116" t="s">
        <v>172</v>
      </c>
      <c r="D6">
        <v>19</v>
      </c>
      <c r="E6">
        <v>10989.6</v>
      </c>
      <c r="F6">
        <v>21</v>
      </c>
      <c r="G6">
        <v>12146.4</v>
      </c>
      <c r="H6">
        <v>28</v>
      </c>
      <c r="I6">
        <v>16195.199999999999</v>
      </c>
      <c r="J6">
        <v>16</v>
      </c>
      <c r="K6">
        <v>9254.4</v>
      </c>
      <c r="L6">
        <v>5</v>
      </c>
      <c r="M6">
        <v>2892</v>
      </c>
      <c r="N6">
        <v>8</v>
      </c>
      <c r="O6">
        <v>4627.2</v>
      </c>
      <c r="P6">
        <v>6</v>
      </c>
      <c r="Q6">
        <v>3470.3999999999996</v>
      </c>
      <c r="R6">
        <v>9</v>
      </c>
      <c r="S6">
        <v>5205.5999999999995</v>
      </c>
      <c r="T6">
        <v>19</v>
      </c>
      <c r="U6">
        <v>10989.6</v>
      </c>
      <c r="V6">
        <v>17</v>
      </c>
      <c r="W6">
        <v>9832.7999999999993</v>
      </c>
      <c r="X6">
        <v>24</v>
      </c>
      <c r="Y6">
        <v>13881.599999999999</v>
      </c>
      <c r="Z6">
        <v>19</v>
      </c>
      <c r="AA6">
        <v>10989.6</v>
      </c>
      <c r="AB6">
        <v>12</v>
      </c>
      <c r="AC6">
        <v>6940.7999999999993</v>
      </c>
      <c r="AD6">
        <v>20</v>
      </c>
      <c r="AE6">
        <v>11568</v>
      </c>
      <c r="AF6">
        <v>19</v>
      </c>
      <c r="AG6">
        <v>10989.6</v>
      </c>
      <c r="AH6">
        <v>18</v>
      </c>
      <c r="AI6">
        <v>10411.199999999999</v>
      </c>
      <c r="AJ6">
        <v>4</v>
      </c>
      <c r="AK6">
        <v>2313.6</v>
      </c>
      <c r="AL6">
        <v>5</v>
      </c>
      <c r="AM6">
        <v>2892</v>
      </c>
      <c r="AN6">
        <v>4</v>
      </c>
      <c r="AO6">
        <v>2313.6</v>
      </c>
      <c r="AP6">
        <v>6</v>
      </c>
      <c r="AQ6">
        <v>3470.3999999999996</v>
      </c>
      <c r="AR6">
        <v>48</v>
      </c>
      <c r="AS6">
        <v>27763.199999999997</v>
      </c>
      <c r="AT6">
        <v>55</v>
      </c>
      <c r="AU6">
        <v>31812</v>
      </c>
      <c r="AV6">
        <v>43</v>
      </c>
      <c r="AW6">
        <v>24871.200000000001</v>
      </c>
      <c r="AX6">
        <v>45</v>
      </c>
      <c r="AY6">
        <v>26028</v>
      </c>
      <c r="AZ6">
        <v>16</v>
      </c>
      <c r="BA6">
        <v>9254.4</v>
      </c>
      <c r="BB6">
        <v>16</v>
      </c>
      <c r="BC6">
        <v>9254.4</v>
      </c>
      <c r="BD6">
        <v>16</v>
      </c>
      <c r="BE6">
        <v>9254.4</v>
      </c>
      <c r="BF6">
        <v>15</v>
      </c>
      <c r="BG6">
        <v>8676</v>
      </c>
      <c r="BH6">
        <v>3</v>
      </c>
      <c r="BI6">
        <v>1735.1999999999998</v>
      </c>
      <c r="BJ6">
        <v>5</v>
      </c>
      <c r="BK6">
        <v>2892</v>
      </c>
      <c r="BL6">
        <v>4</v>
      </c>
      <c r="BM6">
        <v>2313.6</v>
      </c>
      <c r="BN6">
        <v>5</v>
      </c>
      <c r="BO6">
        <v>2892</v>
      </c>
      <c r="BP6">
        <v>6</v>
      </c>
      <c r="BQ6">
        <v>3470.3999999999996</v>
      </c>
      <c r="BR6">
        <v>5</v>
      </c>
      <c r="BS6">
        <v>2892</v>
      </c>
      <c r="BT6">
        <v>8</v>
      </c>
      <c r="BU6">
        <v>4627.2</v>
      </c>
      <c r="BV6">
        <v>6</v>
      </c>
      <c r="BW6">
        <v>3470.3999999999996</v>
      </c>
      <c r="BX6">
        <v>12</v>
      </c>
      <c r="BY6">
        <v>6940.7999999999993</v>
      </c>
      <c r="BZ6">
        <v>14</v>
      </c>
      <c r="CA6">
        <v>8097.5999999999995</v>
      </c>
      <c r="CB6">
        <v>15</v>
      </c>
      <c r="CC6">
        <v>8676</v>
      </c>
      <c r="CD6">
        <v>11</v>
      </c>
      <c r="CE6">
        <v>6362.4</v>
      </c>
      <c r="CF6">
        <v>8</v>
      </c>
      <c r="CG6">
        <v>4627.2</v>
      </c>
      <c r="CH6">
        <v>7</v>
      </c>
      <c r="CI6">
        <v>4048.7999999999997</v>
      </c>
      <c r="CJ6">
        <v>7</v>
      </c>
      <c r="CK6">
        <v>4048.7999999999997</v>
      </c>
      <c r="CL6">
        <v>9</v>
      </c>
      <c r="CM6">
        <v>5205.5999999999995</v>
      </c>
      <c r="CN6">
        <v>9</v>
      </c>
      <c r="CO6">
        <v>5205.5999999999995</v>
      </c>
      <c r="CP6">
        <v>12</v>
      </c>
      <c r="CQ6">
        <v>6940.7999999999993</v>
      </c>
      <c r="CR6">
        <v>12</v>
      </c>
      <c r="CS6">
        <v>6940.7999999999993</v>
      </c>
      <c r="CT6">
        <v>10</v>
      </c>
      <c r="CU6">
        <v>5784</v>
      </c>
    </row>
    <row r="7" spans="1:99" x14ac:dyDescent="0.2">
      <c r="C7" s="116" t="s">
        <v>173</v>
      </c>
      <c r="D7">
        <v>20</v>
      </c>
      <c r="E7">
        <v>15768</v>
      </c>
      <c r="F7">
        <v>19</v>
      </c>
      <c r="G7">
        <v>14979.6</v>
      </c>
      <c r="H7">
        <v>25</v>
      </c>
      <c r="I7">
        <v>19710</v>
      </c>
      <c r="J7">
        <v>15</v>
      </c>
      <c r="K7">
        <v>11826</v>
      </c>
      <c r="L7">
        <v>5</v>
      </c>
      <c r="M7">
        <v>3942</v>
      </c>
      <c r="N7">
        <v>8</v>
      </c>
      <c r="O7">
        <v>6307.2</v>
      </c>
      <c r="P7">
        <v>5</v>
      </c>
      <c r="Q7">
        <v>3942</v>
      </c>
      <c r="R7">
        <v>9</v>
      </c>
      <c r="S7">
        <v>7095.5999999999995</v>
      </c>
      <c r="T7">
        <v>21</v>
      </c>
      <c r="U7">
        <v>16556.399999999998</v>
      </c>
      <c r="V7">
        <v>14</v>
      </c>
      <c r="W7">
        <v>11037.6</v>
      </c>
      <c r="X7">
        <v>22</v>
      </c>
      <c r="Y7">
        <v>17344.8</v>
      </c>
      <c r="Z7">
        <v>18</v>
      </c>
      <c r="AA7">
        <v>14191.199999999999</v>
      </c>
      <c r="AB7">
        <v>11</v>
      </c>
      <c r="AC7">
        <v>8672.4</v>
      </c>
      <c r="AD7">
        <v>19</v>
      </c>
      <c r="AE7">
        <v>14979.6</v>
      </c>
      <c r="AF7">
        <v>20</v>
      </c>
      <c r="AG7">
        <v>15768</v>
      </c>
      <c r="AH7">
        <v>17</v>
      </c>
      <c r="AI7">
        <v>13402.8</v>
      </c>
      <c r="AJ7">
        <v>4</v>
      </c>
      <c r="AK7">
        <v>3153.6</v>
      </c>
      <c r="AL7">
        <v>4</v>
      </c>
      <c r="AM7">
        <v>3153.6</v>
      </c>
      <c r="AN7">
        <v>4</v>
      </c>
      <c r="AO7">
        <v>3153.6</v>
      </c>
      <c r="AP7">
        <v>6</v>
      </c>
      <c r="AQ7">
        <v>4730.3999999999996</v>
      </c>
      <c r="AR7">
        <v>53</v>
      </c>
      <c r="AS7">
        <v>41785.199999999997</v>
      </c>
      <c r="AT7">
        <v>57</v>
      </c>
      <c r="AU7">
        <v>44938.799999999996</v>
      </c>
      <c r="AV7">
        <v>36</v>
      </c>
      <c r="AW7">
        <v>28382.399999999998</v>
      </c>
      <c r="AX7">
        <v>40</v>
      </c>
      <c r="AY7">
        <v>31536</v>
      </c>
      <c r="AZ7">
        <v>17</v>
      </c>
      <c r="BA7">
        <v>13402.8</v>
      </c>
      <c r="BB7">
        <v>15</v>
      </c>
      <c r="BC7">
        <v>11826</v>
      </c>
      <c r="BD7">
        <v>17</v>
      </c>
      <c r="BE7">
        <v>13402.8</v>
      </c>
      <c r="BF7">
        <v>14</v>
      </c>
      <c r="BG7">
        <v>11037.6</v>
      </c>
      <c r="BH7">
        <v>4</v>
      </c>
      <c r="BI7">
        <v>3153.6</v>
      </c>
      <c r="BJ7">
        <v>4</v>
      </c>
      <c r="BK7">
        <v>3153.6</v>
      </c>
      <c r="BL7">
        <v>4</v>
      </c>
      <c r="BM7">
        <v>3153.6</v>
      </c>
      <c r="BN7">
        <v>4</v>
      </c>
      <c r="BO7">
        <v>3153.6</v>
      </c>
      <c r="BP7">
        <v>5</v>
      </c>
      <c r="BQ7">
        <v>3942</v>
      </c>
      <c r="BR7">
        <v>5</v>
      </c>
      <c r="BS7">
        <v>3942</v>
      </c>
      <c r="BT7">
        <v>8</v>
      </c>
      <c r="BU7">
        <v>6307.2</v>
      </c>
      <c r="BV7">
        <v>6</v>
      </c>
      <c r="BW7">
        <v>4730.3999999999996</v>
      </c>
      <c r="BX7">
        <v>12</v>
      </c>
      <c r="BY7">
        <v>9460.7999999999993</v>
      </c>
      <c r="BZ7">
        <v>13</v>
      </c>
      <c r="CA7">
        <v>10249.199999999999</v>
      </c>
      <c r="CB7">
        <v>16</v>
      </c>
      <c r="CC7">
        <v>12614.4</v>
      </c>
      <c r="CD7">
        <v>11</v>
      </c>
      <c r="CE7">
        <v>8672.4</v>
      </c>
      <c r="CF7">
        <v>9</v>
      </c>
      <c r="CG7">
        <v>7095.5999999999995</v>
      </c>
      <c r="CH7">
        <v>7</v>
      </c>
      <c r="CI7">
        <v>5518.8</v>
      </c>
      <c r="CJ7">
        <v>7</v>
      </c>
      <c r="CK7">
        <v>5518.8</v>
      </c>
      <c r="CL7">
        <v>10</v>
      </c>
      <c r="CM7">
        <v>7884</v>
      </c>
      <c r="CN7">
        <v>9</v>
      </c>
      <c r="CO7">
        <v>7095.5999999999995</v>
      </c>
      <c r="CP7">
        <v>13</v>
      </c>
      <c r="CQ7">
        <v>10249.199999999999</v>
      </c>
      <c r="CR7">
        <v>12</v>
      </c>
      <c r="CS7">
        <v>9460.7999999999993</v>
      </c>
      <c r="CT7">
        <v>9</v>
      </c>
      <c r="CU7">
        <v>7095.5999999999995</v>
      </c>
    </row>
    <row r="8" spans="1:99" x14ac:dyDescent="0.2">
      <c r="C8" s="116" t="s">
        <v>174</v>
      </c>
      <c r="D8">
        <v>23</v>
      </c>
      <c r="E8">
        <v>7120.7999999999993</v>
      </c>
      <c r="F8">
        <v>21</v>
      </c>
      <c r="G8">
        <v>6501.5999999999995</v>
      </c>
      <c r="H8">
        <v>27</v>
      </c>
      <c r="I8">
        <v>8359.1999999999989</v>
      </c>
      <c r="J8">
        <v>19</v>
      </c>
      <c r="K8">
        <v>5882.4</v>
      </c>
      <c r="L8">
        <v>5</v>
      </c>
      <c r="M8">
        <v>1547.9999999999998</v>
      </c>
      <c r="N8">
        <v>9</v>
      </c>
      <c r="O8">
        <v>2786.3999999999996</v>
      </c>
      <c r="P8">
        <v>6</v>
      </c>
      <c r="Q8">
        <v>1857.6</v>
      </c>
      <c r="R8">
        <v>9</v>
      </c>
      <c r="S8">
        <v>2786.3999999999996</v>
      </c>
      <c r="T8">
        <v>19</v>
      </c>
      <c r="U8">
        <v>5882.4</v>
      </c>
      <c r="V8">
        <v>16</v>
      </c>
      <c r="W8">
        <v>4953.5999999999995</v>
      </c>
      <c r="X8">
        <v>24</v>
      </c>
      <c r="Y8">
        <v>7430.4</v>
      </c>
      <c r="Z8">
        <v>18</v>
      </c>
      <c r="AA8">
        <v>5572.7999999999993</v>
      </c>
      <c r="AB8">
        <v>12</v>
      </c>
      <c r="AC8">
        <v>3715.2</v>
      </c>
      <c r="AD8">
        <v>20</v>
      </c>
      <c r="AE8">
        <v>6191.9999999999991</v>
      </c>
      <c r="AF8">
        <v>19</v>
      </c>
      <c r="AG8">
        <v>5882.4</v>
      </c>
      <c r="AH8">
        <v>17</v>
      </c>
      <c r="AI8">
        <v>5263.2</v>
      </c>
      <c r="AJ8">
        <v>4</v>
      </c>
      <c r="AK8">
        <v>1238.3999999999999</v>
      </c>
      <c r="AL8">
        <v>5</v>
      </c>
      <c r="AM8">
        <v>1547.9999999999998</v>
      </c>
      <c r="AN8">
        <v>4</v>
      </c>
      <c r="AO8">
        <v>1238.3999999999999</v>
      </c>
      <c r="AP8">
        <v>6</v>
      </c>
      <c r="AQ8">
        <v>1857.6</v>
      </c>
      <c r="AR8">
        <v>52</v>
      </c>
      <c r="AS8">
        <v>16099.199999999999</v>
      </c>
      <c r="AT8">
        <v>57</v>
      </c>
      <c r="AU8">
        <v>17647.199999999997</v>
      </c>
      <c r="AV8">
        <v>42</v>
      </c>
      <c r="AW8">
        <v>13003.199999999999</v>
      </c>
      <c r="AX8">
        <v>46</v>
      </c>
      <c r="AY8">
        <v>14241.599999999999</v>
      </c>
      <c r="AZ8">
        <v>17</v>
      </c>
      <c r="BA8">
        <v>5263.2</v>
      </c>
      <c r="BB8">
        <v>17</v>
      </c>
      <c r="BC8">
        <v>5263.2</v>
      </c>
      <c r="BD8">
        <v>20</v>
      </c>
      <c r="BE8">
        <v>6191.9999999999991</v>
      </c>
      <c r="BF8">
        <v>18</v>
      </c>
      <c r="BG8">
        <v>5572.7999999999993</v>
      </c>
      <c r="BH8">
        <v>4</v>
      </c>
      <c r="BI8">
        <v>1238.3999999999999</v>
      </c>
      <c r="BJ8">
        <v>5</v>
      </c>
      <c r="BK8">
        <v>1547.9999999999998</v>
      </c>
      <c r="BL8">
        <v>4</v>
      </c>
      <c r="BM8">
        <v>1238.3999999999999</v>
      </c>
      <c r="BN8">
        <v>4</v>
      </c>
      <c r="BO8">
        <v>1238.3999999999999</v>
      </c>
      <c r="BP8">
        <v>6</v>
      </c>
      <c r="BQ8">
        <v>1857.6</v>
      </c>
      <c r="BR8">
        <v>5</v>
      </c>
      <c r="BS8">
        <v>1547.9999999999998</v>
      </c>
      <c r="BT8">
        <v>9</v>
      </c>
      <c r="BU8">
        <v>2786.3999999999996</v>
      </c>
      <c r="BV8">
        <v>6</v>
      </c>
      <c r="BW8">
        <v>1857.6</v>
      </c>
      <c r="BX8">
        <v>14</v>
      </c>
      <c r="BY8">
        <v>4334.3999999999996</v>
      </c>
      <c r="BZ8">
        <v>13</v>
      </c>
      <c r="CA8">
        <v>4024.7999999999997</v>
      </c>
      <c r="CB8">
        <v>16</v>
      </c>
      <c r="CC8">
        <v>4953.5999999999995</v>
      </c>
      <c r="CD8">
        <v>12</v>
      </c>
      <c r="CE8">
        <v>3715.2</v>
      </c>
      <c r="CF8">
        <v>9</v>
      </c>
      <c r="CG8">
        <v>2786.3999999999996</v>
      </c>
      <c r="CH8">
        <v>8</v>
      </c>
      <c r="CI8">
        <v>2476.7999999999997</v>
      </c>
      <c r="CJ8">
        <v>7</v>
      </c>
      <c r="CK8">
        <v>2167.1999999999998</v>
      </c>
      <c r="CL8">
        <v>11</v>
      </c>
      <c r="CM8">
        <v>3405.5999999999995</v>
      </c>
      <c r="CN8">
        <v>9</v>
      </c>
      <c r="CO8">
        <v>2786.3999999999996</v>
      </c>
      <c r="CP8">
        <v>12</v>
      </c>
      <c r="CQ8">
        <v>3715.2</v>
      </c>
      <c r="CR8">
        <v>13</v>
      </c>
      <c r="CS8">
        <v>4024.7999999999997</v>
      </c>
      <c r="CT8">
        <v>10</v>
      </c>
      <c r="CU8">
        <v>3095.9999999999995</v>
      </c>
    </row>
    <row r="9" spans="1:99" x14ac:dyDescent="0.2">
      <c r="C9" s="116" t="s">
        <v>175</v>
      </c>
      <c r="D9">
        <v>19</v>
      </c>
      <c r="E9">
        <v>13338</v>
      </c>
      <c r="F9">
        <v>18</v>
      </c>
      <c r="G9">
        <v>12636</v>
      </c>
      <c r="H9">
        <v>29</v>
      </c>
      <c r="I9">
        <v>20358</v>
      </c>
      <c r="J9">
        <v>16</v>
      </c>
      <c r="K9">
        <v>11232</v>
      </c>
      <c r="L9">
        <v>5</v>
      </c>
      <c r="M9">
        <v>3510</v>
      </c>
      <c r="N9">
        <v>9</v>
      </c>
      <c r="O9">
        <v>6318</v>
      </c>
      <c r="P9">
        <v>6</v>
      </c>
      <c r="Q9">
        <v>4212</v>
      </c>
      <c r="R9">
        <v>8</v>
      </c>
      <c r="S9">
        <v>5616</v>
      </c>
      <c r="T9">
        <v>20</v>
      </c>
      <c r="U9">
        <v>14040</v>
      </c>
      <c r="V9">
        <v>15</v>
      </c>
      <c r="W9">
        <v>10530</v>
      </c>
      <c r="X9">
        <v>25</v>
      </c>
      <c r="Y9">
        <v>17550</v>
      </c>
      <c r="Z9">
        <v>20</v>
      </c>
      <c r="AA9">
        <v>14040</v>
      </c>
      <c r="AB9">
        <v>11</v>
      </c>
      <c r="AC9">
        <v>7722</v>
      </c>
      <c r="AD9">
        <v>18</v>
      </c>
      <c r="AE9">
        <v>12636</v>
      </c>
      <c r="AF9">
        <v>17</v>
      </c>
      <c r="AG9">
        <v>11934</v>
      </c>
      <c r="AH9">
        <v>17</v>
      </c>
      <c r="AI9">
        <v>11934</v>
      </c>
      <c r="AJ9">
        <v>4</v>
      </c>
      <c r="AK9">
        <v>2808</v>
      </c>
      <c r="AL9">
        <v>5</v>
      </c>
      <c r="AM9">
        <v>3510</v>
      </c>
      <c r="AN9">
        <v>4</v>
      </c>
      <c r="AO9">
        <v>2808</v>
      </c>
      <c r="AP9">
        <v>6</v>
      </c>
      <c r="AQ9">
        <v>4212</v>
      </c>
      <c r="AR9">
        <v>53</v>
      </c>
      <c r="AS9">
        <v>37206</v>
      </c>
      <c r="AT9">
        <v>53</v>
      </c>
      <c r="AU9">
        <v>37206</v>
      </c>
      <c r="AV9">
        <v>36</v>
      </c>
      <c r="AW9">
        <v>25272</v>
      </c>
      <c r="AX9">
        <v>47</v>
      </c>
      <c r="AY9">
        <v>32994</v>
      </c>
      <c r="AZ9">
        <v>19</v>
      </c>
      <c r="BA9">
        <v>13338</v>
      </c>
      <c r="BB9">
        <v>14</v>
      </c>
      <c r="BC9">
        <v>9828</v>
      </c>
      <c r="BD9">
        <v>17</v>
      </c>
      <c r="BE9">
        <v>11934</v>
      </c>
      <c r="BF9">
        <v>15</v>
      </c>
      <c r="BG9">
        <v>10530</v>
      </c>
      <c r="BH9">
        <v>3</v>
      </c>
      <c r="BI9">
        <v>2106</v>
      </c>
      <c r="BJ9">
        <v>4</v>
      </c>
      <c r="BK9">
        <v>2808</v>
      </c>
      <c r="BL9">
        <v>4</v>
      </c>
      <c r="BM9">
        <v>2808</v>
      </c>
      <c r="BN9">
        <v>4</v>
      </c>
      <c r="BO9">
        <v>2808</v>
      </c>
      <c r="BP9">
        <v>6</v>
      </c>
      <c r="BQ9">
        <v>4212</v>
      </c>
      <c r="BR9">
        <v>5</v>
      </c>
      <c r="BS9">
        <v>3510</v>
      </c>
      <c r="BT9">
        <v>8</v>
      </c>
      <c r="BU9">
        <v>5616</v>
      </c>
      <c r="BV9">
        <v>6</v>
      </c>
      <c r="BW9">
        <v>4212</v>
      </c>
      <c r="BX9">
        <v>12</v>
      </c>
      <c r="BY9">
        <v>8424</v>
      </c>
      <c r="BZ9">
        <v>14</v>
      </c>
      <c r="CA9">
        <v>9828</v>
      </c>
      <c r="CB9">
        <v>13</v>
      </c>
      <c r="CC9">
        <v>9126</v>
      </c>
      <c r="CD9">
        <v>11</v>
      </c>
      <c r="CE9">
        <v>7722</v>
      </c>
      <c r="CF9">
        <v>9</v>
      </c>
      <c r="CG9">
        <v>6318</v>
      </c>
      <c r="CH9">
        <v>8</v>
      </c>
      <c r="CI9">
        <v>5616</v>
      </c>
      <c r="CJ9">
        <v>7</v>
      </c>
      <c r="CK9">
        <v>4914</v>
      </c>
      <c r="CL9">
        <v>11</v>
      </c>
      <c r="CM9">
        <v>7722</v>
      </c>
      <c r="CN9">
        <v>7</v>
      </c>
      <c r="CO9">
        <v>4914</v>
      </c>
      <c r="CP9">
        <v>13</v>
      </c>
      <c r="CQ9">
        <v>9126</v>
      </c>
      <c r="CR9">
        <v>13</v>
      </c>
      <c r="CS9">
        <v>9126</v>
      </c>
      <c r="CT9">
        <v>10</v>
      </c>
      <c r="CU9">
        <v>7020</v>
      </c>
    </row>
    <row r="10" spans="1:99" x14ac:dyDescent="0.2">
      <c r="C10" s="116" t="s">
        <v>176</v>
      </c>
      <c r="D10">
        <v>20</v>
      </c>
      <c r="E10">
        <v>10896</v>
      </c>
      <c r="F10">
        <v>17</v>
      </c>
      <c r="G10">
        <v>9261.5999999999985</v>
      </c>
      <c r="H10">
        <v>28</v>
      </c>
      <c r="I10">
        <v>15254.399999999998</v>
      </c>
      <c r="J10">
        <v>16</v>
      </c>
      <c r="K10">
        <v>8716.7999999999993</v>
      </c>
      <c r="L10">
        <v>4</v>
      </c>
      <c r="M10">
        <v>2179.1999999999998</v>
      </c>
      <c r="N10">
        <v>8</v>
      </c>
      <c r="O10">
        <v>4358.3999999999996</v>
      </c>
      <c r="P10">
        <v>5</v>
      </c>
      <c r="Q10">
        <v>2724</v>
      </c>
      <c r="R10">
        <v>10</v>
      </c>
      <c r="S10">
        <v>5448</v>
      </c>
      <c r="T10">
        <v>22</v>
      </c>
      <c r="U10">
        <v>11985.599999999999</v>
      </c>
      <c r="V10">
        <v>15</v>
      </c>
      <c r="W10">
        <v>8171.9999999999991</v>
      </c>
      <c r="X10">
        <v>25</v>
      </c>
      <c r="Y10">
        <v>13619.999999999998</v>
      </c>
      <c r="Z10">
        <v>20</v>
      </c>
      <c r="AA10">
        <v>10896</v>
      </c>
      <c r="AB10">
        <v>12</v>
      </c>
      <c r="AC10">
        <v>6537.5999999999995</v>
      </c>
      <c r="AD10">
        <v>18</v>
      </c>
      <c r="AE10">
        <v>9806.4</v>
      </c>
      <c r="AF10">
        <v>18</v>
      </c>
      <c r="AG10">
        <v>9806.4</v>
      </c>
      <c r="AH10">
        <v>17</v>
      </c>
      <c r="AI10">
        <v>9261.5999999999985</v>
      </c>
      <c r="AJ10">
        <v>4</v>
      </c>
      <c r="AK10">
        <v>2179.1999999999998</v>
      </c>
      <c r="AL10">
        <v>5</v>
      </c>
      <c r="AM10">
        <v>2724</v>
      </c>
      <c r="AN10">
        <v>4</v>
      </c>
      <c r="AO10">
        <v>2179.1999999999998</v>
      </c>
      <c r="AP10">
        <v>6</v>
      </c>
      <c r="AQ10">
        <v>3268.7999999999997</v>
      </c>
      <c r="AR10">
        <v>54</v>
      </c>
      <c r="AS10">
        <v>29419.199999999997</v>
      </c>
      <c r="AT10">
        <v>53</v>
      </c>
      <c r="AU10">
        <v>28874.399999999998</v>
      </c>
      <c r="AV10">
        <v>43</v>
      </c>
      <c r="AW10">
        <v>23426.399999999998</v>
      </c>
      <c r="AX10">
        <v>47</v>
      </c>
      <c r="AY10">
        <v>25605.599999999999</v>
      </c>
      <c r="AZ10">
        <v>18</v>
      </c>
      <c r="BA10">
        <v>9806.4</v>
      </c>
      <c r="BB10">
        <v>15</v>
      </c>
      <c r="BC10">
        <v>8171.9999999999991</v>
      </c>
      <c r="BD10">
        <v>20</v>
      </c>
      <c r="BE10">
        <v>10896</v>
      </c>
      <c r="BF10">
        <v>17</v>
      </c>
      <c r="BG10">
        <v>9261.5999999999985</v>
      </c>
      <c r="BH10">
        <v>4</v>
      </c>
      <c r="BI10">
        <v>2179.1999999999998</v>
      </c>
      <c r="BJ10">
        <v>5</v>
      </c>
      <c r="BK10">
        <v>2724</v>
      </c>
      <c r="BL10">
        <v>4</v>
      </c>
      <c r="BM10">
        <v>2179.1999999999998</v>
      </c>
      <c r="BN10">
        <v>4</v>
      </c>
      <c r="BO10">
        <v>2179.1999999999998</v>
      </c>
      <c r="BP10">
        <v>5</v>
      </c>
      <c r="BQ10">
        <v>2724</v>
      </c>
      <c r="BR10">
        <v>5</v>
      </c>
      <c r="BS10">
        <v>2724</v>
      </c>
      <c r="BT10">
        <v>8</v>
      </c>
      <c r="BU10">
        <v>4358.3999999999996</v>
      </c>
      <c r="BV10">
        <v>6</v>
      </c>
      <c r="BW10">
        <v>3268.7999999999997</v>
      </c>
      <c r="BX10">
        <v>13</v>
      </c>
      <c r="BY10">
        <v>7082.4</v>
      </c>
      <c r="BZ10">
        <v>12</v>
      </c>
      <c r="CA10">
        <v>6537.5999999999995</v>
      </c>
      <c r="CB10">
        <v>14</v>
      </c>
      <c r="CC10">
        <v>7627.1999999999989</v>
      </c>
      <c r="CD10">
        <v>11</v>
      </c>
      <c r="CE10">
        <v>5992.7999999999993</v>
      </c>
      <c r="CF10">
        <v>8</v>
      </c>
      <c r="CG10">
        <v>4358.3999999999996</v>
      </c>
      <c r="CH10">
        <v>8</v>
      </c>
      <c r="CI10">
        <v>4358.3999999999996</v>
      </c>
      <c r="CJ10">
        <v>7</v>
      </c>
      <c r="CK10">
        <v>3813.5999999999995</v>
      </c>
      <c r="CL10">
        <v>10</v>
      </c>
      <c r="CM10">
        <v>5448</v>
      </c>
      <c r="CN10">
        <v>9</v>
      </c>
      <c r="CO10">
        <v>4903.2</v>
      </c>
      <c r="CP10">
        <v>14</v>
      </c>
      <c r="CQ10">
        <v>7627.1999999999989</v>
      </c>
      <c r="CR10">
        <v>13</v>
      </c>
      <c r="CS10">
        <v>7082.4</v>
      </c>
      <c r="CT10">
        <v>9</v>
      </c>
      <c r="CU10">
        <v>4903.2</v>
      </c>
    </row>
    <row r="11" spans="1:99" x14ac:dyDescent="0.2">
      <c r="C11" s="116" t="s">
        <v>177</v>
      </c>
      <c r="D11">
        <v>23</v>
      </c>
      <c r="E11">
        <v>12254.4</v>
      </c>
      <c r="F11">
        <v>21</v>
      </c>
      <c r="G11">
        <v>11188.8</v>
      </c>
      <c r="H11">
        <v>30</v>
      </c>
      <c r="I11">
        <v>15983.999999999998</v>
      </c>
      <c r="J11">
        <v>16</v>
      </c>
      <c r="K11">
        <v>8524.7999999999993</v>
      </c>
      <c r="L11">
        <v>4</v>
      </c>
      <c r="M11">
        <v>2131.1999999999998</v>
      </c>
      <c r="N11">
        <v>9</v>
      </c>
      <c r="O11">
        <v>4795.2</v>
      </c>
      <c r="P11">
        <v>6</v>
      </c>
      <c r="Q11">
        <v>3196.7999999999997</v>
      </c>
      <c r="R11">
        <v>9</v>
      </c>
      <c r="S11">
        <v>4795.2</v>
      </c>
      <c r="T11">
        <v>21</v>
      </c>
      <c r="U11">
        <v>11188.8</v>
      </c>
      <c r="V11">
        <v>17</v>
      </c>
      <c r="W11">
        <v>9057.5999999999985</v>
      </c>
      <c r="X11">
        <v>25</v>
      </c>
      <c r="Y11">
        <v>13319.999999999998</v>
      </c>
      <c r="Z11">
        <v>20</v>
      </c>
      <c r="AA11">
        <v>10656</v>
      </c>
      <c r="AB11">
        <v>13</v>
      </c>
      <c r="AC11">
        <v>6926.4</v>
      </c>
      <c r="AD11">
        <v>21</v>
      </c>
      <c r="AE11">
        <v>11188.8</v>
      </c>
      <c r="AF11">
        <v>19</v>
      </c>
      <c r="AG11">
        <v>10123.199999999999</v>
      </c>
      <c r="AH11">
        <v>16</v>
      </c>
      <c r="AI11">
        <v>8524.7999999999993</v>
      </c>
      <c r="AJ11">
        <v>4</v>
      </c>
      <c r="AK11">
        <v>2131.1999999999998</v>
      </c>
      <c r="AL11">
        <v>5</v>
      </c>
      <c r="AM11">
        <v>2664</v>
      </c>
      <c r="AN11">
        <v>4</v>
      </c>
      <c r="AO11">
        <v>2131.1999999999998</v>
      </c>
      <c r="AP11">
        <v>6</v>
      </c>
      <c r="AQ11">
        <v>3196.7999999999997</v>
      </c>
      <c r="AR11">
        <v>50</v>
      </c>
      <c r="AS11">
        <v>26639.999999999996</v>
      </c>
      <c r="AT11">
        <v>50</v>
      </c>
      <c r="AU11">
        <v>26639.999999999996</v>
      </c>
      <c r="AV11">
        <v>37</v>
      </c>
      <c r="AW11">
        <v>19713.599999999999</v>
      </c>
      <c r="AX11">
        <v>45</v>
      </c>
      <c r="AY11">
        <v>23975.999999999996</v>
      </c>
      <c r="AZ11">
        <v>19</v>
      </c>
      <c r="BA11">
        <v>10123.199999999999</v>
      </c>
      <c r="BB11">
        <v>17</v>
      </c>
      <c r="BC11">
        <v>9057.5999999999985</v>
      </c>
      <c r="BD11">
        <v>17</v>
      </c>
      <c r="BE11">
        <v>9057.5999999999985</v>
      </c>
      <c r="BF11">
        <v>18</v>
      </c>
      <c r="BG11">
        <v>9590.4</v>
      </c>
      <c r="BH11">
        <v>4</v>
      </c>
      <c r="BI11">
        <v>2131.1999999999998</v>
      </c>
      <c r="BJ11">
        <v>5</v>
      </c>
      <c r="BK11">
        <v>2664</v>
      </c>
      <c r="BL11">
        <v>4</v>
      </c>
      <c r="BM11">
        <v>2131.1999999999998</v>
      </c>
      <c r="BN11">
        <v>4</v>
      </c>
      <c r="BO11">
        <v>2131.1999999999998</v>
      </c>
      <c r="BP11">
        <v>5</v>
      </c>
      <c r="BQ11">
        <v>2664</v>
      </c>
      <c r="BR11">
        <v>5</v>
      </c>
      <c r="BS11">
        <v>2664</v>
      </c>
      <c r="BT11">
        <v>8</v>
      </c>
      <c r="BU11">
        <v>4262.3999999999996</v>
      </c>
      <c r="BV11">
        <v>5</v>
      </c>
      <c r="BW11">
        <v>2664</v>
      </c>
      <c r="BX11">
        <v>12</v>
      </c>
      <c r="BY11">
        <v>6393.5999999999995</v>
      </c>
      <c r="BZ11">
        <v>13</v>
      </c>
      <c r="CA11">
        <v>6926.4</v>
      </c>
      <c r="CB11">
        <v>14</v>
      </c>
      <c r="CC11">
        <v>7459.1999999999989</v>
      </c>
      <c r="CD11">
        <v>13</v>
      </c>
      <c r="CE11">
        <v>6926.4</v>
      </c>
      <c r="CF11">
        <v>8</v>
      </c>
      <c r="CG11">
        <v>4262.3999999999996</v>
      </c>
      <c r="CH11">
        <v>7</v>
      </c>
      <c r="CI11">
        <v>3729.5999999999995</v>
      </c>
      <c r="CJ11">
        <v>7</v>
      </c>
      <c r="CK11">
        <v>3729.5999999999995</v>
      </c>
      <c r="CL11">
        <v>11</v>
      </c>
      <c r="CM11">
        <v>5860.7999999999993</v>
      </c>
      <c r="CN11">
        <v>8</v>
      </c>
      <c r="CO11">
        <v>4262.3999999999996</v>
      </c>
      <c r="CP11">
        <v>13</v>
      </c>
      <c r="CQ11">
        <v>6926.4</v>
      </c>
      <c r="CR11">
        <v>13</v>
      </c>
      <c r="CS11">
        <v>6926.4</v>
      </c>
      <c r="CT11">
        <v>9</v>
      </c>
      <c r="CU11">
        <v>4795.2</v>
      </c>
    </row>
    <row r="12" spans="1:99" x14ac:dyDescent="0.2">
      <c r="C12" s="116" t="s">
        <v>178</v>
      </c>
      <c r="D12">
        <v>22</v>
      </c>
      <c r="E12">
        <v>12381.599999999999</v>
      </c>
      <c r="F12">
        <v>18</v>
      </c>
      <c r="G12">
        <v>10130.4</v>
      </c>
      <c r="H12">
        <v>29</v>
      </c>
      <c r="I12">
        <v>16321.199999999999</v>
      </c>
      <c r="J12">
        <v>16</v>
      </c>
      <c r="K12">
        <v>9004.7999999999993</v>
      </c>
      <c r="L12">
        <v>5</v>
      </c>
      <c r="M12">
        <v>2814</v>
      </c>
      <c r="N12">
        <v>8</v>
      </c>
      <c r="O12">
        <v>4502.3999999999996</v>
      </c>
      <c r="P12">
        <v>6</v>
      </c>
      <c r="Q12">
        <v>3376.7999999999997</v>
      </c>
      <c r="R12">
        <v>8</v>
      </c>
      <c r="S12">
        <v>4502.3999999999996</v>
      </c>
      <c r="T12">
        <v>19</v>
      </c>
      <c r="U12">
        <v>10693.199999999999</v>
      </c>
      <c r="V12">
        <v>16</v>
      </c>
      <c r="W12">
        <v>9004.7999999999993</v>
      </c>
      <c r="X12">
        <v>21</v>
      </c>
      <c r="Y12">
        <v>11818.8</v>
      </c>
      <c r="Z12">
        <v>19</v>
      </c>
      <c r="AA12">
        <v>10693.199999999999</v>
      </c>
      <c r="AB12">
        <v>12</v>
      </c>
      <c r="AC12">
        <v>6753.5999999999995</v>
      </c>
      <c r="AD12">
        <v>19</v>
      </c>
      <c r="AE12">
        <v>10693.199999999999</v>
      </c>
      <c r="AF12">
        <v>17</v>
      </c>
      <c r="AG12">
        <v>9567.5999999999985</v>
      </c>
      <c r="AH12">
        <v>15</v>
      </c>
      <c r="AI12">
        <v>8442</v>
      </c>
      <c r="AJ12">
        <v>4</v>
      </c>
      <c r="AK12">
        <v>2251.1999999999998</v>
      </c>
      <c r="AL12">
        <v>5</v>
      </c>
      <c r="AM12">
        <v>2814</v>
      </c>
      <c r="AN12">
        <v>4</v>
      </c>
      <c r="AO12">
        <v>2251.1999999999998</v>
      </c>
      <c r="AP12">
        <v>5</v>
      </c>
      <c r="AQ12">
        <v>2814</v>
      </c>
      <c r="AR12">
        <v>52</v>
      </c>
      <c r="AS12">
        <v>29265.599999999999</v>
      </c>
      <c r="AT12">
        <v>60</v>
      </c>
      <c r="AU12">
        <v>33768</v>
      </c>
      <c r="AV12">
        <v>40</v>
      </c>
      <c r="AW12">
        <v>22512</v>
      </c>
      <c r="AX12">
        <v>46</v>
      </c>
      <c r="AY12">
        <v>25888.799999999999</v>
      </c>
      <c r="AZ12">
        <v>18</v>
      </c>
      <c r="BA12">
        <v>10130.4</v>
      </c>
      <c r="BB12">
        <v>15</v>
      </c>
      <c r="BC12">
        <v>8442</v>
      </c>
      <c r="BD12">
        <v>19</v>
      </c>
      <c r="BE12">
        <v>10693.199999999999</v>
      </c>
      <c r="BF12">
        <v>15</v>
      </c>
      <c r="BG12">
        <v>8442</v>
      </c>
      <c r="BH12">
        <v>3</v>
      </c>
      <c r="BI12">
        <v>1688.3999999999999</v>
      </c>
      <c r="BJ12">
        <v>5</v>
      </c>
      <c r="BK12">
        <v>2814</v>
      </c>
      <c r="BL12">
        <v>4</v>
      </c>
      <c r="BM12">
        <v>2251.1999999999998</v>
      </c>
      <c r="BN12">
        <v>4</v>
      </c>
      <c r="BO12">
        <v>2251.1999999999998</v>
      </c>
      <c r="BP12">
        <v>6</v>
      </c>
      <c r="BQ12">
        <v>3376.7999999999997</v>
      </c>
      <c r="BR12">
        <v>5</v>
      </c>
      <c r="BS12">
        <v>2814</v>
      </c>
      <c r="BT12">
        <v>9</v>
      </c>
      <c r="BU12">
        <v>5065.2</v>
      </c>
      <c r="BV12">
        <v>5</v>
      </c>
      <c r="BW12">
        <v>2814</v>
      </c>
      <c r="BX12">
        <v>12</v>
      </c>
      <c r="BY12">
        <v>6753.5999999999995</v>
      </c>
      <c r="BZ12">
        <v>12</v>
      </c>
      <c r="CA12">
        <v>6753.5999999999995</v>
      </c>
      <c r="CB12">
        <v>15</v>
      </c>
      <c r="CC12">
        <v>8442</v>
      </c>
      <c r="CD12">
        <v>12</v>
      </c>
      <c r="CE12">
        <v>6753.5999999999995</v>
      </c>
      <c r="CF12">
        <v>9</v>
      </c>
      <c r="CG12">
        <v>5065.2</v>
      </c>
      <c r="CH12">
        <v>8</v>
      </c>
      <c r="CI12">
        <v>4502.3999999999996</v>
      </c>
      <c r="CJ12">
        <v>8</v>
      </c>
      <c r="CK12">
        <v>4502.3999999999996</v>
      </c>
      <c r="CL12">
        <v>10</v>
      </c>
      <c r="CM12">
        <v>5628</v>
      </c>
      <c r="CN12">
        <v>8</v>
      </c>
      <c r="CO12">
        <v>4502.3999999999996</v>
      </c>
      <c r="CP12">
        <v>13</v>
      </c>
      <c r="CQ12">
        <v>7316.4</v>
      </c>
      <c r="CR12">
        <v>11</v>
      </c>
      <c r="CS12">
        <v>6190.7999999999993</v>
      </c>
      <c r="CT12">
        <v>9</v>
      </c>
      <c r="CU12">
        <v>5065.2</v>
      </c>
    </row>
    <row r="13" spans="1:99" x14ac:dyDescent="0.2">
      <c r="C13" s="116" t="s">
        <v>179</v>
      </c>
      <c r="D13">
        <v>21</v>
      </c>
      <c r="E13">
        <v>1789.2</v>
      </c>
      <c r="F13">
        <v>19</v>
      </c>
      <c r="G13">
        <v>1618.8</v>
      </c>
      <c r="H13">
        <v>32</v>
      </c>
      <c r="I13">
        <v>2726.4</v>
      </c>
      <c r="J13">
        <v>20</v>
      </c>
      <c r="K13">
        <v>1704</v>
      </c>
      <c r="L13">
        <v>5</v>
      </c>
      <c r="M13">
        <v>426</v>
      </c>
      <c r="N13">
        <v>9</v>
      </c>
      <c r="O13">
        <v>766.80000000000007</v>
      </c>
      <c r="P13">
        <v>6</v>
      </c>
      <c r="Q13">
        <v>511.20000000000005</v>
      </c>
      <c r="R13">
        <v>9</v>
      </c>
      <c r="S13">
        <v>766.80000000000007</v>
      </c>
      <c r="T13">
        <v>22</v>
      </c>
      <c r="U13">
        <v>1874.4</v>
      </c>
      <c r="V13">
        <v>19</v>
      </c>
      <c r="W13">
        <v>1618.8</v>
      </c>
      <c r="X13">
        <v>25</v>
      </c>
      <c r="Y13">
        <v>2130</v>
      </c>
      <c r="Z13">
        <v>20</v>
      </c>
      <c r="AA13">
        <v>1704</v>
      </c>
      <c r="AB13">
        <v>13</v>
      </c>
      <c r="AC13">
        <v>1107.6000000000001</v>
      </c>
      <c r="AD13">
        <v>22</v>
      </c>
      <c r="AE13">
        <v>1874.4</v>
      </c>
      <c r="AF13">
        <v>21</v>
      </c>
      <c r="AG13">
        <v>1789.2</v>
      </c>
      <c r="AH13">
        <v>19</v>
      </c>
      <c r="AI13">
        <v>1618.8</v>
      </c>
      <c r="AJ13">
        <v>4</v>
      </c>
      <c r="AK13">
        <v>340.8</v>
      </c>
      <c r="AL13">
        <v>5</v>
      </c>
      <c r="AM13">
        <v>426</v>
      </c>
      <c r="AN13">
        <v>4</v>
      </c>
      <c r="AO13">
        <v>340.8</v>
      </c>
      <c r="AP13">
        <v>7</v>
      </c>
      <c r="AQ13">
        <v>596.4</v>
      </c>
      <c r="AR13">
        <v>58</v>
      </c>
      <c r="AS13">
        <v>4941.6000000000004</v>
      </c>
      <c r="AT13">
        <v>57</v>
      </c>
      <c r="AU13">
        <v>4856.4000000000005</v>
      </c>
      <c r="AV13">
        <v>43</v>
      </c>
      <c r="AW13">
        <v>3663.6</v>
      </c>
      <c r="AX13">
        <v>51</v>
      </c>
      <c r="AY13">
        <v>4345.2</v>
      </c>
      <c r="AZ13">
        <v>20</v>
      </c>
      <c r="BA13">
        <v>1704</v>
      </c>
      <c r="BB13">
        <v>17</v>
      </c>
      <c r="BC13">
        <v>1448.4</v>
      </c>
      <c r="BD13">
        <v>18</v>
      </c>
      <c r="BE13">
        <v>1533.6000000000001</v>
      </c>
      <c r="BF13">
        <v>17</v>
      </c>
      <c r="BG13">
        <v>1448.4</v>
      </c>
      <c r="BH13">
        <v>4</v>
      </c>
      <c r="BI13">
        <v>340.8</v>
      </c>
      <c r="BJ13">
        <v>5</v>
      </c>
      <c r="BK13">
        <v>426</v>
      </c>
      <c r="BL13">
        <v>4</v>
      </c>
      <c r="BM13">
        <v>340.8</v>
      </c>
      <c r="BN13">
        <v>4</v>
      </c>
      <c r="BO13">
        <v>340.8</v>
      </c>
      <c r="BP13">
        <v>6</v>
      </c>
      <c r="BQ13">
        <v>511.20000000000005</v>
      </c>
      <c r="BR13">
        <v>5</v>
      </c>
      <c r="BS13">
        <v>426</v>
      </c>
      <c r="BT13">
        <v>8</v>
      </c>
      <c r="BU13">
        <v>681.6</v>
      </c>
      <c r="BV13">
        <v>6</v>
      </c>
      <c r="BW13">
        <v>511.20000000000005</v>
      </c>
      <c r="BX13">
        <v>13</v>
      </c>
      <c r="BY13">
        <v>1107.6000000000001</v>
      </c>
      <c r="BZ13">
        <v>15</v>
      </c>
      <c r="CA13">
        <v>1278</v>
      </c>
      <c r="CB13">
        <v>15</v>
      </c>
      <c r="CC13">
        <v>1278</v>
      </c>
      <c r="CD13">
        <v>13</v>
      </c>
      <c r="CE13">
        <v>1107.6000000000001</v>
      </c>
      <c r="CF13">
        <v>9</v>
      </c>
      <c r="CG13">
        <v>766.80000000000007</v>
      </c>
      <c r="CH13">
        <v>8</v>
      </c>
      <c r="CI13">
        <v>681.6</v>
      </c>
      <c r="CJ13">
        <v>8</v>
      </c>
      <c r="CK13">
        <v>681.6</v>
      </c>
      <c r="CL13">
        <v>10</v>
      </c>
      <c r="CM13">
        <v>852</v>
      </c>
      <c r="CN13">
        <v>8</v>
      </c>
      <c r="CO13">
        <v>681.6</v>
      </c>
      <c r="CP13">
        <v>14</v>
      </c>
      <c r="CQ13">
        <v>1192.8</v>
      </c>
      <c r="CR13">
        <v>14</v>
      </c>
      <c r="CS13">
        <v>1192.8</v>
      </c>
      <c r="CT13">
        <v>10</v>
      </c>
      <c r="CU13">
        <v>852</v>
      </c>
    </row>
    <row r="14" spans="1:99" x14ac:dyDescent="0.2">
      <c r="C14" s="116" t="s">
        <v>180</v>
      </c>
      <c r="D14">
        <v>20</v>
      </c>
      <c r="E14">
        <v>9768</v>
      </c>
      <c r="F14">
        <v>20</v>
      </c>
      <c r="G14">
        <v>9768</v>
      </c>
      <c r="H14">
        <v>26</v>
      </c>
      <c r="I14">
        <v>12698.4</v>
      </c>
      <c r="J14">
        <v>16</v>
      </c>
      <c r="K14">
        <v>7814.4</v>
      </c>
      <c r="L14">
        <v>5</v>
      </c>
      <c r="M14">
        <v>2442</v>
      </c>
      <c r="N14">
        <v>8</v>
      </c>
      <c r="O14">
        <v>3907.2</v>
      </c>
      <c r="P14">
        <v>5</v>
      </c>
      <c r="Q14">
        <v>2442</v>
      </c>
      <c r="R14">
        <v>8</v>
      </c>
      <c r="S14">
        <v>3907.2</v>
      </c>
      <c r="T14">
        <v>20</v>
      </c>
      <c r="U14">
        <v>9768</v>
      </c>
      <c r="V14">
        <v>15</v>
      </c>
      <c r="W14">
        <v>7326</v>
      </c>
      <c r="X14">
        <v>23</v>
      </c>
      <c r="Y14">
        <v>11233.199999999999</v>
      </c>
      <c r="Z14">
        <v>19</v>
      </c>
      <c r="AA14">
        <v>9279.6</v>
      </c>
      <c r="AB14">
        <v>12</v>
      </c>
      <c r="AC14">
        <v>5860.7999999999993</v>
      </c>
      <c r="AD14">
        <v>19</v>
      </c>
      <c r="AE14">
        <v>9279.6</v>
      </c>
      <c r="AF14">
        <v>20</v>
      </c>
      <c r="AG14">
        <v>9768</v>
      </c>
      <c r="AH14">
        <v>16</v>
      </c>
      <c r="AI14">
        <v>7814.4</v>
      </c>
      <c r="AJ14">
        <v>4</v>
      </c>
      <c r="AK14">
        <v>1953.6</v>
      </c>
      <c r="AL14">
        <v>5</v>
      </c>
      <c r="AM14">
        <v>2442</v>
      </c>
      <c r="AN14">
        <v>4</v>
      </c>
      <c r="AO14">
        <v>1953.6</v>
      </c>
      <c r="AP14">
        <v>5</v>
      </c>
      <c r="AQ14">
        <v>2442</v>
      </c>
      <c r="AR14">
        <v>57</v>
      </c>
      <c r="AS14">
        <v>27838.799999999999</v>
      </c>
      <c r="AT14">
        <v>60</v>
      </c>
      <c r="AU14">
        <v>29304</v>
      </c>
      <c r="AV14">
        <v>41</v>
      </c>
      <c r="AW14">
        <v>20024.399999999998</v>
      </c>
      <c r="AX14">
        <v>44</v>
      </c>
      <c r="AY14">
        <v>21489.599999999999</v>
      </c>
      <c r="AZ14">
        <v>20</v>
      </c>
      <c r="BA14">
        <v>9768</v>
      </c>
      <c r="BB14">
        <v>17</v>
      </c>
      <c r="BC14">
        <v>8302.7999999999993</v>
      </c>
      <c r="BD14">
        <v>17</v>
      </c>
      <c r="BE14">
        <v>8302.7999999999993</v>
      </c>
      <c r="BF14">
        <v>15</v>
      </c>
      <c r="BG14">
        <v>7326</v>
      </c>
      <c r="BH14">
        <v>4</v>
      </c>
      <c r="BI14">
        <v>1953.6</v>
      </c>
      <c r="BJ14">
        <v>4</v>
      </c>
      <c r="BK14">
        <v>1953.6</v>
      </c>
      <c r="BL14">
        <v>4</v>
      </c>
      <c r="BM14">
        <v>1953.6</v>
      </c>
      <c r="BN14">
        <v>4</v>
      </c>
      <c r="BO14">
        <v>1953.6</v>
      </c>
      <c r="BP14">
        <v>5</v>
      </c>
      <c r="BQ14">
        <v>2442</v>
      </c>
      <c r="BR14">
        <v>5</v>
      </c>
      <c r="BS14">
        <v>2442</v>
      </c>
      <c r="BT14">
        <v>8</v>
      </c>
      <c r="BU14">
        <v>3907.2</v>
      </c>
      <c r="BV14">
        <v>6</v>
      </c>
      <c r="BW14">
        <v>2930.3999999999996</v>
      </c>
      <c r="BX14">
        <v>13</v>
      </c>
      <c r="BY14">
        <v>6349.2</v>
      </c>
      <c r="BZ14">
        <v>13</v>
      </c>
      <c r="CA14">
        <v>6349.2</v>
      </c>
      <c r="CB14">
        <v>14</v>
      </c>
      <c r="CC14">
        <v>6837.5999999999995</v>
      </c>
      <c r="CD14">
        <v>11</v>
      </c>
      <c r="CE14">
        <v>5372.4</v>
      </c>
      <c r="CF14">
        <v>9</v>
      </c>
      <c r="CG14">
        <v>4395.5999999999995</v>
      </c>
      <c r="CH14">
        <v>7</v>
      </c>
      <c r="CI14">
        <v>3418.7999999999997</v>
      </c>
      <c r="CJ14">
        <v>8</v>
      </c>
      <c r="CK14">
        <v>3907.2</v>
      </c>
      <c r="CL14">
        <v>11</v>
      </c>
      <c r="CM14">
        <v>5372.4</v>
      </c>
      <c r="CN14">
        <v>9</v>
      </c>
      <c r="CO14">
        <v>4395.5999999999995</v>
      </c>
      <c r="CP14">
        <v>12</v>
      </c>
      <c r="CQ14">
        <v>5860.7999999999993</v>
      </c>
      <c r="CR14">
        <v>14</v>
      </c>
      <c r="CS14">
        <v>6837.5999999999995</v>
      </c>
      <c r="CT14">
        <v>9</v>
      </c>
      <c r="CU14">
        <v>4395.5999999999995</v>
      </c>
    </row>
    <row r="15" spans="1:99" x14ac:dyDescent="0.2">
      <c r="C15" s="116" t="s">
        <v>181</v>
      </c>
      <c r="D15">
        <v>22</v>
      </c>
      <c r="E15">
        <v>16790.399999999998</v>
      </c>
      <c r="F15">
        <v>19</v>
      </c>
      <c r="G15">
        <v>14500.8</v>
      </c>
      <c r="H15">
        <v>26</v>
      </c>
      <c r="I15">
        <v>19843.199999999997</v>
      </c>
      <c r="J15">
        <v>15</v>
      </c>
      <c r="K15">
        <v>11447.999999999998</v>
      </c>
      <c r="L15">
        <v>5</v>
      </c>
      <c r="M15">
        <v>3815.9999999999995</v>
      </c>
      <c r="N15">
        <v>8</v>
      </c>
      <c r="O15">
        <v>6105.5999999999995</v>
      </c>
      <c r="P15">
        <v>6</v>
      </c>
      <c r="Q15">
        <v>4579.2</v>
      </c>
      <c r="R15">
        <v>8</v>
      </c>
      <c r="S15">
        <v>6105.5999999999995</v>
      </c>
      <c r="T15">
        <v>19</v>
      </c>
      <c r="U15">
        <v>14500.8</v>
      </c>
      <c r="V15">
        <v>17</v>
      </c>
      <c r="W15">
        <v>12974.4</v>
      </c>
      <c r="X15">
        <v>21</v>
      </c>
      <c r="Y15">
        <v>16027.199999999999</v>
      </c>
      <c r="Z15">
        <v>20</v>
      </c>
      <c r="AA15">
        <v>15263.999999999998</v>
      </c>
      <c r="AB15">
        <v>12</v>
      </c>
      <c r="AC15">
        <v>9158.4</v>
      </c>
      <c r="AD15">
        <v>19</v>
      </c>
      <c r="AE15">
        <v>14500.8</v>
      </c>
      <c r="AF15">
        <v>17</v>
      </c>
      <c r="AG15">
        <v>12974.4</v>
      </c>
      <c r="AH15">
        <v>15</v>
      </c>
      <c r="AI15">
        <v>11447.999999999998</v>
      </c>
      <c r="AJ15">
        <v>4</v>
      </c>
      <c r="AK15">
        <v>3052.7999999999997</v>
      </c>
      <c r="AL15">
        <v>4</v>
      </c>
      <c r="AM15">
        <v>3052.7999999999997</v>
      </c>
      <c r="AN15">
        <v>4</v>
      </c>
      <c r="AO15">
        <v>3052.7999999999997</v>
      </c>
      <c r="AP15">
        <v>6</v>
      </c>
      <c r="AQ15">
        <v>4579.2</v>
      </c>
      <c r="AR15">
        <v>49</v>
      </c>
      <c r="AS15">
        <v>37396.799999999996</v>
      </c>
      <c r="AT15">
        <v>56</v>
      </c>
      <c r="AU15">
        <v>42739.199999999997</v>
      </c>
      <c r="AV15">
        <v>41</v>
      </c>
      <c r="AW15">
        <v>31291.199999999997</v>
      </c>
      <c r="AX15">
        <v>44</v>
      </c>
      <c r="AY15">
        <v>33580.799999999996</v>
      </c>
      <c r="AZ15">
        <v>19</v>
      </c>
      <c r="BA15">
        <v>14500.8</v>
      </c>
      <c r="BB15">
        <v>15</v>
      </c>
      <c r="BC15">
        <v>11447.999999999998</v>
      </c>
      <c r="BD15">
        <v>16</v>
      </c>
      <c r="BE15">
        <v>12211.199999999999</v>
      </c>
      <c r="BF15">
        <v>15</v>
      </c>
      <c r="BG15">
        <v>11447.999999999998</v>
      </c>
      <c r="BH15">
        <v>3</v>
      </c>
      <c r="BI15">
        <v>2289.6</v>
      </c>
      <c r="BJ15">
        <v>4</v>
      </c>
      <c r="BK15">
        <v>3052.7999999999997</v>
      </c>
      <c r="BL15">
        <v>4</v>
      </c>
      <c r="BM15">
        <v>3052.7999999999997</v>
      </c>
      <c r="BN15">
        <v>4</v>
      </c>
      <c r="BO15">
        <v>3052.7999999999997</v>
      </c>
      <c r="BP15">
        <v>6</v>
      </c>
      <c r="BQ15">
        <v>4579.2</v>
      </c>
      <c r="BR15">
        <v>5</v>
      </c>
      <c r="BS15">
        <v>3815.9999999999995</v>
      </c>
      <c r="BT15">
        <v>9</v>
      </c>
      <c r="BU15">
        <v>6868.7999999999993</v>
      </c>
      <c r="BV15">
        <v>5</v>
      </c>
      <c r="BW15">
        <v>3815.9999999999995</v>
      </c>
      <c r="BX15">
        <v>12</v>
      </c>
      <c r="BY15">
        <v>9158.4</v>
      </c>
      <c r="BZ15">
        <v>13</v>
      </c>
      <c r="CA15">
        <v>9921.5999999999985</v>
      </c>
      <c r="CB15">
        <v>14</v>
      </c>
      <c r="CC15">
        <v>10684.8</v>
      </c>
      <c r="CD15">
        <v>11</v>
      </c>
      <c r="CE15">
        <v>8395.1999999999989</v>
      </c>
      <c r="CF15">
        <v>9</v>
      </c>
      <c r="CG15">
        <v>6868.7999999999993</v>
      </c>
      <c r="CH15">
        <v>8</v>
      </c>
      <c r="CI15">
        <v>6105.5999999999995</v>
      </c>
      <c r="CJ15">
        <v>8</v>
      </c>
      <c r="CK15">
        <v>6105.5999999999995</v>
      </c>
      <c r="CL15">
        <v>10</v>
      </c>
      <c r="CM15">
        <v>7631.9999999999991</v>
      </c>
      <c r="CN15">
        <v>8</v>
      </c>
      <c r="CO15">
        <v>6105.5999999999995</v>
      </c>
      <c r="CP15">
        <v>14</v>
      </c>
      <c r="CQ15">
        <v>10684.8</v>
      </c>
      <c r="CR15">
        <v>14</v>
      </c>
      <c r="CS15">
        <v>10684.8</v>
      </c>
      <c r="CT15">
        <v>9</v>
      </c>
      <c r="CU15">
        <v>6868.7999999999993</v>
      </c>
    </row>
    <row r="16" spans="1:99" x14ac:dyDescent="0.2">
      <c r="C16" s="116" t="s">
        <v>182</v>
      </c>
      <c r="D16">
        <v>21</v>
      </c>
      <c r="E16">
        <v>7156.8</v>
      </c>
      <c r="F16">
        <v>21</v>
      </c>
      <c r="G16">
        <v>7156.8</v>
      </c>
      <c r="H16">
        <v>29</v>
      </c>
      <c r="I16">
        <v>9883.2000000000007</v>
      </c>
      <c r="J16">
        <v>18</v>
      </c>
      <c r="K16">
        <v>6134.4000000000005</v>
      </c>
      <c r="L16">
        <v>5</v>
      </c>
      <c r="M16">
        <v>1704</v>
      </c>
      <c r="N16">
        <v>9</v>
      </c>
      <c r="O16">
        <v>3067.2000000000003</v>
      </c>
      <c r="P16">
        <v>6</v>
      </c>
      <c r="Q16">
        <v>2044.8000000000002</v>
      </c>
      <c r="R16">
        <v>10</v>
      </c>
      <c r="S16">
        <v>3408</v>
      </c>
      <c r="T16">
        <v>20</v>
      </c>
      <c r="U16">
        <v>6816</v>
      </c>
      <c r="V16">
        <v>17</v>
      </c>
      <c r="W16">
        <v>5793.6</v>
      </c>
      <c r="X16">
        <v>25</v>
      </c>
      <c r="Y16">
        <v>8520</v>
      </c>
      <c r="Z16">
        <v>19</v>
      </c>
      <c r="AA16">
        <v>6475.2</v>
      </c>
      <c r="AB16">
        <v>13</v>
      </c>
      <c r="AC16">
        <v>4430.4000000000005</v>
      </c>
      <c r="AD16">
        <v>20</v>
      </c>
      <c r="AE16">
        <v>6816</v>
      </c>
      <c r="AF16">
        <v>18</v>
      </c>
      <c r="AG16">
        <v>6134.4000000000005</v>
      </c>
      <c r="AH16">
        <v>18</v>
      </c>
      <c r="AI16">
        <v>6134.4000000000005</v>
      </c>
      <c r="AJ16">
        <v>4</v>
      </c>
      <c r="AK16">
        <v>1363.2</v>
      </c>
      <c r="AL16">
        <v>5</v>
      </c>
      <c r="AM16">
        <v>1704</v>
      </c>
      <c r="AN16">
        <v>4</v>
      </c>
      <c r="AO16">
        <v>1363.2</v>
      </c>
      <c r="AP16">
        <v>6</v>
      </c>
      <c r="AQ16">
        <v>2044.8000000000002</v>
      </c>
      <c r="AR16">
        <v>57</v>
      </c>
      <c r="AS16">
        <v>19425.600000000002</v>
      </c>
      <c r="AT16">
        <v>58</v>
      </c>
      <c r="AU16">
        <v>19766.400000000001</v>
      </c>
      <c r="AV16">
        <v>42</v>
      </c>
      <c r="AW16">
        <v>14313.6</v>
      </c>
      <c r="AX16">
        <v>46</v>
      </c>
      <c r="AY16">
        <v>15676.800000000001</v>
      </c>
      <c r="AZ16">
        <v>19</v>
      </c>
      <c r="BA16">
        <v>6475.2</v>
      </c>
      <c r="BB16">
        <v>18</v>
      </c>
      <c r="BC16">
        <v>6134.4000000000005</v>
      </c>
      <c r="BD16">
        <v>18</v>
      </c>
      <c r="BE16">
        <v>6134.4000000000005</v>
      </c>
      <c r="BF16">
        <v>15</v>
      </c>
      <c r="BG16">
        <v>5112</v>
      </c>
      <c r="BH16">
        <v>4</v>
      </c>
      <c r="BI16">
        <v>1363.2</v>
      </c>
      <c r="BJ16">
        <v>5</v>
      </c>
      <c r="BK16">
        <v>1704</v>
      </c>
      <c r="BL16">
        <v>4</v>
      </c>
      <c r="BM16">
        <v>1363.2</v>
      </c>
      <c r="BN16">
        <v>4</v>
      </c>
      <c r="BO16">
        <v>1363.2</v>
      </c>
      <c r="BP16">
        <v>6</v>
      </c>
      <c r="BQ16">
        <v>2044.8000000000002</v>
      </c>
      <c r="BR16">
        <v>5</v>
      </c>
      <c r="BS16">
        <v>1704</v>
      </c>
      <c r="BT16">
        <v>9</v>
      </c>
      <c r="BU16">
        <v>3067.2000000000003</v>
      </c>
      <c r="BV16">
        <v>7</v>
      </c>
      <c r="BW16">
        <v>2385.6</v>
      </c>
      <c r="BX16">
        <v>12</v>
      </c>
      <c r="BY16">
        <v>4089.6000000000004</v>
      </c>
      <c r="BZ16">
        <v>13</v>
      </c>
      <c r="CA16">
        <v>4430.4000000000005</v>
      </c>
      <c r="CB16">
        <v>14</v>
      </c>
      <c r="CC16">
        <v>4771.2</v>
      </c>
      <c r="CD16">
        <v>12</v>
      </c>
      <c r="CE16">
        <v>4089.6000000000004</v>
      </c>
      <c r="CF16">
        <v>10</v>
      </c>
      <c r="CG16">
        <v>3408</v>
      </c>
      <c r="CH16">
        <v>8</v>
      </c>
      <c r="CI16">
        <v>2726.4</v>
      </c>
      <c r="CJ16">
        <v>7</v>
      </c>
      <c r="CK16">
        <v>2385.6</v>
      </c>
      <c r="CL16">
        <v>11</v>
      </c>
      <c r="CM16">
        <v>3748.8</v>
      </c>
      <c r="CN16">
        <v>8</v>
      </c>
      <c r="CO16">
        <v>2726.4</v>
      </c>
      <c r="CP16">
        <v>14</v>
      </c>
      <c r="CQ16">
        <v>4771.2</v>
      </c>
      <c r="CR16">
        <v>13</v>
      </c>
      <c r="CS16">
        <v>4430.4000000000005</v>
      </c>
      <c r="CT16">
        <v>9</v>
      </c>
      <c r="CU16">
        <v>3067.2000000000003</v>
      </c>
    </row>
    <row r="17" spans="2:99" x14ac:dyDescent="0.2">
      <c r="C17" s="116" t="s">
        <v>183</v>
      </c>
      <c r="D17">
        <v>20</v>
      </c>
      <c r="E17">
        <v>8448</v>
      </c>
      <c r="F17">
        <v>20</v>
      </c>
      <c r="G17">
        <v>8448</v>
      </c>
      <c r="H17">
        <v>27</v>
      </c>
      <c r="I17">
        <v>11404.8</v>
      </c>
      <c r="J17">
        <v>18</v>
      </c>
      <c r="K17">
        <v>7603.2</v>
      </c>
      <c r="L17">
        <v>4</v>
      </c>
      <c r="M17">
        <v>1689.6</v>
      </c>
      <c r="N17">
        <v>9</v>
      </c>
      <c r="O17">
        <v>3801.6</v>
      </c>
      <c r="P17">
        <v>6</v>
      </c>
      <c r="Q17">
        <v>2534.3999999999996</v>
      </c>
      <c r="R17">
        <v>9</v>
      </c>
      <c r="S17">
        <v>3801.6</v>
      </c>
      <c r="T17">
        <v>19</v>
      </c>
      <c r="U17">
        <v>8025.5999999999995</v>
      </c>
      <c r="V17">
        <v>17</v>
      </c>
      <c r="W17">
        <v>7180.7999999999993</v>
      </c>
      <c r="X17">
        <v>24</v>
      </c>
      <c r="Y17">
        <v>10137.599999999999</v>
      </c>
      <c r="Z17">
        <v>21</v>
      </c>
      <c r="AA17">
        <v>8870.4</v>
      </c>
      <c r="AB17">
        <v>11</v>
      </c>
      <c r="AC17">
        <v>4646.3999999999996</v>
      </c>
      <c r="AD17">
        <v>19</v>
      </c>
      <c r="AE17">
        <v>8025.5999999999995</v>
      </c>
      <c r="AF17">
        <v>19</v>
      </c>
      <c r="AG17">
        <v>8025.5999999999995</v>
      </c>
      <c r="AH17">
        <v>18</v>
      </c>
      <c r="AI17">
        <v>7603.2</v>
      </c>
      <c r="AJ17">
        <v>4</v>
      </c>
      <c r="AK17">
        <v>1689.6</v>
      </c>
      <c r="AL17">
        <v>5</v>
      </c>
      <c r="AM17">
        <v>2112</v>
      </c>
      <c r="AN17">
        <v>4</v>
      </c>
      <c r="AO17">
        <v>1689.6</v>
      </c>
      <c r="AP17">
        <v>6</v>
      </c>
      <c r="AQ17">
        <v>2534.3999999999996</v>
      </c>
      <c r="AR17">
        <v>55</v>
      </c>
      <c r="AS17">
        <v>23232</v>
      </c>
      <c r="AT17">
        <v>56</v>
      </c>
      <c r="AU17">
        <v>23654.399999999998</v>
      </c>
      <c r="AV17">
        <v>39</v>
      </c>
      <c r="AW17">
        <v>16473.599999999999</v>
      </c>
      <c r="AX17">
        <v>44</v>
      </c>
      <c r="AY17">
        <v>18585.599999999999</v>
      </c>
      <c r="AZ17">
        <v>17</v>
      </c>
      <c r="BA17">
        <v>7180.7999999999993</v>
      </c>
      <c r="BB17">
        <v>15</v>
      </c>
      <c r="BC17">
        <v>6336</v>
      </c>
      <c r="BD17">
        <v>18</v>
      </c>
      <c r="BE17">
        <v>7603.2</v>
      </c>
      <c r="BF17">
        <v>17</v>
      </c>
      <c r="BG17">
        <v>7180.7999999999993</v>
      </c>
      <c r="BH17">
        <v>3</v>
      </c>
      <c r="BI17">
        <v>1267.1999999999998</v>
      </c>
      <c r="BJ17">
        <v>5</v>
      </c>
      <c r="BK17">
        <v>2112</v>
      </c>
      <c r="BL17">
        <v>4</v>
      </c>
      <c r="BM17">
        <v>1689.6</v>
      </c>
      <c r="BN17">
        <v>5</v>
      </c>
      <c r="BO17">
        <v>2112</v>
      </c>
      <c r="BP17">
        <v>6</v>
      </c>
      <c r="BQ17">
        <v>2534.3999999999996</v>
      </c>
      <c r="BR17">
        <v>5</v>
      </c>
      <c r="BS17">
        <v>2112</v>
      </c>
      <c r="BT17">
        <v>9</v>
      </c>
      <c r="BU17">
        <v>3801.6</v>
      </c>
      <c r="BV17">
        <v>6</v>
      </c>
      <c r="BW17">
        <v>2534.3999999999996</v>
      </c>
      <c r="BX17">
        <v>12</v>
      </c>
      <c r="BY17">
        <v>5068.7999999999993</v>
      </c>
      <c r="BZ17">
        <v>14</v>
      </c>
      <c r="CA17">
        <v>5913.5999999999995</v>
      </c>
      <c r="CB17">
        <v>14</v>
      </c>
      <c r="CC17">
        <v>5913.5999999999995</v>
      </c>
      <c r="CD17">
        <v>11</v>
      </c>
      <c r="CE17">
        <v>4646.3999999999996</v>
      </c>
      <c r="CF17">
        <v>9</v>
      </c>
      <c r="CG17">
        <v>3801.6</v>
      </c>
      <c r="CH17">
        <v>7</v>
      </c>
      <c r="CI17">
        <v>2956.7999999999997</v>
      </c>
      <c r="CJ17">
        <v>7</v>
      </c>
      <c r="CK17">
        <v>2956.7999999999997</v>
      </c>
      <c r="CL17">
        <v>9</v>
      </c>
      <c r="CM17">
        <v>3801.6</v>
      </c>
      <c r="CN17">
        <v>9</v>
      </c>
      <c r="CO17">
        <v>3801.6</v>
      </c>
      <c r="CP17">
        <v>13</v>
      </c>
      <c r="CQ17">
        <v>5491.2</v>
      </c>
      <c r="CR17">
        <v>13</v>
      </c>
      <c r="CS17">
        <v>5491.2</v>
      </c>
      <c r="CT17">
        <v>9</v>
      </c>
      <c r="CU17">
        <v>3801.6</v>
      </c>
    </row>
    <row r="18" spans="2:99" x14ac:dyDescent="0.2">
      <c r="C18" s="116" t="s">
        <v>184</v>
      </c>
      <c r="D18">
        <v>22</v>
      </c>
      <c r="E18">
        <v>14361.599999999999</v>
      </c>
      <c r="F18">
        <v>20</v>
      </c>
      <c r="G18">
        <v>13056</v>
      </c>
      <c r="H18">
        <v>27</v>
      </c>
      <c r="I18">
        <v>17625.599999999999</v>
      </c>
      <c r="J18">
        <v>18</v>
      </c>
      <c r="K18">
        <v>11750.4</v>
      </c>
      <c r="L18">
        <v>4</v>
      </c>
      <c r="M18">
        <v>2611.1999999999998</v>
      </c>
      <c r="N18">
        <v>8</v>
      </c>
      <c r="O18">
        <v>5222.3999999999996</v>
      </c>
      <c r="P18">
        <v>6</v>
      </c>
      <c r="Q18">
        <v>3916.7999999999997</v>
      </c>
      <c r="R18">
        <v>8</v>
      </c>
      <c r="S18">
        <v>5222.3999999999996</v>
      </c>
      <c r="T18">
        <v>21</v>
      </c>
      <c r="U18">
        <v>13708.8</v>
      </c>
      <c r="V18">
        <v>17</v>
      </c>
      <c r="W18">
        <v>11097.599999999999</v>
      </c>
      <c r="X18">
        <v>21</v>
      </c>
      <c r="Y18">
        <v>13708.8</v>
      </c>
      <c r="Z18">
        <v>21</v>
      </c>
      <c r="AA18">
        <v>13708.8</v>
      </c>
      <c r="AB18">
        <v>11</v>
      </c>
      <c r="AC18">
        <v>7180.7999999999993</v>
      </c>
      <c r="AD18">
        <v>18</v>
      </c>
      <c r="AE18">
        <v>11750.4</v>
      </c>
      <c r="AF18">
        <v>17</v>
      </c>
      <c r="AG18">
        <v>11097.599999999999</v>
      </c>
      <c r="AH18">
        <v>17</v>
      </c>
      <c r="AI18">
        <v>11097.599999999999</v>
      </c>
      <c r="AJ18">
        <v>4</v>
      </c>
      <c r="AK18">
        <v>2611.1999999999998</v>
      </c>
      <c r="AL18">
        <v>5</v>
      </c>
      <c r="AM18">
        <v>3264</v>
      </c>
      <c r="AN18">
        <v>4</v>
      </c>
      <c r="AO18">
        <v>2611.1999999999998</v>
      </c>
      <c r="AP18">
        <v>6</v>
      </c>
      <c r="AQ18">
        <v>3916.7999999999997</v>
      </c>
      <c r="AR18">
        <v>55</v>
      </c>
      <c r="AS18">
        <v>35904</v>
      </c>
      <c r="AT18">
        <v>58</v>
      </c>
      <c r="AU18">
        <v>37862.399999999994</v>
      </c>
      <c r="AV18">
        <v>36</v>
      </c>
      <c r="AW18">
        <v>23500.799999999999</v>
      </c>
      <c r="AX18">
        <v>43</v>
      </c>
      <c r="AY18">
        <v>28070.399999999998</v>
      </c>
      <c r="AZ18">
        <v>17</v>
      </c>
      <c r="BA18">
        <v>11097.599999999999</v>
      </c>
      <c r="BB18">
        <v>17</v>
      </c>
      <c r="BC18">
        <v>11097.599999999999</v>
      </c>
      <c r="BD18">
        <v>19</v>
      </c>
      <c r="BE18">
        <v>12403.199999999999</v>
      </c>
      <c r="BF18">
        <v>15</v>
      </c>
      <c r="BG18">
        <v>9792</v>
      </c>
      <c r="BH18">
        <v>3</v>
      </c>
      <c r="BI18">
        <v>1958.3999999999999</v>
      </c>
      <c r="BJ18">
        <v>4</v>
      </c>
      <c r="BK18">
        <v>2611.1999999999998</v>
      </c>
      <c r="BL18">
        <v>4</v>
      </c>
      <c r="BM18">
        <v>2611.1999999999998</v>
      </c>
      <c r="BN18">
        <v>4</v>
      </c>
      <c r="BO18">
        <v>2611.1999999999998</v>
      </c>
      <c r="BP18">
        <v>5</v>
      </c>
      <c r="BQ18">
        <v>3264</v>
      </c>
      <c r="BR18">
        <v>4</v>
      </c>
      <c r="BS18">
        <v>2611.1999999999998</v>
      </c>
      <c r="BT18">
        <v>8</v>
      </c>
      <c r="BU18">
        <v>5222.3999999999996</v>
      </c>
      <c r="BV18">
        <v>5</v>
      </c>
      <c r="BW18">
        <v>3264</v>
      </c>
      <c r="BX18">
        <v>12</v>
      </c>
      <c r="BY18">
        <v>7833.5999999999995</v>
      </c>
      <c r="BZ18">
        <v>12</v>
      </c>
      <c r="CA18">
        <v>7833.5999999999995</v>
      </c>
      <c r="CB18">
        <v>16</v>
      </c>
      <c r="CC18">
        <v>10444.799999999999</v>
      </c>
      <c r="CD18">
        <v>13</v>
      </c>
      <c r="CE18">
        <v>8486.4</v>
      </c>
      <c r="CF18">
        <v>8</v>
      </c>
      <c r="CG18">
        <v>5222.3999999999996</v>
      </c>
      <c r="CH18">
        <v>8</v>
      </c>
      <c r="CI18">
        <v>5222.3999999999996</v>
      </c>
      <c r="CJ18">
        <v>7</v>
      </c>
      <c r="CK18">
        <v>4569.5999999999995</v>
      </c>
      <c r="CL18">
        <v>9</v>
      </c>
      <c r="CM18">
        <v>5875.2</v>
      </c>
      <c r="CN18">
        <v>9</v>
      </c>
      <c r="CO18">
        <v>5875.2</v>
      </c>
      <c r="CP18">
        <v>13</v>
      </c>
      <c r="CQ18">
        <v>8486.4</v>
      </c>
      <c r="CR18">
        <v>12</v>
      </c>
      <c r="CS18">
        <v>7833.5999999999995</v>
      </c>
      <c r="CT18">
        <v>9</v>
      </c>
      <c r="CU18">
        <v>5875.2</v>
      </c>
    </row>
    <row r="19" spans="2:99" x14ac:dyDescent="0.2">
      <c r="C19" s="116" t="s">
        <v>185</v>
      </c>
      <c r="D19">
        <v>20</v>
      </c>
      <c r="E19">
        <v>6600</v>
      </c>
      <c r="F19">
        <v>19</v>
      </c>
      <c r="G19">
        <v>6270</v>
      </c>
      <c r="H19">
        <v>27</v>
      </c>
      <c r="I19">
        <v>8910</v>
      </c>
      <c r="J19">
        <v>19</v>
      </c>
      <c r="K19">
        <v>6270</v>
      </c>
      <c r="L19">
        <v>5</v>
      </c>
      <c r="M19">
        <v>1650</v>
      </c>
      <c r="N19">
        <v>9</v>
      </c>
      <c r="O19">
        <v>2970</v>
      </c>
      <c r="P19">
        <v>6</v>
      </c>
      <c r="Q19">
        <v>1980</v>
      </c>
      <c r="R19">
        <v>10</v>
      </c>
      <c r="S19">
        <v>3300</v>
      </c>
      <c r="T19">
        <v>21</v>
      </c>
      <c r="U19">
        <v>6930</v>
      </c>
      <c r="V19">
        <v>16</v>
      </c>
      <c r="W19">
        <v>5280</v>
      </c>
      <c r="X19">
        <v>25</v>
      </c>
      <c r="Y19">
        <v>8250</v>
      </c>
      <c r="Z19">
        <v>21</v>
      </c>
      <c r="AA19">
        <v>6930</v>
      </c>
      <c r="AB19">
        <v>12</v>
      </c>
      <c r="AC19">
        <v>3960</v>
      </c>
      <c r="AD19">
        <v>22</v>
      </c>
      <c r="AE19">
        <v>7260</v>
      </c>
      <c r="AF19">
        <v>18</v>
      </c>
      <c r="AG19">
        <v>5940</v>
      </c>
      <c r="AH19">
        <v>17</v>
      </c>
      <c r="AI19">
        <v>5610</v>
      </c>
      <c r="AJ19">
        <v>4</v>
      </c>
      <c r="AK19">
        <v>1320</v>
      </c>
      <c r="AL19">
        <v>5</v>
      </c>
      <c r="AM19">
        <v>1650</v>
      </c>
      <c r="AN19">
        <v>4</v>
      </c>
      <c r="AO19">
        <v>1320</v>
      </c>
      <c r="AP19">
        <v>6</v>
      </c>
      <c r="AQ19">
        <v>1980</v>
      </c>
      <c r="AR19">
        <v>53</v>
      </c>
      <c r="AS19">
        <v>17490</v>
      </c>
      <c r="AT19">
        <v>56</v>
      </c>
      <c r="AU19">
        <v>18480</v>
      </c>
      <c r="AV19">
        <v>45</v>
      </c>
      <c r="AW19">
        <v>14850</v>
      </c>
      <c r="AX19">
        <v>43</v>
      </c>
      <c r="AY19">
        <v>14190</v>
      </c>
      <c r="AZ19">
        <v>20</v>
      </c>
      <c r="BA19">
        <v>6600</v>
      </c>
      <c r="BB19">
        <v>17</v>
      </c>
      <c r="BC19">
        <v>5610</v>
      </c>
      <c r="BD19">
        <v>18</v>
      </c>
      <c r="BE19">
        <v>5940</v>
      </c>
      <c r="BF19">
        <v>15</v>
      </c>
      <c r="BG19">
        <v>4950</v>
      </c>
      <c r="BH19">
        <v>4</v>
      </c>
      <c r="BI19">
        <v>1320</v>
      </c>
      <c r="BJ19">
        <v>4</v>
      </c>
      <c r="BK19">
        <v>1320</v>
      </c>
      <c r="BL19">
        <v>4</v>
      </c>
      <c r="BM19">
        <v>1320</v>
      </c>
      <c r="BN19">
        <v>5</v>
      </c>
      <c r="BO19">
        <v>1650</v>
      </c>
      <c r="BP19">
        <v>6</v>
      </c>
      <c r="BQ19">
        <v>1980</v>
      </c>
      <c r="BR19">
        <v>5</v>
      </c>
      <c r="BS19">
        <v>1650</v>
      </c>
      <c r="BT19">
        <v>8</v>
      </c>
      <c r="BU19">
        <v>2640</v>
      </c>
      <c r="BV19">
        <v>6</v>
      </c>
      <c r="BW19">
        <v>1980</v>
      </c>
      <c r="BX19">
        <v>14</v>
      </c>
      <c r="BY19">
        <v>4620</v>
      </c>
      <c r="BZ19">
        <v>12</v>
      </c>
      <c r="CA19">
        <v>3960</v>
      </c>
      <c r="CB19">
        <v>16</v>
      </c>
      <c r="CC19">
        <v>5280</v>
      </c>
      <c r="CD19">
        <v>13</v>
      </c>
      <c r="CE19">
        <v>4290</v>
      </c>
      <c r="CF19">
        <v>9</v>
      </c>
      <c r="CG19">
        <v>2970</v>
      </c>
      <c r="CH19">
        <v>7</v>
      </c>
      <c r="CI19">
        <v>2310</v>
      </c>
      <c r="CJ19">
        <v>7</v>
      </c>
      <c r="CK19">
        <v>2310</v>
      </c>
      <c r="CL19">
        <v>11</v>
      </c>
      <c r="CM19">
        <v>3630</v>
      </c>
      <c r="CN19">
        <v>9</v>
      </c>
      <c r="CO19">
        <v>2970</v>
      </c>
      <c r="CP19">
        <v>12</v>
      </c>
      <c r="CQ19">
        <v>3960</v>
      </c>
      <c r="CR19">
        <v>12</v>
      </c>
      <c r="CS19">
        <v>3960</v>
      </c>
      <c r="CT19">
        <v>10</v>
      </c>
      <c r="CU19">
        <v>3300</v>
      </c>
    </row>
    <row r="20" spans="2:99" x14ac:dyDescent="0.2">
      <c r="B20" s="116" t="s">
        <v>127</v>
      </c>
      <c r="C20" s="116" t="s">
        <v>186</v>
      </c>
      <c r="D20">
        <v>31</v>
      </c>
      <c r="E20">
        <v>8890.8000000000011</v>
      </c>
      <c r="F20">
        <v>31</v>
      </c>
      <c r="G20">
        <v>8890.8000000000011</v>
      </c>
      <c r="H20">
        <v>33</v>
      </c>
      <c r="I20">
        <v>9464.4</v>
      </c>
      <c r="J20">
        <v>33</v>
      </c>
      <c r="K20">
        <v>9464.4</v>
      </c>
      <c r="L20">
        <v>8</v>
      </c>
      <c r="M20">
        <v>2294.4</v>
      </c>
      <c r="N20">
        <v>13</v>
      </c>
      <c r="O20">
        <v>3728.4</v>
      </c>
      <c r="P20">
        <v>8</v>
      </c>
      <c r="Q20">
        <v>2294.4</v>
      </c>
      <c r="R20">
        <v>11</v>
      </c>
      <c r="S20">
        <v>3154.8</v>
      </c>
      <c r="T20">
        <v>29</v>
      </c>
      <c r="U20">
        <v>8317.2000000000007</v>
      </c>
      <c r="V20">
        <v>21</v>
      </c>
      <c r="W20">
        <v>6022.8</v>
      </c>
      <c r="X20">
        <v>26</v>
      </c>
      <c r="Y20">
        <v>7456.8</v>
      </c>
      <c r="Z20">
        <v>32</v>
      </c>
      <c r="AA20">
        <v>9177.6</v>
      </c>
      <c r="AB20">
        <v>10</v>
      </c>
      <c r="AC20">
        <v>2868</v>
      </c>
      <c r="AD20">
        <v>6</v>
      </c>
      <c r="AE20">
        <v>1720.8000000000002</v>
      </c>
      <c r="AF20">
        <v>6</v>
      </c>
      <c r="AG20">
        <v>1720.8000000000002</v>
      </c>
      <c r="AH20">
        <v>8</v>
      </c>
      <c r="AI20">
        <v>2294.4</v>
      </c>
      <c r="AJ20">
        <v>27</v>
      </c>
      <c r="AK20">
        <v>7743.6</v>
      </c>
      <c r="AL20">
        <v>19</v>
      </c>
      <c r="AM20">
        <v>5449.2</v>
      </c>
      <c r="AN20">
        <v>19</v>
      </c>
      <c r="AO20">
        <v>5449.2</v>
      </c>
      <c r="AP20">
        <v>26</v>
      </c>
      <c r="AQ20">
        <v>7456.8</v>
      </c>
      <c r="AR20">
        <v>13</v>
      </c>
      <c r="AS20">
        <v>3728.4</v>
      </c>
      <c r="AT20">
        <v>17</v>
      </c>
      <c r="AU20">
        <v>4875.6000000000004</v>
      </c>
      <c r="AV20">
        <v>25</v>
      </c>
      <c r="AW20">
        <v>7170</v>
      </c>
      <c r="AX20">
        <v>20</v>
      </c>
      <c r="AY20">
        <v>5736</v>
      </c>
      <c r="AZ20">
        <v>5</v>
      </c>
      <c r="BA20">
        <v>1434</v>
      </c>
      <c r="BB20">
        <v>5</v>
      </c>
      <c r="BC20">
        <v>1434</v>
      </c>
      <c r="BD20">
        <v>6</v>
      </c>
      <c r="BE20">
        <v>1720.8000000000002</v>
      </c>
      <c r="BF20">
        <v>7</v>
      </c>
      <c r="BG20">
        <v>2007.6000000000001</v>
      </c>
      <c r="BH20">
        <v>63</v>
      </c>
      <c r="BI20">
        <v>18068.400000000001</v>
      </c>
      <c r="BJ20">
        <v>99</v>
      </c>
      <c r="BK20">
        <v>28393.200000000001</v>
      </c>
      <c r="BL20">
        <v>73</v>
      </c>
      <c r="BM20">
        <v>20936.400000000001</v>
      </c>
      <c r="BN20">
        <v>69</v>
      </c>
      <c r="BO20">
        <v>19789.2</v>
      </c>
      <c r="BP20">
        <v>31</v>
      </c>
      <c r="BQ20">
        <v>8890.8000000000011</v>
      </c>
      <c r="BR20">
        <v>25</v>
      </c>
      <c r="BS20">
        <v>7170</v>
      </c>
      <c r="BT20">
        <v>40</v>
      </c>
      <c r="BU20">
        <v>11472</v>
      </c>
      <c r="BV20">
        <v>23</v>
      </c>
      <c r="BW20">
        <v>6596.4000000000005</v>
      </c>
      <c r="BX20">
        <v>12</v>
      </c>
      <c r="BY20">
        <v>3441.6000000000004</v>
      </c>
      <c r="BZ20">
        <v>8</v>
      </c>
      <c r="CA20">
        <v>2294.4</v>
      </c>
      <c r="CB20">
        <v>10</v>
      </c>
      <c r="CC20">
        <v>2868</v>
      </c>
      <c r="CD20">
        <v>11</v>
      </c>
      <c r="CE20">
        <v>3154.8</v>
      </c>
      <c r="CF20">
        <v>15</v>
      </c>
      <c r="CG20">
        <v>4302</v>
      </c>
      <c r="CH20">
        <v>32</v>
      </c>
      <c r="CI20">
        <v>9177.6</v>
      </c>
      <c r="CJ20">
        <v>20</v>
      </c>
      <c r="CK20">
        <v>5736</v>
      </c>
      <c r="CL20">
        <v>19</v>
      </c>
      <c r="CM20">
        <v>5449.2</v>
      </c>
      <c r="CN20">
        <v>12</v>
      </c>
      <c r="CO20">
        <v>3441.6000000000004</v>
      </c>
      <c r="CP20">
        <v>9</v>
      </c>
      <c r="CQ20">
        <v>2581.2000000000003</v>
      </c>
      <c r="CR20">
        <v>9</v>
      </c>
      <c r="CS20">
        <v>2581.2000000000003</v>
      </c>
      <c r="CT20">
        <v>9</v>
      </c>
      <c r="CU20">
        <v>2581.2000000000003</v>
      </c>
    </row>
    <row r="21" spans="2:99" x14ac:dyDescent="0.2">
      <c r="C21" s="116" t="s">
        <v>187</v>
      </c>
      <c r="D21">
        <v>30</v>
      </c>
      <c r="E21">
        <v>1872</v>
      </c>
      <c r="F21">
        <v>36</v>
      </c>
      <c r="G21">
        <v>2246.4</v>
      </c>
      <c r="H21">
        <v>36</v>
      </c>
      <c r="I21">
        <v>2246.4</v>
      </c>
      <c r="J21">
        <v>40</v>
      </c>
      <c r="K21">
        <v>2496</v>
      </c>
      <c r="L21">
        <v>8</v>
      </c>
      <c r="M21">
        <v>499.2</v>
      </c>
      <c r="N21">
        <v>12</v>
      </c>
      <c r="O21">
        <v>748.8</v>
      </c>
      <c r="P21">
        <v>8</v>
      </c>
      <c r="Q21">
        <v>499.2</v>
      </c>
      <c r="R21">
        <v>12</v>
      </c>
      <c r="S21">
        <v>748.8</v>
      </c>
      <c r="T21">
        <v>27</v>
      </c>
      <c r="U21">
        <v>1684.8</v>
      </c>
      <c r="V21">
        <v>19</v>
      </c>
      <c r="W21">
        <v>1185.5999999999999</v>
      </c>
      <c r="X21">
        <v>26</v>
      </c>
      <c r="Y21">
        <v>1622.3999999999999</v>
      </c>
      <c r="Z21">
        <v>34</v>
      </c>
      <c r="AA21">
        <v>2121.6</v>
      </c>
      <c r="AB21">
        <v>10</v>
      </c>
      <c r="AC21">
        <v>624</v>
      </c>
      <c r="AD21">
        <v>5</v>
      </c>
      <c r="AE21">
        <v>312</v>
      </c>
      <c r="AF21">
        <v>6</v>
      </c>
      <c r="AG21">
        <v>374.4</v>
      </c>
      <c r="AH21">
        <v>9</v>
      </c>
      <c r="AI21">
        <v>561.6</v>
      </c>
      <c r="AJ21">
        <v>31</v>
      </c>
      <c r="AK21">
        <v>1934.3999999999999</v>
      </c>
      <c r="AL21">
        <v>18</v>
      </c>
      <c r="AM21">
        <v>1123.2</v>
      </c>
      <c r="AN21">
        <v>19</v>
      </c>
      <c r="AO21">
        <v>1185.5999999999999</v>
      </c>
      <c r="AP21">
        <v>26</v>
      </c>
      <c r="AQ21">
        <v>1622.3999999999999</v>
      </c>
      <c r="AR21">
        <v>14</v>
      </c>
      <c r="AS21">
        <v>873.6</v>
      </c>
      <c r="AT21">
        <v>14</v>
      </c>
      <c r="AU21">
        <v>873.6</v>
      </c>
      <c r="AV21">
        <v>28</v>
      </c>
      <c r="AW21">
        <v>1747.2</v>
      </c>
      <c r="AX21">
        <v>19</v>
      </c>
      <c r="AY21">
        <v>1185.5999999999999</v>
      </c>
      <c r="AZ21">
        <v>5</v>
      </c>
      <c r="BA21">
        <v>312</v>
      </c>
      <c r="BB21">
        <v>5</v>
      </c>
      <c r="BC21">
        <v>312</v>
      </c>
      <c r="BD21">
        <v>6</v>
      </c>
      <c r="BE21">
        <v>374.4</v>
      </c>
      <c r="BF21">
        <v>8</v>
      </c>
      <c r="BG21">
        <v>499.2</v>
      </c>
      <c r="BH21">
        <v>64</v>
      </c>
      <c r="BI21">
        <v>3993.6</v>
      </c>
      <c r="BJ21">
        <v>93</v>
      </c>
      <c r="BK21">
        <v>5803.2</v>
      </c>
      <c r="BL21">
        <v>78</v>
      </c>
      <c r="BM21">
        <v>4867.2</v>
      </c>
      <c r="BN21">
        <v>72</v>
      </c>
      <c r="BO21">
        <v>4492.8</v>
      </c>
      <c r="BP21">
        <v>27</v>
      </c>
      <c r="BQ21">
        <v>1684.8</v>
      </c>
      <c r="BR21">
        <v>24</v>
      </c>
      <c r="BS21">
        <v>1497.6</v>
      </c>
      <c r="BT21">
        <v>41</v>
      </c>
      <c r="BU21">
        <v>2558.4</v>
      </c>
      <c r="BV21">
        <v>23</v>
      </c>
      <c r="BW21">
        <v>1435.2</v>
      </c>
      <c r="BX21">
        <v>14</v>
      </c>
      <c r="BY21">
        <v>873.6</v>
      </c>
      <c r="BZ21">
        <v>9</v>
      </c>
      <c r="CA21">
        <v>561.6</v>
      </c>
      <c r="CB21">
        <v>10</v>
      </c>
      <c r="CC21">
        <v>624</v>
      </c>
      <c r="CD21">
        <v>12</v>
      </c>
      <c r="CE21">
        <v>748.8</v>
      </c>
      <c r="CF21">
        <v>16</v>
      </c>
      <c r="CG21">
        <v>998.4</v>
      </c>
      <c r="CH21">
        <v>35</v>
      </c>
      <c r="CI21">
        <v>2184</v>
      </c>
      <c r="CJ21">
        <v>19</v>
      </c>
      <c r="CK21">
        <v>1185.5999999999999</v>
      </c>
      <c r="CL21">
        <v>21</v>
      </c>
      <c r="CM21">
        <v>1310.3999999999999</v>
      </c>
      <c r="CN21">
        <v>12</v>
      </c>
      <c r="CO21">
        <v>748.8</v>
      </c>
      <c r="CP21">
        <v>10</v>
      </c>
      <c r="CQ21">
        <v>624</v>
      </c>
      <c r="CR21">
        <v>9</v>
      </c>
      <c r="CS21">
        <v>561.6</v>
      </c>
      <c r="CT21">
        <v>9</v>
      </c>
      <c r="CU21">
        <v>561.6</v>
      </c>
    </row>
    <row r="22" spans="2:99" x14ac:dyDescent="0.2">
      <c r="C22" s="116" t="s">
        <v>188</v>
      </c>
      <c r="D22">
        <v>30</v>
      </c>
      <c r="E22">
        <v>5616</v>
      </c>
      <c r="F22">
        <v>32</v>
      </c>
      <c r="G22">
        <v>5990.4</v>
      </c>
      <c r="H22">
        <v>31</v>
      </c>
      <c r="I22">
        <v>5803.2</v>
      </c>
      <c r="J22">
        <v>34</v>
      </c>
      <c r="K22">
        <v>6364.7999999999993</v>
      </c>
      <c r="L22">
        <v>9</v>
      </c>
      <c r="M22">
        <v>1684.8</v>
      </c>
      <c r="N22">
        <v>13</v>
      </c>
      <c r="O22">
        <v>2433.6</v>
      </c>
      <c r="P22">
        <v>9</v>
      </c>
      <c r="Q22">
        <v>1684.8</v>
      </c>
      <c r="R22">
        <v>12</v>
      </c>
      <c r="S22">
        <v>2246.3999999999996</v>
      </c>
      <c r="T22">
        <v>26</v>
      </c>
      <c r="U22">
        <v>4867.2</v>
      </c>
      <c r="V22">
        <v>21</v>
      </c>
      <c r="W22">
        <v>3931.2</v>
      </c>
      <c r="X22">
        <v>25</v>
      </c>
      <c r="Y22">
        <v>4680</v>
      </c>
      <c r="Z22">
        <v>33</v>
      </c>
      <c r="AA22">
        <v>6177.5999999999995</v>
      </c>
      <c r="AB22">
        <v>11</v>
      </c>
      <c r="AC22">
        <v>2059.1999999999998</v>
      </c>
      <c r="AD22">
        <v>6</v>
      </c>
      <c r="AE22">
        <v>1123.1999999999998</v>
      </c>
      <c r="AF22">
        <v>6</v>
      </c>
      <c r="AG22">
        <v>1123.1999999999998</v>
      </c>
      <c r="AH22">
        <v>9</v>
      </c>
      <c r="AI22">
        <v>1684.8</v>
      </c>
      <c r="AJ22">
        <v>30</v>
      </c>
      <c r="AK22">
        <v>5616</v>
      </c>
      <c r="AL22">
        <v>17</v>
      </c>
      <c r="AM22">
        <v>3182.3999999999996</v>
      </c>
      <c r="AN22">
        <v>18</v>
      </c>
      <c r="AO22">
        <v>3369.6</v>
      </c>
      <c r="AP22">
        <v>28</v>
      </c>
      <c r="AQ22">
        <v>5241.5999999999995</v>
      </c>
      <c r="AR22">
        <v>16</v>
      </c>
      <c r="AS22">
        <v>2995.2</v>
      </c>
      <c r="AT22">
        <v>15</v>
      </c>
      <c r="AU22">
        <v>2808</v>
      </c>
      <c r="AV22">
        <v>28</v>
      </c>
      <c r="AW22">
        <v>5241.5999999999995</v>
      </c>
      <c r="AX22">
        <v>19</v>
      </c>
      <c r="AY22">
        <v>3556.7999999999997</v>
      </c>
      <c r="AZ22">
        <v>5</v>
      </c>
      <c r="BA22">
        <v>936</v>
      </c>
      <c r="BB22">
        <v>6</v>
      </c>
      <c r="BC22">
        <v>1123.1999999999998</v>
      </c>
      <c r="BD22">
        <v>6</v>
      </c>
      <c r="BE22">
        <v>1123.1999999999998</v>
      </c>
      <c r="BF22">
        <v>8</v>
      </c>
      <c r="BG22">
        <v>1497.6</v>
      </c>
      <c r="BH22">
        <v>58</v>
      </c>
      <c r="BI22">
        <v>10857.599999999999</v>
      </c>
      <c r="BJ22">
        <v>95</v>
      </c>
      <c r="BK22">
        <v>17784</v>
      </c>
      <c r="BL22">
        <v>80</v>
      </c>
      <c r="BM22">
        <v>14976</v>
      </c>
      <c r="BN22">
        <v>61</v>
      </c>
      <c r="BO22">
        <v>11419.199999999999</v>
      </c>
      <c r="BP22">
        <v>28</v>
      </c>
      <c r="BQ22">
        <v>5241.5999999999995</v>
      </c>
      <c r="BR22">
        <v>24</v>
      </c>
      <c r="BS22">
        <v>4492.7999999999993</v>
      </c>
      <c r="BT22">
        <v>44</v>
      </c>
      <c r="BU22">
        <v>8236.7999999999993</v>
      </c>
      <c r="BV22">
        <v>20</v>
      </c>
      <c r="BW22">
        <v>3744</v>
      </c>
      <c r="BX22">
        <v>14</v>
      </c>
      <c r="BY22">
        <v>2620.7999999999997</v>
      </c>
      <c r="BZ22">
        <v>8</v>
      </c>
      <c r="CA22">
        <v>1497.6</v>
      </c>
      <c r="CB22">
        <v>9</v>
      </c>
      <c r="CC22">
        <v>1684.8</v>
      </c>
      <c r="CD22">
        <v>12</v>
      </c>
      <c r="CE22">
        <v>2246.3999999999996</v>
      </c>
      <c r="CF22">
        <v>15</v>
      </c>
      <c r="CG22">
        <v>2808</v>
      </c>
      <c r="CH22">
        <v>33</v>
      </c>
      <c r="CI22">
        <v>6177.5999999999995</v>
      </c>
      <c r="CJ22">
        <v>20</v>
      </c>
      <c r="CK22">
        <v>3744</v>
      </c>
      <c r="CL22">
        <v>18</v>
      </c>
      <c r="CM22">
        <v>3369.6</v>
      </c>
      <c r="CN22">
        <v>12</v>
      </c>
      <c r="CO22">
        <v>2246.3999999999996</v>
      </c>
      <c r="CP22">
        <v>10</v>
      </c>
      <c r="CQ22">
        <v>1872</v>
      </c>
      <c r="CR22">
        <v>9</v>
      </c>
      <c r="CS22">
        <v>1684.8</v>
      </c>
      <c r="CT22">
        <v>9</v>
      </c>
      <c r="CU22">
        <v>1684.8</v>
      </c>
    </row>
    <row r="23" spans="2:99" x14ac:dyDescent="0.2">
      <c r="C23" s="116" t="s">
        <v>189</v>
      </c>
      <c r="D23">
        <v>31</v>
      </c>
      <c r="E23">
        <v>9114</v>
      </c>
      <c r="F23">
        <v>35</v>
      </c>
      <c r="G23">
        <v>10290</v>
      </c>
      <c r="H23">
        <v>31</v>
      </c>
      <c r="I23">
        <v>9114</v>
      </c>
      <c r="J23">
        <v>39</v>
      </c>
      <c r="K23">
        <v>11466</v>
      </c>
      <c r="L23">
        <v>10</v>
      </c>
      <c r="M23">
        <v>2940</v>
      </c>
      <c r="N23">
        <v>13</v>
      </c>
      <c r="O23">
        <v>3822</v>
      </c>
      <c r="P23">
        <v>7</v>
      </c>
      <c r="Q23">
        <v>2058</v>
      </c>
      <c r="R23">
        <v>12</v>
      </c>
      <c r="S23">
        <v>3528</v>
      </c>
      <c r="T23">
        <v>30</v>
      </c>
      <c r="U23">
        <v>8820</v>
      </c>
      <c r="V23">
        <v>20</v>
      </c>
      <c r="W23">
        <v>5880</v>
      </c>
      <c r="X23">
        <v>26</v>
      </c>
      <c r="Y23">
        <v>7644</v>
      </c>
      <c r="Z23">
        <v>31</v>
      </c>
      <c r="AA23">
        <v>9114</v>
      </c>
      <c r="AB23">
        <v>12</v>
      </c>
      <c r="AC23">
        <v>3528</v>
      </c>
      <c r="AD23">
        <v>6</v>
      </c>
      <c r="AE23">
        <v>1764</v>
      </c>
      <c r="AF23">
        <v>6</v>
      </c>
      <c r="AG23">
        <v>1764</v>
      </c>
      <c r="AH23">
        <v>8</v>
      </c>
      <c r="AI23">
        <v>2352</v>
      </c>
      <c r="AJ23">
        <v>27</v>
      </c>
      <c r="AK23">
        <v>7938</v>
      </c>
      <c r="AL23">
        <v>19</v>
      </c>
      <c r="AM23">
        <v>5586</v>
      </c>
      <c r="AN23">
        <v>17</v>
      </c>
      <c r="AO23">
        <v>4998</v>
      </c>
      <c r="AP23">
        <v>27</v>
      </c>
      <c r="AQ23">
        <v>7938</v>
      </c>
      <c r="AR23">
        <v>16</v>
      </c>
      <c r="AS23">
        <v>4704</v>
      </c>
      <c r="AT23">
        <v>16</v>
      </c>
      <c r="AU23">
        <v>4704</v>
      </c>
      <c r="AV23">
        <v>29</v>
      </c>
      <c r="AW23">
        <v>8526</v>
      </c>
      <c r="AX23">
        <v>20</v>
      </c>
      <c r="AY23">
        <v>5880</v>
      </c>
      <c r="AZ23">
        <v>5</v>
      </c>
      <c r="BA23">
        <v>1470</v>
      </c>
      <c r="BB23">
        <v>6</v>
      </c>
      <c r="BC23">
        <v>1764</v>
      </c>
      <c r="BD23">
        <v>7</v>
      </c>
      <c r="BE23">
        <v>2058</v>
      </c>
      <c r="BF23">
        <v>8</v>
      </c>
      <c r="BG23">
        <v>2352</v>
      </c>
      <c r="BH23">
        <v>59</v>
      </c>
      <c r="BI23">
        <v>17346</v>
      </c>
      <c r="BJ23">
        <v>106</v>
      </c>
      <c r="BK23">
        <v>31164</v>
      </c>
      <c r="BL23">
        <v>76</v>
      </c>
      <c r="BM23">
        <v>22344</v>
      </c>
      <c r="BN23">
        <v>60</v>
      </c>
      <c r="BO23">
        <v>17640</v>
      </c>
      <c r="BP23">
        <v>31</v>
      </c>
      <c r="BQ23">
        <v>9114</v>
      </c>
      <c r="BR23">
        <v>26</v>
      </c>
      <c r="BS23">
        <v>7644</v>
      </c>
      <c r="BT23">
        <v>44</v>
      </c>
      <c r="BU23">
        <v>12936</v>
      </c>
      <c r="BV23">
        <v>21</v>
      </c>
      <c r="BW23">
        <v>6174</v>
      </c>
      <c r="BX23">
        <v>12</v>
      </c>
      <c r="BY23">
        <v>3528</v>
      </c>
      <c r="BZ23">
        <v>9</v>
      </c>
      <c r="CA23">
        <v>2646</v>
      </c>
      <c r="CB23">
        <v>10</v>
      </c>
      <c r="CC23">
        <v>2940</v>
      </c>
      <c r="CD23">
        <v>11</v>
      </c>
      <c r="CE23">
        <v>3234</v>
      </c>
      <c r="CF23">
        <v>15</v>
      </c>
      <c r="CG23">
        <v>4410</v>
      </c>
      <c r="CH23">
        <v>29</v>
      </c>
      <c r="CI23">
        <v>8526</v>
      </c>
      <c r="CJ23">
        <v>18</v>
      </c>
      <c r="CK23">
        <v>5292</v>
      </c>
      <c r="CL23">
        <v>17</v>
      </c>
      <c r="CM23">
        <v>4998</v>
      </c>
      <c r="CN23">
        <v>13</v>
      </c>
      <c r="CO23">
        <v>3822</v>
      </c>
      <c r="CP23">
        <v>10</v>
      </c>
      <c r="CQ23">
        <v>2940</v>
      </c>
      <c r="CR23">
        <v>9</v>
      </c>
      <c r="CS23">
        <v>2646</v>
      </c>
      <c r="CT23">
        <v>9</v>
      </c>
      <c r="CU23">
        <v>2646</v>
      </c>
    </row>
    <row r="24" spans="2:99" x14ac:dyDescent="0.2">
      <c r="C24" s="116" t="s">
        <v>190</v>
      </c>
      <c r="D24">
        <v>30</v>
      </c>
      <c r="E24">
        <v>11016</v>
      </c>
      <c r="F24">
        <v>35</v>
      </c>
      <c r="G24">
        <v>12852</v>
      </c>
      <c r="H24">
        <v>35</v>
      </c>
      <c r="I24">
        <v>12852</v>
      </c>
      <c r="J24">
        <v>37</v>
      </c>
      <c r="K24">
        <v>13586.4</v>
      </c>
      <c r="L24">
        <v>9</v>
      </c>
      <c r="M24">
        <v>3304.7999999999997</v>
      </c>
      <c r="N24">
        <v>13</v>
      </c>
      <c r="O24">
        <v>4773.5999999999995</v>
      </c>
      <c r="P24">
        <v>8</v>
      </c>
      <c r="Q24">
        <v>2937.6</v>
      </c>
      <c r="R24">
        <v>12</v>
      </c>
      <c r="S24">
        <v>4406.3999999999996</v>
      </c>
      <c r="T24">
        <v>26</v>
      </c>
      <c r="U24">
        <v>9547.1999999999989</v>
      </c>
      <c r="V24">
        <v>18</v>
      </c>
      <c r="W24">
        <v>6609.5999999999995</v>
      </c>
      <c r="X24">
        <v>24</v>
      </c>
      <c r="Y24">
        <v>8812.7999999999993</v>
      </c>
      <c r="Z24">
        <v>36</v>
      </c>
      <c r="AA24">
        <v>13219.199999999999</v>
      </c>
      <c r="AB24">
        <v>11</v>
      </c>
      <c r="AC24">
        <v>4039.2</v>
      </c>
      <c r="AD24">
        <v>5</v>
      </c>
      <c r="AE24">
        <v>1836</v>
      </c>
      <c r="AF24">
        <v>5</v>
      </c>
      <c r="AG24">
        <v>1836</v>
      </c>
      <c r="AH24">
        <v>10</v>
      </c>
      <c r="AI24">
        <v>3672</v>
      </c>
      <c r="AJ24">
        <v>27</v>
      </c>
      <c r="AK24">
        <v>9914.4</v>
      </c>
      <c r="AL24">
        <v>19</v>
      </c>
      <c r="AM24">
        <v>6976.8</v>
      </c>
      <c r="AN24">
        <v>17</v>
      </c>
      <c r="AO24">
        <v>6242.4</v>
      </c>
      <c r="AP24">
        <v>28</v>
      </c>
      <c r="AQ24">
        <v>10281.6</v>
      </c>
      <c r="AR24">
        <v>15</v>
      </c>
      <c r="AS24">
        <v>5508</v>
      </c>
      <c r="AT24">
        <v>15</v>
      </c>
      <c r="AU24">
        <v>5508</v>
      </c>
      <c r="AV24">
        <v>25</v>
      </c>
      <c r="AW24">
        <v>9180</v>
      </c>
      <c r="AX24">
        <v>19</v>
      </c>
      <c r="AY24">
        <v>6976.8</v>
      </c>
      <c r="AZ24">
        <v>5</v>
      </c>
      <c r="BA24">
        <v>1836</v>
      </c>
      <c r="BB24">
        <v>6</v>
      </c>
      <c r="BC24">
        <v>2203.1999999999998</v>
      </c>
      <c r="BD24">
        <v>6</v>
      </c>
      <c r="BE24">
        <v>2203.1999999999998</v>
      </c>
      <c r="BF24">
        <v>8</v>
      </c>
      <c r="BG24">
        <v>2937.6</v>
      </c>
      <c r="BH24">
        <v>57</v>
      </c>
      <c r="BI24">
        <v>20930.399999999998</v>
      </c>
      <c r="BJ24">
        <v>99</v>
      </c>
      <c r="BK24">
        <v>36352.799999999996</v>
      </c>
      <c r="BL24">
        <v>72</v>
      </c>
      <c r="BM24">
        <v>26438.399999999998</v>
      </c>
      <c r="BN24">
        <v>61</v>
      </c>
      <c r="BO24">
        <v>22399.200000000001</v>
      </c>
      <c r="BP24">
        <v>27</v>
      </c>
      <c r="BQ24">
        <v>9914.4</v>
      </c>
      <c r="BR24">
        <v>22</v>
      </c>
      <c r="BS24">
        <v>8078.4</v>
      </c>
      <c r="BT24">
        <v>38</v>
      </c>
      <c r="BU24">
        <v>13953.6</v>
      </c>
      <c r="BV24">
        <v>23</v>
      </c>
      <c r="BW24">
        <v>8445.6</v>
      </c>
      <c r="BX24">
        <v>12</v>
      </c>
      <c r="BY24">
        <v>4406.3999999999996</v>
      </c>
      <c r="BZ24">
        <v>9</v>
      </c>
      <c r="CA24">
        <v>3304.7999999999997</v>
      </c>
      <c r="CB24">
        <v>10</v>
      </c>
      <c r="CC24">
        <v>3672</v>
      </c>
      <c r="CD24">
        <v>12</v>
      </c>
      <c r="CE24">
        <v>4406.3999999999996</v>
      </c>
      <c r="CF24">
        <v>16</v>
      </c>
      <c r="CG24">
        <v>5875.2</v>
      </c>
      <c r="CH24">
        <v>31</v>
      </c>
      <c r="CI24">
        <v>11383.199999999999</v>
      </c>
      <c r="CJ24">
        <v>21</v>
      </c>
      <c r="CK24">
        <v>7711.2</v>
      </c>
      <c r="CL24">
        <v>18</v>
      </c>
      <c r="CM24">
        <v>6609.5999999999995</v>
      </c>
      <c r="CN24">
        <v>14</v>
      </c>
      <c r="CO24">
        <v>5140.8</v>
      </c>
      <c r="CP24">
        <v>10</v>
      </c>
      <c r="CQ24">
        <v>3672</v>
      </c>
      <c r="CR24">
        <v>8</v>
      </c>
      <c r="CS24">
        <v>2937.6</v>
      </c>
      <c r="CT24">
        <v>10</v>
      </c>
      <c r="CU24">
        <v>3672</v>
      </c>
    </row>
    <row r="25" spans="2:99" x14ac:dyDescent="0.2">
      <c r="C25" s="116" t="s">
        <v>191</v>
      </c>
      <c r="D25">
        <v>27</v>
      </c>
      <c r="E25">
        <v>14320.8</v>
      </c>
      <c r="F25">
        <v>36</v>
      </c>
      <c r="G25">
        <v>19094.399999999998</v>
      </c>
      <c r="H25">
        <v>30</v>
      </c>
      <c r="I25">
        <v>15912</v>
      </c>
      <c r="J25">
        <v>37</v>
      </c>
      <c r="K25">
        <v>19624.8</v>
      </c>
      <c r="L25">
        <v>8</v>
      </c>
      <c r="M25">
        <v>4243.2</v>
      </c>
      <c r="N25">
        <v>12</v>
      </c>
      <c r="O25">
        <v>6364.7999999999993</v>
      </c>
      <c r="P25">
        <v>7</v>
      </c>
      <c r="Q25">
        <v>3712.7999999999997</v>
      </c>
      <c r="R25">
        <v>12</v>
      </c>
      <c r="S25">
        <v>6364.7999999999993</v>
      </c>
      <c r="T25">
        <v>30</v>
      </c>
      <c r="U25">
        <v>15912</v>
      </c>
      <c r="V25">
        <v>17</v>
      </c>
      <c r="W25">
        <v>9016.7999999999993</v>
      </c>
      <c r="X25">
        <v>23</v>
      </c>
      <c r="Y25">
        <v>12199.199999999999</v>
      </c>
      <c r="Z25">
        <v>33</v>
      </c>
      <c r="AA25">
        <v>17503.2</v>
      </c>
      <c r="AB25">
        <v>10</v>
      </c>
      <c r="AC25">
        <v>5304</v>
      </c>
      <c r="AD25">
        <v>5</v>
      </c>
      <c r="AE25">
        <v>2652</v>
      </c>
      <c r="AF25">
        <v>6</v>
      </c>
      <c r="AG25">
        <v>3182.3999999999996</v>
      </c>
      <c r="AH25">
        <v>8</v>
      </c>
      <c r="AI25">
        <v>4243.2</v>
      </c>
      <c r="AJ25">
        <v>30</v>
      </c>
      <c r="AK25">
        <v>15912</v>
      </c>
      <c r="AL25">
        <v>17</v>
      </c>
      <c r="AM25">
        <v>9016.7999999999993</v>
      </c>
      <c r="AN25">
        <v>17</v>
      </c>
      <c r="AO25">
        <v>9016.7999999999993</v>
      </c>
      <c r="AP25">
        <v>25</v>
      </c>
      <c r="AQ25">
        <v>13260</v>
      </c>
      <c r="AR25">
        <v>15</v>
      </c>
      <c r="AS25">
        <v>7956</v>
      </c>
      <c r="AT25">
        <v>15</v>
      </c>
      <c r="AU25">
        <v>7956</v>
      </c>
      <c r="AV25">
        <v>27</v>
      </c>
      <c r="AW25">
        <v>14320.8</v>
      </c>
      <c r="AX25">
        <v>18</v>
      </c>
      <c r="AY25">
        <v>9547.1999999999989</v>
      </c>
      <c r="AZ25">
        <v>4</v>
      </c>
      <c r="BA25">
        <v>2121.6</v>
      </c>
      <c r="BB25">
        <v>6</v>
      </c>
      <c r="BC25">
        <v>3182.3999999999996</v>
      </c>
      <c r="BD25">
        <v>7</v>
      </c>
      <c r="BE25">
        <v>3712.7999999999997</v>
      </c>
      <c r="BF25">
        <v>8</v>
      </c>
      <c r="BG25">
        <v>4243.2</v>
      </c>
      <c r="BH25">
        <v>64</v>
      </c>
      <c r="BI25">
        <v>33945.599999999999</v>
      </c>
      <c r="BJ25">
        <v>84</v>
      </c>
      <c r="BK25">
        <v>44553.599999999999</v>
      </c>
      <c r="BL25">
        <v>80</v>
      </c>
      <c r="BM25">
        <v>42432</v>
      </c>
      <c r="BN25">
        <v>66</v>
      </c>
      <c r="BO25">
        <v>35006.400000000001</v>
      </c>
      <c r="BP25">
        <v>28</v>
      </c>
      <c r="BQ25">
        <v>14851.199999999999</v>
      </c>
      <c r="BR25">
        <v>25</v>
      </c>
      <c r="BS25">
        <v>13260</v>
      </c>
      <c r="BT25">
        <v>39</v>
      </c>
      <c r="BU25">
        <v>20685.599999999999</v>
      </c>
      <c r="BV25">
        <v>23</v>
      </c>
      <c r="BW25">
        <v>12199.199999999999</v>
      </c>
      <c r="BX25">
        <v>12</v>
      </c>
      <c r="BY25">
        <v>6364.7999999999993</v>
      </c>
      <c r="BZ25">
        <v>7</v>
      </c>
      <c r="CA25">
        <v>3712.7999999999997</v>
      </c>
      <c r="CB25">
        <v>10</v>
      </c>
      <c r="CC25">
        <v>5304</v>
      </c>
      <c r="CD25">
        <v>11</v>
      </c>
      <c r="CE25">
        <v>5834.4</v>
      </c>
      <c r="CF25">
        <v>15</v>
      </c>
      <c r="CG25">
        <v>7956</v>
      </c>
      <c r="CH25">
        <v>28</v>
      </c>
      <c r="CI25">
        <v>14851.199999999999</v>
      </c>
      <c r="CJ25">
        <v>18</v>
      </c>
      <c r="CK25">
        <v>9547.1999999999989</v>
      </c>
      <c r="CL25">
        <v>19</v>
      </c>
      <c r="CM25">
        <v>10077.6</v>
      </c>
      <c r="CN25">
        <v>14</v>
      </c>
      <c r="CO25">
        <v>7425.5999999999995</v>
      </c>
      <c r="CP25">
        <v>10</v>
      </c>
      <c r="CQ25">
        <v>5304</v>
      </c>
      <c r="CR25">
        <v>9</v>
      </c>
      <c r="CS25">
        <v>4773.5999999999995</v>
      </c>
      <c r="CT25">
        <v>8</v>
      </c>
      <c r="CU25">
        <v>4243.2</v>
      </c>
    </row>
    <row r="26" spans="2:99" x14ac:dyDescent="0.2">
      <c r="C26" s="116" t="s">
        <v>192</v>
      </c>
      <c r="D26">
        <v>30</v>
      </c>
      <c r="E26">
        <v>14580</v>
      </c>
      <c r="F26">
        <v>32</v>
      </c>
      <c r="G26">
        <v>15552</v>
      </c>
      <c r="H26">
        <v>31</v>
      </c>
      <c r="I26">
        <v>15066</v>
      </c>
      <c r="J26">
        <v>34</v>
      </c>
      <c r="K26">
        <v>16524</v>
      </c>
      <c r="L26">
        <v>9</v>
      </c>
      <c r="M26">
        <v>4374</v>
      </c>
      <c r="N26">
        <v>13</v>
      </c>
      <c r="O26">
        <v>6318</v>
      </c>
      <c r="P26">
        <v>8</v>
      </c>
      <c r="Q26">
        <v>3888</v>
      </c>
      <c r="R26">
        <v>13</v>
      </c>
      <c r="S26">
        <v>6318</v>
      </c>
      <c r="T26">
        <v>30</v>
      </c>
      <c r="U26">
        <v>14580</v>
      </c>
      <c r="V26">
        <v>18</v>
      </c>
      <c r="W26">
        <v>8748</v>
      </c>
      <c r="X26">
        <v>25</v>
      </c>
      <c r="Y26">
        <v>12150</v>
      </c>
      <c r="Z26">
        <v>36</v>
      </c>
      <c r="AA26">
        <v>17496</v>
      </c>
      <c r="AB26">
        <v>11</v>
      </c>
      <c r="AC26">
        <v>5346</v>
      </c>
      <c r="AD26">
        <v>5</v>
      </c>
      <c r="AE26">
        <v>2430</v>
      </c>
      <c r="AF26">
        <v>6</v>
      </c>
      <c r="AG26">
        <v>2916</v>
      </c>
      <c r="AH26">
        <v>8</v>
      </c>
      <c r="AI26">
        <v>3888</v>
      </c>
      <c r="AJ26">
        <v>30</v>
      </c>
      <c r="AK26">
        <v>14580</v>
      </c>
      <c r="AL26">
        <v>17</v>
      </c>
      <c r="AM26">
        <v>8262</v>
      </c>
      <c r="AN26">
        <v>19</v>
      </c>
      <c r="AO26">
        <v>9234</v>
      </c>
      <c r="AP26">
        <v>24</v>
      </c>
      <c r="AQ26">
        <v>11664</v>
      </c>
      <c r="AR26">
        <v>15</v>
      </c>
      <c r="AS26">
        <v>7290</v>
      </c>
      <c r="AT26">
        <v>15</v>
      </c>
      <c r="AU26">
        <v>7290</v>
      </c>
      <c r="AV26">
        <v>29</v>
      </c>
      <c r="AW26">
        <v>14094</v>
      </c>
      <c r="AX26">
        <v>18</v>
      </c>
      <c r="AY26">
        <v>8748</v>
      </c>
      <c r="AZ26">
        <v>5</v>
      </c>
      <c r="BA26">
        <v>2430</v>
      </c>
      <c r="BB26">
        <v>6</v>
      </c>
      <c r="BC26">
        <v>2916</v>
      </c>
      <c r="BD26">
        <v>6</v>
      </c>
      <c r="BE26">
        <v>2916</v>
      </c>
      <c r="BF26">
        <v>8</v>
      </c>
      <c r="BG26">
        <v>3888</v>
      </c>
      <c r="BH26">
        <v>58</v>
      </c>
      <c r="BI26">
        <v>28188</v>
      </c>
      <c r="BJ26">
        <v>92</v>
      </c>
      <c r="BK26">
        <v>44712</v>
      </c>
      <c r="BL26">
        <v>72</v>
      </c>
      <c r="BM26">
        <v>34992</v>
      </c>
      <c r="BN26">
        <v>61</v>
      </c>
      <c r="BO26">
        <v>29646</v>
      </c>
      <c r="BP26">
        <v>26</v>
      </c>
      <c r="BQ26">
        <v>12636</v>
      </c>
      <c r="BR26">
        <v>22</v>
      </c>
      <c r="BS26">
        <v>10692</v>
      </c>
      <c r="BT26">
        <v>42</v>
      </c>
      <c r="BU26">
        <v>20412</v>
      </c>
      <c r="BV26">
        <v>22</v>
      </c>
      <c r="BW26">
        <v>10692</v>
      </c>
      <c r="BX26">
        <v>12</v>
      </c>
      <c r="BY26">
        <v>5832</v>
      </c>
      <c r="BZ26">
        <v>8</v>
      </c>
      <c r="CA26">
        <v>3888</v>
      </c>
      <c r="CB26">
        <v>10</v>
      </c>
      <c r="CC26">
        <v>4860</v>
      </c>
      <c r="CD26">
        <v>10</v>
      </c>
      <c r="CE26">
        <v>4860</v>
      </c>
      <c r="CF26">
        <v>16</v>
      </c>
      <c r="CG26">
        <v>7776</v>
      </c>
      <c r="CH26">
        <v>31</v>
      </c>
      <c r="CI26">
        <v>15066</v>
      </c>
      <c r="CJ26">
        <v>20</v>
      </c>
      <c r="CK26">
        <v>9720</v>
      </c>
      <c r="CL26">
        <v>19</v>
      </c>
      <c r="CM26">
        <v>9234</v>
      </c>
      <c r="CN26">
        <v>13</v>
      </c>
      <c r="CO26">
        <v>6318</v>
      </c>
      <c r="CP26">
        <v>9</v>
      </c>
      <c r="CQ26">
        <v>4374</v>
      </c>
      <c r="CR26">
        <v>8</v>
      </c>
      <c r="CS26">
        <v>3888</v>
      </c>
      <c r="CT26">
        <v>10</v>
      </c>
      <c r="CU26">
        <v>4860</v>
      </c>
    </row>
    <row r="27" spans="2:99" x14ac:dyDescent="0.2">
      <c r="C27" s="116" t="s">
        <v>193</v>
      </c>
      <c r="D27">
        <v>30</v>
      </c>
      <c r="E27">
        <v>12816</v>
      </c>
      <c r="F27">
        <v>31</v>
      </c>
      <c r="G27">
        <v>13243.199999999999</v>
      </c>
      <c r="H27">
        <v>29</v>
      </c>
      <c r="I27">
        <v>12388.8</v>
      </c>
      <c r="J27">
        <v>38</v>
      </c>
      <c r="K27">
        <v>16233.6</v>
      </c>
      <c r="L27">
        <v>10</v>
      </c>
      <c r="M27">
        <v>4272</v>
      </c>
      <c r="N27">
        <v>13</v>
      </c>
      <c r="O27">
        <v>5553.5999999999995</v>
      </c>
      <c r="P27">
        <v>8</v>
      </c>
      <c r="Q27">
        <v>3417.6</v>
      </c>
      <c r="R27">
        <v>11</v>
      </c>
      <c r="S27">
        <v>4699.2</v>
      </c>
      <c r="T27">
        <v>29</v>
      </c>
      <c r="U27">
        <v>12388.8</v>
      </c>
      <c r="V27">
        <v>19</v>
      </c>
      <c r="W27">
        <v>8116.8</v>
      </c>
      <c r="X27">
        <v>26</v>
      </c>
      <c r="Y27">
        <v>11107.199999999999</v>
      </c>
      <c r="Z27">
        <v>31</v>
      </c>
      <c r="AA27">
        <v>13243.199999999999</v>
      </c>
      <c r="AB27">
        <v>11</v>
      </c>
      <c r="AC27">
        <v>4699.2</v>
      </c>
      <c r="AD27">
        <v>6</v>
      </c>
      <c r="AE27">
        <v>2563.1999999999998</v>
      </c>
      <c r="AF27">
        <v>5</v>
      </c>
      <c r="AG27">
        <v>2136</v>
      </c>
      <c r="AH27">
        <v>8</v>
      </c>
      <c r="AI27">
        <v>3417.6</v>
      </c>
      <c r="AJ27">
        <v>28</v>
      </c>
      <c r="AK27">
        <v>11961.6</v>
      </c>
      <c r="AL27">
        <v>19</v>
      </c>
      <c r="AM27">
        <v>8116.8</v>
      </c>
      <c r="AN27">
        <v>17</v>
      </c>
      <c r="AO27">
        <v>7262.4</v>
      </c>
      <c r="AP27">
        <v>23</v>
      </c>
      <c r="AQ27">
        <v>9825.6</v>
      </c>
      <c r="AR27">
        <v>16</v>
      </c>
      <c r="AS27">
        <v>6835.2</v>
      </c>
      <c r="AT27">
        <v>14</v>
      </c>
      <c r="AU27">
        <v>5980.8</v>
      </c>
      <c r="AV27">
        <v>26</v>
      </c>
      <c r="AW27">
        <v>11107.199999999999</v>
      </c>
      <c r="AX27">
        <v>17</v>
      </c>
      <c r="AY27">
        <v>7262.4</v>
      </c>
      <c r="AZ27">
        <v>5</v>
      </c>
      <c r="BA27">
        <v>2136</v>
      </c>
      <c r="BB27">
        <v>6</v>
      </c>
      <c r="BC27">
        <v>2563.1999999999998</v>
      </c>
      <c r="BD27">
        <v>6</v>
      </c>
      <c r="BE27">
        <v>2563.1999999999998</v>
      </c>
      <c r="BF27">
        <v>8</v>
      </c>
      <c r="BG27">
        <v>3417.6</v>
      </c>
      <c r="BH27">
        <v>60</v>
      </c>
      <c r="BI27">
        <v>25632</v>
      </c>
      <c r="BJ27">
        <v>103</v>
      </c>
      <c r="BK27">
        <v>44001.599999999999</v>
      </c>
      <c r="BL27">
        <v>77</v>
      </c>
      <c r="BM27">
        <v>32894.400000000001</v>
      </c>
      <c r="BN27">
        <v>62</v>
      </c>
      <c r="BO27">
        <v>26486.399999999998</v>
      </c>
      <c r="BP27">
        <v>26</v>
      </c>
      <c r="BQ27">
        <v>11107.199999999999</v>
      </c>
      <c r="BR27">
        <v>22</v>
      </c>
      <c r="BS27">
        <v>9398.4</v>
      </c>
      <c r="BT27">
        <v>36</v>
      </c>
      <c r="BU27">
        <v>15379.199999999999</v>
      </c>
      <c r="BV27">
        <v>21</v>
      </c>
      <c r="BW27">
        <v>8971.1999999999989</v>
      </c>
      <c r="BX27">
        <v>12</v>
      </c>
      <c r="BY27">
        <v>5126.3999999999996</v>
      </c>
      <c r="BZ27">
        <v>8</v>
      </c>
      <c r="CA27">
        <v>3417.6</v>
      </c>
      <c r="CB27">
        <v>9</v>
      </c>
      <c r="CC27">
        <v>3844.7999999999997</v>
      </c>
      <c r="CD27">
        <v>12</v>
      </c>
      <c r="CE27">
        <v>5126.3999999999996</v>
      </c>
      <c r="CF27">
        <v>16</v>
      </c>
      <c r="CG27">
        <v>6835.2</v>
      </c>
      <c r="CH27">
        <v>33</v>
      </c>
      <c r="CI27">
        <v>14097.6</v>
      </c>
      <c r="CJ27">
        <v>18</v>
      </c>
      <c r="CK27">
        <v>7689.5999999999995</v>
      </c>
      <c r="CL27">
        <v>20</v>
      </c>
      <c r="CM27">
        <v>8544</v>
      </c>
      <c r="CN27">
        <v>14</v>
      </c>
      <c r="CO27">
        <v>5980.8</v>
      </c>
      <c r="CP27">
        <v>10</v>
      </c>
      <c r="CQ27">
        <v>4272</v>
      </c>
      <c r="CR27">
        <v>9</v>
      </c>
      <c r="CS27">
        <v>3844.7999999999997</v>
      </c>
      <c r="CT27">
        <v>10</v>
      </c>
      <c r="CU27">
        <v>4272</v>
      </c>
    </row>
    <row r="28" spans="2:99" x14ac:dyDescent="0.2">
      <c r="C28" s="116" t="s">
        <v>194</v>
      </c>
      <c r="D28">
        <v>27</v>
      </c>
      <c r="E28">
        <v>19926</v>
      </c>
      <c r="F28">
        <v>34</v>
      </c>
      <c r="G28">
        <v>25092</v>
      </c>
      <c r="H28">
        <v>30</v>
      </c>
      <c r="I28">
        <v>22140</v>
      </c>
      <c r="J28">
        <v>33</v>
      </c>
      <c r="K28">
        <v>24354</v>
      </c>
      <c r="L28">
        <v>9</v>
      </c>
      <c r="M28">
        <v>6642</v>
      </c>
      <c r="N28">
        <v>11</v>
      </c>
      <c r="O28">
        <v>8118</v>
      </c>
      <c r="P28">
        <v>8</v>
      </c>
      <c r="Q28">
        <v>5904</v>
      </c>
      <c r="R28">
        <v>12</v>
      </c>
      <c r="S28">
        <v>8856</v>
      </c>
      <c r="T28">
        <v>25</v>
      </c>
      <c r="U28">
        <v>18450</v>
      </c>
      <c r="V28">
        <v>18</v>
      </c>
      <c r="W28">
        <v>13284</v>
      </c>
      <c r="X28">
        <v>21</v>
      </c>
      <c r="Y28">
        <v>15498</v>
      </c>
      <c r="Z28">
        <v>34</v>
      </c>
      <c r="AA28">
        <v>25092</v>
      </c>
      <c r="AB28">
        <v>11</v>
      </c>
      <c r="AC28">
        <v>8118</v>
      </c>
      <c r="AD28">
        <v>6</v>
      </c>
      <c r="AE28">
        <v>4428</v>
      </c>
      <c r="AF28">
        <v>5</v>
      </c>
      <c r="AG28">
        <v>3690</v>
      </c>
      <c r="AH28">
        <v>9</v>
      </c>
      <c r="AI28">
        <v>6642</v>
      </c>
      <c r="AJ28">
        <v>26</v>
      </c>
      <c r="AK28">
        <v>19188</v>
      </c>
      <c r="AL28">
        <v>17</v>
      </c>
      <c r="AM28">
        <v>12546</v>
      </c>
      <c r="AN28">
        <v>16</v>
      </c>
      <c r="AO28">
        <v>11808</v>
      </c>
      <c r="AP28">
        <v>24</v>
      </c>
      <c r="AQ28">
        <v>17712</v>
      </c>
      <c r="AR28">
        <v>13</v>
      </c>
      <c r="AS28">
        <v>9594</v>
      </c>
      <c r="AT28">
        <v>15</v>
      </c>
      <c r="AU28">
        <v>11070</v>
      </c>
      <c r="AV28">
        <v>24</v>
      </c>
      <c r="AW28">
        <v>17712</v>
      </c>
      <c r="AX28">
        <v>18</v>
      </c>
      <c r="AY28">
        <v>13284</v>
      </c>
      <c r="AZ28">
        <v>5</v>
      </c>
      <c r="BA28">
        <v>3690</v>
      </c>
      <c r="BB28">
        <v>5</v>
      </c>
      <c r="BC28">
        <v>3690</v>
      </c>
      <c r="BD28">
        <v>7</v>
      </c>
      <c r="BE28">
        <v>5166</v>
      </c>
      <c r="BF28">
        <v>8</v>
      </c>
      <c r="BG28">
        <v>5904</v>
      </c>
      <c r="BH28">
        <v>58</v>
      </c>
      <c r="BI28">
        <v>42804</v>
      </c>
      <c r="BJ28">
        <v>98</v>
      </c>
      <c r="BK28">
        <v>72324</v>
      </c>
      <c r="BL28">
        <v>67</v>
      </c>
      <c r="BM28">
        <v>49446</v>
      </c>
      <c r="BN28">
        <v>57</v>
      </c>
      <c r="BO28">
        <v>42066</v>
      </c>
      <c r="BP28">
        <v>27</v>
      </c>
      <c r="BQ28">
        <v>19926</v>
      </c>
      <c r="BR28">
        <v>24</v>
      </c>
      <c r="BS28">
        <v>17712</v>
      </c>
      <c r="BT28">
        <v>40</v>
      </c>
      <c r="BU28">
        <v>29520</v>
      </c>
      <c r="BV28">
        <v>22</v>
      </c>
      <c r="BW28">
        <v>16236</v>
      </c>
      <c r="BX28">
        <v>13</v>
      </c>
      <c r="BY28">
        <v>9594</v>
      </c>
      <c r="BZ28">
        <v>8</v>
      </c>
      <c r="CA28">
        <v>5904</v>
      </c>
      <c r="CB28">
        <v>10</v>
      </c>
      <c r="CC28">
        <v>7380</v>
      </c>
      <c r="CD28">
        <v>12</v>
      </c>
      <c r="CE28">
        <v>8856</v>
      </c>
      <c r="CF28">
        <v>15</v>
      </c>
      <c r="CG28">
        <v>11070</v>
      </c>
      <c r="CH28">
        <v>30</v>
      </c>
      <c r="CI28">
        <v>22140</v>
      </c>
      <c r="CJ28">
        <v>17</v>
      </c>
      <c r="CK28">
        <v>12546</v>
      </c>
      <c r="CL28">
        <v>17</v>
      </c>
      <c r="CM28">
        <v>12546</v>
      </c>
      <c r="CN28">
        <v>14</v>
      </c>
      <c r="CO28">
        <v>10332</v>
      </c>
      <c r="CP28">
        <v>10</v>
      </c>
      <c r="CQ28">
        <v>7380</v>
      </c>
      <c r="CR28">
        <v>8</v>
      </c>
      <c r="CS28">
        <v>5904</v>
      </c>
      <c r="CT28">
        <v>9</v>
      </c>
      <c r="CU28">
        <v>6642</v>
      </c>
    </row>
    <row r="29" spans="2:99" x14ac:dyDescent="0.2">
      <c r="C29" s="116" t="s">
        <v>195</v>
      </c>
      <c r="D29">
        <v>31</v>
      </c>
      <c r="E29">
        <v>10490.4</v>
      </c>
      <c r="F29">
        <v>36</v>
      </c>
      <c r="G29">
        <v>12182.4</v>
      </c>
      <c r="H29">
        <v>34</v>
      </c>
      <c r="I29">
        <v>11505.599999999999</v>
      </c>
      <c r="J29">
        <v>39</v>
      </c>
      <c r="K29">
        <v>13197.599999999999</v>
      </c>
      <c r="L29">
        <v>9</v>
      </c>
      <c r="M29">
        <v>3045.6</v>
      </c>
      <c r="N29">
        <v>13</v>
      </c>
      <c r="O29">
        <v>4399.2</v>
      </c>
      <c r="P29">
        <v>8</v>
      </c>
      <c r="Q29">
        <v>2707.2</v>
      </c>
      <c r="R29">
        <v>12</v>
      </c>
      <c r="S29">
        <v>4060.7999999999997</v>
      </c>
      <c r="T29">
        <v>25</v>
      </c>
      <c r="U29">
        <v>8460</v>
      </c>
      <c r="V29">
        <v>19</v>
      </c>
      <c r="W29">
        <v>6429.5999999999995</v>
      </c>
      <c r="X29">
        <v>25</v>
      </c>
      <c r="Y29">
        <v>8460</v>
      </c>
      <c r="Z29">
        <v>37</v>
      </c>
      <c r="AA29">
        <v>12520.8</v>
      </c>
      <c r="AB29">
        <v>11</v>
      </c>
      <c r="AC29">
        <v>3722.3999999999996</v>
      </c>
      <c r="AD29">
        <v>6</v>
      </c>
      <c r="AE29">
        <v>2030.3999999999999</v>
      </c>
      <c r="AF29">
        <v>5</v>
      </c>
      <c r="AG29">
        <v>1692</v>
      </c>
      <c r="AH29">
        <v>9</v>
      </c>
      <c r="AI29">
        <v>3045.6</v>
      </c>
      <c r="AJ29">
        <v>26</v>
      </c>
      <c r="AK29">
        <v>8798.4</v>
      </c>
      <c r="AL29">
        <v>20</v>
      </c>
      <c r="AM29">
        <v>6768</v>
      </c>
      <c r="AN29">
        <v>19</v>
      </c>
      <c r="AO29">
        <v>6429.5999999999995</v>
      </c>
      <c r="AP29">
        <v>23</v>
      </c>
      <c r="AQ29">
        <v>7783.2</v>
      </c>
      <c r="AR29">
        <v>14</v>
      </c>
      <c r="AS29">
        <v>4737.5999999999995</v>
      </c>
      <c r="AT29">
        <v>14</v>
      </c>
      <c r="AU29">
        <v>4737.5999999999995</v>
      </c>
      <c r="AV29">
        <v>30</v>
      </c>
      <c r="AW29">
        <v>10152</v>
      </c>
      <c r="AX29">
        <v>17</v>
      </c>
      <c r="AY29">
        <v>5752.7999999999993</v>
      </c>
      <c r="AZ29">
        <v>5</v>
      </c>
      <c r="BA29">
        <v>1692</v>
      </c>
      <c r="BB29">
        <v>5</v>
      </c>
      <c r="BC29">
        <v>1692</v>
      </c>
      <c r="BD29">
        <v>7</v>
      </c>
      <c r="BE29">
        <v>2368.7999999999997</v>
      </c>
      <c r="BF29">
        <v>8</v>
      </c>
      <c r="BG29">
        <v>2707.2</v>
      </c>
      <c r="BH29">
        <v>65</v>
      </c>
      <c r="BI29">
        <v>21996</v>
      </c>
      <c r="BJ29">
        <v>100</v>
      </c>
      <c r="BK29">
        <v>33840</v>
      </c>
      <c r="BL29">
        <v>80</v>
      </c>
      <c r="BM29">
        <v>27072</v>
      </c>
      <c r="BN29">
        <v>69</v>
      </c>
      <c r="BO29">
        <v>23349.599999999999</v>
      </c>
      <c r="BP29">
        <v>28</v>
      </c>
      <c r="BQ29">
        <v>9475.1999999999989</v>
      </c>
      <c r="BR29">
        <v>21</v>
      </c>
      <c r="BS29">
        <v>7106.4</v>
      </c>
      <c r="BT29">
        <v>43</v>
      </c>
      <c r="BU29">
        <v>14551.199999999999</v>
      </c>
      <c r="BV29">
        <v>22</v>
      </c>
      <c r="BW29">
        <v>7444.7999999999993</v>
      </c>
      <c r="BX29">
        <v>13</v>
      </c>
      <c r="BY29">
        <v>4399.2</v>
      </c>
      <c r="BZ29">
        <v>7</v>
      </c>
      <c r="CA29">
        <v>2368.7999999999997</v>
      </c>
      <c r="CB29">
        <v>10</v>
      </c>
      <c r="CC29">
        <v>3384</v>
      </c>
      <c r="CD29">
        <v>12</v>
      </c>
      <c r="CE29">
        <v>4060.7999999999997</v>
      </c>
      <c r="CF29">
        <v>15</v>
      </c>
      <c r="CG29">
        <v>5076</v>
      </c>
      <c r="CH29">
        <v>33</v>
      </c>
      <c r="CI29">
        <v>11167.199999999999</v>
      </c>
      <c r="CJ29">
        <v>18</v>
      </c>
      <c r="CK29">
        <v>6091.2</v>
      </c>
      <c r="CL29">
        <v>18</v>
      </c>
      <c r="CM29">
        <v>6091.2</v>
      </c>
      <c r="CN29">
        <v>13</v>
      </c>
      <c r="CO29">
        <v>4399.2</v>
      </c>
      <c r="CP29">
        <v>11</v>
      </c>
      <c r="CQ29">
        <v>3722.3999999999996</v>
      </c>
      <c r="CR29">
        <v>8</v>
      </c>
      <c r="CS29">
        <v>2707.2</v>
      </c>
      <c r="CT29">
        <v>10</v>
      </c>
      <c r="CU29">
        <v>3384</v>
      </c>
    </row>
    <row r="30" spans="2:99" x14ac:dyDescent="0.2">
      <c r="C30" s="116" t="s">
        <v>196</v>
      </c>
      <c r="D30">
        <v>28</v>
      </c>
      <c r="E30">
        <v>3897.5999999999995</v>
      </c>
      <c r="F30">
        <v>34</v>
      </c>
      <c r="G30">
        <v>4732.7999999999993</v>
      </c>
      <c r="H30">
        <v>32</v>
      </c>
      <c r="I30">
        <v>4454.3999999999996</v>
      </c>
      <c r="J30">
        <v>36</v>
      </c>
      <c r="K30">
        <v>5011.2</v>
      </c>
      <c r="L30">
        <v>9</v>
      </c>
      <c r="M30">
        <v>1252.8</v>
      </c>
      <c r="N30">
        <v>12</v>
      </c>
      <c r="O30">
        <v>1670.3999999999999</v>
      </c>
      <c r="P30">
        <v>8</v>
      </c>
      <c r="Q30">
        <v>1113.5999999999999</v>
      </c>
      <c r="R30">
        <v>12</v>
      </c>
      <c r="S30">
        <v>1670.3999999999999</v>
      </c>
      <c r="T30">
        <v>30</v>
      </c>
      <c r="U30">
        <v>4176</v>
      </c>
      <c r="V30">
        <v>20</v>
      </c>
      <c r="W30">
        <v>2784</v>
      </c>
      <c r="X30">
        <v>23</v>
      </c>
      <c r="Y30">
        <v>3201.6</v>
      </c>
      <c r="Z30">
        <v>34</v>
      </c>
      <c r="AA30">
        <v>4732.7999999999993</v>
      </c>
      <c r="AB30">
        <v>11</v>
      </c>
      <c r="AC30">
        <v>1531.1999999999998</v>
      </c>
      <c r="AD30">
        <v>6</v>
      </c>
      <c r="AE30">
        <v>835.19999999999993</v>
      </c>
      <c r="AF30">
        <v>6</v>
      </c>
      <c r="AG30">
        <v>835.19999999999993</v>
      </c>
      <c r="AH30">
        <v>10</v>
      </c>
      <c r="AI30">
        <v>1392</v>
      </c>
      <c r="AJ30">
        <v>31</v>
      </c>
      <c r="AK30">
        <v>4315.2</v>
      </c>
      <c r="AL30">
        <v>18</v>
      </c>
      <c r="AM30">
        <v>2505.6</v>
      </c>
      <c r="AN30">
        <v>18</v>
      </c>
      <c r="AO30">
        <v>2505.6</v>
      </c>
      <c r="AP30">
        <v>28</v>
      </c>
      <c r="AQ30">
        <v>3897.5999999999995</v>
      </c>
      <c r="AR30">
        <v>14</v>
      </c>
      <c r="AS30">
        <v>1948.7999999999997</v>
      </c>
      <c r="AT30">
        <v>16</v>
      </c>
      <c r="AU30">
        <v>2227.1999999999998</v>
      </c>
      <c r="AV30">
        <v>29</v>
      </c>
      <c r="AW30">
        <v>4036.7999999999997</v>
      </c>
      <c r="AX30">
        <v>19</v>
      </c>
      <c r="AY30">
        <v>2644.7999999999997</v>
      </c>
      <c r="AZ30">
        <v>5</v>
      </c>
      <c r="BA30">
        <v>696</v>
      </c>
      <c r="BB30">
        <v>6</v>
      </c>
      <c r="BC30">
        <v>835.19999999999993</v>
      </c>
      <c r="BD30">
        <v>7</v>
      </c>
      <c r="BE30">
        <v>974.39999999999986</v>
      </c>
      <c r="BF30">
        <v>8</v>
      </c>
      <c r="BG30">
        <v>1113.5999999999999</v>
      </c>
      <c r="BH30">
        <v>61</v>
      </c>
      <c r="BI30">
        <v>8491.1999999999989</v>
      </c>
      <c r="BJ30">
        <v>107</v>
      </c>
      <c r="BK30">
        <v>14894.4</v>
      </c>
      <c r="BL30">
        <v>75</v>
      </c>
      <c r="BM30">
        <v>10440</v>
      </c>
      <c r="BN30">
        <v>69</v>
      </c>
      <c r="BO30">
        <v>9604.7999999999993</v>
      </c>
      <c r="BP30">
        <v>27</v>
      </c>
      <c r="BQ30">
        <v>3758.3999999999996</v>
      </c>
      <c r="BR30">
        <v>23</v>
      </c>
      <c r="BS30">
        <v>3201.6</v>
      </c>
      <c r="BT30">
        <v>45</v>
      </c>
      <c r="BU30">
        <v>6263.9999999999991</v>
      </c>
      <c r="BV30">
        <v>23</v>
      </c>
      <c r="BW30">
        <v>3201.6</v>
      </c>
      <c r="BX30">
        <v>13</v>
      </c>
      <c r="BY30">
        <v>1809.6</v>
      </c>
      <c r="BZ30">
        <v>7</v>
      </c>
      <c r="CA30">
        <v>974.39999999999986</v>
      </c>
      <c r="CB30">
        <v>10</v>
      </c>
      <c r="CC30">
        <v>1392</v>
      </c>
      <c r="CD30">
        <v>12</v>
      </c>
      <c r="CE30">
        <v>1670.3999999999999</v>
      </c>
      <c r="CF30">
        <v>15</v>
      </c>
      <c r="CG30">
        <v>2088</v>
      </c>
      <c r="CH30">
        <v>30</v>
      </c>
      <c r="CI30">
        <v>4176</v>
      </c>
      <c r="CJ30">
        <v>19</v>
      </c>
      <c r="CK30">
        <v>2644.7999999999997</v>
      </c>
      <c r="CL30">
        <v>18</v>
      </c>
      <c r="CM30">
        <v>2505.6</v>
      </c>
      <c r="CN30">
        <v>12</v>
      </c>
      <c r="CO30">
        <v>1670.3999999999999</v>
      </c>
      <c r="CP30">
        <v>11</v>
      </c>
      <c r="CQ30">
        <v>1531.1999999999998</v>
      </c>
      <c r="CR30">
        <v>10</v>
      </c>
      <c r="CS30">
        <v>1392</v>
      </c>
      <c r="CT30">
        <v>8</v>
      </c>
      <c r="CU30">
        <v>1113.5999999999999</v>
      </c>
    </row>
    <row r="31" spans="2:99" x14ac:dyDescent="0.2">
      <c r="C31" s="116" t="s">
        <v>197</v>
      </c>
      <c r="D31">
        <v>29</v>
      </c>
      <c r="E31">
        <v>9883.2000000000007</v>
      </c>
      <c r="F31">
        <v>34</v>
      </c>
      <c r="G31">
        <v>11587.2</v>
      </c>
      <c r="H31">
        <v>34</v>
      </c>
      <c r="I31">
        <v>11587.2</v>
      </c>
      <c r="J31">
        <v>33</v>
      </c>
      <c r="K31">
        <v>11246.4</v>
      </c>
      <c r="L31">
        <v>9</v>
      </c>
      <c r="M31">
        <v>3067.2000000000003</v>
      </c>
      <c r="N31">
        <v>11</v>
      </c>
      <c r="O31">
        <v>3748.8</v>
      </c>
      <c r="P31">
        <v>9</v>
      </c>
      <c r="Q31">
        <v>3067.2000000000003</v>
      </c>
      <c r="R31">
        <v>12</v>
      </c>
      <c r="S31">
        <v>4089.6000000000004</v>
      </c>
      <c r="T31">
        <v>28</v>
      </c>
      <c r="U31">
        <v>9542.4</v>
      </c>
      <c r="V31">
        <v>20</v>
      </c>
      <c r="W31">
        <v>6816</v>
      </c>
      <c r="X31">
        <v>23</v>
      </c>
      <c r="Y31">
        <v>7838.4000000000005</v>
      </c>
      <c r="Z31">
        <v>32</v>
      </c>
      <c r="AA31">
        <v>10905.6</v>
      </c>
      <c r="AB31">
        <v>10</v>
      </c>
      <c r="AC31">
        <v>3408</v>
      </c>
      <c r="AD31">
        <v>6</v>
      </c>
      <c r="AE31">
        <v>2044.8000000000002</v>
      </c>
      <c r="AF31">
        <v>5</v>
      </c>
      <c r="AG31">
        <v>1704</v>
      </c>
      <c r="AH31">
        <v>9</v>
      </c>
      <c r="AI31">
        <v>3067.2000000000003</v>
      </c>
      <c r="AJ31">
        <v>26</v>
      </c>
      <c r="AK31">
        <v>8860.8000000000011</v>
      </c>
      <c r="AL31">
        <v>19</v>
      </c>
      <c r="AM31">
        <v>6475.2</v>
      </c>
      <c r="AN31">
        <v>20</v>
      </c>
      <c r="AO31">
        <v>6816</v>
      </c>
      <c r="AP31">
        <v>24</v>
      </c>
      <c r="AQ31">
        <v>8179.2000000000007</v>
      </c>
      <c r="AR31">
        <v>15</v>
      </c>
      <c r="AS31">
        <v>5112</v>
      </c>
      <c r="AT31">
        <v>14</v>
      </c>
      <c r="AU31">
        <v>4771.2</v>
      </c>
      <c r="AV31">
        <v>27</v>
      </c>
      <c r="AW31">
        <v>9201.6</v>
      </c>
      <c r="AX31">
        <v>18</v>
      </c>
      <c r="AY31">
        <v>6134.4000000000005</v>
      </c>
      <c r="AZ31">
        <v>4</v>
      </c>
      <c r="BA31">
        <v>1363.2</v>
      </c>
      <c r="BB31">
        <v>6</v>
      </c>
      <c r="BC31">
        <v>2044.8000000000002</v>
      </c>
      <c r="BD31">
        <v>7</v>
      </c>
      <c r="BE31">
        <v>2385.6</v>
      </c>
      <c r="BF31">
        <v>8</v>
      </c>
      <c r="BG31">
        <v>2726.4</v>
      </c>
      <c r="BH31">
        <v>64</v>
      </c>
      <c r="BI31">
        <v>21811.200000000001</v>
      </c>
      <c r="BJ31">
        <v>99</v>
      </c>
      <c r="BK31">
        <v>33739.200000000004</v>
      </c>
      <c r="BL31">
        <v>77</v>
      </c>
      <c r="BM31">
        <v>26241.600000000002</v>
      </c>
      <c r="BN31">
        <v>64</v>
      </c>
      <c r="BO31">
        <v>21811.200000000001</v>
      </c>
      <c r="BP31">
        <v>28</v>
      </c>
      <c r="BQ31">
        <v>9542.4</v>
      </c>
      <c r="BR31">
        <v>22</v>
      </c>
      <c r="BS31">
        <v>7497.6</v>
      </c>
      <c r="BT31">
        <v>43</v>
      </c>
      <c r="BU31">
        <v>14654.4</v>
      </c>
      <c r="BV31">
        <v>24</v>
      </c>
      <c r="BW31">
        <v>8179.2000000000007</v>
      </c>
      <c r="BX31">
        <v>14</v>
      </c>
      <c r="BY31">
        <v>4771.2</v>
      </c>
      <c r="BZ31">
        <v>8</v>
      </c>
      <c r="CA31">
        <v>2726.4</v>
      </c>
      <c r="CB31">
        <v>10</v>
      </c>
      <c r="CC31">
        <v>3408</v>
      </c>
      <c r="CD31">
        <v>10</v>
      </c>
      <c r="CE31">
        <v>3408</v>
      </c>
      <c r="CF31">
        <v>17</v>
      </c>
      <c r="CG31">
        <v>5793.6</v>
      </c>
      <c r="CH31">
        <v>28</v>
      </c>
      <c r="CI31">
        <v>9542.4</v>
      </c>
      <c r="CJ31">
        <v>19</v>
      </c>
      <c r="CK31">
        <v>6475.2</v>
      </c>
      <c r="CL31">
        <v>19</v>
      </c>
      <c r="CM31">
        <v>6475.2</v>
      </c>
      <c r="CN31">
        <v>12</v>
      </c>
      <c r="CO31">
        <v>4089.6000000000004</v>
      </c>
      <c r="CP31">
        <v>10</v>
      </c>
      <c r="CQ31">
        <v>3408</v>
      </c>
      <c r="CR31">
        <v>10</v>
      </c>
      <c r="CS31">
        <v>3408</v>
      </c>
      <c r="CT31">
        <v>9</v>
      </c>
      <c r="CU31">
        <v>3067.2000000000003</v>
      </c>
    </row>
    <row r="32" spans="2:99" x14ac:dyDescent="0.2">
      <c r="C32" s="116" t="s">
        <v>198</v>
      </c>
      <c r="D32">
        <v>29</v>
      </c>
      <c r="E32">
        <v>24360</v>
      </c>
      <c r="F32">
        <v>33</v>
      </c>
      <c r="G32">
        <v>27720</v>
      </c>
      <c r="H32">
        <v>28</v>
      </c>
      <c r="I32">
        <v>23520</v>
      </c>
      <c r="J32">
        <v>37</v>
      </c>
      <c r="K32">
        <v>31080</v>
      </c>
      <c r="L32">
        <v>8</v>
      </c>
      <c r="M32">
        <v>6720</v>
      </c>
      <c r="N32">
        <v>12</v>
      </c>
      <c r="O32">
        <v>10080</v>
      </c>
      <c r="P32">
        <v>8</v>
      </c>
      <c r="Q32">
        <v>6720</v>
      </c>
      <c r="R32">
        <v>11</v>
      </c>
      <c r="S32">
        <v>9240</v>
      </c>
      <c r="T32">
        <v>25</v>
      </c>
      <c r="U32">
        <v>21000</v>
      </c>
      <c r="V32">
        <v>19</v>
      </c>
      <c r="W32">
        <v>15960</v>
      </c>
      <c r="X32">
        <v>22</v>
      </c>
      <c r="Y32">
        <v>18480</v>
      </c>
      <c r="Z32">
        <v>32</v>
      </c>
      <c r="AA32">
        <v>26880</v>
      </c>
      <c r="AB32">
        <v>10</v>
      </c>
      <c r="AC32">
        <v>8400</v>
      </c>
      <c r="AD32">
        <v>5</v>
      </c>
      <c r="AE32">
        <v>4200</v>
      </c>
      <c r="AF32">
        <v>6</v>
      </c>
      <c r="AG32">
        <v>5040</v>
      </c>
      <c r="AH32">
        <v>8</v>
      </c>
      <c r="AI32">
        <v>6720</v>
      </c>
      <c r="AJ32">
        <v>25</v>
      </c>
      <c r="AK32">
        <v>21000</v>
      </c>
      <c r="AL32">
        <v>17</v>
      </c>
      <c r="AM32">
        <v>14280</v>
      </c>
      <c r="AN32">
        <v>16</v>
      </c>
      <c r="AO32">
        <v>13440</v>
      </c>
      <c r="AP32">
        <v>23</v>
      </c>
      <c r="AQ32">
        <v>19320</v>
      </c>
      <c r="AR32">
        <v>13</v>
      </c>
      <c r="AS32">
        <v>10920</v>
      </c>
      <c r="AT32">
        <v>14</v>
      </c>
      <c r="AU32">
        <v>11760</v>
      </c>
      <c r="AV32">
        <v>28</v>
      </c>
      <c r="AW32">
        <v>23520</v>
      </c>
      <c r="AX32">
        <v>16</v>
      </c>
      <c r="AY32">
        <v>13440</v>
      </c>
      <c r="AZ32">
        <v>5</v>
      </c>
      <c r="BA32">
        <v>4200</v>
      </c>
      <c r="BB32">
        <v>6</v>
      </c>
      <c r="BC32">
        <v>5040</v>
      </c>
      <c r="BD32">
        <v>6</v>
      </c>
      <c r="BE32">
        <v>5040</v>
      </c>
      <c r="BF32">
        <v>8</v>
      </c>
      <c r="BG32">
        <v>6720</v>
      </c>
      <c r="BH32">
        <v>57</v>
      </c>
      <c r="BI32">
        <v>47880</v>
      </c>
      <c r="BJ32">
        <v>81</v>
      </c>
      <c r="BK32">
        <v>68040</v>
      </c>
      <c r="BL32">
        <v>69</v>
      </c>
      <c r="BM32">
        <v>57960</v>
      </c>
      <c r="BN32">
        <v>57</v>
      </c>
      <c r="BO32">
        <v>47880</v>
      </c>
      <c r="BP32">
        <v>27</v>
      </c>
      <c r="BQ32">
        <v>22680</v>
      </c>
      <c r="BR32">
        <v>22</v>
      </c>
      <c r="BS32">
        <v>18480</v>
      </c>
      <c r="BT32">
        <v>35</v>
      </c>
      <c r="BU32">
        <v>29400</v>
      </c>
      <c r="BV32">
        <v>22</v>
      </c>
      <c r="BW32">
        <v>18480</v>
      </c>
      <c r="BX32">
        <v>12</v>
      </c>
      <c r="BY32">
        <v>10080</v>
      </c>
      <c r="BZ32">
        <v>8</v>
      </c>
      <c r="CA32">
        <v>6720</v>
      </c>
      <c r="CB32">
        <v>10</v>
      </c>
      <c r="CC32">
        <v>8400</v>
      </c>
      <c r="CD32">
        <v>10</v>
      </c>
      <c r="CE32">
        <v>8400</v>
      </c>
      <c r="CF32">
        <v>14</v>
      </c>
      <c r="CG32">
        <v>11760</v>
      </c>
      <c r="CH32">
        <v>30</v>
      </c>
      <c r="CI32">
        <v>25200</v>
      </c>
      <c r="CJ32">
        <v>17</v>
      </c>
      <c r="CK32">
        <v>14280</v>
      </c>
      <c r="CL32">
        <v>19</v>
      </c>
      <c r="CM32">
        <v>15960</v>
      </c>
      <c r="CN32">
        <v>12</v>
      </c>
      <c r="CO32">
        <v>10080</v>
      </c>
      <c r="CP32">
        <v>11</v>
      </c>
      <c r="CQ32">
        <v>9240</v>
      </c>
      <c r="CR32">
        <v>8</v>
      </c>
      <c r="CS32">
        <v>6720</v>
      </c>
      <c r="CT32">
        <v>8</v>
      </c>
      <c r="CU32">
        <v>6720</v>
      </c>
    </row>
    <row r="33" spans="2:99" x14ac:dyDescent="0.2">
      <c r="C33" s="116" t="s">
        <v>199</v>
      </c>
      <c r="D33">
        <v>28</v>
      </c>
      <c r="E33">
        <v>13272</v>
      </c>
      <c r="F33">
        <v>31</v>
      </c>
      <c r="G33">
        <v>14694</v>
      </c>
      <c r="H33">
        <v>29</v>
      </c>
      <c r="I33">
        <v>13746</v>
      </c>
      <c r="J33">
        <v>32</v>
      </c>
      <c r="K33">
        <v>15168</v>
      </c>
      <c r="L33">
        <v>9</v>
      </c>
      <c r="M33">
        <v>4266</v>
      </c>
      <c r="N33">
        <v>13</v>
      </c>
      <c r="O33">
        <v>6162</v>
      </c>
      <c r="P33">
        <v>7</v>
      </c>
      <c r="Q33">
        <v>3318</v>
      </c>
      <c r="R33">
        <v>12</v>
      </c>
      <c r="S33">
        <v>5688</v>
      </c>
      <c r="T33">
        <v>27</v>
      </c>
      <c r="U33">
        <v>12798</v>
      </c>
      <c r="V33">
        <v>17</v>
      </c>
      <c r="W33">
        <v>8058</v>
      </c>
      <c r="X33">
        <v>24</v>
      </c>
      <c r="Y33">
        <v>11376</v>
      </c>
      <c r="Z33">
        <v>33</v>
      </c>
      <c r="AA33">
        <v>15642</v>
      </c>
      <c r="AB33">
        <v>10</v>
      </c>
      <c r="AC33">
        <v>4740</v>
      </c>
      <c r="AD33">
        <v>6</v>
      </c>
      <c r="AE33">
        <v>2844</v>
      </c>
      <c r="AF33">
        <v>6</v>
      </c>
      <c r="AG33">
        <v>2844</v>
      </c>
      <c r="AH33">
        <v>8</v>
      </c>
      <c r="AI33">
        <v>3792</v>
      </c>
      <c r="AJ33">
        <v>27</v>
      </c>
      <c r="AK33">
        <v>12798</v>
      </c>
      <c r="AL33">
        <v>17</v>
      </c>
      <c r="AM33">
        <v>8058</v>
      </c>
      <c r="AN33">
        <v>18</v>
      </c>
      <c r="AO33">
        <v>8532</v>
      </c>
      <c r="AP33">
        <v>26</v>
      </c>
      <c r="AQ33">
        <v>12324</v>
      </c>
      <c r="AR33">
        <v>14</v>
      </c>
      <c r="AS33">
        <v>6636</v>
      </c>
      <c r="AT33">
        <v>15</v>
      </c>
      <c r="AU33">
        <v>7110</v>
      </c>
      <c r="AV33">
        <v>26</v>
      </c>
      <c r="AW33">
        <v>12324</v>
      </c>
      <c r="AX33">
        <v>17</v>
      </c>
      <c r="AY33">
        <v>8058</v>
      </c>
      <c r="AZ33">
        <v>5</v>
      </c>
      <c r="BA33">
        <v>2370</v>
      </c>
      <c r="BB33">
        <v>5</v>
      </c>
      <c r="BC33">
        <v>2370</v>
      </c>
      <c r="BD33">
        <v>6</v>
      </c>
      <c r="BE33">
        <v>2844</v>
      </c>
      <c r="BF33">
        <v>8</v>
      </c>
      <c r="BG33">
        <v>3792</v>
      </c>
      <c r="BH33">
        <v>57</v>
      </c>
      <c r="BI33">
        <v>27018</v>
      </c>
      <c r="BJ33">
        <v>85</v>
      </c>
      <c r="BK33">
        <v>40290</v>
      </c>
      <c r="BL33">
        <v>75</v>
      </c>
      <c r="BM33">
        <v>35550</v>
      </c>
      <c r="BN33">
        <v>57</v>
      </c>
      <c r="BO33">
        <v>27018</v>
      </c>
      <c r="BP33">
        <v>25</v>
      </c>
      <c r="BQ33">
        <v>11850</v>
      </c>
      <c r="BR33">
        <v>21</v>
      </c>
      <c r="BS33">
        <v>9954</v>
      </c>
      <c r="BT33">
        <v>37</v>
      </c>
      <c r="BU33">
        <v>17538</v>
      </c>
      <c r="BV33">
        <v>20</v>
      </c>
      <c r="BW33">
        <v>9480</v>
      </c>
      <c r="BX33">
        <v>13</v>
      </c>
      <c r="BY33">
        <v>6162</v>
      </c>
      <c r="BZ33">
        <v>7</v>
      </c>
      <c r="CA33">
        <v>3318</v>
      </c>
      <c r="CB33">
        <v>11</v>
      </c>
      <c r="CC33">
        <v>5214</v>
      </c>
      <c r="CD33">
        <v>11</v>
      </c>
      <c r="CE33">
        <v>5214</v>
      </c>
      <c r="CF33">
        <v>16</v>
      </c>
      <c r="CG33">
        <v>7584</v>
      </c>
      <c r="CH33">
        <v>31</v>
      </c>
      <c r="CI33">
        <v>14694</v>
      </c>
      <c r="CJ33">
        <v>21</v>
      </c>
      <c r="CK33">
        <v>9954</v>
      </c>
      <c r="CL33">
        <v>18</v>
      </c>
      <c r="CM33">
        <v>8532</v>
      </c>
      <c r="CN33">
        <v>13</v>
      </c>
      <c r="CO33">
        <v>6162</v>
      </c>
      <c r="CP33">
        <v>11</v>
      </c>
      <c r="CQ33">
        <v>5214</v>
      </c>
      <c r="CR33">
        <v>8</v>
      </c>
      <c r="CS33">
        <v>3792</v>
      </c>
      <c r="CT33">
        <v>9</v>
      </c>
      <c r="CU33">
        <v>4266</v>
      </c>
    </row>
    <row r="34" spans="2:99" x14ac:dyDescent="0.2">
      <c r="C34" s="116" t="s">
        <v>200</v>
      </c>
      <c r="D34">
        <v>30</v>
      </c>
      <c r="E34">
        <v>16452</v>
      </c>
      <c r="F34">
        <v>31</v>
      </c>
      <c r="G34">
        <v>17000.399999999998</v>
      </c>
      <c r="H34">
        <v>33</v>
      </c>
      <c r="I34">
        <v>18097.2</v>
      </c>
      <c r="J34">
        <v>36</v>
      </c>
      <c r="K34">
        <v>19742.399999999998</v>
      </c>
      <c r="L34">
        <v>9</v>
      </c>
      <c r="M34">
        <v>4935.5999999999995</v>
      </c>
      <c r="N34">
        <v>12</v>
      </c>
      <c r="O34">
        <v>6580.7999999999993</v>
      </c>
      <c r="P34">
        <v>7</v>
      </c>
      <c r="Q34">
        <v>3838.7999999999997</v>
      </c>
      <c r="R34">
        <v>12</v>
      </c>
      <c r="S34">
        <v>6580.7999999999993</v>
      </c>
      <c r="T34">
        <v>25</v>
      </c>
      <c r="U34">
        <v>13710</v>
      </c>
      <c r="V34">
        <v>20</v>
      </c>
      <c r="W34">
        <v>10968</v>
      </c>
      <c r="X34">
        <v>26</v>
      </c>
      <c r="Y34">
        <v>14258.4</v>
      </c>
      <c r="Z34">
        <v>32</v>
      </c>
      <c r="AA34">
        <v>17548.8</v>
      </c>
      <c r="AB34">
        <v>10</v>
      </c>
      <c r="AC34">
        <v>5484</v>
      </c>
      <c r="AD34">
        <v>5</v>
      </c>
      <c r="AE34">
        <v>2742</v>
      </c>
      <c r="AF34">
        <v>5</v>
      </c>
      <c r="AG34">
        <v>2742</v>
      </c>
      <c r="AH34">
        <v>8</v>
      </c>
      <c r="AI34">
        <v>4387.2</v>
      </c>
      <c r="AJ34">
        <v>29</v>
      </c>
      <c r="AK34">
        <v>15903.599999999999</v>
      </c>
      <c r="AL34">
        <v>18</v>
      </c>
      <c r="AM34">
        <v>9871.1999999999989</v>
      </c>
      <c r="AN34">
        <v>17</v>
      </c>
      <c r="AO34">
        <v>9322.7999999999993</v>
      </c>
      <c r="AP34">
        <v>24</v>
      </c>
      <c r="AQ34">
        <v>13161.599999999999</v>
      </c>
      <c r="AR34">
        <v>13</v>
      </c>
      <c r="AS34">
        <v>7129.2</v>
      </c>
      <c r="AT34">
        <v>15</v>
      </c>
      <c r="AU34">
        <v>8226</v>
      </c>
      <c r="AV34">
        <v>26</v>
      </c>
      <c r="AW34">
        <v>14258.4</v>
      </c>
      <c r="AX34">
        <v>19</v>
      </c>
      <c r="AY34">
        <v>10419.6</v>
      </c>
      <c r="AZ34">
        <v>5</v>
      </c>
      <c r="BA34">
        <v>2742</v>
      </c>
      <c r="BB34">
        <v>5</v>
      </c>
      <c r="BC34">
        <v>2742</v>
      </c>
      <c r="BD34">
        <v>7</v>
      </c>
      <c r="BE34">
        <v>3838.7999999999997</v>
      </c>
      <c r="BF34">
        <v>7</v>
      </c>
      <c r="BG34">
        <v>3838.7999999999997</v>
      </c>
      <c r="BH34">
        <v>63</v>
      </c>
      <c r="BI34">
        <v>34549.199999999997</v>
      </c>
      <c r="BJ34">
        <v>102</v>
      </c>
      <c r="BK34">
        <v>55936.799999999996</v>
      </c>
      <c r="BL34">
        <v>72</v>
      </c>
      <c r="BM34">
        <v>39484.799999999996</v>
      </c>
      <c r="BN34">
        <v>61</v>
      </c>
      <c r="BO34">
        <v>33452.400000000001</v>
      </c>
      <c r="BP34">
        <v>28</v>
      </c>
      <c r="BQ34">
        <v>15355.199999999999</v>
      </c>
      <c r="BR34">
        <v>22</v>
      </c>
      <c r="BS34">
        <v>12064.8</v>
      </c>
      <c r="BT34">
        <v>39</v>
      </c>
      <c r="BU34">
        <v>21387.599999999999</v>
      </c>
      <c r="BV34">
        <v>22</v>
      </c>
      <c r="BW34">
        <v>12064.8</v>
      </c>
      <c r="BX34">
        <v>12</v>
      </c>
      <c r="BY34">
        <v>6580.7999999999993</v>
      </c>
      <c r="BZ34">
        <v>8</v>
      </c>
      <c r="CA34">
        <v>4387.2</v>
      </c>
      <c r="CB34">
        <v>10</v>
      </c>
      <c r="CC34">
        <v>5484</v>
      </c>
      <c r="CD34">
        <v>12</v>
      </c>
      <c r="CE34">
        <v>6580.7999999999993</v>
      </c>
      <c r="CF34">
        <v>15</v>
      </c>
      <c r="CG34">
        <v>8226</v>
      </c>
      <c r="CH34">
        <v>30</v>
      </c>
      <c r="CI34">
        <v>16452</v>
      </c>
      <c r="CJ34">
        <v>19</v>
      </c>
      <c r="CK34">
        <v>10419.6</v>
      </c>
      <c r="CL34">
        <v>17</v>
      </c>
      <c r="CM34">
        <v>9322.7999999999993</v>
      </c>
      <c r="CN34">
        <v>12</v>
      </c>
      <c r="CO34">
        <v>6580.7999999999993</v>
      </c>
      <c r="CP34">
        <v>11</v>
      </c>
      <c r="CQ34">
        <v>6032.4</v>
      </c>
      <c r="CR34">
        <v>10</v>
      </c>
      <c r="CS34">
        <v>5484</v>
      </c>
      <c r="CT34">
        <v>8</v>
      </c>
      <c r="CU34">
        <v>4387.2</v>
      </c>
    </row>
    <row r="35" spans="2:99" x14ac:dyDescent="0.2">
      <c r="C35" s="116" t="s">
        <v>201</v>
      </c>
      <c r="D35">
        <v>26</v>
      </c>
      <c r="E35">
        <v>13072.799999999997</v>
      </c>
      <c r="F35">
        <v>34</v>
      </c>
      <c r="G35">
        <v>17095.199999999997</v>
      </c>
      <c r="H35">
        <v>30</v>
      </c>
      <c r="I35">
        <v>15083.999999999996</v>
      </c>
      <c r="J35">
        <v>35</v>
      </c>
      <c r="K35">
        <v>17597.999999999996</v>
      </c>
      <c r="L35">
        <v>9</v>
      </c>
      <c r="M35">
        <v>4525.1999999999989</v>
      </c>
      <c r="N35">
        <v>12</v>
      </c>
      <c r="O35">
        <v>6033.5999999999985</v>
      </c>
      <c r="P35">
        <v>8</v>
      </c>
      <c r="Q35">
        <v>4022.3999999999992</v>
      </c>
      <c r="R35">
        <v>12</v>
      </c>
      <c r="S35">
        <v>6033.5999999999985</v>
      </c>
      <c r="T35">
        <v>26</v>
      </c>
      <c r="U35">
        <v>13072.799999999997</v>
      </c>
      <c r="V35">
        <v>19</v>
      </c>
      <c r="W35">
        <v>9553.1999999999989</v>
      </c>
      <c r="X35">
        <v>26</v>
      </c>
      <c r="Y35">
        <v>13072.799999999997</v>
      </c>
      <c r="Z35">
        <v>33</v>
      </c>
      <c r="AA35">
        <v>16592.399999999998</v>
      </c>
      <c r="AB35">
        <v>11</v>
      </c>
      <c r="AC35">
        <v>5530.7999999999993</v>
      </c>
      <c r="AD35">
        <v>6</v>
      </c>
      <c r="AE35">
        <v>3016.7999999999993</v>
      </c>
      <c r="AF35">
        <v>5</v>
      </c>
      <c r="AG35">
        <v>2513.9999999999995</v>
      </c>
      <c r="AH35">
        <v>9</v>
      </c>
      <c r="AI35">
        <v>4525.1999999999989</v>
      </c>
      <c r="AJ35">
        <v>28</v>
      </c>
      <c r="AK35">
        <v>14078.399999999998</v>
      </c>
      <c r="AL35">
        <v>18</v>
      </c>
      <c r="AM35">
        <v>9050.3999999999978</v>
      </c>
      <c r="AN35">
        <v>19</v>
      </c>
      <c r="AO35">
        <v>9553.1999999999989</v>
      </c>
      <c r="AP35">
        <v>26</v>
      </c>
      <c r="AQ35">
        <v>13072.799999999997</v>
      </c>
      <c r="AR35">
        <v>13</v>
      </c>
      <c r="AS35">
        <v>6536.3999999999987</v>
      </c>
      <c r="AT35">
        <v>16</v>
      </c>
      <c r="AU35">
        <v>8044.7999999999984</v>
      </c>
      <c r="AV35">
        <v>25</v>
      </c>
      <c r="AW35">
        <v>12569.999999999998</v>
      </c>
      <c r="AX35">
        <v>17</v>
      </c>
      <c r="AY35">
        <v>8547.5999999999985</v>
      </c>
      <c r="AZ35">
        <v>5</v>
      </c>
      <c r="BA35">
        <v>2513.9999999999995</v>
      </c>
      <c r="BB35">
        <v>5</v>
      </c>
      <c r="BC35">
        <v>2513.9999999999995</v>
      </c>
      <c r="BD35">
        <v>6</v>
      </c>
      <c r="BE35">
        <v>3016.7999999999993</v>
      </c>
      <c r="BF35">
        <v>7</v>
      </c>
      <c r="BG35">
        <v>3519.5999999999995</v>
      </c>
      <c r="BH35">
        <v>55</v>
      </c>
      <c r="BI35">
        <v>27653.999999999993</v>
      </c>
      <c r="BJ35">
        <v>102</v>
      </c>
      <c r="BK35">
        <v>51285.599999999991</v>
      </c>
      <c r="BL35">
        <v>75</v>
      </c>
      <c r="BM35">
        <v>37709.999999999993</v>
      </c>
      <c r="BN35">
        <v>66</v>
      </c>
      <c r="BO35">
        <v>33184.799999999996</v>
      </c>
      <c r="BP35">
        <v>29</v>
      </c>
      <c r="BQ35">
        <v>14581.199999999997</v>
      </c>
      <c r="BR35">
        <v>24</v>
      </c>
      <c r="BS35">
        <v>12067.199999999997</v>
      </c>
      <c r="BT35">
        <v>36</v>
      </c>
      <c r="BU35">
        <v>18100.799999999996</v>
      </c>
      <c r="BV35">
        <v>22</v>
      </c>
      <c r="BW35">
        <v>11061.599999999999</v>
      </c>
      <c r="BX35">
        <v>14</v>
      </c>
      <c r="BY35">
        <v>7039.1999999999989</v>
      </c>
      <c r="BZ35">
        <v>8</v>
      </c>
      <c r="CA35">
        <v>4022.3999999999992</v>
      </c>
      <c r="CB35">
        <v>10</v>
      </c>
      <c r="CC35">
        <v>5027.9999999999991</v>
      </c>
      <c r="CD35">
        <v>10</v>
      </c>
      <c r="CE35">
        <v>5027.9999999999991</v>
      </c>
      <c r="CF35">
        <v>16</v>
      </c>
      <c r="CG35">
        <v>8044.7999999999984</v>
      </c>
      <c r="CH35">
        <v>28</v>
      </c>
      <c r="CI35">
        <v>14078.399999999998</v>
      </c>
      <c r="CJ35">
        <v>20</v>
      </c>
      <c r="CK35">
        <v>10055.999999999998</v>
      </c>
      <c r="CL35">
        <v>17</v>
      </c>
      <c r="CM35">
        <v>8547.5999999999985</v>
      </c>
      <c r="CN35">
        <v>14</v>
      </c>
      <c r="CO35">
        <v>7039.1999999999989</v>
      </c>
      <c r="CP35">
        <v>10</v>
      </c>
      <c r="CQ35">
        <v>5027.9999999999991</v>
      </c>
      <c r="CR35">
        <v>9</v>
      </c>
      <c r="CS35">
        <v>4525.1999999999989</v>
      </c>
      <c r="CT35">
        <v>9</v>
      </c>
      <c r="CU35">
        <v>4525.1999999999989</v>
      </c>
    </row>
    <row r="36" spans="2:99" x14ac:dyDescent="0.2">
      <c r="C36" s="116" t="s">
        <v>202</v>
      </c>
      <c r="D36">
        <v>25</v>
      </c>
      <c r="E36">
        <v>19020</v>
      </c>
      <c r="F36">
        <v>34</v>
      </c>
      <c r="G36">
        <v>25867.199999999997</v>
      </c>
      <c r="H36">
        <v>33</v>
      </c>
      <c r="I36">
        <v>25106.399999999998</v>
      </c>
      <c r="J36">
        <v>32</v>
      </c>
      <c r="K36">
        <v>24345.599999999999</v>
      </c>
      <c r="L36">
        <v>8</v>
      </c>
      <c r="M36">
        <v>6086.4</v>
      </c>
      <c r="N36">
        <v>12</v>
      </c>
      <c r="O36">
        <v>9129.5999999999985</v>
      </c>
      <c r="P36">
        <v>8</v>
      </c>
      <c r="Q36">
        <v>6086.4</v>
      </c>
      <c r="R36">
        <v>11</v>
      </c>
      <c r="S36">
        <v>8368.7999999999993</v>
      </c>
      <c r="T36">
        <v>25</v>
      </c>
      <c r="U36">
        <v>19020</v>
      </c>
      <c r="V36">
        <v>18</v>
      </c>
      <c r="W36">
        <v>13694.4</v>
      </c>
      <c r="X36">
        <v>23</v>
      </c>
      <c r="Y36">
        <v>17498.399999999998</v>
      </c>
      <c r="Z36">
        <v>30</v>
      </c>
      <c r="AA36">
        <v>22824</v>
      </c>
      <c r="AB36">
        <v>9</v>
      </c>
      <c r="AC36">
        <v>6847.2</v>
      </c>
      <c r="AD36">
        <v>5</v>
      </c>
      <c r="AE36">
        <v>3804</v>
      </c>
      <c r="AF36">
        <v>5</v>
      </c>
      <c r="AG36">
        <v>3804</v>
      </c>
      <c r="AH36">
        <v>8</v>
      </c>
      <c r="AI36">
        <v>6086.4</v>
      </c>
      <c r="AJ36">
        <v>27</v>
      </c>
      <c r="AK36">
        <v>20541.599999999999</v>
      </c>
      <c r="AL36">
        <v>18</v>
      </c>
      <c r="AM36">
        <v>13694.4</v>
      </c>
      <c r="AN36">
        <v>17</v>
      </c>
      <c r="AO36">
        <v>12933.599999999999</v>
      </c>
      <c r="AP36">
        <v>25</v>
      </c>
      <c r="AQ36">
        <v>19020</v>
      </c>
      <c r="AR36">
        <v>14</v>
      </c>
      <c r="AS36">
        <v>10651.199999999999</v>
      </c>
      <c r="AT36">
        <v>13</v>
      </c>
      <c r="AU36">
        <v>9890.4</v>
      </c>
      <c r="AV36">
        <v>28</v>
      </c>
      <c r="AW36">
        <v>21302.399999999998</v>
      </c>
      <c r="AX36">
        <v>19</v>
      </c>
      <c r="AY36">
        <v>14455.199999999999</v>
      </c>
      <c r="AZ36">
        <v>4</v>
      </c>
      <c r="BA36">
        <v>3043.2</v>
      </c>
      <c r="BB36">
        <v>5</v>
      </c>
      <c r="BC36">
        <v>3804</v>
      </c>
      <c r="BD36">
        <v>6</v>
      </c>
      <c r="BE36">
        <v>4564.7999999999993</v>
      </c>
      <c r="BF36">
        <v>7</v>
      </c>
      <c r="BG36">
        <v>5325.5999999999995</v>
      </c>
      <c r="BH36">
        <v>60</v>
      </c>
      <c r="BI36">
        <v>45648</v>
      </c>
      <c r="BJ36">
        <v>98</v>
      </c>
      <c r="BK36">
        <v>74558.399999999994</v>
      </c>
      <c r="BL36">
        <v>73</v>
      </c>
      <c r="BM36">
        <v>55538.399999999994</v>
      </c>
      <c r="BN36">
        <v>59</v>
      </c>
      <c r="BO36">
        <v>44887.199999999997</v>
      </c>
      <c r="BP36">
        <v>28</v>
      </c>
      <c r="BQ36">
        <v>21302.399999999998</v>
      </c>
      <c r="BR36">
        <v>22</v>
      </c>
      <c r="BS36">
        <v>16737.599999999999</v>
      </c>
      <c r="BT36">
        <v>40</v>
      </c>
      <c r="BU36">
        <v>30432</v>
      </c>
      <c r="BV36">
        <v>20</v>
      </c>
      <c r="BW36">
        <v>15216</v>
      </c>
      <c r="BX36">
        <v>12</v>
      </c>
      <c r="BY36">
        <v>9129.5999999999985</v>
      </c>
      <c r="BZ36">
        <v>7</v>
      </c>
      <c r="CA36">
        <v>5325.5999999999995</v>
      </c>
      <c r="CB36">
        <v>10</v>
      </c>
      <c r="CC36">
        <v>7608</v>
      </c>
      <c r="CD36">
        <v>11</v>
      </c>
      <c r="CE36">
        <v>8368.7999999999993</v>
      </c>
      <c r="CF36">
        <v>17</v>
      </c>
      <c r="CG36">
        <v>12933.599999999999</v>
      </c>
      <c r="CH36">
        <v>32</v>
      </c>
      <c r="CI36">
        <v>24345.599999999999</v>
      </c>
      <c r="CJ36">
        <v>20</v>
      </c>
      <c r="CK36">
        <v>15216</v>
      </c>
      <c r="CL36">
        <v>19</v>
      </c>
      <c r="CM36">
        <v>14455.199999999999</v>
      </c>
      <c r="CN36">
        <v>11</v>
      </c>
      <c r="CO36">
        <v>8368.7999999999993</v>
      </c>
      <c r="CP36">
        <v>9</v>
      </c>
      <c r="CQ36">
        <v>6847.2</v>
      </c>
      <c r="CR36">
        <v>8</v>
      </c>
      <c r="CS36">
        <v>6086.4</v>
      </c>
      <c r="CT36">
        <v>9</v>
      </c>
      <c r="CU36">
        <v>6847.2</v>
      </c>
    </row>
    <row r="37" spans="2:99" x14ac:dyDescent="0.2">
      <c r="B37" s="116" t="s">
        <v>128</v>
      </c>
      <c r="C37" s="116" t="s">
        <v>203</v>
      </c>
      <c r="D37">
        <v>5</v>
      </c>
      <c r="E37">
        <v>4302</v>
      </c>
      <c r="F37">
        <v>5</v>
      </c>
      <c r="G37">
        <v>4302</v>
      </c>
      <c r="H37">
        <v>6</v>
      </c>
      <c r="I37">
        <v>5162.3999999999996</v>
      </c>
      <c r="J37">
        <v>6</v>
      </c>
      <c r="K37">
        <v>5162.3999999999996</v>
      </c>
      <c r="L37">
        <v>79</v>
      </c>
      <c r="M37">
        <v>67971.599999999991</v>
      </c>
      <c r="N37">
        <v>102</v>
      </c>
      <c r="O37">
        <v>87760.8</v>
      </c>
      <c r="P37">
        <v>52</v>
      </c>
      <c r="Q37">
        <v>44740.799999999996</v>
      </c>
      <c r="R37">
        <v>50</v>
      </c>
      <c r="S37">
        <v>43020</v>
      </c>
      <c r="T37">
        <v>41</v>
      </c>
      <c r="U37">
        <v>35276.400000000001</v>
      </c>
      <c r="V37">
        <v>75</v>
      </c>
      <c r="W37">
        <v>64530</v>
      </c>
      <c r="X37">
        <v>57</v>
      </c>
      <c r="Y37">
        <v>49042.799999999996</v>
      </c>
      <c r="Z37">
        <v>59</v>
      </c>
      <c r="AA37">
        <v>50763.6</v>
      </c>
      <c r="AB37">
        <v>8</v>
      </c>
      <c r="AC37">
        <v>6883.2</v>
      </c>
      <c r="AD37">
        <v>9</v>
      </c>
      <c r="AE37">
        <v>7743.5999999999995</v>
      </c>
      <c r="AF37">
        <v>10</v>
      </c>
      <c r="AG37">
        <v>8604</v>
      </c>
      <c r="AH37">
        <v>7</v>
      </c>
      <c r="AI37">
        <v>6022.8</v>
      </c>
      <c r="AJ37">
        <v>17</v>
      </c>
      <c r="AK37">
        <v>14626.8</v>
      </c>
      <c r="AL37">
        <v>18</v>
      </c>
      <c r="AM37">
        <v>15487.199999999999</v>
      </c>
      <c r="AN37">
        <v>17</v>
      </c>
      <c r="AO37">
        <v>14626.8</v>
      </c>
      <c r="AP37">
        <v>19</v>
      </c>
      <c r="AQ37">
        <v>16347.6</v>
      </c>
      <c r="AR37">
        <v>24</v>
      </c>
      <c r="AS37">
        <v>20649.599999999999</v>
      </c>
      <c r="AT37">
        <v>30</v>
      </c>
      <c r="AU37">
        <v>25812</v>
      </c>
      <c r="AV37">
        <v>32</v>
      </c>
      <c r="AW37">
        <v>27532.799999999999</v>
      </c>
      <c r="AX37">
        <v>33</v>
      </c>
      <c r="AY37">
        <v>28393.200000000001</v>
      </c>
      <c r="AZ37">
        <v>5</v>
      </c>
      <c r="BA37">
        <v>4302</v>
      </c>
      <c r="BB37">
        <v>6</v>
      </c>
      <c r="BC37">
        <v>5162.3999999999996</v>
      </c>
      <c r="BD37">
        <v>5</v>
      </c>
      <c r="BE37">
        <v>4302</v>
      </c>
      <c r="BF37">
        <v>6</v>
      </c>
      <c r="BG37">
        <v>5162.3999999999996</v>
      </c>
      <c r="BH37">
        <v>8</v>
      </c>
      <c r="BI37">
        <v>6883.2</v>
      </c>
      <c r="BJ37">
        <v>8</v>
      </c>
      <c r="BK37">
        <v>6883.2</v>
      </c>
      <c r="BL37">
        <v>5</v>
      </c>
      <c r="BM37">
        <v>4302</v>
      </c>
      <c r="BN37">
        <v>6</v>
      </c>
      <c r="BO37">
        <v>5162.3999999999996</v>
      </c>
      <c r="BP37">
        <v>10</v>
      </c>
      <c r="BQ37">
        <v>8604</v>
      </c>
      <c r="BR37">
        <v>10</v>
      </c>
      <c r="BS37">
        <v>8604</v>
      </c>
      <c r="BT37">
        <v>11</v>
      </c>
      <c r="BU37">
        <v>9464.4</v>
      </c>
      <c r="BV37">
        <v>12</v>
      </c>
      <c r="BW37">
        <v>10324.799999999999</v>
      </c>
      <c r="BX37">
        <v>9</v>
      </c>
      <c r="BY37">
        <v>7743.5999999999995</v>
      </c>
      <c r="BZ37">
        <v>7</v>
      </c>
      <c r="CA37">
        <v>6022.8</v>
      </c>
      <c r="CB37">
        <v>6</v>
      </c>
      <c r="CC37">
        <v>5162.3999999999996</v>
      </c>
      <c r="CD37">
        <v>10</v>
      </c>
      <c r="CE37">
        <v>8604</v>
      </c>
      <c r="CF37">
        <v>28</v>
      </c>
      <c r="CG37">
        <v>24091.200000000001</v>
      </c>
      <c r="CH37">
        <v>26</v>
      </c>
      <c r="CI37">
        <v>22370.399999999998</v>
      </c>
      <c r="CJ37">
        <v>34</v>
      </c>
      <c r="CK37">
        <v>29253.599999999999</v>
      </c>
      <c r="CL37">
        <v>29</v>
      </c>
      <c r="CM37">
        <v>24951.599999999999</v>
      </c>
      <c r="CN37">
        <v>7</v>
      </c>
      <c r="CO37">
        <v>6022.8</v>
      </c>
      <c r="CP37">
        <v>7</v>
      </c>
      <c r="CQ37">
        <v>6022.8</v>
      </c>
      <c r="CR37">
        <v>7</v>
      </c>
      <c r="CS37">
        <v>6022.8</v>
      </c>
      <c r="CT37">
        <v>10</v>
      </c>
      <c r="CU37">
        <v>8604</v>
      </c>
    </row>
    <row r="38" spans="2:99" x14ac:dyDescent="0.2">
      <c r="C38" s="116" t="s">
        <v>204</v>
      </c>
      <c r="D38">
        <v>5</v>
      </c>
      <c r="E38">
        <v>6210</v>
      </c>
      <c r="F38">
        <v>4</v>
      </c>
      <c r="G38">
        <v>4968</v>
      </c>
      <c r="H38">
        <v>6</v>
      </c>
      <c r="I38">
        <v>7452</v>
      </c>
      <c r="J38">
        <v>6</v>
      </c>
      <c r="K38">
        <v>7452</v>
      </c>
      <c r="L38">
        <v>73</v>
      </c>
      <c r="M38">
        <v>90666</v>
      </c>
      <c r="N38">
        <v>92</v>
      </c>
      <c r="O38">
        <v>114264</v>
      </c>
      <c r="P38">
        <v>51</v>
      </c>
      <c r="Q38">
        <v>63342</v>
      </c>
      <c r="R38">
        <v>47</v>
      </c>
      <c r="S38">
        <v>58374</v>
      </c>
      <c r="T38">
        <v>38</v>
      </c>
      <c r="U38">
        <v>47196</v>
      </c>
      <c r="V38">
        <v>67</v>
      </c>
      <c r="W38">
        <v>83214</v>
      </c>
      <c r="X38">
        <v>51</v>
      </c>
      <c r="Y38">
        <v>63342</v>
      </c>
      <c r="Z38">
        <v>46</v>
      </c>
      <c r="AA38">
        <v>57132</v>
      </c>
      <c r="AB38">
        <v>7</v>
      </c>
      <c r="AC38">
        <v>8694</v>
      </c>
      <c r="AD38">
        <v>9</v>
      </c>
      <c r="AE38">
        <v>11178</v>
      </c>
      <c r="AF38">
        <v>12</v>
      </c>
      <c r="AG38">
        <v>14904</v>
      </c>
      <c r="AH38">
        <v>6</v>
      </c>
      <c r="AI38">
        <v>7452</v>
      </c>
      <c r="AJ38">
        <v>16</v>
      </c>
      <c r="AK38">
        <v>19872</v>
      </c>
      <c r="AL38">
        <v>17</v>
      </c>
      <c r="AM38">
        <v>21114</v>
      </c>
      <c r="AN38">
        <v>18</v>
      </c>
      <c r="AO38">
        <v>22356</v>
      </c>
      <c r="AP38">
        <v>21</v>
      </c>
      <c r="AQ38">
        <v>26082</v>
      </c>
      <c r="AR38">
        <v>23</v>
      </c>
      <c r="AS38">
        <v>28566</v>
      </c>
      <c r="AT38">
        <v>29</v>
      </c>
      <c r="AU38">
        <v>36018</v>
      </c>
      <c r="AV38">
        <v>33</v>
      </c>
      <c r="AW38">
        <v>40986</v>
      </c>
      <c r="AX38">
        <v>30</v>
      </c>
      <c r="AY38">
        <v>37260</v>
      </c>
      <c r="AZ38">
        <v>5</v>
      </c>
      <c r="BA38">
        <v>6210</v>
      </c>
      <c r="BB38">
        <v>6</v>
      </c>
      <c r="BC38">
        <v>7452</v>
      </c>
      <c r="BD38">
        <v>4</v>
      </c>
      <c r="BE38">
        <v>4968</v>
      </c>
      <c r="BF38">
        <v>7</v>
      </c>
      <c r="BG38">
        <v>8694</v>
      </c>
      <c r="BH38">
        <v>8</v>
      </c>
      <c r="BI38">
        <v>9936</v>
      </c>
      <c r="BJ38">
        <v>8</v>
      </c>
      <c r="BK38">
        <v>9936</v>
      </c>
      <c r="BL38">
        <v>5</v>
      </c>
      <c r="BM38">
        <v>6210</v>
      </c>
      <c r="BN38">
        <v>6</v>
      </c>
      <c r="BO38">
        <v>7452</v>
      </c>
      <c r="BP38">
        <v>11</v>
      </c>
      <c r="BQ38">
        <v>13662</v>
      </c>
      <c r="BR38">
        <v>9</v>
      </c>
      <c r="BS38">
        <v>11178</v>
      </c>
      <c r="BT38">
        <v>9</v>
      </c>
      <c r="BU38">
        <v>11178</v>
      </c>
      <c r="BV38">
        <v>14</v>
      </c>
      <c r="BW38">
        <v>17388</v>
      </c>
      <c r="BX38">
        <v>9</v>
      </c>
      <c r="BY38">
        <v>11178</v>
      </c>
      <c r="BZ38">
        <v>7</v>
      </c>
      <c r="CA38">
        <v>8694</v>
      </c>
      <c r="CB38">
        <v>6</v>
      </c>
      <c r="CC38">
        <v>7452</v>
      </c>
      <c r="CD38">
        <v>10</v>
      </c>
      <c r="CE38">
        <v>12420</v>
      </c>
      <c r="CF38">
        <v>27</v>
      </c>
      <c r="CG38">
        <v>33534</v>
      </c>
      <c r="CH38">
        <v>25</v>
      </c>
      <c r="CI38">
        <v>31050</v>
      </c>
      <c r="CJ38">
        <v>34</v>
      </c>
      <c r="CK38">
        <v>42228</v>
      </c>
      <c r="CL38">
        <v>26</v>
      </c>
      <c r="CM38">
        <v>32292</v>
      </c>
      <c r="CN38">
        <v>7</v>
      </c>
      <c r="CO38">
        <v>8694</v>
      </c>
      <c r="CP38">
        <v>7</v>
      </c>
      <c r="CQ38">
        <v>8694</v>
      </c>
      <c r="CR38">
        <v>8</v>
      </c>
      <c r="CS38">
        <v>9936</v>
      </c>
      <c r="CT38">
        <v>9</v>
      </c>
      <c r="CU38">
        <v>11178</v>
      </c>
    </row>
    <row r="39" spans="2:99" x14ac:dyDescent="0.2">
      <c r="C39" s="116" t="s">
        <v>205</v>
      </c>
      <c r="D39">
        <v>5</v>
      </c>
      <c r="E39">
        <v>7116</v>
      </c>
      <c r="F39">
        <v>4</v>
      </c>
      <c r="G39">
        <v>5692.8</v>
      </c>
      <c r="H39">
        <v>6</v>
      </c>
      <c r="I39">
        <v>8539.2000000000007</v>
      </c>
      <c r="J39">
        <v>6</v>
      </c>
      <c r="K39">
        <v>8539.2000000000007</v>
      </c>
      <c r="L39">
        <v>75</v>
      </c>
      <c r="M39">
        <v>106740</v>
      </c>
      <c r="N39">
        <v>86</v>
      </c>
      <c r="O39">
        <v>122395.2</v>
      </c>
      <c r="P39">
        <v>50</v>
      </c>
      <c r="Q39">
        <v>71160</v>
      </c>
      <c r="R39">
        <v>41</v>
      </c>
      <c r="S39">
        <v>58351.200000000004</v>
      </c>
      <c r="T39">
        <v>43</v>
      </c>
      <c r="U39">
        <v>61197.599999999999</v>
      </c>
      <c r="V39">
        <v>70</v>
      </c>
      <c r="W39">
        <v>99624</v>
      </c>
      <c r="X39">
        <v>48</v>
      </c>
      <c r="Y39">
        <v>68313.600000000006</v>
      </c>
      <c r="Z39">
        <v>51</v>
      </c>
      <c r="AA39">
        <v>72583.199999999997</v>
      </c>
      <c r="AB39">
        <v>7</v>
      </c>
      <c r="AC39">
        <v>9962.4</v>
      </c>
      <c r="AD39">
        <v>8</v>
      </c>
      <c r="AE39">
        <v>11385.6</v>
      </c>
      <c r="AF39">
        <v>12</v>
      </c>
      <c r="AG39">
        <v>17078.400000000001</v>
      </c>
      <c r="AH39">
        <v>6</v>
      </c>
      <c r="AI39">
        <v>8539.2000000000007</v>
      </c>
      <c r="AJ39">
        <v>17</v>
      </c>
      <c r="AK39">
        <v>24194.400000000001</v>
      </c>
      <c r="AL39">
        <v>18</v>
      </c>
      <c r="AM39">
        <v>25617.600000000002</v>
      </c>
      <c r="AN39">
        <v>16</v>
      </c>
      <c r="AO39">
        <v>22771.200000000001</v>
      </c>
      <c r="AP39">
        <v>19</v>
      </c>
      <c r="AQ39">
        <v>27040.799999999999</v>
      </c>
      <c r="AR39">
        <v>24</v>
      </c>
      <c r="AS39">
        <v>34156.800000000003</v>
      </c>
      <c r="AT39">
        <v>27</v>
      </c>
      <c r="AU39">
        <v>38426.400000000001</v>
      </c>
      <c r="AV39">
        <v>32</v>
      </c>
      <c r="AW39">
        <v>45542.400000000001</v>
      </c>
      <c r="AX39">
        <v>31</v>
      </c>
      <c r="AY39">
        <v>44119.200000000004</v>
      </c>
      <c r="AZ39">
        <v>6</v>
      </c>
      <c r="BA39">
        <v>8539.2000000000007</v>
      </c>
      <c r="BB39">
        <v>6</v>
      </c>
      <c r="BC39">
        <v>8539.2000000000007</v>
      </c>
      <c r="BD39">
        <v>5</v>
      </c>
      <c r="BE39">
        <v>7116</v>
      </c>
      <c r="BF39">
        <v>6</v>
      </c>
      <c r="BG39">
        <v>8539.2000000000007</v>
      </c>
      <c r="BH39">
        <v>8</v>
      </c>
      <c r="BI39">
        <v>11385.6</v>
      </c>
      <c r="BJ39">
        <v>8</v>
      </c>
      <c r="BK39">
        <v>11385.6</v>
      </c>
      <c r="BL39">
        <v>5</v>
      </c>
      <c r="BM39">
        <v>7116</v>
      </c>
      <c r="BN39">
        <v>6</v>
      </c>
      <c r="BO39">
        <v>8539.2000000000007</v>
      </c>
      <c r="BP39">
        <v>10</v>
      </c>
      <c r="BQ39">
        <v>14232</v>
      </c>
      <c r="BR39">
        <v>9</v>
      </c>
      <c r="BS39">
        <v>12808.800000000001</v>
      </c>
      <c r="BT39">
        <v>9</v>
      </c>
      <c r="BU39">
        <v>12808.800000000001</v>
      </c>
      <c r="BV39">
        <v>12</v>
      </c>
      <c r="BW39">
        <v>17078.400000000001</v>
      </c>
      <c r="BX39">
        <v>9</v>
      </c>
      <c r="BY39">
        <v>12808.800000000001</v>
      </c>
      <c r="BZ39">
        <v>8</v>
      </c>
      <c r="CA39">
        <v>11385.6</v>
      </c>
      <c r="CB39">
        <v>6</v>
      </c>
      <c r="CC39">
        <v>8539.2000000000007</v>
      </c>
      <c r="CD39">
        <v>10</v>
      </c>
      <c r="CE39">
        <v>14232</v>
      </c>
      <c r="CF39">
        <v>27</v>
      </c>
      <c r="CG39">
        <v>38426.400000000001</v>
      </c>
      <c r="CH39">
        <v>24</v>
      </c>
      <c r="CI39">
        <v>34156.800000000003</v>
      </c>
      <c r="CJ39">
        <v>34</v>
      </c>
      <c r="CK39">
        <v>48388.800000000003</v>
      </c>
      <c r="CL39">
        <v>27</v>
      </c>
      <c r="CM39">
        <v>38426.400000000001</v>
      </c>
      <c r="CN39">
        <v>7</v>
      </c>
      <c r="CO39">
        <v>9962.4</v>
      </c>
      <c r="CP39">
        <v>7</v>
      </c>
      <c r="CQ39">
        <v>9962.4</v>
      </c>
      <c r="CR39">
        <v>8</v>
      </c>
      <c r="CS39">
        <v>11385.6</v>
      </c>
      <c r="CT39">
        <v>9</v>
      </c>
      <c r="CU39">
        <v>12808.800000000001</v>
      </c>
    </row>
    <row r="40" spans="2:99" x14ac:dyDescent="0.2">
      <c r="C40" s="116" t="s">
        <v>206</v>
      </c>
      <c r="D40">
        <v>5</v>
      </c>
      <c r="E40">
        <v>3624</v>
      </c>
      <c r="F40">
        <v>5</v>
      </c>
      <c r="G40">
        <v>3624</v>
      </c>
      <c r="H40">
        <v>6</v>
      </c>
      <c r="I40">
        <v>4348.7999999999993</v>
      </c>
      <c r="J40">
        <v>7</v>
      </c>
      <c r="K40">
        <v>5073.5999999999995</v>
      </c>
      <c r="L40">
        <v>85</v>
      </c>
      <c r="M40">
        <v>61607.999999999993</v>
      </c>
      <c r="N40">
        <v>101</v>
      </c>
      <c r="O40">
        <v>73204.799999999988</v>
      </c>
      <c r="P40">
        <v>59</v>
      </c>
      <c r="Q40">
        <v>42763.199999999997</v>
      </c>
      <c r="R40">
        <v>48</v>
      </c>
      <c r="S40">
        <v>34790.399999999994</v>
      </c>
      <c r="T40">
        <v>44</v>
      </c>
      <c r="U40">
        <v>31891.199999999997</v>
      </c>
      <c r="V40">
        <v>71</v>
      </c>
      <c r="W40">
        <v>51460.799999999996</v>
      </c>
      <c r="X40">
        <v>54</v>
      </c>
      <c r="Y40">
        <v>39139.199999999997</v>
      </c>
      <c r="Z40">
        <v>60</v>
      </c>
      <c r="AA40">
        <v>43488</v>
      </c>
      <c r="AB40">
        <v>8</v>
      </c>
      <c r="AC40">
        <v>5798.4</v>
      </c>
      <c r="AD40">
        <v>9</v>
      </c>
      <c r="AE40">
        <v>6523.2</v>
      </c>
      <c r="AF40">
        <v>12</v>
      </c>
      <c r="AG40">
        <v>8697.5999999999985</v>
      </c>
      <c r="AH40">
        <v>7</v>
      </c>
      <c r="AI40">
        <v>5073.5999999999995</v>
      </c>
      <c r="AJ40">
        <v>18</v>
      </c>
      <c r="AK40">
        <v>13046.4</v>
      </c>
      <c r="AL40">
        <v>17</v>
      </c>
      <c r="AM40">
        <v>12321.599999999999</v>
      </c>
      <c r="AN40">
        <v>17</v>
      </c>
      <c r="AO40">
        <v>12321.599999999999</v>
      </c>
      <c r="AP40">
        <v>19</v>
      </c>
      <c r="AQ40">
        <v>13771.199999999999</v>
      </c>
      <c r="AR40">
        <v>25</v>
      </c>
      <c r="AS40">
        <v>18120</v>
      </c>
      <c r="AT40">
        <v>31</v>
      </c>
      <c r="AU40">
        <v>22468.799999999999</v>
      </c>
      <c r="AV40">
        <v>32</v>
      </c>
      <c r="AW40">
        <v>23193.599999999999</v>
      </c>
      <c r="AX40">
        <v>35</v>
      </c>
      <c r="AY40">
        <v>25368</v>
      </c>
      <c r="AZ40">
        <v>5</v>
      </c>
      <c r="BA40">
        <v>3624</v>
      </c>
      <c r="BB40">
        <v>6</v>
      </c>
      <c r="BC40">
        <v>4348.7999999999993</v>
      </c>
      <c r="BD40">
        <v>5</v>
      </c>
      <c r="BE40">
        <v>3624</v>
      </c>
      <c r="BF40">
        <v>7</v>
      </c>
      <c r="BG40">
        <v>5073.5999999999995</v>
      </c>
      <c r="BH40">
        <v>9</v>
      </c>
      <c r="BI40">
        <v>6523.2</v>
      </c>
      <c r="BJ40">
        <v>9</v>
      </c>
      <c r="BK40">
        <v>6523.2</v>
      </c>
      <c r="BL40">
        <v>6</v>
      </c>
      <c r="BM40">
        <v>4348.7999999999993</v>
      </c>
      <c r="BN40">
        <v>7</v>
      </c>
      <c r="BO40">
        <v>5073.5999999999995</v>
      </c>
      <c r="BP40">
        <v>10</v>
      </c>
      <c r="BQ40">
        <v>7248</v>
      </c>
      <c r="BR40">
        <v>11</v>
      </c>
      <c r="BS40">
        <v>7972.7999999999993</v>
      </c>
      <c r="BT40">
        <v>11</v>
      </c>
      <c r="BU40">
        <v>7972.7999999999993</v>
      </c>
      <c r="BV40">
        <v>12</v>
      </c>
      <c r="BW40">
        <v>8697.5999999999985</v>
      </c>
      <c r="BX40">
        <v>11</v>
      </c>
      <c r="BY40">
        <v>7972.7999999999993</v>
      </c>
      <c r="BZ40">
        <v>8</v>
      </c>
      <c r="CA40">
        <v>5798.4</v>
      </c>
      <c r="CB40">
        <v>7</v>
      </c>
      <c r="CC40">
        <v>5073.5999999999995</v>
      </c>
      <c r="CD40">
        <v>12</v>
      </c>
      <c r="CE40">
        <v>8697.5999999999985</v>
      </c>
      <c r="CF40">
        <v>29</v>
      </c>
      <c r="CG40">
        <v>21019.199999999997</v>
      </c>
      <c r="CH40">
        <v>30</v>
      </c>
      <c r="CI40">
        <v>21744</v>
      </c>
      <c r="CJ40">
        <v>37</v>
      </c>
      <c r="CK40">
        <v>26817.599999999999</v>
      </c>
      <c r="CL40">
        <v>30</v>
      </c>
      <c r="CM40">
        <v>21744</v>
      </c>
      <c r="CN40">
        <v>7</v>
      </c>
      <c r="CO40">
        <v>5073.5999999999995</v>
      </c>
      <c r="CP40">
        <v>7</v>
      </c>
      <c r="CQ40">
        <v>5073.5999999999995</v>
      </c>
      <c r="CR40">
        <v>8</v>
      </c>
      <c r="CS40">
        <v>5798.4</v>
      </c>
      <c r="CT40">
        <v>10</v>
      </c>
      <c r="CU40">
        <v>7248</v>
      </c>
    </row>
    <row r="41" spans="2:99" x14ac:dyDescent="0.2">
      <c r="C41" s="116" t="s">
        <v>207</v>
      </c>
      <c r="D41">
        <v>5</v>
      </c>
      <c r="E41">
        <v>3300</v>
      </c>
      <c r="F41">
        <v>5</v>
      </c>
      <c r="G41">
        <v>3300</v>
      </c>
      <c r="H41">
        <v>7</v>
      </c>
      <c r="I41">
        <v>4620</v>
      </c>
      <c r="J41">
        <v>7</v>
      </c>
      <c r="K41">
        <v>4620</v>
      </c>
      <c r="L41">
        <v>83</v>
      </c>
      <c r="M41">
        <v>54780</v>
      </c>
      <c r="N41">
        <v>104</v>
      </c>
      <c r="O41">
        <v>68640</v>
      </c>
      <c r="P41">
        <v>57</v>
      </c>
      <c r="Q41">
        <v>37620</v>
      </c>
      <c r="R41">
        <v>57</v>
      </c>
      <c r="S41">
        <v>37620</v>
      </c>
      <c r="T41">
        <v>42</v>
      </c>
      <c r="U41">
        <v>27720</v>
      </c>
      <c r="V41">
        <v>68</v>
      </c>
      <c r="W41">
        <v>44880</v>
      </c>
      <c r="X41">
        <v>61</v>
      </c>
      <c r="Y41">
        <v>40260</v>
      </c>
      <c r="Z41">
        <v>54</v>
      </c>
      <c r="AA41">
        <v>35640</v>
      </c>
      <c r="AB41">
        <v>8</v>
      </c>
      <c r="AC41">
        <v>5280</v>
      </c>
      <c r="AD41">
        <v>9</v>
      </c>
      <c r="AE41">
        <v>5940</v>
      </c>
      <c r="AF41">
        <v>12</v>
      </c>
      <c r="AG41">
        <v>7920</v>
      </c>
      <c r="AH41">
        <v>6</v>
      </c>
      <c r="AI41">
        <v>3960</v>
      </c>
      <c r="AJ41">
        <v>18</v>
      </c>
      <c r="AK41">
        <v>11880</v>
      </c>
      <c r="AL41">
        <v>19</v>
      </c>
      <c r="AM41">
        <v>12540</v>
      </c>
      <c r="AN41">
        <v>17</v>
      </c>
      <c r="AO41">
        <v>11220</v>
      </c>
      <c r="AP41">
        <v>21</v>
      </c>
      <c r="AQ41">
        <v>13860</v>
      </c>
      <c r="AR41">
        <v>26</v>
      </c>
      <c r="AS41">
        <v>17160</v>
      </c>
      <c r="AT41">
        <v>30</v>
      </c>
      <c r="AU41">
        <v>19800</v>
      </c>
      <c r="AV41">
        <v>37</v>
      </c>
      <c r="AW41">
        <v>24420</v>
      </c>
      <c r="AX41">
        <v>34</v>
      </c>
      <c r="AY41">
        <v>22440</v>
      </c>
      <c r="AZ41">
        <v>6</v>
      </c>
      <c r="BA41">
        <v>3960</v>
      </c>
      <c r="BB41">
        <v>6</v>
      </c>
      <c r="BC41">
        <v>3960</v>
      </c>
      <c r="BD41">
        <v>5</v>
      </c>
      <c r="BE41">
        <v>3300</v>
      </c>
      <c r="BF41">
        <v>6</v>
      </c>
      <c r="BG41">
        <v>3960</v>
      </c>
      <c r="BH41">
        <v>9</v>
      </c>
      <c r="BI41">
        <v>5940</v>
      </c>
      <c r="BJ41">
        <v>8</v>
      </c>
      <c r="BK41">
        <v>5280</v>
      </c>
      <c r="BL41">
        <v>6</v>
      </c>
      <c r="BM41">
        <v>3960</v>
      </c>
      <c r="BN41">
        <v>6</v>
      </c>
      <c r="BO41">
        <v>3960</v>
      </c>
      <c r="BP41">
        <v>11</v>
      </c>
      <c r="BQ41">
        <v>7260</v>
      </c>
      <c r="BR41">
        <v>11</v>
      </c>
      <c r="BS41">
        <v>7260</v>
      </c>
      <c r="BT41">
        <v>12</v>
      </c>
      <c r="BU41">
        <v>7920</v>
      </c>
      <c r="BV41">
        <v>13</v>
      </c>
      <c r="BW41">
        <v>8580</v>
      </c>
      <c r="BX41">
        <v>9</v>
      </c>
      <c r="BY41">
        <v>5940</v>
      </c>
      <c r="BZ41">
        <v>8</v>
      </c>
      <c r="CA41">
        <v>5280</v>
      </c>
      <c r="CB41">
        <v>6</v>
      </c>
      <c r="CC41">
        <v>3960</v>
      </c>
      <c r="CD41">
        <v>11</v>
      </c>
      <c r="CE41">
        <v>7260</v>
      </c>
      <c r="CF41">
        <v>28</v>
      </c>
      <c r="CG41">
        <v>18480</v>
      </c>
      <c r="CH41">
        <v>29</v>
      </c>
      <c r="CI41">
        <v>19140</v>
      </c>
      <c r="CJ41">
        <v>35</v>
      </c>
      <c r="CK41">
        <v>23100</v>
      </c>
      <c r="CL41">
        <v>32</v>
      </c>
      <c r="CM41">
        <v>21120</v>
      </c>
      <c r="CN41">
        <v>8</v>
      </c>
      <c r="CO41">
        <v>5280</v>
      </c>
      <c r="CP41">
        <v>8</v>
      </c>
      <c r="CQ41">
        <v>5280</v>
      </c>
      <c r="CR41">
        <v>7</v>
      </c>
      <c r="CS41">
        <v>4620</v>
      </c>
      <c r="CT41">
        <v>9</v>
      </c>
      <c r="CU41">
        <v>5940</v>
      </c>
    </row>
    <row r="42" spans="2:99" x14ac:dyDescent="0.2">
      <c r="C42" s="116" t="s">
        <v>208</v>
      </c>
      <c r="D42">
        <v>5</v>
      </c>
      <c r="E42">
        <v>4230</v>
      </c>
      <c r="F42">
        <v>5</v>
      </c>
      <c r="G42">
        <v>4230</v>
      </c>
      <c r="H42">
        <v>6</v>
      </c>
      <c r="I42">
        <v>5076</v>
      </c>
      <c r="J42">
        <v>6</v>
      </c>
      <c r="K42">
        <v>5076</v>
      </c>
      <c r="L42">
        <v>83</v>
      </c>
      <c r="M42">
        <v>70218</v>
      </c>
      <c r="N42">
        <v>93</v>
      </c>
      <c r="O42">
        <v>78678</v>
      </c>
      <c r="P42">
        <v>59</v>
      </c>
      <c r="Q42">
        <v>49914</v>
      </c>
      <c r="R42">
        <v>46</v>
      </c>
      <c r="S42">
        <v>38916</v>
      </c>
      <c r="T42">
        <v>41</v>
      </c>
      <c r="U42">
        <v>34686</v>
      </c>
      <c r="V42">
        <v>75</v>
      </c>
      <c r="W42">
        <v>63450</v>
      </c>
      <c r="X42">
        <v>54</v>
      </c>
      <c r="Y42">
        <v>45684</v>
      </c>
      <c r="Z42">
        <v>59</v>
      </c>
      <c r="AA42">
        <v>49914</v>
      </c>
      <c r="AB42">
        <v>8</v>
      </c>
      <c r="AC42">
        <v>6768</v>
      </c>
      <c r="AD42">
        <v>8</v>
      </c>
      <c r="AE42">
        <v>6768</v>
      </c>
      <c r="AF42">
        <v>12</v>
      </c>
      <c r="AG42">
        <v>10152</v>
      </c>
      <c r="AH42">
        <v>6</v>
      </c>
      <c r="AI42">
        <v>5076</v>
      </c>
      <c r="AJ42">
        <v>18</v>
      </c>
      <c r="AK42">
        <v>15228</v>
      </c>
      <c r="AL42">
        <v>17</v>
      </c>
      <c r="AM42">
        <v>14382</v>
      </c>
      <c r="AN42">
        <v>16</v>
      </c>
      <c r="AO42">
        <v>13536</v>
      </c>
      <c r="AP42">
        <v>21</v>
      </c>
      <c r="AQ42">
        <v>17766</v>
      </c>
      <c r="AR42">
        <v>23</v>
      </c>
      <c r="AS42">
        <v>19458</v>
      </c>
      <c r="AT42">
        <v>28</v>
      </c>
      <c r="AU42">
        <v>23688</v>
      </c>
      <c r="AV42">
        <v>32</v>
      </c>
      <c r="AW42">
        <v>27072</v>
      </c>
      <c r="AX42">
        <v>33</v>
      </c>
      <c r="AY42">
        <v>27918</v>
      </c>
      <c r="AZ42">
        <v>6</v>
      </c>
      <c r="BA42">
        <v>5076</v>
      </c>
      <c r="BB42">
        <v>7</v>
      </c>
      <c r="BC42">
        <v>5922</v>
      </c>
      <c r="BD42">
        <v>4</v>
      </c>
      <c r="BE42">
        <v>3384</v>
      </c>
      <c r="BF42">
        <v>6</v>
      </c>
      <c r="BG42">
        <v>5076</v>
      </c>
      <c r="BH42">
        <v>9</v>
      </c>
      <c r="BI42">
        <v>7614</v>
      </c>
      <c r="BJ42">
        <v>8</v>
      </c>
      <c r="BK42">
        <v>6768</v>
      </c>
      <c r="BL42">
        <v>5</v>
      </c>
      <c r="BM42">
        <v>4230</v>
      </c>
      <c r="BN42">
        <v>6</v>
      </c>
      <c r="BO42">
        <v>5076</v>
      </c>
      <c r="BP42">
        <v>11</v>
      </c>
      <c r="BQ42">
        <v>9306</v>
      </c>
      <c r="BR42">
        <v>10</v>
      </c>
      <c r="BS42">
        <v>8460</v>
      </c>
      <c r="BT42">
        <v>11</v>
      </c>
      <c r="BU42">
        <v>9306</v>
      </c>
      <c r="BV42">
        <v>14</v>
      </c>
      <c r="BW42">
        <v>11844</v>
      </c>
      <c r="BX42">
        <v>11</v>
      </c>
      <c r="BY42">
        <v>9306</v>
      </c>
      <c r="BZ42">
        <v>7</v>
      </c>
      <c r="CA42">
        <v>5922</v>
      </c>
      <c r="CB42">
        <v>6</v>
      </c>
      <c r="CC42">
        <v>5076</v>
      </c>
      <c r="CD42">
        <v>12</v>
      </c>
      <c r="CE42">
        <v>10152</v>
      </c>
      <c r="CF42">
        <v>29</v>
      </c>
      <c r="CG42">
        <v>24534</v>
      </c>
      <c r="CH42">
        <v>28</v>
      </c>
      <c r="CI42">
        <v>23688</v>
      </c>
      <c r="CJ42">
        <v>38</v>
      </c>
      <c r="CK42">
        <v>32148</v>
      </c>
      <c r="CL42">
        <v>26</v>
      </c>
      <c r="CM42">
        <v>21996</v>
      </c>
      <c r="CN42">
        <v>7</v>
      </c>
      <c r="CO42">
        <v>5922</v>
      </c>
      <c r="CP42">
        <v>8</v>
      </c>
      <c r="CQ42">
        <v>6768</v>
      </c>
      <c r="CR42">
        <v>8</v>
      </c>
      <c r="CS42">
        <v>6768</v>
      </c>
      <c r="CT42">
        <v>9</v>
      </c>
      <c r="CU42">
        <v>7614</v>
      </c>
    </row>
    <row r="43" spans="2:99" x14ac:dyDescent="0.2">
      <c r="C43" s="116" t="s">
        <v>209</v>
      </c>
      <c r="D43">
        <v>5</v>
      </c>
      <c r="E43">
        <v>5112</v>
      </c>
      <c r="F43">
        <v>4</v>
      </c>
      <c r="G43">
        <v>4089.6</v>
      </c>
      <c r="H43">
        <v>6</v>
      </c>
      <c r="I43">
        <v>6134.4</v>
      </c>
      <c r="J43">
        <v>7</v>
      </c>
      <c r="K43">
        <v>7156.8</v>
      </c>
      <c r="L43">
        <v>67</v>
      </c>
      <c r="M43">
        <v>68500.800000000003</v>
      </c>
      <c r="N43">
        <v>86</v>
      </c>
      <c r="O43">
        <v>87926.399999999994</v>
      </c>
      <c r="P43">
        <v>50</v>
      </c>
      <c r="Q43">
        <v>51120</v>
      </c>
      <c r="R43">
        <v>44</v>
      </c>
      <c r="S43">
        <v>44985.599999999999</v>
      </c>
      <c r="T43">
        <v>45</v>
      </c>
      <c r="U43">
        <v>46008</v>
      </c>
      <c r="V43">
        <v>66</v>
      </c>
      <c r="W43">
        <v>67478.399999999994</v>
      </c>
      <c r="X43">
        <v>50</v>
      </c>
      <c r="Y43">
        <v>51120</v>
      </c>
      <c r="Z43">
        <v>52</v>
      </c>
      <c r="AA43">
        <v>53164.799999999996</v>
      </c>
      <c r="AB43">
        <v>7</v>
      </c>
      <c r="AC43">
        <v>7156.8</v>
      </c>
      <c r="AD43">
        <v>9</v>
      </c>
      <c r="AE43">
        <v>9201.6</v>
      </c>
      <c r="AF43">
        <v>10</v>
      </c>
      <c r="AG43">
        <v>10224</v>
      </c>
      <c r="AH43">
        <v>6</v>
      </c>
      <c r="AI43">
        <v>6134.4</v>
      </c>
      <c r="AJ43">
        <v>19</v>
      </c>
      <c r="AK43">
        <v>19425.599999999999</v>
      </c>
      <c r="AL43">
        <v>17</v>
      </c>
      <c r="AM43">
        <v>17380.8</v>
      </c>
      <c r="AN43">
        <v>19</v>
      </c>
      <c r="AO43">
        <v>19425.599999999999</v>
      </c>
      <c r="AP43">
        <v>21</v>
      </c>
      <c r="AQ43">
        <v>21470.399999999998</v>
      </c>
      <c r="AR43">
        <v>23</v>
      </c>
      <c r="AS43">
        <v>23515.200000000001</v>
      </c>
      <c r="AT43">
        <v>30</v>
      </c>
      <c r="AU43">
        <v>30672</v>
      </c>
      <c r="AV43">
        <v>32</v>
      </c>
      <c r="AW43">
        <v>32716.799999999999</v>
      </c>
      <c r="AX43">
        <v>33</v>
      </c>
      <c r="AY43">
        <v>33739.199999999997</v>
      </c>
      <c r="AZ43">
        <v>5</v>
      </c>
      <c r="BA43">
        <v>5112</v>
      </c>
      <c r="BB43">
        <v>6</v>
      </c>
      <c r="BC43">
        <v>6134.4</v>
      </c>
      <c r="BD43">
        <v>5</v>
      </c>
      <c r="BE43">
        <v>5112</v>
      </c>
      <c r="BF43">
        <v>7</v>
      </c>
      <c r="BG43">
        <v>7156.8</v>
      </c>
      <c r="BH43">
        <v>9</v>
      </c>
      <c r="BI43">
        <v>9201.6</v>
      </c>
      <c r="BJ43">
        <v>7</v>
      </c>
      <c r="BK43">
        <v>7156.8</v>
      </c>
      <c r="BL43">
        <v>5</v>
      </c>
      <c r="BM43">
        <v>5112</v>
      </c>
      <c r="BN43">
        <v>6</v>
      </c>
      <c r="BO43">
        <v>6134.4</v>
      </c>
      <c r="BP43">
        <v>11</v>
      </c>
      <c r="BQ43">
        <v>11246.4</v>
      </c>
      <c r="BR43">
        <v>9</v>
      </c>
      <c r="BS43">
        <v>9201.6</v>
      </c>
      <c r="BT43">
        <v>10</v>
      </c>
      <c r="BU43">
        <v>10224</v>
      </c>
      <c r="BV43">
        <v>13</v>
      </c>
      <c r="BW43">
        <v>13291.199999999999</v>
      </c>
      <c r="BX43">
        <v>10</v>
      </c>
      <c r="BY43">
        <v>10224</v>
      </c>
      <c r="BZ43">
        <v>8</v>
      </c>
      <c r="CA43">
        <v>8179.2</v>
      </c>
      <c r="CB43">
        <v>6</v>
      </c>
      <c r="CC43">
        <v>6134.4</v>
      </c>
      <c r="CD43">
        <v>12</v>
      </c>
      <c r="CE43">
        <v>12268.8</v>
      </c>
      <c r="CF43">
        <v>25</v>
      </c>
      <c r="CG43">
        <v>25560</v>
      </c>
      <c r="CH43">
        <v>30</v>
      </c>
      <c r="CI43">
        <v>30672</v>
      </c>
      <c r="CJ43">
        <v>37</v>
      </c>
      <c r="CK43">
        <v>37828.799999999996</v>
      </c>
      <c r="CL43">
        <v>28</v>
      </c>
      <c r="CM43">
        <v>28627.200000000001</v>
      </c>
      <c r="CN43">
        <v>7</v>
      </c>
      <c r="CO43">
        <v>7156.8</v>
      </c>
      <c r="CP43">
        <v>7</v>
      </c>
      <c r="CQ43">
        <v>7156.8</v>
      </c>
      <c r="CR43">
        <v>7</v>
      </c>
      <c r="CS43">
        <v>7156.8</v>
      </c>
      <c r="CT43">
        <v>11</v>
      </c>
      <c r="CU43">
        <v>11246.4</v>
      </c>
    </row>
    <row r="44" spans="2:99" x14ac:dyDescent="0.2">
      <c r="C44" s="116" t="s">
        <v>210</v>
      </c>
      <c r="D44">
        <v>5</v>
      </c>
      <c r="E44">
        <v>5112</v>
      </c>
      <c r="F44">
        <v>4</v>
      </c>
      <c r="G44">
        <v>4089.6</v>
      </c>
      <c r="H44">
        <v>7</v>
      </c>
      <c r="I44">
        <v>7156.8</v>
      </c>
      <c r="J44">
        <v>7</v>
      </c>
      <c r="K44">
        <v>7156.8</v>
      </c>
      <c r="L44">
        <v>72</v>
      </c>
      <c r="M44">
        <v>73612.800000000003</v>
      </c>
      <c r="N44">
        <v>93</v>
      </c>
      <c r="O44">
        <v>95083.199999999997</v>
      </c>
      <c r="P44">
        <v>57</v>
      </c>
      <c r="Q44">
        <v>58276.799999999996</v>
      </c>
      <c r="R44">
        <v>45</v>
      </c>
      <c r="S44">
        <v>46008</v>
      </c>
      <c r="T44">
        <v>39</v>
      </c>
      <c r="U44">
        <v>39873.599999999999</v>
      </c>
      <c r="V44">
        <v>65</v>
      </c>
      <c r="W44">
        <v>66456</v>
      </c>
      <c r="X44">
        <v>54</v>
      </c>
      <c r="Y44">
        <v>55209.599999999999</v>
      </c>
      <c r="Z44">
        <v>57</v>
      </c>
      <c r="AA44">
        <v>58276.799999999996</v>
      </c>
      <c r="AB44">
        <v>7</v>
      </c>
      <c r="AC44">
        <v>7156.8</v>
      </c>
      <c r="AD44">
        <v>8</v>
      </c>
      <c r="AE44">
        <v>8179.2</v>
      </c>
      <c r="AF44">
        <v>10</v>
      </c>
      <c r="AG44">
        <v>10224</v>
      </c>
      <c r="AH44">
        <v>6</v>
      </c>
      <c r="AI44">
        <v>6134.4</v>
      </c>
      <c r="AJ44">
        <v>19</v>
      </c>
      <c r="AK44">
        <v>19425.599999999999</v>
      </c>
      <c r="AL44">
        <v>17</v>
      </c>
      <c r="AM44">
        <v>17380.8</v>
      </c>
      <c r="AN44">
        <v>18</v>
      </c>
      <c r="AO44">
        <v>18403.2</v>
      </c>
      <c r="AP44">
        <v>21</v>
      </c>
      <c r="AQ44">
        <v>21470.399999999998</v>
      </c>
      <c r="AR44">
        <v>21</v>
      </c>
      <c r="AS44">
        <v>21470.399999999998</v>
      </c>
      <c r="AT44">
        <v>27</v>
      </c>
      <c r="AU44">
        <v>27604.799999999999</v>
      </c>
      <c r="AV44">
        <v>36</v>
      </c>
      <c r="AW44">
        <v>36806.400000000001</v>
      </c>
      <c r="AX44">
        <v>29</v>
      </c>
      <c r="AY44">
        <v>29649.599999999999</v>
      </c>
      <c r="AZ44">
        <v>5</v>
      </c>
      <c r="BA44">
        <v>5112</v>
      </c>
      <c r="BB44">
        <v>7</v>
      </c>
      <c r="BC44">
        <v>7156.8</v>
      </c>
      <c r="BD44">
        <v>5</v>
      </c>
      <c r="BE44">
        <v>5112</v>
      </c>
      <c r="BF44">
        <v>6</v>
      </c>
      <c r="BG44">
        <v>6134.4</v>
      </c>
      <c r="BH44">
        <v>9</v>
      </c>
      <c r="BI44">
        <v>9201.6</v>
      </c>
      <c r="BJ44">
        <v>8</v>
      </c>
      <c r="BK44">
        <v>8179.2</v>
      </c>
      <c r="BL44">
        <v>5</v>
      </c>
      <c r="BM44">
        <v>5112</v>
      </c>
      <c r="BN44">
        <v>6</v>
      </c>
      <c r="BO44">
        <v>6134.4</v>
      </c>
      <c r="BP44">
        <v>11</v>
      </c>
      <c r="BQ44">
        <v>11246.4</v>
      </c>
      <c r="BR44">
        <v>9</v>
      </c>
      <c r="BS44">
        <v>9201.6</v>
      </c>
      <c r="BT44">
        <v>10</v>
      </c>
      <c r="BU44">
        <v>10224</v>
      </c>
      <c r="BV44">
        <v>13</v>
      </c>
      <c r="BW44">
        <v>13291.199999999999</v>
      </c>
      <c r="BX44">
        <v>9</v>
      </c>
      <c r="BY44">
        <v>9201.6</v>
      </c>
      <c r="BZ44">
        <v>8</v>
      </c>
      <c r="CA44">
        <v>8179.2</v>
      </c>
      <c r="CB44">
        <v>6</v>
      </c>
      <c r="CC44">
        <v>6134.4</v>
      </c>
      <c r="CD44">
        <v>10</v>
      </c>
      <c r="CE44">
        <v>10224</v>
      </c>
      <c r="CF44">
        <v>28</v>
      </c>
      <c r="CG44">
        <v>28627.200000000001</v>
      </c>
      <c r="CH44">
        <v>30</v>
      </c>
      <c r="CI44">
        <v>30672</v>
      </c>
      <c r="CJ44">
        <v>36</v>
      </c>
      <c r="CK44">
        <v>36806.400000000001</v>
      </c>
      <c r="CL44">
        <v>28</v>
      </c>
      <c r="CM44">
        <v>28627.200000000001</v>
      </c>
      <c r="CN44">
        <v>8</v>
      </c>
      <c r="CO44">
        <v>8179.2</v>
      </c>
      <c r="CP44">
        <v>7</v>
      </c>
      <c r="CQ44">
        <v>7156.8</v>
      </c>
      <c r="CR44">
        <v>7</v>
      </c>
      <c r="CS44">
        <v>7156.8</v>
      </c>
      <c r="CT44">
        <v>9</v>
      </c>
      <c r="CU44">
        <v>9201.6</v>
      </c>
    </row>
    <row r="45" spans="2:99" x14ac:dyDescent="0.2">
      <c r="C45" s="116" t="s">
        <v>211</v>
      </c>
      <c r="D45">
        <v>4</v>
      </c>
      <c r="E45">
        <v>4996.8</v>
      </c>
      <c r="F45">
        <v>4</v>
      </c>
      <c r="G45">
        <v>4996.8</v>
      </c>
      <c r="H45">
        <v>6</v>
      </c>
      <c r="I45">
        <v>7495.2000000000007</v>
      </c>
      <c r="J45">
        <v>6</v>
      </c>
      <c r="K45">
        <v>7495.2000000000007</v>
      </c>
      <c r="L45">
        <v>72</v>
      </c>
      <c r="M45">
        <v>89942.400000000009</v>
      </c>
      <c r="N45">
        <v>91</v>
      </c>
      <c r="O45">
        <v>113677.2</v>
      </c>
      <c r="P45">
        <v>46</v>
      </c>
      <c r="Q45">
        <v>57463.200000000004</v>
      </c>
      <c r="R45">
        <v>47</v>
      </c>
      <c r="S45">
        <v>58712.4</v>
      </c>
      <c r="T45">
        <v>40</v>
      </c>
      <c r="U45">
        <v>49968</v>
      </c>
      <c r="V45">
        <v>71</v>
      </c>
      <c r="W45">
        <v>88693.2</v>
      </c>
      <c r="X45">
        <v>56</v>
      </c>
      <c r="Y45">
        <v>69955.199999999997</v>
      </c>
      <c r="Z45">
        <v>47</v>
      </c>
      <c r="AA45">
        <v>58712.4</v>
      </c>
      <c r="AB45">
        <v>8</v>
      </c>
      <c r="AC45">
        <v>9993.6</v>
      </c>
      <c r="AD45">
        <v>9</v>
      </c>
      <c r="AE45">
        <v>11242.800000000001</v>
      </c>
      <c r="AF45">
        <v>11</v>
      </c>
      <c r="AG45">
        <v>13741.2</v>
      </c>
      <c r="AH45">
        <v>6</v>
      </c>
      <c r="AI45">
        <v>7495.2000000000007</v>
      </c>
      <c r="AJ45">
        <v>16</v>
      </c>
      <c r="AK45">
        <v>19987.2</v>
      </c>
      <c r="AL45">
        <v>17</v>
      </c>
      <c r="AM45">
        <v>21236.400000000001</v>
      </c>
      <c r="AN45">
        <v>16</v>
      </c>
      <c r="AO45">
        <v>19987.2</v>
      </c>
      <c r="AP45">
        <v>20</v>
      </c>
      <c r="AQ45">
        <v>24984</v>
      </c>
      <c r="AR45">
        <v>23</v>
      </c>
      <c r="AS45">
        <v>28731.600000000002</v>
      </c>
      <c r="AT45">
        <v>27</v>
      </c>
      <c r="AU45">
        <v>33728.400000000001</v>
      </c>
      <c r="AV45">
        <v>30</v>
      </c>
      <c r="AW45">
        <v>37476</v>
      </c>
      <c r="AX45">
        <v>29</v>
      </c>
      <c r="AY45">
        <v>36226.800000000003</v>
      </c>
      <c r="AZ45">
        <v>6</v>
      </c>
      <c r="BA45">
        <v>7495.2000000000007</v>
      </c>
      <c r="BB45">
        <v>6</v>
      </c>
      <c r="BC45">
        <v>7495.2000000000007</v>
      </c>
      <c r="BD45">
        <v>5</v>
      </c>
      <c r="BE45">
        <v>6246</v>
      </c>
      <c r="BF45">
        <v>6</v>
      </c>
      <c r="BG45">
        <v>7495.2000000000007</v>
      </c>
      <c r="BH45">
        <v>8</v>
      </c>
      <c r="BI45">
        <v>9993.6</v>
      </c>
      <c r="BJ45">
        <v>8</v>
      </c>
      <c r="BK45">
        <v>9993.6</v>
      </c>
      <c r="BL45">
        <v>5</v>
      </c>
      <c r="BM45">
        <v>6246</v>
      </c>
      <c r="BN45">
        <v>6</v>
      </c>
      <c r="BO45">
        <v>7495.2000000000007</v>
      </c>
      <c r="BP45">
        <v>11</v>
      </c>
      <c r="BQ45">
        <v>13741.2</v>
      </c>
      <c r="BR45">
        <v>10</v>
      </c>
      <c r="BS45">
        <v>12492</v>
      </c>
      <c r="BT45">
        <v>10</v>
      </c>
      <c r="BU45">
        <v>12492</v>
      </c>
      <c r="BV45">
        <v>13</v>
      </c>
      <c r="BW45">
        <v>16239.6</v>
      </c>
      <c r="BX45">
        <v>9</v>
      </c>
      <c r="BY45">
        <v>11242.800000000001</v>
      </c>
      <c r="BZ45">
        <v>7</v>
      </c>
      <c r="CA45">
        <v>8744.4</v>
      </c>
      <c r="CB45">
        <v>6</v>
      </c>
      <c r="CC45">
        <v>7495.2000000000007</v>
      </c>
      <c r="CD45">
        <v>11</v>
      </c>
      <c r="CE45">
        <v>13741.2</v>
      </c>
      <c r="CF45">
        <v>24</v>
      </c>
      <c r="CG45">
        <v>29980.800000000003</v>
      </c>
      <c r="CH45">
        <v>27</v>
      </c>
      <c r="CI45">
        <v>33728.400000000001</v>
      </c>
      <c r="CJ45">
        <v>35</v>
      </c>
      <c r="CK45">
        <v>43722</v>
      </c>
      <c r="CL45">
        <v>26</v>
      </c>
      <c r="CM45">
        <v>32479.200000000001</v>
      </c>
      <c r="CN45">
        <v>7</v>
      </c>
      <c r="CO45">
        <v>8744.4</v>
      </c>
      <c r="CP45">
        <v>8</v>
      </c>
      <c r="CQ45">
        <v>9993.6</v>
      </c>
      <c r="CR45">
        <v>7</v>
      </c>
      <c r="CS45">
        <v>8744.4</v>
      </c>
      <c r="CT45">
        <v>11</v>
      </c>
      <c r="CU45">
        <v>13741.2</v>
      </c>
    </row>
    <row r="46" spans="2:99" x14ac:dyDescent="0.2">
      <c r="C46" s="116" t="s">
        <v>212</v>
      </c>
      <c r="D46">
        <v>4</v>
      </c>
      <c r="E46">
        <v>4848</v>
      </c>
      <c r="F46">
        <v>4</v>
      </c>
      <c r="G46">
        <v>4848</v>
      </c>
      <c r="H46">
        <v>6</v>
      </c>
      <c r="I46">
        <v>7272</v>
      </c>
      <c r="J46">
        <v>6</v>
      </c>
      <c r="K46">
        <v>7272</v>
      </c>
      <c r="L46">
        <v>69</v>
      </c>
      <c r="M46">
        <v>83628</v>
      </c>
      <c r="N46">
        <v>91</v>
      </c>
      <c r="O46">
        <v>110292</v>
      </c>
      <c r="P46">
        <v>52</v>
      </c>
      <c r="Q46">
        <v>63024</v>
      </c>
      <c r="R46">
        <v>45</v>
      </c>
      <c r="S46">
        <v>54540</v>
      </c>
      <c r="T46">
        <v>41</v>
      </c>
      <c r="U46">
        <v>49692</v>
      </c>
      <c r="V46">
        <v>65</v>
      </c>
      <c r="W46">
        <v>78780</v>
      </c>
      <c r="X46">
        <v>47</v>
      </c>
      <c r="Y46">
        <v>56964</v>
      </c>
      <c r="Z46">
        <v>53</v>
      </c>
      <c r="AA46">
        <v>64236</v>
      </c>
      <c r="AB46">
        <v>8</v>
      </c>
      <c r="AC46">
        <v>9696</v>
      </c>
      <c r="AD46">
        <v>9</v>
      </c>
      <c r="AE46">
        <v>10908</v>
      </c>
      <c r="AF46">
        <v>12</v>
      </c>
      <c r="AG46">
        <v>14544</v>
      </c>
      <c r="AH46">
        <v>6</v>
      </c>
      <c r="AI46">
        <v>7272</v>
      </c>
      <c r="AJ46">
        <v>16</v>
      </c>
      <c r="AK46">
        <v>19392</v>
      </c>
      <c r="AL46">
        <v>18</v>
      </c>
      <c r="AM46">
        <v>21816</v>
      </c>
      <c r="AN46">
        <v>16</v>
      </c>
      <c r="AO46">
        <v>19392</v>
      </c>
      <c r="AP46">
        <v>20</v>
      </c>
      <c r="AQ46">
        <v>24240</v>
      </c>
      <c r="AR46">
        <v>23</v>
      </c>
      <c r="AS46">
        <v>27876</v>
      </c>
      <c r="AT46">
        <v>31</v>
      </c>
      <c r="AU46">
        <v>37572</v>
      </c>
      <c r="AV46">
        <v>34</v>
      </c>
      <c r="AW46">
        <v>41208</v>
      </c>
      <c r="AX46">
        <v>29</v>
      </c>
      <c r="AY46">
        <v>35148</v>
      </c>
      <c r="AZ46">
        <v>6</v>
      </c>
      <c r="BA46">
        <v>7272</v>
      </c>
      <c r="BB46">
        <v>7</v>
      </c>
      <c r="BC46">
        <v>8484</v>
      </c>
      <c r="BD46">
        <v>5</v>
      </c>
      <c r="BE46">
        <v>6060</v>
      </c>
      <c r="BF46">
        <v>6</v>
      </c>
      <c r="BG46">
        <v>7272</v>
      </c>
      <c r="BH46">
        <v>9</v>
      </c>
      <c r="BI46">
        <v>10908</v>
      </c>
      <c r="BJ46">
        <v>7</v>
      </c>
      <c r="BK46">
        <v>8484</v>
      </c>
      <c r="BL46">
        <v>5</v>
      </c>
      <c r="BM46">
        <v>6060</v>
      </c>
      <c r="BN46">
        <v>6</v>
      </c>
      <c r="BO46">
        <v>7272</v>
      </c>
      <c r="BP46">
        <v>10</v>
      </c>
      <c r="BQ46">
        <v>12120</v>
      </c>
      <c r="BR46">
        <v>10</v>
      </c>
      <c r="BS46">
        <v>12120</v>
      </c>
      <c r="BT46">
        <v>10</v>
      </c>
      <c r="BU46">
        <v>12120</v>
      </c>
      <c r="BV46">
        <v>12</v>
      </c>
      <c r="BW46">
        <v>14544</v>
      </c>
      <c r="BX46">
        <v>10</v>
      </c>
      <c r="BY46">
        <v>12120</v>
      </c>
      <c r="BZ46">
        <v>8</v>
      </c>
      <c r="CA46">
        <v>9696</v>
      </c>
      <c r="CB46">
        <v>6</v>
      </c>
      <c r="CC46">
        <v>7272</v>
      </c>
      <c r="CD46">
        <v>11</v>
      </c>
      <c r="CE46">
        <v>13332</v>
      </c>
      <c r="CF46">
        <v>26</v>
      </c>
      <c r="CG46">
        <v>31512</v>
      </c>
      <c r="CH46">
        <v>29</v>
      </c>
      <c r="CI46">
        <v>35148</v>
      </c>
      <c r="CJ46">
        <v>32</v>
      </c>
      <c r="CK46">
        <v>38784</v>
      </c>
      <c r="CL46">
        <v>29</v>
      </c>
      <c r="CM46">
        <v>35148</v>
      </c>
      <c r="CN46">
        <v>6</v>
      </c>
      <c r="CO46">
        <v>7272</v>
      </c>
      <c r="CP46">
        <v>7</v>
      </c>
      <c r="CQ46">
        <v>8484</v>
      </c>
      <c r="CR46">
        <v>8</v>
      </c>
      <c r="CS46">
        <v>9696</v>
      </c>
      <c r="CT46">
        <v>10</v>
      </c>
      <c r="CU46">
        <v>12120</v>
      </c>
    </row>
    <row r="47" spans="2:99" x14ac:dyDescent="0.2">
      <c r="C47" s="116" t="s">
        <v>213</v>
      </c>
      <c r="D47">
        <v>5</v>
      </c>
      <c r="E47">
        <v>7638</v>
      </c>
      <c r="F47">
        <v>5</v>
      </c>
      <c r="G47">
        <v>7638</v>
      </c>
      <c r="H47">
        <v>6</v>
      </c>
      <c r="I47">
        <v>9165.5999999999985</v>
      </c>
      <c r="J47">
        <v>6</v>
      </c>
      <c r="K47">
        <v>9165.5999999999985</v>
      </c>
      <c r="L47">
        <v>70</v>
      </c>
      <c r="M47">
        <v>106932</v>
      </c>
      <c r="N47">
        <v>83</v>
      </c>
      <c r="O47">
        <v>126790.79999999999</v>
      </c>
      <c r="P47">
        <v>47</v>
      </c>
      <c r="Q47">
        <v>71797.2</v>
      </c>
      <c r="R47">
        <v>46</v>
      </c>
      <c r="S47">
        <v>70269.599999999991</v>
      </c>
      <c r="T47">
        <v>40</v>
      </c>
      <c r="U47">
        <v>61104</v>
      </c>
      <c r="V47">
        <v>71</v>
      </c>
      <c r="W47">
        <v>108459.59999999999</v>
      </c>
      <c r="X47">
        <v>53</v>
      </c>
      <c r="Y47">
        <v>80962.799999999988</v>
      </c>
      <c r="Z47">
        <v>52</v>
      </c>
      <c r="AA47">
        <v>79435.199999999997</v>
      </c>
      <c r="AB47">
        <v>8</v>
      </c>
      <c r="AC47">
        <v>12220.8</v>
      </c>
      <c r="AD47">
        <v>8</v>
      </c>
      <c r="AE47">
        <v>12220.8</v>
      </c>
      <c r="AF47">
        <v>11</v>
      </c>
      <c r="AG47">
        <v>16803.599999999999</v>
      </c>
      <c r="AH47">
        <v>6</v>
      </c>
      <c r="AI47">
        <v>9165.5999999999985</v>
      </c>
      <c r="AJ47">
        <v>16</v>
      </c>
      <c r="AK47">
        <v>24441.599999999999</v>
      </c>
      <c r="AL47">
        <v>15</v>
      </c>
      <c r="AM47">
        <v>22914</v>
      </c>
      <c r="AN47">
        <v>16</v>
      </c>
      <c r="AO47">
        <v>24441.599999999999</v>
      </c>
      <c r="AP47">
        <v>20</v>
      </c>
      <c r="AQ47">
        <v>30552</v>
      </c>
      <c r="AR47">
        <v>21</v>
      </c>
      <c r="AS47">
        <v>32079.599999999999</v>
      </c>
      <c r="AT47">
        <v>27</v>
      </c>
      <c r="AU47">
        <v>41245.199999999997</v>
      </c>
      <c r="AV47">
        <v>34</v>
      </c>
      <c r="AW47">
        <v>51938.399999999994</v>
      </c>
      <c r="AX47">
        <v>31</v>
      </c>
      <c r="AY47">
        <v>47355.6</v>
      </c>
      <c r="AZ47">
        <v>5</v>
      </c>
      <c r="BA47">
        <v>7638</v>
      </c>
      <c r="BB47">
        <v>5</v>
      </c>
      <c r="BC47">
        <v>7638</v>
      </c>
      <c r="BD47">
        <v>4</v>
      </c>
      <c r="BE47">
        <v>6110.4</v>
      </c>
      <c r="BF47">
        <v>7</v>
      </c>
      <c r="BG47">
        <v>10693.199999999999</v>
      </c>
      <c r="BH47">
        <v>8</v>
      </c>
      <c r="BI47">
        <v>12220.8</v>
      </c>
      <c r="BJ47">
        <v>8</v>
      </c>
      <c r="BK47">
        <v>12220.8</v>
      </c>
      <c r="BL47">
        <v>5</v>
      </c>
      <c r="BM47">
        <v>7638</v>
      </c>
      <c r="BN47">
        <v>6</v>
      </c>
      <c r="BO47">
        <v>9165.5999999999985</v>
      </c>
      <c r="BP47">
        <v>9</v>
      </c>
      <c r="BQ47">
        <v>13748.4</v>
      </c>
      <c r="BR47">
        <v>9</v>
      </c>
      <c r="BS47">
        <v>13748.4</v>
      </c>
      <c r="BT47">
        <v>9</v>
      </c>
      <c r="BU47">
        <v>13748.4</v>
      </c>
      <c r="BV47">
        <v>12</v>
      </c>
      <c r="BW47">
        <v>18331.199999999997</v>
      </c>
      <c r="BX47">
        <v>9</v>
      </c>
      <c r="BY47">
        <v>13748.4</v>
      </c>
      <c r="BZ47">
        <v>7</v>
      </c>
      <c r="CA47">
        <v>10693.199999999999</v>
      </c>
      <c r="CB47">
        <v>6</v>
      </c>
      <c r="CC47">
        <v>9165.5999999999985</v>
      </c>
      <c r="CD47">
        <v>10</v>
      </c>
      <c r="CE47">
        <v>15276</v>
      </c>
      <c r="CF47">
        <v>26</v>
      </c>
      <c r="CG47">
        <v>39717.599999999999</v>
      </c>
      <c r="CH47">
        <v>27</v>
      </c>
      <c r="CI47">
        <v>41245.199999999997</v>
      </c>
      <c r="CJ47">
        <v>33</v>
      </c>
      <c r="CK47">
        <v>50410.799999999996</v>
      </c>
      <c r="CL47">
        <v>28</v>
      </c>
      <c r="CM47">
        <v>42772.799999999996</v>
      </c>
      <c r="CN47">
        <v>7</v>
      </c>
      <c r="CO47">
        <v>10693.199999999999</v>
      </c>
      <c r="CP47">
        <v>7</v>
      </c>
      <c r="CQ47">
        <v>10693.199999999999</v>
      </c>
      <c r="CR47">
        <v>7</v>
      </c>
      <c r="CS47">
        <v>10693.199999999999</v>
      </c>
      <c r="CT47">
        <v>9</v>
      </c>
      <c r="CU47">
        <v>13748.4</v>
      </c>
    </row>
    <row r="48" spans="2:99" x14ac:dyDescent="0.2">
      <c r="C48" s="116" t="s">
        <v>214</v>
      </c>
      <c r="D48">
        <v>5</v>
      </c>
      <c r="E48">
        <v>4338</v>
      </c>
      <c r="F48">
        <v>4</v>
      </c>
      <c r="G48">
        <v>3470.4</v>
      </c>
      <c r="H48">
        <v>6</v>
      </c>
      <c r="I48">
        <v>5205.6000000000004</v>
      </c>
      <c r="J48">
        <v>7</v>
      </c>
      <c r="K48">
        <v>6073.2</v>
      </c>
      <c r="L48">
        <v>82</v>
      </c>
      <c r="M48">
        <v>71143.199999999997</v>
      </c>
      <c r="N48">
        <v>100</v>
      </c>
      <c r="O48">
        <v>86760</v>
      </c>
      <c r="P48">
        <v>56</v>
      </c>
      <c r="Q48">
        <v>48585.599999999999</v>
      </c>
      <c r="R48">
        <v>55</v>
      </c>
      <c r="S48">
        <v>47718</v>
      </c>
      <c r="T48">
        <v>43</v>
      </c>
      <c r="U48">
        <v>37306.800000000003</v>
      </c>
      <c r="V48">
        <v>79</v>
      </c>
      <c r="W48">
        <v>68540.400000000009</v>
      </c>
      <c r="X48">
        <v>55</v>
      </c>
      <c r="Y48">
        <v>47718</v>
      </c>
      <c r="Z48">
        <v>54</v>
      </c>
      <c r="AA48">
        <v>46850.400000000001</v>
      </c>
      <c r="AB48">
        <v>8</v>
      </c>
      <c r="AC48">
        <v>6940.8</v>
      </c>
      <c r="AD48">
        <v>8</v>
      </c>
      <c r="AE48">
        <v>6940.8</v>
      </c>
      <c r="AF48">
        <v>12</v>
      </c>
      <c r="AG48">
        <v>10411.200000000001</v>
      </c>
      <c r="AH48">
        <v>6</v>
      </c>
      <c r="AI48">
        <v>5205.6000000000004</v>
      </c>
      <c r="AJ48">
        <v>17</v>
      </c>
      <c r="AK48">
        <v>14749.2</v>
      </c>
      <c r="AL48">
        <v>20</v>
      </c>
      <c r="AM48">
        <v>17352</v>
      </c>
      <c r="AN48">
        <v>19</v>
      </c>
      <c r="AO48">
        <v>16484.400000000001</v>
      </c>
      <c r="AP48">
        <v>19</v>
      </c>
      <c r="AQ48">
        <v>16484.400000000001</v>
      </c>
      <c r="AR48">
        <v>23</v>
      </c>
      <c r="AS48">
        <v>19954.8</v>
      </c>
      <c r="AT48">
        <v>30</v>
      </c>
      <c r="AU48">
        <v>26028</v>
      </c>
      <c r="AV48">
        <v>36</v>
      </c>
      <c r="AW48">
        <v>31233.600000000002</v>
      </c>
      <c r="AX48">
        <v>32</v>
      </c>
      <c r="AY48">
        <v>27763.200000000001</v>
      </c>
      <c r="AZ48">
        <v>5</v>
      </c>
      <c r="BA48">
        <v>4338</v>
      </c>
      <c r="BB48">
        <v>7</v>
      </c>
      <c r="BC48">
        <v>6073.2</v>
      </c>
      <c r="BD48">
        <v>5</v>
      </c>
      <c r="BE48">
        <v>4338</v>
      </c>
      <c r="BF48">
        <v>7</v>
      </c>
      <c r="BG48">
        <v>6073.2</v>
      </c>
      <c r="BH48">
        <v>9</v>
      </c>
      <c r="BI48">
        <v>7808.4000000000005</v>
      </c>
      <c r="BJ48">
        <v>8</v>
      </c>
      <c r="BK48">
        <v>6940.8</v>
      </c>
      <c r="BL48">
        <v>5</v>
      </c>
      <c r="BM48">
        <v>4338</v>
      </c>
      <c r="BN48">
        <v>6</v>
      </c>
      <c r="BO48">
        <v>5205.6000000000004</v>
      </c>
      <c r="BP48">
        <v>11</v>
      </c>
      <c r="BQ48">
        <v>9543.6</v>
      </c>
      <c r="BR48">
        <v>9</v>
      </c>
      <c r="BS48">
        <v>7808.4000000000005</v>
      </c>
      <c r="BT48">
        <v>11</v>
      </c>
      <c r="BU48">
        <v>9543.6</v>
      </c>
      <c r="BV48">
        <v>15</v>
      </c>
      <c r="BW48">
        <v>13014</v>
      </c>
      <c r="BX48">
        <v>10</v>
      </c>
      <c r="BY48">
        <v>8676</v>
      </c>
      <c r="BZ48">
        <v>7</v>
      </c>
      <c r="CA48">
        <v>6073.2</v>
      </c>
      <c r="CB48">
        <v>6</v>
      </c>
      <c r="CC48">
        <v>5205.6000000000004</v>
      </c>
      <c r="CD48">
        <v>10</v>
      </c>
      <c r="CE48">
        <v>8676</v>
      </c>
      <c r="CF48">
        <v>30</v>
      </c>
      <c r="CG48">
        <v>26028</v>
      </c>
      <c r="CH48">
        <v>25</v>
      </c>
      <c r="CI48">
        <v>21690</v>
      </c>
      <c r="CJ48">
        <v>34</v>
      </c>
      <c r="CK48">
        <v>29498.400000000001</v>
      </c>
      <c r="CL48">
        <v>31</v>
      </c>
      <c r="CM48">
        <v>26895.600000000002</v>
      </c>
      <c r="CN48">
        <v>7</v>
      </c>
      <c r="CO48">
        <v>6073.2</v>
      </c>
      <c r="CP48">
        <v>7</v>
      </c>
      <c r="CQ48">
        <v>6073.2</v>
      </c>
      <c r="CR48">
        <v>7</v>
      </c>
      <c r="CS48">
        <v>6073.2</v>
      </c>
      <c r="CT48">
        <v>10</v>
      </c>
      <c r="CU48">
        <v>8676</v>
      </c>
    </row>
    <row r="49" spans="2:99" x14ac:dyDescent="0.2">
      <c r="B49" s="116" t="s">
        <v>129</v>
      </c>
      <c r="C49" s="116" t="s">
        <v>215</v>
      </c>
      <c r="D49">
        <v>19</v>
      </c>
      <c r="E49">
        <v>18718.8</v>
      </c>
      <c r="F49">
        <v>14</v>
      </c>
      <c r="G49">
        <v>13792.8</v>
      </c>
      <c r="H49">
        <v>18</v>
      </c>
      <c r="I49">
        <v>17733.599999999999</v>
      </c>
      <c r="J49">
        <v>26</v>
      </c>
      <c r="K49">
        <v>25615.199999999997</v>
      </c>
      <c r="L49">
        <v>12</v>
      </c>
      <c r="M49">
        <v>11822.4</v>
      </c>
      <c r="N49">
        <v>8</v>
      </c>
      <c r="O49">
        <v>7881.5999999999995</v>
      </c>
      <c r="P49">
        <v>7</v>
      </c>
      <c r="Q49">
        <v>6896.4</v>
      </c>
      <c r="R49">
        <v>11</v>
      </c>
      <c r="S49">
        <v>10837.199999999999</v>
      </c>
      <c r="T49">
        <v>28</v>
      </c>
      <c r="U49">
        <v>27585.599999999999</v>
      </c>
      <c r="V49">
        <v>25</v>
      </c>
      <c r="W49">
        <v>24630</v>
      </c>
      <c r="X49">
        <v>27</v>
      </c>
      <c r="Y49">
        <v>26600.399999999998</v>
      </c>
      <c r="Z49">
        <v>16</v>
      </c>
      <c r="AA49">
        <v>15763.199999999999</v>
      </c>
      <c r="AB49">
        <v>18</v>
      </c>
      <c r="AC49">
        <v>17733.599999999999</v>
      </c>
      <c r="AD49">
        <v>18</v>
      </c>
      <c r="AE49">
        <v>17733.599999999999</v>
      </c>
      <c r="AF49">
        <v>19</v>
      </c>
      <c r="AG49">
        <v>18718.8</v>
      </c>
      <c r="AH49">
        <v>16</v>
      </c>
      <c r="AI49">
        <v>15763.199999999999</v>
      </c>
      <c r="AJ49">
        <v>45</v>
      </c>
      <c r="AK49">
        <v>44334</v>
      </c>
      <c r="AL49">
        <v>40</v>
      </c>
      <c r="AM49">
        <v>39408</v>
      </c>
      <c r="AN49">
        <v>33</v>
      </c>
      <c r="AO49">
        <v>32511.599999999999</v>
      </c>
      <c r="AP49">
        <v>31</v>
      </c>
      <c r="AQ49">
        <v>30541.199999999997</v>
      </c>
      <c r="AR49">
        <v>20</v>
      </c>
      <c r="AS49">
        <v>19704</v>
      </c>
      <c r="AT49">
        <v>23</v>
      </c>
      <c r="AU49">
        <v>22659.599999999999</v>
      </c>
      <c r="AV49">
        <v>17</v>
      </c>
      <c r="AW49">
        <v>16748.399999999998</v>
      </c>
      <c r="AX49">
        <v>14</v>
      </c>
      <c r="AY49">
        <v>13792.8</v>
      </c>
      <c r="AZ49">
        <v>6</v>
      </c>
      <c r="BA49">
        <v>5911.2</v>
      </c>
      <c r="BB49">
        <v>5</v>
      </c>
      <c r="BC49">
        <v>4926</v>
      </c>
      <c r="BD49">
        <v>6</v>
      </c>
      <c r="BE49">
        <v>5911.2</v>
      </c>
      <c r="BF49">
        <v>4</v>
      </c>
      <c r="BG49">
        <v>3940.7999999999997</v>
      </c>
      <c r="BH49">
        <v>12</v>
      </c>
      <c r="BI49">
        <v>11822.4</v>
      </c>
      <c r="BJ49">
        <v>10</v>
      </c>
      <c r="BK49">
        <v>9852</v>
      </c>
      <c r="BL49">
        <v>7</v>
      </c>
      <c r="BM49">
        <v>6896.4</v>
      </c>
      <c r="BN49">
        <v>13</v>
      </c>
      <c r="BO49">
        <v>12807.599999999999</v>
      </c>
      <c r="BP49">
        <v>10</v>
      </c>
      <c r="BQ49">
        <v>9852</v>
      </c>
      <c r="BR49">
        <v>6</v>
      </c>
      <c r="BS49">
        <v>5911.2</v>
      </c>
      <c r="BT49">
        <v>9</v>
      </c>
      <c r="BU49">
        <v>8866.7999999999993</v>
      </c>
      <c r="BV49">
        <v>9</v>
      </c>
      <c r="BW49">
        <v>8866.7999999999993</v>
      </c>
      <c r="BX49">
        <v>22</v>
      </c>
      <c r="BY49">
        <v>21674.399999999998</v>
      </c>
      <c r="BZ49">
        <v>15</v>
      </c>
      <c r="CA49">
        <v>14777.999999999998</v>
      </c>
      <c r="CB49">
        <v>21</v>
      </c>
      <c r="CC49">
        <v>20689.199999999997</v>
      </c>
      <c r="CD49">
        <v>16</v>
      </c>
      <c r="CE49">
        <v>15763.199999999999</v>
      </c>
      <c r="CF49">
        <v>34</v>
      </c>
      <c r="CG49">
        <v>33496.799999999996</v>
      </c>
      <c r="CH49">
        <v>23</v>
      </c>
      <c r="CI49">
        <v>22659.599999999999</v>
      </c>
      <c r="CJ49">
        <v>22</v>
      </c>
      <c r="CK49">
        <v>21674.399999999998</v>
      </c>
      <c r="CL49">
        <v>35</v>
      </c>
      <c r="CM49">
        <v>34482</v>
      </c>
      <c r="CN49">
        <v>29</v>
      </c>
      <c r="CO49">
        <v>28570.799999999999</v>
      </c>
      <c r="CP49">
        <v>37</v>
      </c>
      <c r="CQ49">
        <v>36452.399999999994</v>
      </c>
      <c r="CR49">
        <v>30</v>
      </c>
      <c r="CS49">
        <v>29555.999999999996</v>
      </c>
      <c r="CT49">
        <v>32</v>
      </c>
      <c r="CU49">
        <v>31526.399999999998</v>
      </c>
    </row>
    <row r="50" spans="2:99" x14ac:dyDescent="0.2">
      <c r="C50" s="116" t="s">
        <v>216</v>
      </c>
      <c r="D50">
        <v>22</v>
      </c>
      <c r="E50">
        <v>6204</v>
      </c>
      <c r="F50">
        <v>17</v>
      </c>
      <c r="G50">
        <v>4794</v>
      </c>
      <c r="H50">
        <v>20</v>
      </c>
      <c r="I50">
        <v>5640</v>
      </c>
      <c r="J50">
        <v>26</v>
      </c>
      <c r="K50">
        <v>7332</v>
      </c>
      <c r="L50">
        <v>12</v>
      </c>
      <c r="M50">
        <v>3384</v>
      </c>
      <c r="N50">
        <v>9</v>
      </c>
      <c r="O50">
        <v>2538</v>
      </c>
      <c r="P50">
        <v>8</v>
      </c>
      <c r="Q50">
        <v>2256</v>
      </c>
      <c r="R50">
        <v>12</v>
      </c>
      <c r="S50">
        <v>3384</v>
      </c>
      <c r="T50">
        <v>28</v>
      </c>
      <c r="U50">
        <v>7896</v>
      </c>
      <c r="V50">
        <v>27</v>
      </c>
      <c r="W50">
        <v>7614</v>
      </c>
      <c r="X50">
        <v>26</v>
      </c>
      <c r="Y50">
        <v>7332</v>
      </c>
      <c r="Z50">
        <v>17</v>
      </c>
      <c r="AA50">
        <v>4794</v>
      </c>
      <c r="AB50">
        <v>19</v>
      </c>
      <c r="AC50">
        <v>5358</v>
      </c>
      <c r="AD50">
        <v>22</v>
      </c>
      <c r="AE50">
        <v>6204</v>
      </c>
      <c r="AF50">
        <v>19</v>
      </c>
      <c r="AG50">
        <v>5358</v>
      </c>
      <c r="AH50">
        <v>17</v>
      </c>
      <c r="AI50">
        <v>4794</v>
      </c>
      <c r="AJ50">
        <v>43</v>
      </c>
      <c r="AK50">
        <v>12126</v>
      </c>
      <c r="AL50">
        <v>40</v>
      </c>
      <c r="AM50">
        <v>11280</v>
      </c>
      <c r="AN50">
        <v>38</v>
      </c>
      <c r="AO50">
        <v>10716</v>
      </c>
      <c r="AP50">
        <v>35</v>
      </c>
      <c r="AQ50">
        <v>9870</v>
      </c>
      <c r="AR50">
        <v>20</v>
      </c>
      <c r="AS50">
        <v>5640</v>
      </c>
      <c r="AT50">
        <v>24</v>
      </c>
      <c r="AU50">
        <v>6768</v>
      </c>
      <c r="AV50">
        <v>20</v>
      </c>
      <c r="AW50">
        <v>5640</v>
      </c>
      <c r="AX50">
        <v>15</v>
      </c>
      <c r="AY50">
        <v>4230</v>
      </c>
      <c r="AZ50">
        <v>5</v>
      </c>
      <c r="BA50">
        <v>1410</v>
      </c>
      <c r="BB50">
        <v>6</v>
      </c>
      <c r="BC50">
        <v>1692</v>
      </c>
      <c r="BD50">
        <v>6</v>
      </c>
      <c r="BE50">
        <v>1692</v>
      </c>
      <c r="BF50">
        <v>6</v>
      </c>
      <c r="BG50">
        <v>1692</v>
      </c>
      <c r="BH50">
        <v>12</v>
      </c>
      <c r="BI50">
        <v>3384</v>
      </c>
      <c r="BJ50">
        <v>13</v>
      </c>
      <c r="BK50">
        <v>3666</v>
      </c>
      <c r="BL50">
        <v>7</v>
      </c>
      <c r="BM50">
        <v>1974</v>
      </c>
      <c r="BN50">
        <v>14</v>
      </c>
      <c r="BO50">
        <v>3948</v>
      </c>
      <c r="BP50">
        <v>9</v>
      </c>
      <c r="BQ50">
        <v>2538</v>
      </c>
      <c r="BR50">
        <v>7</v>
      </c>
      <c r="BS50">
        <v>1974</v>
      </c>
      <c r="BT50">
        <v>8</v>
      </c>
      <c r="BU50">
        <v>2256</v>
      </c>
      <c r="BV50">
        <v>9</v>
      </c>
      <c r="BW50">
        <v>2538</v>
      </c>
      <c r="BX50">
        <v>24</v>
      </c>
      <c r="BY50">
        <v>6768</v>
      </c>
      <c r="BZ50">
        <v>19</v>
      </c>
      <c r="CA50">
        <v>5358</v>
      </c>
      <c r="CB50">
        <v>24</v>
      </c>
      <c r="CC50">
        <v>6768</v>
      </c>
      <c r="CD50">
        <v>17</v>
      </c>
      <c r="CE50">
        <v>4794</v>
      </c>
      <c r="CF50">
        <v>35</v>
      </c>
      <c r="CG50">
        <v>9870</v>
      </c>
      <c r="CH50">
        <v>24</v>
      </c>
      <c r="CI50">
        <v>6768</v>
      </c>
      <c r="CJ50">
        <v>27</v>
      </c>
      <c r="CK50">
        <v>7614</v>
      </c>
      <c r="CL50">
        <v>39</v>
      </c>
      <c r="CM50">
        <v>10998</v>
      </c>
      <c r="CN50">
        <v>31</v>
      </c>
      <c r="CO50">
        <v>8742</v>
      </c>
      <c r="CP50">
        <v>40</v>
      </c>
      <c r="CQ50">
        <v>11280</v>
      </c>
      <c r="CR50">
        <v>34</v>
      </c>
      <c r="CS50">
        <v>9588</v>
      </c>
      <c r="CT50">
        <v>37</v>
      </c>
      <c r="CU50">
        <v>10434</v>
      </c>
    </row>
    <row r="51" spans="2:99" x14ac:dyDescent="0.2">
      <c r="C51" s="116" t="s">
        <v>217</v>
      </c>
      <c r="D51">
        <v>19</v>
      </c>
      <c r="E51">
        <v>16233.6</v>
      </c>
      <c r="F51">
        <v>15</v>
      </c>
      <c r="G51">
        <v>12816</v>
      </c>
      <c r="H51">
        <v>18</v>
      </c>
      <c r="I51">
        <v>15379.199999999999</v>
      </c>
      <c r="J51">
        <v>24</v>
      </c>
      <c r="K51">
        <v>20505.599999999999</v>
      </c>
      <c r="L51">
        <v>13</v>
      </c>
      <c r="M51">
        <v>11107.199999999999</v>
      </c>
      <c r="N51">
        <v>8</v>
      </c>
      <c r="O51">
        <v>6835.2</v>
      </c>
      <c r="P51">
        <v>7</v>
      </c>
      <c r="Q51">
        <v>5980.8</v>
      </c>
      <c r="R51">
        <v>11</v>
      </c>
      <c r="S51">
        <v>9398.4</v>
      </c>
      <c r="T51">
        <v>27</v>
      </c>
      <c r="U51">
        <v>23068.799999999999</v>
      </c>
      <c r="V51">
        <v>24</v>
      </c>
      <c r="W51">
        <v>20505.599999999999</v>
      </c>
      <c r="X51">
        <v>28</v>
      </c>
      <c r="Y51">
        <v>23923.200000000001</v>
      </c>
      <c r="Z51">
        <v>19</v>
      </c>
      <c r="AA51">
        <v>16233.6</v>
      </c>
      <c r="AB51">
        <v>18</v>
      </c>
      <c r="AC51">
        <v>15379.199999999999</v>
      </c>
      <c r="AD51">
        <v>19</v>
      </c>
      <c r="AE51">
        <v>16233.6</v>
      </c>
      <c r="AF51">
        <v>17</v>
      </c>
      <c r="AG51">
        <v>14524.8</v>
      </c>
      <c r="AH51">
        <v>19</v>
      </c>
      <c r="AI51">
        <v>16233.6</v>
      </c>
      <c r="AJ51">
        <v>39</v>
      </c>
      <c r="AK51">
        <v>33321.599999999999</v>
      </c>
      <c r="AL51">
        <v>39</v>
      </c>
      <c r="AM51">
        <v>33321.599999999999</v>
      </c>
      <c r="AN51">
        <v>34</v>
      </c>
      <c r="AO51">
        <v>29049.599999999999</v>
      </c>
      <c r="AP51">
        <v>34</v>
      </c>
      <c r="AQ51">
        <v>29049.599999999999</v>
      </c>
      <c r="AR51">
        <v>18</v>
      </c>
      <c r="AS51">
        <v>15379.199999999999</v>
      </c>
      <c r="AT51">
        <v>21</v>
      </c>
      <c r="AU51">
        <v>17942.399999999998</v>
      </c>
      <c r="AV51">
        <v>19</v>
      </c>
      <c r="AW51">
        <v>16233.6</v>
      </c>
      <c r="AX51">
        <v>14</v>
      </c>
      <c r="AY51">
        <v>11961.6</v>
      </c>
      <c r="AZ51">
        <v>6</v>
      </c>
      <c r="BA51">
        <v>5126.3999999999996</v>
      </c>
      <c r="BB51">
        <v>6</v>
      </c>
      <c r="BC51">
        <v>5126.3999999999996</v>
      </c>
      <c r="BD51">
        <v>6</v>
      </c>
      <c r="BE51">
        <v>5126.3999999999996</v>
      </c>
      <c r="BF51">
        <v>5</v>
      </c>
      <c r="BG51">
        <v>4272</v>
      </c>
      <c r="BH51">
        <v>12</v>
      </c>
      <c r="BI51">
        <v>10252.799999999999</v>
      </c>
      <c r="BJ51">
        <v>12</v>
      </c>
      <c r="BK51">
        <v>10252.799999999999</v>
      </c>
      <c r="BL51">
        <v>6</v>
      </c>
      <c r="BM51">
        <v>5126.3999999999996</v>
      </c>
      <c r="BN51">
        <v>12</v>
      </c>
      <c r="BO51">
        <v>10252.799999999999</v>
      </c>
      <c r="BP51">
        <v>10</v>
      </c>
      <c r="BQ51">
        <v>8544</v>
      </c>
      <c r="BR51">
        <v>7</v>
      </c>
      <c r="BS51">
        <v>5980.8</v>
      </c>
      <c r="BT51">
        <v>8</v>
      </c>
      <c r="BU51">
        <v>6835.2</v>
      </c>
      <c r="BV51">
        <v>9</v>
      </c>
      <c r="BW51">
        <v>7689.5999999999995</v>
      </c>
      <c r="BX51">
        <v>25</v>
      </c>
      <c r="BY51">
        <v>21360</v>
      </c>
      <c r="BZ51">
        <v>15</v>
      </c>
      <c r="CA51">
        <v>12816</v>
      </c>
      <c r="CB51">
        <v>22</v>
      </c>
      <c r="CC51">
        <v>18796.8</v>
      </c>
      <c r="CD51">
        <v>16</v>
      </c>
      <c r="CE51">
        <v>13670.4</v>
      </c>
      <c r="CF51">
        <v>36</v>
      </c>
      <c r="CG51">
        <v>30758.399999999998</v>
      </c>
      <c r="CH51">
        <v>22</v>
      </c>
      <c r="CI51">
        <v>18796.8</v>
      </c>
      <c r="CJ51">
        <v>23</v>
      </c>
      <c r="CK51">
        <v>19651.2</v>
      </c>
      <c r="CL51">
        <v>37</v>
      </c>
      <c r="CM51">
        <v>31612.799999999999</v>
      </c>
      <c r="CN51">
        <v>29</v>
      </c>
      <c r="CO51">
        <v>24777.599999999999</v>
      </c>
      <c r="CP51">
        <v>34</v>
      </c>
      <c r="CQ51">
        <v>29049.599999999999</v>
      </c>
      <c r="CR51">
        <v>31</v>
      </c>
      <c r="CS51">
        <v>26486.399999999998</v>
      </c>
      <c r="CT51">
        <v>34</v>
      </c>
      <c r="CU51">
        <v>29049.599999999999</v>
      </c>
    </row>
    <row r="52" spans="2:99" x14ac:dyDescent="0.2">
      <c r="C52" s="116" t="s">
        <v>218</v>
      </c>
      <c r="D52">
        <v>21</v>
      </c>
      <c r="E52">
        <v>11340</v>
      </c>
      <c r="F52">
        <v>17</v>
      </c>
      <c r="G52">
        <v>9180</v>
      </c>
      <c r="H52">
        <v>18</v>
      </c>
      <c r="I52">
        <v>9720</v>
      </c>
      <c r="J52">
        <v>25</v>
      </c>
      <c r="K52">
        <v>13500</v>
      </c>
      <c r="L52">
        <v>15</v>
      </c>
      <c r="M52">
        <v>8100</v>
      </c>
      <c r="N52">
        <v>9</v>
      </c>
      <c r="O52">
        <v>4860</v>
      </c>
      <c r="P52">
        <v>7</v>
      </c>
      <c r="Q52">
        <v>3780</v>
      </c>
      <c r="R52">
        <v>13</v>
      </c>
      <c r="S52">
        <v>7020</v>
      </c>
      <c r="T52">
        <v>27</v>
      </c>
      <c r="U52">
        <v>14580</v>
      </c>
      <c r="V52">
        <v>23</v>
      </c>
      <c r="W52">
        <v>12420</v>
      </c>
      <c r="X52">
        <v>25</v>
      </c>
      <c r="Y52">
        <v>13500</v>
      </c>
      <c r="Z52">
        <v>20</v>
      </c>
      <c r="AA52">
        <v>10800</v>
      </c>
      <c r="AB52">
        <v>18</v>
      </c>
      <c r="AC52">
        <v>9720</v>
      </c>
      <c r="AD52">
        <v>18</v>
      </c>
      <c r="AE52">
        <v>9720</v>
      </c>
      <c r="AF52">
        <v>19</v>
      </c>
      <c r="AG52">
        <v>10260</v>
      </c>
      <c r="AH52">
        <v>19</v>
      </c>
      <c r="AI52">
        <v>10260</v>
      </c>
      <c r="AJ52">
        <v>45</v>
      </c>
      <c r="AK52">
        <v>24300</v>
      </c>
      <c r="AL52">
        <v>43</v>
      </c>
      <c r="AM52">
        <v>23220</v>
      </c>
      <c r="AN52">
        <v>35</v>
      </c>
      <c r="AO52">
        <v>18900</v>
      </c>
      <c r="AP52">
        <v>33</v>
      </c>
      <c r="AQ52">
        <v>17820</v>
      </c>
      <c r="AR52">
        <v>20</v>
      </c>
      <c r="AS52">
        <v>10800</v>
      </c>
      <c r="AT52">
        <v>25</v>
      </c>
      <c r="AU52">
        <v>13500</v>
      </c>
      <c r="AV52">
        <v>19</v>
      </c>
      <c r="AW52">
        <v>10260</v>
      </c>
      <c r="AX52">
        <v>15</v>
      </c>
      <c r="AY52">
        <v>8100</v>
      </c>
      <c r="AZ52">
        <v>5</v>
      </c>
      <c r="BA52">
        <v>2700</v>
      </c>
      <c r="BB52">
        <v>6</v>
      </c>
      <c r="BC52">
        <v>3240</v>
      </c>
      <c r="BD52">
        <v>7</v>
      </c>
      <c r="BE52">
        <v>3780</v>
      </c>
      <c r="BF52">
        <v>5</v>
      </c>
      <c r="BG52">
        <v>2700</v>
      </c>
      <c r="BH52">
        <v>14</v>
      </c>
      <c r="BI52">
        <v>7560</v>
      </c>
      <c r="BJ52">
        <v>12</v>
      </c>
      <c r="BK52">
        <v>6480</v>
      </c>
      <c r="BL52">
        <v>7</v>
      </c>
      <c r="BM52">
        <v>3780</v>
      </c>
      <c r="BN52">
        <v>12</v>
      </c>
      <c r="BO52">
        <v>6480</v>
      </c>
      <c r="BP52">
        <v>11</v>
      </c>
      <c r="BQ52">
        <v>5940</v>
      </c>
      <c r="BR52">
        <v>7</v>
      </c>
      <c r="BS52">
        <v>3780</v>
      </c>
      <c r="BT52">
        <v>8</v>
      </c>
      <c r="BU52">
        <v>4320</v>
      </c>
      <c r="BV52">
        <v>9</v>
      </c>
      <c r="BW52">
        <v>4860</v>
      </c>
      <c r="BX52">
        <v>25</v>
      </c>
      <c r="BY52">
        <v>13500</v>
      </c>
      <c r="BZ52">
        <v>15</v>
      </c>
      <c r="CA52">
        <v>8100</v>
      </c>
      <c r="CB52">
        <v>20</v>
      </c>
      <c r="CC52">
        <v>10800</v>
      </c>
      <c r="CD52">
        <v>18</v>
      </c>
      <c r="CE52">
        <v>9720</v>
      </c>
      <c r="CF52">
        <v>34</v>
      </c>
      <c r="CG52">
        <v>18360</v>
      </c>
      <c r="CH52">
        <v>22</v>
      </c>
      <c r="CI52">
        <v>11880</v>
      </c>
      <c r="CJ52">
        <v>22</v>
      </c>
      <c r="CK52">
        <v>11880</v>
      </c>
      <c r="CL52">
        <v>37</v>
      </c>
      <c r="CM52">
        <v>19980</v>
      </c>
      <c r="CN52">
        <v>30</v>
      </c>
      <c r="CO52">
        <v>16200</v>
      </c>
      <c r="CP52">
        <v>38</v>
      </c>
      <c r="CQ52">
        <v>20520</v>
      </c>
      <c r="CR52">
        <v>28</v>
      </c>
      <c r="CS52">
        <v>15120</v>
      </c>
      <c r="CT52">
        <v>36</v>
      </c>
      <c r="CU52">
        <v>19440</v>
      </c>
    </row>
    <row r="53" spans="2:99" x14ac:dyDescent="0.2">
      <c r="C53" s="116" t="s">
        <v>219</v>
      </c>
      <c r="D53">
        <v>20</v>
      </c>
      <c r="E53">
        <v>8136</v>
      </c>
      <c r="F53">
        <v>15</v>
      </c>
      <c r="G53">
        <v>6102</v>
      </c>
      <c r="H53">
        <v>18</v>
      </c>
      <c r="I53">
        <v>7322.4000000000005</v>
      </c>
      <c r="J53">
        <v>25</v>
      </c>
      <c r="K53">
        <v>10170</v>
      </c>
      <c r="L53">
        <v>14</v>
      </c>
      <c r="M53">
        <v>5695.2</v>
      </c>
      <c r="N53">
        <v>9</v>
      </c>
      <c r="O53">
        <v>3661.2000000000003</v>
      </c>
      <c r="P53">
        <v>7</v>
      </c>
      <c r="Q53">
        <v>2847.6</v>
      </c>
      <c r="R53">
        <v>13</v>
      </c>
      <c r="S53">
        <v>5288.4000000000005</v>
      </c>
      <c r="T53">
        <v>31</v>
      </c>
      <c r="U53">
        <v>12610.800000000001</v>
      </c>
      <c r="V53">
        <v>25</v>
      </c>
      <c r="W53">
        <v>10170</v>
      </c>
      <c r="X53">
        <v>29</v>
      </c>
      <c r="Y53">
        <v>11797.2</v>
      </c>
      <c r="Z53">
        <v>17</v>
      </c>
      <c r="AA53">
        <v>6915.6</v>
      </c>
      <c r="AB53">
        <v>20</v>
      </c>
      <c r="AC53">
        <v>8136</v>
      </c>
      <c r="AD53">
        <v>22</v>
      </c>
      <c r="AE53">
        <v>8949.6</v>
      </c>
      <c r="AF53">
        <v>21</v>
      </c>
      <c r="AG53">
        <v>8542.8000000000011</v>
      </c>
      <c r="AH53">
        <v>18</v>
      </c>
      <c r="AI53">
        <v>7322.4000000000005</v>
      </c>
      <c r="AJ53">
        <v>43</v>
      </c>
      <c r="AK53">
        <v>17492.400000000001</v>
      </c>
      <c r="AL53">
        <v>42</v>
      </c>
      <c r="AM53">
        <v>17085.600000000002</v>
      </c>
      <c r="AN53">
        <v>33</v>
      </c>
      <c r="AO53">
        <v>13424.4</v>
      </c>
      <c r="AP53">
        <v>36</v>
      </c>
      <c r="AQ53">
        <v>14644.800000000001</v>
      </c>
      <c r="AR53">
        <v>22</v>
      </c>
      <c r="AS53">
        <v>8949.6</v>
      </c>
      <c r="AT53">
        <v>22</v>
      </c>
      <c r="AU53">
        <v>8949.6</v>
      </c>
      <c r="AV53">
        <v>20</v>
      </c>
      <c r="AW53">
        <v>8136</v>
      </c>
      <c r="AX53">
        <v>16</v>
      </c>
      <c r="AY53">
        <v>6508.8</v>
      </c>
      <c r="AZ53">
        <v>5</v>
      </c>
      <c r="BA53">
        <v>2034</v>
      </c>
      <c r="BB53">
        <v>6</v>
      </c>
      <c r="BC53">
        <v>2440.8000000000002</v>
      </c>
      <c r="BD53">
        <v>7</v>
      </c>
      <c r="BE53">
        <v>2847.6</v>
      </c>
      <c r="BF53">
        <v>5</v>
      </c>
      <c r="BG53">
        <v>2034</v>
      </c>
      <c r="BH53">
        <v>14</v>
      </c>
      <c r="BI53">
        <v>5695.2</v>
      </c>
      <c r="BJ53">
        <v>13</v>
      </c>
      <c r="BK53">
        <v>5288.4000000000005</v>
      </c>
      <c r="BL53">
        <v>6</v>
      </c>
      <c r="BM53">
        <v>2440.8000000000002</v>
      </c>
      <c r="BN53">
        <v>14</v>
      </c>
      <c r="BO53">
        <v>5695.2</v>
      </c>
      <c r="BP53">
        <v>9</v>
      </c>
      <c r="BQ53">
        <v>3661.2000000000003</v>
      </c>
      <c r="BR53">
        <v>7</v>
      </c>
      <c r="BS53">
        <v>2847.6</v>
      </c>
      <c r="BT53">
        <v>8</v>
      </c>
      <c r="BU53">
        <v>3254.4</v>
      </c>
      <c r="BV53">
        <v>9</v>
      </c>
      <c r="BW53">
        <v>3661.2000000000003</v>
      </c>
      <c r="BX53">
        <v>22</v>
      </c>
      <c r="BY53">
        <v>8949.6</v>
      </c>
      <c r="BZ53">
        <v>18</v>
      </c>
      <c r="CA53">
        <v>7322.4000000000005</v>
      </c>
      <c r="CB53">
        <v>24</v>
      </c>
      <c r="CC53">
        <v>9763.2000000000007</v>
      </c>
      <c r="CD53">
        <v>15</v>
      </c>
      <c r="CE53">
        <v>6102</v>
      </c>
      <c r="CF53">
        <v>35</v>
      </c>
      <c r="CG53">
        <v>14238</v>
      </c>
      <c r="CH53">
        <v>22</v>
      </c>
      <c r="CI53">
        <v>8949.6</v>
      </c>
      <c r="CJ53">
        <v>24</v>
      </c>
      <c r="CK53">
        <v>9763.2000000000007</v>
      </c>
      <c r="CL53">
        <v>37</v>
      </c>
      <c r="CM53">
        <v>15051.6</v>
      </c>
      <c r="CN53">
        <v>26</v>
      </c>
      <c r="CO53">
        <v>10576.800000000001</v>
      </c>
      <c r="CP53">
        <v>38</v>
      </c>
      <c r="CQ53">
        <v>15458.4</v>
      </c>
      <c r="CR53">
        <v>31</v>
      </c>
      <c r="CS53">
        <v>12610.800000000001</v>
      </c>
      <c r="CT53">
        <v>36</v>
      </c>
      <c r="CU53">
        <v>14644.800000000001</v>
      </c>
    </row>
    <row r="54" spans="2:99" x14ac:dyDescent="0.2">
      <c r="C54" s="116" t="s">
        <v>220</v>
      </c>
      <c r="D54">
        <v>21</v>
      </c>
      <c r="E54">
        <v>7030.8</v>
      </c>
      <c r="F54">
        <v>15</v>
      </c>
      <c r="G54">
        <v>5022</v>
      </c>
      <c r="H54">
        <v>20</v>
      </c>
      <c r="I54">
        <v>6696</v>
      </c>
      <c r="J54">
        <v>27</v>
      </c>
      <c r="K54">
        <v>9039.6</v>
      </c>
      <c r="L54">
        <v>14</v>
      </c>
      <c r="M54">
        <v>4687.2</v>
      </c>
      <c r="N54">
        <v>8</v>
      </c>
      <c r="O54">
        <v>2678.4</v>
      </c>
      <c r="P54">
        <v>8</v>
      </c>
      <c r="Q54">
        <v>2678.4</v>
      </c>
      <c r="R54">
        <v>12</v>
      </c>
      <c r="S54">
        <v>4017.6000000000004</v>
      </c>
      <c r="T54">
        <v>26</v>
      </c>
      <c r="U54">
        <v>8704.8000000000011</v>
      </c>
      <c r="V54">
        <v>24</v>
      </c>
      <c r="W54">
        <v>8035.2000000000007</v>
      </c>
      <c r="X54">
        <v>27</v>
      </c>
      <c r="Y54">
        <v>9039.6</v>
      </c>
      <c r="Z54">
        <v>18</v>
      </c>
      <c r="AA54">
        <v>6026.4000000000005</v>
      </c>
      <c r="AB54">
        <v>18</v>
      </c>
      <c r="AC54">
        <v>6026.4000000000005</v>
      </c>
      <c r="AD54">
        <v>22</v>
      </c>
      <c r="AE54">
        <v>7365.6</v>
      </c>
      <c r="AF54">
        <v>18</v>
      </c>
      <c r="AG54">
        <v>6026.4000000000005</v>
      </c>
      <c r="AH54">
        <v>20</v>
      </c>
      <c r="AI54">
        <v>6696</v>
      </c>
      <c r="AJ54">
        <v>49</v>
      </c>
      <c r="AK54">
        <v>16405.2</v>
      </c>
      <c r="AL54">
        <v>45</v>
      </c>
      <c r="AM54">
        <v>15066</v>
      </c>
      <c r="AN54">
        <v>34</v>
      </c>
      <c r="AO54">
        <v>11383.2</v>
      </c>
      <c r="AP54">
        <v>32</v>
      </c>
      <c r="AQ54">
        <v>10713.6</v>
      </c>
      <c r="AR54">
        <v>21</v>
      </c>
      <c r="AS54">
        <v>7030.8</v>
      </c>
      <c r="AT54">
        <v>26</v>
      </c>
      <c r="AU54">
        <v>8704.8000000000011</v>
      </c>
      <c r="AV54">
        <v>20</v>
      </c>
      <c r="AW54">
        <v>6696</v>
      </c>
      <c r="AX54">
        <v>16</v>
      </c>
      <c r="AY54">
        <v>5356.8</v>
      </c>
      <c r="AZ54">
        <v>6</v>
      </c>
      <c r="BA54">
        <v>2008.8000000000002</v>
      </c>
      <c r="BB54">
        <v>5</v>
      </c>
      <c r="BC54">
        <v>1674</v>
      </c>
      <c r="BD54">
        <v>6</v>
      </c>
      <c r="BE54">
        <v>2008.8000000000002</v>
      </c>
      <c r="BF54">
        <v>5</v>
      </c>
      <c r="BG54">
        <v>1674</v>
      </c>
      <c r="BH54">
        <v>12</v>
      </c>
      <c r="BI54">
        <v>4017.6000000000004</v>
      </c>
      <c r="BJ54">
        <v>13</v>
      </c>
      <c r="BK54">
        <v>4352.4000000000005</v>
      </c>
      <c r="BL54">
        <v>7</v>
      </c>
      <c r="BM54">
        <v>2343.6</v>
      </c>
      <c r="BN54">
        <v>13</v>
      </c>
      <c r="BO54">
        <v>4352.4000000000005</v>
      </c>
      <c r="BP54">
        <v>10</v>
      </c>
      <c r="BQ54">
        <v>3348</v>
      </c>
      <c r="BR54">
        <v>6</v>
      </c>
      <c r="BS54">
        <v>2008.8000000000002</v>
      </c>
      <c r="BT54">
        <v>9</v>
      </c>
      <c r="BU54">
        <v>3013.2000000000003</v>
      </c>
      <c r="BV54">
        <v>9</v>
      </c>
      <c r="BW54">
        <v>3013.2000000000003</v>
      </c>
      <c r="BX54">
        <v>25</v>
      </c>
      <c r="BY54">
        <v>8370</v>
      </c>
      <c r="BZ54">
        <v>15</v>
      </c>
      <c r="CA54">
        <v>5022</v>
      </c>
      <c r="CB54">
        <v>22</v>
      </c>
      <c r="CC54">
        <v>7365.6</v>
      </c>
      <c r="CD54">
        <v>16</v>
      </c>
      <c r="CE54">
        <v>5356.8</v>
      </c>
      <c r="CF54">
        <v>40</v>
      </c>
      <c r="CG54">
        <v>13392</v>
      </c>
      <c r="CH54">
        <v>25</v>
      </c>
      <c r="CI54">
        <v>8370</v>
      </c>
      <c r="CJ54">
        <v>25</v>
      </c>
      <c r="CK54">
        <v>8370</v>
      </c>
      <c r="CL54">
        <v>37</v>
      </c>
      <c r="CM54">
        <v>12387.6</v>
      </c>
      <c r="CN54">
        <v>31</v>
      </c>
      <c r="CO54">
        <v>10378.800000000001</v>
      </c>
      <c r="CP54">
        <v>42</v>
      </c>
      <c r="CQ54">
        <v>14061.6</v>
      </c>
      <c r="CR54">
        <v>34</v>
      </c>
      <c r="CS54">
        <v>11383.2</v>
      </c>
      <c r="CT54">
        <v>34</v>
      </c>
      <c r="CU54">
        <v>11383.2</v>
      </c>
    </row>
    <row r="55" spans="2:99" x14ac:dyDescent="0.2">
      <c r="C55" s="116" t="s">
        <v>221</v>
      </c>
      <c r="D55">
        <v>19</v>
      </c>
      <c r="E55">
        <v>12608.4</v>
      </c>
      <c r="F55">
        <v>17</v>
      </c>
      <c r="G55">
        <v>11281.2</v>
      </c>
      <c r="H55">
        <v>16</v>
      </c>
      <c r="I55">
        <v>10617.6</v>
      </c>
      <c r="J55">
        <v>24</v>
      </c>
      <c r="K55">
        <v>15926.400000000001</v>
      </c>
      <c r="L55">
        <v>13</v>
      </c>
      <c r="M55">
        <v>8626.8000000000011</v>
      </c>
      <c r="N55">
        <v>9</v>
      </c>
      <c r="O55">
        <v>5972.4000000000005</v>
      </c>
      <c r="P55">
        <v>7</v>
      </c>
      <c r="Q55">
        <v>4645.2</v>
      </c>
      <c r="R55">
        <v>12</v>
      </c>
      <c r="S55">
        <v>7963.2000000000007</v>
      </c>
      <c r="T55">
        <v>29</v>
      </c>
      <c r="U55">
        <v>19244.400000000001</v>
      </c>
      <c r="V55">
        <v>23</v>
      </c>
      <c r="W55">
        <v>15262.800000000001</v>
      </c>
      <c r="X55">
        <v>29</v>
      </c>
      <c r="Y55">
        <v>19244.400000000001</v>
      </c>
      <c r="Z55">
        <v>16</v>
      </c>
      <c r="AA55">
        <v>10617.6</v>
      </c>
      <c r="AB55">
        <v>17</v>
      </c>
      <c r="AC55">
        <v>11281.2</v>
      </c>
      <c r="AD55">
        <v>21</v>
      </c>
      <c r="AE55">
        <v>13935.6</v>
      </c>
      <c r="AF55">
        <v>18</v>
      </c>
      <c r="AG55">
        <v>11944.800000000001</v>
      </c>
      <c r="AH55">
        <v>18</v>
      </c>
      <c r="AI55">
        <v>11944.800000000001</v>
      </c>
      <c r="AJ55">
        <v>44</v>
      </c>
      <c r="AK55">
        <v>29198.400000000001</v>
      </c>
      <c r="AL55">
        <v>42</v>
      </c>
      <c r="AM55">
        <v>27871.200000000001</v>
      </c>
      <c r="AN55">
        <v>32</v>
      </c>
      <c r="AO55">
        <v>21235.200000000001</v>
      </c>
      <c r="AP55">
        <v>36</v>
      </c>
      <c r="AQ55">
        <v>23889.600000000002</v>
      </c>
      <c r="AR55">
        <v>20</v>
      </c>
      <c r="AS55">
        <v>13272</v>
      </c>
      <c r="AT55">
        <v>23</v>
      </c>
      <c r="AU55">
        <v>15262.800000000001</v>
      </c>
      <c r="AV55">
        <v>18</v>
      </c>
      <c r="AW55">
        <v>11944.800000000001</v>
      </c>
      <c r="AX55">
        <v>14</v>
      </c>
      <c r="AY55">
        <v>9290.4</v>
      </c>
      <c r="AZ55">
        <v>5</v>
      </c>
      <c r="BA55">
        <v>3318</v>
      </c>
      <c r="BB55">
        <v>6</v>
      </c>
      <c r="BC55">
        <v>3981.6000000000004</v>
      </c>
      <c r="BD55">
        <v>6</v>
      </c>
      <c r="BE55">
        <v>3981.6000000000004</v>
      </c>
      <c r="BF55">
        <v>5</v>
      </c>
      <c r="BG55">
        <v>3318</v>
      </c>
      <c r="BH55">
        <v>11</v>
      </c>
      <c r="BI55">
        <v>7299.6</v>
      </c>
      <c r="BJ55">
        <v>12</v>
      </c>
      <c r="BK55">
        <v>7963.2000000000007</v>
      </c>
      <c r="BL55">
        <v>7</v>
      </c>
      <c r="BM55">
        <v>4645.2</v>
      </c>
      <c r="BN55">
        <v>12</v>
      </c>
      <c r="BO55">
        <v>7963.2000000000007</v>
      </c>
      <c r="BP55">
        <v>11</v>
      </c>
      <c r="BQ55">
        <v>7299.6</v>
      </c>
      <c r="BR55">
        <v>7</v>
      </c>
      <c r="BS55">
        <v>4645.2</v>
      </c>
      <c r="BT55">
        <v>8</v>
      </c>
      <c r="BU55">
        <v>5308.8</v>
      </c>
      <c r="BV55">
        <v>8</v>
      </c>
      <c r="BW55">
        <v>5308.8</v>
      </c>
      <c r="BX55">
        <v>26</v>
      </c>
      <c r="BY55">
        <v>17253.600000000002</v>
      </c>
      <c r="BZ55">
        <v>15</v>
      </c>
      <c r="CA55">
        <v>9954</v>
      </c>
      <c r="CB55">
        <v>22</v>
      </c>
      <c r="CC55">
        <v>14599.2</v>
      </c>
      <c r="CD55">
        <v>17</v>
      </c>
      <c r="CE55">
        <v>11281.2</v>
      </c>
      <c r="CF55">
        <v>36</v>
      </c>
      <c r="CG55">
        <v>23889.600000000002</v>
      </c>
      <c r="CH55">
        <v>23</v>
      </c>
      <c r="CI55">
        <v>15262.800000000001</v>
      </c>
      <c r="CJ55">
        <v>24</v>
      </c>
      <c r="CK55">
        <v>15926.400000000001</v>
      </c>
      <c r="CL55">
        <v>39</v>
      </c>
      <c r="CM55">
        <v>25880.400000000001</v>
      </c>
      <c r="CN55">
        <v>26</v>
      </c>
      <c r="CO55">
        <v>17253.600000000002</v>
      </c>
      <c r="CP55">
        <v>34</v>
      </c>
      <c r="CQ55">
        <v>22562.400000000001</v>
      </c>
      <c r="CR55">
        <v>29</v>
      </c>
      <c r="CS55">
        <v>19244.400000000001</v>
      </c>
      <c r="CT55">
        <v>37</v>
      </c>
      <c r="CU55">
        <v>24553.200000000001</v>
      </c>
    </row>
    <row r="56" spans="2:99" x14ac:dyDescent="0.2">
      <c r="C56" s="116" t="s">
        <v>222</v>
      </c>
      <c r="D56">
        <v>19</v>
      </c>
      <c r="E56">
        <v>21865.200000000001</v>
      </c>
      <c r="F56">
        <v>15</v>
      </c>
      <c r="G56">
        <v>17262</v>
      </c>
      <c r="H56">
        <v>18</v>
      </c>
      <c r="I56">
        <v>20714.399999999998</v>
      </c>
      <c r="J56">
        <v>22</v>
      </c>
      <c r="K56">
        <v>25317.599999999999</v>
      </c>
      <c r="L56">
        <v>11</v>
      </c>
      <c r="M56">
        <v>12658.8</v>
      </c>
      <c r="N56">
        <v>8</v>
      </c>
      <c r="O56">
        <v>9206.4</v>
      </c>
      <c r="P56">
        <v>7</v>
      </c>
      <c r="Q56">
        <v>8055.5999999999995</v>
      </c>
      <c r="R56">
        <v>11</v>
      </c>
      <c r="S56">
        <v>12658.8</v>
      </c>
      <c r="T56">
        <v>29</v>
      </c>
      <c r="U56">
        <v>33373.199999999997</v>
      </c>
      <c r="V56">
        <v>21</v>
      </c>
      <c r="W56">
        <v>24166.799999999999</v>
      </c>
      <c r="X56">
        <v>24</v>
      </c>
      <c r="Y56">
        <v>27619.199999999997</v>
      </c>
      <c r="Z56">
        <v>15</v>
      </c>
      <c r="AA56">
        <v>17262</v>
      </c>
      <c r="AB56">
        <v>15</v>
      </c>
      <c r="AC56">
        <v>17262</v>
      </c>
      <c r="AD56">
        <v>19</v>
      </c>
      <c r="AE56">
        <v>21865.200000000001</v>
      </c>
      <c r="AF56">
        <v>18</v>
      </c>
      <c r="AG56">
        <v>20714.399999999998</v>
      </c>
      <c r="AH56">
        <v>16</v>
      </c>
      <c r="AI56">
        <v>18412.8</v>
      </c>
      <c r="AJ56">
        <v>44</v>
      </c>
      <c r="AK56">
        <v>50635.199999999997</v>
      </c>
      <c r="AL56">
        <v>38</v>
      </c>
      <c r="AM56">
        <v>43730.400000000001</v>
      </c>
      <c r="AN56">
        <v>33</v>
      </c>
      <c r="AO56">
        <v>37976.400000000001</v>
      </c>
      <c r="AP56">
        <v>28</v>
      </c>
      <c r="AQ56">
        <v>32222.399999999998</v>
      </c>
      <c r="AR56">
        <v>19</v>
      </c>
      <c r="AS56">
        <v>21865.200000000001</v>
      </c>
      <c r="AT56">
        <v>21</v>
      </c>
      <c r="AU56">
        <v>24166.799999999999</v>
      </c>
      <c r="AV56">
        <v>17</v>
      </c>
      <c r="AW56">
        <v>19563.599999999999</v>
      </c>
      <c r="AX56">
        <v>15</v>
      </c>
      <c r="AY56">
        <v>17262</v>
      </c>
      <c r="AZ56">
        <v>5</v>
      </c>
      <c r="BA56">
        <v>5754</v>
      </c>
      <c r="BB56">
        <v>6</v>
      </c>
      <c r="BC56">
        <v>6904.7999999999993</v>
      </c>
      <c r="BD56">
        <v>6</v>
      </c>
      <c r="BE56">
        <v>6904.7999999999993</v>
      </c>
      <c r="BF56">
        <v>4</v>
      </c>
      <c r="BG56">
        <v>4603.2</v>
      </c>
      <c r="BH56">
        <v>12</v>
      </c>
      <c r="BI56">
        <v>13809.599999999999</v>
      </c>
      <c r="BJ56">
        <v>10</v>
      </c>
      <c r="BK56">
        <v>11508</v>
      </c>
      <c r="BL56">
        <v>7</v>
      </c>
      <c r="BM56">
        <v>8055.5999999999995</v>
      </c>
      <c r="BN56">
        <v>13</v>
      </c>
      <c r="BO56">
        <v>14960.4</v>
      </c>
      <c r="BP56">
        <v>10</v>
      </c>
      <c r="BQ56">
        <v>11508</v>
      </c>
      <c r="BR56">
        <v>6</v>
      </c>
      <c r="BS56">
        <v>6904.7999999999993</v>
      </c>
      <c r="BT56">
        <v>7</v>
      </c>
      <c r="BU56">
        <v>8055.5999999999995</v>
      </c>
      <c r="BV56">
        <v>9</v>
      </c>
      <c r="BW56">
        <v>10357.199999999999</v>
      </c>
      <c r="BX56">
        <v>20</v>
      </c>
      <c r="BY56">
        <v>23016</v>
      </c>
      <c r="BZ56">
        <v>16</v>
      </c>
      <c r="CA56">
        <v>18412.8</v>
      </c>
      <c r="CB56">
        <v>18</v>
      </c>
      <c r="CC56">
        <v>20714.399999999998</v>
      </c>
      <c r="CD56">
        <v>17</v>
      </c>
      <c r="CE56">
        <v>19563.599999999999</v>
      </c>
      <c r="CF56">
        <v>35</v>
      </c>
      <c r="CG56">
        <v>40278</v>
      </c>
      <c r="CH56">
        <v>20</v>
      </c>
      <c r="CI56">
        <v>23016</v>
      </c>
      <c r="CJ56">
        <v>22</v>
      </c>
      <c r="CK56">
        <v>25317.599999999999</v>
      </c>
      <c r="CL56">
        <v>33</v>
      </c>
      <c r="CM56">
        <v>37976.400000000001</v>
      </c>
      <c r="CN56">
        <v>24</v>
      </c>
      <c r="CO56">
        <v>27619.199999999997</v>
      </c>
      <c r="CP56">
        <v>37</v>
      </c>
      <c r="CQ56">
        <v>42579.6</v>
      </c>
      <c r="CR56">
        <v>26</v>
      </c>
      <c r="CS56">
        <v>29920.799999999999</v>
      </c>
      <c r="CT56">
        <v>30</v>
      </c>
      <c r="CU56">
        <v>34524</v>
      </c>
    </row>
    <row r="57" spans="2:99" x14ac:dyDescent="0.2">
      <c r="C57" s="116" t="s">
        <v>223</v>
      </c>
      <c r="D57">
        <v>16</v>
      </c>
      <c r="E57">
        <v>22579.200000000001</v>
      </c>
      <c r="F57">
        <v>15</v>
      </c>
      <c r="G57">
        <v>21168</v>
      </c>
      <c r="H57">
        <v>15</v>
      </c>
      <c r="I57">
        <v>21168</v>
      </c>
      <c r="J57">
        <v>21</v>
      </c>
      <c r="K57">
        <v>29635.200000000001</v>
      </c>
      <c r="L57">
        <v>13</v>
      </c>
      <c r="M57">
        <v>18345.600000000002</v>
      </c>
      <c r="N57">
        <v>8</v>
      </c>
      <c r="O57">
        <v>11289.6</v>
      </c>
      <c r="P57">
        <v>7</v>
      </c>
      <c r="Q57">
        <v>9878.4</v>
      </c>
      <c r="R57">
        <v>10</v>
      </c>
      <c r="S57">
        <v>14112</v>
      </c>
      <c r="T57">
        <v>26</v>
      </c>
      <c r="U57">
        <v>36691.200000000004</v>
      </c>
      <c r="V57">
        <v>20</v>
      </c>
      <c r="W57">
        <v>28224</v>
      </c>
      <c r="X57">
        <v>22</v>
      </c>
      <c r="Y57">
        <v>31046.400000000001</v>
      </c>
      <c r="Z57">
        <v>15</v>
      </c>
      <c r="AA57">
        <v>21168</v>
      </c>
      <c r="AB57">
        <v>18</v>
      </c>
      <c r="AC57">
        <v>25401.600000000002</v>
      </c>
      <c r="AD57">
        <v>17</v>
      </c>
      <c r="AE57">
        <v>23990.400000000001</v>
      </c>
      <c r="AF57">
        <v>16</v>
      </c>
      <c r="AG57">
        <v>22579.200000000001</v>
      </c>
      <c r="AH57">
        <v>16</v>
      </c>
      <c r="AI57">
        <v>22579.200000000001</v>
      </c>
      <c r="AJ57">
        <v>38</v>
      </c>
      <c r="AK57">
        <v>53625.599999999999</v>
      </c>
      <c r="AL57">
        <v>34</v>
      </c>
      <c r="AM57">
        <v>47980.800000000003</v>
      </c>
      <c r="AN57">
        <v>31</v>
      </c>
      <c r="AO57">
        <v>43747.200000000004</v>
      </c>
      <c r="AP57">
        <v>29</v>
      </c>
      <c r="AQ57">
        <v>40924.800000000003</v>
      </c>
      <c r="AR57">
        <v>19</v>
      </c>
      <c r="AS57">
        <v>26812.799999999999</v>
      </c>
      <c r="AT57">
        <v>21</v>
      </c>
      <c r="AU57">
        <v>29635.200000000001</v>
      </c>
      <c r="AV57">
        <v>18</v>
      </c>
      <c r="AW57">
        <v>25401.600000000002</v>
      </c>
      <c r="AX57">
        <v>13</v>
      </c>
      <c r="AY57">
        <v>18345.600000000002</v>
      </c>
      <c r="AZ57">
        <v>5</v>
      </c>
      <c r="BA57">
        <v>7056</v>
      </c>
      <c r="BB57">
        <v>5</v>
      </c>
      <c r="BC57">
        <v>7056</v>
      </c>
      <c r="BD57">
        <v>6</v>
      </c>
      <c r="BE57">
        <v>8467.2000000000007</v>
      </c>
      <c r="BF57">
        <v>5</v>
      </c>
      <c r="BG57">
        <v>7056</v>
      </c>
      <c r="BH57">
        <v>11</v>
      </c>
      <c r="BI57">
        <v>15523.2</v>
      </c>
      <c r="BJ57">
        <v>10</v>
      </c>
      <c r="BK57">
        <v>14112</v>
      </c>
      <c r="BL57">
        <v>7</v>
      </c>
      <c r="BM57">
        <v>9878.4</v>
      </c>
      <c r="BN57">
        <v>13</v>
      </c>
      <c r="BO57">
        <v>18345.600000000002</v>
      </c>
      <c r="BP57">
        <v>8</v>
      </c>
      <c r="BQ57">
        <v>11289.6</v>
      </c>
      <c r="BR57">
        <v>7</v>
      </c>
      <c r="BS57">
        <v>9878.4</v>
      </c>
      <c r="BT57">
        <v>8</v>
      </c>
      <c r="BU57">
        <v>11289.6</v>
      </c>
      <c r="BV57">
        <v>8</v>
      </c>
      <c r="BW57">
        <v>11289.6</v>
      </c>
      <c r="BX57">
        <v>21</v>
      </c>
      <c r="BY57">
        <v>29635.200000000001</v>
      </c>
      <c r="BZ57">
        <v>14</v>
      </c>
      <c r="CA57">
        <v>19756.8</v>
      </c>
      <c r="CB57">
        <v>20</v>
      </c>
      <c r="CC57">
        <v>28224</v>
      </c>
      <c r="CD57">
        <v>14</v>
      </c>
      <c r="CE57">
        <v>19756.8</v>
      </c>
      <c r="CF57">
        <v>32</v>
      </c>
      <c r="CG57">
        <v>45158.400000000001</v>
      </c>
      <c r="CH57">
        <v>21</v>
      </c>
      <c r="CI57">
        <v>29635.200000000001</v>
      </c>
      <c r="CJ57">
        <v>19</v>
      </c>
      <c r="CK57">
        <v>26812.799999999999</v>
      </c>
      <c r="CL57">
        <v>33</v>
      </c>
      <c r="CM57">
        <v>46569.599999999999</v>
      </c>
      <c r="CN57">
        <v>26</v>
      </c>
      <c r="CO57">
        <v>36691.200000000004</v>
      </c>
      <c r="CP57">
        <v>33</v>
      </c>
      <c r="CQ57">
        <v>46569.599999999999</v>
      </c>
      <c r="CR57">
        <v>24</v>
      </c>
      <c r="CS57">
        <v>33868.800000000003</v>
      </c>
      <c r="CT57">
        <v>33</v>
      </c>
      <c r="CU57">
        <v>46569.599999999999</v>
      </c>
    </row>
    <row r="58" spans="2:99" x14ac:dyDescent="0.2">
      <c r="C58" s="116" t="s">
        <v>224</v>
      </c>
      <c r="D58">
        <v>19</v>
      </c>
      <c r="E58">
        <v>22366.799999999999</v>
      </c>
      <c r="F58">
        <v>16</v>
      </c>
      <c r="G58">
        <v>18835.2</v>
      </c>
      <c r="H58">
        <v>18</v>
      </c>
      <c r="I58">
        <v>21189.600000000002</v>
      </c>
      <c r="J58">
        <v>24</v>
      </c>
      <c r="K58">
        <v>28252.800000000003</v>
      </c>
      <c r="L58">
        <v>12</v>
      </c>
      <c r="M58">
        <v>14126.400000000001</v>
      </c>
      <c r="N58">
        <v>8</v>
      </c>
      <c r="O58">
        <v>9417.6</v>
      </c>
      <c r="P58">
        <v>7</v>
      </c>
      <c r="Q58">
        <v>8240.4</v>
      </c>
      <c r="R58">
        <v>11</v>
      </c>
      <c r="S58">
        <v>12949.2</v>
      </c>
      <c r="T58">
        <v>28</v>
      </c>
      <c r="U58">
        <v>32961.599999999999</v>
      </c>
      <c r="V58">
        <v>23</v>
      </c>
      <c r="W58">
        <v>27075.600000000002</v>
      </c>
      <c r="X58">
        <v>24</v>
      </c>
      <c r="Y58">
        <v>28252.800000000003</v>
      </c>
      <c r="Z58">
        <v>15</v>
      </c>
      <c r="AA58">
        <v>17658</v>
      </c>
      <c r="AB58">
        <v>16</v>
      </c>
      <c r="AC58">
        <v>18835.2</v>
      </c>
      <c r="AD58">
        <v>20</v>
      </c>
      <c r="AE58">
        <v>23544</v>
      </c>
      <c r="AF58">
        <v>16</v>
      </c>
      <c r="AG58">
        <v>18835.2</v>
      </c>
      <c r="AH58">
        <v>15</v>
      </c>
      <c r="AI58">
        <v>17658</v>
      </c>
      <c r="AJ58">
        <v>38</v>
      </c>
      <c r="AK58">
        <v>44733.599999999999</v>
      </c>
      <c r="AL58">
        <v>38</v>
      </c>
      <c r="AM58">
        <v>44733.599999999999</v>
      </c>
      <c r="AN58">
        <v>31</v>
      </c>
      <c r="AO58">
        <v>36493.200000000004</v>
      </c>
      <c r="AP58">
        <v>29</v>
      </c>
      <c r="AQ58">
        <v>34138.800000000003</v>
      </c>
      <c r="AR58">
        <v>19</v>
      </c>
      <c r="AS58">
        <v>22366.799999999999</v>
      </c>
      <c r="AT58">
        <v>20</v>
      </c>
      <c r="AU58">
        <v>23544</v>
      </c>
      <c r="AV58">
        <v>19</v>
      </c>
      <c r="AW58">
        <v>22366.799999999999</v>
      </c>
      <c r="AX58">
        <v>13</v>
      </c>
      <c r="AY58">
        <v>15303.6</v>
      </c>
      <c r="AZ58">
        <v>5</v>
      </c>
      <c r="BA58">
        <v>5886</v>
      </c>
      <c r="BB58">
        <v>5</v>
      </c>
      <c r="BC58">
        <v>5886</v>
      </c>
      <c r="BD58">
        <v>6</v>
      </c>
      <c r="BE58">
        <v>7063.2000000000007</v>
      </c>
      <c r="BF58">
        <v>5</v>
      </c>
      <c r="BG58">
        <v>5886</v>
      </c>
      <c r="BH58">
        <v>12</v>
      </c>
      <c r="BI58">
        <v>14126.400000000001</v>
      </c>
      <c r="BJ58">
        <v>11</v>
      </c>
      <c r="BK58">
        <v>12949.2</v>
      </c>
      <c r="BL58">
        <v>7</v>
      </c>
      <c r="BM58">
        <v>8240.4</v>
      </c>
      <c r="BN58">
        <v>13</v>
      </c>
      <c r="BO58">
        <v>15303.6</v>
      </c>
      <c r="BP58">
        <v>8</v>
      </c>
      <c r="BQ58">
        <v>9417.6</v>
      </c>
      <c r="BR58">
        <v>6</v>
      </c>
      <c r="BS58">
        <v>7063.2000000000007</v>
      </c>
      <c r="BT58">
        <v>7</v>
      </c>
      <c r="BU58">
        <v>8240.4</v>
      </c>
      <c r="BV58">
        <v>9</v>
      </c>
      <c r="BW58">
        <v>10594.800000000001</v>
      </c>
      <c r="BX58">
        <v>24</v>
      </c>
      <c r="BY58">
        <v>28252.800000000003</v>
      </c>
      <c r="BZ58">
        <v>15</v>
      </c>
      <c r="CA58">
        <v>17658</v>
      </c>
      <c r="CB58">
        <v>20</v>
      </c>
      <c r="CC58">
        <v>23544</v>
      </c>
      <c r="CD58">
        <v>16</v>
      </c>
      <c r="CE58">
        <v>18835.2</v>
      </c>
      <c r="CF58">
        <v>36</v>
      </c>
      <c r="CG58">
        <v>42379.200000000004</v>
      </c>
      <c r="CH58">
        <v>20</v>
      </c>
      <c r="CI58">
        <v>23544</v>
      </c>
      <c r="CJ58">
        <v>24</v>
      </c>
      <c r="CK58">
        <v>28252.800000000003</v>
      </c>
      <c r="CL58">
        <v>32</v>
      </c>
      <c r="CM58">
        <v>37670.400000000001</v>
      </c>
      <c r="CN58">
        <v>27</v>
      </c>
      <c r="CO58">
        <v>31784.400000000001</v>
      </c>
      <c r="CP58">
        <v>34</v>
      </c>
      <c r="CQ58">
        <v>40024.800000000003</v>
      </c>
      <c r="CR58">
        <v>30</v>
      </c>
      <c r="CS58">
        <v>35316</v>
      </c>
      <c r="CT58">
        <v>30</v>
      </c>
      <c r="CU58">
        <v>35316</v>
      </c>
    </row>
    <row r="59" spans="2:99" x14ac:dyDescent="0.2">
      <c r="C59" s="116" t="s">
        <v>225</v>
      </c>
      <c r="D59">
        <v>20</v>
      </c>
      <c r="E59">
        <v>6071.9999999999991</v>
      </c>
      <c r="F59">
        <v>18</v>
      </c>
      <c r="G59">
        <v>5464.7999999999993</v>
      </c>
      <c r="H59">
        <v>18</v>
      </c>
      <c r="I59">
        <v>5464.7999999999993</v>
      </c>
      <c r="J59">
        <v>26</v>
      </c>
      <c r="K59">
        <v>7893.5999999999995</v>
      </c>
      <c r="L59">
        <v>15</v>
      </c>
      <c r="M59">
        <v>4553.9999999999991</v>
      </c>
      <c r="N59">
        <v>9</v>
      </c>
      <c r="O59">
        <v>2732.3999999999996</v>
      </c>
      <c r="P59">
        <v>8</v>
      </c>
      <c r="Q59">
        <v>2428.7999999999997</v>
      </c>
      <c r="R59">
        <v>12</v>
      </c>
      <c r="S59">
        <v>3643.2</v>
      </c>
      <c r="T59">
        <v>27</v>
      </c>
      <c r="U59">
        <v>8197.1999999999989</v>
      </c>
      <c r="V59">
        <v>27</v>
      </c>
      <c r="W59">
        <v>8197.1999999999989</v>
      </c>
      <c r="X59">
        <v>28</v>
      </c>
      <c r="Y59">
        <v>8500.7999999999993</v>
      </c>
      <c r="Z59">
        <v>20</v>
      </c>
      <c r="AA59">
        <v>6071.9999999999991</v>
      </c>
      <c r="AB59">
        <v>17</v>
      </c>
      <c r="AC59">
        <v>5161.2</v>
      </c>
      <c r="AD59">
        <v>19</v>
      </c>
      <c r="AE59">
        <v>5768.4</v>
      </c>
      <c r="AF59">
        <v>19</v>
      </c>
      <c r="AG59">
        <v>5768.4</v>
      </c>
      <c r="AH59">
        <v>19</v>
      </c>
      <c r="AI59">
        <v>5768.4</v>
      </c>
      <c r="AJ59">
        <v>43</v>
      </c>
      <c r="AK59">
        <v>13054.8</v>
      </c>
      <c r="AL59">
        <v>40</v>
      </c>
      <c r="AM59">
        <v>12143.999999999998</v>
      </c>
      <c r="AN59">
        <v>37</v>
      </c>
      <c r="AO59">
        <v>11233.199999999999</v>
      </c>
      <c r="AP59">
        <v>34</v>
      </c>
      <c r="AQ59">
        <v>10322.4</v>
      </c>
      <c r="AR59">
        <v>20</v>
      </c>
      <c r="AS59">
        <v>6071.9999999999991</v>
      </c>
      <c r="AT59">
        <v>25</v>
      </c>
      <c r="AU59">
        <v>7589.9999999999991</v>
      </c>
      <c r="AV59">
        <v>20</v>
      </c>
      <c r="AW59">
        <v>6071.9999999999991</v>
      </c>
      <c r="AX59">
        <v>16</v>
      </c>
      <c r="AY59">
        <v>4857.5999999999995</v>
      </c>
      <c r="AZ59">
        <v>6</v>
      </c>
      <c r="BA59">
        <v>1821.6</v>
      </c>
      <c r="BB59">
        <v>6</v>
      </c>
      <c r="BC59">
        <v>1821.6</v>
      </c>
      <c r="BD59">
        <v>6</v>
      </c>
      <c r="BE59">
        <v>1821.6</v>
      </c>
      <c r="BF59">
        <v>5</v>
      </c>
      <c r="BG59">
        <v>1517.9999999999998</v>
      </c>
      <c r="BH59">
        <v>14</v>
      </c>
      <c r="BI59">
        <v>4250.3999999999996</v>
      </c>
      <c r="BJ59">
        <v>12</v>
      </c>
      <c r="BK59">
        <v>3643.2</v>
      </c>
      <c r="BL59">
        <v>7</v>
      </c>
      <c r="BM59">
        <v>2125.1999999999998</v>
      </c>
      <c r="BN59">
        <v>12</v>
      </c>
      <c r="BO59">
        <v>3643.2</v>
      </c>
      <c r="BP59">
        <v>11</v>
      </c>
      <c r="BQ59">
        <v>3339.5999999999995</v>
      </c>
      <c r="BR59">
        <v>6</v>
      </c>
      <c r="BS59">
        <v>1821.6</v>
      </c>
      <c r="BT59">
        <v>8</v>
      </c>
      <c r="BU59">
        <v>2428.7999999999997</v>
      </c>
      <c r="BV59">
        <v>10</v>
      </c>
      <c r="BW59">
        <v>3035.9999999999995</v>
      </c>
      <c r="BX59">
        <v>25</v>
      </c>
      <c r="BY59">
        <v>7589.9999999999991</v>
      </c>
      <c r="BZ59">
        <v>16</v>
      </c>
      <c r="CA59">
        <v>4857.5999999999995</v>
      </c>
      <c r="CB59">
        <v>24</v>
      </c>
      <c r="CC59">
        <v>7286.4</v>
      </c>
      <c r="CD59">
        <v>19</v>
      </c>
      <c r="CE59">
        <v>5768.4</v>
      </c>
      <c r="CF59">
        <v>39</v>
      </c>
      <c r="CG59">
        <v>11840.399999999998</v>
      </c>
      <c r="CH59">
        <v>22</v>
      </c>
      <c r="CI59">
        <v>6679.1999999999989</v>
      </c>
      <c r="CJ59">
        <v>23</v>
      </c>
      <c r="CK59">
        <v>6982.7999999999993</v>
      </c>
      <c r="CL59">
        <v>40</v>
      </c>
      <c r="CM59">
        <v>12143.999999999998</v>
      </c>
      <c r="CN59">
        <v>29</v>
      </c>
      <c r="CO59">
        <v>8804.4</v>
      </c>
      <c r="CP59">
        <v>38</v>
      </c>
      <c r="CQ59">
        <v>11536.8</v>
      </c>
      <c r="CR59">
        <v>35</v>
      </c>
      <c r="CS59">
        <v>10625.999999999998</v>
      </c>
      <c r="CT59">
        <v>33</v>
      </c>
      <c r="CU59">
        <v>10018.799999999999</v>
      </c>
    </row>
    <row r="60" spans="2:99" x14ac:dyDescent="0.2">
      <c r="C60" s="116" t="s">
        <v>226</v>
      </c>
      <c r="D60">
        <v>18</v>
      </c>
      <c r="E60">
        <v>11728.800000000001</v>
      </c>
      <c r="F60">
        <v>17</v>
      </c>
      <c r="G60">
        <v>11077.2</v>
      </c>
      <c r="H60">
        <v>16</v>
      </c>
      <c r="I60">
        <v>10425.6</v>
      </c>
      <c r="J60">
        <v>25</v>
      </c>
      <c r="K60">
        <v>16290</v>
      </c>
      <c r="L60">
        <v>14</v>
      </c>
      <c r="M60">
        <v>9122.4</v>
      </c>
      <c r="N60">
        <v>7</v>
      </c>
      <c r="O60">
        <v>4561.2</v>
      </c>
      <c r="P60">
        <v>8</v>
      </c>
      <c r="Q60">
        <v>5212.8</v>
      </c>
      <c r="R60">
        <v>12</v>
      </c>
      <c r="S60">
        <v>7819.2000000000007</v>
      </c>
      <c r="T60">
        <v>25</v>
      </c>
      <c r="U60">
        <v>16290</v>
      </c>
      <c r="V60">
        <v>24</v>
      </c>
      <c r="W60">
        <v>15638.400000000001</v>
      </c>
      <c r="X60">
        <v>25</v>
      </c>
      <c r="Y60">
        <v>16290</v>
      </c>
      <c r="Z60">
        <v>17</v>
      </c>
      <c r="AA60">
        <v>11077.2</v>
      </c>
      <c r="AB60">
        <v>19</v>
      </c>
      <c r="AC60">
        <v>12380.4</v>
      </c>
      <c r="AD60">
        <v>19</v>
      </c>
      <c r="AE60">
        <v>12380.4</v>
      </c>
      <c r="AF60">
        <v>20</v>
      </c>
      <c r="AG60">
        <v>13032</v>
      </c>
      <c r="AH60">
        <v>19</v>
      </c>
      <c r="AI60">
        <v>12380.4</v>
      </c>
      <c r="AJ60">
        <v>42</v>
      </c>
      <c r="AK60">
        <v>27367.200000000001</v>
      </c>
      <c r="AL60">
        <v>37</v>
      </c>
      <c r="AM60">
        <v>24109.200000000001</v>
      </c>
      <c r="AN60">
        <v>32</v>
      </c>
      <c r="AO60">
        <v>20851.2</v>
      </c>
      <c r="AP60">
        <v>31</v>
      </c>
      <c r="AQ60">
        <v>20199.600000000002</v>
      </c>
      <c r="AR60">
        <v>19</v>
      </c>
      <c r="AS60">
        <v>12380.4</v>
      </c>
      <c r="AT60">
        <v>25</v>
      </c>
      <c r="AU60">
        <v>16290</v>
      </c>
      <c r="AV60">
        <v>21</v>
      </c>
      <c r="AW60">
        <v>13683.6</v>
      </c>
      <c r="AX60">
        <v>15</v>
      </c>
      <c r="AY60">
        <v>9774</v>
      </c>
      <c r="AZ60">
        <v>6</v>
      </c>
      <c r="BA60">
        <v>3909.6000000000004</v>
      </c>
      <c r="BB60">
        <v>5</v>
      </c>
      <c r="BC60">
        <v>3258</v>
      </c>
      <c r="BD60">
        <v>7</v>
      </c>
      <c r="BE60">
        <v>4561.2</v>
      </c>
      <c r="BF60">
        <v>5</v>
      </c>
      <c r="BG60">
        <v>3258</v>
      </c>
      <c r="BH60">
        <v>12</v>
      </c>
      <c r="BI60">
        <v>7819.2000000000007</v>
      </c>
      <c r="BJ60">
        <v>13</v>
      </c>
      <c r="BK60">
        <v>8470.8000000000011</v>
      </c>
      <c r="BL60">
        <v>7</v>
      </c>
      <c r="BM60">
        <v>4561.2</v>
      </c>
      <c r="BN60">
        <v>14</v>
      </c>
      <c r="BO60">
        <v>9122.4</v>
      </c>
      <c r="BP60">
        <v>10</v>
      </c>
      <c r="BQ60">
        <v>6516</v>
      </c>
      <c r="BR60">
        <v>6</v>
      </c>
      <c r="BS60">
        <v>3909.6000000000004</v>
      </c>
      <c r="BT60">
        <v>8</v>
      </c>
      <c r="BU60">
        <v>5212.8</v>
      </c>
      <c r="BV60">
        <v>8</v>
      </c>
      <c r="BW60">
        <v>5212.8</v>
      </c>
      <c r="BX60">
        <v>23</v>
      </c>
      <c r="BY60">
        <v>14986.800000000001</v>
      </c>
      <c r="BZ60">
        <v>16</v>
      </c>
      <c r="CA60">
        <v>10425.6</v>
      </c>
      <c r="CB60">
        <v>22</v>
      </c>
      <c r="CC60">
        <v>14335.2</v>
      </c>
      <c r="CD60">
        <v>17</v>
      </c>
      <c r="CE60">
        <v>11077.2</v>
      </c>
      <c r="CF60">
        <v>38</v>
      </c>
      <c r="CG60">
        <v>24760.799999999999</v>
      </c>
      <c r="CH60">
        <v>23</v>
      </c>
      <c r="CI60">
        <v>14986.800000000001</v>
      </c>
      <c r="CJ60">
        <v>22</v>
      </c>
      <c r="CK60">
        <v>14335.2</v>
      </c>
      <c r="CL60">
        <v>37</v>
      </c>
      <c r="CM60">
        <v>24109.200000000001</v>
      </c>
      <c r="CN60">
        <v>26</v>
      </c>
      <c r="CO60">
        <v>16941.600000000002</v>
      </c>
      <c r="CP60">
        <v>38</v>
      </c>
      <c r="CQ60">
        <v>24760.799999999999</v>
      </c>
      <c r="CR60">
        <v>28</v>
      </c>
      <c r="CS60">
        <v>18244.8</v>
      </c>
      <c r="CT60">
        <v>32</v>
      </c>
      <c r="CU60">
        <v>20851.2</v>
      </c>
    </row>
    <row r="61" spans="2:99" x14ac:dyDescent="0.2">
      <c r="C61" s="116" t="s">
        <v>227</v>
      </c>
      <c r="D61">
        <v>17</v>
      </c>
      <c r="E61">
        <v>16177.199999999999</v>
      </c>
      <c r="F61">
        <v>16</v>
      </c>
      <c r="G61">
        <v>15225.599999999999</v>
      </c>
      <c r="H61">
        <v>17</v>
      </c>
      <c r="I61">
        <v>16177.199999999999</v>
      </c>
      <c r="J61">
        <v>25</v>
      </c>
      <c r="K61">
        <v>23789.999999999996</v>
      </c>
      <c r="L61">
        <v>14</v>
      </c>
      <c r="M61">
        <v>13322.399999999998</v>
      </c>
      <c r="N61">
        <v>8</v>
      </c>
      <c r="O61">
        <v>7612.7999999999993</v>
      </c>
      <c r="P61">
        <v>7</v>
      </c>
      <c r="Q61">
        <v>6661.1999999999989</v>
      </c>
      <c r="R61">
        <v>10</v>
      </c>
      <c r="S61">
        <v>9516</v>
      </c>
      <c r="T61">
        <v>26</v>
      </c>
      <c r="U61">
        <v>24741.599999999999</v>
      </c>
      <c r="V61">
        <v>24</v>
      </c>
      <c r="W61">
        <v>22838.399999999998</v>
      </c>
      <c r="X61">
        <v>26</v>
      </c>
      <c r="Y61">
        <v>24741.599999999999</v>
      </c>
      <c r="Z61">
        <v>16</v>
      </c>
      <c r="AA61">
        <v>15225.599999999999</v>
      </c>
      <c r="AB61">
        <v>18</v>
      </c>
      <c r="AC61">
        <v>17128.8</v>
      </c>
      <c r="AD61">
        <v>20</v>
      </c>
      <c r="AE61">
        <v>19032</v>
      </c>
      <c r="AF61">
        <v>19</v>
      </c>
      <c r="AG61">
        <v>18080.399999999998</v>
      </c>
      <c r="AH61">
        <v>16</v>
      </c>
      <c r="AI61">
        <v>15225.599999999999</v>
      </c>
      <c r="AJ61">
        <v>46</v>
      </c>
      <c r="AK61">
        <v>43773.599999999999</v>
      </c>
      <c r="AL61">
        <v>36</v>
      </c>
      <c r="AM61">
        <v>34257.599999999999</v>
      </c>
      <c r="AN61">
        <v>30</v>
      </c>
      <c r="AO61">
        <v>28547.999999999996</v>
      </c>
      <c r="AP61">
        <v>34</v>
      </c>
      <c r="AQ61">
        <v>32354.399999999998</v>
      </c>
      <c r="AR61">
        <v>18</v>
      </c>
      <c r="AS61">
        <v>17128.8</v>
      </c>
      <c r="AT61">
        <v>21</v>
      </c>
      <c r="AU61">
        <v>19983.599999999999</v>
      </c>
      <c r="AV61">
        <v>18</v>
      </c>
      <c r="AW61">
        <v>17128.8</v>
      </c>
      <c r="AX61">
        <v>15</v>
      </c>
      <c r="AY61">
        <v>14273.999999999998</v>
      </c>
      <c r="AZ61">
        <v>5</v>
      </c>
      <c r="BA61">
        <v>4758</v>
      </c>
      <c r="BB61">
        <v>6</v>
      </c>
      <c r="BC61">
        <v>5709.5999999999995</v>
      </c>
      <c r="BD61">
        <v>6</v>
      </c>
      <c r="BE61">
        <v>5709.5999999999995</v>
      </c>
      <c r="BF61">
        <v>5</v>
      </c>
      <c r="BG61">
        <v>4758</v>
      </c>
      <c r="BH61">
        <v>13</v>
      </c>
      <c r="BI61">
        <v>12370.8</v>
      </c>
      <c r="BJ61">
        <v>12</v>
      </c>
      <c r="BK61">
        <v>11419.199999999999</v>
      </c>
      <c r="BL61">
        <v>7</v>
      </c>
      <c r="BM61">
        <v>6661.1999999999989</v>
      </c>
      <c r="BN61">
        <v>12</v>
      </c>
      <c r="BO61">
        <v>11419.199999999999</v>
      </c>
      <c r="BP61">
        <v>10</v>
      </c>
      <c r="BQ61">
        <v>9516</v>
      </c>
      <c r="BR61">
        <v>7</v>
      </c>
      <c r="BS61">
        <v>6661.1999999999989</v>
      </c>
      <c r="BT61">
        <v>8</v>
      </c>
      <c r="BU61">
        <v>7612.7999999999993</v>
      </c>
      <c r="BV61">
        <v>9</v>
      </c>
      <c r="BW61">
        <v>8564.4</v>
      </c>
      <c r="BX61">
        <v>21</v>
      </c>
      <c r="BY61">
        <v>19983.599999999999</v>
      </c>
      <c r="BZ61">
        <v>14</v>
      </c>
      <c r="CA61">
        <v>13322.399999999998</v>
      </c>
      <c r="CB61">
        <v>19</v>
      </c>
      <c r="CC61">
        <v>18080.399999999998</v>
      </c>
      <c r="CD61">
        <v>16</v>
      </c>
      <c r="CE61">
        <v>15225.599999999999</v>
      </c>
      <c r="CF61">
        <v>34</v>
      </c>
      <c r="CG61">
        <v>32354.399999999998</v>
      </c>
      <c r="CH61">
        <v>23</v>
      </c>
      <c r="CI61">
        <v>21886.799999999999</v>
      </c>
      <c r="CJ61">
        <v>25</v>
      </c>
      <c r="CK61">
        <v>23789.999999999996</v>
      </c>
      <c r="CL61">
        <v>36</v>
      </c>
      <c r="CM61">
        <v>34257.599999999999</v>
      </c>
      <c r="CN61">
        <v>29</v>
      </c>
      <c r="CO61">
        <v>27596.399999999998</v>
      </c>
      <c r="CP61">
        <v>39</v>
      </c>
      <c r="CQ61">
        <v>37112.399999999994</v>
      </c>
      <c r="CR61">
        <v>28</v>
      </c>
      <c r="CS61">
        <v>26644.799999999996</v>
      </c>
      <c r="CT61">
        <v>32</v>
      </c>
      <c r="CU61">
        <v>30451.199999999997</v>
      </c>
    </row>
    <row r="62" spans="2:99" x14ac:dyDescent="0.2">
      <c r="C62" s="116" t="s">
        <v>228</v>
      </c>
      <c r="D62">
        <v>17</v>
      </c>
      <c r="E62">
        <v>28988.400000000001</v>
      </c>
      <c r="F62">
        <v>15</v>
      </c>
      <c r="G62">
        <v>25578</v>
      </c>
      <c r="H62">
        <v>15</v>
      </c>
      <c r="I62">
        <v>25578</v>
      </c>
      <c r="J62">
        <v>23</v>
      </c>
      <c r="K62">
        <v>39219.599999999999</v>
      </c>
      <c r="L62">
        <v>12</v>
      </c>
      <c r="M62">
        <v>20462.400000000001</v>
      </c>
      <c r="N62">
        <v>7</v>
      </c>
      <c r="O62">
        <v>11936.4</v>
      </c>
      <c r="P62">
        <v>6</v>
      </c>
      <c r="Q62">
        <v>10231.200000000001</v>
      </c>
      <c r="R62">
        <v>10</v>
      </c>
      <c r="S62">
        <v>17052</v>
      </c>
      <c r="T62">
        <v>27</v>
      </c>
      <c r="U62">
        <v>46040.4</v>
      </c>
      <c r="V62">
        <v>22</v>
      </c>
      <c r="W62">
        <v>37514.400000000001</v>
      </c>
      <c r="X62">
        <v>22</v>
      </c>
      <c r="Y62">
        <v>37514.400000000001</v>
      </c>
      <c r="Z62">
        <v>15</v>
      </c>
      <c r="AA62">
        <v>25578</v>
      </c>
      <c r="AB62">
        <v>16</v>
      </c>
      <c r="AC62">
        <v>27283.200000000001</v>
      </c>
      <c r="AD62">
        <v>19</v>
      </c>
      <c r="AE62">
        <v>32398.799999999999</v>
      </c>
      <c r="AF62">
        <v>18</v>
      </c>
      <c r="AG62">
        <v>30693.600000000002</v>
      </c>
      <c r="AH62">
        <v>17</v>
      </c>
      <c r="AI62">
        <v>28988.400000000001</v>
      </c>
      <c r="AJ62">
        <v>41</v>
      </c>
      <c r="AK62">
        <v>69913.2</v>
      </c>
      <c r="AL62">
        <v>33</v>
      </c>
      <c r="AM62">
        <v>56271.6</v>
      </c>
      <c r="AN62">
        <v>30</v>
      </c>
      <c r="AO62">
        <v>51156</v>
      </c>
      <c r="AP62">
        <v>31</v>
      </c>
      <c r="AQ62">
        <v>52861.200000000004</v>
      </c>
      <c r="AR62">
        <v>17</v>
      </c>
      <c r="AS62">
        <v>28988.400000000001</v>
      </c>
      <c r="AT62">
        <v>19</v>
      </c>
      <c r="AU62">
        <v>32398.799999999999</v>
      </c>
      <c r="AV62">
        <v>19</v>
      </c>
      <c r="AW62">
        <v>32398.799999999999</v>
      </c>
      <c r="AX62">
        <v>13</v>
      </c>
      <c r="AY62">
        <v>22167.600000000002</v>
      </c>
      <c r="AZ62">
        <v>5</v>
      </c>
      <c r="BA62">
        <v>8526</v>
      </c>
      <c r="BB62">
        <v>5</v>
      </c>
      <c r="BC62">
        <v>8526</v>
      </c>
      <c r="BD62">
        <v>6</v>
      </c>
      <c r="BE62">
        <v>10231.200000000001</v>
      </c>
      <c r="BF62">
        <v>5</v>
      </c>
      <c r="BG62">
        <v>8526</v>
      </c>
      <c r="BH62">
        <v>10</v>
      </c>
      <c r="BI62">
        <v>17052</v>
      </c>
      <c r="BJ62">
        <v>11</v>
      </c>
      <c r="BK62">
        <v>18757.2</v>
      </c>
      <c r="BL62">
        <v>6</v>
      </c>
      <c r="BM62">
        <v>10231.200000000001</v>
      </c>
      <c r="BN62">
        <v>13</v>
      </c>
      <c r="BO62">
        <v>22167.600000000002</v>
      </c>
      <c r="BP62">
        <v>9</v>
      </c>
      <c r="BQ62">
        <v>15346.800000000001</v>
      </c>
      <c r="BR62">
        <v>6</v>
      </c>
      <c r="BS62">
        <v>10231.200000000001</v>
      </c>
      <c r="BT62">
        <v>7</v>
      </c>
      <c r="BU62">
        <v>11936.4</v>
      </c>
      <c r="BV62">
        <v>9</v>
      </c>
      <c r="BW62">
        <v>15346.800000000001</v>
      </c>
      <c r="BX62">
        <v>21</v>
      </c>
      <c r="BY62">
        <v>35809.200000000004</v>
      </c>
      <c r="BZ62">
        <v>15</v>
      </c>
      <c r="CA62">
        <v>25578</v>
      </c>
      <c r="CB62">
        <v>20</v>
      </c>
      <c r="CC62">
        <v>34104</v>
      </c>
      <c r="CD62">
        <v>15</v>
      </c>
      <c r="CE62">
        <v>25578</v>
      </c>
      <c r="CF62">
        <v>30</v>
      </c>
      <c r="CG62">
        <v>51156</v>
      </c>
      <c r="CH62">
        <v>21</v>
      </c>
      <c r="CI62">
        <v>35809.200000000004</v>
      </c>
      <c r="CJ62">
        <v>20</v>
      </c>
      <c r="CK62">
        <v>34104</v>
      </c>
      <c r="CL62">
        <v>31</v>
      </c>
      <c r="CM62">
        <v>52861.200000000004</v>
      </c>
      <c r="CN62">
        <v>22</v>
      </c>
      <c r="CO62">
        <v>37514.400000000001</v>
      </c>
      <c r="CP62">
        <v>33</v>
      </c>
      <c r="CQ62">
        <v>56271.6</v>
      </c>
      <c r="CR62">
        <v>24</v>
      </c>
      <c r="CS62">
        <v>40924.800000000003</v>
      </c>
      <c r="CT62">
        <v>31</v>
      </c>
      <c r="CU62">
        <v>52861.200000000004</v>
      </c>
    </row>
    <row r="63" spans="2:99" x14ac:dyDescent="0.2">
      <c r="C63" s="116" t="s">
        <v>229</v>
      </c>
      <c r="D63">
        <v>20</v>
      </c>
      <c r="E63">
        <v>15912</v>
      </c>
      <c r="F63">
        <v>17</v>
      </c>
      <c r="G63">
        <v>13525.2</v>
      </c>
      <c r="H63">
        <v>16</v>
      </c>
      <c r="I63">
        <v>12729.6</v>
      </c>
      <c r="J63">
        <v>26</v>
      </c>
      <c r="K63">
        <v>20685.600000000002</v>
      </c>
      <c r="L63">
        <v>14</v>
      </c>
      <c r="M63">
        <v>11138.4</v>
      </c>
      <c r="N63">
        <v>7</v>
      </c>
      <c r="O63">
        <v>5569.2</v>
      </c>
      <c r="P63">
        <v>7</v>
      </c>
      <c r="Q63">
        <v>5569.2</v>
      </c>
      <c r="R63">
        <v>11</v>
      </c>
      <c r="S63">
        <v>8751.6</v>
      </c>
      <c r="T63">
        <v>26</v>
      </c>
      <c r="U63">
        <v>20685.600000000002</v>
      </c>
      <c r="V63">
        <v>23</v>
      </c>
      <c r="W63">
        <v>18298.8</v>
      </c>
      <c r="X63">
        <v>26</v>
      </c>
      <c r="Y63">
        <v>20685.600000000002</v>
      </c>
      <c r="Z63">
        <v>17</v>
      </c>
      <c r="AA63">
        <v>13525.2</v>
      </c>
      <c r="AB63">
        <v>19</v>
      </c>
      <c r="AC63">
        <v>15116.4</v>
      </c>
      <c r="AD63">
        <v>18</v>
      </c>
      <c r="AE63">
        <v>14320.800000000001</v>
      </c>
      <c r="AF63">
        <v>20</v>
      </c>
      <c r="AG63">
        <v>15912</v>
      </c>
      <c r="AH63">
        <v>16</v>
      </c>
      <c r="AI63">
        <v>12729.6</v>
      </c>
      <c r="AJ63">
        <v>39</v>
      </c>
      <c r="AK63">
        <v>31028.400000000001</v>
      </c>
      <c r="AL63">
        <v>42</v>
      </c>
      <c r="AM63">
        <v>33415.200000000004</v>
      </c>
      <c r="AN63">
        <v>33</v>
      </c>
      <c r="AO63">
        <v>26254.799999999999</v>
      </c>
      <c r="AP63">
        <v>31</v>
      </c>
      <c r="AQ63">
        <v>24663.600000000002</v>
      </c>
      <c r="AR63">
        <v>20</v>
      </c>
      <c r="AS63">
        <v>15912</v>
      </c>
      <c r="AT63">
        <v>20</v>
      </c>
      <c r="AU63">
        <v>15912</v>
      </c>
      <c r="AV63">
        <v>21</v>
      </c>
      <c r="AW63">
        <v>16707.600000000002</v>
      </c>
      <c r="AX63">
        <v>15</v>
      </c>
      <c r="AY63">
        <v>11934</v>
      </c>
      <c r="AZ63">
        <v>5</v>
      </c>
      <c r="BA63">
        <v>3978</v>
      </c>
      <c r="BB63">
        <v>5</v>
      </c>
      <c r="BC63">
        <v>3978</v>
      </c>
      <c r="BD63">
        <v>6</v>
      </c>
      <c r="BE63">
        <v>4773.6000000000004</v>
      </c>
      <c r="BF63">
        <v>5</v>
      </c>
      <c r="BG63">
        <v>3978</v>
      </c>
      <c r="BH63">
        <v>14</v>
      </c>
      <c r="BI63">
        <v>11138.4</v>
      </c>
      <c r="BJ63">
        <v>11</v>
      </c>
      <c r="BK63">
        <v>8751.6</v>
      </c>
      <c r="BL63">
        <v>7</v>
      </c>
      <c r="BM63">
        <v>5569.2</v>
      </c>
      <c r="BN63">
        <v>13</v>
      </c>
      <c r="BO63">
        <v>10342.800000000001</v>
      </c>
      <c r="BP63">
        <v>10</v>
      </c>
      <c r="BQ63">
        <v>7956</v>
      </c>
      <c r="BR63">
        <v>6</v>
      </c>
      <c r="BS63">
        <v>4773.6000000000004</v>
      </c>
      <c r="BT63">
        <v>7</v>
      </c>
      <c r="BU63">
        <v>5569.2</v>
      </c>
      <c r="BV63">
        <v>10</v>
      </c>
      <c r="BW63">
        <v>7956</v>
      </c>
      <c r="BX63">
        <v>25</v>
      </c>
      <c r="BY63">
        <v>19890</v>
      </c>
      <c r="BZ63">
        <v>14</v>
      </c>
      <c r="CA63">
        <v>11138.4</v>
      </c>
      <c r="CB63">
        <v>22</v>
      </c>
      <c r="CC63">
        <v>17503.2</v>
      </c>
      <c r="CD63">
        <v>16</v>
      </c>
      <c r="CE63">
        <v>12729.6</v>
      </c>
      <c r="CF63">
        <v>33</v>
      </c>
      <c r="CG63">
        <v>26254.799999999999</v>
      </c>
      <c r="CH63">
        <v>22</v>
      </c>
      <c r="CI63">
        <v>17503.2</v>
      </c>
      <c r="CJ63">
        <v>23</v>
      </c>
      <c r="CK63">
        <v>18298.8</v>
      </c>
      <c r="CL63">
        <v>37</v>
      </c>
      <c r="CM63">
        <v>29437.200000000001</v>
      </c>
      <c r="CN63">
        <v>27</v>
      </c>
      <c r="CO63">
        <v>21481.200000000001</v>
      </c>
      <c r="CP63">
        <v>33</v>
      </c>
      <c r="CQ63">
        <v>26254.799999999999</v>
      </c>
      <c r="CR63">
        <v>29</v>
      </c>
      <c r="CS63">
        <v>23072.400000000001</v>
      </c>
      <c r="CT63">
        <v>31</v>
      </c>
      <c r="CU63">
        <v>24663.600000000002</v>
      </c>
    </row>
    <row r="64" spans="2:99" x14ac:dyDescent="0.2">
      <c r="C64" s="116" t="s">
        <v>230</v>
      </c>
      <c r="D64">
        <v>17</v>
      </c>
      <c r="E64">
        <v>17156.399999999998</v>
      </c>
      <c r="F64">
        <v>15</v>
      </c>
      <c r="G64">
        <v>15137.999999999996</v>
      </c>
      <c r="H64">
        <v>15</v>
      </c>
      <c r="I64">
        <v>15137.999999999996</v>
      </c>
      <c r="J64">
        <v>26</v>
      </c>
      <c r="K64">
        <v>26239.199999999997</v>
      </c>
      <c r="L64">
        <v>12</v>
      </c>
      <c r="M64">
        <v>12110.399999999998</v>
      </c>
      <c r="N64">
        <v>8</v>
      </c>
      <c r="O64">
        <v>8073.5999999999985</v>
      </c>
      <c r="P64">
        <v>7</v>
      </c>
      <c r="Q64">
        <v>7064.3999999999987</v>
      </c>
      <c r="R64">
        <v>12</v>
      </c>
      <c r="S64">
        <v>12110.399999999998</v>
      </c>
      <c r="T64">
        <v>26</v>
      </c>
      <c r="U64">
        <v>26239.199999999997</v>
      </c>
      <c r="V64">
        <v>24</v>
      </c>
      <c r="W64">
        <v>24220.799999999996</v>
      </c>
      <c r="X64">
        <v>27</v>
      </c>
      <c r="Y64">
        <v>27248.399999999994</v>
      </c>
      <c r="Z64">
        <v>16</v>
      </c>
      <c r="AA64">
        <v>16147.199999999997</v>
      </c>
      <c r="AB64">
        <v>15</v>
      </c>
      <c r="AC64">
        <v>15137.999999999996</v>
      </c>
      <c r="AD64">
        <v>18</v>
      </c>
      <c r="AE64">
        <v>18165.599999999999</v>
      </c>
      <c r="AF64">
        <v>19</v>
      </c>
      <c r="AG64">
        <v>19174.799999999996</v>
      </c>
      <c r="AH64">
        <v>18</v>
      </c>
      <c r="AI64">
        <v>18165.599999999999</v>
      </c>
      <c r="AJ64">
        <v>40</v>
      </c>
      <c r="AK64">
        <v>40367.999999999993</v>
      </c>
      <c r="AL64">
        <v>34</v>
      </c>
      <c r="AM64">
        <v>34312.799999999996</v>
      </c>
      <c r="AN64">
        <v>34</v>
      </c>
      <c r="AO64">
        <v>34312.799999999996</v>
      </c>
      <c r="AP64">
        <v>29</v>
      </c>
      <c r="AQ64">
        <v>29266.799999999996</v>
      </c>
      <c r="AR64">
        <v>17</v>
      </c>
      <c r="AS64">
        <v>17156.399999999998</v>
      </c>
      <c r="AT64">
        <v>21</v>
      </c>
      <c r="AU64">
        <v>21193.199999999997</v>
      </c>
      <c r="AV64">
        <v>19</v>
      </c>
      <c r="AW64">
        <v>19174.799999999996</v>
      </c>
      <c r="AX64">
        <v>13</v>
      </c>
      <c r="AY64">
        <v>13119.599999999999</v>
      </c>
      <c r="AZ64">
        <v>6</v>
      </c>
      <c r="BA64">
        <v>6055.1999999999989</v>
      </c>
      <c r="BB64">
        <v>5</v>
      </c>
      <c r="BC64">
        <v>5045.9999999999991</v>
      </c>
      <c r="BD64">
        <v>6</v>
      </c>
      <c r="BE64">
        <v>6055.1999999999989</v>
      </c>
      <c r="BF64">
        <v>5</v>
      </c>
      <c r="BG64">
        <v>5045.9999999999991</v>
      </c>
      <c r="BH64">
        <v>11</v>
      </c>
      <c r="BI64">
        <v>11101.199999999997</v>
      </c>
      <c r="BJ64">
        <v>12</v>
      </c>
      <c r="BK64">
        <v>12110.399999999998</v>
      </c>
      <c r="BL64">
        <v>6</v>
      </c>
      <c r="BM64">
        <v>6055.1999999999989</v>
      </c>
      <c r="BN64">
        <v>12</v>
      </c>
      <c r="BO64">
        <v>12110.399999999998</v>
      </c>
      <c r="BP64">
        <v>10</v>
      </c>
      <c r="BQ64">
        <v>10091.999999999998</v>
      </c>
      <c r="BR64">
        <v>7</v>
      </c>
      <c r="BS64">
        <v>7064.3999999999987</v>
      </c>
      <c r="BT64">
        <v>8</v>
      </c>
      <c r="BU64">
        <v>8073.5999999999985</v>
      </c>
      <c r="BV64">
        <v>8</v>
      </c>
      <c r="BW64">
        <v>8073.5999999999985</v>
      </c>
      <c r="BX64">
        <v>24</v>
      </c>
      <c r="BY64">
        <v>24220.799999999996</v>
      </c>
      <c r="BZ64">
        <v>16</v>
      </c>
      <c r="CA64">
        <v>16147.199999999997</v>
      </c>
      <c r="CB64">
        <v>21</v>
      </c>
      <c r="CC64">
        <v>21193.199999999997</v>
      </c>
      <c r="CD64">
        <v>17</v>
      </c>
      <c r="CE64">
        <v>17156.399999999998</v>
      </c>
      <c r="CF64">
        <v>34</v>
      </c>
      <c r="CG64">
        <v>34312.799999999996</v>
      </c>
      <c r="CH64">
        <v>24</v>
      </c>
      <c r="CI64">
        <v>24220.799999999996</v>
      </c>
      <c r="CJ64">
        <v>23</v>
      </c>
      <c r="CK64">
        <v>23211.599999999995</v>
      </c>
      <c r="CL64">
        <v>33</v>
      </c>
      <c r="CM64">
        <v>33303.599999999991</v>
      </c>
      <c r="CN64">
        <v>26</v>
      </c>
      <c r="CO64">
        <v>26239.199999999997</v>
      </c>
      <c r="CP64">
        <v>37</v>
      </c>
      <c r="CQ64">
        <v>37340.399999999994</v>
      </c>
      <c r="CR64">
        <v>31</v>
      </c>
      <c r="CS64">
        <v>31285.199999999993</v>
      </c>
      <c r="CT64">
        <v>31</v>
      </c>
      <c r="CU64">
        <v>31285.199999999993</v>
      </c>
    </row>
    <row r="65" spans="2:99" x14ac:dyDescent="0.2">
      <c r="C65" s="116" t="s">
        <v>231</v>
      </c>
      <c r="D65">
        <v>19</v>
      </c>
      <c r="E65">
        <v>19494</v>
      </c>
      <c r="F65">
        <v>15</v>
      </c>
      <c r="G65">
        <v>15390</v>
      </c>
      <c r="H65">
        <v>18</v>
      </c>
      <c r="I65">
        <v>18468</v>
      </c>
      <c r="J65">
        <v>25</v>
      </c>
      <c r="K65">
        <v>25650</v>
      </c>
      <c r="L65">
        <v>12</v>
      </c>
      <c r="M65">
        <v>12312</v>
      </c>
      <c r="N65">
        <v>8</v>
      </c>
      <c r="O65">
        <v>8208</v>
      </c>
      <c r="P65">
        <v>8</v>
      </c>
      <c r="Q65">
        <v>8208</v>
      </c>
      <c r="R65">
        <v>10</v>
      </c>
      <c r="S65">
        <v>10260</v>
      </c>
      <c r="T65">
        <v>25</v>
      </c>
      <c r="U65">
        <v>25650</v>
      </c>
      <c r="V65">
        <v>22</v>
      </c>
      <c r="W65">
        <v>22572</v>
      </c>
      <c r="X65">
        <v>24</v>
      </c>
      <c r="Y65">
        <v>24624</v>
      </c>
      <c r="Z65">
        <v>19</v>
      </c>
      <c r="AA65">
        <v>19494</v>
      </c>
      <c r="AB65">
        <v>16</v>
      </c>
      <c r="AC65">
        <v>16416</v>
      </c>
      <c r="AD65">
        <v>17</v>
      </c>
      <c r="AE65">
        <v>17442</v>
      </c>
      <c r="AF65">
        <v>19</v>
      </c>
      <c r="AG65">
        <v>19494</v>
      </c>
      <c r="AH65">
        <v>16</v>
      </c>
      <c r="AI65">
        <v>16416</v>
      </c>
      <c r="AJ65">
        <v>41</v>
      </c>
      <c r="AK65">
        <v>42066</v>
      </c>
      <c r="AL65">
        <v>41</v>
      </c>
      <c r="AM65">
        <v>42066</v>
      </c>
      <c r="AN65">
        <v>29</v>
      </c>
      <c r="AO65">
        <v>29754</v>
      </c>
      <c r="AP65">
        <v>29</v>
      </c>
      <c r="AQ65">
        <v>29754</v>
      </c>
      <c r="AR65">
        <v>17</v>
      </c>
      <c r="AS65">
        <v>17442</v>
      </c>
      <c r="AT65">
        <v>22</v>
      </c>
      <c r="AU65">
        <v>22572</v>
      </c>
      <c r="AV65">
        <v>19</v>
      </c>
      <c r="AW65">
        <v>19494</v>
      </c>
      <c r="AX65">
        <v>13</v>
      </c>
      <c r="AY65">
        <v>13338</v>
      </c>
      <c r="AZ65">
        <v>5</v>
      </c>
      <c r="BA65">
        <v>5130</v>
      </c>
      <c r="BB65">
        <v>6</v>
      </c>
      <c r="BC65">
        <v>6156</v>
      </c>
      <c r="BD65">
        <v>6</v>
      </c>
      <c r="BE65">
        <v>6156</v>
      </c>
      <c r="BF65">
        <v>5</v>
      </c>
      <c r="BG65">
        <v>5130</v>
      </c>
      <c r="BH65">
        <v>13</v>
      </c>
      <c r="BI65">
        <v>13338</v>
      </c>
      <c r="BJ65">
        <v>11</v>
      </c>
      <c r="BK65">
        <v>11286</v>
      </c>
      <c r="BL65">
        <v>6</v>
      </c>
      <c r="BM65">
        <v>6156</v>
      </c>
      <c r="BN65">
        <v>14</v>
      </c>
      <c r="BO65">
        <v>14364</v>
      </c>
      <c r="BP65">
        <v>9</v>
      </c>
      <c r="BQ65">
        <v>9234</v>
      </c>
      <c r="BR65">
        <v>6</v>
      </c>
      <c r="BS65">
        <v>6156</v>
      </c>
      <c r="BT65">
        <v>8</v>
      </c>
      <c r="BU65">
        <v>8208</v>
      </c>
      <c r="BV65">
        <v>9</v>
      </c>
      <c r="BW65">
        <v>9234</v>
      </c>
      <c r="BX65">
        <v>25</v>
      </c>
      <c r="BY65">
        <v>25650</v>
      </c>
      <c r="BZ65">
        <v>15</v>
      </c>
      <c r="CA65">
        <v>15390</v>
      </c>
      <c r="CB65">
        <v>19</v>
      </c>
      <c r="CC65">
        <v>19494</v>
      </c>
      <c r="CD65">
        <v>16</v>
      </c>
      <c r="CE65">
        <v>16416</v>
      </c>
      <c r="CF65">
        <v>37</v>
      </c>
      <c r="CG65">
        <v>37962</v>
      </c>
      <c r="CH65">
        <v>23</v>
      </c>
      <c r="CI65">
        <v>23598</v>
      </c>
      <c r="CJ65">
        <v>21</v>
      </c>
      <c r="CK65">
        <v>21546</v>
      </c>
      <c r="CL65">
        <v>35</v>
      </c>
      <c r="CM65">
        <v>35910</v>
      </c>
      <c r="CN65">
        <v>25</v>
      </c>
      <c r="CO65">
        <v>25650</v>
      </c>
      <c r="CP65">
        <v>31</v>
      </c>
      <c r="CQ65">
        <v>31806</v>
      </c>
      <c r="CR65">
        <v>30</v>
      </c>
      <c r="CS65">
        <v>30780</v>
      </c>
      <c r="CT65">
        <v>34</v>
      </c>
      <c r="CU65">
        <v>34884</v>
      </c>
    </row>
    <row r="66" spans="2:99" x14ac:dyDescent="0.2">
      <c r="C66" s="116" t="s">
        <v>232</v>
      </c>
      <c r="D66">
        <v>18</v>
      </c>
      <c r="E66">
        <v>21427.199999999997</v>
      </c>
      <c r="F66">
        <v>15</v>
      </c>
      <c r="G66">
        <v>17855.999999999996</v>
      </c>
      <c r="H66">
        <v>16</v>
      </c>
      <c r="I66">
        <v>19046.399999999998</v>
      </c>
      <c r="J66">
        <v>21</v>
      </c>
      <c r="K66">
        <v>24998.399999999998</v>
      </c>
      <c r="L66">
        <v>13</v>
      </c>
      <c r="M66">
        <v>15475.199999999999</v>
      </c>
      <c r="N66">
        <v>8</v>
      </c>
      <c r="O66">
        <v>9523.1999999999989</v>
      </c>
      <c r="P66">
        <v>7</v>
      </c>
      <c r="Q66">
        <v>8332.7999999999993</v>
      </c>
      <c r="R66">
        <v>12</v>
      </c>
      <c r="S66">
        <v>14284.8</v>
      </c>
      <c r="T66">
        <v>24</v>
      </c>
      <c r="U66">
        <v>28569.599999999999</v>
      </c>
      <c r="V66">
        <v>24</v>
      </c>
      <c r="W66">
        <v>28569.599999999999</v>
      </c>
      <c r="X66">
        <v>24</v>
      </c>
      <c r="Y66">
        <v>28569.599999999999</v>
      </c>
      <c r="Z66">
        <v>15</v>
      </c>
      <c r="AA66">
        <v>17855.999999999996</v>
      </c>
      <c r="AB66">
        <v>15</v>
      </c>
      <c r="AC66">
        <v>17855.999999999996</v>
      </c>
      <c r="AD66">
        <v>20</v>
      </c>
      <c r="AE66">
        <v>23807.999999999996</v>
      </c>
      <c r="AF66">
        <v>18</v>
      </c>
      <c r="AG66">
        <v>21427.199999999997</v>
      </c>
      <c r="AH66">
        <v>17</v>
      </c>
      <c r="AI66">
        <v>20236.8</v>
      </c>
      <c r="AJ66">
        <v>43</v>
      </c>
      <c r="AK66">
        <v>51187.199999999997</v>
      </c>
      <c r="AL66">
        <v>35</v>
      </c>
      <c r="AM66">
        <v>41663.999999999993</v>
      </c>
      <c r="AN66">
        <v>27</v>
      </c>
      <c r="AO66">
        <v>32140.799999999996</v>
      </c>
      <c r="AP66">
        <v>33</v>
      </c>
      <c r="AQ66">
        <v>39283.199999999997</v>
      </c>
      <c r="AR66">
        <v>17</v>
      </c>
      <c r="AS66">
        <v>20236.8</v>
      </c>
      <c r="AT66">
        <v>20</v>
      </c>
      <c r="AU66">
        <v>23807.999999999996</v>
      </c>
      <c r="AV66">
        <v>19</v>
      </c>
      <c r="AW66">
        <v>22617.599999999999</v>
      </c>
      <c r="AX66">
        <v>13</v>
      </c>
      <c r="AY66">
        <v>15475.199999999999</v>
      </c>
      <c r="AZ66">
        <v>5</v>
      </c>
      <c r="BA66">
        <v>5951.9999999999991</v>
      </c>
      <c r="BB66">
        <v>6</v>
      </c>
      <c r="BC66">
        <v>7142.4</v>
      </c>
      <c r="BD66">
        <v>6</v>
      </c>
      <c r="BE66">
        <v>7142.4</v>
      </c>
      <c r="BF66">
        <v>5</v>
      </c>
      <c r="BG66">
        <v>5951.9999999999991</v>
      </c>
      <c r="BH66">
        <v>12</v>
      </c>
      <c r="BI66">
        <v>14284.8</v>
      </c>
      <c r="BJ66">
        <v>12</v>
      </c>
      <c r="BK66">
        <v>14284.8</v>
      </c>
      <c r="BL66">
        <v>6</v>
      </c>
      <c r="BM66">
        <v>7142.4</v>
      </c>
      <c r="BN66">
        <v>12</v>
      </c>
      <c r="BO66">
        <v>14284.8</v>
      </c>
      <c r="BP66">
        <v>9</v>
      </c>
      <c r="BQ66">
        <v>10713.599999999999</v>
      </c>
      <c r="BR66">
        <v>6</v>
      </c>
      <c r="BS66">
        <v>7142.4</v>
      </c>
      <c r="BT66">
        <v>8</v>
      </c>
      <c r="BU66">
        <v>9523.1999999999989</v>
      </c>
      <c r="BV66">
        <v>9</v>
      </c>
      <c r="BW66">
        <v>10713.599999999999</v>
      </c>
      <c r="BX66">
        <v>22</v>
      </c>
      <c r="BY66">
        <v>26188.799999999996</v>
      </c>
      <c r="BZ66">
        <v>15</v>
      </c>
      <c r="CA66">
        <v>17855.999999999996</v>
      </c>
      <c r="CB66">
        <v>19</v>
      </c>
      <c r="CC66">
        <v>22617.599999999999</v>
      </c>
      <c r="CD66">
        <v>16</v>
      </c>
      <c r="CE66">
        <v>19046.399999999998</v>
      </c>
      <c r="CF66">
        <v>36</v>
      </c>
      <c r="CG66">
        <v>42854.399999999994</v>
      </c>
      <c r="CH66">
        <v>22</v>
      </c>
      <c r="CI66">
        <v>26188.799999999996</v>
      </c>
      <c r="CJ66">
        <v>24</v>
      </c>
      <c r="CK66">
        <v>28569.599999999999</v>
      </c>
      <c r="CL66">
        <v>34</v>
      </c>
      <c r="CM66">
        <v>40473.599999999999</v>
      </c>
      <c r="CN66">
        <v>28</v>
      </c>
      <c r="CO66">
        <v>33331.199999999997</v>
      </c>
      <c r="CP66">
        <v>35</v>
      </c>
      <c r="CQ66">
        <v>41663.999999999993</v>
      </c>
      <c r="CR66">
        <v>26</v>
      </c>
      <c r="CS66">
        <v>30950.399999999998</v>
      </c>
      <c r="CT66">
        <v>30</v>
      </c>
      <c r="CU66">
        <v>35711.999999999993</v>
      </c>
    </row>
    <row r="67" spans="2:99" x14ac:dyDescent="0.2">
      <c r="C67" s="116" t="s">
        <v>233</v>
      </c>
      <c r="D67">
        <v>16</v>
      </c>
      <c r="E67">
        <v>17971.2</v>
      </c>
      <c r="F67">
        <v>14</v>
      </c>
      <c r="G67">
        <v>15724.800000000001</v>
      </c>
      <c r="H67">
        <v>16</v>
      </c>
      <c r="I67">
        <v>17971.2</v>
      </c>
      <c r="J67">
        <v>24</v>
      </c>
      <c r="K67">
        <v>26956.800000000003</v>
      </c>
      <c r="L67">
        <v>11</v>
      </c>
      <c r="M67">
        <v>12355.2</v>
      </c>
      <c r="N67">
        <v>8</v>
      </c>
      <c r="O67">
        <v>8985.6</v>
      </c>
      <c r="P67">
        <v>7</v>
      </c>
      <c r="Q67">
        <v>7862.4000000000005</v>
      </c>
      <c r="R67">
        <v>11</v>
      </c>
      <c r="S67">
        <v>12355.2</v>
      </c>
      <c r="T67">
        <v>27</v>
      </c>
      <c r="U67">
        <v>30326.400000000001</v>
      </c>
      <c r="V67">
        <v>24</v>
      </c>
      <c r="W67">
        <v>26956.800000000003</v>
      </c>
      <c r="X67">
        <v>27</v>
      </c>
      <c r="Y67">
        <v>30326.400000000001</v>
      </c>
      <c r="Z67">
        <v>16</v>
      </c>
      <c r="AA67">
        <v>17971.2</v>
      </c>
      <c r="AB67">
        <v>18</v>
      </c>
      <c r="AC67">
        <v>20217.600000000002</v>
      </c>
      <c r="AD67">
        <v>18</v>
      </c>
      <c r="AE67">
        <v>20217.600000000002</v>
      </c>
      <c r="AF67">
        <v>18</v>
      </c>
      <c r="AG67">
        <v>20217.600000000002</v>
      </c>
      <c r="AH67">
        <v>16</v>
      </c>
      <c r="AI67">
        <v>17971.2</v>
      </c>
      <c r="AJ67">
        <v>40</v>
      </c>
      <c r="AK67">
        <v>44928</v>
      </c>
      <c r="AL67">
        <v>37</v>
      </c>
      <c r="AM67">
        <v>41558.400000000001</v>
      </c>
      <c r="AN67">
        <v>31</v>
      </c>
      <c r="AO67">
        <v>34819.200000000004</v>
      </c>
      <c r="AP67">
        <v>30</v>
      </c>
      <c r="AQ67">
        <v>33696</v>
      </c>
      <c r="AR67">
        <v>20</v>
      </c>
      <c r="AS67">
        <v>22464</v>
      </c>
      <c r="AT67">
        <v>22</v>
      </c>
      <c r="AU67">
        <v>24710.400000000001</v>
      </c>
      <c r="AV67">
        <v>20</v>
      </c>
      <c r="AW67">
        <v>22464</v>
      </c>
      <c r="AX67">
        <v>14</v>
      </c>
      <c r="AY67">
        <v>15724.800000000001</v>
      </c>
      <c r="AZ67">
        <v>5</v>
      </c>
      <c r="BA67">
        <v>5616</v>
      </c>
      <c r="BB67">
        <v>5</v>
      </c>
      <c r="BC67">
        <v>5616</v>
      </c>
      <c r="BD67">
        <v>6</v>
      </c>
      <c r="BE67">
        <v>6739.2000000000007</v>
      </c>
      <c r="BF67">
        <v>5</v>
      </c>
      <c r="BG67">
        <v>5616</v>
      </c>
      <c r="BH67">
        <v>12</v>
      </c>
      <c r="BI67">
        <v>13478.400000000001</v>
      </c>
      <c r="BJ67">
        <v>11</v>
      </c>
      <c r="BK67">
        <v>12355.2</v>
      </c>
      <c r="BL67">
        <v>6</v>
      </c>
      <c r="BM67">
        <v>6739.2000000000007</v>
      </c>
      <c r="BN67">
        <v>11</v>
      </c>
      <c r="BO67">
        <v>12355.2</v>
      </c>
      <c r="BP67">
        <v>10</v>
      </c>
      <c r="BQ67">
        <v>11232</v>
      </c>
      <c r="BR67">
        <v>6</v>
      </c>
      <c r="BS67">
        <v>6739.2000000000007</v>
      </c>
      <c r="BT67">
        <v>8</v>
      </c>
      <c r="BU67">
        <v>8985.6</v>
      </c>
      <c r="BV67">
        <v>8</v>
      </c>
      <c r="BW67">
        <v>8985.6</v>
      </c>
      <c r="BX67">
        <v>23</v>
      </c>
      <c r="BY67">
        <v>25833.600000000002</v>
      </c>
      <c r="BZ67">
        <v>16</v>
      </c>
      <c r="CA67">
        <v>17971.2</v>
      </c>
      <c r="CB67">
        <v>19</v>
      </c>
      <c r="CC67">
        <v>21340.799999999999</v>
      </c>
      <c r="CD67">
        <v>16</v>
      </c>
      <c r="CE67">
        <v>17971.2</v>
      </c>
      <c r="CF67">
        <v>35</v>
      </c>
      <c r="CG67">
        <v>39312</v>
      </c>
      <c r="CH67">
        <v>22</v>
      </c>
      <c r="CI67">
        <v>24710.400000000001</v>
      </c>
      <c r="CJ67">
        <v>22</v>
      </c>
      <c r="CK67">
        <v>24710.400000000001</v>
      </c>
      <c r="CL67">
        <v>38</v>
      </c>
      <c r="CM67">
        <v>42681.599999999999</v>
      </c>
      <c r="CN67">
        <v>24</v>
      </c>
      <c r="CO67">
        <v>26956.800000000003</v>
      </c>
      <c r="CP67">
        <v>31</v>
      </c>
      <c r="CQ67">
        <v>34819.200000000004</v>
      </c>
      <c r="CR67">
        <v>25</v>
      </c>
      <c r="CS67">
        <v>28080</v>
      </c>
      <c r="CT67">
        <v>31</v>
      </c>
      <c r="CU67">
        <v>34819.200000000004</v>
      </c>
    </row>
    <row r="68" spans="2:99" x14ac:dyDescent="0.2">
      <c r="C68" s="116" t="s">
        <v>234</v>
      </c>
      <c r="D68">
        <v>17</v>
      </c>
      <c r="E68">
        <v>17564.400000000001</v>
      </c>
      <c r="F68">
        <v>14</v>
      </c>
      <c r="G68">
        <v>14464.800000000001</v>
      </c>
      <c r="H68">
        <v>19</v>
      </c>
      <c r="I68">
        <v>19630.8</v>
      </c>
      <c r="J68">
        <v>23</v>
      </c>
      <c r="K68">
        <v>23763.600000000002</v>
      </c>
      <c r="L68">
        <v>14</v>
      </c>
      <c r="M68">
        <v>14464.800000000001</v>
      </c>
      <c r="N68">
        <v>8</v>
      </c>
      <c r="O68">
        <v>8265.6</v>
      </c>
      <c r="P68">
        <v>8</v>
      </c>
      <c r="Q68">
        <v>8265.6</v>
      </c>
      <c r="R68">
        <v>11</v>
      </c>
      <c r="S68">
        <v>11365.2</v>
      </c>
      <c r="T68">
        <v>25</v>
      </c>
      <c r="U68">
        <v>25830</v>
      </c>
      <c r="V68">
        <v>23</v>
      </c>
      <c r="W68">
        <v>23763.600000000002</v>
      </c>
      <c r="X68">
        <v>26</v>
      </c>
      <c r="Y68">
        <v>26863.200000000001</v>
      </c>
      <c r="Z68">
        <v>16</v>
      </c>
      <c r="AA68">
        <v>16531.2</v>
      </c>
      <c r="AB68">
        <v>17</v>
      </c>
      <c r="AC68">
        <v>17564.400000000001</v>
      </c>
      <c r="AD68">
        <v>18</v>
      </c>
      <c r="AE68">
        <v>18597.600000000002</v>
      </c>
      <c r="AF68">
        <v>17</v>
      </c>
      <c r="AG68">
        <v>17564.400000000001</v>
      </c>
      <c r="AH68">
        <v>16</v>
      </c>
      <c r="AI68">
        <v>16531.2</v>
      </c>
      <c r="AJ68">
        <v>40</v>
      </c>
      <c r="AK68">
        <v>41328</v>
      </c>
      <c r="AL68">
        <v>36</v>
      </c>
      <c r="AM68">
        <v>37195.200000000004</v>
      </c>
      <c r="AN68">
        <v>31</v>
      </c>
      <c r="AO68">
        <v>32029.200000000001</v>
      </c>
      <c r="AP68">
        <v>33</v>
      </c>
      <c r="AQ68">
        <v>34095.599999999999</v>
      </c>
      <c r="AR68">
        <v>18</v>
      </c>
      <c r="AS68">
        <v>18597.600000000002</v>
      </c>
      <c r="AT68">
        <v>22</v>
      </c>
      <c r="AU68">
        <v>22730.400000000001</v>
      </c>
      <c r="AV68">
        <v>17</v>
      </c>
      <c r="AW68">
        <v>17564.400000000001</v>
      </c>
      <c r="AX68">
        <v>13</v>
      </c>
      <c r="AY68">
        <v>13431.6</v>
      </c>
      <c r="AZ68">
        <v>5</v>
      </c>
      <c r="BA68">
        <v>5166</v>
      </c>
      <c r="BB68">
        <v>5</v>
      </c>
      <c r="BC68">
        <v>5166</v>
      </c>
      <c r="BD68">
        <v>6</v>
      </c>
      <c r="BE68">
        <v>6199.2000000000007</v>
      </c>
      <c r="BF68">
        <v>5</v>
      </c>
      <c r="BG68">
        <v>5166</v>
      </c>
      <c r="BH68">
        <v>12</v>
      </c>
      <c r="BI68">
        <v>12398.400000000001</v>
      </c>
      <c r="BJ68">
        <v>12</v>
      </c>
      <c r="BK68">
        <v>12398.400000000001</v>
      </c>
      <c r="BL68">
        <v>7</v>
      </c>
      <c r="BM68">
        <v>7232.4000000000005</v>
      </c>
      <c r="BN68">
        <v>11</v>
      </c>
      <c r="BO68">
        <v>11365.2</v>
      </c>
      <c r="BP68">
        <v>10</v>
      </c>
      <c r="BQ68">
        <v>10332</v>
      </c>
      <c r="BR68">
        <v>6</v>
      </c>
      <c r="BS68">
        <v>6199.2000000000007</v>
      </c>
      <c r="BT68">
        <v>8</v>
      </c>
      <c r="BU68">
        <v>8265.6</v>
      </c>
      <c r="BV68">
        <v>9</v>
      </c>
      <c r="BW68">
        <v>9298.8000000000011</v>
      </c>
      <c r="BX68">
        <v>22</v>
      </c>
      <c r="BY68">
        <v>22730.400000000001</v>
      </c>
      <c r="BZ68">
        <v>14</v>
      </c>
      <c r="CA68">
        <v>14464.800000000001</v>
      </c>
      <c r="CB68">
        <v>21</v>
      </c>
      <c r="CC68">
        <v>21697.200000000001</v>
      </c>
      <c r="CD68">
        <v>17</v>
      </c>
      <c r="CE68">
        <v>17564.400000000001</v>
      </c>
      <c r="CF68">
        <v>38</v>
      </c>
      <c r="CG68">
        <v>39261.599999999999</v>
      </c>
      <c r="CH68">
        <v>20</v>
      </c>
      <c r="CI68">
        <v>20664</v>
      </c>
      <c r="CJ68">
        <v>21</v>
      </c>
      <c r="CK68">
        <v>21697.200000000001</v>
      </c>
      <c r="CL68">
        <v>37</v>
      </c>
      <c r="CM68">
        <v>38228.400000000001</v>
      </c>
      <c r="CN68">
        <v>27</v>
      </c>
      <c r="CO68">
        <v>27896.400000000001</v>
      </c>
      <c r="CP68">
        <v>37</v>
      </c>
      <c r="CQ68">
        <v>38228.400000000001</v>
      </c>
      <c r="CR68">
        <v>27</v>
      </c>
      <c r="CS68">
        <v>27896.400000000001</v>
      </c>
      <c r="CT68">
        <v>35</v>
      </c>
      <c r="CU68">
        <v>36162</v>
      </c>
    </row>
    <row r="69" spans="2:99" x14ac:dyDescent="0.2">
      <c r="C69" s="116" t="s">
        <v>235</v>
      </c>
      <c r="D69">
        <v>19</v>
      </c>
      <c r="E69">
        <v>14409.6</v>
      </c>
      <c r="F69">
        <v>17</v>
      </c>
      <c r="G69">
        <v>12892.8</v>
      </c>
      <c r="H69">
        <v>19</v>
      </c>
      <c r="I69">
        <v>14409.6</v>
      </c>
      <c r="J69">
        <v>24</v>
      </c>
      <c r="K69">
        <v>18201.599999999999</v>
      </c>
      <c r="L69">
        <v>13</v>
      </c>
      <c r="M69">
        <v>9859.1999999999989</v>
      </c>
      <c r="N69">
        <v>8</v>
      </c>
      <c r="O69">
        <v>6067.2</v>
      </c>
      <c r="P69">
        <v>8</v>
      </c>
      <c r="Q69">
        <v>6067.2</v>
      </c>
      <c r="R69">
        <v>11</v>
      </c>
      <c r="S69">
        <v>8342.4</v>
      </c>
      <c r="T69">
        <v>29</v>
      </c>
      <c r="U69">
        <v>21993.599999999999</v>
      </c>
      <c r="V69">
        <v>22</v>
      </c>
      <c r="W69">
        <v>16684.8</v>
      </c>
      <c r="X69">
        <v>24</v>
      </c>
      <c r="Y69">
        <v>18201.599999999999</v>
      </c>
      <c r="Z69">
        <v>18</v>
      </c>
      <c r="AA69">
        <v>13651.199999999999</v>
      </c>
      <c r="AB69">
        <v>18</v>
      </c>
      <c r="AC69">
        <v>13651.199999999999</v>
      </c>
      <c r="AD69">
        <v>20</v>
      </c>
      <c r="AE69">
        <v>15168</v>
      </c>
      <c r="AF69">
        <v>18</v>
      </c>
      <c r="AG69">
        <v>13651.199999999999</v>
      </c>
      <c r="AH69">
        <v>16</v>
      </c>
      <c r="AI69">
        <v>12134.4</v>
      </c>
      <c r="AJ69">
        <v>39</v>
      </c>
      <c r="AK69">
        <v>29577.599999999999</v>
      </c>
      <c r="AL69">
        <v>40</v>
      </c>
      <c r="AM69">
        <v>30336</v>
      </c>
      <c r="AN69">
        <v>33</v>
      </c>
      <c r="AO69">
        <v>25027.200000000001</v>
      </c>
      <c r="AP69">
        <v>32</v>
      </c>
      <c r="AQ69">
        <v>24268.799999999999</v>
      </c>
      <c r="AR69">
        <v>20</v>
      </c>
      <c r="AS69">
        <v>15168</v>
      </c>
      <c r="AT69">
        <v>22</v>
      </c>
      <c r="AU69">
        <v>16684.8</v>
      </c>
      <c r="AV69">
        <v>17</v>
      </c>
      <c r="AW69">
        <v>12892.8</v>
      </c>
      <c r="AX69">
        <v>15</v>
      </c>
      <c r="AY69">
        <v>11376</v>
      </c>
      <c r="AZ69">
        <v>6</v>
      </c>
      <c r="BA69">
        <v>4550.3999999999996</v>
      </c>
      <c r="BB69">
        <v>5</v>
      </c>
      <c r="BC69">
        <v>3792</v>
      </c>
      <c r="BD69">
        <v>6</v>
      </c>
      <c r="BE69">
        <v>4550.3999999999996</v>
      </c>
      <c r="BF69">
        <v>5</v>
      </c>
      <c r="BG69">
        <v>3792</v>
      </c>
      <c r="BH69">
        <v>13</v>
      </c>
      <c r="BI69">
        <v>9859.1999999999989</v>
      </c>
      <c r="BJ69">
        <v>11</v>
      </c>
      <c r="BK69">
        <v>8342.4</v>
      </c>
      <c r="BL69">
        <v>6</v>
      </c>
      <c r="BM69">
        <v>4550.3999999999996</v>
      </c>
      <c r="BN69">
        <v>12</v>
      </c>
      <c r="BO69">
        <v>9100.7999999999993</v>
      </c>
      <c r="BP69">
        <v>9</v>
      </c>
      <c r="BQ69">
        <v>6825.5999999999995</v>
      </c>
      <c r="BR69">
        <v>6</v>
      </c>
      <c r="BS69">
        <v>4550.3999999999996</v>
      </c>
      <c r="BT69">
        <v>8</v>
      </c>
      <c r="BU69">
        <v>6067.2</v>
      </c>
      <c r="BV69">
        <v>9</v>
      </c>
      <c r="BW69">
        <v>6825.5999999999995</v>
      </c>
      <c r="BX69">
        <v>22</v>
      </c>
      <c r="BY69">
        <v>16684.8</v>
      </c>
      <c r="BZ69">
        <v>15</v>
      </c>
      <c r="CA69">
        <v>11376</v>
      </c>
      <c r="CB69">
        <v>20</v>
      </c>
      <c r="CC69">
        <v>15168</v>
      </c>
      <c r="CD69">
        <v>17</v>
      </c>
      <c r="CE69">
        <v>12892.8</v>
      </c>
      <c r="CF69">
        <v>35</v>
      </c>
      <c r="CG69">
        <v>26544</v>
      </c>
      <c r="CH69">
        <v>21</v>
      </c>
      <c r="CI69">
        <v>15926.4</v>
      </c>
      <c r="CJ69">
        <v>24</v>
      </c>
      <c r="CK69">
        <v>18201.599999999999</v>
      </c>
      <c r="CL69">
        <v>38</v>
      </c>
      <c r="CM69">
        <v>28819.200000000001</v>
      </c>
      <c r="CN69">
        <v>26</v>
      </c>
      <c r="CO69">
        <v>19718.399999999998</v>
      </c>
      <c r="CP69">
        <v>33</v>
      </c>
      <c r="CQ69">
        <v>25027.200000000001</v>
      </c>
      <c r="CR69">
        <v>28</v>
      </c>
      <c r="CS69">
        <v>21235.200000000001</v>
      </c>
      <c r="CT69">
        <v>36</v>
      </c>
      <c r="CU69">
        <v>27302.399999999998</v>
      </c>
    </row>
    <row r="70" spans="2:99" x14ac:dyDescent="0.2">
      <c r="C70" s="116" t="s">
        <v>236</v>
      </c>
      <c r="D70">
        <v>20</v>
      </c>
      <c r="E70">
        <v>10703.999999999998</v>
      </c>
      <c r="F70">
        <v>16</v>
      </c>
      <c r="G70">
        <v>8563.1999999999989</v>
      </c>
      <c r="H70">
        <v>19</v>
      </c>
      <c r="I70">
        <v>10168.799999999999</v>
      </c>
      <c r="J70">
        <v>25</v>
      </c>
      <c r="K70">
        <v>13379.999999999998</v>
      </c>
      <c r="L70">
        <v>13</v>
      </c>
      <c r="M70">
        <v>6957.5999999999995</v>
      </c>
      <c r="N70">
        <v>8</v>
      </c>
      <c r="O70">
        <v>4281.5999999999995</v>
      </c>
      <c r="P70">
        <v>8</v>
      </c>
      <c r="Q70">
        <v>4281.5999999999995</v>
      </c>
      <c r="R70">
        <v>12</v>
      </c>
      <c r="S70">
        <v>6422.4</v>
      </c>
      <c r="T70">
        <v>31</v>
      </c>
      <c r="U70">
        <v>16591.199999999997</v>
      </c>
      <c r="V70">
        <v>26</v>
      </c>
      <c r="W70">
        <v>13915.199999999999</v>
      </c>
      <c r="X70">
        <v>29</v>
      </c>
      <c r="Y70">
        <v>15520.799999999997</v>
      </c>
      <c r="Z70">
        <v>18</v>
      </c>
      <c r="AA70">
        <v>9633.5999999999985</v>
      </c>
      <c r="AB70">
        <v>19</v>
      </c>
      <c r="AC70">
        <v>10168.799999999999</v>
      </c>
      <c r="AD70">
        <v>21</v>
      </c>
      <c r="AE70">
        <v>11239.199999999999</v>
      </c>
      <c r="AF70">
        <v>19</v>
      </c>
      <c r="AG70">
        <v>10168.799999999999</v>
      </c>
      <c r="AH70">
        <v>20</v>
      </c>
      <c r="AI70">
        <v>10703.999999999998</v>
      </c>
      <c r="AJ70">
        <v>49</v>
      </c>
      <c r="AK70">
        <v>26224.799999999996</v>
      </c>
      <c r="AL70">
        <v>39</v>
      </c>
      <c r="AM70">
        <v>20872.799999999996</v>
      </c>
      <c r="AN70">
        <v>32</v>
      </c>
      <c r="AO70">
        <v>17126.399999999998</v>
      </c>
      <c r="AP70">
        <v>32</v>
      </c>
      <c r="AQ70">
        <v>17126.399999999998</v>
      </c>
      <c r="AR70">
        <v>18</v>
      </c>
      <c r="AS70">
        <v>9633.5999999999985</v>
      </c>
      <c r="AT70">
        <v>23</v>
      </c>
      <c r="AU70">
        <v>12309.599999999999</v>
      </c>
      <c r="AV70">
        <v>20</v>
      </c>
      <c r="AW70">
        <v>10703.999999999998</v>
      </c>
      <c r="AX70">
        <v>14</v>
      </c>
      <c r="AY70">
        <v>7492.7999999999993</v>
      </c>
      <c r="AZ70">
        <v>5</v>
      </c>
      <c r="BA70">
        <v>2675.9999999999995</v>
      </c>
      <c r="BB70">
        <v>6</v>
      </c>
      <c r="BC70">
        <v>3211.2</v>
      </c>
      <c r="BD70">
        <v>7</v>
      </c>
      <c r="BE70">
        <v>3746.3999999999996</v>
      </c>
      <c r="BF70">
        <v>5</v>
      </c>
      <c r="BG70">
        <v>2675.9999999999995</v>
      </c>
      <c r="BH70">
        <v>12</v>
      </c>
      <c r="BI70">
        <v>6422.4</v>
      </c>
      <c r="BJ70">
        <v>11</v>
      </c>
      <c r="BK70">
        <v>5887.1999999999989</v>
      </c>
      <c r="BL70">
        <v>6</v>
      </c>
      <c r="BM70">
        <v>3211.2</v>
      </c>
      <c r="BN70">
        <v>12</v>
      </c>
      <c r="BO70">
        <v>6422.4</v>
      </c>
      <c r="BP70">
        <v>10</v>
      </c>
      <c r="BQ70">
        <v>5351.9999999999991</v>
      </c>
      <c r="BR70">
        <v>7</v>
      </c>
      <c r="BS70">
        <v>3746.3999999999996</v>
      </c>
      <c r="BT70">
        <v>8</v>
      </c>
      <c r="BU70">
        <v>4281.5999999999995</v>
      </c>
      <c r="BV70">
        <v>9</v>
      </c>
      <c r="BW70">
        <v>4816.7999999999993</v>
      </c>
      <c r="BX70">
        <v>22</v>
      </c>
      <c r="BY70">
        <v>11774.399999999998</v>
      </c>
      <c r="BZ70">
        <v>17</v>
      </c>
      <c r="CA70">
        <v>9098.4</v>
      </c>
      <c r="CB70">
        <v>20</v>
      </c>
      <c r="CC70">
        <v>10703.999999999998</v>
      </c>
      <c r="CD70">
        <v>17</v>
      </c>
      <c r="CE70">
        <v>9098.4</v>
      </c>
      <c r="CF70">
        <v>37</v>
      </c>
      <c r="CG70">
        <v>19802.399999999998</v>
      </c>
      <c r="CH70">
        <v>24</v>
      </c>
      <c r="CI70">
        <v>12844.8</v>
      </c>
      <c r="CJ70">
        <v>26</v>
      </c>
      <c r="CK70">
        <v>13915.199999999999</v>
      </c>
      <c r="CL70">
        <v>38</v>
      </c>
      <c r="CM70">
        <v>20337.599999999999</v>
      </c>
      <c r="CN70">
        <v>30</v>
      </c>
      <c r="CO70">
        <v>16055.999999999998</v>
      </c>
      <c r="CP70">
        <v>36</v>
      </c>
      <c r="CQ70">
        <v>19267.199999999997</v>
      </c>
      <c r="CR70">
        <v>31</v>
      </c>
      <c r="CS70">
        <v>16591.199999999997</v>
      </c>
      <c r="CT70">
        <v>32</v>
      </c>
      <c r="CU70">
        <v>17126.399999999998</v>
      </c>
    </row>
    <row r="71" spans="2:99" x14ac:dyDescent="0.2">
      <c r="B71" s="116" t="s">
        <v>130</v>
      </c>
      <c r="C71" s="116" t="s">
        <v>237</v>
      </c>
      <c r="D71">
        <v>2</v>
      </c>
      <c r="E71">
        <v>1128</v>
      </c>
      <c r="F71">
        <v>2</v>
      </c>
      <c r="G71">
        <v>1128</v>
      </c>
      <c r="H71">
        <v>3</v>
      </c>
      <c r="I71">
        <v>1692</v>
      </c>
      <c r="J71">
        <v>4</v>
      </c>
      <c r="K71">
        <v>2256</v>
      </c>
      <c r="L71">
        <v>9</v>
      </c>
      <c r="M71">
        <v>5076</v>
      </c>
      <c r="N71">
        <v>8</v>
      </c>
      <c r="O71">
        <v>4512</v>
      </c>
      <c r="P71">
        <v>7</v>
      </c>
      <c r="Q71">
        <v>3948</v>
      </c>
      <c r="R71">
        <v>10</v>
      </c>
      <c r="S71">
        <v>5640</v>
      </c>
      <c r="T71">
        <v>28</v>
      </c>
      <c r="U71">
        <v>15792</v>
      </c>
      <c r="V71">
        <v>35</v>
      </c>
      <c r="W71">
        <v>19740</v>
      </c>
      <c r="X71">
        <v>22</v>
      </c>
      <c r="Y71">
        <v>12408</v>
      </c>
      <c r="Z71">
        <v>22</v>
      </c>
      <c r="AA71">
        <v>12408</v>
      </c>
      <c r="AB71">
        <v>12</v>
      </c>
      <c r="AC71">
        <v>6768</v>
      </c>
      <c r="AD71">
        <v>25</v>
      </c>
      <c r="AE71">
        <v>14100</v>
      </c>
      <c r="AF71">
        <v>25</v>
      </c>
      <c r="AG71">
        <v>14100</v>
      </c>
      <c r="AH71">
        <v>26</v>
      </c>
      <c r="AI71">
        <v>14664</v>
      </c>
      <c r="AJ71">
        <v>17</v>
      </c>
      <c r="AK71">
        <v>9588</v>
      </c>
      <c r="AL71">
        <v>16</v>
      </c>
      <c r="AM71">
        <v>9024</v>
      </c>
      <c r="AN71">
        <v>14</v>
      </c>
      <c r="AO71">
        <v>7896</v>
      </c>
      <c r="AP71">
        <v>20</v>
      </c>
      <c r="AQ71">
        <v>11280</v>
      </c>
      <c r="AR71">
        <v>50</v>
      </c>
      <c r="AS71">
        <v>28200</v>
      </c>
      <c r="AT71">
        <v>72</v>
      </c>
      <c r="AU71">
        <v>40608</v>
      </c>
      <c r="AV71">
        <v>73</v>
      </c>
      <c r="AW71">
        <v>41172</v>
      </c>
      <c r="AX71">
        <v>36</v>
      </c>
      <c r="AY71">
        <v>20304</v>
      </c>
      <c r="AZ71">
        <v>12</v>
      </c>
      <c r="BA71">
        <v>6768</v>
      </c>
      <c r="BB71">
        <v>14</v>
      </c>
      <c r="BC71">
        <v>7896</v>
      </c>
      <c r="BD71">
        <v>11</v>
      </c>
      <c r="BE71">
        <v>6204</v>
      </c>
      <c r="BF71">
        <v>13</v>
      </c>
      <c r="BG71">
        <v>7332</v>
      </c>
      <c r="BH71">
        <v>6</v>
      </c>
      <c r="BI71">
        <v>3384</v>
      </c>
      <c r="BJ71">
        <v>3</v>
      </c>
      <c r="BK71">
        <v>1692</v>
      </c>
      <c r="BL71">
        <v>5</v>
      </c>
      <c r="BM71">
        <v>2820</v>
      </c>
      <c r="BN71">
        <v>4</v>
      </c>
      <c r="BO71">
        <v>2256</v>
      </c>
      <c r="BP71">
        <v>11</v>
      </c>
      <c r="BQ71">
        <v>6204</v>
      </c>
      <c r="BR71">
        <v>8</v>
      </c>
      <c r="BS71">
        <v>4512</v>
      </c>
      <c r="BT71">
        <v>13</v>
      </c>
      <c r="BU71">
        <v>7332</v>
      </c>
      <c r="BV71">
        <v>10</v>
      </c>
      <c r="BW71">
        <v>5640</v>
      </c>
      <c r="BX71">
        <v>13</v>
      </c>
      <c r="BY71">
        <v>7332</v>
      </c>
      <c r="BZ71">
        <v>15</v>
      </c>
      <c r="CA71">
        <v>8460</v>
      </c>
      <c r="CB71">
        <v>16</v>
      </c>
      <c r="CC71">
        <v>9024</v>
      </c>
      <c r="CD71">
        <v>12</v>
      </c>
      <c r="CE71">
        <v>6768</v>
      </c>
      <c r="CF71">
        <v>4</v>
      </c>
      <c r="CG71">
        <v>2256</v>
      </c>
      <c r="CH71">
        <v>5</v>
      </c>
      <c r="CI71">
        <v>2820</v>
      </c>
      <c r="CJ71">
        <v>6</v>
      </c>
      <c r="CK71">
        <v>3384</v>
      </c>
      <c r="CL71">
        <v>6</v>
      </c>
      <c r="CM71">
        <v>3384</v>
      </c>
      <c r="CN71">
        <v>6</v>
      </c>
      <c r="CO71">
        <v>3384</v>
      </c>
      <c r="CP71">
        <v>7</v>
      </c>
      <c r="CQ71">
        <v>3948</v>
      </c>
      <c r="CR71">
        <v>7</v>
      </c>
      <c r="CS71">
        <v>3948</v>
      </c>
      <c r="CT71">
        <v>5</v>
      </c>
      <c r="CU71">
        <v>2820</v>
      </c>
    </row>
    <row r="72" spans="2:99" x14ac:dyDescent="0.2">
      <c r="C72" s="116" t="s">
        <v>238</v>
      </c>
      <c r="D72">
        <v>3</v>
      </c>
      <c r="E72">
        <v>223.2</v>
      </c>
      <c r="F72">
        <v>2</v>
      </c>
      <c r="G72">
        <v>148.79999999999998</v>
      </c>
      <c r="H72">
        <v>4</v>
      </c>
      <c r="I72">
        <v>297.59999999999997</v>
      </c>
      <c r="J72">
        <v>4</v>
      </c>
      <c r="K72">
        <v>297.59999999999997</v>
      </c>
      <c r="L72">
        <v>11</v>
      </c>
      <c r="M72">
        <v>818.39999999999986</v>
      </c>
      <c r="N72">
        <v>7</v>
      </c>
      <c r="O72">
        <v>520.79999999999995</v>
      </c>
      <c r="P72">
        <v>8</v>
      </c>
      <c r="Q72">
        <v>595.19999999999993</v>
      </c>
      <c r="R72">
        <v>10</v>
      </c>
      <c r="S72">
        <v>743.99999999999989</v>
      </c>
      <c r="T72">
        <v>31</v>
      </c>
      <c r="U72">
        <v>2306.3999999999996</v>
      </c>
      <c r="V72">
        <v>35</v>
      </c>
      <c r="W72">
        <v>2603.9999999999995</v>
      </c>
      <c r="X72">
        <v>26</v>
      </c>
      <c r="Y72">
        <v>1934.3999999999999</v>
      </c>
      <c r="Z72">
        <v>22</v>
      </c>
      <c r="AA72">
        <v>1636.7999999999997</v>
      </c>
      <c r="AB72">
        <v>16</v>
      </c>
      <c r="AC72">
        <v>1190.3999999999999</v>
      </c>
      <c r="AD72">
        <v>24</v>
      </c>
      <c r="AE72">
        <v>1785.6</v>
      </c>
      <c r="AF72">
        <v>27</v>
      </c>
      <c r="AG72">
        <v>2008.7999999999997</v>
      </c>
      <c r="AH72">
        <v>29</v>
      </c>
      <c r="AI72">
        <v>2157.6</v>
      </c>
      <c r="AJ72">
        <v>16</v>
      </c>
      <c r="AK72">
        <v>1190.3999999999999</v>
      </c>
      <c r="AL72">
        <v>17</v>
      </c>
      <c r="AM72">
        <v>1264.8</v>
      </c>
      <c r="AN72">
        <v>17</v>
      </c>
      <c r="AO72">
        <v>1264.8</v>
      </c>
      <c r="AP72">
        <v>25</v>
      </c>
      <c r="AQ72">
        <v>1859.9999999999998</v>
      </c>
      <c r="AR72">
        <v>49</v>
      </c>
      <c r="AS72">
        <v>3645.5999999999995</v>
      </c>
      <c r="AT72">
        <v>85</v>
      </c>
      <c r="AU72">
        <v>6323.9999999999991</v>
      </c>
      <c r="AV72">
        <v>73</v>
      </c>
      <c r="AW72">
        <v>5431.2</v>
      </c>
      <c r="AX72">
        <v>43</v>
      </c>
      <c r="AY72">
        <v>3199.2</v>
      </c>
      <c r="AZ72">
        <v>13</v>
      </c>
      <c r="BA72">
        <v>967.19999999999993</v>
      </c>
      <c r="BB72">
        <v>16</v>
      </c>
      <c r="BC72">
        <v>1190.3999999999999</v>
      </c>
      <c r="BD72">
        <v>11</v>
      </c>
      <c r="BE72">
        <v>818.39999999999986</v>
      </c>
      <c r="BF72">
        <v>13</v>
      </c>
      <c r="BG72">
        <v>967.19999999999993</v>
      </c>
      <c r="BH72">
        <v>7</v>
      </c>
      <c r="BI72">
        <v>520.79999999999995</v>
      </c>
      <c r="BJ72">
        <v>3</v>
      </c>
      <c r="BK72">
        <v>223.2</v>
      </c>
      <c r="BL72">
        <v>6</v>
      </c>
      <c r="BM72">
        <v>446.4</v>
      </c>
      <c r="BN72">
        <v>4</v>
      </c>
      <c r="BO72">
        <v>297.59999999999997</v>
      </c>
      <c r="BP72">
        <v>11</v>
      </c>
      <c r="BQ72">
        <v>818.39999999999986</v>
      </c>
      <c r="BR72">
        <v>9</v>
      </c>
      <c r="BS72">
        <v>669.59999999999991</v>
      </c>
      <c r="BT72">
        <v>13</v>
      </c>
      <c r="BU72">
        <v>967.19999999999993</v>
      </c>
      <c r="BV72">
        <v>11</v>
      </c>
      <c r="BW72">
        <v>818.39999999999986</v>
      </c>
      <c r="BX72">
        <v>14</v>
      </c>
      <c r="BY72">
        <v>1041.5999999999999</v>
      </c>
      <c r="BZ72">
        <v>17</v>
      </c>
      <c r="CA72">
        <v>1264.8</v>
      </c>
      <c r="CB72">
        <v>17</v>
      </c>
      <c r="CC72">
        <v>1264.8</v>
      </c>
      <c r="CD72">
        <v>14</v>
      </c>
      <c r="CE72">
        <v>1041.5999999999999</v>
      </c>
      <c r="CF72">
        <v>4</v>
      </c>
      <c r="CG72">
        <v>297.59999999999997</v>
      </c>
      <c r="CH72">
        <v>6</v>
      </c>
      <c r="CI72">
        <v>446.4</v>
      </c>
      <c r="CJ72">
        <v>6</v>
      </c>
      <c r="CK72">
        <v>446.4</v>
      </c>
      <c r="CL72">
        <v>6</v>
      </c>
      <c r="CM72">
        <v>446.4</v>
      </c>
      <c r="CN72">
        <v>7</v>
      </c>
      <c r="CO72">
        <v>520.79999999999995</v>
      </c>
      <c r="CP72">
        <v>7</v>
      </c>
      <c r="CQ72">
        <v>520.79999999999995</v>
      </c>
      <c r="CR72">
        <v>7</v>
      </c>
      <c r="CS72">
        <v>520.79999999999995</v>
      </c>
      <c r="CT72">
        <v>5</v>
      </c>
      <c r="CU72">
        <v>371.99999999999994</v>
      </c>
    </row>
    <row r="73" spans="2:99" x14ac:dyDescent="0.2">
      <c r="C73" s="116" t="s">
        <v>239</v>
      </c>
      <c r="D73">
        <v>3</v>
      </c>
      <c r="E73">
        <v>1677.6</v>
      </c>
      <c r="F73">
        <v>2</v>
      </c>
      <c r="G73">
        <v>1118.3999999999999</v>
      </c>
      <c r="H73">
        <v>3</v>
      </c>
      <c r="I73">
        <v>1677.6</v>
      </c>
      <c r="J73">
        <v>4</v>
      </c>
      <c r="K73">
        <v>2236.7999999999997</v>
      </c>
      <c r="L73">
        <v>9</v>
      </c>
      <c r="M73">
        <v>5032.7999999999993</v>
      </c>
      <c r="N73">
        <v>7</v>
      </c>
      <c r="O73">
        <v>3914.3999999999996</v>
      </c>
      <c r="P73">
        <v>7</v>
      </c>
      <c r="Q73">
        <v>3914.3999999999996</v>
      </c>
      <c r="R73">
        <v>8</v>
      </c>
      <c r="S73">
        <v>4473.5999999999995</v>
      </c>
      <c r="T73">
        <v>32</v>
      </c>
      <c r="U73">
        <v>17894.399999999998</v>
      </c>
      <c r="V73">
        <v>33</v>
      </c>
      <c r="W73">
        <v>18453.599999999999</v>
      </c>
      <c r="X73">
        <v>23</v>
      </c>
      <c r="Y73">
        <v>12861.599999999999</v>
      </c>
      <c r="Z73">
        <v>22</v>
      </c>
      <c r="AA73">
        <v>12302.399999999998</v>
      </c>
      <c r="AB73">
        <v>14</v>
      </c>
      <c r="AC73">
        <v>7828.7999999999993</v>
      </c>
      <c r="AD73">
        <v>23</v>
      </c>
      <c r="AE73">
        <v>12861.599999999999</v>
      </c>
      <c r="AF73">
        <v>25</v>
      </c>
      <c r="AG73">
        <v>13979.999999999998</v>
      </c>
      <c r="AH73">
        <v>28</v>
      </c>
      <c r="AI73">
        <v>15657.599999999999</v>
      </c>
      <c r="AJ73">
        <v>16</v>
      </c>
      <c r="AK73">
        <v>8947.1999999999989</v>
      </c>
      <c r="AL73">
        <v>15</v>
      </c>
      <c r="AM73">
        <v>8387.9999999999982</v>
      </c>
      <c r="AN73">
        <v>16</v>
      </c>
      <c r="AO73">
        <v>8947.1999999999989</v>
      </c>
      <c r="AP73">
        <v>21</v>
      </c>
      <c r="AQ73">
        <v>11743.199999999999</v>
      </c>
      <c r="AR73">
        <v>45</v>
      </c>
      <c r="AS73">
        <v>25163.999999999996</v>
      </c>
      <c r="AT73">
        <v>76</v>
      </c>
      <c r="AU73">
        <v>42499.199999999997</v>
      </c>
      <c r="AV73">
        <v>72</v>
      </c>
      <c r="AW73">
        <v>40262.399999999994</v>
      </c>
      <c r="AX73">
        <v>38</v>
      </c>
      <c r="AY73">
        <v>21249.599999999999</v>
      </c>
      <c r="AZ73">
        <v>11</v>
      </c>
      <c r="BA73">
        <v>6151.1999999999989</v>
      </c>
      <c r="BB73">
        <v>16</v>
      </c>
      <c r="BC73">
        <v>8947.1999999999989</v>
      </c>
      <c r="BD73">
        <v>9</v>
      </c>
      <c r="BE73">
        <v>5032.7999999999993</v>
      </c>
      <c r="BF73">
        <v>14</v>
      </c>
      <c r="BG73">
        <v>7828.7999999999993</v>
      </c>
      <c r="BH73">
        <v>6</v>
      </c>
      <c r="BI73">
        <v>3355.2</v>
      </c>
      <c r="BJ73">
        <v>4</v>
      </c>
      <c r="BK73">
        <v>2236.7999999999997</v>
      </c>
      <c r="BL73">
        <v>6</v>
      </c>
      <c r="BM73">
        <v>3355.2</v>
      </c>
      <c r="BN73">
        <v>3</v>
      </c>
      <c r="BO73">
        <v>1677.6</v>
      </c>
      <c r="BP73">
        <v>12</v>
      </c>
      <c r="BQ73">
        <v>6710.4</v>
      </c>
      <c r="BR73">
        <v>7</v>
      </c>
      <c r="BS73">
        <v>3914.3999999999996</v>
      </c>
      <c r="BT73">
        <v>12</v>
      </c>
      <c r="BU73">
        <v>6710.4</v>
      </c>
      <c r="BV73">
        <v>10</v>
      </c>
      <c r="BW73">
        <v>5591.9999999999991</v>
      </c>
      <c r="BX73">
        <v>14</v>
      </c>
      <c r="BY73">
        <v>7828.7999999999993</v>
      </c>
      <c r="BZ73">
        <v>16</v>
      </c>
      <c r="CA73">
        <v>8947.1999999999989</v>
      </c>
      <c r="CB73">
        <v>17</v>
      </c>
      <c r="CC73">
        <v>9506.4</v>
      </c>
      <c r="CD73">
        <v>13</v>
      </c>
      <c r="CE73">
        <v>7269.5999999999995</v>
      </c>
      <c r="CF73">
        <v>4</v>
      </c>
      <c r="CG73">
        <v>2236.7999999999997</v>
      </c>
      <c r="CH73">
        <v>5</v>
      </c>
      <c r="CI73">
        <v>2795.9999999999995</v>
      </c>
      <c r="CJ73">
        <v>5</v>
      </c>
      <c r="CK73">
        <v>2795.9999999999995</v>
      </c>
      <c r="CL73">
        <v>6</v>
      </c>
      <c r="CM73">
        <v>3355.2</v>
      </c>
      <c r="CN73">
        <v>7</v>
      </c>
      <c r="CO73">
        <v>3914.3999999999996</v>
      </c>
      <c r="CP73">
        <v>6</v>
      </c>
      <c r="CQ73">
        <v>3355.2</v>
      </c>
      <c r="CR73">
        <v>7</v>
      </c>
      <c r="CS73">
        <v>3914.3999999999996</v>
      </c>
      <c r="CT73">
        <v>5</v>
      </c>
      <c r="CU73">
        <v>2795.9999999999995</v>
      </c>
    </row>
    <row r="74" spans="2:99" x14ac:dyDescent="0.2">
      <c r="C74" s="116" t="s">
        <v>240</v>
      </c>
      <c r="D74">
        <v>3</v>
      </c>
      <c r="E74">
        <v>1209.5999999999999</v>
      </c>
      <c r="F74">
        <v>3</v>
      </c>
      <c r="G74">
        <v>1209.5999999999999</v>
      </c>
      <c r="H74">
        <v>3</v>
      </c>
      <c r="I74">
        <v>1209.5999999999999</v>
      </c>
      <c r="J74">
        <v>4</v>
      </c>
      <c r="K74">
        <v>1612.8</v>
      </c>
      <c r="L74">
        <v>9</v>
      </c>
      <c r="M74">
        <v>3628.7999999999997</v>
      </c>
      <c r="N74">
        <v>7</v>
      </c>
      <c r="O74">
        <v>2822.4</v>
      </c>
      <c r="P74">
        <v>7</v>
      </c>
      <c r="Q74">
        <v>2822.4</v>
      </c>
      <c r="R74">
        <v>9</v>
      </c>
      <c r="S74">
        <v>3628.7999999999997</v>
      </c>
      <c r="T74">
        <v>34</v>
      </c>
      <c r="U74">
        <v>13708.8</v>
      </c>
      <c r="V74">
        <v>31</v>
      </c>
      <c r="W74">
        <v>12499.199999999999</v>
      </c>
      <c r="X74">
        <v>21</v>
      </c>
      <c r="Y74">
        <v>8467.1999999999989</v>
      </c>
      <c r="Z74">
        <v>23</v>
      </c>
      <c r="AA74">
        <v>9273.6</v>
      </c>
      <c r="AB74">
        <v>15</v>
      </c>
      <c r="AC74">
        <v>6048</v>
      </c>
      <c r="AD74">
        <v>22</v>
      </c>
      <c r="AE74">
        <v>8870.4</v>
      </c>
      <c r="AF74">
        <v>29</v>
      </c>
      <c r="AG74">
        <v>11692.8</v>
      </c>
      <c r="AH74">
        <v>28</v>
      </c>
      <c r="AI74">
        <v>11289.6</v>
      </c>
      <c r="AJ74">
        <v>17</v>
      </c>
      <c r="AK74">
        <v>6854.4</v>
      </c>
      <c r="AL74">
        <v>15</v>
      </c>
      <c r="AM74">
        <v>6048</v>
      </c>
      <c r="AN74">
        <v>16</v>
      </c>
      <c r="AO74">
        <v>6451.2</v>
      </c>
      <c r="AP74">
        <v>23</v>
      </c>
      <c r="AQ74">
        <v>9273.6</v>
      </c>
      <c r="AR74">
        <v>55</v>
      </c>
      <c r="AS74">
        <v>22176</v>
      </c>
      <c r="AT74">
        <v>71</v>
      </c>
      <c r="AU74">
        <v>28627.200000000001</v>
      </c>
      <c r="AV74">
        <v>67</v>
      </c>
      <c r="AW74">
        <v>27014.399999999998</v>
      </c>
      <c r="AX74">
        <v>37</v>
      </c>
      <c r="AY74">
        <v>14918.4</v>
      </c>
      <c r="AZ74">
        <v>12</v>
      </c>
      <c r="BA74">
        <v>4838.3999999999996</v>
      </c>
      <c r="BB74">
        <v>17</v>
      </c>
      <c r="BC74">
        <v>6854.4</v>
      </c>
      <c r="BD74">
        <v>11</v>
      </c>
      <c r="BE74">
        <v>4435.2</v>
      </c>
      <c r="BF74">
        <v>12</v>
      </c>
      <c r="BG74">
        <v>4838.3999999999996</v>
      </c>
      <c r="BH74">
        <v>6</v>
      </c>
      <c r="BI74">
        <v>2419.1999999999998</v>
      </c>
      <c r="BJ74">
        <v>3</v>
      </c>
      <c r="BK74">
        <v>1209.5999999999999</v>
      </c>
      <c r="BL74">
        <v>5</v>
      </c>
      <c r="BM74">
        <v>2016</v>
      </c>
      <c r="BN74">
        <v>3</v>
      </c>
      <c r="BO74">
        <v>1209.5999999999999</v>
      </c>
      <c r="BP74">
        <v>11</v>
      </c>
      <c r="BQ74">
        <v>4435.2</v>
      </c>
      <c r="BR74">
        <v>8</v>
      </c>
      <c r="BS74">
        <v>3225.6</v>
      </c>
      <c r="BT74">
        <v>12</v>
      </c>
      <c r="BU74">
        <v>4838.3999999999996</v>
      </c>
      <c r="BV74">
        <v>11</v>
      </c>
      <c r="BW74">
        <v>4435.2</v>
      </c>
      <c r="BX74">
        <v>15</v>
      </c>
      <c r="BY74">
        <v>6048</v>
      </c>
      <c r="BZ74">
        <v>18</v>
      </c>
      <c r="CA74">
        <v>7257.5999999999995</v>
      </c>
      <c r="CB74">
        <v>16</v>
      </c>
      <c r="CC74">
        <v>6451.2</v>
      </c>
      <c r="CD74">
        <v>12</v>
      </c>
      <c r="CE74">
        <v>4838.3999999999996</v>
      </c>
      <c r="CF74">
        <v>4</v>
      </c>
      <c r="CG74">
        <v>1612.8</v>
      </c>
      <c r="CH74">
        <v>5</v>
      </c>
      <c r="CI74">
        <v>2016</v>
      </c>
      <c r="CJ74">
        <v>6</v>
      </c>
      <c r="CK74">
        <v>2419.1999999999998</v>
      </c>
      <c r="CL74">
        <v>6</v>
      </c>
      <c r="CM74">
        <v>2419.1999999999998</v>
      </c>
      <c r="CN74">
        <v>7</v>
      </c>
      <c r="CO74">
        <v>2822.4</v>
      </c>
      <c r="CP74">
        <v>7</v>
      </c>
      <c r="CQ74">
        <v>2822.4</v>
      </c>
      <c r="CR74">
        <v>6</v>
      </c>
      <c r="CS74">
        <v>2419.1999999999998</v>
      </c>
      <c r="CT74">
        <v>5</v>
      </c>
      <c r="CU74">
        <v>2016</v>
      </c>
    </row>
    <row r="75" spans="2:99" x14ac:dyDescent="0.2">
      <c r="C75" s="116" t="s">
        <v>241</v>
      </c>
      <c r="D75">
        <v>2</v>
      </c>
      <c r="E75">
        <v>1286.3999999999999</v>
      </c>
      <c r="F75">
        <v>3</v>
      </c>
      <c r="G75">
        <v>1929.6</v>
      </c>
      <c r="H75">
        <v>4</v>
      </c>
      <c r="I75">
        <v>2572.7999999999997</v>
      </c>
      <c r="J75">
        <v>4</v>
      </c>
      <c r="K75">
        <v>2572.7999999999997</v>
      </c>
      <c r="L75">
        <v>9</v>
      </c>
      <c r="M75">
        <v>5788.7999999999993</v>
      </c>
      <c r="N75">
        <v>7</v>
      </c>
      <c r="O75">
        <v>4502.3999999999996</v>
      </c>
      <c r="P75">
        <v>6</v>
      </c>
      <c r="Q75">
        <v>3859.2</v>
      </c>
      <c r="R75">
        <v>10</v>
      </c>
      <c r="S75">
        <v>6431.9999999999991</v>
      </c>
      <c r="T75">
        <v>30</v>
      </c>
      <c r="U75">
        <v>19295.999999999996</v>
      </c>
      <c r="V75">
        <v>32</v>
      </c>
      <c r="W75">
        <v>20582.399999999998</v>
      </c>
      <c r="X75">
        <v>24</v>
      </c>
      <c r="Y75">
        <v>15436.8</v>
      </c>
      <c r="Z75">
        <v>21</v>
      </c>
      <c r="AA75">
        <v>13507.199999999999</v>
      </c>
      <c r="AB75">
        <v>14</v>
      </c>
      <c r="AC75">
        <v>9004.7999999999993</v>
      </c>
      <c r="AD75">
        <v>23</v>
      </c>
      <c r="AE75">
        <v>14793.599999999999</v>
      </c>
      <c r="AF75">
        <v>27</v>
      </c>
      <c r="AG75">
        <v>17366.399999999998</v>
      </c>
      <c r="AH75">
        <v>25</v>
      </c>
      <c r="AI75">
        <v>16079.999999999998</v>
      </c>
      <c r="AJ75">
        <v>16</v>
      </c>
      <c r="AK75">
        <v>10291.199999999999</v>
      </c>
      <c r="AL75">
        <v>16</v>
      </c>
      <c r="AM75">
        <v>10291.199999999999</v>
      </c>
      <c r="AN75">
        <v>15</v>
      </c>
      <c r="AO75">
        <v>9647.9999999999982</v>
      </c>
      <c r="AP75">
        <v>22</v>
      </c>
      <c r="AQ75">
        <v>14150.399999999998</v>
      </c>
      <c r="AR75">
        <v>48</v>
      </c>
      <c r="AS75">
        <v>30873.599999999999</v>
      </c>
      <c r="AT75">
        <v>68</v>
      </c>
      <c r="AU75">
        <v>43737.599999999999</v>
      </c>
      <c r="AV75">
        <v>71</v>
      </c>
      <c r="AW75">
        <v>45667.199999999997</v>
      </c>
      <c r="AX75">
        <v>38</v>
      </c>
      <c r="AY75">
        <v>24441.599999999999</v>
      </c>
      <c r="AZ75">
        <v>12</v>
      </c>
      <c r="BA75">
        <v>7718.4</v>
      </c>
      <c r="BB75">
        <v>14</v>
      </c>
      <c r="BC75">
        <v>9004.7999999999993</v>
      </c>
      <c r="BD75">
        <v>10</v>
      </c>
      <c r="BE75">
        <v>6431.9999999999991</v>
      </c>
      <c r="BF75">
        <v>14</v>
      </c>
      <c r="BG75">
        <v>9004.7999999999993</v>
      </c>
      <c r="BH75">
        <v>6</v>
      </c>
      <c r="BI75">
        <v>3859.2</v>
      </c>
      <c r="BJ75">
        <v>3</v>
      </c>
      <c r="BK75">
        <v>1929.6</v>
      </c>
      <c r="BL75">
        <v>6</v>
      </c>
      <c r="BM75">
        <v>3859.2</v>
      </c>
      <c r="BN75">
        <v>4</v>
      </c>
      <c r="BO75">
        <v>2572.7999999999997</v>
      </c>
      <c r="BP75">
        <v>10</v>
      </c>
      <c r="BQ75">
        <v>6431.9999999999991</v>
      </c>
      <c r="BR75">
        <v>8</v>
      </c>
      <c r="BS75">
        <v>5145.5999999999995</v>
      </c>
      <c r="BT75">
        <v>13</v>
      </c>
      <c r="BU75">
        <v>8361.5999999999985</v>
      </c>
      <c r="BV75">
        <v>11</v>
      </c>
      <c r="BW75">
        <v>7075.1999999999989</v>
      </c>
      <c r="BX75">
        <v>15</v>
      </c>
      <c r="BY75">
        <v>9647.9999999999982</v>
      </c>
      <c r="BZ75">
        <v>16</v>
      </c>
      <c r="CA75">
        <v>10291.199999999999</v>
      </c>
      <c r="CB75">
        <v>18</v>
      </c>
      <c r="CC75">
        <v>11577.599999999999</v>
      </c>
      <c r="CD75">
        <v>12</v>
      </c>
      <c r="CE75">
        <v>7718.4</v>
      </c>
      <c r="CF75">
        <v>4</v>
      </c>
      <c r="CG75">
        <v>2572.7999999999997</v>
      </c>
      <c r="CH75">
        <v>5</v>
      </c>
      <c r="CI75">
        <v>3215.9999999999995</v>
      </c>
      <c r="CJ75">
        <v>6</v>
      </c>
      <c r="CK75">
        <v>3859.2</v>
      </c>
      <c r="CL75">
        <v>6</v>
      </c>
      <c r="CM75">
        <v>3859.2</v>
      </c>
      <c r="CN75">
        <v>6</v>
      </c>
      <c r="CO75">
        <v>3859.2</v>
      </c>
      <c r="CP75">
        <v>6</v>
      </c>
      <c r="CQ75">
        <v>3859.2</v>
      </c>
      <c r="CR75">
        <v>7</v>
      </c>
      <c r="CS75">
        <v>4502.3999999999996</v>
      </c>
      <c r="CT75">
        <v>5</v>
      </c>
      <c r="CU75">
        <v>3215.9999999999995</v>
      </c>
    </row>
    <row r="76" spans="2:99" x14ac:dyDescent="0.2">
      <c r="C76" s="116" t="s">
        <v>242</v>
      </c>
      <c r="D76">
        <v>2</v>
      </c>
      <c r="E76">
        <v>1557.6</v>
      </c>
      <c r="F76">
        <v>2</v>
      </c>
      <c r="G76">
        <v>1557.6</v>
      </c>
      <c r="H76">
        <v>3</v>
      </c>
      <c r="I76">
        <v>2336.3999999999996</v>
      </c>
      <c r="J76">
        <v>4</v>
      </c>
      <c r="K76">
        <v>3115.2</v>
      </c>
      <c r="L76">
        <v>10</v>
      </c>
      <c r="M76">
        <v>7788</v>
      </c>
      <c r="N76">
        <v>7</v>
      </c>
      <c r="O76">
        <v>5451.5999999999995</v>
      </c>
      <c r="P76">
        <v>6</v>
      </c>
      <c r="Q76">
        <v>4672.7999999999993</v>
      </c>
      <c r="R76">
        <v>9</v>
      </c>
      <c r="S76">
        <v>7009.2</v>
      </c>
      <c r="T76">
        <v>30</v>
      </c>
      <c r="U76">
        <v>23364</v>
      </c>
      <c r="V76">
        <v>31</v>
      </c>
      <c r="W76">
        <v>24142.799999999999</v>
      </c>
      <c r="X76">
        <v>21</v>
      </c>
      <c r="Y76">
        <v>16354.8</v>
      </c>
      <c r="Z76">
        <v>20</v>
      </c>
      <c r="AA76">
        <v>15576</v>
      </c>
      <c r="AB76">
        <v>14</v>
      </c>
      <c r="AC76">
        <v>10903.199999999999</v>
      </c>
      <c r="AD76">
        <v>21</v>
      </c>
      <c r="AE76">
        <v>16354.8</v>
      </c>
      <c r="AF76">
        <v>26</v>
      </c>
      <c r="AG76">
        <v>20248.8</v>
      </c>
      <c r="AH76">
        <v>24</v>
      </c>
      <c r="AI76">
        <v>18691.199999999997</v>
      </c>
      <c r="AJ76">
        <v>16</v>
      </c>
      <c r="AK76">
        <v>12460.8</v>
      </c>
      <c r="AL76">
        <v>17</v>
      </c>
      <c r="AM76">
        <v>13239.599999999999</v>
      </c>
      <c r="AN76">
        <v>13</v>
      </c>
      <c r="AO76">
        <v>10124.4</v>
      </c>
      <c r="AP76">
        <v>20</v>
      </c>
      <c r="AQ76">
        <v>15576</v>
      </c>
      <c r="AR76">
        <v>50</v>
      </c>
      <c r="AS76">
        <v>38940</v>
      </c>
      <c r="AT76">
        <v>72</v>
      </c>
      <c r="AU76">
        <v>56073.599999999999</v>
      </c>
      <c r="AV76">
        <v>64</v>
      </c>
      <c r="AW76">
        <v>49843.199999999997</v>
      </c>
      <c r="AX76">
        <v>33</v>
      </c>
      <c r="AY76">
        <v>25700.399999999998</v>
      </c>
      <c r="AZ76">
        <v>12</v>
      </c>
      <c r="BA76">
        <v>9345.5999999999985</v>
      </c>
      <c r="BB76">
        <v>15</v>
      </c>
      <c r="BC76">
        <v>11682</v>
      </c>
      <c r="BD76">
        <v>9</v>
      </c>
      <c r="BE76">
        <v>7009.2</v>
      </c>
      <c r="BF76">
        <v>13</v>
      </c>
      <c r="BG76">
        <v>10124.4</v>
      </c>
      <c r="BH76">
        <v>6</v>
      </c>
      <c r="BI76">
        <v>4672.7999999999993</v>
      </c>
      <c r="BJ76">
        <v>3</v>
      </c>
      <c r="BK76">
        <v>2336.3999999999996</v>
      </c>
      <c r="BL76">
        <v>6</v>
      </c>
      <c r="BM76">
        <v>4672.7999999999993</v>
      </c>
      <c r="BN76">
        <v>4</v>
      </c>
      <c r="BO76">
        <v>3115.2</v>
      </c>
      <c r="BP76">
        <v>11</v>
      </c>
      <c r="BQ76">
        <v>8566.7999999999993</v>
      </c>
      <c r="BR76">
        <v>8</v>
      </c>
      <c r="BS76">
        <v>6230.4</v>
      </c>
      <c r="BT76">
        <v>13</v>
      </c>
      <c r="BU76">
        <v>10124.4</v>
      </c>
      <c r="BV76">
        <v>11</v>
      </c>
      <c r="BW76">
        <v>8566.7999999999993</v>
      </c>
      <c r="BX76">
        <v>15</v>
      </c>
      <c r="BY76">
        <v>11682</v>
      </c>
      <c r="BZ76">
        <v>15</v>
      </c>
      <c r="CA76">
        <v>11682</v>
      </c>
      <c r="CB76">
        <v>16</v>
      </c>
      <c r="CC76">
        <v>12460.8</v>
      </c>
      <c r="CD76">
        <v>13</v>
      </c>
      <c r="CE76">
        <v>10124.4</v>
      </c>
      <c r="CF76">
        <v>4</v>
      </c>
      <c r="CG76">
        <v>3115.2</v>
      </c>
      <c r="CH76">
        <v>5</v>
      </c>
      <c r="CI76">
        <v>3894</v>
      </c>
      <c r="CJ76">
        <v>5</v>
      </c>
      <c r="CK76">
        <v>3894</v>
      </c>
      <c r="CL76">
        <v>6</v>
      </c>
      <c r="CM76">
        <v>4672.7999999999993</v>
      </c>
      <c r="CN76">
        <v>6</v>
      </c>
      <c r="CO76">
        <v>4672.7999999999993</v>
      </c>
      <c r="CP76">
        <v>7</v>
      </c>
      <c r="CQ76">
        <v>5451.5999999999995</v>
      </c>
      <c r="CR76">
        <v>6</v>
      </c>
      <c r="CS76">
        <v>4672.7999999999993</v>
      </c>
      <c r="CT76">
        <v>5</v>
      </c>
      <c r="CU76">
        <v>3894</v>
      </c>
    </row>
    <row r="77" spans="2:99" x14ac:dyDescent="0.2">
      <c r="C77" s="116" t="s">
        <v>243</v>
      </c>
      <c r="D77">
        <v>2</v>
      </c>
      <c r="E77">
        <v>556.79999999999995</v>
      </c>
      <c r="F77">
        <v>3</v>
      </c>
      <c r="G77">
        <v>835.19999999999993</v>
      </c>
      <c r="H77">
        <v>4</v>
      </c>
      <c r="I77">
        <v>1113.5999999999999</v>
      </c>
      <c r="J77">
        <v>4</v>
      </c>
      <c r="K77">
        <v>1113.5999999999999</v>
      </c>
      <c r="L77">
        <v>9</v>
      </c>
      <c r="M77">
        <v>2505.6</v>
      </c>
      <c r="N77">
        <v>7</v>
      </c>
      <c r="O77">
        <v>1948.7999999999997</v>
      </c>
      <c r="P77">
        <v>8</v>
      </c>
      <c r="Q77">
        <v>2227.1999999999998</v>
      </c>
      <c r="R77">
        <v>10</v>
      </c>
      <c r="S77">
        <v>2784</v>
      </c>
      <c r="T77">
        <v>33</v>
      </c>
      <c r="U77">
        <v>9187.1999999999989</v>
      </c>
      <c r="V77">
        <v>37</v>
      </c>
      <c r="W77">
        <v>10300.799999999999</v>
      </c>
      <c r="X77">
        <v>23</v>
      </c>
      <c r="Y77">
        <v>6403.2</v>
      </c>
      <c r="Z77">
        <v>22</v>
      </c>
      <c r="AA77">
        <v>6124.7999999999993</v>
      </c>
      <c r="AB77">
        <v>13</v>
      </c>
      <c r="AC77">
        <v>3619.2</v>
      </c>
      <c r="AD77">
        <v>24</v>
      </c>
      <c r="AE77">
        <v>6681.5999999999995</v>
      </c>
      <c r="AF77">
        <v>30</v>
      </c>
      <c r="AG77">
        <v>8352</v>
      </c>
      <c r="AH77">
        <v>25</v>
      </c>
      <c r="AI77">
        <v>6959.9999999999991</v>
      </c>
      <c r="AJ77">
        <v>16</v>
      </c>
      <c r="AK77">
        <v>4454.3999999999996</v>
      </c>
      <c r="AL77">
        <v>16</v>
      </c>
      <c r="AM77">
        <v>4454.3999999999996</v>
      </c>
      <c r="AN77">
        <v>15</v>
      </c>
      <c r="AO77">
        <v>4176</v>
      </c>
      <c r="AP77">
        <v>21</v>
      </c>
      <c r="AQ77">
        <v>5846.4</v>
      </c>
      <c r="AR77">
        <v>56</v>
      </c>
      <c r="AS77">
        <v>15590.399999999998</v>
      </c>
      <c r="AT77">
        <v>72</v>
      </c>
      <c r="AU77">
        <v>20044.8</v>
      </c>
      <c r="AV77">
        <v>76</v>
      </c>
      <c r="AW77">
        <v>21158.399999999998</v>
      </c>
      <c r="AX77">
        <v>41</v>
      </c>
      <c r="AY77">
        <v>11414.4</v>
      </c>
      <c r="AZ77">
        <v>12</v>
      </c>
      <c r="BA77">
        <v>3340.7999999999997</v>
      </c>
      <c r="BB77">
        <v>16</v>
      </c>
      <c r="BC77">
        <v>4454.3999999999996</v>
      </c>
      <c r="BD77">
        <v>10</v>
      </c>
      <c r="BE77">
        <v>2784</v>
      </c>
      <c r="BF77">
        <v>13</v>
      </c>
      <c r="BG77">
        <v>3619.2</v>
      </c>
      <c r="BH77">
        <v>7</v>
      </c>
      <c r="BI77">
        <v>1948.7999999999997</v>
      </c>
      <c r="BJ77">
        <v>4</v>
      </c>
      <c r="BK77">
        <v>1113.5999999999999</v>
      </c>
      <c r="BL77">
        <v>6</v>
      </c>
      <c r="BM77">
        <v>1670.3999999999999</v>
      </c>
      <c r="BN77">
        <v>3</v>
      </c>
      <c r="BO77">
        <v>835.19999999999993</v>
      </c>
      <c r="BP77">
        <v>12</v>
      </c>
      <c r="BQ77">
        <v>3340.7999999999997</v>
      </c>
      <c r="BR77">
        <v>8</v>
      </c>
      <c r="BS77">
        <v>2227.1999999999998</v>
      </c>
      <c r="BT77">
        <v>12</v>
      </c>
      <c r="BU77">
        <v>3340.7999999999997</v>
      </c>
      <c r="BV77">
        <v>12</v>
      </c>
      <c r="BW77">
        <v>3340.7999999999997</v>
      </c>
      <c r="BX77">
        <v>15</v>
      </c>
      <c r="BY77">
        <v>4176</v>
      </c>
      <c r="BZ77">
        <v>16</v>
      </c>
      <c r="CA77">
        <v>4454.3999999999996</v>
      </c>
      <c r="CB77">
        <v>19</v>
      </c>
      <c r="CC77">
        <v>5289.5999999999995</v>
      </c>
      <c r="CD77">
        <v>13</v>
      </c>
      <c r="CE77">
        <v>3619.2</v>
      </c>
      <c r="CF77">
        <v>4</v>
      </c>
      <c r="CG77">
        <v>1113.5999999999999</v>
      </c>
      <c r="CH77">
        <v>5</v>
      </c>
      <c r="CI77">
        <v>1392</v>
      </c>
      <c r="CJ77">
        <v>6</v>
      </c>
      <c r="CK77">
        <v>1670.3999999999999</v>
      </c>
      <c r="CL77">
        <v>6</v>
      </c>
      <c r="CM77">
        <v>1670.3999999999999</v>
      </c>
      <c r="CN77">
        <v>7</v>
      </c>
      <c r="CO77">
        <v>1948.7999999999997</v>
      </c>
      <c r="CP77">
        <v>7</v>
      </c>
      <c r="CQ77">
        <v>1948.7999999999997</v>
      </c>
      <c r="CR77">
        <v>6</v>
      </c>
      <c r="CS77">
        <v>1670.3999999999999</v>
      </c>
      <c r="CT77">
        <v>5</v>
      </c>
      <c r="CU77">
        <v>1392</v>
      </c>
    </row>
    <row r="78" spans="2:99" x14ac:dyDescent="0.2">
      <c r="C78" s="116" t="s">
        <v>244</v>
      </c>
      <c r="D78">
        <v>3</v>
      </c>
      <c r="E78">
        <v>1656</v>
      </c>
      <c r="F78">
        <v>2</v>
      </c>
      <c r="G78">
        <v>1104</v>
      </c>
      <c r="H78">
        <v>3</v>
      </c>
      <c r="I78">
        <v>1656</v>
      </c>
      <c r="J78">
        <v>4</v>
      </c>
      <c r="K78">
        <v>2208</v>
      </c>
      <c r="L78">
        <v>9</v>
      </c>
      <c r="M78">
        <v>4968</v>
      </c>
      <c r="N78">
        <v>7</v>
      </c>
      <c r="O78">
        <v>3864</v>
      </c>
      <c r="P78">
        <v>7</v>
      </c>
      <c r="Q78">
        <v>3864</v>
      </c>
      <c r="R78">
        <v>9</v>
      </c>
      <c r="S78">
        <v>4968</v>
      </c>
      <c r="T78">
        <v>31</v>
      </c>
      <c r="U78">
        <v>17112</v>
      </c>
      <c r="V78">
        <v>34</v>
      </c>
      <c r="W78">
        <v>18768</v>
      </c>
      <c r="X78">
        <v>23</v>
      </c>
      <c r="Y78">
        <v>12696</v>
      </c>
      <c r="Z78">
        <v>23</v>
      </c>
      <c r="AA78">
        <v>12696</v>
      </c>
      <c r="AB78">
        <v>12</v>
      </c>
      <c r="AC78">
        <v>6624</v>
      </c>
      <c r="AD78">
        <v>24</v>
      </c>
      <c r="AE78">
        <v>13248</v>
      </c>
      <c r="AF78">
        <v>26</v>
      </c>
      <c r="AG78">
        <v>14352</v>
      </c>
      <c r="AH78">
        <v>26</v>
      </c>
      <c r="AI78">
        <v>14352</v>
      </c>
      <c r="AJ78">
        <v>14</v>
      </c>
      <c r="AK78">
        <v>7728</v>
      </c>
      <c r="AL78">
        <v>17</v>
      </c>
      <c r="AM78">
        <v>9384</v>
      </c>
      <c r="AN78">
        <v>16</v>
      </c>
      <c r="AO78">
        <v>8832</v>
      </c>
      <c r="AP78">
        <v>23</v>
      </c>
      <c r="AQ78">
        <v>12696</v>
      </c>
      <c r="AR78">
        <v>45</v>
      </c>
      <c r="AS78">
        <v>24840</v>
      </c>
      <c r="AT78">
        <v>71</v>
      </c>
      <c r="AU78">
        <v>39192</v>
      </c>
      <c r="AV78">
        <v>71</v>
      </c>
      <c r="AW78">
        <v>39192</v>
      </c>
      <c r="AX78">
        <v>42</v>
      </c>
      <c r="AY78">
        <v>23184</v>
      </c>
      <c r="AZ78">
        <v>13</v>
      </c>
      <c r="BA78">
        <v>7176</v>
      </c>
      <c r="BB78">
        <v>15</v>
      </c>
      <c r="BC78">
        <v>8280</v>
      </c>
      <c r="BD78">
        <v>11</v>
      </c>
      <c r="BE78">
        <v>6072</v>
      </c>
      <c r="BF78">
        <v>13</v>
      </c>
      <c r="BG78">
        <v>7176</v>
      </c>
      <c r="BH78">
        <v>6</v>
      </c>
      <c r="BI78">
        <v>3312</v>
      </c>
      <c r="BJ78">
        <v>3</v>
      </c>
      <c r="BK78">
        <v>1656</v>
      </c>
      <c r="BL78">
        <v>5</v>
      </c>
      <c r="BM78">
        <v>2760</v>
      </c>
      <c r="BN78">
        <v>4</v>
      </c>
      <c r="BO78">
        <v>2208</v>
      </c>
      <c r="BP78">
        <v>11</v>
      </c>
      <c r="BQ78">
        <v>6072</v>
      </c>
      <c r="BR78">
        <v>8</v>
      </c>
      <c r="BS78">
        <v>4416</v>
      </c>
      <c r="BT78">
        <v>13</v>
      </c>
      <c r="BU78">
        <v>7176</v>
      </c>
      <c r="BV78">
        <v>11</v>
      </c>
      <c r="BW78">
        <v>6072</v>
      </c>
      <c r="BX78">
        <v>15</v>
      </c>
      <c r="BY78">
        <v>8280</v>
      </c>
      <c r="BZ78">
        <v>16</v>
      </c>
      <c r="CA78">
        <v>8832</v>
      </c>
      <c r="CB78">
        <v>17</v>
      </c>
      <c r="CC78">
        <v>9384</v>
      </c>
      <c r="CD78">
        <v>12</v>
      </c>
      <c r="CE78">
        <v>6624</v>
      </c>
      <c r="CF78">
        <v>4</v>
      </c>
      <c r="CG78">
        <v>2208</v>
      </c>
      <c r="CH78">
        <v>5</v>
      </c>
      <c r="CI78">
        <v>2760</v>
      </c>
      <c r="CJ78">
        <v>6</v>
      </c>
      <c r="CK78">
        <v>3312</v>
      </c>
      <c r="CL78">
        <v>6</v>
      </c>
      <c r="CM78">
        <v>3312</v>
      </c>
      <c r="CN78">
        <v>7</v>
      </c>
      <c r="CO78">
        <v>3864</v>
      </c>
      <c r="CP78">
        <v>7</v>
      </c>
      <c r="CQ78">
        <v>3864</v>
      </c>
      <c r="CR78">
        <v>6</v>
      </c>
      <c r="CS78">
        <v>3312</v>
      </c>
      <c r="CT78">
        <v>5</v>
      </c>
      <c r="CU78">
        <v>2760</v>
      </c>
    </row>
    <row r="79" spans="2:99" x14ac:dyDescent="0.2">
      <c r="C79" s="116" t="s">
        <v>245</v>
      </c>
      <c r="D79">
        <v>2</v>
      </c>
      <c r="E79">
        <v>1514.3999999999999</v>
      </c>
      <c r="F79">
        <v>2</v>
      </c>
      <c r="G79">
        <v>1514.3999999999999</v>
      </c>
      <c r="H79">
        <v>4</v>
      </c>
      <c r="I79">
        <v>3028.7999999999997</v>
      </c>
      <c r="J79">
        <v>4</v>
      </c>
      <c r="K79">
        <v>3028.7999999999997</v>
      </c>
      <c r="L79">
        <v>9</v>
      </c>
      <c r="M79">
        <v>6814.7999999999993</v>
      </c>
      <c r="N79">
        <v>8</v>
      </c>
      <c r="O79">
        <v>6057.5999999999995</v>
      </c>
      <c r="P79">
        <v>7</v>
      </c>
      <c r="Q79">
        <v>5300.4</v>
      </c>
      <c r="R79">
        <v>9</v>
      </c>
      <c r="S79">
        <v>6814.7999999999993</v>
      </c>
      <c r="T79">
        <v>30</v>
      </c>
      <c r="U79">
        <v>22715.999999999996</v>
      </c>
      <c r="V79">
        <v>32</v>
      </c>
      <c r="W79">
        <v>24230.399999999998</v>
      </c>
      <c r="X79">
        <v>24</v>
      </c>
      <c r="Y79">
        <v>18172.8</v>
      </c>
      <c r="Z79">
        <v>24</v>
      </c>
      <c r="AA79">
        <v>18172.8</v>
      </c>
      <c r="AB79">
        <v>13</v>
      </c>
      <c r="AC79">
        <v>9843.5999999999985</v>
      </c>
      <c r="AD79">
        <v>22</v>
      </c>
      <c r="AE79">
        <v>16658.399999999998</v>
      </c>
      <c r="AF79">
        <v>26</v>
      </c>
      <c r="AG79">
        <v>19687.199999999997</v>
      </c>
      <c r="AH79">
        <v>27</v>
      </c>
      <c r="AI79">
        <v>20444.399999999998</v>
      </c>
      <c r="AJ79">
        <v>16</v>
      </c>
      <c r="AK79">
        <v>12115.199999999999</v>
      </c>
      <c r="AL79">
        <v>16</v>
      </c>
      <c r="AM79">
        <v>12115.199999999999</v>
      </c>
      <c r="AN79">
        <v>16</v>
      </c>
      <c r="AO79">
        <v>12115.199999999999</v>
      </c>
      <c r="AP79">
        <v>22</v>
      </c>
      <c r="AQ79">
        <v>16658.399999999998</v>
      </c>
      <c r="AR79">
        <v>44</v>
      </c>
      <c r="AS79">
        <v>33316.799999999996</v>
      </c>
      <c r="AT79">
        <v>73</v>
      </c>
      <c r="AU79">
        <v>55275.6</v>
      </c>
      <c r="AV79">
        <v>71</v>
      </c>
      <c r="AW79">
        <v>53761.2</v>
      </c>
      <c r="AX79">
        <v>39</v>
      </c>
      <c r="AY79">
        <v>29530.799999999996</v>
      </c>
      <c r="AZ79">
        <v>10</v>
      </c>
      <c r="BA79">
        <v>7571.9999999999991</v>
      </c>
      <c r="BB79">
        <v>16</v>
      </c>
      <c r="BC79">
        <v>12115.199999999999</v>
      </c>
      <c r="BD79">
        <v>10</v>
      </c>
      <c r="BE79">
        <v>7571.9999999999991</v>
      </c>
      <c r="BF79">
        <v>12</v>
      </c>
      <c r="BG79">
        <v>9086.4</v>
      </c>
      <c r="BH79">
        <v>6</v>
      </c>
      <c r="BI79">
        <v>4543.2</v>
      </c>
      <c r="BJ79">
        <v>3</v>
      </c>
      <c r="BK79">
        <v>2271.6</v>
      </c>
      <c r="BL79">
        <v>5</v>
      </c>
      <c r="BM79">
        <v>3785.9999999999995</v>
      </c>
      <c r="BN79">
        <v>3</v>
      </c>
      <c r="BO79">
        <v>2271.6</v>
      </c>
      <c r="BP79">
        <v>10</v>
      </c>
      <c r="BQ79">
        <v>7571.9999999999991</v>
      </c>
      <c r="BR79">
        <v>7</v>
      </c>
      <c r="BS79">
        <v>5300.4</v>
      </c>
      <c r="BT79">
        <v>12</v>
      </c>
      <c r="BU79">
        <v>9086.4</v>
      </c>
      <c r="BV79">
        <v>11</v>
      </c>
      <c r="BW79">
        <v>8329.1999999999989</v>
      </c>
      <c r="BX79">
        <v>13</v>
      </c>
      <c r="BY79">
        <v>9843.5999999999985</v>
      </c>
      <c r="BZ79">
        <v>14</v>
      </c>
      <c r="CA79">
        <v>10600.8</v>
      </c>
      <c r="CB79">
        <v>16</v>
      </c>
      <c r="CC79">
        <v>12115.199999999999</v>
      </c>
      <c r="CD79">
        <v>12</v>
      </c>
      <c r="CE79">
        <v>9086.4</v>
      </c>
      <c r="CF79">
        <v>4</v>
      </c>
      <c r="CG79">
        <v>3028.7999999999997</v>
      </c>
      <c r="CH79">
        <v>5</v>
      </c>
      <c r="CI79">
        <v>3785.9999999999995</v>
      </c>
      <c r="CJ79">
        <v>5</v>
      </c>
      <c r="CK79">
        <v>3785.9999999999995</v>
      </c>
      <c r="CL79">
        <v>5</v>
      </c>
      <c r="CM79">
        <v>3785.9999999999995</v>
      </c>
      <c r="CN79">
        <v>6</v>
      </c>
      <c r="CO79">
        <v>4543.2</v>
      </c>
      <c r="CP79">
        <v>7</v>
      </c>
      <c r="CQ79">
        <v>5300.4</v>
      </c>
      <c r="CR79">
        <v>6</v>
      </c>
      <c r="CS79">
        <v>4543.2</v>
      </c>
      <c r="CT79">
        <v>5</v>
      </c>
      <c r="CU79">
        <v>3785.9999999999995</v>
      </c>
    </row>
    <row r="80" spans="2:99" x14ac:dyDescent="0.2">
      <c r="C80" s="116" t="s">
        <v>246</v>
      </c>
      <c r="D80">
        <v>3</v>
      </c>
      <c r="E80">
        <v>2415.6</v>
      </c>
      <c r="F80">
        <v>3</v>
      </c>
      <c r="G80">
        <v>2415.6</v>
      </c>
      <c r="H80">
        <v>4</v>
      </c>
      <c r="I80">
        <v>3220.7999999999997</v>
      </c>
      <c r="J80">
        <v>4</v>
      </c>
      <c r="K80">
        <v>3220.7999999999997</v>
      </c>
      <c r="L80">
        <v>9</v>
      </c>
      <c r="M80">
        <v>7246.7999999999993</v>
      </c>
      <c r="N80">
        <v>7</v>
      </c>
      <c r="O80">
        <v>5636.4</v>
      </c>
      <c r="P80">
        <v>7</v>
      </c>
      <c r="Q80">
        <v>5636.4</v>
      </c>
      <c r="R80">
        <v>8</v>
      </c>
      <c r="S80">
        <v>6441.5999999999995</v>
      </c>
      <c r="T80">
        <v>31</v>
      </c>
      <c r="U80">
        <v>24961.199999999997</v>
      </c>
      <c r="V80">
        <v>29</v>
      </c>
      <c r="W80">
        <v>23350.799999999999</v>
      </c>
      <c r="X80">
        <v>23</v>
      </c>
      <c r="Y80">
        <v>18519.599999999999</v>
      </c>
      <c r="Z80">
        <v>23</v>
      </c>
      <c r="AA80">
        <v>18519.599999999999</v>
      </c>
      <c r="AB80">
        <v>14</v>
      </c>
      <c r="AC80">
        <v>11272.8</v>
      </c>
      <c r="AD80">
        <v>24</v>
      </c>
      <c r="AE80">
        <v>19324.8</v>
      </c>
      <c r="AF80">
        <v>28</v>
      </c>
      <c r="AG80">
        <v>22545.599999999999</v>
      </c>
      <c r="AH80">
        <v>23</v>
      </c>
      <c r="AI80">
        <v>18519.599999999999</v>
      </c>
      <c r="AJ80">
        <v>16</v>
      </c>
      <c r="AK80">
        <v>12883.199999999999</v>
      </c>
      <c r="AL80">
        <v>16</v>
      </c>
      <c r="AM80">
        <v>12883.199999999999</v>
      </c>
      <c r="AN80">
        <v>13</v>
      </c>
      <c r="AO80">
        <v>10467.599999999999</v>
      </c>
      <c r="AP80">
        <v>23</v>
      </c>
      <c r="AQ80">
        <v>18519.599999999999</v>
      </c>
      <c r="AR80">
        <v>50</v>
      </c>
      <c r="AS80">
        <v>40260</v>
      </c>
      <c r="AT80">
        <v>72</v>
      </c>
      <c r="AU80">
        <v>57974.399999999994</v>
      </c>
      <c r="AV80">
        <v>61</v>
      </c>
      <c r="AW80">
        <v>49117.2</v>
      </c>
      <c r="AX80">
        <v>39</v>
      </c>
      <c r="AY80">
        <v>31402.799999999996</v>
      </c>
      <c r="AZ80">
        <v>10</v>
      </c>
      <c r="BA80">
        <v>8051.9999999999991</v>
      </c>
      <c r="BB80">
        <v>14</v>
      </c>
      <c r="BC80">
        <v>11272.8</v>
      </c>
      <c r="BD80">
        <v>10</v>
      </c>
      <c r="BE80">
        <v>8051.9999999999991</v>
      </c>
      <c r="BF80">
        <v>13</v>
      </c>
      <c r="BG80">
        <v>10467.599999999999</v>
      </c>
      <c r="BH80">
        <v>6</v>
      </c>
      <c r="BI80">
        <v>4831.2</v>
      </c>
      <c r="BJ80">
        <v>3</v>
      </c>
      <c r="BK80">
        <v>2415.6</v>
      </c>
      <c r="BL80">
        <v>6</v>
      </c>
      <c r="BM80">
        <v>4831.2</v>
      </c>
      <c r="BN80">
        <v>3</v>
      </c>
      <c r="BO80">
        <v>2415.6</v>
      </c>
      <c r="BP80">
        <v>11</v>
      </c>
      <c r="BQ80">
        <v>8857.1999999999989</v>
      </c>
      <c r="BR80">
        <v>8</v>
      </c>
      <c r="BS80">
        <v>6441.5999999999995</v>
      </c>
      <c r="BT80">
        <v>12</v>
      </c>
      <c r="BU80">
        <v>9662.4</v>
      </c>
      <c r="BV80">
        <v>10</v>
      </c>
      <c r="BW80">
        <v>8051.9999999999991</v>
      </c>
      <c r="BX80">
        <v>14</v>
      </c>
      <c r="BY80">
        <v>11272.8</v>
      </c>
      <c r="BZ80">
        <v>15</v>
      </c>
      <c r="CA80">
        <v>12077.999999999998</v>
      </c>
      <c r="CB80">
        <v>18</v>
      </c>
      <c r="CC80">
        <v>14493.599999999999</v>
      </c>
      <c r="CD80">
        <v>13</v>
      </c>
      <c r="CE80">
        <v>10467.599999999999</v>
      </c>
      <c r="CF80">
        <v>4</v>
      </c>
      <c r="CG80">
        <v>3220.7999999999997</v>
      </c>
      <c r="CH80">
        <v>5</v>
      </c>
      <c r="CI80">
        <v>4025.9999999999995</v>
      </c>
      <c r="CJ80">
        <v>6</v>
      </c>
      <c r="CK80">
        <v>4831.2</v>
      </c>
      <c r="CL80">
        <v>6</v>
      </c>
      <c r="CM80">
        <v>4831.2</v>
      </c>
      <c r="CN80">
        <v>6</v>
      </c>
      <c r="CO80">
        <v>4831.2</v>
      </c>
      <c r="CP80">
        <v>6</v>
      </c>
      <c r="CQ80">
        <v>4831.2</v>
      </c>
      <c r="CR80">
        <v>6</v>
      </c>
      <c r="CS80">
        <v>4831.2</v>
      </c>
      <c r="CT80">
        <v>5</v>
      </c>
      <c r="CU80">
        <v>4025.9999999999995</v>
      </c>
    </row>
    <row r="81" spans="2:99" x14ac:dyDescent="0.2">
      <c r="C81" s="116" t="s">
        <v>247</v>
      </c>
      <c r="D81">
        <v>3</v>
      </c>
      <c r="E81">
        <v>2260.8000000000002</v>
      </c>
      <c r="F81">
        <v>2</v>
      </c>
      <c r="G81">
        <v>1507.2</v>
      </c>
      <c r="H81">
        <v>4</v>
      </c>
      <c r="I81">
        <v>3014.4</v>
      </c>
      <c r="J81">
        <v>4</v>
      </c>
      <c r="K81">
        <v>3014.4</v>
      </c>
      <c r="L81">
        <v>10</v>
      </c>
      <c r="M81">
        <v>7536</v>
      </c>
      <c r="N81">
        <v>7</v>
      </c>
      <c r="O81">
        <v>5275.2</v>
      </c>
      <c r="P81">
        <v>7</v>
      </c>
      <c r="Q81">
        <v>5275.2</v>
      </c>
      <c r="R81">
        <v>9</v>
      </c>
      <c r="S81">
        <v>6782.4000000000005</v>
      </c>
      <c r="T81">
        <v>29</v>
      </c>
      <c r="U81">
        <v>21854.400000000001</v>
      </c>
      <c r="V81">
        <v>32</v>
      </c>
      <c r="W81">
        <v>24115.200000000001</v>
      </c>
      <c r="X81">
        <v>22</v>
      </c>
      <c r="Y81">
        <v>16579.2</v>
      </c>
      <c r="Z81">
        <v>23</v>
      </c>
      <c r="AA81">
        <v>17332.8</v>
      </c>
      <c r="AB81">
        <v>13</v>
      </c>
      <c r="AC81">
        <v>9796.8000000000011</v>
      </c>
      <c r="AD81">
        <v>21</v>
      </c>
      <c r="AE81">
        <v>15825.6</v>
      </c>
      <c r="AF81">
        <v>28</v>
      </c>
      <c r="AG81">
        <v>21100.799999999999</v>
      </c>
      <c r="AH81">
        <v>24</v>
      </c>
      <c r="AI81">
        <v>18086.400000000001</v>
      </c>
      <c r="AJ81">
        <v>16</v>
      </c>
      <c r="AK81">
        <v>12057.6</v>
      </c>
      <c r="AL81">
        <v>17</v>
      </c>
      <c r="AM81">
        <v>12811.2</v>
      </c>
      <c r="AN81">
        <v>16</v>
      </c>
      <c r="AO81">
        <v>12057.6</v>
      </c>
      <c r="AP81">
        <v>20</v>
      </c>
      <c r="AQ81">
        <v>15072</v>
      </c>
      <c r="AR81">
        <v>44</v>
      </c>
      <c r="AS81">
        <v>33158.400000000001</v>
      </c>
      <c r="AT81">
        <v>76</v>
      </c>
      <c r="AU81">
        <v>57273.599999999999</v>
      </c>
      <c r="AV81">
        <v>65</v>
      </c>
      <c r="AW81">
        <v>48984</v>
      </c>
      <c r="AX81">
        <v>39</v>
      </c>
      <c r="AY81">
        <v>29390.400000000001</v>
      </c>
      <c r="AZ81">
        <v>12</v>
      </c>
      <c r="BA81">
        <v>9043.2000000000007</v>
      </c>
      <c r="BB81">
        <v>15</v>
      </c>
      <c r="BC81">
        <v>11304</v>
      </c>
      <c r="BD81">
        <v>11</v>
      </c>
      <c r="BE81">
        <v>8289.6</v>
      </c>
      <c r="BF81">
        <v>12</v>
      </c>
      <c r="BG81">
        <v>9043.2000000000007</v>
      </c>
      <c r="BH81">
        <v>6</v>
      </c>
      <c r="BI81">
        <v>4521.6000000000004</v>
      </c>
      <c r="BJ81">
        <v>4</v>
      </c>
      <c r="BK81">
        <v>3014.4</v>
      </c>
      <c r="BL81">
        <v>5</v>
      </c>
      <c r="BM81">
        <v>3768</v>
      </c>
      <c r="BN81">
        <v>4</v>
      </c>
      <c r="BO81">
        <v>3014.4</v>
      </c>
      <c r="BP81">
        <v>10</v>
      </c>
      <c r="BQ81">
        <v>7536</v>
      </c>
      <c r="BR81">
        <v>7</v>
      </c>
      <c r="BS81">
        <v>5275.2</v>
      </c>
      <c r="BT81">
        <v>11</v>
      </c>
      <c r="BU81">
        <v>8289.6</v>
      </c>
      <c r="BV81">
        <v>11</v>
      </c>
      <c r="BW81">
        <v>8289.6</v>
      </c>
      <c r="BX81">
        <v>13</v>
      </c>
      <c r="BY81">
        <v>9796.8000000000011</v>
      </c>
      <c r="BZ81">
        <v>15</v>
      </c>
      <c r="CA81">
        <v>11304</v>
      </c>
      <c r="CB81">
        <v>18</v>
      </c>
      <c r="CC81">
        <v>13564.800000000001</v>
      </c>
      <c r="CD81">
        <v>13</v>
      </c>
      <c r="CE81">
        <v>9796.8000000000011</v>
      </c>
      <c r="CF81">
        <v>4</v>
      </c>
      <c r="CG81">
        <v>3014.4</v>
      </c>
      <c r="CH81">
        <v>5</v>
      </c>
      <c r="CI81">
        <v>3768</v>
      </c>
      <c r="CJ81">
        <v>6</v>
      </c>
      <c r="CK81">
        <v>4521.6000000000004</v>
      </c>
      <c r="CL81">
        <v>6</v>
      </c>
      <c r="CM81">
        <v>4521.6000000000004</v>
      </c>
      <c r="CN81">
        <v>6</v>
      </c>
      <c r="CO81">
        <v>4521.6000000000004</v>
      </c>
      <c r="CP81">
        <v>6</v>
      </c>
      <c r="CQ81">
        <v>4521.6000000000004</v>
      </c>
      <c r="CR81">
        <v>7</v>
      </c>
      <c r="CS81">
        <v>5275.2</v>
      </c>
      <c r="CT81">
        <v>5</v>
      </c>
      <c r="CU81">
        <v>3768</v>
      </c>
    </row>
    <row r="82" spans="2:99" x14ac:dyDescent="0.2">
      <c r="C82" s="116" t="s">
        <v>248</v>
      </c>
      <c r="D82">
        <v>3</v>
      </c>
      <c r="E82">
        <v>1526.3999999999996</v>
      </c>
      <c r="F82">
        <v>3</v>
      </c>
      <c r="G82">
        <v>1526.3999999999996</v>
      </c>
      <c r="H82">
        <v>3</v>
      </c>
      <c r="I82">
        <v>1526.3999999999996</v>
      </c>
      <c r="J82">
        <v>4</v>
      </c>
      <c r="K82">
        <v>2035.1999999999996</v>
      </c>
      <c r="L82">
        <v>10</v>
      </c>
      <c r="M82">
        <v>5087.9999999999991</v>
      </c>
      <c r="N82">
        <v>7</v>
      </c>
      <c r="O82">
        <v>3561.5999999999995</v>
      </c>
      <c r="P82">
        <v>7</v>
      </c>
      <c r="Q82">
        <v>3561.5999999999995</v>
      </c>
      <c r="R82">
        <v>10</v>
      </c>
      <c r="S82">
        <v>5087.9999999999991</v>
      </c>
      <c r="T82">
        <v>32</v>
      </c>
      <c r="U82">
        <v>16281.599999999997</v>
      </c>
      <c r="V82">
        <v>35</v>
      </c>
      <c r="W82">
        <v>17807.999999999996</v>
      </c>
      <c r="X82">
        <v>21</v>
      </c>
      <c r="Y82">
        <v>10684.799999999997</v>
      </c>
      <c r="Z82">
        <v>23</v>
      </c>
      <c r="AA82">
        <v>11702.399999999998</v>
      </c>
      <c r="AB82">
        <v>14</v>
      </c>
      <c r="AC82">
        <v>7123.1999999999989</v>
      </c>
      <c r="AD82">
        <v>23</v>
      </c>
      <c r="AE82">
        <v>11702.399999999998</v>
      </c>
      <c r="AF82">
        <v>26</v>
      </c>
      <c r="AG82">
        <v>13228.799999999997</v>
      </c>
      <c r="AH82">
        <v>27</v>
      </c>
      <c r="AI82">
        <v>13737.599999999997</v>
      </c>
      <c r="AJ82">
        <v>16</v>
      </c>
      <c r="AK82">
        <v>8140.7999999999984</v>
      </c>
      <c r="AL82">
        <v>15</v>
      </c>
      <c r="AM82">
        <v>7631.9999999999982</v>
      </c>
      <c r="AN82">
        <v>16</v>
      </c>
      <c r="AO82">
        <v>8140.7999999999984</v>
      </c>
      <c r="AP82">
        <v>20</v>
      </c>
      <c r="AQ82">
        <v>10175.999999999998</v>
      </c>
      <c r="AR82">
        <v>48</v>
      </c>
      <c r="AS82">
        <v>24422.399999999994</v>
      </c>
      <c r="AT82">
        <v>73</v>
      </c>
      <c r="AU82">
        <v>37142.399999999994</v>
      </c>
      <c r="AV82">
        <v>68</v>
      </c>
      <c r="AW82">
        <v>34598.399999999994</v>
      </c>
      <c r="AX82">
        <v>39</v>
      </c>
      <c r="AY82">
        <v>19843.199999999997</v>
      </c>
      <c r="AZ82">
        <v>11</v>
      </c>
      <c r="BA82">
        <v>5596.7999999999993</v>
      </c>
      <c r="BB82">
        <v>16</v>
      </c>
      <c r="BC82">
        <v>8140.7999999999984</v>
      </c>
      <c r="BD82">
        <v>11</v>
      </c>
      <c r="BE82">
        <v>5596.7999999999993</v>
      </c>
      <c r="BF82">
        <v>13</v>
      </c>
      <c r="BG82">
        <v>6614.3999999999987</v>
      </c>
      <c r="BH82">
        <v>6</v>
      </c>
      <c r="BI82">
        <v>3052.7999999999993</v>
      </c>
      <c r="BJ82">
        <v>4</v>
      </c>
      <c r="BK82">
        <v>2035.1999999999996</v>
      </c>
      <c r="BL82">
        <v>6</v>
      </c>
      <c r="BM82">
        <v>3052.7999999999993</v>
      </c>
      <c r="BN82">
        <v>3</v>
      </c>
      <c r="BO82">
        <v>1526.3999999999996</v>
      </c>
      <c r="BP82">
        <v>11</v>
      </c>
      <c r="BQ82">
        <v>5596.7999999999993</v>
      </c>
      <c r="BR82">
        <v>8</v>
      </c>
      <c r="BS82">
        <v>4070.3999999999992</v>
      </c>
      <c r="BT82">
        <v>13</v>
      </c>
      <c r="BU82">
        <v>6614.3999999999987</v>
      </c>
      <c r="BV82">
        <v>12</v>
      </c>
      <c r="BW82">
        <v>6105.5999999999985</v>
      </c>
      <c r="BX82">
        <v>15</v>
      </c>
      <c r="BY82">
        <v>7631.9999999999982</v>
      </c>
      <c r="BZ82">
        <v>15</v>
      </c>
      <c r="CA82">
        <v>7631.9999999999982</v>
      </c>
      <c r="CB82">
        <v>18</v>
      </c>
      <c r="CC82">
        <v>9158.3999999999978</v>
      </c>
      <c r="CD82">
        <v>12</v>
      </c>
      <c r="CE82">
        <v>6105.5999999999985</v>
      </c>
      <c r="CF82">
        <v>4</v>
      </c>
      <c r="CG82">
        <v>2035.1999999999996</v>
      </c>
      <c r="CH82">
        <v>5</v>
      </c>
      <c r="CI82">
        <v>2543.9999999999995</v>
      </c>
      <c r="CJ82">
        <v>6</v>
      </c>
      <c r="CK82">
        <v>3052.7999999999993</v>
      </c>
      <c r="CL82">
        <v>6</v>
      </c>
      <c r="CM82">
        <v>3052.7999999999993</v>
      </c>
      <c r="CN82">
        <v>7</v>
      </c>
      <c r="CO82">
        <v>3561.5999999999995</v>
      </c>
      <c r="CP82">
        <v>6</v>
      </c>
      <c r="CQ82">
        <v>3052.7999999999993</v>
      </c>
      <c r="CR82">
        <v>7</v>
      </c>
      <c r="CS82">
        <v>3561.5999999999995</v>
      </c>
      <c r="CT82">
        <v>5</v>
      </c>
      <c r="CU82">
        <v>2543.9999999999995</v>
      </c>
    </row>
    <row r="83" spans="2:99" x14ac:dyDescent="0.2">
      <c r="C83" s="116" t="s">
        <v>249</v>
      </c>
      <c r="D83">
        <v>3</v>
      </c>
      <c r="E83">
        <v>2581.1999999999998</v>
      </c>
      <c r="F83">
        <v>2</v>
      </c>
      <c r="G83">
        <v>1720.8</v>
      </c>
      <c r="H83">
        <v>4</v>
      </c>
      <c r="I83">
        <v>3441.6</v>
      </c>
      <c r="J83">
        <v>4</v>
      </c>
      <c r="K83">
        <v>3441.6</v>
      </c>
      <c r="L83">
        <v>9</v>
      </c>
      <c r="M83">
        <v>7743.5999999999995</v>
      </c>
      <c r="N83">
        <v>7</v>
      </c>
      <c r="O83">
        <v>6022.8</v>
      </c>
      <c r="P83">
        <v>7</v>
      </c>
      <c r="Q83">
        <v>6022.8</v>
      </c>
      <c r="R83">
        <v>8</v>
      </c>
      <c r="S83">
        <v>6883.2</v>
      </c>
      <c r="T83">
        <v>31</v>
      </c>
      <c r="U83">
        <v>26672.399999999998</v>
      </c>
      <c r="V83">
        <v>34</v>
      </c>
      <c r="W83">
        <v>29253.599999999999</v>
      </c>
      <c r="X83">
        <v>21</v>
      </c>
      <c r="Y83">
        <v>18068.399999999998</v>
      </c>
      <c r="Z83">
        <v>20</v>
      </c>
      <c r="AA83">
        <v>17208</v>
      </c>
      <c r="AB83">
        <v>13</v>
      </c>
      <c r="AC83">
        <v>11185.199999999999</v>
      </c>
      <c r="AD83">
        <v>22</v>
      </c>
      <c r="AE83">
        <v>18928.8</v>
      </c>
      <c r="AF83">
        <v>26</v>
      </c>
      <c r="AG83">
        <v>22370.399999999998</v>
      </c>
      <c r="AH83">
        <v>23</v>
      </c>
      <c r="AI83">
        <v>19789.2</v>
      </c>
      <c r="AJ83">
        <v>14</v>
      </c>
      <c r="AK83">
        <v>12045.6</v>
      </c>
      <c r="AL83">
        <v>17</v>
      </c>
      <c r="AM83">
        <v>14626.8</v>
      </c>
      <c r="AN83">
        <v>13</v>
      </c>
      <c r="AO83">
        <v>11185.199999999999</v>
      </c>
      <c r="AP83">
        <v>21</v>
      </c>
      <c r="AQ83">
        <v>18068.399999999998</v>
      </c>
      <c r="AR83">
        <v>42</v>
      </c>
      <c r="AS83">
        <v>36136.799999999996</v>
      </c>
      <c r="AT83">
        <v>67</v>
      </c>
      <c r="AU83">
        <v>57646.799999999996</v>
      </c>
      <c r="AV83">
        <v>60</v>
      </c>
      <c r="AW83">
        <v>51624</v>
      </c>
      <c r="AX83">
        <v>32</v>
      </c>
      <c r="AY83">
        <v>27532.799999999999</v>
      </c>
      <c r="AZ83">
        <v>12</v>
      </c>
      <c r="BA83">
        <v>10324.799999999999</v>
      </c>
      <c r="BB83">
        <v>14</v>
      </c>
      <c r="BC83">
        <v>12045.6</v>
      </c>
      <c r="BD83">
        <v>11</v>
      </c>
      <c r="BE83">
        <v>9464.4</v>
      </c>
      <c r="BF83">
        <v>14</v>
      </c>
      <c r="BG83">
        <v>12045.6</v>
      </c>
      <c r="BH83">
        <v>6</v>
      </c>
      <c r="BI83">
        <v>5162.3999999999996</v>
      </c>
      <c r="BJ83">
        <v>3</v>
      </c>
      <c r="BK83">
        <v>2581.1999999999998</v>
      </c>
      <c r="BL83">
        <v>5</v>
      </c>
      <c r="BM83">
        <v>4302</v>
      </c>
      <c r="BN83">
        <v>4</v>
      </c>
      <c r="BO83">
        <v>3441.6</v>
      </c>
      <c r="BP83">
        <v>10</v>
      </c>
      <c r="BQ83">
        <v>8604</v>
      </c>
      <c r="BR83">
        <v>7</v>
      </c>
      <c r="BS83">
        <v>6022.8</v>
      </c>
      <c r="BT83">
        <v>13</v>
      </c>
      <c r="BU83">
        <v>11185.199999999999</v>
      </c>
      <c r="BV83">
        <v>11</v>
      </c>
      <c r="BW83">
        <v>9464.4</v>
      </c>
      <c r="BX83">
        <v>13</v>
      </c>
      <c r="BY83">
        <v>11185.199999999999</v>
      </c>
      <c r="BZ83">
        <v>16</v>
      </c>
      <c r="CA83">
        <v>13766.4</v>
      </c>
      <c r="CB83">
        <v>18</v>
      </c>
      <c r="CC83">
        <v>15487.199999999999</v>
      </c>
      <c r="CD83">
        <v>11</v>
      </c>
      <c r="CE83">
        <v>9464.4</v>
      </c>
      <c r="CF83">
        <v>4</v>
      </c>
      <c r="CG83">
        <v>3441.6</v>
      </c>
      <c r="CH83">
        <v>5</v>
      </c>
      <c r="CI83">
        <v>4302</v>
      </c>
      <c r="CJ83">
        <v>6</v>
      </c>
      <c r="CK83">
        <v>5162.3999999999996</v>
      </c>
      <c r="CL83">
        <v>6</v>
      </c>
      <c r="CM83">
        <v>5162.3999999999996</v>
      </c>
      <c r="CN83">
        <v>7</v>
      </c>
      <c r="CO83">
        <v>6022.8</v>
      </c>
      <c r="CP83">
        <v>7</v>
      </c>
      <c r="CQ83">
        <v>6022.8</v>
      </c>
      <c r="CR83">
        <v>7</v>
      </c>
      <c r="CS83">
        <v>6022.8</v>
      </c>
      <c r="CT83">
        <v>4</v>
      </c>
      <c r="CU83">
        <v>3441.6</v>
      </c>
    </row>
    <row r="84" spans="2:99" x14ac:dyDescent="0.2">
      <c r="C84" s="116" t="s">
        <v>250</v>
      </c>
      <c r="D84">
        <v>3</v>
      </c>
      <c r="E84">
        <v>2343.6</v>
      </c>
      <c r="F84">
        <v>3</v>
      </c>
      <c r="G84">
        <v>2343.6</v>
      </c>
      <c r="H84">
        <v>3</v>
      </c>
      <c r="I84">
        <v>2343.6</v>
      </c>
      <c r="J84">
        <v>4</v>
      </c>
      <c r="K84">
        <v>3124.7999999999997</v>
      </c>
      <c r="L84">
        <v>10</v>
      </c>
      <c r="M84">
        <v>7811.9999999999991</v>
      </c>
      <c r="N84">
        <v>7</v>
      </c>
      <c r="O84">
        <v>5468.4</v>
      </c>
      <c r="P84">
        <v>7</v>
      </c>
      <c r="Q84">
        <v>5468.4</v>
      </c>
      <c r="R84">
        <v>10</v>
      </c>
      <c r="S84">
        <v>7811.9999999999991</v>
      </c>
      <c r="T84">
        <v>32</v>
      </c>
      <c r="U84">
        <v>24998.399999999998</v>
      </c>
      <c r="V84">
        <v>31</v>
      </c>
      <c r="W84">
        <v>24217.199999999997</v>
      </c>
      <c r="X84">
        <v>22</v>
      </c>
      <c r="Y84">
        <v>17186.399999999998</v>
      </c>
      <c r="Z84">
        <v>21</v>
      </c>
      <c r="AA84">
        <v>16405.199999999997</v>
      </c>
      <c r="AB84">
        <v>12</v>
      </c>
      <c r="AC84">
        <v>9374.4</v>
      </c>
      <c r="AD84">
        <v>21</v>
      </c>
      <c r="AE84">
        <v>16405.199999999997</v>
      </c>
      <c r="AF84">
        <v>23</v>
      </c>
      <c r="AG84">
        <v>17967.599999999999</v>
      </c>
      <c r="AH84">
        <v>26</v>
      </c>
      <c r="AI84">
        <v>20311.199999999997</v>
      </c>
      <c r="AJ84">
        <v>16</v>
      </c>
      <c r="AK84">
        <v>12499.199999999999</v>
      </c>
      <c r="AL84">
        <v>14</v>
      </c>
      <c r="AM84">
        <v>10936.8</v>
      </c>
      <c r="AN84">
        <v>15</v>
      </c>
      <c r="AO84">
        <v>11717.999999999998</v>
      </c>
      <c r="AP84">
        <v>20</v>
      </c>
      <c r="AQ84">
        <v>15623.999999999998</v>
      </c>
      <c r="AR84">
        <v>44</v>
      </c>
      <c r="AS84">
        <v>34372.799999999996</v>
      </c>
      <c r="AT84">
        <v>68</v>
      </c>
      <c r="AU84">
        <v>53121.599999999999</v>
      </c>
      <c r="AV84">
        <v>67</v>
      </c>
      <c r="AW84">
        <v>52340.399999999994</v>
      </c>
      <c r="AX84">
        <v>34</v>
      </c>
      <c r="AY84">
        <v>26560.799999999999</v>
      </c>
      <c r="AZ84">
        <v>11</v>
      </c>
      <c r="BA84">
        <v>8593.1999999999989</v>
      </c>
      <c r="BB84">
        <v>14</v>
      </c>
      <c r="BC84">
        <v>10936.8</v>
      </c>
      <c r="BD84">
        <v>11</v>
      </c>
      <c r="BE84">
        <v>8593.1999999999989</v>
      </c>
      <c r="BF84">
        <v>12</v>
      </c>
      <c r="BG84">
        <v>9374.4</v>
      </c>
      <c r="BH84">
        <v>5</v>
      </c>
      <c r="BI84">
        <v>3905.9999999999995</v>
      </c>
      <c r="BJ84">
        <v>3</v>
      </c>
      <c r="BK84">
        <v>2343.6</v>
      </c>
      <c r="BL84">
        <v>5</v>
      </c>
      <c r="BM84">
        <v>3905.9999999999995</v>
      </c>
      <c r="BN84">
        <v>3</v>
      </c>
      <c r="BO84">
        <v>2343.6</v>
      </c>
      <c r="BP84">
        <v>10</v>
      </c>
      <c r="BQ84">
        <v>7811.9999999999991</v>
      </c>
      <c r="BR84">
        <v>8</v>
      </c>
      <c r="BS84">
        <v>6249.5999999999995</v>
      </c>
      <c r="BT84">
        <v>12</v>
      </c>
      <c r="BU84">
        <v>9374.4</v>
      </c>
      <c r="BV84">
        <v>10</v>
      </c>
      <c r="BW84">
        <v>7811.9999999999991</v>
      </c>
      <c r="BX84">
        <v>13</v>
      </c>
      <c r="BY84">
        <v>10155.599999999999</v>
      </c>
      <c r="BZ84">
        <v>17</v>
      </c>
      <c r="CA84">
        <v>13280.4</v>
      </c>
      <c r="CB84">
        <v>18</v>
      </c>
      <c r="CC84">
        <v>14061.599999999999</v>
      </c>
      <c r="CD84">
        <v>12</v>
      </c>
      <c r="CE84">
        <v>9374.4</v>
      </c>
      <c r="CF84">
        <v>4</v>
      </c>
      <c r="CG84">
        <v>3124.7999999999997</v>
      </c>
      <c r="CH84">
        <v>5</v>
      </c>
      <c r="CI84">
        <v>3905.9999999999995</v>
      </c>
      <c r="CJ84">
        <v>6</v>
      </c>
      <c r="CK84">
        <v>4687.2</v>
      </c>
      <c r="CL84">
        <v>6</v>
      </c>
      <c r="CM84">
        <v>4687.2</v>
      </c>
      <c r="CN84">
        <v>6</v>
      </c>
      <c r="CO84">
        <v>4687.2</v>
      </c>
      <c r="CP84">
        <v>7</v>
      </c>
      <c r="CQ84">
        <v>5468.4</v>
      </c>
      <c r="CR84">
        <v>6</v>
      </c>
      <c r="CS84">
        <v>4687.2</v>
      </c>
      <c r="CT84">
        <v>5</v>
      </c>
      <c r="CU84">
        <v>3905.9999999999995</v>
      </c>
    </row>
    <row r="85" spans="2:99" x14ac:dyDescent="0.2">
      <c r="C85" s="116" t="s">
        <v>251</v>
      </c>
      <c r="D85">
        <v>3</v>
      </c>
      <c r="E85">
        <v>450</v>
      </c>
      <c r="F85">
        <v>2</v>
      </c>
      <c r="G85">
        <v>300</v>
      </c>
      <c r="H85">
        <v>4</v>
      </c>
      <c r="I85">
        <v>600</v>
      </c>
      <c r="J85">
        <v>4</v>
      </c>
      <c r="K85">
        <v>600</v>
      </c>
      <c r="L85">
        <v>11</v>
      </c>
      <c r="M85">
        <v>1650</v>
      </c>
      <c r="N85">
        <v>7</v>
      </c>
      <c r="O85">
        <v>1050</v>
      </c>
      <c r="P85">
        <v>8</v>
      </c>
      <c r="Q85">
        <v>1200</v>
      </c>
      <c r="R85">
        <v>9</v>
      </c>
      <c r="S85">
        <v>1350</v>
      </c>
      <c r="T85">
        <v>30</v>
      </c>
      <c r="U85">
        <v>4500</v>
      </c>
      <c r="V85">
        <v>33</v>
      </c>
      <c r="W85">
        <v>4950</v>
      </c>
      <c r="X85">
        <v>26</v>
      </c>
      <c r="Y85">
        <v>3900</v>
      </c>
      <c r="Z85">
        <v>24</v>
      </c>
      <c r="AA85">
        <v>3600</v>
      </c>
      <c r="AB85">
        <v>14</v>
      </c>
      <c r="AC85">
        <v>2100</v>
      </c>
      <c r="AD85">
        <v>26</v>
      </c>
      <c r="AE85">
        <v>3900</v>
      </c>
      <c r="AF85">
        <v>26</v>
      </c>
      <c r="AG85">
        <v>3900</v>
      </c>
      <c r="AH85">
        <v>26</v>
      </c>
      <c r="AI85">
        <v>3900</v>
      </c>
      <c r="AJ85">
        <v>15</v>
      </c>
      <c r="AK85">
        <v>2250</v>
      </c>
      <c r="AL85">
        <v>16</v>
      </c>
      <c r="AM85">
        <v>2400</v>
      </c>
      <c r="AN85">
        <v>16</v>
      </c>
      <c r="AO85">
        <v>2400</v>
      </c>
      <c r="AP85">
        <v>25</v>
      </c>
      <c r="AQ85">
        <v>3750</v>
      </c>
      <c r="AR85">
        <v>50</v>
      </c>
      <c r="AS85">
        <v>7500</v>
      </c>
      <c r="AT85">
        <v>78</v>
      </c>
      <c r="AU85">
        <v>11700</v>
      </c>
      <c r="AV85">
        <v>69</v>
      </c>
      <c r="AW85">
        <v>10350</v>
      </c>
      <c r="AX85">
        <v>45</v>
      </c>
      <c r="AY85">
        <v>6750</v>
      </c>
      <c r="AZ85">
        <v>12</v>
      </c>
      <c r="BA85">
        <v>1800</v>
      </c>
      <c r="BB85">
        <v>16</v>
      </c>
      <c r="BC85">
        <v>2400</v>
      </c>
      <c r="BD85">
        <v>11</v>
      </c>
      <c r="BE85">
        <v>1650</v>
      </c>
      <c r="BF85">
        <v>15</v>
      </c>
      <c r="BG85">
        <v>2250</v>
      </c>
      <c r="BH85">
        <v>6</v>
      </c>
      <c r="BI85">
        <v>900</v>
      </c>
      <c r="BJ85">
        <v>4</v>
      </c>
      <c r="BK85">
        <v>600</v>
      </c>
      <c r="BL85">
        <v>5</v>
      </c>
      <c r="BM85">
        <v>750</v>
      </c>
      <c r="BN85">
        <v>4</v>
      </c>
      <c r="BO85">
        <v>600</v>
      </c>
      <c r="BP85">
        <v>10</v>
      </c>
      <c r="BQ85">
        <v>1500</v>
      </c>
      <c r="BR85">
        <v>9</v>
      </c>
      <c r="BS85">
        <v>1350</v>
      </c>
      <c r="BT85">
        <v>12</v>
      </c>
      <c r="BU85">
        <v>1800</v>
      </c>
      <c r="BV85">
        <v>11</v>
      </c>
      <c r="BW85">
        <v>1650</v>
      </c>
      <c r="BX85">
        <v>16</v>
      </c>
      <c r="BY85">
        <v>2400</v>
      </c>
      <c r="BZ85">
        <v>16</v>
      </c>
      <c r="CA85">
        <v>2400</v>
      </c>
      <c r="CB85">
        <v>18</v>
      </c>
      <c r="CC85">
        <v>2700</v>
      </c>
      <c r="CD85">
        <v>14</v>
      </c>
      <c r="CE85">
        <v>2100</v>
      </c>
      <c r="CF85">
        <v>4</v>
      </c>
      <c r="CG85">
        <v>600</v>
      </c>
      <c r="CH85">
        <v>5</v>
      </c>
      <c r="CI85">
        <v>750</v>
      </c>
      <c r="CJ85">
        <v>5</v>
      </c>
      <c r="CK85">
        <v>750</v>
      </c>
      <c r="CL85">
        <v>6</v>
      </c>
      <c r="CM85">
        <v>900</v>
      </c>
      <c r="CN85">
        <v>6</v>
      </c>
      <c r="CO85">
        <v>900</v>
      </c>
      <c r="CP85">
        <v>6</v>
      </c>
      <c r="CQ85">
        <v>900</v>
      </c>
      <c r="CR85">
        <v>6</v>
      </c>
      <c r="CS85">
        <v>900</v>
      </c>
      <c r="CT85">
        <v>5</v>
      </c>
      <c r="CU85">
        <v>750</v>
      </c>
    </row>
    <row r="86" spans="2:99" x14ac:dyDescent="0.2">
      <c r="C86" s="116" t="s">
        <v>252</v>
      </c>
      <c r="D86">
        <v>3</v>
      </c>
      <c r="E86">
        <v>1620</v>
      </c>
      <c r="F86">
        <v>2</v>
      </c>
      <c r="G86">
        <v>1080</v>
      </c>
      <c r="H86">
        <v>4</v>
      </c>
      <c r="I86">
        <v>2160</v>
      </c>
      <c r="J86">
        <v>4</v>
      </c>
      <c r="K86">
        <v>2160</v>
      </c>
      <c r="L86">
        <v>9</v>
      </c>
      <c r="M86">
        <v>4860</v>
      </c>
      <c r="N86">
        <v>7</v>
      </c>
      <c r="O86">
        <v>3780</v>
      </c>
      <c r="P86">
        <v>6</v>
      </c>
      <c r="Q86">
        <v>3240</v>
      </c>
      <c r="R86">
        <v>9</v>
      </c>
      <c r="S86">
        <v>4860</v>
      </c>
      <c r="T86">
        <v>29</v>
      </c>
      <c r="U86">
        <v>15660</v>
      </c>
      <c r="V86">
        <v>30</v>
      </c>
      <c r="W86">
        <v>16200</v>
      </c>
      <c r="X86">
        <v>23</v>
      </c>
      <c r="Y86">
        <v>12420</v>
      </c>
      <c r="Z86">
        <v>21</v>
      </c>
      <c r="AA86">
        <v>11340</v>
      </c>
      <c r="AB86">
        <v>14</v>
      </c>
      <c r="AC86">
        <v>7560</v>
      </c>
      <c r="AD86">
        <v>22</v>
      </c>
      <c r="AE86">
        <v>11880</v>
      </c>
      <c r="AF86">
        <v>28</v>
      </c>
      <c r="AG86">
        <v>15120</v>
      </c>
      <c r="AH86">
        <v>24</v>
      </c>
      <c r="AI86">
        <v>12960</v>
      </c>
      <c r="AJ86">
        <v>15</v>
      </c>
      <c r="AK86">
        <v>8100</v>
      </c>
      <c r="AL86">
        <v>15</v>
      </c>
      <c r="AM86">
        <v>8100</v>
      </c>
      <c r="AN86">
        <v>14</v>
      </c>
      <c r="AO86">
        <v>7560</v>
      </c>
      <c r="AP86">
        <v>20</v>
      </c>
      <c r="AQ86">
        <v>10800</v>
      </c>
      <c r="AR86">
        <v>46</v>
      </c>
      <c r="AS86">
        <v>24840</v>
      </c>
      <c r="AT86">
        <v>67</v>
      </c>
      <c r="AU86">
        <v>36180</v>
      </c>
      <c r="AV86">
        <v>71</v>
      </c>
      <c r="AW86">
        <v>38340</v>
      </c>
      <c r="AX86">
        <v>36</v>
      </c>
      <c r="AY86">
        <v>19440</v>
      </c>
      <c r="AZ86">
        <v>11</v>
      </c>
      <c r="BA86">
        <v>5940</v>
      </c>
      <c r="BB86">
        <v>16</v>
      </c>
      <c r="BC86">
        <v>8640</v>
      </c>
      <c r="BD86">
        <v>11</v>
      </c>
      <c r="BE86">
        <v>5940</v>
      </c>
      <c r="BF86">
        <v>13</v>
      </c>
      <c r="BG86">
        <v>7020</v>
      </c>
      <c r="BH86">
        <v>6</v>
      </c>
      <c r="BI86">
        <v>3240</v>
      </c>
      <c r="BJ86">
        <v>3</v>
      </c>
      <c r="BK86">
        <v>1620</v>
      </c>
      <c r="BL86">
        <v>6</v>
      </c>
      <c r="BM86">
        <v>3240</v>
      </c>
      <c r="BN86">
        <v>4</v>
      </c>
      <c r="BO86">
        <v>2160</v>
      </c>
      <c r="BP86">
        <v>11</v>
      </c>
      <c r="BQ86">
        <v>5940</v>
      </c>
      <c r="BR86">
        <v>7</v>
      </c>
      <c r="BS86">
        <v>3780</v>
      </c>
      <c r="BT86">
        <v>12</v>
      </c>
      <c r="BU86">
        <v>6480</v>
      </c>
      <c r="BV86">
        <v>10</v>
      </c>
      <c r="BW86">
        <v>5400</v>
      </c>
      <c r="BX86">
        <v>13</v>
      </c>
      <c r="BY86">
        <v>7020</v>
      </c>
      <c r="BZ86">
        <v>15</v>
      </c>
      <c r="CA86">
        <v>8100</v>
      </c>
      <c r="CB86">
        <v>16</v>
      </c>
      <c r="CC86">
        <v>8640</v>
      </c>
      <c r="CD86">
        <v>13</v>
      </c>
      <c r="CE86">
        <v>7020</v>
      </c>
      <c r="CF86">
        <v>4</v>
      </c>
      <c r="CG86">
        <v>2160</v>
      </c>
      <c r="CH86">
        <v>5</v>
      </c>
      <c r="CI86">
        <v>2700</v>
      </c>
      <c r="CJ86">
        <v>6</v>
      </c>
      <c r="CK86">
        <v>3240</v>
      </c>
      <c r="CL86">
        <v>7</v>
      </c>
      <c r="CM86">
        <v>3780</v>
      </c>
      <c r="CN86">
        <v>7</v>
      </c>
      <c r="CO86">
        <v>3780</v>
      </c>
      <c r="CP86">
        <v>6</v>
      </c>
      <c r="CQ86">
        <v>3240</v>
      </c>
      <c r="CR86">
        <v>6</v>
      </c>
      <c r="CS86">
        <v>3240</v>
      </c>
      <c r="CT86">
        <v>5</v>
      </c>
      <c r="CU86">
        <v>2700</v>
      </c>
    </row>
    <row r="87" spans="2:99" x14ac:dyDescent="0.2">
      <c r="B87" s="116" t="s">
        <v>131</v>
      </c>
      <c r="C87" s="116" t="s">
        <v>253</v>
      </c>
      <c r="D87">
        <v>12</v>
      </c>
      <c r="E87">
        <v>23457.599999999999</v>
      </c>
      <c r="F87">
        <v>15</v>
      </c>
      <c r="G87">
        <v>29322</v>
      </c>
      <c r="H87">
        <v>16</v>
      </c>
      <c r="I87">
        <v>31276.799999999999</v>
      </c>
      <c r="J87">
        <v>23</v>
      </c>
      <c r="K87">
        <v>44960.4</v>
      </c>
      <c r="L87">
        <v>5</v>
      </c>
      <c r="M87">
        <v>9774</v>
      </c>
      <c r="N87">
        <v>5</v>
      </c>
      <c r="O87">
        <v>9774</v>
      </c>
      <c r="P87">
        <v>3</v>
      </c>
      <c r="Q87">
        <v>5864.4</v>
      </c>
      <c r="R87">
        <v>4</v>
      </c>
      <c r="S87">
        <v>7819.2</v>
      </c>
      <c r="T87">
        <v>10</v>
      </c>
      <c r="U87">
        <v>19548</v>
      </c>
      <c r="V87">
        <v>11</v>
      </c>
      <c r="W87">
        <v>21502.799999999999</v>
      </c>
      <c r="X87">
        <v>10</v>
      </c>
      <c r="Y87">
        <v>19548</v>
      </c>
      <c r="Z87">
        <v>9</v>
      </c>
      <c r="AA87">
        <v>17593.2</v>
      </c>
      <c r="AB87">
        <v>10</v>
      </c>
      <c r="AC87">
        <v>19548</v>
      </c>
      <c r="AD87">
        <v>12</v>
      </c>
      <c r="AE87">
        <v>23457.599999999999</v>
      </c>
      <c r="AF87">
        <v>14</v>
      </c>
      <c r="AG87">
        <v>27367.200000000001</v>
      </c>
      <c r="AH87">
        <v>16</v>
      </c>
      <c r="AI87">
        <v>31276.799999999999</v>
      </c>
      <c r="AJ87">
        <v>13</v>
      </c>
      <c r="AK87">
        <v>25412.399999999998</v>
      </c>
      <c r="AL87">
        <v>17</v>
      </c>
      <c r="AM87">
        <v>33231.599999999999</v>
      </c>
      <c r="AN87">
        <v>16</v>
      </c>
      <c r="AO87">
        <v>31276.799999999999</v>
      </c>
      <c r="AP87">
        <v>11</v>
      </c>
      <c r="AQ87">
        <v>21502.799999999999</v>
      </c>
      <c r="AR87">
        <v>6</v>
      </c>
      <c r="AS87">
        <v>11728.8</v>
      </c>
      <c r="AT87">
        <v>8</v>
      </c>
      <c r="AU87">
        <v>15638.4</v>
      </c>
      <c r="AV87">
        <v>10</v>
      </c>
      <c r="AW87">
        <v>19548</v>
      </c>
      <c r="AX87">
        <v>8</v>
      </c>
      <c r="AY87">
        <v>15638.4</v>
      </c>
      <c r="AZ87">
        <v>6</v>
      </c>
      <c r="BA87">
        <v>11728.8</v>
      </c>
      <c r="BB87">
        <v>6</v>
      </c>
      <c r="BC87">
        <v>11728.8</v>
      </c>
      <c r="BD87">
        <v>7</v>
      </c>
      <c r="BE87">
        <v>13683.6</v>
      </c>
      <c r="BF87">
        <v>6</v>
      </c>
      <c r="BG87">
        <v>11728.8</v>
      </c>
      <c r="BH87">
        <v>6</v>
      </c>
      <c r="BI87">
        <v>11728.8</v>
      </c>
      <c r="BJ87">
        <v>9</v>
      </c>
      <c r="BK87">
        <v>17593.2</v>
      </c>
      <c r="BL87">
        <v>6</v>
      </c>
      <c r="BM87">
        <v>11728.8</v>
      </c>
      <c r="BN87">
        <v>6</v>
      </c>
      <c r="BO87">
        <v>11728.8</v>
      </c>
      <c r="BP87">
        <v>36</v>
      </c>
      <c r="BQ87">
        <v>70372.800000000003</v>
      </c>
      <c r="BR87">
        <v>47</v>
      </c>
      <c r="BS87">
        <v>91875.599999999991</v>
      </c>
      <c r="BT87">
        <v>40</v>
      </c>
      <c r="BU87">
        <v>78192</v>
      </c>
      <c r="BV87">
        <v>38</v>
      </c>
      <c r="BW87">
        <v>74282.399999999994</v>
      </c>
      <c r="BX87">
        <v>5</v>
      </c>
      <c r="BY87">
        <v>9774</v>
      </c>
      <c r="BZ87">
        <v>4</v>
      </c>
      <c r="CA87">
        <v>7819.2</v>
      </c>
      <c r="CB87">
        <v>7</v>
      </c>
      <c r="CC87">
        <v>13683.6</v>
      </c>
      <c r="CD87">
        <v>5</v>
      </c>
      <c r="CE87">
        <v>9774</v>
      </c>
      <c r="CF87">
        <v>4</v>
      </c>
      <c r="CG87">
        <v>7819.2</v>
      </c>
      <c r="CH87">
        <v>7</v>
      </c>
      <c r="CI87">
        <v>13683.6</v>
      </c>
      <c r="CJ87">
        <v>6</v>
      </c>
      <c r="CK87">
        <v>11728.8</v>
      </c>
      <c r="CL87">
        <v>4</v>
      </c>
      <c r="CM87">
        <v>7819.2</v>
      </c>
      <c r="CN87">
        <v>8</v>
      </c>
      <c r="CO87">
        <v>15638.4</v>
      </c>
      <c r="CP87">
        <v>9</v>
      </c>
      <c r="CQ87">
        <v>17593.2</v>
      </c>
      <c r="CR87">
        <v>6</v>
      </c>
      <c r="CS87">
        <v>11728.8</v>
      </c>
      <c r="CT87">
        <v>5</v>
      </c>
      <c r="CU87">
        <v>9774</v>
      </c>
    </row>
    <row r="88" spans="2:99" x14ac:dyDescent="0.2">
      <c r="C88" s="116" t="s">
        <v>254</v>
      </c>
      <c r="D88">
        <v>14</v>
      </c>
      <c r="E88">
        <v>26493.599999999999</v>
      </c>
      <c r="F88">
        <v>15</v>
      </c>
      <c r="G88">
        <v>28385.999999999996</v>
      </c>
      <c r="H88">
        <v>14</v>
      </c>
      <c r="I88">
        <v>26493.599999999999</v>
      </c>
      <c r="J88">
        <v>28</v>
      </c>
      <c r="K88">
        <v>52987.199999999997</v>
      </c>
      <c r="L88">
        <v>6</v>
      </c>
      <c r="M88">
        <v>11354.4</v>
      </c>
      <c r="N88">
        <v>5</v>
      </c>
      <c r="O88">
        <v>9462</v>
      </c>
      <c r="P88">
        <v>3</v>
      </c>
      <c r="Q88">
        <v>5677.2</v>
      </c>
      <c r="R88">
        <v>4</v>
      </c>
      <c r="S88">
        <v>7569.5999999999995</v>
      </c>
      <c r="T88">
        <v>11</v>
      </c>
      <c r="U88">
        <v>20816.399999999998</v>
      </c>
      <c r="V88">
        <v>10</v>
      </c>
      <c r="W88">
        <v>18924</v>
      </c>
      <c r="X88">
        <v>9</v>
      </c>
      <c r="Y88">
        <v>17031.599999999999</v>
      </c>
      <c r="Z88">
        <v>9</v>
      </c>
      <c r="AA88">
        <v>17031.599999999999</v>
      </c>
      <c r="AB88">
        <v>10</v>
      </c>
      <c r="AC88">
        <v>18924</v>
      </c>
      <c r="AD88">
        <v>12</v>
      </c>
      <c r="AE88">
        <v>22708.799999999999</v>
      </c>
      <c r="AF88">
        <v>13</v>
      </c>
      <c r="AG88">
        <v>24601.199999999997</v>
      </c>
      <c r="AH88">
        <v>16</v>
      </c>
      <c r="AI88">
        <v>30278.399999999998</v>
      </c>
      <c r="AJ88">
        <v>12</v>
      </c>
      <c r="AK88">
        <v>22708.799999999999</v>
      </c>
      <c r="AL88">
        <v>17</v>
      </c>
      <c r="AM88">
        <v>32170.799999999999</v>
      </c>
      <c r="AN88">
        <v>16</v>
      </c>
      <c r="AO88">
        <v>30278.399999999998</v>
      </c>
      <c r="AP88">
        <v>13</v>
      </c>
      <c r="AQ88">
        <v>24601.199999999997</v>
      </c>
      <c r="AR88">
        <v>6</v>
      </c>
      <c r="AS88">
        <v>11354.4</v>
      </c>
      <c r="AT88">
        <v>8</v>
      </c>
      <c r="AU88">
        <v>15139.199999999999</v>
      </c>
      <c r="AV88">
        <v>10</v>
      </c>
      <c r="AW88">
        <v>18924</v>
      </c>
      <c r="AX88">
        <v>9</v>
      </c>
      <c r="AY88">
        <v>17031.599999999999</v>
      </c>
      <c r="AZ88">
        <v>6</v>
      </c>
      <c r="BA88">
        <v>11354.4</v>
      </c>
      <c r="BB88">
        <v>6</v>
      </c>
      <c r="BC88">
        <v>11354.4</v>
      </c>
      <c r="BD88">
        <v>6</v>
      </c>
      <c r="BE88">
        <v>11354.4</v>
      </c>
      <c r="BF88">
        <v>7</v>
      </c>
      <c r="BG88">
        <v>13246.8</v>
      </c>
      <c r="BH88">
        <v>5</v>
      </c>
      <c r="BI88">
        <v>9462</v>
      </c>
      <c r="BJ88">
        <v>10</v>
      </c>
      <c r="BK88">
        <v>18924</v>
      </c>
      <c r="BL88">
        <v>8</v>
      </c>
      <c r="BM88">
        <v>15139.199999999999</v>
      </c>
      <c r="BN88">
        <v>6</v>
      </c>
      <c r="BO88">
        <v>11354.4</v>
      </c>
      <c r="BP88">
        <v>36</v>
      </c>
      <c r="BQ88">
        <v>68126.399999999994</v>
      </c>
      <c r="BR88">
        <v>49</v>
      </c>
      <c r="BS88">
        <v>92727.599999999991</v>
      </c>
      <c r="BT88">
        <v>48</v>
      </c>
      <c r="BU88">
        <v>90835.199999999997</v>
      </c>
      <c r="BV88">
        <v>40</v>
      </c>
      <c r="BW88">
        <v>75696</v>
      </c>
      <c r="BX88">
        <v>5</v>
      </c>
      <c r="BY88">
        <v>9462</v>
      </c>
      <c r="BZ88">
        <v>4</v>
      </c>
      <c r="CA88">
        <v>7569.5999999999995</v>
      </c>
      <c r="CB88">
        <v>7</v>
      </c>
      <c r="CC88">
        <v>13246.8</v>
      </c>
      <c r="CD88">
        <v>4</v>
      </c>
      <c r="CE88">
        <v>7569.5999999999995</v>
      </c>
      <c r="CF88">
        <v>5</v>
      </c>
      <c r="CG88">
        <v>9462</v>
      </c>
      <c r="CH88">
        <v>7</v>
      </c>
      <c r="CI88">
        <v>13246.8</v>
      </c>
      <c r="CJ88">
        <v>7</v>
      </c>
      <c r="CK88">
        <v>13246.8</v>
      </c>
      <c r="CL88">
        <v>4</v>
      </c>
      <c r="CM88">
        <v>7569.5999999999995</v>
      </c>
      <c r="CN88">
        <v>7</v>
      </c>
      <c r="CO88">
        <v>13246.8</v>
      </c>
      <c r="CP88">
        <v>8</v>
      </c>
      <c r="CQ88">
        <v>15139.199999999999</v>
      </c>
      <c r="CR88">
        <v>6</v>
      </c>
      <c r="CS88">
        <v>11354.4</v>
      </c>
      <c r="CT88">
        <v>5</v>
      </c>
      <c r="CU88">
        <v>9462</v>
      </c>
    </row>
    <row r="89" spans="2:99" x14ac:dyDescent="0.2">
      <c r="C89" s="116" t="s">
        <v>255</v>
      </c>
      <c r="D89">
        <v>13</v>
      </c>
      <c r="E89">
        <v>31168.799999999999</v>
      </c>
      <c r="F89">
        <v>13</v>
      </c>
      <c r="G89">
        <v>31168.799999999999</v>
      </c>
      <c r="H89">
        <v>14</v>
      </c>
      <c r="I89">
        <v>33566.400000000001</v>
      </c>
      <c r="J89">
        <v>26</v>
      </c>
      <c r="K89">
        <v>62337.599999999999</v>
      </c>
      <c r="L89">
        <v>5</v>
      </c>
      <c r="M89">
        <v>11988</v>
      </c>
      <c r="N89">
        <v>4</v>
      </c>
      <c r="O89">
        <v>9590.4</v>
      </c>
      <c r="P89">
        <v>3</v>
      </c>
      <c r="Q89">
        <v>7192.7999999999993</v>
      </c>
      <c r="R89">
        <v>4</v>
      </c>
      <c r="S89">
        <v>9590.4</v>
      </c>
      <c r="T89">
        <v>9</v>
      </c>
      <c r="U89">
        <v>21578.399999999998</v>
      </c>
      <c r="V89">
        <v>10</v>
      </c>
      <c r="W89">
        <v>23976</v>
      </c>
      <c r="X89">
        <v>8</v>
      </c>
      <c r="Y89">
        <v>19180.8</v>
      </c>
      <c r="Z89">
        <v>8</v>
      </c>
      <c r="AA89">
        <v>19180.8</v>
      </c>
      <c r="AB89">
        <v>11</v>
      </c>
      <c r="AC89">
        <v>26373.599999999999</v>
      </c>
      <c r="AD89">
        <v>12</v>
      </c>
      <c r="AE89">
        <v>28771.199999999997</v>
      </c>
      <c r="AF89">
        <v>13</v>
      </c>
      <c r="AG89">
        <v>31168.799999999999</v>
      </c>
      <c r="AH89">
        <v>14</v>
      </c>
      <c r="AI89">
        <v>33566.400000000001</v>
      </c>
      <c r="AJ89">
        <v>11</v>
      </c>
      <c r="AK89">
        <v>26373.599999999999</v>
      </c>
      <c r="AL89">
        <v>14</v>
      </c>
      <c r="AM89">
        <v>33566.400000000001</v>
      </c>
      <c r="AN89">
        <v>13</v>
      </c>
      <c r="AO89">
        <v>31168.799999999999</v>
      </c>
      <c r="AP89">
        <v>11</v>
      </c>
      <c r="AQ89">
        <v>26373.599999999999</v>
      </c>
      <c r="AR89">
        <v>5</v>
      </c>
      <c r="AS89">
        <v>11988</v>
      </c>
      <c r="AT89">
        <v>8</v>
      </c>
      <c r="AU89">
        <v>19180.8</v>
      </c>
      <c r="AV89">
        <v>9</v>
      </c>
      <c r="AW89">
        <v>21578.399999999998</v>
      </c>
      <c r="AX89">
        <v>10</v>
      </c>
      <c r="AY89">
        <v>23976</v>
      </c>
      <c r="AZ89">
        <v>6</v>
      </c>
      <c r="BA89">
        <v>14385.599999999999</v>
      </c>
      <c r="BB89">
        <v>6</v>
      </c>
      <c r="BC89">
        <v>14385.599999999999</v>
      </c>
      <c r="BD89">
        <v>7</v>
      </c>
      <c r="BE89">
        <v>16783.2</v>
      </c>
      <c r="BF89">
        <v>7</v>
      </c>
      <c r="BG89">
        <v>16783.2</v>
      </c>
      <c r="BH89">
        <v>5</v>
      </c>
      <c r="BI89">
        <v>11988</v>
      </c>
      <c r="BJ89">
        <v>10</v>
      </c>
      <c r="BK89">
        <v>23976</v>
      </c>
      <c r="BL89">
        <v>7</v>
      </c>
      <c r="BM89">
        <v>16783.2</v>
      </c>
      <c r="BN89">
        <v>6</v>
      </c>
      <c r="BO89">
        <v>14385.599999999999</v>
      </c>
      <c r="BP89">
        <v>35</v>
      </c>
      <c r="BQ89">
        <v>83916</v>
      </c>
      <c r="BR89">
        <v>45</v>
      </c>
      <c r="BS89">
        <v>107892</v>
      </c>
      <c r="BT89">
        <v>39</v>
      </c>
      <c r="BU89">
        <v>93506.4</v>
      </c>
      <c r="BV89">
        <v>37</v>
      </c>
      <c r="BW89">
        <v>88711.2</v>
      </c>
      <c r="BX89">
        <v>5</v>
      </c>
      <c r="BY89">
        <v>11988</v>
      </c>
      <c r="BZ89">
        <v>5</v>
      </c>
      <c r="CA89">
        <v>11988</v>
      </c>
      <c r="CB89">
        <v>7</v>
      </c>
      <c r="CC89">
        <v>16783.2</v>
      </c>
      <c r="CD89">
        <v>5</v>
      </c>
      <c r="CE89">
        <v>11988</v>
      </c>
      <c r="CF89">
        <v>5</v>
      </c>
      <c r="CG89">
        <v>11988</v>
      </c>
      <c r="CH89">
        <v>6</v>
      </c>
      <c r="CI89">
        <v>14385.599999999999</v>
      </c>
      <c r="CJ89">
        <v>6</v>
      </c>
      <c r="CK89">
        <v>14385.599999999999</v>
      </c>
      <c r="CL89">
        <v>4</v>
      </c>
      <c r="CM89">
        <v>9590.4</v>
      </c>
      <c r="CN89">
        <v>7</v>
      </c>
      <c r="CO89">
        <v>16783.2</v>
      </c>
      <c r="CP89">
        <v>8</v>
      </c>
      <c r="CQ89">
        <v>19180.8</v>
      </c>
      <c r="CR89">
        <v>6</v>
      </c>
      <c r="CS89">
        <v>14385.599999999999</v>
      </c>
      <c r="CT89">
        <v>5</v>
      </c>
      <c r="CU89">
        <v>11988</v>
      </c>
    </row>
    <row r="90" spans="2:99" x14ac:dyDescent="0.2">
      <c r="C90" s="116" t="s">
        <v>256</v>
      </c>
      <c r="D90">
        <v>13</v>
      </c>
      <c r="E90">
        <v>28563.599999999999</v>
      </c>
      <c r="F90">
        <v>13</v>
      </c>
      <c r="G90">
        <v>28563.599999999999</v>
      </c>
      <c r="H90">
        <v>14</v>
      </c>
      <c r="I90">
        <v>30760.799999999996</v>
      </c>
      <c r="J90">
        <v>24</v>
      </c>
      <c r="K90">
        <v>52732.799999999996</v>
      </c>
      <c r="L90">
        <v>5</v>
      </c>
      <c r="M90">
        <v>10986</v>
      </c>
      <c r="N90">
        <v>4</v>
      </c>
      <c r="O90">
        <v>8788.7999999999993</v>
      </c>
      <c r="P90">
        <v>3</v>
      </c>
      <c r="Q90">
        <v>6591.5999999999995</v>
      </c>
      <c r="R90">
        <v>4</v>
      </c>
      <c r="S90">
        <v>8788.7999999999993</v>
      </c>
      <c r="T90">
        <v>10</v>
      </c>
      <c r="U90">
        <v>21972</v>
      </c>
      <c r="V90">
        <v>10</v>
      </c>
      <c r="W90">
        <v>21972</v>
      </c>
      <c r="X90">
        <v>10</v>
      </c>
      <c r="Y90">
        <v>21972</v>
      </c>
      <c r="Z90">
        <v>8</v>
      </c>
      <c r="AA90">
        <v>17577.599999999999</v>
      </c>
      <c r="AB90">
        <v>11</v>
      </c>
      <c r="AC90">
        <v>24169.199999999997</v>
      </c>
      <c r="AD90">
        <v>11</v>
      </c>
      <c r="AE90">
        <v>24169.199999999997</v>
      </c>
      <c r="AF90">
        <v>12</v>
      </c>
      <c r="AG90">
        <v>26366.399999999998</v>
      </c>
      <c r="AH90">
        <v>16</v>
      </c>
      <c r="AI90">
        <v>35155.199999999997</v>
      </c>
      <c r="AJ90">
        <v>13</v>
      </c>
      <c r="AK90">
        <v>28563.599999999999</v>
      </c>
      <c r="AL90">
        <v>17</v>
      </c>
      <c r="AM90">
        <v>37352.399999999994</v>
      </c>
      <c r="AN90">
        <v>13</v>
      </c>
      <c r="AO90">
        <v>28563.599999999999</v>
      </c>
      <c r="AP90">
        <v>12</v>
      </c>
      <c r="AQ90">
        <v>26366.399999999998</v>
      </c>
      <c r="AR90">
        <v>6</v>
      </c>
      <c r="AS90">
        <v>13183.199999999999</v>
      </c>
      <c r="AT90">
        <v>8</v>
      </c>
      <c r="AU90">
        <v>17577.599999999999</v>
      </c>
      <c r="AV90">
        <v>10</v>
      </c>
      <c r="AW90">
        <v>21972</v>
      </c>
      <c r="AX90">
        <v>8</v>
      </c>
      <c r="AY90">
        <v>17577.599999999999</v>
      </c>
      <c r="AZ90">
        <v>6</v>
      </c>
      <c r="BA90">
        <v>13183.199999999999</v>
      </c>
      <c r="BB90">
        <v>6</v>
      </c>
      <c r="BC90">
        <v>13183.199999999999</v>
      </c>
      <c r="BD90">
        <v>6</v>
      </c>
      <c r="BE90">
        <v>13183.199999999999</v>
      </c>
      <c r="BF90">
        <v>7</v>
      </c>
      <c r="BG90">
        <v>15380.399999999998</v>
      </c>
      <c r="BH90">
        <v>5</v>
      </c>
      <c r="BI90">
        <v>10986</v>
      </c>
      <c r="BJ90">
        <v>10</v>
      </c>
      <c r="BK90">
        <v>21972</v>
      </c>
      <c r="BL90">
        <v>7</v>
      </c>
      <c r="BM90">
        <v>15380.399999999998</v>
      </c>
      <c r="BN90">
        <v>7</v>
      </c>
      <c r="BO90">
        <v>15380.399999999998</v>
      </c>
      <c r="BP90">
        <v>34</v>
      </c>
      <c r="BQ90">
        <v>74704.799999999988</v>
      </c>
      <c r="BR90">
        <v>46</v>
      </c>
      <c r="BS90">
        <v>101071.2</v>
      </c>
      <c r="BT90">
        <v>38</v>
      </c>
      <c r="BU90">
        <v>83493.599999999991</v>
      </c>
      <c r="BV90">
        <v>43</v>
      </c>
      <c r="BW90">
        <v>94479.599999999991</v>
      </c>
      <c r="BX90">
        <v>5</v>
      </c>
      <c r="BY90">
        <v>10986</v>
      </c>
      <c r="BZ90">
        <v>4</v>
      </c>
      <c r="CA90">
        <v>8788.7999999999993</v>
      </c>
      <c r="CB90">
        <v>6</v>
      </c>
      <c r="CC90">
        <v>13183.199999999999</v>
      </c>
      <c r="CD90">
        <v>4</v>
      </c>
      <c r="CE90">
        <v>8788.7999999999993</v>
      </c>
      <c r="CF90">
        <v>5</v>
      </c>
      <c r="CG90">
        <v>10986</v>
      </c>
      <c r="CH90">
        <v>6</v>
      </c>
      <c r="CI90">
        <v>13183.199999999999</v>
      </c>
      <c r="CJ90">
        <v>7</v>
      </c>
      <c r="CK90">
        <v>15380.399999999998</v>
      </c>
      <c r="CL90">
        <v>4</v>
      </c>
      <c r="CM90">
        <v>8788.7999999999993</v>
      </c>
      <c r="CN90">
        <v>8</v>
      </c>
      <c r="CO90">
        <v>17577.599999999999</v>
      </c>
      <c r="CP90">
        <v>7</v>
      </c>
      <c r="CQ90">
        <v>15380.399999999998</v>
      </c>
      <c r="CR90">
        <v>6</v>
      </c>
      <c r="CS90">
        <v>13183.199999999999</v>
      </c>
      <c r="CT90">
        <v>5</v>
      </c>
      <c r="CU90">
        <v>10986</v>
      </c>
    </row>
    <row r="91" spans="2:99" x14ac:dyDescent="0.2">
      <c r="C91" s="116" t="s">
        <v>257</v>
      </c>
      <c r="D91">
        <v>12</v>
      </c>
      <c r="E91">
        <v>27561.599999999999</v>
      </c>
      <c r="F91">
        <v>13</v>
      </c>
      <c r="G91">
        <v>29858.399999999998</v>
      </c>
      <c r="H91">
        <v>16</v>
      </c>
      <c r="I91">
        <v>36748.799999999996</v>
      </c>
      <c r="J91">
        <v>24</v>
      </c>
      <c r="K91">
        <v>55123.199999999997</v>
      </c>
      <c r="L91">
        <v>5</v>
      </c>
      <c r="M91">
        <v>11483.999999999998</v>
      </c>
      <c r="N91">
        <v>4</v>
      </c>
      <c r="O91">
        <v>9187.1999999999989</v>
      </c>
      <c r="P91">
        <v>3</v>
      </c>
      <c r="Q91">
        <v>6890.4</v>
      </c>
      <c r="R91">
        <v>4</v>
      </c>
      <c r="S91">
        <v>9187.1999999999989</v>
      </c>
      <c r="T91">
        <v>10</v>
      </c>
      <c r="U91">
        <v>22967.999999999996</v>
      </c>
      <c r="V91">
        <v>9</v>
      </c>
      <c r="W91">
        <v>20671.199999999997</v>
      </c>
      <c r="X91">
        <v>9</v>
      </c>
      <c r="Y91">
        <v>20671.199999999997</v>
      </c>
      <c r="Z91">
        <v>9</v>
      </c>
      <c r="AA91">
        <v>20671.199999999997</v>
      </c>
      <c r="AB91">
        <v>10</v>
      </c>
      <c r="AC91">
        <v>22967.999999999996</v>
      </c>
      <c r="AD91">
        <v>12</v>
      </c>
      <c r="AE91">
        <v>27561.599999999999</v>
      </c>
      <c r="AF91">
        <v>13</v>
      </c>
      <c r="AG91">
        <v>29858.399999999998</v>
      </c>
      <c r="AH91">
        <v>16</v>
      </c>
      <c r="AI91">
        <v>36748.799999999996</v>
      </c>
      <c r="AJ91">
        <v>13</v>
      </c>
      <c r="AK91">
        <v>29858.399999999998</v>
      </c>
      <c r="AL91">
        <v>14</v>
      </c>
      <c r="AM91">
        <v>32155.199999999997</v>
      </c>
      <c r="AN91">
        <v>13</v>
      </c>
      <c r="AO91">
        <v>29858.399999999998</v>
      </c>
      <c r="AP91">
        <v>11</v>
      </c>
      <c r="AQ91">
        <v>25264.799999999996</v>
      </c>
      <c r="AR91">
        <v>5</v>
      </c>
      <c r="AS91">
        <v>11483.999999999998</v>
      </c>
      <c r="AT91">
        <v>9</v>
      </c>
      <c r="AU91">
        <v>20671.199999999997</v>
      </c>
      <c r="AV91">
        <v>10</v>
      </c>
      <c r="AW91">
        <v>22967.999999999996</v>
      </c>
      <c r="AX91">
        <v>8</v>
      </c>
      <c r="AY91">
        <v>18374.399999999998</v>
      </c>
      <c r="AZ91">
        <v>5</v>
      </c>
      <c r="BA91">
        <v>11483.999999999998</v>
      </c>
      <c r="BB91">
        <v>6</v>
      </c>
      <c r="BC91">
        <v>13780.8</v>
      </c>
      <c r="BD91">
        <v>6</v>
      </c>
      <c r="BE91">
        <v>13780.8</v>
      </c>
      <c r="BF91">
        <v>6</v>
      </c>
      <c r="BG91">
        <v>13780.8</v>
      </c>
      <c r="BH91">
        <v>5</v>
      </c>
      <c r="BI91">
        <v>11483.999999999998</v>
      </c>
      <c r="BJ91">
        <v>8</v>
      </c>
      <c r="BK91">
        <v>18374.399999999998</v>
      </c>
      <c r="BL91">
        <v>7</v>
      </c>
      <c r="BM91">
        <v>16077.599999999999</v>
      </c>
      <c r="BN91">
        <v>6</v>
      </c>
      <c r="BO91">
        <v>13780.8</v>
      </c>
      <c r="BP91">
        <v>31</v>
      </c>
      <c r="BQ91">
        <v>71200.799999999988</v>
      </c>
      <c r="BR91">
        <v>41</v>
      </c>
      <c r="BS91">
        <v>94168.799999999988</v>
      </c>
      <c r="BT91">
        <v>44</v>
      </c>
      <c r="BU91">
        <v>101059.19999999998</v>
      </c>
      <c r="BV91">
        <v>43</v>
      </c>
      <c r="BW91">
        <v>98762.4</v>
      </c>
      <c r="BX91">
        <v>6</v>
      </c>
      <c r="BY91">
        <v>13780.8</v>
      </c>
      <c r="BZ91">
        <v>4</v>
      </c>
      <c r="CA91">
        <v>9187.1999999999989</v>
      </c>
      <c r="CB91">
        <v>6</v>
      </c>
      <c r="CC91">
        <v>13780.8</v>
      </c>
      <c r="CD91">
        <v>5</v>
      </c>
      <c r="CE91">
        <v>11483.999999999998</v>
      </c>
      <c r="CF91">
        <v>4</v>
      </c>
      <c r="CG91">
        <v>9187.1999999999989</v>
      </c>
      <c r="CH91">
        <v>6</v>
      </c>
      <c r="CI91">
        <v>13780.8</v>
      </c>
      <c r="CJ91">
        <v>6</v>
      </c>
      <c r="CK91">
        <v>13780.8</v>
      </c>
      <c r="CL91">
        <v>4</v>
      </c>
      <c r="CM91">
        <v>9187.1999999999989</v>
      </c>
      <c r="CN91">
        <v>8</v>
      </c>
      <c r="CO91">
        <v>18374.399999999998</v>
      </c>
      <c r="CP91">
        <v>8</v>
      </c>
      <c r="CQ91">
        <v>18374.399999999998</v>
      </c>
      <c r="CR91">
        <v>6</v>
      </c>
      <c r="CS91">
        <v>13780.8</v>
      </c>
      <c r="CT91">
        <v>5</v>
      </c>
      <c r="CU91">
        <v>11483.999999999998</v>
      </c>
    </row>
    <row r="92" spans="2:99" x14ac:dyDescent="0.2">
      <c r="C92" s="116" t="s">
        <v>258</v>
      </c>
      <c r="D92">
        <v>13</v>
      </c>
      <c r="E92">
        <v>18470.399999999998</v>
      </c>
      <c r="F92">
        <v>16</v>
      </c>
      <c r="G92">
        <v>22732.799999999999</v>
      </c>
      <c r="H92">
        <v>18</v>
      </c>
      <c r="I92">
        <v>25574.399999999998</v>
      </c>
      <c r="J92">
        <v>30</v>
      </c>
      <c r="K92">
        <v>42624</v>
      </c>
      <c r="L92">
        <v>5</v>
      </c>
      <c r="M92">
        <v>7104</v>
      </c>
      <c r="N92">
        <v>5</v>
      </c>
      <c r="O92">
        <v>7104</v>
      </c>
      <c r="P92">
        <v>3</v>
      </c>
      <c r="Q92">
        <v>4262.3999999999996</v>
      </c>
      <c r="R92">
        <v>4</v>
      </c>
      <c r="S92">
        <v>5683.2</v>
      </c>
      <c r="T92">
        <v>10</v>
      </c>
      <c r="U92">
        <v>14208</v>
      </c>
      <c r="V92">
        <v>11</v>
      </c>
      <c r="W92">
        <v>15628.8</v>
      </c>
      <c r="X92">
        <v>11</v>
      </c>
      <c r="Y92">
        <v>15628.8</v>
      </c>
      <c r="Z92">
        <v>9</v>
      </c>
      <c r="AA92">
        <v>12787.199999999999</v>
      </c>
      <c r="AB92">
        <v>12</v>
      </c>
      <c r="AC92">
        <v>17049.599999999999</v>
      </c>
      <c r="AD92">
        <v>13</v>
      </c>
      <c r="AE92">
        <v>18470.399999999998</v>
      </c>
      <c r="AF92">
        <v>13</v>
      </c>
      <c r="AG92">
        <v>18470.399999999998</v>
      </c>
      <c r="AH92">
        <v>19</v>
      </c>
      <c r="AI92">
        <v>26995.200000000001</v>
      </c>
      <c r="AJ92">
        <v>13</v>
      </c>
      <c r="AK92">
        <v>18470.399999999998</v>
      </c>
      <c r="AL92">
        <v>18</v>
      </c>
      <c r="AM92">
        <v>25574.399999999998</v>
      </c>
      <c r="AN92">
        <v>16</v>
      </c>
      <c r="AO92">
        <v>22732.799999999999</v>
      </c>
      <c r="AP92">
        <v>14</v>
      </c>
      <c r="AQ92">
        <v>19891.2</v>
      </c>
      <c r="AR92">
        <v>6</v>
      </c>
      <c r="AS92">
        <v>8524.7999999999993</v>
      </c>
      <c r="AT92">
        <v>9</v>
      </c>
      <c r="AU92">
        <v>12787.199999999999</v>
      </c>
      <c r="AV92">
        <v>9</v>
      </c>
      <c r="AW92">
        <v>12787.199999999999</v>
      </c>
      <c r="AX92">
        <v>9</v>
      </c>
      <c r="AY92">
        <v>12787.199999999999</v>
      </c>
      <c r="AZ92">
        <v>6</v>
      </c>
      <c r="BA92">
        <v>8524.7999999999993</v>
      </c>
      <c r="BB92">
        <v>6</v>
      </c>
      <c r="BC92">
        <v>8524.7999999999993</v>
      </c>
      <c r="BD92">
        <v>7</v>
      </c>
      <c r="BE92">
        <v>9945.6</v>
      </c>
      <c r="BF92">
        <v>7</v>
      </c>
      <c r="BG92">
        <v>9945.6</v>
      </c>
      <c r="BH92">
        <v>5</v>
      </c>
      <c r="BI92">
        <v>7104</v>
      </c>
      <c r="BJ92">
        <v>9</v>
      </c>
      <c r="BK92">
        <v>12787.199999999999</v>
      </c>
      <c r="BL92">
        <v>7</v>
      </c>
      <c r="BM92">
        <v>9945.6</v>
      </c>
      <c r="BN92">
        <v>7</v>
      </c>
      <c r="BO92">
        <v>9945.6</v>
      </c>
      <c r="BP92">
        <v>34</v>
      </c>
      <c r="BQ92">
        <v>48307.199999999997</v>
      </c>
      <c r="BR92">
        <v>56</v>
      </c>
      <c r="BS92">
        <v>79564.800000000003</v>
      </c>
      <c r="BT92">
        <v>44</v>
      </c>
      <c r="BU92">
        <v>62515.199999999997</v>
      </c>
      <c r="BV92">
        <v>48</v>
      </c>
      <c r="BW92">
        <v>68198.399999999994</v>
      </c>
      <c r="BX92">
        <v>5</v>
      </c>
      <c r="BY92">
        <v>7104</v>
      </c>
      <c r="BZ92">
        <v>5</v>
      </c>
      <c r="CA92">
        <v>7104</v>
      </c>
      <c r="CB92">
        <v>6</v>
      </c>
      <c r="CC92">
        <v>8524.7999999999993</v>
      </c>
      <c r="CD92">
        <v>5</v>
      </c>
      <c r="CE92">
        <v>7104</v>
      </c>
      <c r="CF92">
        <v>5</v>
      </c>
      <c r="CG92">
        <v>7104</v>
      </c>
      <c r="CH92">
        <v>6</v>
      </c>
      <c r="CI92">
        <v>8524.7999999999993</v>
      </c>
      <c r="CJ92">
        <v>7</v>
      </c>
      <c r="CK92">
        <v>9945.6</v>
      </c>
      <c r="CL92">
        <v>4</v>
      </c>
      <c r="CM92">
        <v>5683.2</v>
      </c>
      <c r="CN92">
        <v>7</v>
      </c>
      <c r="CO92">
        <v>9945.6</v>
      </c>
      <c r="CP92">
        <v>9</v>
      </c>
      <c r="CQ92">
        <v>12787.199999999999</v>
      </c>
      <c r="CR92">
        <v>6</v>
      </c>
      <c r="CS92">
        <v>8524.7999999999993</v>
      </c>
      <c r="CT92">
        <v>5</v>
      </c>
      <c r="CU92">
        <v>7104</v>
      </c>
    </row>
    <row r="93" spans="2:99" x14ac:dyDescent="0.2">
      <c r="C93" s="116" t="s">
        <v>259</v>
      </c>
      <c r="D93">
        <v>15</v>
      </c>
      <c r="E93">
        <v>26585.999999999996</v>
      </c>
      <c r="F93">
        <v>16</v>
      </c>
      <c r="G93">
        <v>28358.399999999998</v>
      </c>
      <c r="H93">
        <v>15</v>
      </c>
      <c r="I93">
        <v>26585.999999999996</v>
      </c>
      <c r="J93">
        <v>25</v>
      </c>
      <c r="K93">
        <v>44310</v>
      </c>
      <c r="L93">
        <v>5</v>
      </c>
      <c r="M93">
        <v>8862</v>
      </c>
      <c r="N93">
        <v>4</v>
      </c>
      <c r="O93">
        <v>7089.5999999999995</v>
      </c>
      <c r="P93">
        <v>3</v>
      </c>
      <c r="Q93">
        <v>5317.2</v>
      </c>
      <c r="R93">
        <v>4</v>
      </c>
      <c r="S93">
        <v>7089.5999999999995</v>
      </c>
      <c r="T93">
        <v>11</v>
      </c>
      <c r="U93">
        <v>19496.399999999998</v>
      </c>
      <c r="V93">
        <v>9</v>
      </c>
      <c r="W93">
        <v>15951.599999999999</v>
      </c>
      <c r="X93">
        <v>10</v>
      </c>
      <c r="Y93">
        <v>17724</v>
      </c>
      <c r="Z93">
        <v>9</v>
      </c>
      <c r="AA93">
        <v>15951.599999999999</v>
      </c>
      <c r="AB93">
        <v>11</v>
      </c>
      <c r="AC93">
        <v>19496.399999999998</v>
      </c>
      <c r="AD93">
        <v>12</v>
      </c>
      <c r="AE93">
        <v>21268.799999999999</v>
      </c>
      <c r="AF93">
        <v>14</v>
      </c>
      <c r="AG93">
        <v>24813.599999999999</v>
      </c>
      <c r="AH93">
        <v>17</v>
      </c>
      <c r="AI93">
        <v>30130.799999999999</v>
      </c>
      <c r="AJ93">
        <v>12</v>
      </c>
      <c r="AK93">
        <v>21268.799999999999</v>
      </c>
      <c r="AL93">
        <v>16</v>
      </c>
      <c r="AM93">
        <v>28358.399999999998</v>
      </c>
      <c r="AN93">
        <v>14</v>
      </c>
      <c r="AO93">
        <v>24813.599999999999</v>
      </c>
      <c r="AP93">
        <v>12</v>
      </c>
      <c r="AQ93">
        <v>21268.799999999999</v>
      </c>
      <c r="AR93">
        <v>6</v>
      </c>
      <c r="AS93">
        <v>10634.4</v>
      </c>
      <c r="AT93">
        <v>9</v>
      </c>
      <c r="AU93">
        <v>15951.599999999999</v>
      </c>
      <c r="AV93">
        <v>10</v>
      </c>
      <c r="AW93">
        <v>17724</v>
      </c>
      <c r="AX93">
        <v>9</v>
      </c>
      <c r="AY93">
        <v>15951.599999999999</v>
      </c>
      <c r="AZ93">
        <v>5</v>
      </c>
      <c r="BA93">
        <v>8862</v>
      </c>
      <c r="BB93">
        <v>6</v>
      </c>
      <c r="BC93">
        <v>10634.4</v>
      </c>
      <c r="BD93">
        <v>7</v>
      </c>
      <c r="BE93">
        <v>12406.8</v>
      </c>
      <c r="BF93">
        <v>7</v>
      </c>
      <c r="BG93">
        <v>12406.8</v>
      </c>
      <c r="BH93">
        <v>5</v>
      </c>
      <c r="BI93">
        <v>8862</v>
      </c>
      <c r="BJ93">
        <v>9</v>
      </c>
      <c r="BK93">
        <v>15951.599999999999</v>
      </c>
      <c r="BL93">
        <v>7</v>
      </c>
      <c r="BM93">
        <v>12406.8</v>
      </c>
      <c r="BN93">
        <v>7</v>
      </c>
      <c r="BO93">
        <v>12406.8</v>
      </c>
      <c r="BP93">
        <v>35</v>
      </c>
      <c r="BQ93">
        <v>62033.999999999993</v>
      </c>
      <c r="BR93">
        <v>46</v>
      </c>
      <c r="BS93">
        <v>81530.399999999994</v>
      </c>
      <c r="BT93">
        <v>44</v>
      </c>
      <c r="BU93">
        <v>77985.599999999991</v>
      </c>
      <c r="BV93">
        <v>46</v>
      </c>
      <c r="BW93">
        <v>81530.399999999994</v>
      </c>
      <c r="BX93">
        <v>6</v>
      </c>
      <c r="BY93">
        <v>10634.4</v>
      </c>
      <c r="BZ93">
        <v>4</v>
      </c>
      <c r="CA93">
        <v>7089.5999999999995</v>
      </c>
      <c r="CB93">
        <v>6</v>
      </c>
      <c r="CC93">
        <v>10634.4</v>
      </c>
      <c r="CD93">
        <v>4</v>
      </c>
      <c r="CE93">
        <v>7089.5999999999995</v>
      </c>
      <c r="CF93">
        <v>5</v>
      </c>
      <c r="CG93">
        <v>8862</v>
      </c>
      <c r="CH93">
        <v>7</v>
      </c>
      <c r="CI93">
        <v>12406.8</v>
      </c>
      <c r="CJ93">
        <v>7</v>
      </c>
      <c r="CK93">
        <v>12406.8</v>
      </c>
      <c r="CL93">
        <v>4</v>
      </c>
      <c r="CM93">
        <v>7089.5999999999995</v>
      </c>
      <c r="CN93">
        <v>7</v>
      </c>
      <c r="CO93">
        <v>12406.8</v>
      </c>
      <c r="CP93">
        <v>7</v>
      </c>
      <c r="CQ93">
        <v>12406.8</v>
      </c>
      <c r="CR93">
        <v>6</v>
      </c>
      <c r="CS93">
        <v>10634.4</v>
      </c>
      <c r="CT93">
        <v>5</v>
      </c>
      <c r="CU93">
        <v>8862</v>
      </c>
    </row>
    <row r="94" spans="2:99" x14ac:dyDescent="0.2">
      <c r="C94" s="116" t="s">
        <v>260</v>
      </c>
      <c r="D94">
        <v>12</v>
      </c>
      <c r="E94">
        <v>28742.399999999998</v>
      </c>
      <c r="F94">
        <v>13</v>
      </c>
      <c r="G94">
        <v>31137.599999999999</v>
      </c>
      <c r="H94">
        <v>15</v>
      </c>
      <c r="I94">
        <v>35928</v>
      </c>
      <c r="J94">
        <v>26</v>
      </c>
      <c r="K94">
        <v>62275.199999999997</v>
      </c>
      <c r="L94">
        <v>5</v>
      </c>
      <c r="M94">
        <v>11976</v>
      </c>
      <c r="N94">
        <v>4</v>
      </c>
      <c r="O94">
        <v>9580.7999999999993</v>
      </c>
      <c r="P94">
        <v>3</v>
      </c>
      <c r="Q94">
        <v>7185.5999999999995</v>
      </c>
      <c r="R94">
        <v>4</v>
      </c>
      <c r="S94">
        <v>9580.7999999999993</v>
      </c>
      <c r="T94">
        <v>9</v>
      </c>
      <c r="U94">
        <v>21556.799999999999</v>
      </c>
      <c r="V94">
        <v>10</v>
      </c>
      <c r="W94">
        <v>23952</v>
      </c>
      <c r="X94">
        <v>9</v>
      </c>
      <c r="Y94">
        <v>21556.799999999999</v>
      </c>
      <c r="Z94">
        <v>9</v>
      </c>
      <c r="AA94">
        <v>21556.799999999999</v>
      </c>
      <c r="AB94">
        <v>9</v>
      </c>
      <c r="AC94">
        <v>21556.799999999999</v>
      </c>
      <c r="AD94">
        <v>12</v>
      </c>
      <c r="AE94">
        <v>28742.399999999998</v>
      </c>
      <c r="AF94">
        <v>12</v>
      </c>
      <c r="AG94">
        <v>28742.399999999998</v>
      </c>
      <c r="AH94">
        <v>16</v>
      </c>
      <c r="AI94">
        <v>38323.199999999997</v>
      </c>
      <c r="AJ94">
        <v>13</v>
      </c>
      <c r="AK94">
        <v>31137.599999999999</v>
      </c>
      <c r="AL94">
        <v>15</v>
      </c>
      <c r="AM94">
        <v>35928</v>
      </c>
      <c r="AN94">
        <v>15</v>
      </c>
      <c r="AO94">
        <v>35928</v>
      </c>
      <c r="AP94">
        <v>12</v>
      </c>
      <c r="AQ94">
        <v>28742.399999999998</v>
      </c>
      <c r="AR94">
        <v>6</v>
      </c>
      <c r="AS94">
        <v>14371.199999999999</v>
      </c>
      <c r="AT94">
        <v>8</v>
      </c>
      <c r="AU94">
        <v>19161.599999999999</v>
      </c>
      <c r="AV94">
        <v>9</v>
      </c>
      <c r="AW94">
        <v>21556.799999999999</v>
      </c>
      <c r="AX94">
        <v>9</v>
      </c>
      <c r="AY94">
        <v>21556.799999999999</v>
      </c>
      <c r="AZ94">
        <v>5</v>
      </c>
      <c r="BA94">
        <v>11976</v>
      </c>
      <c r="BB94">
        <v>7</v>
      </c>
      <c r="BC94">
        <v>16766.399999999998</v>
      </c>
      <c r="BD94">
        <v>6</v>
      </c>
      <c r="BE94">
        <v>14371.199999999999</v>
      </c>
      <c r="BF94">
        <v>7</v>
      </c>
      <c r="BG94">
        <v>16766.399999999998</v>
      </c>
      <c r="BH94">
        <v>5</v>
      </c>
      <c r="BI94">
        <v>11976</v>
      </c>
      <c r="BJ94">
        <v>9</v>
      </c>
      <c r="BK94">
        <v>21556.799999999999</v>
      </c>
      <c r="BL94">
        <v>7</v>
      </c>
      <c r="BM94">
        <v>16766.399999999998</v>
      </c>
      <c r="BN94">
        <v>6</v>
      </c>
      <c r="BO94">
        <v>14371.199999999999</v>
      </c>
      <c r="BP94">
        <v>33</v>
      </c>
      <c r="BQ94">
        <v>79041.599999999991</v>
      </c>
      <c r="BR94">
        <v>46</v>
      </c>
      <c r="BS94">
        <v>110179.2</v>
      </c>
      <c r="BT94">
        <v>45</v>
      </c>
      <c r="BU94">
        <v>107783.99999999999</v>
      </c>
      <c r="BV94">
        <v>41</v>
      </c>
      <c r="BW94">
        <v>98203.199999999997</v>
      </c>
      <c r="BX94">
        <v>5</v>
      </c>
      <c r="BY94">
        <v>11976</v>
      </c>
      <c r="BZ94">
        <v>4</v>
      </c>
      <c r="CA94">
        <v>9580.7999999999993</v>
      </c>
      <c r="CB94">
        <v>6</v>
      </c>
      <c r="CC94">
        <v>14371.199999999999</v>
      </c>
      <c r="CD94">
        <v>4</v>
      </c>
      <c r="CE94">
        <v>9580.7999999999993</v>
      </c>
      <c r="CF94">
        <v>4</v>
      </c>
      <c r="CG94">
        <v>9580.7999999999993</v>
      </c>
      <c r="CH94">
        <v>6</v>
      </c>
      <c r="CI94">
        <v>14371.199999999999</v>
      </c>
      <c r="CJ94">
        <v>6</v>
      </c>
      <c r="CK94">
        <v>14371.199999999999</v>
      </c>
      <c r="CL94">
        <v>3</v>
      </c>
      <c r="CM94">
        <v>7185.5999999999995</v>
      </c>
      <c r="CN94">
        <v>8</v>
      </c>
      <c r="CO94">
        <v>19161.599999999999</v>
      </c>
      <c r="CP94">
        <v>8</v>
      </c>
      <c r="CQ94">
        <v>19161.599999999999</v>
      </c>
      <c r="CR94">
        <v>6</v>
      </c>
      <c r="CS94">
        <v>14371.199999999999</v>
      </c>
      <c r="CT94">
        <v>5</v>
      </c>
      <c r="CU94">
        <v>11976</v>
      </c>
    </row>
    <row r="95" spans="2:99" x14ac:dyDescent="0.2">
      <c r="B95" s="116" t="s">
        <v>132</v>
      </c>
      <c r="C95" s="116" t="s">
        <v>261</v>
      </c>
      <c r="D95">
        <v>20</v>
      </c>
      <c r="E95">
        <v>34656</v>
      </c>
      <c r="F95">
        <v>19</v>
      </c>
      <c r="G95">
        <v>32923.199999999997</v>
      </c>
      <c r="H95">
        <v>11</v>
      </c>
      <c r="I95">
        <v>19060.8</v>
      </c>
      <c r="J95">
        <v>19</v>
      </c>
      <c r="K95">
        <v>32923.199999999997</v>
      </c>
      <c r="L95">
        <v>4</v>
      </c>
      <c r="M95">
        <v>6931.2</v>
      </c>
      <c r="N95">
        <v>5</v>
      </c>
      <c r="O95">
        <v>8664</v>
      </c>
      <c r="P95">
        <v>5</v>
      </c>
      <c r="Q95">
        <v>8664</v>
      </c>
      <c r="R95">
        <v>6</v>
      </c>
      <c r="S95">
        <v>10396.799999999999</v>
      </c>
      <c r="T95">
        <v>6</v>
      </c>
      <c r="U95">
        <v>10396.799999999999</v>
      </c>
      <c r="V95">
        <v>6</v>
      </c>
      <c r="W95">
        <v>10396.799999999999</v>
      </c>
      <c r="X95">
        <v>7</v>
      </c>
      <c r="Y95">
        <v>12129.6</v>
      </c>
      <c r="Z95">
        <v>5</v>
      </c>
      <c r="AA95">
        <v>8664</v>
      </c>
      <c r="AB95">
        <v>49</v>
      </c>
      <c r="AC95">
        <v>84907.199999999997</v>
      </c>
      <c r="AD95">
        <v>66</v>
      </c>
      <c r="AE95">
        <v>114364.8</v>
      </c>
      <c r="AF95">
        <v>49</v>
      </c>
      <c r="AG95">
        <v>84907.199999999997</v>
      </c>
      <c r="AH95">
        <v>62</v>
      </c>
      <c r="AI95">
        <v>107433.59999999999</v>
      </c>
      <c r="AJ95">
        <v>7</v>
      </c>
      <c r="AK95">
        <v>12129.6</v>
      </c>
      <c r="AL95">
        <v>6</v>
      </c>
      <c r="AM95">
        <v>10396.799999999999</v>
      </c>
      <c r="AN95">
        <v>6</v>
      </c>
      <c r="AO95">
        <v>10396.799999999999</v>
      </c>
      <c r="AP95">
        <v>9</v>
      </c>
      <c r="AQ95">
        <v>15595.199999999999</v>
      </c>
      <c r="AR95">
        <v>33</v>
      </c>
      <c r="AS95">
        <v>57182.400000000001</v>
      </c>
      <c r="AT95">
        <v>22</v>
      </c>
      <c r="AU95">
        <v>38121.599999999999</v>
      </c>
      <c r="AV95">
        <v>34</v>
      </c>
      <c r="AW95">
        <v>58915.199999999997</v>
      </c>
      <c r="AX95">
        <v>30</v>
      </c>
      <c r="AY95">
        <v>51984</v>
      </c>
      <c r="AZ95">
        <v>23</v>
      </c>
      <c r="BA95">
        <v>39854.400000000001</v>
      </c>
      <c r="BB95">
        <v>18</v>
      </c>
      <c r="BC95">
        <v>31190.399999999998</v>
      </c>
      <c r="BD95">
        <v>23</v>
      </c>
      <c r="BE95">
        <v>39854.400000000001</v>
      </c>
      <c r="BF95">
        <v>21</v>
      </c>
      <c r="BG95">
        <v>36388.799999999996</v>
      </c>
      <c r="BH95">
        <v>5</v>
      </c>
      <c r="BI95">
        <v>8664</v>
      </c>
      <c r="BJ95">
        <v>7</v>
      </c>
      <c r="BK95">
        <v>12129.6</v>
      </c>
      <c r="BL95">
        <v>5</v>
      </c>
      <c r="BM95">
        <v>8664</v>
      </c>
      <c r="BN95">
        <v>5</v>
      </c>
      <c r="BO95">
        <v>8664</v>
      </c>
      <c r="BP95">
        <v>17</v>
      </c>
      <c r="BQ95">
        <v>29457.599999999999</v>
      </c>
      <c r="BR95">
        <v>18</v>
      </c>
      <c r="BS95">
        <v>31190.399999999998</v>
      </c>
      <c r="BT95">
        <v>11</v>
      </c>
      <c r="BU95">
        <v>19060.8</v>
      </c>
      <c r="BV95">
        <v>16</v>
      </c>
      <c r="BW95">
        <v>27724.799999999999</v>
      </c>
      <c r="BX95">
        <v>9</v>
      </c>
      <c r="BY95">
        <v>15595.199999999999</v>
      </c>
      <c r="BZ95">
        <v>9</v>
      </c>
      <c r="CA95">
        <v>15595.199999999999</v>
      </c>
      <c r="CB95">
        <v>6</v>
      </c>
      <c r="CC95">
        <v>10396.799999999999</v>
      </c>
      <c r="CD95">
        <v>7</v>
      </c>
      <c r="CE95">
        <v>12129.6</v>
      </c>
      <c r="CF95">
        <v>48</v>
      </c>
      <c r="CG95">
        <v>83174.399999999994</v>
      </c>
      <c r="CH95">
        <v>37</v>
      </c>
      <c r="CI95">
        <v>64113.599999999999</v>
      </c>
      <c r="CJ95">
        <v>50</v>
      </c>
      <c r="CK95">
        <v>86640</v>
      </c>
      <c r="CL95">
        <v>63</v>
      </c>
      <c r="CM95">
        <v>109166.39999999999</v>
      </c>
      <c r="CN95">
        <v>11</v>
      </c>
      <c r="CO95">
        <v>19060.8</v>
      </c>
      <c r="CP95">
        <v>9</v>
      </c>
      <c r="CQ95">
        <v>15595.199999999999</v>
      </c>
      <c r="CR95">
        <v>8</v>
      </c>
      <c r="CS95">
        <v>13862.4</v>
      </c>
      <c r="CT95">
        <v>5</v>
      </c>
      <c r="CU95">
        <v>8664</v>
      </c>
    </row>
    <row r="96" spans="2:99" x14ac:dyDescent="0.2">
      <c r="C96" s="116" t="s">
        <v>262</v>
      </c>
      <c r="D96">
        <v>20</v>
      </c>
      <c r="E96">
        <v>16464</v>
      </c>
      <c r="F96">
        <v>19</v>
      </c>
      <c r="G96">
        <v>15640.8</v>
      </c>
      <c r="H96">
        <v>12</v>
      </c>
      <c r="I96">
        <v>9878.4</v>
      </c>
      <c r="J96">
        <v>21</v>
      </c>
      <c r="K96">
        <v>17287.199999999997</v>
      </c>
      <c r="L96">
        <v>5</v>
      </c>
      <c r="M96">
        <v>4116</v>
      </c>
      <c r="N96">
        <v>5</v>
      </c>
      <c r="O96">
        <v>4116</v>
      </c>
      <c r="P96">
        <v>6</v>
      </c>
      <c r="Q96">
        <v>4939.2</v>
      </c>
      <c r="R96">
        <v>6</v>
      </c>
      <c r="S96">
        <v>4939.2</v>
      </c>
      <c r="T96">
        <v>6</v>
      </c>
      <c r="U96">
        <v>4939.2</v>
      </c>
      <c r="V96">
        <v>7</v>
      </c>
      <c r="W96">
        <v>5762.4</v>
      </c>
      <c r="X96">
        <v>7</v>
      </c>
      <c r="Y96">
        <v>5762.4</v>
      </c>
      <c r="Z96">
        <v>6</v>
      </c>
      <c r="AA96">
        <v>4939.2</v>
      </c>
      <c r="AB96">
        <v>66</v>
      </c>
      <c r="AC96">
        <v>54331.199999999997</v>
      </c>
      <c r="AD96">
        <v>73</v>
      </c>
      <c r="AE96">
        <v>60093.599999999999</v>
      </c>
      <c r="AF96">
        <v>56</v>
      </c>
      <c r="AG96">
        <v>46099.199999999997</v>
      </c>
      <c r="AH96">
        <v>74</v>
      </c>
      <c r="AI96">
        <v>60916.799999999996</v>
      </c>
      <c r="AJ96">
        <v>7</v>
      </c>
      <c r="AK96">
        <v>5762.4</v>
      </c>
      <c r="AL96">
        <v>6</v>
      </c>
      <c r="AM96">
        <v>4939.2</v>
      </c>
      <c r="AN96">
        <v>7</v>
      </c>
      <c r="AO96">
        <v>5762.4</v>
      </c>
      <c r="AP96">
        <v>9</v>
      </c>
      <c r="AQ96">
        <v>7408.7999999999993</v>
      </c>
      <c r="AR96">
        <v>35</v>
      </c>
      <c r="AS96">
        <v>28811.999999999996</v>
      </c>
      <c r="AT96">
        <v>28</v>
      </c>
      <c r="AU96">
        <v>23049.599999999999</v>
      </c>
      <c r="AV96">
        <v>34</v>
      </c>
      <c r="AW96">
        <v>27988.799999999999</v>
      </c>
      <c r="AX96">
        <v>37</v>
      </c>
      <c r="AY96">
        <v>30458.399999999998</v>
      </c>
      <c r="AZ96">
        <v>25</v>
      </c>
      <c r="BA96">
        <v>20580</v>
      </c>
      <c r="BB96">
        <v>21</v>
      </c>
      <c r="BC96">
        <v>17287.199999999997</v>
      </c>
      <c r="BD96">
        <v>26</v>
      </c>
      <c r="BE96">
        <v>21403.199999999997</v>
      </c>
      <c r="BF96">
        <v>26</v>
      </c>
      <c r="BG96">
        <v>21403.199999999997</v>
      </c>
      <c r="BH96">
        <v>6</v>
      </c>
      <c r="BI96">
        <v>4939.2</v>
      </c>
      <c r="BJ96">
        <v>8</v>
      </c>
      <c r="BK96">
        <v>6585.5999999999995</v>
      </c>
      <c r="BL96">
        <v>6</v>
      </c>
      <c r="BM96">
        <v>4939.2</v>
      </c>
      <c r="BN96">
        <v>5</v>
      </c>
      <c r="BO96">
        <v>4116</v>
      </c>
      <c r="BP96">
        <v>18</v>
      </c>
      <c r="BQ96">
        <v>14817.599999999999</v>
      </c>
      <c r="BR96">
        <v>22</v>
      </c>
      <c r="BS96">
        <v>18110.399999999998</v>
      </c>
      <c r="BT96">
        <v>12</v>
      </c>
      <c r="BU96">
        <v>9878.4</v>
      </c>
      <c r="BV96">
        <v>16</v>
      </c>
      <c r="BW96">
        <v>13171.199999999999</v>
      </c>
      <c r="BX96">
        <v>11</v>
      </c>
      <c r="BY96">
        <v>9055.1999999999989</v>
      </c>
      <c r="BZ96">
        <v>11</v>
      </c>
      <c r="CA96">
        <v>9055.1999999999989</v>
      </c>
      <c r="CB96">
        <v>6</v>
      </c>
      <c r="CC96">
        <v>4939.2</v>
      </c>
      <c r="CD96">
        <v>7</v>
      </c>
      <c r="CE96">
        <v>5762.4</v>
      </c>
      <c r="CF96">
        <v>57</v>
      </c>
      <c r="CG96">
        <v>46922.399999999994</v>
      </c>
      <c r="CH96">
        <v>47</v>
      </c>
      <c r="CI96">
        <v>38690.399999999994</v>
      </c>
      <c r="CJ96">
        <v>59</v>
      </c>
      <c r="CK96">
        <v>48568.799999999996</v>
      </c>
      <c r="CL96">
        <v>68</v>
      </c>
      <c r="CM96">
        <v>55977.599999999999</v>
      </c>
      <c r="CN96">
        <v>11</v>
      </c>
      <c r="CO96">
        <v>9055.1999999999989</v>
      </c>
      <c r="CP96">
        <v>11</v>
      </c>
      <c r="CQ96">
        <v>9055.1999999999989</v>
      </c>
      <c r="CR96">
        <v>9</v>
      </c>
      <c r="CS96">
        <v>7408.7999999999993</v>
      </c>
      <c r="CT96">
        <v>6</v>
      </c>
      <c r="CU96">
        <v>4939.2</v>
      </c>
    </row>
    <row r="97" spans="2:99" x14ac:dyDescent="0.2">
      <c r="C97" s="116" t="s">
        <v>263</v>
      </c>
      <c r="D97">
        <v>20</v>
      </c>
      <c r="E97">
        <v>36576</v>
      </c>
      <c r="F97">
        <v>19</v>
      </c>
      <c r="G97">
        <v>34747.199999999997</v>
      </c>
      <c r="H97">
        <v>13</v>
      </c>
      <c r="I97">
        <v>23774.399999999998</v>
      </c>
      <c r="J97">
        <v>19</v>
      </c>
      <c r="K97">
        <v>34747.199999999997</v>
      </c>
      <c r="L97">
        <v>4</v>
      </c>
      <c r="M97">
        <v>7315.2</v>
      </c>
      <c r="N97">
        <v>5</v>
      </c>
      <c r="O97">
        <v>9144</v>
      </c>
      <c r="P97">
        <v>6</v>
      </c>
      <c r="Q97">
        <v>10972.8</v>
      </c>
      <c r="R97">
        <v>5</v>
      </c>
      <c r="S97">
        <v>9144</v>
      </c>
      <c r="T97">
        <v>6</v>
      </c>
      <c r="U97">
        <v>10972.8</v>
      </c>
      <c r="V97">
        <v>6</v>
      </c>
      <c r="W97">
        <v>10972.8</v>
      </c>
      <c r="X97">
        <v>6</v>
      </c>
      <c r="Y97">
        <v>10972.8</v>
      </c>
      <c r="Z97">
        <v>6</v>
      </c>
      <c r="AA97">
        <v>10972.8</v>
      </c>
      <c r="AB97">
        <v>56</v>
      </c>
      <c r="AC97">
        <v>102412.8</v>
      </c>
      <c r="AD97">
        <v>56</v>
      </c>
      <c r="AE97">
        <v>102412.8</v>
      </c>
      <c r="AF97">
        <v>54</v>
      </c>
      <c r="AG97">
        <v>98755.199999999997</v>
      </c>
      <c r="AH97">
        <v>53</v>
      </c>
      <c r="AI97">
        <v>96926.399999999994</v>
      </c>
      <c r="AJ97">
        <v>7</v>
      </c>
      <c r="AK97">
        <v>12801.6</v>
      </c>
      <c r="AL97">
        <v>5</v>
      </c>
      <c r="AM97">
        <v>9144</v>
      </c>
      <c r="AN97">
        <v>6</v>
      </c>
      <c r="AO97">
        <v>10972.8</v>
      </c>
      <c r="AP97">
        <v>9</v>
      </c>
      <c r="AQ97">
        <v>16459.2</v>
      </c>
      <c r="AR97">
        <v>29</v>
      </c>
      <c r="AS97">
        <v>53035.199999999997</v>
      </c>
      <c r="AT97">
        <v>24</v>
      </c>
      <c r="AU97">
        <v>43891.199999999997</v>
      </c>
      <c r="AV97">
        <v>34</v>
      </c>
      <c r="AW97">
        <v>62179.199999999997</v>
      </c>
      <c r="AX97">
        <v>32</v>
      </c>
      <c r="AY97">
        <v>58521.599999999999</v>
      </c>
      <c r="AZ97">
        <v>22</v>
      </c>
      <c r="BA97">
        <v>40233.599999999999</v>
      </c>
      <c r="BB97">
        <v>18</v>
      </c>
      <c r="BC97">
        <v>32918.400000000001</v>
      </c>
      <c r="BD97">
        <v>22</v>
      </c>
      <c r="BE97">
        <v>40233.599999999999</v>
      </c>
      <c r="BF97">
        <v>19</v>
      </c>
      <c r="BG97">
        <v>34747.199999999997</v>
      </c>
      <c r="BH97">
        <v>5</v>
      </c>
      <c r="BI97">
        <v>9144</v>
      </c>
      <c r="BJ97">
        <v>7</v>
      </c>
      <c r="BK97">
        <v>12801.6</v>
      </c>
      <c r="BL97">
        <v>5</v>
      </c>
      <c r="BM97">
        <v>9144</v>
      </c>
      <c r="BN97">
        <v>4</v>
      </c>
      <c r="BO97">
        <v>7315.2</v>
      </c>
      <c r="BP97">
        <v>15</v>
      </c>
      <c r="BQ97">
        <v>27432</v>
      </c>
      <c r="BR97">
        <v>19</v>
      </c>
      <c r="BS97">
        <v>34747.199999999997</v>
      </c>
      <c r="BT97">
        <v>12</v>
      </c>
      <c r="BU97">
        <v>21945.599999999999</v>
      </c>
      <c r="BV97">
        <v>15</v>
      </c>
      <c r="BW97">
        <v>27432</v>
      </c>
      <c r="BX97">
        <v>11</v>
      </c>
      <c r="BY97">
        <v>20116.8</v>
      </c>
      <c r="BZ97">
        <v>9</v>
      </c>
      <c r="CA97">
        <v>16459.2</v>
      </c>
      <c r="CB97">
        <v>6</v>
      </c>
      <c r="CC97">
        <v>10972.8</v>
      </c>
      <c r="CD97">
        <v>7</v>
      </c>
      <c r="CE97">
        <v>12801.6</v>
      </c>
      <c r="CF97">
        <v>49</v>
      </c>
      <c r="CG97">
        <v>89611.199999999997</v>
      </c>
      <c r="CH97">
        <v>39</v>
      </c>
      <c r="CI97">
        <v>71323.199999999997</v>
      </c>
      <c r="CJ97">
        <v>55</v>
      </c>
      <c r="CK97">
        <v>100584</v>
      </c>
      <c r="CL97">
        <v>54</v>
      </c>
      <c r="CM97">
        <v>98755.199999999997</v>
      </c>
      <c r="CN97">
        <v>10</v>
      </c>
      <c r="CO97">
        <v>18288</v>
      </c>
      <c r="CP97">
        <v>11</v>
      </c>
      <c r="CQ97">
        <v>20116.8</v>
      </c>
      <c r="CR97">
        <v>9</v>
      </c>
      <c r="CS97">
        <v>16459.2</v>
      </c>
      <c r="CT97">
        <v>5</v>
      </c>
      <c r="CU97">
        <v>9144</v>
      </c>
    </row>
    <row r="98" spans="2:99" x14ac:dyDescent="0.2">
      <c r="C98" s="116" t="s">
        <v>264</v>
      </c>
      <c r="D98">
        <v>20</v>
      </c>
      <c r="E98">
        <v>25272</v>
      </c>
      <c r="F98">
        <v>19</v>
      </c>
      <c r="G98">
        <v>24008.399999999998</v>
      </c>
      <c r="H98">
        <v>12</v>
      </c>
      <c r="I98">
        <v>15163.199999999999</v>
      </c>
      <c r="J98">
        <v>19</v>
      </c>
      <c r="K98">
        <v>24008.399999999998</v>
      </c>
      <c r="L98">
        <v>4</v>
      </c>
      <c r="M98">
        <v>5054.3999999999996</v>
      </c>
      <c r="N98">
        <v>5</v>
      </c>
      <c r="O98">
        <v>6318</v>
      </c>
      <c r="P98">
        <v>6</v>
      </c>
      <c r="Q98">
        <v>7581.5999999999995</v>
      </c>
      <c r="R98">
        <v>5</v>
      </c>
      <c r="S98">
        <v>6318</v>
      </c>
      <c r="T98">
        <v>6</v>
      </c>
      <c r="U98">
        <v>7581.5999999999995</v>
      </c>
      <c r="V98">
        <v>6</v>
      </c>
      <c r="W98">
        <v>7581.5999999999995</v>
      </c>
      <c r="X98">
        <v>6</v>
      </c>
      <c r="Y98">
        <v>7581.5999999999995</v>
      </c>
      <c r="Z98">
        <v>5</v>
      </c>
      <c r="AA98">
        <v>6318</v>
      </c>
      <c r="AB98">
        <v>60</v>
      </c>
      <c r="AC98">
        <v>75816</v>
      </c>
      <c r="AD98">
        <v>70</v>
      </c>
      <c r="AE98">
        <v>88452</v>
      </c>
      <c r="AF98">
        <v>58</v>
      </c>
      <c r="AG98">
        <v>73288.799999999988</v>
      </c>
      <c r="AH98">
        <v>60</v>
      </c>
      <c r="AI98">
        <v>75816</v>
      </c>
      <c r="AJ98">
        <v>7</v>
      </c>
      <c r="AK98">
        <v>8845.1999999999989</v>
      </c>
      <c r="AL98">
        <v>6</v>
      </c>
      <c r="AM98">
        <v>7581.5999999999995</v>
      </c>
      <c r="AN98">
        <v>7</v>
      </c>
      <c r="AO98">
        <v>8845.1999999999989</v>
      </c>
      <c r="AP98">
        <v>9</v>
      </c>
      <c r="AQ98">
        <v>11372.4</v>
      </c>
      <c r="AR98">
        <v>34</v>
      </c>
      <c r="AS98">
        <v>42962.399999999994</v>
      </c>
      <c r="AT98">
        <v>23</v>
      </c>
      <c r="AU98">
        <v>29062.799999999999</v>
      </c>
      <c r="AV98">
        <v>33</v>
      </c>
      <c r="AW98">
        <v>41698.799999999996</v>
      </c>
      <c r="AX98">
        <v>30</v>
      </c>
      <c r="AY98">
        <v>37908</v>
      </c>
      <c r="AZ98">
        <v>23</v>
      </c>
      <c r="BA98">
        <v>29062.799999999999</v>
      </c>
      <c r="BB98">
        <v>19</v>
      </c>
      <c r="BC98">
        <v>24008.399999999998</v>
      </c>
      <c r="BD98">
        <v>21</v>
      </c>
      <c r="BE98">
        <v>26535.599999999999</v>
      </c>
      <c r="BF98">
        <v>23</v>
      </c>
      <c r="BG98">
        <v>29062.799999999999</v>
      </c>
      <c r="BH98">
        <v>5</v>
      </c>
      <c r="BI98">
        <v>6318</v>
      </c>
      <c r="BJ98">
        <v>7</v>
      </c>
      <c r="BK98">
        <v>8845.1999999999989</v>
      </c>
      <c r="BL98">
        <v>5</v>
      </c>
      <c r="BM98">
        <v>6318</v>
      </c>
      <c r="BN98">
        <v>5</v>
      </c>
      <c r="BO98">
        <v>6318</v>
      </c>
      <c r="BP98">
        <v>16</v>
      </c>
      <c r="BQ98">
        <v>20217.599999999999</v>
      </c>
      <c r="BR98">
        <v>22</v>
      </c>
      <c r="BS98">
        <v>27799.199999999997</v>
      </c>
      <c r="BT98">
        <v>13</v>
      </c>
      <c r="BU98">
        <v>16426.8</v>
      </c>
      <c r="BV98">
        <v>17</v>
      </c>
      <c r="BW98">
        <v>21481.199999999997</v>
      </c>
      <c r="BX98">
        <v>10</v>
      </c>
      <c r="BY98">
        <v>12636</v>
      </c>
      <c r="BZ98">
        <v>9</v>
      </c>
      <c r="CA98">
        <v>11372.4</v>
      </c>
      <c r="CB98">
        <v>6</v>
      </c>
      <c r="CC98">
        <v>7581.5999999999995</v>
      </c>
      <c r="CD98">
        <v>7</v>
      </c>
      <c r="CE98">
        <v>8845.1999999999989</v>
      </c>
      <c r="CF98">
        <v>45</v>
      </c>
      <c r="CG98">
        <v>56861.999999999993</v>
      </c>
      <c r="CH98">
        <v>39</v>
      </c>
      <c r="CI98">
        <v>49280.399999999994</v>
      </c>
      <c r="CJ98">
        <v>61</v>
      </c>
      <c r="CK98">
        <v>77079.599999999991</v>
      </c>
      <c r="CL98">
        <v>64</v>
      </c>
      <c r="CM98">
        <v>80870.399999999994</v>
      </c>
      <c r="CN98">
        <v>10</v>
      </c>
      <c r="CO98">
        <v>12636</v>
      </c>
      <c r="CP98">
        <v>11</v>
      </c>
      <c r="CQ98">
        <v>13899.599999999999</v>
      </c>
      <c r="CR98">
        <v>10</v>
      </c>
      <c r="CS98">
        <v>12636</v>
      </c>
      <c r="CT98">
        <v>6</v>
      </c>
      <c r="CU98">
        <v>7581.5999999999995</v>
      </c>
    </row>
    <row r="99" spans="2:99" x14ac:dyDescent="0.2">
      <c r="C99" s="116" t="s">
        <v>265</v>
      </c>
      <c r="D99">
        <v>12</v>
      </c>
      <c r="E99">
        <v>65779.199999999997</v>
      </c>
      <c r="F99">
        <v>11</v>
      </c>
      <c r="G99">
        <v>60297.599999999991</v>
      </c>
      <c r="H99">
        <v>9</v>
      </c>
      <c r="I99">
        <v>49334.399999999994</v>
      </c>
      <c r="J99">
        <v>14</v>
      </c>
      <c r="K99">
        <v>76742.399999999994</v>
      </c>
      <c r="L99">
        <v>3</v>
      </c>
      <c r="M99">
        <v>16444.8</v>
      </c>
      <c r="N99">
        <v>4</v>
      </c>
      <c r="O99">
        <v>21926.399999999998</v>
      </c>
      <c r="P99">
        <v>5</v>
      </c>
      <c r="Q99">
        <v>27407.999999999996</v>
      </c>
      <c r="R99">
        <v>4</v>
      </c>
      <c r="S99">
        <v>21926.399999999998</v>
      </c>
      <c r="T99">
        <v>4</v>
      </c>
      <c r="U99">
        <v>21926.399999999998</v>
      </c>
      <c r="V99">
        <v>4</v>
      </c>
      <c r="W99">
        <v>21926.399999999998</v>
      </c>
      <c r="X99">
        <v>5</v>
      </c>
      <c r="Y99">
        <v>27407.999999999996</v>
      </c>
      <c r="Z99">
        <v>4</v>
      </c>
      <c r="AA99">
        <v>21926.399999999998</v>
      </c>
      <c r="AB99">
        <v>30</v>
      </c>
      <c r="AC99">
        <v>164447.99999999997</v>
      </c>
      <c r="AD99">
        <v>32</v>
      </c>
      <c r="AE99">
        <v>175411.19999999998</v>
      </c>
      <c r="AF99">
        <v>26</v>
      </c>
      <c r="AG99">
        <v>142521.59999999998</v>
      </c>
      <c r="AH99">
        <v>30</v>
      </c>
      <c r="AI99">
        <v>164447.99999999997</v>
      </c>
      <c r="AJ99">
        <v>5</v>
      </c>
      <c r="AK99">
        <v>27407.999999999996</v>
      </c>
      <c r="AL99">
        <v>4</v>
      </c>
      <c r="AM99">
        <v>21926.399999999998</v>
      </c>
      <c r="AN99">
        <v>5</v>
      </c>
      <c r="AO99">
        <v>27407.999999999996</v>
      </c>
      <c r="AP99">
        <v>7</v>
      </c>
      <c r="AQ99">
        <v>38371.199999999997</v>
      </c>
      <c r="AR99">
        <v>22</v>
      </c>
      <c r="AS99">
        <v>120595.19999999998</v>
      </c>
      <c r="AT99">
        <v>16</v>
      </c>
      <c r="AU99">
        <v>87705.599999999991</v>
      </c>
      <c r="AV99">
        <v>22</v>
      </c>
      <c r="AW99">
        <v>120595.19999999998</v>
      </c>
      <c r="AX99">
        <v>19</v>
      </c>
      <c r="AY99">
        <v>104150.39999999999</v>
      </c>
      <c r="AZ99">
        <v>16</v>
      </c>
      <c r="BA99">
        <v>87705.599999999991</v>
      </c>
      <c r="BB99">
        <v>13</v>
      </c>
      <c r="BC99">
        <v>71260.799999999988</v>
      </c>
      <c r="BD99">
        <v>14</v>
      </c>
      <c r="BE99">
        <v>76742.399999999994</v>
      </c>
      <c r="BF99">
        <v>14</v>
      </c>
      <c r="BG99">
        <v>76742.399999999994</v>
      </c>
      <c r="BH99">
        <v>4</v>
      </c>
      <c r="BI99">
        <v>21926.399999999998</v>
      </c>
      <c r="BJ99">
        <v>5</v>
      </c>
      <c r="BK99">
        <v>27407.999999999996</v>
      </c>
      <c r="BL99">
        <v>4</v>
      </c>
      <c r="BM99">
        <v>21926.399999999998</v>
      </c>
      <c r="BN99">
        <v>3</v>
      </c>
      <c r="BO99">
        <v>16444.8</v>
      </c>
      <c r="BP99">
        <v>11</v>
      </c>
      <c r="BQ99">
        <v>60297.599999999991</v>
      </c>
      <c r="BR99">
        <v>14</v>
      </c>
      <c r="BS99">
        <v>76742.399999999994</v>
      </c>
      <c r="BT99">
        <v>9</v>
      </c>
      <c r="BU99">
        <v>49334.399999999994</v>
      </c>
      <c r="BV99">
        <v>11</v>
      </c>
      <c r="BW99">
        <v>60297.599999999991</v>
      </c>
      <c r="BX99">
        <v>8</v>
      </c>
      <c r="BY99">
        <v>43852.799999999996</v>
      </c>
      <c r="BZ99">
        <v>7</v>
      </c>
      <c r="CA99">
        <v>38371.199999999997</v>
      </c>
      <c r="CB99">
        <v>4</v>
      </c>
      <c r="CC99">
        <v>21926.399999999998</v>
      </c>
      <c r="CD99">
        <v>5</v>
      </c>
      <c r="CE99">
        <v>27407.999999999996</v>
      </c>
      <c r="CF99">
        <v>28</v>
      </c>
      <c r="CG99">
        <v>153484.79999999999</v>
      </c>
      <c r="CH99">
        <v>20</v>
      </c>
      <c r="CI99">
        <v>109631.99999999999</v>
      </c>
      <c r="CJ99">
        <v>27</v>
      </c>
      <c r="CK99">
        <v>148003.19999999998</v>
      </c>
      <c r="CL99">
        <v>35</v>
      </c>
      <c r="CM99">
        <v>191855.99999999997</v>
      </c>
      <c r="CN99">
        <v>9</v>
      </c>
      <c r="CO99">
        <v>49334.399999999994</v>
      </c>
      <c r="CP99">
        <v>9</v>
      </c>
      <c r="CQ99">
        <v>49334.399999999994</v>
      </c>
      <c r="CR99">
        <v>7</v>
      </c>
      <c r="CS99">
        <v>38371.199999999997</v>
      </c>
      <c r="CT99">
        <v>4</v>
      </c>
      <c r="CU99">
        <v>21926.399999999998</v>
      </c>
    </row>
    <row r="100" spans="2:99" x14ac:dyDescent="0.2">
      <c r="C100" s="116" t="s">
        <v>266</v>
      </c>
      <c r="D100">
        <v>19</v>
      </c>
      <c r="E100">
        <v>30825.599999999999</v>
      </c>
      <c r="F100">
        <v>18</v>
      </c>
      <c r="G100">
        <v>29203.199999999997</v>
      </c>
      <c r="H100">
        <v>12</v>
      </c>
      <c r="I100">
        <v>19468.8</v>
      </c>
      <c r="J100">
        <v>18</v>
      </c>
      <c r="K100">
        <v>29203.199999999997</v>
      </c>
      <c r="L100">
        <v>4</v>
      </c>
      <c r="M100">
        <v>6489.5999999999995</v>
      </c>
      <c r="N100">
        <v>5</v>
      </c>
      <c r="O100">
        <v>8111.9999999999991</v>
      </c>
      <c r="P100">
        <v>6</v>
      </c>
      <c r="Q100">
        <v>9734.4</v>
      </c>
      <c r="R100">
        <v>5</v>
      </c>
      <c r="S100">
        <v>8111.9999999999991</v>
      </c>
      <c r="T100">
        <v>6</v>
      </c>
      <c r="U100">
        <v>9734.4</v>
      </c>
      <c r="V100">
        <v>6</v>
      </c>
      <c r="W100">
        <v>9734.4</v>
      </c>
      <c r="X100">
        <v>6</v>
      </c>
      <c r="Y100">
        <v>9734.4</v>
      </c>
      <c r="Z100">
        <v>5</v>
      </c>
      <c r="AA100">
        <v>8111.9999999999991</v>
      </c>
      <c r="AB100">
        <v>54</v>
      </c>
      <c r="AC100">
        <v>87609.599999999991</v>
      </c>
      <c r="AD100">
        <v>62</v>
      </c>
      <c r="AE100">
        <v>100588.79999999999</v>
      </c>
      <c r="AF100">
        <v>52</v>
      </c>
      <c r="AG100">
        <v>84364.799999999988</v>
      </c>
      <c r="AH100">
        <v>52</v>
      </c>
      <c r="AI100">
        <v>84364.799999999988</v>
      </c>
      <c r="AJ100">
        <v>8</v>
      </c>
      <c r="AK100">
        <v>12979.199999999999</v>
      </c>
      <c r="AL100">
        <v>6</v>
      </c>
      <c r="AM100">
        <v>9734.4</v>
      </c>
      <c r="AN100">
        <v>7</v>
      </c>
      <c r="AO100">
        <v>11356.8</v>
      </c>
      <c r="AP100">
        <v>9</v>
      </c>
      <c r="AQ100">
        <v>14601.599999999999</v>
      </c>
      <c r="AR100">
        <v>36</v>
      </c>
      <c r="AS100">
        <v>58406.399999999994</v>
      </c>
      <c r="AT100">
        <v>22</v>
      </c>
      <c r="AU100">
        <v>35692.799999999996</v>
      </c>
      <c r="AV100">
        <v>35</v>
      </c>
      <c r="AW100">
        <v>56783.999999999993</v>
      </c>
      <c r="AX100">
        <v>30</v>
      </c>
      <c r="AY100">
        <v>48671.999999999993</v>
      </c>
      <c r="AZ100">
        <v>22</v>
      </c>
      <c r="BA100">
        <v>35692.799999999996</v>
      </c>
      <c r="BB100">
        <v>18</v>
      </c>
      <c r="BC100">
        <v>29203.199999999997</v>
      </c>
      <c r="BD100">
        <v>20</v>
      </c>
      <c r="BE100">
        <v>32447.999999999996</v>
      </c>
      <c r="BF100">
        <v>22</v>
      </c>
      <c r="BG100">
        <v>35692.799999999996</v>
      </c>
      <c r="BH100">
        <v>5</v>
      </c>
      <c r="BI100">
        <v>8111.9999999999991</v>
      </c>
      <c r="BJ100">
        <v>7</v>
      </c>
      <c r="BK100">
        <v>11356.8</v>
      </c>
      <c r="BL100">
        <v>6</v>
      </c>
      <c r="BM100">
        <v>9734.4</v>
      </c>
      <c r="BN100">
        <v>5</v>
      </c>
      <c r="BO100">
        <v>8111.9999999999991</v>
      </c>
      <c r="BP100">
        <v>18</v>
      </c>
      <c r="BQ100">
        <v>29203.199999999997</v>
      </c>
      <c r="BR100">
        <v>19</v>
      </c>
      <c r="BS100">
        <v>30825.599999999999</v>
      </c>
      <c r="BT100">
        <v>12</v>
      </c>
      <c r="BU100">
        <v>19468.8</v>
      </c>
      <c r="BV100">
        <v>17</v>
      </c>
      <c r="BW100">
        <v>27580.799999999999</v>
      </c>
      <c r="BX100">
        <v>10</v>
      </c>
      <c r="BY100">
        <v>16223.999999999998</v>
      </c>
      <c r="BZ100">
        <v>9</v>
      </c>
      <c r="CA100">
        <v>14601.599999999999</v>
      </c>
      <c r="CB100">
        <v>5</v>
      </c>
      <c r="CC100">
        <v>8111.9999999999991</v>
      </c>
      <c r="CD100">
        <v>6</v>
      </c>
      <c r="CE100">
        <v>9734.4</v>
      </c>
      <c r="CF100">
        <v>45</v>
      </c>
      <c r="CG100">
        <v>73008</v>
      </c>
      <c r="CH100">
        <v>35</v>
      </c>
      <c r="CI100">
        <v>56783.999999999993</v>
      </c>
      <c r="CJ100">
        <v>51</v>
      </c>
      <c r="CK100">
        <v>82742.399999999994</v>
      </c>
      <c r="CL100">
        <v>57</v>
      </c>
      <c r="CM100">
        <v>92476.799999999988</v>
      </c>
      <c r="CN100">
        <v>10</v>
      </c>
      <c r="CO100">
        <v>16223.999999999998</v>
      </c>
      <c r="CP100">
        <v>11</v>
      </c>
      <c r="CQ100">
        <v>17846.399999999998</v>
      </c>
      <c r="CR100">
        <v>8</v>
      </c>
      <c r="CS100">
        <v>12979.199999999999</v>
      </c>
      <c r="CT100">
        <v>6</v>
      </c>
      <c r="CU100">
        <v>9734.4</v>
      </c>
    </row>
    <row r="101" spans="2:99" x14ac:dyDescent="0.2">
      <c r="C101" s="116" t="s">
        <v>267</v>
      </c>
      <c r="D101">
        <v>20</v>
      </c>
      <c r="E101">
        <v>23807.999999999996</v>
      </c>
      <c r="F101">
        <v>20</v>
      </c>
      <c r="G101">
        <v>23807.999999999996</v>
      </c>
      <c r="H101">
        <v>13</v>
      </c>
      <c r="I101">
        <v>15475.199999999999</v>
      </c>
      <c r="J101">
        <v>21</v>
      </c>
      <c r="K101">
        <v>24998.399999999998</v>
      </c>
      <c r="L101">
        <v>4</v>
      </c>
      <c r="M101">
        <v>4761.5999999999995</v>
      </c>
      <c r="N101">
        <v>6</v>
      </c>
      <c r="O101">
        <v>7142.4</v>
      </c>
      <c r="P101">
        <v>6</v>
      </c>
      <c r="Q101">
        <v>7142.4</v>
      </c>
      <c r="R101">
        <v>5</v>
      </c>
      <c r="S101">
        <v>5951.9999999999991</v>
      </c>
      <c r="T101">
        <v>7</v>
      </c>
      <c r="U101">
        <v>8332.7999999999993</v>
      </c>
      <c r="V101">
        <v>6</v>
      </c>
      <c r="W101">
        <v>7142.4</v>
      </c>
      <c r="X101">
        <v>7</v>
      </c>
      <c r="Y101">
        <v>8332.7999999999993</v>
      </c>
      <c r="Z101">
        <v>6</v>
      </c>
      <c r="AA101">
        <v>7142.4</v>
      </c>
      <c r="AB101">
        <v>53</v>
      </c>
      <c r="AC101">
        <v>63091.19999999999</v>
      </c>
      <c r="AD101">
        <v>61</v>
      </c>
      <c r="AE101">
        <v>72614.399999999994</v>
      </c>
      <c r="AF101">
        <v>59</v>
      </c>
      <c r="AG101">
        <v>70233.599999999991</v>
      </c>
      <c r="AH101">
        <v>68</v>
      </c>
      <c r="AI101">
        <v>80947.199999999997</v>
      </c>
      <c r="AJ101">
        <v>7</v>
      </c>
      <c r="AK101">
        <v>8332.7999999999993</v>
      </c>
      <c r="AL101">
        <v>6</v>
      </c>
      <c r="AM101">
        <v>7142.4</v>
      </c>
      <c r="AN101">
        <v>6</v>
      </c>
      <c r="AO101">
        <v>7142.4</v>
      </c>
      <c r="AP101">
        <v>9</v>
      </c>
      <c r="AQ101">
        <v>10713.599999999999</v>
      </c>
      <c r="AR101">
        <v>32</v>
      </c>
      <c r="AS101">
        <v>38092.799999999996</v>
      </c>
      <c r="AT101">
        <v>25</v>
      </c>
      <c r="AU101">
        <v>29759.999999999996</v>
      </c>
      <c r="AV101">
        <v>35</v>
      </c>
      <c r="AW101">
        <v>41663.999999999993</v>
      </c>
      <c r="AX101">
        <v>30</v>
      </c>
      <c r="AY101">
        <v>35711.999999999993</v>
      </c>
      <c r="AZ101">
        <v>23</v>
      </c>
      <c r="BA101">
        <v>27379.199999999997</v>
      </c>
      <c r="BB101">
        <v>21</v>
      </c>
      <c r="BC101">
        <v>24998.399999999998</v>
      </c>
      <c r="BD101">
        <v>25</v>
      </c>
      <c r="BE101">
        <v>29759.999999999996</v>
      </c>
      <c r="BF101">
        <v>25</v>
      </c>
      <c r="BG101">
        <v>29759.999999999996</v>
      </c>
      <c r="BH101">
        <v>6</v>
      </c>
      <c r="BI101">
        <v>7142.4</v>
      </c>
      <c r="BJ101">
        <v>8</v>
      </c>
      <c r="BK101">
        <v>9523.1999999999989</v>
      </c>
      <c r="BL101">
        <v>6</v>
      </c>
      <c r="BM101">
        <v>7142.4</v>
      </c>
      <c r="BN101">
        <v>5</v>
      </c>
      <c r="BO101">
        <v>5951.9999999999991</v>
      </c>
      <c r="BP101">
        <v>17</v>
      </c>
      <c r="BQ101">
        <v>20236.8</v>
      </c>
      <c r="BR101">
        <v>22</v>
      </c>
      <c r="BS101">
        <v>26188.799999999996</v>
      </c>
      <c r="BT101">
        <v>12</v>
      </c>
      <c r="BU101">
        <v>14284.8</v>
      </c>
      <c r="BV101">
        <v>17</v>
      </c>
      <c r="BW101">
        <v>20236.8</v>
      </c>
      <c r="BX101">
        <v>11</v>
      </c>
      <c r="BY101">
        <v>13094.399999999998</v>
      </c>
      <c r="BZ101">
        <v>9</v>
      </c>
      <c r="CA101">
        <v>10713.599999999999</v>
      </c>
      <c r="CB101">
        <v>6</v>
      </c>
      <c r="CC101">
        <v>7142.4</v>
      </c>
      <c r="CD101">
        <v>7</v>
      </c>
      <c r="CE101">
        <v>8332.7999999999993</v>
      </c>
      <c r="CF101">
        <v>47</v>
      </c>
      <c r="CG101">
        <v>55948.799999999996</v>
      </c>
      <c r="CH101">
        <v>40</v>
      </c>
      <c r="CI101">
        <v>47615.999999999993</v>
      </c>
      <c r="CJ101">
        <v>60</v>
      </c>
      <c r="CK101">
        <v>71423.999999999985</v>
      </c>
      <c r="CL101">
        <v>65</v>
      </c>
      <c r="CM101">
        <v>77375.999999999985</v>
      </c>
      <c r="CN101">
        <v>11</v>
      </c>
      <c r="CO101">
        <v>13094.399999999998</v>
      </c>
      <c r="CP101">
        <v>10</v>
      </c>
      <c r="CQ101">
        <v>11903.999999999998</v>
      </c>
      <c r="CR101">
        <v>8</v>
      </c>
      <c r="CS101">
        <v>9523.1999999999989</v>
      </c>
      <c r="CT101">
        <v>6</v>
      </c>
      <c r="CU101">
        <v>7142.4</v>
      </c>
    </row>
    <row r="102" spans="2:99" x14ac:dyDescent="0.2">
      <c r="C102" s="116" t="s">
        <v>268</v>
      </c>
      <c r="D102">
        <v>19</v>
      </c>
      <c r="E102">
        <v>36844.799999999996</v>
      </c>
      <c r="F102">
        <v>16</v>
      </c>
      <c r="G102">
        <v>31027.199999999997</v>
      </c>
      <c r="H102">
        <v>12</v>
      </c>
      <c r="I102">
        <v>23270.399999999998</v>
      </c>
      <c r="J102">
        <v>18</v>
      </c>
      <c r="K102">
        <v>34905.599999999999</v>
      </c>
      <c r="L102">
        <v>4</v>
      </c>
      <c r="M102">
        <v>7756.7999999999993</v>
      </c>
      <c r="N102">
        <v>5</v>
      </c>
      <c r="O102">
        <v>9696</v>
      </c>
      <c r="P102">
        <v>5</v>
      </c>
      <c r="Q102">
        <v>9696</v>
      </c>
      <c r="R102">
        <v>5</v>
      </c>
      <c r="S102">
        <v>9696</v>
      </c>
      <c r="T102">
        <v>6</v>
      </c>
      <c r="U102">
        <v>11635.199999999999</v>
      </c>
      <c r="V102">
        <v>5</v>
      </c>
      <c r="W102">
        <v>9696</v>
      </c>
      <c r="X102">
        <v>7</v>
      </c>
      <c r="Y102">
        <v>13574.399999999998</v>
      </c>
      <c r="Z102">
        <v>5</v>
      </c>
      <c r="AA102">
        <v>9696</v>
      </c>
      <c r="AB102">
        <v>52</v>
      </c>
      <c r="AC102">
        <v>100838.39999999999</v>
      </c>
      <c r="AD102">
        <v>59</v>
      </c>
      <c r="AE102">
        <v>114412.79999999999</v>
      </c>
      <c r="AF102">
        <v>45</v>
      </c>
      <c r="AG102">
        <v>87263.999999999985</v>
      </c>
      <c r="AH102">
        <v>50</v>
      </c>
      <c r="AI102">
        <v>96959.999999999985</v>
      </c>
      <c r="AJ102">
        <v>7</v>
      </c>
      <c r="AK102">
        <v>13574.399999999998</v>
      </c>
      <c r="AL102">
        <v>6</v>
      </c>
      <c r="AM102">
        <v>11635.199999999999</v>
      </c>
      <c r="AN102">
        <v>6</v>
      </c>
      <c r="AO102">
        <v>11635.199999999999</v>
      </c>
      <c r="AP102">
        <v>9</v>
      </c>
      <c r="AQ102">
        <v>17452.8</v>
      </c>
      <c r="AR102">
        <v>33</v>
      </c>
      <c r="AS102">
        <v>63993.599999999991</v>
      </c>
      <c r="AT102">
        <v>24</v>
      </c>
      <c r="AU102">
        <v>46540.799999999996</v>
      </c>
      <c r="AV102">
        <v>30</v>
      </c>
      <c r="AW102">
        <v>58175.999999999993</v>
      </c>
      <c r="AX102">
        <v>32</v>
      </c>
      <c r="AY102">
        <v>62054.399999999994</v>
      </c>
      <c r="AZ102">
        <v>24</v>
      </c>
      <c r="BA102">
        <v>46540.799999999996</v>
      </c>
      <c r="BB102">
        <v>20</v>
      </c>
      <c r="BC102">
        <v>38784</v>
      </c>
      <c r="BD102">
        <v>23</v>
      </c>
      <c r="BE102">
        <v>44601.599999999999</v>
      </c>
      <c r="BF102">
        <v>21</v>
      </c>
      <c r="BG102">
        <v>40723.199999999997</v>
      </c>
      <c r="BH102">
        <v>5</v>
      </c>
      <c r="BI102">
        <v>9696</v>
      </c>
      <c r="BJ102">
        <v>7</v>
      </c>
      <c r="BK102">
        <v>13574.399999999998</v>
      </c>
      <c r="BL102">
        <v>5</v>
      </c>
      <c r="BM102">
        <v>9696</v>
      </c>
      <c r="BN102">
        <v>4</v>
      </c>
      <c r="BO102">
        <v>7756.7999999999993</v>
      </c>
      <c r="BP102">
        <v>16</v>
      </c>
      <c r="BQ102">
        <v>31027.199999999997</v>
      </c>
      <c r="BR102">
        <v>20</v>
      </c>
      <c r="BS102">
        <v>38784</v>
      </c>
      <c r="BT102">
        <v>11</v>
      </c>
      <c r="BU102">
        <v>21331.199999999997</v>
      </c>
      <c r="BV102">
        <v>15</v>
      </c>
      <c r="BW102">
        <v>29087.999999999996</v>
      </c>
      <c r="BX102">
        <v>11</v>
      </c>
      <c r="BY102">
        <v>21331.199999999997</v>
      </c>
      <c r="BZ102">
        <v>9</v>
      </c>
      <c r="CA102">
        <v>17452.8</v>
      </c>
      <c r="CB102">
        <v>6</v>
      </c>
      <c r="CC102">
        <v>11635.199999999999</v>
      </c>
      <c r="CD102">
        <v>6</v>
      </c>
      <c r="CE102">
        <v>11635.199999999999</v>
      </c>
      <c r="CF102">
        <v>40</v>
      </c>
      <c r="CG102">
        <v>77568</v>
      </c>
      <c r="CH102">
        <v>36</v>
      </c>
      <c r="CI102">
        <v>69811.199999999997</v>
      </c>
      <c r="CJ102">
        <v>47</v>
      </c>
      <c r="CK102">
        <v>91142.399999999994</v>
      </c>
      <c r="CL102">
        <v>57</v>
      </c>
      <c r="CM102">
        <v>110534.39999999999</v>
      </c>
      <c r="CN102">
        <v>10</v>
      </c>
      <c r="CO102">
        <v>19392</v>
      </c>
      <c r="CP102">
        <v>10</v>
      </c>
      <c r="CQ102">
        <v>19392</v>
      </c>
      <c r="CR102">
        <v>10</v>
      </c>
      <c r="CS102">
        <v>19392</v>
      </c>
      <c r="CT102">
        <v>5</v>
      </c>
      <c r="CU102">
        <v>9696</v>
      </c>
    </row>
    <row r="103" spans="2:99" x14ac:dyDescent="0.2">
      <c r="C103" s="116" t="s">
        <v>269</v>
      </c>
      <c r="D103">
        <v>17</v>
      </c>
      <c r="E103">
        <v>34476</v>
      </c>
      <c r="F103">
        <v>16</v>
      </c>
      <c r="G103">
        <v>32448</v>
      </c>
      <c r="H103">
        <v>12</v>
      </c>
      <c r="I103">
        <v>24336</v>
      </c>
      <c r="J103">
        <v>19</v>
      </c>
      <c r="K103">
        <v>38532</v>
      </c>
      <c r="L103">
        <v>4</v>
      </c>
      <c r="M103">
        <v>8112</v>
      </c>
      <c r="N103">
        <v>5</v>
      </c>
      <c r="O103">
        <v>10140</v>
      </c>
      <c r="P103">
        <v>5</v>
      </c>
      <c r="Q103">
        <v>10140</v>
      </c>
      <c r="R103">
        <v>5</v>
      </c>
      <c r="S103">
        <v>10140</v>
      </c>
      <c r="T103">
        <v>6</v>
      </c>
      <c r="U103">
        <v>12168</v>
      </c>
      <c r="V103">
        <v>6</v>
      </c>
      <c r="W103">
        <v>12168</v>
      </c>
      <c r="X103">
        <v>6</v>
      </c>
      <c r="Y103">
        <v>12168</v>
      </c>
      <c r="Z103">
        <v>5</v>
      </c>
      <c r="AA103">
        <v>10140</v>
      </c>
      <c r="AB103">
        <v>51</v>
      </c>
      <c r="AC103">
        <v>103428</v>
      </c>
      <c r="AD103">
        <v>54</v>
      </c>
      <c r="AE103">
        <v>109512</v>
      </c>
      <c r="AF103">
        <v>53</v>
      </c>
      <c r="AG103">
        <v>107484</v>
      </c>
      <c r="AH103">
        <v>56</v>
      </c>
      <c r="AI103">
        <v>113568</v>
      </c>
      <c r="AJ103">
        <v>7</v>
      </c>
      <c r="AK103">
        <v>14196</v>
      </c>
      <c r="AL103">
        <v>5</v>
      </c>
      <c r="AM103">
        <v>10140</v>
      </c>
      <c r="AN103">
        <v>6</v>
      </c>
      <c r="AO103">
        <v>12168</v>
      </c>
      <c r="AP103">
        <v>9</v>
      </c>
      <c r="AQ103">
        <v>18252</v>
      </c>
      <c r="AR103">
        <v>28</v>
      </c>
      <c r="AS103">
        <v>56784</v>
      </c>
      <c r="AT103">
        <v>20</v>
      </c>
      <c r="AU103">
        <v>40560</v>
      </c>
      <c r="AV103">
        <v>29</v>
      </c>
      <c r="AW103">
        <v>58812</v>
      </c>
      <c r="AX103">
        <v>32</v>
      </c>
      <c r="AY103">
        <v>64896</v>
      </c>
      <c r="AZ103">
        <v>24</v>
      </c>
      <c r="BA103">
        <v>48672</v>
      </c>
      <c r="BB103">
        <v>17</v>
      </c>
      <c r="BC103">
        <v>34476</v>
      </c>
      <c r="BD103">
        <v>20</v>
      </c>
      <c r="BE103">
        <v>40560</v>
      </c>
      <c r="BF103">
        <v>19</v>
      </c>
      <c r="BG103">
        <v>38532</v>
      </c>
      <c r="BH103">
        <v>5</v>
      </c>
      <c r="BI103">
        <v>10140</v>
      </c>
      <c r="BJ103">
        <v>7</v>
      </c>
      <c r="BK103">
        <v>14196</v>
      </c>
      <c r="BL103">
        <v>5</v>
      </c>
      <c r="BM103">
        <v>10140</v>
      </c>
      <c r="BN103">
        <v>5</v>
      </c>
      <c r="BO103">
        <v>10140</v>
      </c>
      <c r="BP103">
        <v>15</v>
      </c>
      <c r="BQ103">
        <v>30420</v>
      </c>
      <c r="BR103">
        <v>20</v>
      </c>
      <c r="BS103">
        <v>40560</v>
      </c>
      <c r="BT103">
        <v>12</v>
      </c>
      <c r="BU103">
        <v>24336</v>
      </c>
      <c r="BV103">
        <v>17</v>
      </c>
      <c r="BW103">
        <v>34476</v>
      </c>
      <c r="BX103">
        <v>10</v>
      </c>
      <c r="BY103">
        <v>20280</v>
      </c>
      <c r="BZ103">
        <v>9</v>
      </c>
      <c r="CA103">
        <v>18252</v>
      </c>
      <c r="CB103">
        <v>5</v>
      </c>
      <c r="CC103">
        <v>10140</v>
      </c>
      <c r="CD103">
        <v>7</v>
      </c>
      <c r="CE103">
        <v>14196</v>
      </c>
      <c r="CF103">
        <v>41</v>
      </c>
      <c r="CG103">
        <v>83148</v>
      </c>
      <c r="CH103">
        <v>33</v>
      </c>
      <c r="CI103">
        <v>66924</v>
      </c>
      <c r="CJ103">
        <v>52</v>
      </c>
      <c r="CK103">
        <v>105456</v>
      </c>
      <c r="CL103">
        <v>53</v>
      </c>
      <c r="CM103">
        <v>107484</v>
      </c>
      <c r="CN103">
        <v>11</v>
      </c>
      <c r="CO103">
        <v>22308</v>
      </c>
      <c r="CP103">
        <v>11</v>
      </c>
      <c r="CQ103">
        <v>22308</v>
      </c>
      <c r="CR103">
        <v>8</v>
      </c>
      <c r="CS103">
        <v>16224</v>
      </c>
      <c r="CT103">
        <v>5</v>
      </c>
      <c r="CU103">
        <v>10140</v>
      </c>
    </row>
    <row r="104" spans="2:99" x14ac:dyDescent="0.2">
      <c r="C104" s="116" t="s">
        <v>270</v>
      </c>
      <c r="D104">
        <v>17</v>
      </c>
      <c r="E104">
        <v>35230.800000000003</v>
      </c>
      <c r="F104">
        <v>18</v>
      </c>
      <c r="G104">
        <v>37303.200000000004</v>
      </c>
      <c r="H104">
        <v>11</v>
      </c>
      <c r="I104">
        <v>22796.400000000001</v>
      </c>
      <c r="J104">
        <v>18</v>
      </c>
      <c r="K104">
        <v>37303.200000000004</v>
      </c>
      <c r="L104">
        <v>4</v>
      </c>
      <c r="M104">
        <v>8289.6</v>
      </c>
      <c r="N104">
        <v>5</v>
      </c>
      <c r="O104">
        <v>10362</v>
      </c>
      <c r="P104">
        <v>5</v>
      </c>
      <c r="Q104">
        <v>10362</v>
      </c>
      <c r="R104">
        <v>5</v>
      </c>
      <c r="S104">
        <v>10362</v>
      </c>
      <c r="T104">
        <v>6</v>
      </c>
      <c r="U104">
        <v>12434.400000000001</v>
      </c>
      <c r="V104">
        <v>6</v>
      </c>
      <c r="W104">
        <v>12434.400000000001</v>
      </c>
      <c r="X104">
        <v>6</v>
      </c>
      <c r="Y104">
        <v>12434.400000000001</v>
      </c>
      <c r="Z104">
        <v>5</v>
      </c>
      <c r="AA104">
        <v>10362</v>
      </c>
      <c r="AB104">
        <v>50</v>
      </c>
      <c r="AC104">
        <v>103620</v>
      </c>
      <c r="AD104">
        <v>58</v>
      </c>
      <c r="AE104">
        <v>120199.20000000001</v>
      </c>
      <c r="AF104">
        <v>50</v>
      </c>
      <c r="AG104">
        <v>103620</v>
      </c>
      <c r="AH104">
        <v>59</v>
      </c>
      <c r="AI104">
        <v>122271.6</v>
      </c>
      <c r="AJ104">
        <v>8</v>
      </c>
      <c r="AK104">
        <v>16579.2</v>
      </c>
      <c r="AL104">
        <v>6</v>
      </c>
      <c r="AM104">
        <v>12434.400000000001</v>
      </c>
      <c r="AN104">
        <v>6</v>
      </c>
      <c r="AO104">
        <v>12434.400000000001</v>
      </c>
      <c r="AP104">
        <v>9</v>
      </c>
      <c r="AQ104">
        <v>18651.600000000002</v>
      </c>
      <c r="AR104">
        <v>32</v>
      </c>
      <c r="AS104">
        <v>66316.800000000003</v>
      </c>
      <c r="AT104">
        <v>21</v>
      </c>
      <c r="AU104">
        <v>43520.4</v>
      </c>
      <c r="AV104">
        <v>31</v>
      </c>
      <c r="AW104">
        <v>64244.4</v>
      </c>
      <c r="AX104">
        <v>27</v>
      </c>
      <c r="AY104">
        <v>55954.8</v>
      </c>
      <c r="AZ104">
        <v>25</v>
      </c>
      <c r="BA104">
        <v>51810</v>
      </c>
      <c r="BB104">
        <v>18</v>
      </c>
      <c r="BC104">
        <v>37303.200000000004</v>
      </c>
      <c r="BD104">
        <v>21</v>
      </c>
      <c r="BE104">
        <v>43520.4</v>
      </c>
      <c r="BF104">
        <v>19</v>
      </c>
      <c r="BG104">
        <v>39375.599999999999</v>
      </c>
      <c r="BH104">
        <v>5</v>
      </c>
      <c r="BI104">
        <v>10362</v>
      </c>
      <c r="BJ104">
        <v>7</v>
      </c>
      <c r="BK104">
        <v>14506.800000000001</v>
      </c>
      <c r="BL104">
        <v>5</v>
      </c>
      <c r="BM104">
        <v>10362</v>
      </c>
      <c r="BN104">
        <v>4</v>
      </c>
      <c r="BO104">
        <v>8289.6</v>
      </c>
      <c r="BP104">
        <v>17</v>
      </c>
      <c r="BQ104">
        <v>35230.800000000003</v>
      </c>
      <c r="BR104">
        <v>19</v>
      </c>
      <c r="BS104">
        <v>39375.599999999999</v>
      </c>
      <c r="BT104">
        <v>12</v>
      </c>
      <c r="BU104">
        <v>24868.800000000003</v>
      </c>
      <c r="BV104">
        <v>14</v>
      </c>
      <c r="BW104">
        <v>29013.600000000002</v>
      </c>
      <c r="BX104">
        <v>9</v>
      </c>
      <c r="BY104">
        <v>18651.600000000002</v>
      </c>
      <c r="BZ104">
        <v>10</v>
      </c>
      <c r="CA104">
        <v>20724</v>
      </c>
      <c r="CB104">
        <v>6</v>
      </c>
      <c r="CC104">
        <v>12434.400000000001</v>
      </c>
      <c r="CD104">
        <v>6</v>
      </c>
      <c r="CE104">
        <v>12434.400000000001</v>
      </c>
      <c r="CF104">
        <v>41</v>
      </c>
      <c r="CG104">
        <v>84968.400000000009</v>
      </c>
      <c r="CH104">
        <v>39</v>
      </c>
      <c r="CI104">
        <v>80823.600000000006</v>
      </c>
      <c r="CJ104">
        <v>45</v>
      </c>
      <c r="CK104">
        <v>93258</v>
      </c>
      <c r="CL104">
        <v>55</v>
      </c>
      <c r="CM104">
        <v>113982</v>
      </c>
      <c r="CN104">
        <v>10</v>
      </c>
      <c r="CO104">
        <v>20724</v>
      </c>
      <c r="CP104">
        <v>10</v>
      </c>
      <c r="CQ104">
        <v>20724</v>
      </c>
      <c r="CR104">
        <v>9</v>
      </c>
      <c r="CS104">
        <v>18651.600000000002</v>
      </c>
      <c r="CT104">
        <v>5</v>
      </c>
      <c r="CU104">
        <v>10362</v>
      </c>
    </row>
    <row r="105" spans="2:99" x14ac:dyDescent="0.2">
      <c r="C105" s="116" t="s">
        <v>271</v>
      </c>
      <c r="D105">
        <v>17</v>
      </c>
      <c r="E105">
        <v>33966</v>
      </c>
      <c r="F105">
        <v>17</v>
      </c>
      <c r="G105">
        <v>33966</v>
      </c>
      <c r="H105">
        <v>11</v>
      </c>
      <c r="I105">
        <v>21978</v>
      </c>
      <c r="J105">
        <v>17</v>
      </c>
      <c r="K105">
        <v>33966</v>
      </c>
      <c r="L105">
        <v>4</v>
      </c>
      <c r="M105">
        <v>7992</v>
      </c>
      <c r="N105">
        <v>5</v>
      </c>
      <c r="O105">
        <v>9990</v>
      </c>
      <c r="P105">
        <v>6</v>
      </c>
      <c r="Q105">
        <v>11988</v>
      </c>
      <c r="R105">
        <v>5</v>
      </c>
      <c r="S105">
        <v>9990</v>
      </c>
      <c r="T105">
        <v>6</v>
      </c>
      <c r="U105">
        <v>11988</v>
      </c>
      <c r="V105">
        <v>5</v>
      </c>
      <c r="W105">
        <v>9990</v>
      </c>
      <c r="X105">
        <v>6</v>
      </c>
      <c r="Y105">
        <v>11988</v>
      </c>
      <c r="Z105">
        <v>5</v>
      </c>
      <c r="AA105">
        <v>9990</v>
      </c>
      <c r="AB105">
        <v>52</v>
      </c>
      <c r="AC105">
        <v>103896</v>
      </c>
      <c r="AD105">
        <v>58</v>
      </c>
      <c r="AE105">
        <v>115884</v>
      </c>
      <c r="AF105">
        <v>53</v>
      </c>
      <c r="AG105">
        <v>105894</v>
      </c>
      <c r="AH105">
        <v>53</v>
      </c>
      <c r="AI105">
        <v>105894</v>
      </c>
      <c r="AJ105">
        <v>7</v>
      </c>
      <c r="AK105">
        <v>13986</v>
      </c>
      <c r="AL105">
        <v>5</v>
      </c>
      <c r="AM105">
        <v>9990</v>
      </c>
      <c r="AN105">
        <v>6</v>
      </c>
      <c r="AO105">
        <v>11988</v>
      </c>
      <c r="AP105">
        <v>9</v>
      </c>
      <c r="AQ105">
        <v>17982</v>
      </c>
      <c r="AR105">
        <v>33</v>
      </c>
      <c r="AS105">
        <v>65934</v>
      </c>
      <c r="AT105">
        <v>22</v>
      </c>
      <c r="AU105">
        <v>43956</v>
      </c>
      <c r="AV105">
        <v>31</v>
      </c>
      <c r="AW105">
        <v>61938</v>
      </c>
      <c r="AX105">
        <v>27</v>
      </c>
      <c r="AY105">
        <v>53946</v>
      </c>
      <c r="AZ105">
        <v>22</v>
      </c>
      <c r="BA105">
        <v>43956</v>
      </c>
      <c r="BB105">
        <v>20</v>
      </c>
      <c r="BC105">
        <v>39960</v>
      </c>
      <c r="BD105">
        <v>19</v>
      </c>
      <c r="BE105">
        <v>37962</v>
      </c>
      <c r="BF105">
        <v>20</v>
      </c>
      <c r="BG105">
        <v>39960</v>
      </c>
      <c r="BH105">
        <v>5</v>
      </c>
      <c r="BI105">
        <v>9990</v>
      </c>
      <c r="BJ105">
        <v>7</v>
      </c>
      <c r="BK105">
        <v>13986</v>
      </c>
      <c r="BL105">
        <v>5</v>
      </c>
      <c r="BM105">
        <v>9990</v>
      </c>
      <c r="BN105">
        <v>5</v>
      </c>
      <c r="BO105">
        <v>9990</v>
      </c>
      <c r="BP105">
        <v>17</v>
      </c>
      <c r="BQ105">
        <v>33966</v>
      </c>
      <c r="BR105">
        <v>18</v>
      </c>
      <c r="BS105">
        <v>35964</v>
      </c>
      <c r="BT105">
        <v>12</v>
      </c>
      <c r="BU105">
        <v>23976</v>
      </c>
      <c r="BV105">
        <v>17</v>
      </c>
      <c r="BW105">
        <v>33966</v>
      </c>
      <c r="BX105">
        <v>9</v>
      </c>
      <c r="BY105">
        <v>17982</v>
      </c>
      <c r="BZ105">
        <v>10</v>
      </c>
      <c r="CA105">
        <v>19980</v>
      </c>
      <c r="CB105">
        <v>5</v>
      </c>
      <c r="CC105">
        <v>9990</v>
      </c>
      <c r="CD105">
        <v>7</v>
      </c>
      <c r="CE105">
        <v>13986</v>
      </c>
      <c r="CF105">
        <v>45</v>
      </c>
      <c r="CG105">
        <v>89910</v>
      </c>
      <c r="CH105">
        <v>37</v>
      </c>
      <c r="CI105">
        <v>73926</v>
      </c>
      <c r="CJ105">
        <v>51</v>
      </c>
      <c r="CK105">
        <v>101898</v>
      </c>
      <c r="CL105">
        <v>51</v>
      </c>
      <c r="CM105">
        <v>101898</v>
      </c>
      <c r="CN105">
        <v>10</v>
      </c>
      <c r="CO105">
        <v>19980</v>
      </c>
      <c r="CP105">
        <v>11</v>
      </c>
      <c r="CQ105">
        <v>21978</v>
      </c>
      <c r="CR105">
        <v>9</v>
      </c>
      <c r="CS105">
        <v>17982</v>
      </c>
      <c r="CT105">
        <v>5</v>
      </c>
      <c r="CU105">
        <v>9990</v>
      </c>
    </row>
    <row r="107" spans="2:99" x14ac:dyDescent="0.2">
      <c r="B107" s="119" t="s">
        <v>276</v>
      </c>
    </row>
    <row r="108" spans="2:99" x14ac:dyDescent="0.2">
      <c r="C108" s="116" t="s">
        <v>277</v>
      </c>
      <c r="D108" s="116" t="s">
        <v>92</v>
      </c>
      <c r="E108" s="116" t="s">
        <v>93</v>
      </c>
      <c r="F108" s="116" t="s">
        <v>94</v>
      </c>
      <c r="G108" s="116" t="s">
        <v>95</v>
      </c>
      <c r="H108" s="116" t="s">
        <v>96</v>
      </c>
      <c r="I108" s="116" t="s">
        <v>97</v>
      </c>
      <c r="J108" s="116" t="s">
        <v>98</v>
      </c>
      <c r="K108" s="116" t="s">
        <v>99</v>
      </c>
      <c r="L108" s="116" t="s">
        <v>100</v>
      </c>
      <c r="M108" s="116" t="s">
        <v>101</v>
      </c>
      <c r="N108" s="116" t="s">
        <v>102</v>
      </c>
      <c r="O108" s="116" t="s">
        <v>103</v>
      </c>
    </row>
    <row r="109" spans="2:99" x14ac:dyDescent="0.2">
      <c r="C109" s="116" t="s">
        <v>126</v>
      </c>
      <c r="D109">
        <f>SUM(D$6:D$19)+SUM(F$6:F$19)+SUM(H$6:H$19)+SUM(J$6:J$19)</f>
        <v>1193</v>
      </c>
      <c r="E109">
        <f>SUM(L$6:L$19)+SUM(N$6:N$19)+SUM(P$6:P$19)+SUM(R$6:R$19)</f>
        <v>390</v>
      </c>
      <c r="F109">
        <f>SUM(T$6:T$19)+SUM(V$6:V$19)+SUM(X$6:X$19)+SUM(Z$6:Z$19)</f>
        <v>1116</v>
      </c>
      <c r="G109">
        <f>SUM(AB$6:AB$19)+SUM(AD$6:AD$19)+SUM(AF$6:AF$19)+SUM(AH$6:AH$19)</f>
        <v>937</v>
      </c>
      <c r="H109">
        <f>SUM(AJ$6:AJ$19)+SUM(AL$6:AL$19)+SUM(AN$6:AN$19)+SUM(AP$6:AP$19)</f>
        <v>263</v>
      </c>
      <c r="I109">
        <f>SUM(AR$6:AR$19)+SUM(AT$6:AT$19)+SUM(AV$6:AV$19)+SUM(AX$6:AX$19)</f>
        <v>2727</v>
      </c>
      <c r="J109">
        <f>SUM(AZ$6:AZ$19)+SUM(BB$6:BB$19)+SUM(BD$6:BD$19)+SUM(BF$6:BF$19)</f>
        <v>952</v>
      </c>
      <c r="K109">
        <f>SUM(BH$6:BH$19)+SUM(BJ$6:BJ$19)+SUM(BL$6:BL$19)+SUM(BN$6:BN$19)</f>
        <v>229</v>
      </c>
      <c r="L109">
        <f>SUM(BP$6:BP$19)+SUM(BR$6:BR$19)+SUM(BT$6:BT$19)+SUM(BV$6:BV$19)</f>
        <v>346</v>
      </c>
      <c r="M109">
        <f>SUM(BX$6:BX$19)+SUM(BZ$6:BZ$19)+SUM(CB$6:CB$19)+SUM(CD$6:CD$19)</f>
        <v>729</v>
      </c>
      <c r="N109">
        <f>SUM(CF$6:CF$19)+SUM(CH$6:CH$19)+SUM(CJ$6:CJ$19)+SUM(CL$6:CL$19)</f>
        <v>474</v>
      </c>
      <c r="O109">
        <f>SUM(CN$6:CN$19)+SUM(CP$6:CP$19)+SUM(CR$6:CR$19)+SUM(CT$6:CT$19)</f>
        <v>611</v>
      </c>
    </row>
    <row r="110" spans="2:99" x14ac:dyDescent="0.2">
      <c r="C110" s="116" t="s">
        <v>127</v>
      </c>
      <c r="D110">
        <f>SUM(D$20:D$36)+SUM(F$20:F$36)+SUM(H$20:H$36)+SUM(J$20:J$36)</f>
        <v>2205</v>
      </c>
      <c r="E110">
        <f>SUM(L$20:L$36)+SUM(N$20:N$36)+SUM(P$20:P$36)+SUM(R$20:R$36)</f>
        <v>695</v>
      </c>
      <c r="F110">
        <f>SUM(T$20:T$36)+SUM(V$20:V$36)+SUM(X$20:X$36)+SUM(Z$20:Z$36)</f>
        <v>1763</v>
      </c>
      <c r="G110">
        <f>SUM(AB$20:AB$36)+SUM(AD$20:AD$36)+SUM(AF$20:AF$36)+SUM(AH$20:AH$36)</f>
        <v>514</v>
      </c>
      <c r="H110">
        <f>SUM(AJ$20:AJ$36)+SUM(AL$20:AL$36)+SUM(AN$20:AN$36)+SUM(AP$20:AP$36)</f>
        <v>1515</v>
      </c>
      <c r="I110">
        <f>SUM(AR$20:AR$36)+SUM(AT$20:AT$36)+SUM(AV$20:AV$36)+SUM(AX$20:AX$36)</f>
        <v>1266</v>
      </c>
      <c r="J110">
        <f>SUM(AZ$20:AZ$36)+SUM(BB$20:BB$36)+SUM(BD$20:BD$36)+SUM(BF$20:BF$36)</f>
        <v>417</v>
      </c>
      <c r="K110">
        <f>SUM(BH$20:BH$36)+SUM(BJ$20:BJ$36)+SUM(BL$20:BL$36)+SUM(BN$20:BN$36)</f>
        <v>5008</v>
      </c>
      <c r="L110">
        <f>SUM(BP$20:BP$36)+SUM(BR$20:BR$36)+SUM(BT$20:BT$36)+SUM(BV$20:BV$36)</f>
        <v>1917</v>
      </c>
      <c r="M110">
        <f>SUM(BX$20:BX$36)+SUM(BZ$20:BZ$36)+SUM(CB$20:CB$36)+SUM(CD$20:CD$36)</f>
        <v>710</v>
      </c>
      <c r="N110">
        <f>SUM(CF$20:CF$36)+SUM(CH$20:CH$36)+SUM(CJ$20:CJ$36)+SUM(CL$20:CL$36)</f>
        <v>1425</v>
      </c>
      <c r="O110">
        <f>SUM(CN$20:CN$36)+SUM(CP$20:CP$36)+SUM(CR$20:CR$36)+SUM(CT$20:CT$36)</f>
        <v>691</v>
      </c>
    </row>
    <row r="111" spans="2:99" x14ac:dyDescent="0.2">
      <c r="C111" s="116" t="s">
        <v>128</v>
      </c>
      <c r="D111">
        <f>SUM(D$37:D$48)+SUM(F$37:F$48)+SUM(H$37:H$48)+SUM(J$37:J$48)</f>
        <v>262</v>
      </c>
      <c r="E111">
        <f>SUM(L$37:L$48)+SUM(N$37:N$48)+SUM(P$37:P$48)+SUM(R$37:R$48)</f>
        <v>3239</v>
      </c>
      <c r="F111">
        <f>SUM(T$37:T$48)+SUM(V$37:V$48)+SUM(X$37:X$48)+SUM(Z$37:Z$48)</f>
        <v>2624</v>
      </c>
      <c r="G111">
        <f>SUM(AB$37:AB$48)+SUM(AD$37:AD$48)+SUM(AF$37:AF$48)+SUM(AH$37:AH$48)</f>
        <v>405</v>
      </c>
      <c r="H111">
        <f>SUM(AJ$37:AJ$48)+SUM(AL$37:AL$48)+SUM(AN$37:AN$48)+SUM(AP$37:AP$48)</f>
        <v>863</v>
      </c>
      <c r="I111">
        <f>SUM(AR$37:AR$48)+SUM(AT$37:AT$48)+SUM(AV$37:AV$48)+SUM(AX$37:AX$48)</f>
        <v>1405</v>
      </c>
      <c r="J111">
        <f>SUM(AZ$37:AZ$48)+SUM(BB$37:BB$48)+SUM(BD$37:BD$48)+SUM(BF$37:BF$48)</f>
        <v>274</v>
      </c>
      <c r="K111">
        <f>SUM(BH$37:BH$48)+SUM(BJ$37:BJ$48)+SUM(BL$37:BL$48)+SUM(BN$37:BN$48)</f>
        <v>333</v>
      </c>
      <c r="L111">
        <f>SUM(BP$37:BP$48)+SUM(BR$37:BR$48)+SUM(BT$37:BT$48)+SUM(BV$37:BV$48)</f>
        <v>520</v>
      </c>
      <c r="M111">
        <f>SUM(BX$37:BX$48)+SUM(BZ$37:BZ$48)+SUM(CB$37:CB$48)+SUM(CD$37:CD$48)</f>
        <v>407</v>
      </c>
      <c r="N111">
        <f>SUM(CF$37:CF$48)+SUM(CH$37:CH$48)+SUM(CJ$37:CJ$48)+SUM(CL$37:CL$48)</f>
        <v>1416</v>
      </c>
      <c r="O111">
        <f>SUM(CN$37:CN$48)+SUM(CP$37:CP$48)+SUM(CR$37:CR$48)+SUM(CT$37:CT$48)</f>
        <v>377</v>
      </c>
    </row>
    <row r="112" spans="2:99" x14ac:dyDescent="0.2">
      <c r="C112" s="116" t="s">
        <v>129</v>
      </c>
      <c r="D112">
        <f>SUM(D$49:D$70)+SUM(F$49:F$70)+SUM(H$49:H$70)+SUM(J$49:J$70)</f>
        <v>1678</v>
      </c>
      <c r="E112">
        <f>SUM(L$49:L$70)+SUM(N$49:N$70)+SUM(P$49:P$70)+SUM(R$49:R$70)</f>
        <v>875</v>
      </c>
      <c r="F112">
        <f>SUM(T$49:T$70)+SUM(V$49:V$70)+SUM(X$49:X$70)+SUM(Z$49:Z$70)</f>
        <v>2057</v>
      </c>
      <c r="G112">
        <f>SUM(AB$49:AB$70)+SUM(AD$49:AD$70)+SUM(AF$49:AF$70)+SUM(AH$49:AH$70)</f>
        <v>1594</v>
      </c>
      <c r="H112">
        <f>SUM(AJ$49:AJ$70)+SUM(AL$49:AL$70)+SUM(AN$49:AN$70)+SUM(AP$49:AP$70)</f>
        <v>3197</v>
      </c>
      <c r="I112">
        <f>SUM(AR$49:AR$70)+SUM(AT$49:AT$70)+SUM(AV$49:AV$70)+SUM(AX$49:AX$70)</f>
        <v>1638</v>
      </c>
      <c r="J112">
        <f>SUM(AZ$49:AZ$70)+SUM(BB$49:BB$70)+SUM(BD$49:BD$70)+SUM(BF$49:BF$70)</f>
        <v>483</v>
      </c>
      <c r="K112">
        <f>SUM(BH$49:BH$70)+SUM(BJ$49:BJ$70)+SUM(BL$49:BL$70)+SUM(BN$49:BN$70)</f>
        <v>947</v>
      </c>
      <c r="L112">
        <f>SUM(BP$49:BP$70)+SUM(BR$49:BR$70)+SUM(BT$49:BT$70)+SUM(BV$49:BV$70)</f>
        <v>723</v>
      </c>
      <c r="M112">
        <f>SUM(BX$49:BX$70)+SUM(BZ$49:BZ$70)+SUM(CB$49:CB$70)+SUM(CD$49:CD$70)</f>
        <v>1669</v>
      </c>
      <c r="N112">
        <f>SUM(CF$49:CF$70)+SUM(CH$49:CH$70)+SUM(CJ$49:CJ$70)+SUM(CL$49:CL$70)</f>
        <v>2567</v>
      </c>
      <c r="O112">
        <f>SUM(CN$49:CN$70)+SUM(CP$49:CP$70)+SUM(CR$49:CR$70)+SUM(CT$49:CT$70)</f>
        <v>2752</v>
      </c>
    </row>
    <row r="113" spans="2:15" x14ac:dyDescent="0.2">
      <c r="C113" s="116" t="s">
        <v>130</v>
      </c>
      <c r="D113">
        <f>SUM(D$71:D$86)+SUM(F$71:F$86)+SUM(H$71:H$86)+SUM(J$71:J$86)</f>
        <v>202</v>
      </c>
      <c r="E113">
        <f>SUM(L$71:L$86)+SUM(N$71:N$86)+SUM(P$71:P$86)+SUM(R$71:R$86)</f>
        <v>525</v>
      </c>
      <c r="F113">
        <f>SUM(T$71:T$86)+SUM(V$71:V$86)+SUM(X$71:X$86)+SUM(Z$71:Z$86)</f>
        <v>1736</v>
      </c>
      <c r="G113">
        <f>SUM(AB$71:AB$86)+SUM(AD$71:AD$86)+SUM(AF$71:AF$86)+SUM(AH$71:AH$86)</f>
        <v>1421</v>
      </c>
      <c r="H113">
        <f>SUM(AJ$71:AJ$86)+SUM(AL$71:AL$86)+SUM(AN$71:AN$86)+SUM(AP$71:AP$86)</f>
        <v>1094</v>
      </c>
      <c r="I113">
        <f>SUM(AR$71:AR$86)+SUM(AT$71:AT$86)+SUM(AV$71:AV$86)+SUM(AX$71:AX$86)</f>
        <v>3637</v>
      </c>
      <c r="J113">
        <f>SUM(AZ$71:AZ$86)+SUM(BB$71:BB$86)+SUM(BD$71:BD$86)+SUM(BF$71:BF$86)</f>
        <v>807</v>
      </c>
      <c r="K113">
        <f>SUM(BH$71:BH$86)+SUM(BJ$71:BJ$86)+SUM(BL$71:BL$86)+SUM(BN$71:BN$86)</f>
        <v>295</v>
      </c>
      <c r="L113">
        <f>SUM(BP$71:BP$86)+SUM(BR$71:BR$86)+SUM(BT$71:BT$86)+SUM(BV$71:BV$86)</f>
        <v>668</v>
      </c>
      <c r="M113">
        <f>SUM(BX$71:BX$86)+SUM(BZ$71:BZ$86)+SUM(CB$71:CB$86)+SUM(CD$71:CD$86)</f>
        <v>955</v>
      </c>
      <c r="N113">
        <f>SUM(CF$71:CF$86)+SUM(CH$71:CH$86)+SUM(CJ$71:CJ$86)+SUM(CL$71:CL$86)</f>
        <v>333</v>
      </c>
      <c r="O113">
        <f>SUM(CN$71:CN$86)+SUM(CP$71:CP$86)+SUM(CR$71:CR$86)+SUM(CT$71:CT$86)</f>
        <v>391</v>
      </c>
    </row>
    <row r="114" spans="2:15" x14ac:dyDescent="0.2">
      <c r="C114" s="116" t="s">
        <v>131</v>
      </c>
      <c r="D114">
        <f>SUM(D$87:D$94)+SUM(F$87:F$94)+SUM(H$87:H$94)+SUM(J$87:J$94)</f>
        <v>546</v>
      </c>
      <c r="E114">
        <f>SUM(L$87:L$94)+SUM(N$87:N$94)+SUM(P$87:P$94)+SUM(R$87:R$94)</f>
        <v>132</v>
      </c>
      <c r="F114">
        <f>SUM(T$87:T$94)+SUM(V$87:V$94)+SUM(X$87:X$94)+SUM(Z$87:Z$94)</f>
        <v>306</v>
      </c>
      <c r="G114">
        <f>SUM(AB$87:AB$94)+SUM(AD$87:AD$94)+SUM(AF$87:AF$94)+SUM(AH$87:AH$94)</f>
        <v>414</v>
      </c>
      <c r="H114">
        <f>SUM(AJ$87:AJ$94)+SUM(AL$87:AL$94)+SUM(AN$87:AN$94)+SUM(AP$87:AP$94)</f>
        <v>440</v>
      </c>
      <c r="I114">
        <f>SUM(AR$87:AR$94)+SUM(AT$87:AT$94)+SUM(AV$87:AV$94)+SUM(AX$87:AX$94)</f>
        <v>260</v>
      </c>
      <c r="J114">
        <f>SUM(AZ$87:AZ$94)+SUM(BB$87:BB$94)+SUM(BD$87:BD$94)+SUM(BF$87:BF$94)</f>
        <v>200</v>
      </c>
      <c r="K114">
        <f>SUM(BH$87:BH$94)+SUM(BJ$87:BJ$94)+SUM(BL$87:BL$94)+SUM(BN$87:BN$94)</f>
        <v>222</v>
      </c>
      <c r="L114">
        <f>SUM(BP$87:BP$94)+SUM(BR$87:BR$94)+SUM(BT$87:BT$94)+SUM(BV$87:BV$94)</f>
        <v>1328</v>
      </c>
      <c r="M114">
        <f>SUM(BX$87:BX$94)+SUM(BZ$87:BZ$94)+SUM(CB$87:CB$94)+SUM(CD$87:CD$94)</f>
        <v>163</v>
      </c>
      <c r="N114">
        <f>SUM(CF$87:CF$94)+SUM(CH$87:CH$94)+SUM(CJ$87:CJ$94)+SUM(CL$87:CL$94)</f>
        <v>171</v>
      </c>
      <c r="O114">
        <f>SUM(CN$87:CN$94)+SUM(CP$87:CP$94)+SUM(CR$87:CR$94)+SUM(CT$87:CT$94)</f>
        <v>212</v>
      </c>
    </row>
    <row r="115" spans="2:15" x14ac:dyDescent="0.2">
      <c r="C115" s="116" t="s">
        <v>132</v>
      </c>
      <c r="D115">
        <f>SUM(D$95:D$105)+SUM(F$95:F$105)+SUM(H$95:H$105)+SUM(J$95:J$105)</f>
        <v>724</v>
      </c>
      <c r="E115">
        <f>SUM(L$95:L$105)+SUM(N$95:N$105)+SUM(P$95:P$105)+SUM(R$95:R$105)</f>
        <v>216</v>
      </c>
      <c r="F115">
        <f>SUM(T$95:T$105)+SUM(V$95:V$105)+SUM(X$95:X$105)+SUM(Z$95:Z$105)</f>
        <v>254</v>
      </c>
      <c r="G115">
        <f>SUM(AB$95:AB$105)+SUM(AD$95:AD$105)+SUM(AF$95:AF$105)+SUM(AH$95:AH$105)</f>
        <v>2394</v>
      </c>
      <c r="H115">
        <f>SUM(AJ$95:AJ$105)+SUM(AL$95:AL$105)+SUM(AN$95:AN$105)+SUM(AP$95:AP$105)</f>
        <v>303</v>
      </c>
      <c r="I115">
        <f>SUM(AR$95:AR$105)+SUM(AT$95:AT$105)+SUM(AV$95:AV$105)+SUM(AX$95:AX$105)</f>
        <v>1268</v>
      </c>
      <c r="J115">
        <f>SUM(AZ$95:AZ$105)+SUM(BB$95:BB$105)+SUM(BD$95:BD$105)+SUM(BF$95:BF$105)</f>
        <v>915</v>
      </c>
      <c r="K115">
        <f>SUM(BH$95:BH$105)+SUM(BJ$95:BJ$105)+SUM(BL$95:BL$105)+SUM(BN$95:BN$105)</f>
        <v>240</v>
      </c>
      <c r="L115">
        <f>SUM(BP$95:BP$105)+SUM(BR$95:BR$105)+SUM(BT$95:BT$105)+SUM(BV$95:BV$105)</f>
        <v>690</v>
      </c>
      <c r="M115">
        <f>SUM(BX$95:BX$105)+SUM(BZ$95:BZ$105)+SUM(CB$95:CB$105)+SUM(CD$95:CD$105)</f>
        <v>343</v>
      </c>
      <c r="N115">
        <f>SUM(CF$95:CF$105)+SUM(CH$95:CH$105)+SUM(CJ$95:CJ$105)+SUM(CL$95:CL$105)</f>
        <v>2068</v>
      </c>
      <c r="O115">
        <f>SUM(CN$95:CN$105)+SUM(CP$95:CP$105)+SUM(CR$95:CR$105)+SUM(CT$95:CT$105)</f>
        <v>380</v>
      </c>
    </row>
    <row r="116" spans="2:15" x14ac:dyDescent="0.2">
      <c r="C116" s="116" t="s">
        <v>278</v>
      </c>
      <c r="D116">
        <f t="shared" ref="D116:O116" si="0">SUM(D$109:D$115)</f>
        <v>6810</v>
      </c>
      <c r="E116">
        <f t="shared" si="0"/>
        <v>6072</v>
      </c>
      <c r="F116">
        <f t="shared" si="0"/>
        <v>9856</v>
      </c>
      <c r="G116">
        <f t="shared" si="0"/>
        <v>7679</v>
      </c>
      <c r="H116">
        <f t="shared" si="0"/>
        <v>7675</v>
      </c>
      <c r="I116">
        <f t="shared" si="0"/>
        <v>12201</v>
      </c>
      <c r="J116">
        <f t="shared" si="0"/>
        <v>4048</v>
      </c>
      <c r="K116">
        <f t="shared" si="0"/>
        <v>7274</v>
      </c>
      <c r="L116">
        <f t="shared" si="0"/>
        <v>6192</v>
      </c>
      <c r="M116">
        <f t="shared" si="0"/>
        <v>4976</v>
      </c>
      <c r="N116">
        <f t="shared" si="0"/>
        <v>8454</v>
      </c>
      <c r="O116">
        <f t="shared" si="0"/>
        <v>5414</v>
      </c>
    </row>
    <row r="118" spans="2:15" x14ac:dyDescent="0.2">
      <c r="B118" s="118" t="s">
        <v>279</v>
      </c>
    </row>
    <row r="119" spans="2:15" x14ac:dyDescent="0.2">
      <c r="C119" s="116" t="s">
        <v>277</v>
      </c>
      <c r="D119" s="116" t="s">
        <v>92</v>
      </c>
      <c r="E119" s="116" t="s">
        <v>93</v>
      </c>
      <c r="F119" s="116" t="s">
        <v>94</v>
      </c>
      <c r="G119" s="116" t="s">
        <v>95</v>
      </c>
      <c r="H119" s="116" t="s">
        <v>96</v>
      </c>
      <c r="I119" s="116" t="s">
        <v>97</v>
      </c>
      <c r="J119" s="116" t="s">
        <v>98</v>
      </c>
      <c r="K119" s="116" t="s">
        <v>99</v>
      </c>
      <c r="L119" s="116" t="s">
        <v>100</v>
      </c>
      <c r="M119" s="116" t="s">
        <v>101</v>
      </c>
      <c r="N119" s="116" t="s">
        <v>102</v>
      </c>
      <c r="O119" s="116" t="s">
        <v>103</v>
      </c>
    </row>
    <row r="120" spans="2:15" x14ac:dyDescent="0.2">
      <c r="C120" s="116" t="s">
        <v>126</v>
      </c>
      <c r="D120">
        <f>D109*pricing!D6*2000</f>
        <v>3885515.8793297969</v>
      </c>
      <c r="E120">
        <f>E109*pricing!E6*2000</f>
        <v>2124895.3295642454</v>
      </c>
      <c r="F120">
        <f>F109*pricing!F6*2000</f>
        <v>3751312.5718915872</v>
      </c>
      <c r="G120">
        <f>G109*pricing!G6*2000</f>
        <v>3485162.1796850287</v>
      </c>
      <c r="H120">
        <f>H109*pricing!H6*2000</f>
        <v>1659474.7152901771</v>
      </c>
      <c r="I120">
        <f>I109*pricing!I6*2000</f>
        <v>6768055.4016626459</v>
      </c>
      <c r="J120">
        <f>J109*pricing!J6*2000</f>
        <v>3866993.1923600887</v>
      </c>
      <c r="K120">
        <f>K109*pricing!K6*2000</f>
        <v>1551282.7334503576</v>
      </c>
      <c r="L120">
        <f>L109*pricing!L6*2000</f>
        <v>2041992.0166888577</v>
      </c>
      <c r="M120">
        <f>M109*pricing!M6*2000</f>
        <v>2958655.3708255175</v>
      </c>
      <c r="N120">
        <f>N109*pricing!N6*2000</f>
        <v>2619656.9012862663</v>
      </c>
      <c r="O120">
        <f>O109*pricing!O6*2000</f>
        <v>2960521.1655778456</v>
      </c>
    </row>
    <row r="121" spans="2:15" x14ac:dyDescent="0.2">
      <c r="C121" s="116" t="s">
        <v>127</v>
      </c>
      <c r="D121">
        <f>D110*pricing!D7*2000</f>
        <v>7907800.952380388</v>
      </c>
      <c r="E121">
        <f>E110*pricing!E7*2000</f>
        <v>3899810.1734762928</v>
      </c>
      <c r="F121">
        <f>F110*pricing!F7*2000</f>
        <v>6308733.4226389686</v>
      </c>
      <c r="G121">
        <f>G110*pricing!G7*2000</f>
        <v>3180661.48664357</v>
      </c>
      <c r="H121">
        <f>H110*pricing!H7*2000</f>
        <v>5769127.2381526185</v>
      </c>
      <c r="I121">
        <f>I110*pricing!I7*2000</f>
        <v>5200153.3944032891</v>
      </c>
      <c r="J121">
        <f>J110*pricing!J7*2000</f>
        <v>2815264.0746285776</v>
      </c>
      <c r="K121">
        <f>K110*pricing!K7*2000</f>
        <v>11887439.364023559</v>
      </c>
      <c r="L121">
        <f>L110*pricing!L7*2000</f>
        <v>6834195.39448338</v>
      </c>
      <c r="M121">
        <f>M110*pricing!M7*2000</f>
        <v>4141617.0924713388</v>
      </c>
      <c r="N121">
        <f>N110*pricing!N7*2000</f>
        <v>5820608.0249592066</v>
      </c>
      <c r="O121">
        <f>O110*pricing!O7*2000</f>
        <v>3868928.7329119686</v>
      </c>
    </row>
    <row r="122" spans="2:15" x14ac:dyDescent="0.2">
      <c r="C122" s="116" t="s">
        <v>128</v>
      </c>
      <c r="D122">
        <f>D111*pricing!D8*2000</f>
        <v>1879835.8505216895</v>
      </c>
      <c r="E122">
        <f>E111*pricing!E8*2000</f>
        <v>6699560.7696964247</v>
      </c>
      <c r="F122">
        <f>F111*pricing!F8*2000</f>
        <v>5839766.5368057983</v>
      </c>
      <c r="G122">
        <f>G111*pricing!G8*2000</f>
        <v>2285068.5556891412</v>
      </c>
      <c r="H122">
        <f>H111*pricing!H8*2000</f>
        <v>3550941.5722248051</v>
      </c>
      <c r="I122">
        <f>I111*pricing!I8*2000</f>
        <v>4662155.5203452241</v>
      </c>
      <c r="J122">
        <f>J111*pricing!J8*2000</f>
        <v>1721379.3833843831</v>
      </c>
      <c r="K122">
        <f>K111*pricing!K8*2000</f>
        <v>1995391.0364144188</v>
      </c>
      <c r="L122">
        <f>L111*pricing!L8*2000</f>
        <v>2735331.7687850231</v>
      </c>
      <c r="M122">
        <f>M111*pricing!M8*2000</f>
        <v>2380601.4014217206</v>
      </c>
      <c r="N122">
        <f>N111*pricing!N8*2000</f>
        <v>4547246.7097208789</v>
      </c>
      <c r="O122">
        <f>O111*pricing!O8*2000</f>
        <v>2249500.3633833043</v>
      </c>
    </row>
    <row r="123" spans="2:15" x14ac:dyDescent="0.2">
      <c r="C123" s="116" t="s">
        <v>129</v>
      </c>
      <c r="D123">
        <f>D112*pricing!D9*2000</f>
        <v>6122501.7041037548</v>
      </c>
      <c r="E123">
        <f>E112*pricing!E9*2000</f>
        <v>4226495.8742279066</v>
      </c>
      <c r="F123">
        <f>F112*pricing!F9*2000</f>
        <v>7276835.4649009714</v>
      </c>
      <c r="G123">
        <f>G112*pricing!G9*2000</f>
        <v>6127147.9989154628</v>
      </c>
      <c r="H123">
        <f>H112*pricing!H9*2000</f>
        <v>9256101.0074404199</v>
      </c>
      <c r="I123">
        <f>I112*pricing!I9*2000</f>
        <v>6029128.3165600495</v>
      </c>
      <c r="J123">
        <f>J112*pricing!J9*2000</f>
        <v>3134521.5688106176</v>
      </c>
      <c r="K123">
        <f>K112*pricing!K9*2000</f>
        <v>4798911.2680778112</v>
      </c>
      <c r="L123">
        <f>L112*pricing!L9*2000</f>
        <v>3780080.8768480136</v>
      </c>
      <c r="M123">
        <f>M112*pricing!M9*2000</f>
        <v>6103522.8254533727</v>
      </c>
      <c r="N123">
        <f>N112*pricing!N9*2000</f>
        <v>8051940.2184460452</v>
      </c>
      <c r="O123">
        <f>O112*pricing!O9*2000</f>
        <v>7551306.2545379559</v>
      </c>
    </row>
    <row r="124" spans="2:15" x14ac:dyDescent="0.2">
      <c r="C124" s="116" t="s">
        <v>130</v>
      </c>
      <c r="D124">
        <f>D113*pricing!D10*2000</f>
        <v>1406260.3849148292</v>
      </c>
      <c r="E124">
        <f>E113*pricing!E10*2000</f>
        <v>2583976.1783567928</v>
      </c>
      <c r="F124">
        <f>F113*pricing!F10*2000</f>
        <v>5003462.6229297686</v>
      </c>
      <c r="G124">
        <f>G113*pricing!G10*2000</f>
        <v>4523767.9433044139</v>
      </c>
      <c r="H124">
        <f>H113*pricing!H10*2000</f>
        <v>3456290.2835592683</v>
      </c>
      <c r="I124">
        <f>I113*pricing!I10*2000</f>
        <v>7351460.1062942306</v>
      </c>
      <c r="J124">
        <f>J113*pricing!J10*2000</f>
        <v>3215519.0681425831</v>
      </c>
      <c r="K124">
        <f>K113*pricing!K10*2000</f>
        <v>1813948.3701199291</v>
      </c>
      <c r="L124">
        <f>L113*pricing!L10*2000</f>
        <v>3122818.2208919623</v>
      </c>
      <c r="M124">
        <f>M113*pricing!M10*2000</f>
        <v>3584959.6374960346</v>
      </c>
      <c r="N124">
        <f>N113*pricing!N10*2000</f>
        <v>2089587.2353060085</v>
      </c>
      <c r="O124">
        <f>O113*pricing!O10*2000</f>
        <v>2372265.8913899031</v>
      </c>
    </row>
    <row r="125" spans="2:15" x14ac:dyDescent="0.2">
      <c r="C125" s="116" t="s">
        <v>131</v>
      </c>
      <c r="D125">
        <f>D114*pricing!D11*2000</f>
        <v>1817479.5051858213</v>
      </c>
      <c r="E125">
        <f>E114*pricing!E11*2000</f>
        <v>936733.74529222504</v>
      </c>
      <c r="F125">
        <f>F114*pricing!F11*2000</f>
        <v>1534214.9368836693</v>
      </c>
      <c r="G125">
        <f>G114*pricing!G11*2000</f>
        <v>1578647.3916162681</v>
      </c>
      <c r="H125">
        <f>H114*pricing!H11*2000</f>
        <v>1747281.4968355007</v>
      </c>
      <c r="I125">
        <f>I114*pricing!I11*2000</f>
        <v>1369484.0751775072</v>
      </c>
      <c r="J125">
        <f>J114*pricing!J11*2000</f>
        <v>1209924.9762800022</v>
      </c>
      <c r="K125">
        <f>K114*pricing!K11*2000</f>
        <v>1258509.8482686374</v>
      </c>
      <c r="L125">
        <f>L114*pricing!L11*2000</f>
        <v>3323019.3792079268</v>
      </c>
      <c r="M125">
        <f>M114*pricing!M11*2000</f>
        <v>1091019.4688809926</v>
      </c>
      <c r="N125">
        <f>N114*pricing!N11*2000</f>
        <v>1141715.612890163</v>
      </c>
      <c r="O125">
        <f>O114*pricing!O11*2000</f>
        <v>1298968.5566258377</v>
      </c>
    </row>
    <row r="126" spans="2:15" x14ac:dyDescent="0.2">
      <c r="C126" s="116" t="s">
        <v>132</v>
      </c>
      <c r="D126">
        <f>D115*pricing!D12*2000</f>
        <v>2816947.5670529301</v>
      </c>
      <c r="E126">
        <f>E115*pricing!E12*2000</f>
        <v>1384581.4119911485</v>
      </c>
      <c r="F126">
        <f>F115*pricing!F12*2000</f>
        <v>1455803.7331091568</v>
      </c>
      <c r="G126">
        <f>G115*pricing!G12*2000</f>
        <v>5313207.6666302327</v>
      </c>
      <c r="H126">
        <f>H115*pricing!H12*2000</f>
        <v>1754469.4088195008</v>
      </c>
      <c r="I126">
        <f>I115*pricing!I12*2000</f>
        <v>3903150.2882502042</v>
      </c>
      <c r="J126">
        <f>J115*pricing!J12*2000</f>
        <v>3106481.4801338054</v>
      </c>
      <c r="K126">
        <f>K115*pricing!K12*2000</f>
        <v>1501416.2451704349</v>
      </c>
      <c r="L126">
        <f>L115*pricing!L12*2000</f>
        <v>2642527.2851842139</v>
      </c>
      <c r="M126">
        <f>M115*pricing!M12*2000</f>
        <v>1889263.7262858388</v>
      </c>
      <c r="N126">
        <f>N115*pricing!N12*2000</f>
        <v>4781477.6751786573</v>
      </c>
      <c r="O126">
        <f>O115*pricing!O12*2000</f>
        <v>2035279.2451831244</v>
      </c>
    </row>
    <row r="127" spans="2:15" x14ac:dyDescent="0.2">
      <c r="C127" s="116" t="s">
        <v>278</v>
      </c>
      <c r="D127">
        <f t="shared" ref="D127:O127" si="1">SUM(D$120:D$126)</f>
        <v>25836341.843489211</v>
      </c>
      <c r="E127">
        <f t="shared" si="1"/>
        <v>21856053.482605036</v>
      </c>
      <c r="F127">
        <f t="shared" si="1"/>
        <v>31170129.289159916</v>
      </c>
      <c r="G127">
        <f t="shared" si="1"/>
        <v>26493663.222484119</v>
      </c>
      <c r="H127">
        <f t="shared" si="1"/>
        <v>27193685.722322289</v>
      </c>
      <c r="I127">
        <f t="shared" si="1"/>
        <v>35283587.102693148</v>
      </c>
      <c r="J127">
        <f t="shared" si="1"/>
        <v>19070083.743740059</v>
      </c>
      <c r="K127">
        <f t="shared" si="1"/>
        <v>24806898.865525149</v>
      </c>
      <c r="L127">
        <f t="shared" si="1"/>
        <v>24479964.942089379</v>
      </c>
      <c r="M127">
        <f t="shared" si="1"/>
        <v>22149639.522834815</v>
      </c>
      <c r="N127">
        <f t="shared" si="1"/>
        <v>29052232.377787229</v>
      </c>
      <c r="O127">
        <f t="shared" si="1"/>
        <v>22336770.209609941</v>
      </c>
    </row>
    <row r="129" spans="2:15" x14ac:dyDescent="0.2">
      <c r="B129" s="118" t="s">
        <v>280</v>
      </c>
    </row>
    <row r="130" spans="2:15" x14ac:dyDescent="0.2">
      <c r="C130" s="120" t="s">
        <v>277</v>
      </c>
      <c r="D130" s="120" t="s">
        <v>92</v>
      </c>
      <c r="E130" s="120" t="s">
        <v>93</v>
      </c>
      <c r="F130" s="120" t="s">
        <v>94</v>
      </c>
      <c r="G130" s="120" t="s">
        <v>95</v>
      </c>
      <c r="H130" s="120" t="s">
        <v>96</v>
      </c>
      <c r="I130" s="120" t="s">
        <v>97</v>
      </c>
      <c r="J130" s="120" t="s">
        <v>98</v>
      </c>
      <c r="K130" s="120" t="s">
        <v>99</v>
      </c>
      <c r="L130" s="120" t="s">
        <v>100</v>
      </c>
      <c r="M130" s="120" t="s">
        <v>101</v>
      </c>
      <c r="N130" s="120" t="s">
        <v>102</v>
      </c>
      <c r="O130" s="120" t="s">
        <v>103</v>
      </c>
    </row>
    <row r="131" spans="2:15" x14ac:dyDescent="0.2">
      <c r="C131" s="120" t="s">
        <v>126</v>
      </c>
      <c r="D131" s="121">
        <f>SUM(E$6:E$19)+SUM(G$6:G$19)+SUM(I$6:I$19)+SUM(K$6:K$19)</f>
        <v>597764.39999999991</v>
      </c>
      <c r="E131" s="121">
        <f>SUM(M$6:M$19)+SUM(O$6:O$19)+SUM(Q$6:Q$19)+SUM(S$6:S$19)</f>
        <v>195639.59999999998</v>
      </c>
      <c r="F131" s="121">
        <f>SUM(U$6:U$19)+SUM(W$6:W$19)+SUM(Y$6:Y$19)+SUM(AA$6:AA$19)</f>
        <v>561062.39999999991</v>
      </c>
      <c r="G131" s="121">
        <f>SUM(AC$6:AC$19)+SUM(AE$6:AE$19)+SUM(AG$6:AG$19)+SUM(AI$6:AI$19)</f>
        <v>468549.6</v>
      </c>
      <c r="H131" s="121">
        <f>SUM(AK$6:AK$19)+SUM(AM$6:AM$19)+SUM(AO$6:AO$19)+SUM(AQ$6:AQ$19)</f>
        <v>132412.79999999999</v>
      </c>
      <c r="I131" s="121">
        <f>SUM(AS$6:AS$19)+SUM(AU$6:AU$19)+SUM(AW$6:AW$19)+SUM(AY$6:AY$19)</f>
        <v>1369462.7999999998</v>
      </c>
      <c r="J131" s="121">
        <f>SUM(BA$6:BA$19)+SUM(BC$6:BC$19)+SUM(BE$6:BE$19)+SUM(BG$6:BG$19)</f>
        <v>476791.19999999995</v>
      </c>
      <c r="K131" s="121">
        <f>SUM(BI$6:BI$19)+SUM(BK$6:BK$19)+SUM(BM$6:BM$19)+SUM(BO$6:BO$19)</f>
        <v>114651.59999999999</v>
      </c>
      <c r="L131" s="121">
        <f>SUM(BQ$6:BQ$19)+SUM(BS$6:BS$19)+SUM(BU$6:BU$19)+SUM(BW$6:BW$19)</f>
        <v>174108</v>
      </c>
      <c r="M131" s="121">
        <f>SUM(BY$6:BY$19)+SUM(CA$6:CA$19)+SUM(CC$6:CC$19)+SUM(CE$6:CE$19)</f>
        <v>366361.2</v>
      </c>
      <c r="N131" s="121">
        <f>SUM(CG$6:CG$19)+SUM(CI$6:CI$19)+SUM(CK$6:CK$19)+SUM(CM$6:CM$19)</f>
        <v>239295.59999999998</v>
      </c>
      <c r="O131" s="121">
        <f>SUM(CO$6:CO$19)+SUM(CQ$6:CQ$19)+SUM(CS$6:CS$19)+SUM(CU$6:CU$19)</f>
        <v>308676</v>
      </c>
    </row>
    <row r="132" spans="2:15" x14ac:dyDescent="0.2">
      <c r="C132" s="120" t="s">
        <v>127</v>
      </c>
      <c r="D132" s="121">
        <f>SUM(E$20:E$36)+SUM(G$20:G$36)+SUM(I$20:I$36)+SUM(K$20:K$36)</f>
        <v>938320.8</v>
      </c>
      <c r="E132" s="121">
        <f>SUM(M$20:M$36)+SUM(O$20:O$36)+SUM(Q$20:Q$36)+SUM(S$20:S$36)</f>
        <v>297142.80000000005</v>
      </c>
      <c r="F132" s="121">
        <f>SUM(U$20:U$36)+SUM(W$20:W$36)+SUM(Y$20:Y$36)+SUM(AA$20:AA$36)</f>
        <v>749551.2</v>
      </c>
      <c r="G132" s="121">
        <f>SUM(AC$20:AC$36)+SUM(AE$20:AE$36)+SUM(AG$20:AG$36)+SUM(AI$20:AI$36)</f>
        <v>218284.79999999999</v>
      </c>
      <c r="H132" s="121">
        <f>SUM(AK$20:AK$36)+SUM(AM$20:AM$36)+SUM(AO$20:AO$36)+SUM(AQ$20:AQ$36)</f>
        <v>641905.19999999995</v>
      </c>
      <c r="I132" s="121">
        <f>SUM(AS$20:AS$36)+SUM(AU$20:AU$36)+SUM(AW$20:AW$36)+SUM(AY$20:AY$36)</f>
        <v>539082</v>
      </c>
      <c r="J132" s="121">
        <f>SUM(BA$20:BA$36)+SUM(BC$20:BC$36)+SUM(BE$20:BE$36)+SUM(BG$20:BG$36)</f>
        <v>178576.8</v>
      </c>
      <c r="K132" s="121">
        <f>SUM(BI$20:BI$36)+SUM(BK$20:BK$36)+SUM(BM$20:BM$36)+SUM(BO$20:BO$36)</f>
        <v>2123942.4</v>
      </c>
      <c r="L132" s="121">
        <f>SUM(BQ$20:BQ$36)+SUM(BS$20:BS$36)+SUM(BU$20:BU$36)+SUM(BW$20:BW$36)</f>
        <v>816068.4</v>
      </c>
      <c r="M132" s="121">
        <f>SUM(BY$20:BY$36)+SUM(CA$20:CA$36)+SUM(CC$20:CC$36)+SUM(CE$20:CE$36)</f>
        <v>303122.40000000002</v>
      </c>
      <c r="N132" s="121">
        <f>SUM(CG$20:CG$36)+SUM(CI$20:CI$36)+SUM(CK$20:CK$36)+SUM(CM$20:CM$36)</f>
        <v>609132</v>
      </c>
      <c r="O132" s="121">
        <f>SUM(CO$20:CO$36)+SUM(CQ$20:CQ$36)+SUM(CS$20:CS$36)+SUM(CU$20:CU$36)</f>
        <v>296298</v>
      </c>
    </row>
    <row r="133" spans="2:15" x14ac:dyDescent="0.2">
      <c r="C133" s="120" t="s">
        <v>128</v>
      </c>
      <c r="D133" s="121">
        <f>SUM(E$37:E$48)+SUM(G$37:G$48)+SUM(I$37:I$48)+SUM(K$37:K$48)</f>
        <v>273946.8</v>
      </c>
      <c r="E133" s="121">
        <f>SUM(M$37:M$48)+SUM(O$37:O$48)+SUM(Q$37:Q$48)+SUM(S$37:S$48)</f>
        <v>3364327.1999999993</v>
      </c>
      <c r="F133" s="121">
        <f>SUM(U$37:U$48)+SUM(W$37:W$48)+SUM(Y$37:Y$48)+SUM(AA$37:AA$48)</f>
        <v>2745393.6</v>
      </c>
      <c r="G133" s="121">
        <f>SUM(AC$37:AC$48)+SUM(AE$37:AE$48)+SUM(AG$37:AG$48)+SUM(AI$37:AI$48)</f>
        <v>425617.20000000007</v>
      </c>
      <c r="H133" s="121">
        <f>SUM(AK$37:AK$48)+SUM(AM$37:AM$48)+SUM(AO$37:AO$48)+SUM(AQ$37:AQ$48)</f>
        <v>904845.60000000009</v>
      </c>
      <c r="I133" s="121">
        <f>SUM(AS$37:AS$48)+SUM(AU$37:AU$48)+SUM(AW$37:AW$48)+SUM(AY$37:AY$48)</f>
        <v>1470308.4000000001</v>
      </c>
      <c r="J133" s="121">
        <f>SUM(BA$37:BA$48)+SUM(BC$37:BC$48)+SUM(BE$37:BE$48)+SUM(BG$37:BG$48)</f>
        <v>288046.8</v>
      </c>
      <c r="K133" s="121">
        <f>SUM(BI$37:BI$48)+SUM(BK$37:BK$48)+SUM(BM$37:BM$48)+SUM(BO$37:BO$48)</f>
        <v>348710.40000000002</v>
      </c>
      <c r="L133" s="121">
        <f>SUM(BQ$37:BQ$48)+SUM(BS$37:BS$48)+SUM(BU$37:BU$48)+SUM(BW$37:BW$48)</f>
        <v>542439.6</v>
      </c>
      <c r="M133" s="121">
        <f>SUM(BY$37:BY$48)+SUM(CA$37:CA$48)+SUM(CC$37:CC$48)+SUM(CE$37:CE$48)</f>
        <v>426384</v>
      </c>
      <c r="N133" s="121">
        <f>SUM(CG$37:CG$48)+SUM(CI$37:CI$48)+SUM(CK$37:CK$48)+SUM(CM$37:CM$48)</f>
        <v>1480881.6</v>
      </c>
      <c r="O133" s="121">
        <f>SUM(CO$37:CO$48)+SUM(CQ$37:CQ$48)+SUM(CS$37:CS$48)+SUM(CU$37:CU$48)</f>
        <v>396609.6</v>
      </c>
    </row>
    <row r="134" spans="2:15" x14ac:dyDescent="0.2">
      <c r="C134" s="120" t="s">
        <v>129</v>
      </c>
      <c r="D134" s="121">
        <f>SUM(E$49:E$70)+SUM(G$49:G$70)+SUM(I$49:I$70)+SUM(K$49:K$70)</f>
        <v>1409593.2</v>
      </c>
      <c r="E134" s="121">
        <f>SUM(M$49:M$70)+SUM(O$49:O$70)+SUM(Q$49:Q$70)+SUM(S$49:S$70)</f>
        <v>735840</v>
      </c>
      <c r="F134" s="121">
        <f>SUM(U$49:U$70)+SUM(W$49:W$70)+SUM(Y$49:Y$70)+SUM(AA$49:AA$70)</f>
        <v>1732587.5999999999</v>
      </c>
      <c r="G134" s="121">
        <f>SUM(AC$49:AC$70)+SUM(AE$49:AE$70)+SUM(AG$49:AG$70)+SUM(AI$49:AI$70)</f>
        <v>1342899.6</v>
      </c>
      <c r="H134" s="121">
        <f>SUM(AK$49:AK$70)+SUM(AM$49:AM$70)+SUM(AO$49:AO$70)+SUM(AQ$49:AQ$70)</f>
        <v>2689285.1999999993</v>
      </c>
      <c r="I134" s="121">
        <f>SUM(AS$49:AS$70)+SUM(AU$49:AU$70)+SUM(AW$49:AW$70)+SUM(AY$49:AY$70)</f>
        <v>1377326.4</v>
      </c>
      <c r="J134" s="121">
        <f>SUM(BA$49:BA$70)+SUM(BC$49:BC$70)+SUM(BE$49:BE$70)+SUM(BG$49:BG$70)</f>
        <v>409754.39999999997</v>
      </c>
      <c r="K134" s="121">
        <f>SUM(BI$49:BI$70)+SUM(BK$49:BK$70)+SUM(BM$49:BM$70)+SUM(BO$49:BO$70)</f>
        <v>801556.79999999981</v>
      </c>
      <c r="L134" s="121">
        <f>SUM(BQ$49:BQ$70)+SUM(BS$49:BS$70)+SUM(BU$49:BU$70)+SUM(BW$49:BW$70)</f>
        <v>613690.79999999993</v>
      </c>
      <c r="M134" s="121">
        <f>SUM(BY$49:BY$70)+SUM(CA$49:CA$70)+SUM(CC$49:CC$70)+SUM(CE$49:CE$70)</f>
        <v>1407081.6</v>
      </c>
      <c r="N134" s="121">
        <f>SUM(CG$49:CG$70)+SUM(CI$49:CI$70)+SUM(CK$49:CK$70)+SUM(CM$49:CM$70)</f>
        <v>2161933.2000000002</v>
      </c>
      <c r="O134" s="121">
        <f>SUM(CO$49:CO$70)+SUM(CQ$49:CQ$70)+SUM(CS$49:CS$70)+SUM(CU$49:CU$70)</f>
        <v>2306431.1999999997</v>
      </c>
    </row>
    <row r="135" spans="2:15" x14ac:dyDescent="0.2">
      <c r="C135" s="120" t="s">
        <v>130</v>
      </c>
      <c r="D135" s="121">
        <f>SUM(E$71:E$86)+SUM(G$71:G$86)+SUM(I$71:I$86)+SUM(K$71:K$86)</f>
        <v>113376</v>
      </c>
      <c r="E135" s="121">
        <f>SUM(M$71:M$86)+SUM(O$71:O$86)+SUM(Q$71:Q$86)+SUM(S$71:S$86)</f>
        <v>292065.59999999998</v>
      </c>
      <c r="F135" s="121">
        <f>SUM(U$71:U$86)+SUM(W$71:W$86)+SUM(Y$71:Y$86)+SUM(AA$71:AA$86)</f>
        <v>967419.6</v>
      </c>
      <c r="G135" s="121">
        <f>SUM(AC$71:AC$86)+SUM(AE$71:AE$86)+SUM(AG$71:AG$86)+SUM(AI$71:AI$86)</f>
        <v>789184.79999999993</v>
      </c>
      <c r="H135" s="121">
        <f>SUM(AK$71:AK$86)+SUM(AM$71:AM$86)+SUM(AO$71:AO$86)+SUM(AQ$71:AQ$86)</f>
        <v>609283.19999999995</v>
      </c>
      <c r="I135" s="121">
        <f>SUM(AS$71:AS$86)+SUM(AU$71:AU$86)+SUM(AW$71:AW$86)+SUM(AY$71:AY$86)</f>
        <v>2010576</v>
      </c>
      <c r="J135" s="121">
        <f>SUM(BA$71:BA$86)+SUM(BC$71:BC$86)+SUM(BE$71:BE$86)+SUM(BG$71:BG$86)</f>
        <v>449130</v>
      </c>
      <c r="K135" s="121">
        <f>SUM(BI$71:BI$86)+SUM(BK$71:BK$86)+SUM(BM$71:BM$86)+SUM(BO$71:BO$86)</f>
        <v>164089.20000000001</v>
      </c>
      <c r="L135" s="121">
        <f>SUM(BQ$71:BQ$86)+SUM(BS$71:BS$86)+SUM(BU$71:BU$86)+SUM(BW$71:BW$86)</f>
        <v>372814.79999999993</v>
      </c>
      <c r="M135" s="121">
        <f>SUM(BY$71:BY$86)+SUM(CA$71:CA$86)+SUM(CC$71:CC$86)+SUM(CE$71:CE$86)</f>
        <v>532291.19999999995</v>
      </c>
      <c r="N135" s="121">
        <f>SUM(CG$71:CG$86)+SUM(CI$71:CI$86)+SUM(CK$71:CK$86)+SUM(CM$71:CM$86)</f>
        <v>186813.6</v>
      </c>
      <c r="O135" s="121">
        <f>SUM(CO$71:CO$86)+SUM(CQ$71:CQ$86)+SUM(CS$71:CS$86)+SUM(CU$71:CU$86)</f>
        <v>219149.99999999997</v>
      </c>
    </row>
    <row r="136" spans="2:15" x14ac:dyDescent="0.2">
      <c r="C136" s="120" t="s">
        <v>131</v>
      </c>
      <c r="D136" s="121">
        <f>SUM(E$87:E$94)+SUM(G$87:G$94)+SUM(I$87:I$94)+SUM(K$87:K$94)</f>
        <v>1104856.7999999998</v>
      </c>
      <c r="E136" s="121">
        <f>SUM(M$87:M$94)+SUM(O$87:O$94)+SUM(Q$87:Q$94)+SUM(S$87:S$94)</f>
        <v>268395.59999999998</v>
      </c>
      <c r="F136" s="121">
        <f>SUM(U$87:U$94)+SUM(W$87:W$94)+SUM(Y$87:Y$94)+SUM(AA$87:AA$94)</f>
        <v>620385.6</v>
      </c>
      <c r="G136" s="121">
        <f>SUM(AC$87:AC$94)+SUM(AE$87:AE$94)+SUM(AG$87:AG$94)+SUM(AI$87:AI$94)</f>
        <v>839098.8</v>
      </c>
      <c r="H136" s="121">
        <f>SUM(AK$87:AK$94)+SUM(AM$87:AM$94)+SUM(AO$87:AO$94)+SUM(AQ$87:AQ$94)</f>
        <v>890762.39999999991</v>
      </c>
      <c r="I136" s="121">
        <f>SUM(AS$87:AS$94)+SUM(AU$87:AU$94)+SUM(AW$87:AW$94)+SUM(AY$87:AY$94)</f>
        <v>529328.39999999991</v>
      </c>
      <c r="J136" s="121">
        <f>SUM(BA$87:BA$94)+SUM(BC$87:BC$94)+SUM(BE$87:BE$94)+SUM(BG$87:BG$94)</f>
        <v>407404.79999999993</v>
      </c>
      <c r="K136" s="121">
        <f>SUM(BI$87:BI$94)+SUM(BK$87:BK$94)+SUM(BM$87:BM$94)+SUM(BO$87:BO$94)</f>
        <v>452307.6</v>
      </c>
      <c r="L136" s="121">
        <f>SUM(BQ$87:BQ$94)+SUM(BS$87:BS$94)+SUM(BU$87:BU$94)+SUM(BW$87:BW$94)</f>
        <v>2691948</v>
      </c>
      <c r="M136" s="121">
        <f>SUM(BY$87:BY$94)+SUM(CA$87:CA$94)+SUM(CC$87:CC$94)+SUM(CE$87:CE$94)</f>
        <v>332419.19999999995</v>
      </c>
      <c r="N136" s="121">
        <f>SUM(CG$87:CG$94)+SUM(CI$87:CI$94)+SUM(CK$87:CK$94)+SUM(CM$87:CM$94)</f>
        <v>346731.6</v>
      </c>
      <c r="O136" s="121">
        <f>SUM(CO$87:CO$94)+SUM(CQ$87:CQ$94)+SUM(CS$87:CS$94)+SUM(CU$87:CU$94)</f>
        <v>432757.19999999995</v>
      </c>
    </row>
    <row r="137" spans="2:15" x14ac:dyDescent="0.2">
      <c r="C137" s="120" t="s">
        <v>132</v>
      </c>
      <c r="D137" s="121">
        <f>SUM(E$95:E$105)+SUM(G$95:G$105)+SUM(I$95:I$105)+SUM(K$95:K$105)</f>
        <v>1358424</v>
      </c>
      <c r="E137" s="121">
        <f>SUM(M$95:M$105)+SUM(O$95:O$105)+SUM(Q$95:Q$105)+SUM(S$95:S$105)</f>
        <v>414478.79999999993</v>
      </c>
      <c r="F137" s="121">
        <f>SUM(U$95:U$105)+SUM(W$95:W$105)+SUM(Y$95:Y$105)+SUM(AA$95:AA$105)</f>
        <v>480263.99999999994</v>
      </c>
      <c r="G137" s="121">
        <f>SUM(AC$95:AC$105)+SUM(AE$95:AE$105)+SUM(AG$95:AG$105)+SUM(AI$95:AI$105)</f>
        <v>4332322.8</v>
      </c>
      <c r="H137" s="121">
        <f>SUM(AK$95:AK$105)+SUM(AM$95:AM$105)+SUM(AO$95:AO$105)+SUM(AQ$95:AQ$105)</f>
        <v>578629.19999999995</v>
      </c>
      <c r="I137" s="121">
        <f>SUM(AS$95:AS$105)+SUM(AU$95:AU$105)+SUM(AW$95:AW$105)+SUM(AY$95:AY$105)</f>
        <v>2371228.7999999998</v>
      </c>
      <c r="J137" s="121">
        <f>SUM(BA$95:BA$105)+SUM(BC$95:BC$105)+SUM(BE$95:BE$105)+SUM(BG$95:BG$105)</f>
        <v>1708886.4</v>
      </c>
      <c r="K137" s="121">
        <f>SUM(BI$95:BI$105)+SUM(BK$95:BK$105)+SUM(BM$95:BM$105)+SUM(BO$95:BO$105)</f>
        <v>452502</v>
      </c>
      <c r="L137" s="121">
        <f>SUM(BQ$95:BQ$105)+SUM(BS$95:BS$105)+SUM(BU$95:BU$105)+SUM(BW$95:BW$105)</f>
        <v>1301973.5999999999</v>
      </c>
      <c r="M137" s="121">
        <f>SUM(BY$95:BY$105)+SUM(CA$95:CA$105)+SUM(CC$95:CC$105)+SUM(CE$95:CE$105)</f>
        <v>653932.79999999993</v>
      </c>
      <c r="N137" s="121">
        <f>SUM(CG$95:CG$105)+SUM(CI$95:CI$105)+SUM(CK$95:CK$105)+SUM(CM$95:CM$105)</f>
        <v>3770703.5999999996</v>
      </c>
      <c r="O137" s="121">
        <f>SUM(CO$95:CO$105)+SUM(CQ$95:CQ$105)+SUM(CS$95:CS$105)+SUM(CU$95:CU$105)</f>
        <v>735060</v>
      </c>
    </row>
    <row r="138" spans="2:15" x14ac:dyDescent="0.2">
      <c r="C138" s="120" t="s">
        <v>278</v>
      </c>
      <c r="D138">
        <f t="shared" ref="D138:O138" si="2">SUM(D$131:D$137)</f>
        <v>5796282</v>
      </c>
      <c r="E138">
        <f t="shared" si="2"/>
        <v>5567889.5999999987</v>
      </c>
      <c r="F138">
        <f t="shared" si="2"/>
        <v>7856663.9999999991</v>
      </c>
      <c r="G138">
        <f t="shared" si="2"/>
        <v>8415957.5999999996</v>
      </c>
      <c r="H138">
        <f t="shared" si="2"/>
        <v>6447123.5999999987</v>
      </c>
      <c r="I138">
        <f t="shared" si="2"/>
        <v>9667312.8000000007</v>
      </c>
      <c r="J138">
        <f t="shared" si="2"/>
        <v>3918590.4</v>
      </c>
      <c r="K138">
        <f t="shared" si="2"/>
        <v>4457760</v>
      </c>
      <c r="L138">
        <f t="shared" si="2"/>
        <v>6513043.1999999993</v>
      </c>
      <c r="M138">
        <f t="shared" si="2"/>
        <v>4021592.4000000004</v>
      </c>
      <c r="N138">
        <f t="shared" si="2"/>
        <v>8795491.1999999993</v>
      </c>
      <c r="O138">
        <f t="shared" si="2"/>
        <v>4694982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18" t="s">
        <v>282</v>
      </c>
    </row>
    <row r="4" spans="1:99" x14ac:dyDescent="0.2">
      <c r="A4" s="117"/>
      <c r="B4" s="117"/>
      <c r="C4" s="116" t="s">
        <v>274</v>
      </c>
      <c r="D4" s="116" t="s">
        <v>92</v>
      </c>
      <c r="E4" s="117"/>
      <c r="F4" s="117"/>
      <c r="G4" s="117"/>
      <c r="H4" s="117"/>
      <c r="I4" s="117"/>
      <c r="J4" s="117"/>
      <c r="K4" s="117"/>
      <c r="L4" s="116" t="s">
        <v>93</v>
      </c>
      <c r="M4" s="117"/>
      <c r="N4" s="117"/>
      <c r="O4" s="117"/>
      <c r="P4" s="117"/>
      <c r="Q4" s="117"/>
      <c r="R4" s="117"/>
      <c r="S4" s="117"/>
      <c r="T4" s="116" t="s">
        <v>94</v>
      </c>
      <c r="U4" s="117"/>
      <c r="V4" s="117"/>
      <c r="W4" s="117"/>
      <c r="X4" s="117"/>
      <c r="Y4" s="117"/>
      <c r="Z4" s="117"/>
      <c r="AA4" s="117"/>
      <c r="AB4" s="116" t="s">
        <v>95</v>
      </c>
      <c r="AC4" s="117"/>
      <c r="AD4" s="117"/>
      <c r="AE4" s="117"/>
      <c r="AF4" s="117"/>
      <c r="AG4" s="117"/>
      <c r="AH4" s="117"/>
      <c r="AI4" s="117"/>
      <c r="AJ4" s="116" t="s">
        <v>96</v>
      </c>
      <c r="AK4" s="117"/>
      <c r="AL4" s="117"/>
      <c r="AM4" s="117"/>
      <c r="AN4" s="117"/>
      <c r="AO4" s="117"/>
      <c r="AP4" s="117"/>
      <c r="AQ4" s="117"/>
      <c r="AR4" s="116" t="s">
        <v>97</v>
      </c>
      <c r="AS4" s="117"/>
      <c r="AT4" s="117"/>
      <c r="AU4" s="117"/>
      <c r="AV4" s="117"/>
      <c r="AW4" s="117"/>
      <c r="AX4" s="117"/>
      <c r="AY4" s="117"/>
      <c r="AZ4" s="116" t="s">
        <v>98</v>
      </c>
      <c r="BA4" s="117"/>
      <c r="BB4" s="117"/>
      <c r="BC4" s="117"/>
      <c r="BD4" s="117"/>
      <c r="BE4" s="117"/>
      <c r="BF4" s="117"/>
      <c r="BG4" s="117"/>
      <c r="BH4" s="116" t="s">
        <v>99</v>
      </c>
      <c r="BI4" s="117"/>
      <c r="BJ4" s="117"/>
      <c r="BK4" s="117"/>
      <c r="BL4" s="117"/>
      <c r="BM4" s="117"/>
      <c r="BN4" s="117"/>
      <c r="BO4" s="117"/>
      <c r="BP4" s="116" t="s">
        <v>100</v>
      </c>
      <c r="BQ4" s="117"/>
      <c r="BR4" s="117"/>
      <c r="BS4" s="117"/>
      <c r="BT4" s="117"/>
      <c r="BU4" s="117"/>
      <c r="BV4" s="117"/>
      <c r="BW4" s="117"/>
      <c r="BX4" s="116" t="s">
        <v>101</v>
      </c>
      <c r="BY4" s="117"/>
      <c r="BZ4" s="117"/>
      <c r="CA4" s="117"/>
      <c r="CB4" s="117"/>
      <c r="CC4" s="117"/>
      <c r="CD4" s="117"/>
      <c r="CE4" s="117"/>
      <c r="CF4" s="116" t="s">
        <v>102</v>
      </c>
      <c r="CG4" s="117"/>
      <c r="CH4" s="117"/>
      <c r="CI4" s="117"/>
      <c r="CJ4" s="117"/>
      <c r="CK4" s="117"/>
      <c r="CL4" s="117"/>
      <c r="CM4" s="117"/>
      <c r="CN4" s="116" t="s">
        <v>103</v>
      </c>
      <c r="CO4" s="117"/>
      <c r="CP4" s="117"/>
      <c r="CQ4" s="117"/>
      <c r="CR4" s="117"/>
      <c r="CS4" s="117"/>
      <c r="CT4" s="117"/>
      <c r="CU4" s="117"/>
    </row>
    <row r="5" spans="1:99" x14ac:dyDescent="0.2">
      <c r="B5" s="116" t="s">
        <v>167</v>
      </c>
      <c r="C5" s="116" t="s">
        <v>275</v>
      </c>
      <c r="D5" s="116">
        <v>1</v>
      </c>
      <c r="E5" s="116"/>
      <c r="F5" s="116">
        <v>2</v>
      </c>
      <c r="G5" s="116"/>
      <c r="H5" s="116">
        <v>3</v>
      </c>
      <c r="I5" s="116"/>
      <c r="J5" s="116">
        <v>4</v>
      </c>
      <c r="K5" s="116"/>
      <c r="L5" s="116">
        <v>1</v>
      </c>
      <c r="M5" s="116"/>
      <c r="N5" s="116">
        <v>2</v>
      </c>
      <c r="O5" s="116"/>
      <c r="P5" s="116">
        <v>3</v>
      </c>
      <c r="Q5" s="116"/>
      <c r="R5" s="116">
        <v>4</v>
      </c>
      <c r="S5" s="116"/>
      <c r="T5" s="116">
        <v>1</v>
      </c>
      <c r="U5" s="116"/>
      <c r="V5" s="116">
        <v>2</v>
      </c>
      <c r="W5" s="116"/>
      <c r="X5" s="116">
        <v>3</v>
      </c>
      <c r="Y5" s="116"/>
      <c r="Z5" s="116">
        <v>4</v>
      </c>
      <c r="AA5" s="116"/>
      <c r="AB5" s="116">
        <v>1</v>
      </c>
      <c r="AC5" s="116"/>
      <c r="AD5" s="116">
        <v>2</v>
      </c>
      <c r="AE5" s="116"/>
      <c r="AF5" s="116">
        <v>3</v>
      </c>
      <c r="AG5" s="116"/>
      <c r="AH5" s="116">
        <v>4</v>
      </c>
      <c r="AI5" s="116"/>
      <c r="AJ5" s="116">
        <v>1</v>
      </c>
      <c r="AK5" s="116"/>
      <c r="AL5" s="116">
        <v>2</v>
      </c>
      <c r="AM5" s="116"/>
      <c r="AN5" s="116">
        <v>3</v>
      </c>
      <c r="AO5" s="116"/>
      <c r="AP5" s="116">
        <v>4</v>
      </c>
      <c r="AQ5" s="116"/>
      <c r="AR5" s="116">
        <v>1</v>
      </c>
      <c r="AS5" s="116"/>
      <c r="AT5" s="116">
        <v>2</v>
      </c>
      <c r="AU5" s="116"/>
      <c r="AV5" s="116">
        <v>3</v>
      </c>
      <c r="AW5" s="116"/>
      <c r="AX5" s="116">
        <v>4</v>
      </c>
      <c r="AY5" s="116"/>
      <c r="AZ5" s="116">
        <v>1</v>
      </c>
      <c r="BA5" s="116"/>
      <c r="BB5" s="116">
        <v>2</v>
      </c>
      <c r="BC5" s="116"/>
      <c r="BD5" s="116">
        <v>3</v>
      </c>
      <c r="BE5" s="116"/>
      <c r="BF5" s="116">
        <v>4</v>
      </c>
      <c r="BG5" s="116"/>
      <c r="BH5" s="116">
        <v>1</v>
      </c>
      <c r="BI5" s="116"/>
      <c r="BJ5" s="116">
        <v>2</v>
      </c>
      <c r="BK5" s="116"/>
      <c r="BL5" s="116">
        <v>3</v>
      </c>
      <c r="BM5" s="116"/>
      <c r="BN5" s="116">
        <v>4</v>
      </c>
      <c r="BO5" s="116"/>
      <c r="BP5" s="116">
        <v>1</v>
      </c>
      <c r="BQ5" s="116"/>
      <c r="BR5" s="116">
        <v>2</v>
      </c>
      <c r="BS5" s="116"/>
      <c r="BT5" s="116">
        <v>3</v>
      </c>
      <c r="BU5" s="116"/>
      <c r="BV5" s="116">
        <v>4</v>
      </c>
      <c r="BW5" s="116"/>
      <c r="BX5" s="116">
        <v>1</v>
      </c>
      <c r="BY5" s="116"/>
      <c r="BZ5" s="116">
        <v>2</v>
      </c>
      <c r="CA5" s="116"/>
      <c r="CB5" s="116">
        <v>3</v>
      </c>
      <c r="CC5" s="116"/>
      <c r="CD5" s="116">
        <v>4</v>
      </c>
      <c r="CE5" s="116"/>
      <c r="CF5" s="116">
        <v>1</v>
      </c>
      <c r="CG5" s="116"/>
      <c r="CH5" s="116">
        <v>2</v>
      </c>
      <c r="CI5" s="116"/>
      <c r="CJ5" s="116">
        <v>3</v>
      </c>
      <c r="CK5" s="116"/>
      <c r="CL5" s="116">
        <v>4</v>
      </c>
      <c r="CM5" s="116"/>
      <c r="CN5" s="116">
        <v>1</v>
      </c>
      <c r="CO5" s="116"/>
      <c r="CP5" s="116">
        <v>2</v>
      </c>
      <c r="CQ5" s="116"/>
      <c r="CR5" s="116">
        <v>3</v>
      </c>
      <c r="CS5" s="116"/>
      <c r="CT5" s="116">
        <v>4</v>
      </c>
      <c r="CU5" s="116"/>
    </row>
    <row r="6" spans="1:99" x14ac:dyDescent="0.2">
      <c r="B6" s="116" t="s">
        <v>126</v>
      </c>
      <c r="C6" s="116" t="s">
        <v>172</v>
      </c>
      <c r="D6">
        <v>8</v>
      </c>
      <c r="E6">
        <v>4627.2</v>
      </c>
      <c r="F6">
        <v>10</v>
      </c>
      <c r="G6">
        <v>5784</v>
      </c>
      <c r="H6">
        <v>11</v>
      </c>
      <c r="I6">
        <v>6362.4</v>
      </c>
      <c r="J6">
        <v>6</v>
      </c>
      <c r="K6">
        <v>3470.3999999999996</v>
      </c>
      <c r="L6">
        <v>19</v>
      </c>
      <c r="M6">
        <v>10989.6</v>
      </c>
      <c r="N6">
        <v>16</v>
      </c>
      <c r="O6">
        <v>9254.4</v>
      </c>
      <c r="P6">
        <v>17</v>
      </c>
      <c r="Q6">
        <v>9832.7999999999993</v>
      </c>
      <c r="R6">
        <v>18</v>
      </c>
      <c r="S6">
        <v>10411.199999999999</v>
      </c>
      <c r="T6">
        <v>22</v>
      </c>
      <c r="U6">
        <v>12724.8</v>
      </c>
      <c r="V6">
        <v>19</v>
      </c>
      <c r="W6">
        <v>10989.6</v>
      </c>
      <c r="X6">
        <v>31</v>
      </c>
      <c r="Y6">
        <v>17930.399999999998</v>
      </c>
      <c r="Z6">
        <v>30</v>
      </c>
      <c r="AA6">
        <v>17352</v>
      </c>
      <c r="AB6">
        <v>8</v>
      </c>
      <c r="AC6">
        <v>4627.2</v>
      </c>
      <c r="AD6">
        <v>8</v>
      </c>
      <c r="AE6">
        <v>4627.2</v>
      </c>
      <c r="AF6">
        <v>5</v>
      </c>
      <c r="AG6">
        <v>2892</v>
      </c>
      <c r="AH6">
        <v>8</v>
      </c>
      <c r="AI6">
        <v>4627.2</v>
      </c>
      <c r="AJ6">
        <v>6</v>
      </c>
      <c r="AK6">
        <v>3470.3999999999996</v>
      </c>
      <c r="AL6">
        <v>9</v>
      </c>
      <c r="AM6">
        <v>5205.5999999999995</v>
      </c>
      <c r="AN6">
        <v>11</v>
      </c>
      <c r="AO6">
        <v>6362.4</v>
      </c>
      <c r="AP6">
        <v>7</v>
      </c>
      <c r="AQ6">
        <v>4048.7999999999997</v>
      </c>
      <c r="AR6">
        <v>15</v>
      </c>
      <c r="AS6">
        <v>8676</v>
      </c>
      <c r="AT6">
        <v>15</v>
      </c>
      <c r="AU6">
        <v>8676</v>
      </c>
      <c r="AV6">
        <v>13</v>
      </c>
      <c r="AW6">
        <v>7519.2</v>
      </c>
      <c r="AX6">
        <v>13</v>
      </c>
      <c r="AY6">
        <v>7519.2</v>
      </c>
      <c r="AZ6">
        <v>41</v>
      </c>
      <c r="BA6">
        <v>23714.399999999998</v>
      </c>
      <c r="BB6">
        <v>29</v>
      </c>
      <c r="BC6">
        <v>16773.599999999999</v>
      </c>
      <c r="BD6">
        <v>27</v>
      </c>
      <c r="BE6">
        <v>15616.8</v>
      </c>
      <c r="BF6">
        <v>41</v>
      </c>
      <c r="BG6">
        <v>23714.399999999998</v>
      </c>
      <c r="BH6">
        <v>9</v>
      </c>
      <c r="BI6">
        <v>5205.5999999999995</v>
      </c>
      <c r="BJ6">
        <v>5</v>
      </c>
      <c r="BK6">
        <v>2892</v>
      </c>
      <c r="BL6">
        <v>7</v>
      </c>
      <c r="BM6">
        <v>4048.7999999999997</v>
      </c>
      <c r="BN6">
        <v>9</v>
      </c>
      <c r="BO6">
        <v>5205.5999999999995</v>
      </c>
      <c r="BP6">
        <v>12</v>
      </c>
      <c r="BQ6">
        <v>6940.7999999999993</v>
      </c>
      <c r="BR6">
        <v>7</v>
      </c>
      <c r="BS6">
        <v>4048.7999999999997</v>
      </c>
      <c r="BT6">
        <v>9</v>
      </c>
      <c r="BU6">
        <v>5205.5999999999995</v>
      </c>
      <c r="BV6">
        <v>8</v>
      </c>
      <c r="BW6">
        <v>4627.2</v>
      </c>
      <c r="BX6">
        <v>20</v>
      </c>
      <c r="BY6">
        <v>11568</v>
      </c>
      <c r="BZ6">
        <v>20</v>
      </c>
      <c r="CA6">
        <v>11568</v>
      </c>
      <c r="CB6">
        <v>36</v>
      </c>
      <c r="CC6">
        <v>20822.399999999998</v>
      </c>
      <c r="CD6">
        <v>25</v>
      </c>
      <c r="CE6">
        <v>14460</v>
      </c>
      <c r="CF6">
        <v>60</v>
      </c>
      <c r="CG6">
        <v>34704</v>
      </c>
      <c r="CH6">
        <v>32</v>
      </c>
      <c r="CI6">
        <v>18508.8</v>
      </c>
      <c r="CJ6">
        <v>55</v>
      </c>
      <c r="CK6">
        <v>31812</v>
      </c>
      <c r="CL6">
        <v>54</v>
      </c>
      <c r="CM6">
        <v>31233.599999999999</v>
      </c>
      <c r="CN6">
        <v>11</v>
      </c>
      <c r="CO6">
        <v>6362.4</v>
      </c>
      <c r="CP6">
        <v>10</v>
      </c>
      <c r="CQ6">
        <v>5784</v>
      </c>
      <c r="CR6">
        <v>9</v>
      </c>
      <c r="CS6">
        <v>5205.5999999999995</v>
      </c>
      <c r="CT6">
        <v>8</v>
      </c>
      <c r="CU6">
        <v>4627.2</v>
      </c>
    </row>
    <row r="7" spans="1:99" x14ac:dyDescent="0.2">
      <c r="C7" s="116" t="s">
        <v>173</v>
      </c>
      <c r="D7">
        <v>8</v>
      </c>
      <c r="E7">
        <v>6307.2</v>
      </c>
      <c r="F7">
        <v>10</v>
      </c>
      <c r="G7">
        <v>7884</v>
      </c>
      <c r="H7">
        <v>12</v>
      </c>
      <c r="I7">
        <v>9460.7999999999993</v>
      </c>
      <c r="J7">
        <v>6</v>
      </c>
      <c r="K7">
        <v>4730.3999999999996</v>
      </c>
      <c r="L7">
        <v>18</v>
      </c>
      <c r="M7">
        <v>14191.199999999999</v>
      </c>
      <c r="N7">
        <v>15</v>
      </c>
      <c r="O7">
        <v>11826</v>
      </c>
      <c r="P7">
        <v>17</v>
      </c>
      <c r="Q7">
        <v>13402.8</v>
      </c>
      <c r="R7">
        <v>17</v>
      </c>
      <c r="S7">
        <v>13402.8</v>
      </c>
      <c r="T7">
        <v>22</v>
      </c>
      <c r="U7">
        <v>17344.8</v>
      </c>
      <c r="V7">
        <v>22</v>
      </c>
      <c r="W7">
        <v>17344.8</v>
      </c>
      <c r="X7">
        <v>33</v>
      </c>
      <c r="Y7">
        <v>26017.200000000001</v>
      </c>
      <c r="Z7">
        <v>28</v>
      </c>
      <c r="AA7">
        <v>22075.200000000001</v>
      </c>
      <c r="AB7">
        <v>7</v>
      </c>
      <c r="AC7">
        <v>5518.8</v>
      </c>
      <c r="AD7">
        <v>8</v>
      </c>
      <c r="AE7">
        <v>6307.2</v>
      </c>
      <c r="AF7">
        <v>6</v>
      </c>
      <c r="AG7">
        <v>4730.3999999999996</v>
      </c>
      <c r="AH7">
        <v>9</v>
      </c>
      <c r="AI7">
        <v>7095.5999999999995</v>
      </c>
      <c r="AJ7">
        <v>6</v>
      </c>
      <c r="AK7">
        <v>4730.3999999999996</v>
      </c>
      <c r="AL7">
        <v>9</v>
      </c>
      <c r="AM7">
        <v>7095.5999999999995</v>
      </c>
      <c r="AN7">
        <v>10</v>
      </c>
      <c r="AO7">
        <v>7884</v>
      </c>
      <c r="AP7">
        <v>8</v>
      </c>
      <c r="AQ7">
        <v>6307.2</v>
      </c>
      <c r="AR7">
        <v>15</v>
      </c>
      <c r="AS7">
        <v>11826</v>
      </c>
      <c r="AT7">
        <v>18</v>
      </c>
      <c r="AU7">
        <v>14191.199999999999</v>
      </c>
      <c r="AV7">
        <v>15</v>
      </c>
      <c r="AW7">
        <v>11826</v>
      </c>
      <c r="AX7">
        <v>11</v>
      </c>
      <c r="AY7">
        <v>8672.4</v>
      </c>
      <c r="AZ7">
        <v>37</v>
      </c>
      <c r="BA7">
        <v>29170.799999999999</v>
      </c>
      <c r="BB7">
        <v>29</v>
      </c>
      <c r="BC7">
        <v>22863.599999999999</v>
      </c>
      <c r="BD7">
        <v>27</v>
      </c>
      <c r="BE7">
        <v>21286.799999999999</v>
      </c>
      <c r="BF7">
        <v>43</v>
      </c>
      <c r="BG7">
        <v>33901.199999999997</v>
      </c>
      <c r="BH7">
        <v>8</v>
      </c>
      <c r="BI7">
        <v>6307.2</v>
      </c>
      <c r="BJ7">
        <v>5</v>
      </c>
      <c r="BK7">
        <v>3942</v>
      </c>
      <c r="BL7">
        <v>7</v>
      </c>
      <c r="BM7">
        <v>5518.8</v>
      </c>
      <c r="BN7">
        <v>7</v>
      </c>
      <c r="BO7">
        <v>5518.8</v>
      </c>
      <c r="BP7">
        <v>13</v>
      </c>
      <c r="BQ7">
        <v>10249.199999999999</v>
      </c>
      <c r="BR7">
        <v>7</v>
      </c>
      <c r="BS7">
        <v>5518.8</v>
      </c>
      <c r="BT7">
        <v>9</v>
      </c>
      <c r="BU7">
        <v>7095.5999999999995</v>
      </c>
      <c r="BV7">
        <v>6</v>
      </c>
      <c r="BW7">
        <v>4730.3999999999996</v>
      </c>
      <c r="BX7">
        <v>23</v>
      </c>
      <c r="BY7">
        <v>18133.2</v>
      </c>
      <c r="BZ7">
        <v>19</v>
      </c>
      <c r="CA7">
        <v>14979.6</v>
      </c>
      <c r="CB7">
        <v>35</v>
      </c>
      <c r="CC7">
        <v>27594</v>
      </c>
      <c r="CD7">
        <v>27</v>
      </c>
      <c r="CE7">
        <v>21286.799999999999</v>
      </c>
      <c r="CF7">
        <v>54</v>
      </c>
      <c r="CG7">
        <v>42573.599999999999</v>
      </c>
      <c r="CH7">
        <v>28</v>
      </c>
      <c r="CI7">
        <v>22075.200000000001</v>
      </c>
      <c r="CJ7">
        <v>49</v>
      </c>
      <c r="CK7">
        <v>38631.599999999999</v>
      </c>
      <c r="CL7">
        <v>54</v>
      </c>
      <c r="CM7">
        <v>42573.599999999999</v>
      </c>
      <c r="CN7">
        <v>10</v>
      </c>
      <c r="CO7">
        <v>7884</v>
      </c>
      <c r="CP7">
        <v>10</v>
      </c>
      <c r="CQ7">
        <v>7884</v>
      </c>
      <c r="CR7">
        <v>9</v>
      </c>
      <c r="CS7">
        <v>7095.5999999999995</v>
      </c>
      <c r="CT7">
        <v>8</v>
      </c>
      <c r="CU7">
        <v>6307.2</v>
      </c>
    </row>
    <row r="8" spans="1:99" x14ac:dyDescent="0.2">
      <c r="C8" s="116" t="s">
        <v>174</v>
      </c>
      <c r="D8">
        <v>8</v>
      </c>
      <c r="E8">
        <v>2476.7999999999997</v>
      </c>
      <c r="F8">
        <v>10</v>
      </c>
      <c r="G8">
        <v>3095.9999999999995</v>
      </c>
      <c r="H8">
        <v>10</v>
      </c>
      <c r="I8">
        <v>3095.9999999999995</v>
      </c>
      <c r="J8">
        <v>7</v>
      </c>
      <c r="K8">
        <v>2167.1999999999998</v>
      </c>
      <c r="L8">
        <v>20</v>
      </c>
      <c r="M8">
        <v>6191.9999999999991</v>
      </c>
      <c r="N8">
        <v>17</v>
      </c>
      <c r="O8">
        <v>5263.2</v>
      </c>
      <c r="P8">
        <v>18</v>
      </c>
      <c r="Q8">
        <v>5572.7999999999993</v>
      </c>
      <c r="R8">
        <v>16</v>
      </c>
      <c r="S8">
        <v>4953.5999999999995</v>
      </c>
      <c r="T8">
        <v>22</v>
      </c>
      <c r="U8">
        <v>6811.1999999999989</v>
      </c>
      <c r="V8">
        <v>23</v>
      </c>
      <c r="W8">
        <v>7120.7999999999993</v>
      </c>
      <c r="X8">
        <v>30</v>
      </c>
      <c r="Y8">
        <v>9287.9999999999982</v>
      </c>
      <c r="Z8">
        <v>29</v>
      </c>
      <c r="AA8">
        <v>8978.4</v>
      </c>
      <c r="AB8">
        <v>7</v>
      </c>
      <c r="AC8">
        <v>2167.1999999999998</v>
      </c>
      <c r="AD8">
        <v>8</v>
      </c>
      <c r="AE8">
        <v>2476.7999999999997</v>
      </c>
      <c r="AF8">
        <v>6</v>
      </c>
      <c r="AG8">
        <v>1857.6</v>
      </c>
      <c r="AH8">
        <v>9</v>
      </c>
      <c r="AI8">
        <v>2786.3999999999996</v>
      </c>
      <c r="AJ8">
        <v>6</v>
      </c>
      <c r="AK8">
        <v>1857.6</v>
      </c>
      <c r="AL8">
        <v>8</v>
      </c>
      <c r="AM8">
        <v>2476.7999999999997</v>
      </c>
      <c r="AN8">
        <v>10</v>
      </c>
      <c r="AO8">
        <v>3095.9999999999995</v>
      </c>
      <c r="AP8">
        <v>7</v>
      </c>
      <c r="AQ8">
        <v>2167.1999999999998</v>
      </c>
      <c r="AR8">
        <v>15</v>
      </c>
      <c r="AS8">
        <v>4643.9999999999991</v>
      </c>
      <c r="AT8">
        <v>16</v>
      </c>
      <c r="AU8">
        <v>4953.5999999999995</v>
      </c>
      <c r="AV8">
        <v>15</v>
      </c>
      <c r="AW8">
        <v>4643.9999999999991</v>
      </c>
      <c r="AX8">
        <v>13</v>
      </c>
      <c r="AY8">
        <v>4024.7999999999997</v>
      </c>
      <c r="AZ8">
        <v>37</v>
      </c>
      <c r="BA8">
        <v>11455.199999999999</v>
      </c>
      <c r="BB8">
        <v>34</v>
      </c>
      <c r="BC8">
        <v>10526.4</v>
      </c>
      <c r="BD8">
        <v>33</v>
      </c>
      <c r="BE8">
        <v>10216.799999999999</v>
      </c>
      <c r="BF8">
        <v>45</v>
      </c>
      <c r="BG8">
        <v>13931.999999999998</v>
      </c>
      <c r="BH8">
        <v>8</v>
      </c>
      <c r="BI8">
        <v>2476.7999999999997</v>
      </c>
      <c r="BJ8">
        <v>6</v>
      </c>
      <c r="BK8">
        <v>1857.6</v>
      </c>
      <c r="BL8">
        <v>7</v>
      </c>
      <c r="BM8">
        <v>2167.1999999999998</v>
      </c>
      <c r="BN8">
        <v>8</v>
      </c>
      <c r="BO8">
        <v>2476.7999999999997</v>
      </c>
      <c r="BP8">
        <v>12</v>
      </c>
      <c r="BQ8">
        <v>3715.2</v>
      </c>
      <c r="BR8">
        <v>8</v>
      </c>
      <c r="BS8">
        <v>2476.7999999999997</v>
      </c>
      <c r="BT8">
        <v>10</v>
      </c>
      <c r="BU8">
        <v>3095.9999999999995</v>
      </c>
      <c r="BV8">
        <v>7</v>
      </c>
      <c r="BW8">
        <v>2167.1999999999998</v>
      </c>
      <c r="BX8">
        <v>24</v>
      </c>
      <c r="BY8">
        <v>7430.4</v>
      </c>
      <c r="BZ8">
        <v>20</v>
      </c>
      <c r="CA8">
        <v>6191.9999999999991</v>
      </c>
      <c r="CB8">
        <v>35</v>
      </c>
      <c r="CC8">
        <v>10835.999999999998</v>
      </c>
      <c r="CD8">
        <v>26</v>
      </c>
      <c r="CE8">
        <v>8049.5999999999995</v>
      </c>
      <c r="CF8">
        <v>58</v>
      </c>
      <c r="CG8">
        <v>17956.8</v>
      </c>
      <c r="CH8">
        <v>32</v>
      </c>
      <c r="CI8">
        <v>9907.1999999999989</v>
      </c>
      <c r="CJ8">
        <v>52</v>
      </c>
      <c r="CK8">
        <v>16099.199999999999</v>
      </c>
      <c r="CL8">
        <v>57</v>
      </c>
      <c r="CM8">
        <v>17647.199999999997</v>
      </c>
      <c r="CN8">
        <v>10</v>
      </c>
      <c r="CO8">
        <v>3095.9999999999995</v>
      </c>
      <c r="CP8">
        <v>10</v>
      </c>
      <c r="CQ8">
        <v>3095.9999999999995</v>
      </c>
      <c r="CR8">
        <v>10</v>
      </c>
      <c r="CS8">
        <v>3095.9999999999995</v>
      </c>
      <c r="CT8">
        <v>8</v>
      </c>
      <c r="CU8">
        <v>2476.7999999999997</v>
      </c>
    </row>
    <row r="9" spans="1:99" x14ac:dyDescent="0.2">
      <c r="C9" s="116" t="s">
        <v>175</v>
      </c>
      <c r="D9">
        <v>7</v>
      </c>
      <c r="E9">
        <v>4914</v>
      </c>
      <c r="F9">
        <v>9</v>
      </c>
      <c r="G9">
        <v>6318</v>
      </c>
      <c r="H9">
        <v>12</v>
      </c>
      <c r="I9">
        <v>8424</v>
      </c>
      <c r="J9">
        <v>6</v>
      </c>
      <c r="K9">
        <v>4212</v>
      </c>
      <c r="L9">
        <v>20</v>
      </c>
      <c r="M9">
        <v>14040</v>
      </c>
      <c r="N9">
        <v>16</v>
      </c>
      <c r="O9">
        <v>11232</v>
      </c>
      <c r="P9">
        <v>17</v>
      </c>
      <c r="Q9">
        <v>11934</v>
      </c>
      <c r="R9">
        <v>17</v>
      </c>
      <c r="S9">
        <v>11934</v>
      </c>
      <c r="T9">
        <v>21</v>
      </c>
      <c r="U9">
        <v>14742</v>
      </c>
      <c r="V9">
        <v>20</v>
      </c>
      <c r="W9">
        <v>14040</v>
      </c>
      <c r="X9">
        <v>33</v>
      </c>
      <c r="Y9">
        <v>23166</v>
      </c>
      <c r="Z9">
        <v>30</v>
      </c>
      <c r="AA9">
        <v>21060</v>
      </c>
      <c r="AB9">
        <v>7</v>
      </c>
      <c r="AC9">
        <v>4914</v>
      </c>
      <c r="AD9">
        <v>8</v>
      </c>
      <c r="AE9">
        <v>5616</v>
      </c>
      <c r="AF9">
        <v>5</v>
      </c>
      <c r="AG9">
        <v>3510</v>
      </c>
      <c r="AH9">
        <v>8</v>
      </c>
      <c r="AI9">
        <v>5616</v>
      </c>
      <c r="AJ9">
        <v>6</v>
      </c>
      <c r="AK9">
        <v>4212</v>
      </c>
      <c r="AL9">
        <v>8</v>
      </c>
      <c r="AM9">
        <v>5616</v>
      </c>
      <c r="AN9">
        <v>10</v>
      </c>
      <c r="AO9">
        <v>7020</v>
      </c>
      <c r="AP9">
        <v>7</v>
      </c>
      <c r="AQ9">
        <v>4914</v>
      </c>
      <c r="AR9">
        <v>13</v>
      </c>
      <c r="AS9">
        <v>9126</v>
      </c>
      <c r="AT9">
        <v>15</v>
      </c>
      <c r="AU9">
        <v>10530</v>
      </c>
      <c r="AV9">
        <v>14</v>
      </c>
      <c r="AW9">
        <v>9828</v>
      </c>
      <c r="AX9">
        <v>12</v>
      </c>
      <c r="AY9">
        <v>8424</v>
      </c>
      <c r="AZ9">
        <v>41</v>
      </c>
      <c r="BA9">
        <v>28782</v>
      </c>
      <c r="BB9">
        <v>29</v>
      </c>
      <c r="BC9">
        <v>20358</v>
      </c>
      <c r="BD9">
        <v>26</v>
      </c>
      <c r="BE9">
        <v>18252</v>
      </c>
      <c r="BF9">
        <v>44</v>
      </c>
      <c r="BG9">
        <v>30888</v>
      </c>
      <c r="BH9">
        <v>8</v>
      </c>
      <c r="BI9">
        <v>5616</v>
      </c>
      <c r="BJ9">
        <v>5</v>
      </c>
      <c r="BK9">
        <v>3510</v>
      </c>
      <c r="BL9">
        <v>7</v>
      </c>
      <c r="BM9">
        <v>4914</v>
      </c>
      <c r="BN9">
        <v>7</v>
      </c>
      <c r="BO9">
        <v>4914</v>
      </c>
      <c r="BP9">
        <v>12</v>
      </c>
      <c r="BQ9">
        <v>8424</v>
      </c>
      <c r="BR9">
        <v>7</v>
      </c>
      <c r="BS9">
        <v>4914</v>
      </c>
      <c r="BT9">
        <v>9</v>
      </c>
      <c r="BU9">
        <v>6318</v>
      </c>
      <c r="BV9">
        <v>7</v>
      </c>
      <c r="BW9">
        <v>4914</v>
      </c>
      <c r="BX9">
        <v>22</v>
      </c>
      <c r="BY9">
        <v>15444</v>
      </c>
      <c r="BZ9">
        <v>19</v>
      </c>
      <c r="CA9">
        <v>13338</v>
      </c>
      <c r="CB9">
        <v>35</v>
      </c>
      <c r="CC9">
        <v>24570</v>
      </c>
      <c r="CD9">
        <v>29</v>
      </c>
      <c r="CE9">
        <v>20358</v>
      </c>
      <c r="CF9">
        <v>55</v>
      </c>
      <c r="CG9">
        <v>38610</v>
      </c>
      <c r="CH9">
        <v>31</v>
      </c>
      <c r="CI9">
        <v>21762</v>
      </c>
      <c r="CJ9">
        <v>56</v>
      </c>
      <c r="CK9">
        <v>39312</v>
      </c>
      <c r="CL9">
        <v>56</v>
      </c>
      <c r="CM9">
        <v>39312</v>
      </c>
      <c r="CN9">
        <v>11</v>
      </c>
      <c r="CO9">
        <v>7722</v>
      </c>
      <c r="CP9">
        <v>10</v>
      </c>
      <c r="CQ9">
        <v>7020</v>
      </c>
      <c r="CR9">
        <v>10</v>
      </c>
      <c r="CS9">
        <v>7020</v>
      </c>
      <c r="CT9">
        <v>8</v>
      </c>
      <c r="CU9">
        <v>5616</v>
      </c>
    </row>
    <row r="10" spans="1:99" x14ac:dyDescent="0.2">
      <c r="C10" s="116" t="s">
        <v>176</v>
      </c>
      <c r="D10">
        <v>8</v>
      </c>
      <c r="E10">
        <v>4358.3999999999996</v>
      </c>
      <c r="F10">
        <v>10</v>
      </c>
      <c r="G10">
        <v>5448</v>
      </c>
      <c r="H10">
        <v>10</v>
      </c>
      <c r="I10">
        <v>5448</v>
      </c>
      <c r="J10">
        <v>7</v>
      </c>
      <c r="K10">
        <v>3813.5999999999995</v>
      </c>
      <c r="L10">
        <v>19</v>
      </c>
      <c r="M10">
        <v>10351.199999999999</v>
      </c>
      <c r="N10">
        <v>15</v>
      </c>
      <c r="O10">
        <v>8171.9999999999991</v>
      </c>
      <c r="P10">
        <v>15</v>
      </c>
      <c r="Q10">
        <v>8171.9999999999991</v>
      </c>
      <c r="R10">
        <v>15</v>
      </c>
      <c r="S10">
        <v>8171.9999999999991</v>
      </c>
      <c r="T10">
        <v>23</v>
      </c>
      <c r="U10">
        <v>12530.4</v>
      </c>
      <c r="V10">
        <v>21</v>
      </c>
      <c r="W10">
        <v>11440.8</v>
      </c>
      <c r="X10">
        <v>29</v>
      </c>
      <c r="Y10">
        <v>15799.199999999999</v>
      </c>
      <c r="Z10">
        <v>30</v>
      </c>
      <c r="AA10">
        <v>16343.999999999998</v>
      </c>
      <c r="AB10">
        <v>7</v>
      </c>
      <c r="AC10">
        <v>3813.5999999999995</v>
      </c>
      <c r="AD10">
        <v>9</v>
      </c>
      <c r="AE10">
        <v>4903.2</v>
      </c>
      <c r="AF10">
        <v>6</v>
      </c>
      <c r="AG10">
        <v>3268.7999999999997</v>
      </c>
      <c r="AH10">
        <v>9</v>
      </c>
      <c r="AI10">
        <v>4903.2</v>
      </c>
      <c r="AJ10">
        <v>6</v>
      </c>
      <c r="AK10">
        <v>3268.7999999999997</v>
      </c>
      <c r="AL10">
        <v>10</v>
      </c>
      <c r="AM10">
        <v>5448</v>
      </c>
      <c r="AN10">
        <v>11</v>
      </c>
      <c r="AO10">
        <v>5992.7999999999993</v>
      </c>
      <c r="AP10">
        <v>7</v>
      </c>
      <c r="AQ10">
        <v>3813.5999999999995</v>
      </c>
      <c r="AR10">
        <v>14</v>
      </c>
      <c r="AS10">
        <v>7627.1999999999989</v>
      </c>
      <c r="AT10">
        <v>18</v>
      </c>
      <c r="AU10">
        <v>9806.4</v>
      </c>
      <c r="AV10">
        <v>15</v>
      </c>
      <c r="AW10">
        <v>8171.9999999999991</v>
      </c>
      <c r="AX10">
        <v>12</v>
      </c>
      <c r="AY10">
        <v>6537.5999999999995</v>
      </c>
      <c r="AZ10">
        <v>37</v>
      </c>
      <c r="BA10">
        <v>20157.599999999999</v>
      </c>
      <c r="BB10">
        <v>32</v>
      </c>
      <c r="BC10">
        <v>17433.599999999999</v>
      </c>
      <c r="BD10">
        <v>30</v>
      </c>
      <c r="BE10">
        <v>16343.999999999998</v>
      </c>
      <c r="BF10">
        <v>42</v>
      </c>
      <c r="BG10">
        <v>22881.599999999999</v>
      </c>
      <c r="BH10">
        <v>8</v>
      </c>
      <c r="BI10">
        <v>4358.3999999999996</v>
      </c>
      <c r="BJ10">
        <v>5</v>
      </c>
      <c r="BK10">
        <v>2724</v>
      </c>
      <c r="BL10">
        <v>7</v>
      </c>
      <c r="BM10">
        <v>3813.5999999999995</v>
      </c>
      <c r="BN10">
        <v>8</v>
      </c>
      <c r="BO10">
        <v>4358.3999999999996</v>
      </c>
      <c r="BP10">
        <v>13</v>
      </c>
      <c r="BQ10">
        <v>7082.4</v>
      </c>
      <c r="BR10">
        <v>8</v>
      </c>
      <c r="BS10">
        <v>4358.3999999999996</v>
      </c>
      <c r="BT10">
        <v>10</v>
      </c>
      <c r="BU10">
        <v>5448</v>
      </c>
      <c r="BV10">
        <v>7</v>
      </c>
      <c r="BW10">
        <v>3813.5999999999995</v>
      </c>
      <c r="BX10">
        <v>22</v>
      </c>
      <c r="BY10">
        <v>11985.599999999999</v>
      </c>
      <c r="BZ10">
        <v>22</v>
      </c>
      <c r="CA10">
        <v>11985.599999999999</v>
      </c>
      <c r="CB10">
        <v>36</v>
      </c>
      <c r="CC10">
        <v>19612.8</v>
      </c>
      <c r="CD10">
        <v>28</v>
      </c>
      <c r="CE10">
        <v>15254.399999999998</v>
      </c>
      <c r="CF10">
        <v>51</v>
      </c>
      <c r="CG10">
        <v>27784.799999999999</v>
      </c>
      <c r="CH10">
        <v>34</v>
      </c>
      <c r="CI10">
        <v>18523.199999999997</v>
      </c>
      <c r="CJ10">
        <v>55</v>
      </c>
      <c r="CK10">
        <v>29963.999999999996</v>
      </c>
      <c r="CL10">
        <v>55</v>
      </c>
      <c r="CM10">
        <v>29963.999999999996</v>
      </c>
      <c r="CN10">
        <v>11</v>
      </c>
      <c r="CO10">
        <v>5992.7999999999993</v>
      </c>
      <c r="CP10">
        <v>11</v>
      </c>
      <c r="CQ10">
        <v>5992.7999999999993</v>
      </c>
      <c r="CR10">
        <v>9</v>
      </c>
      <c r="CS10">
        <v>4903.2</v>
      </c>
      <c r="CT10">
        <v>9</v>
      </c>
      <c r="CU10">
        <v>4903.2</v>
      </c>
    </row>
    <row r="11" spans="1:99" x14ac:dyDescent="0.2">
      <c r="C11" s="116" t="s">
        <v>177</v>
      </c>
      <c r="D11">
        <v>9</v>
      </c>
      <c r="E11">
        <v>4795.2</v>
      </c>
      <c r="F11">
        <v>10</v>
      </c>
      <c r="G11">
        <v>5328</v>
      </c>
      <c r="H11">
        <v>12</v>
      </c>
      <c r="I11">
        <v>6393.5999999999995</v>
      </c>
      <c r="J11">
        <v>7</v>
      </c>
      <c r="K11">
        <v>3729.5999999999995</v>
      </c>
      <c r="L11">
        <v>18</v>
      </c>
      <c r="M11">
        <v>9590.4</v>
      </c>
      <c r="N11">
        <v>15</v>
      </c>
      <c r="O11">
        <v>7991.9999999999991</v>
      </c>
      <c r="P11">
        <v>18</v>
      </c>
      <c r="Q11">
        <v>9590.4</v>
      </c>
      <c r="R11">
        <v>17</v>
      </c>
      <c r="S11">
        <v>9057.5999999999985</v>
      </c>
      <c r="T11">
        <v>25</v>
      </c>
      <c r="U11">
        <v>13319.999999999998</v>
      </c>
      <c r="V11">
        <v>21</v>
      </c>
      <c r="W11">
        <v>11188.8</v>
      </c>
      <c r="X11">
        <v>31</v>
      </c>
      <c r="Y11">
        <v>16516.8</v>
      </c>
      <c r="Z11">
        <v>28</v>
      </c>
      <c r="AA11">
        <v>14918.399999999998</v>
      </c>
      <c r="AB11">
        <v>8</v>
      </c>
      <c r="AC11">
        <v>4262.3999999999996</v>
      </c>
      <c r="AD11">
        <v>8</v>
      </c>
      <c r="AE11">
        <v>4262.3999999999996</v>
      </c>
      <c r="AF11">
        <v>6</v>
      </c>
      <c r="AG11">
        <v>3196.7999999999997</v>
      </c>
      <c r="AH11">
        <v>8</v>
      </c>
      <c r="AI11">
        <v>4262.3999999999996</v>
      </c>
      <c r="AJ11">
        <v>7</v>
      </c>
      <c r="AK11">
        <v>3729.5999999999995</v>
      </c>
      <c r="AL11">
        <v>8</v>
      </c>
      <c r="AM11">
        <v>4262.3999999999996</v>
      </c>
      <c r="AN11">
        <v>11</v>
      </c>
      <c r="AO11">
        <v>5860.7999999999993</v>
      </c>
      <c r="AP11">
        <v>7</v>
      </c>
      <c r="AQ11">
        <v>3729.5999999999995</v>
      </c>
      <c r="AR11">
        <v>13</v>
      </c>
      <c r="AS11">
        <v>6926.4</v>
      </c>
      <c r="AT11">
        <v>18</v>
      </c>
      <c r="AU11">
        <v>9590.4</v>
      </c>
      <c r="AV11">
        <v>15</v>
      </c>
      <c r="AW11">
        <v>7991.9999999999991</v>
      </c>
      <c r="AX11">
        <v>12</v>
      </c>
      <c r="AY11">
        <v>6393.5999999999995</v>
      </c>
      <c r="AZ11">
        <v>36</v>
      </c>
      <c r="BA11">
        <v>19180.8</v>
      </c>
      <c r="BB11">
        <v>29</v>
      </c>
      <c r="BC11">
        <v>15451.199999999999</v>
      </c>
      <c r="BD11">
        <v>29</v>
      </c>
      <c r="BE11">
        <v>15451.199999999999</v>
      </c>
      <c r="BF11">
        <v>45</v>
      </c>
      <c r="BG11">
        <v>23975.999999999996</v>
      </c>
      <c r="BH11">
        <v>9</v>
      </c>
      <c r="BI11">
        <v>4795.2</v>
      </c>
      <c r="BJ11">
        <v>5</v>
      </c>
      <c r="BK11">
        <v>2664</v>
      </c>
      <c r="BL11">
        <v>7</v>
      </c>
      <c r="BM11">
        <v>3729.5999999999995</v>
      </c>
      <c r="BN11">
        <v>8</v>
      </c>
      <c r="BO11">
        <v>4262.3999999999996</v>
      </c>
      <c r="BP11">
        <v>12</v>
      </c>
      <c r="BQ11">
        <v>6393.5999999999995</v>
      </c>
      <c r="BR11">
        <v>7</v>
      </c>
      <c r="BS11">
        <v>3729.5999999999995</v>
      </c>
      <c r="BT11">
        <v>9</v>
      </c>
      <c r="BU11">
        <v>4795.2</v>
      </c>
      <c r="BV11">
        <v>8</v>
      </c>
      <c r="BW11">
        <v>4262.3999999999996</v>
      </c>
      <c r="BX11">
        <v>23</v>
      </c>
      <c r="BY11">
        <v>12254.4</v>
      </c>
      <c r="BZ11">
        <v>20</v>
      </c>
      <c r="CA11">
        <v>10656</v>
      </c>
      <c r="CB11">
        <v>31</v>
      </c>
      <c r="CC11">
        <v>16516.8</v>
      </c>
      <c r="CD11">
        <v>27</v>
      </c>
      <c r="CE11">
        <v>14385.599999999999</v>
      </c>
      <c r="CF11">
        <v>60</v>
      </c>
      <c r="CG11">
        <v>31967.999999999996</v>
      </c>
      <c r="CH11">
        <v>29</v>
      </c>
      <c r="CI11">
        <v>15451.199999999999</v>
      </c>
      <c r="CJ11">
        <v>48</v>
      </c>
      <c r="CK11">
        <v>25574.399999999998</v>
      </c>
      <c r="CL11">
        <v>52</v>
      </c>
      <c r="CM11">
        <v>27705.599999999999</v>
      </c>
      <c r="CN11">
        <v>9</v>
      </c>
      <c r="CO11">
        <v>4795.2</v>
      </c>
      <c r="CP11">
        <v>11</v>
      </c>
      <c r="CQ11">
        <v>5860.7999999999993</v>
      </c>
      <c r="CR11">
        <v>10</v>
      </c>
      <c r="CS11">
        <v>5328</v>
      </c>
      <c r="CT11">
        <v>9</v>
      </c>
      <c r="CU11">
        <v>4795.2</v>
      </c>
    </row>
    <row r="12" spans="1:99" x14ac:dyDescent="0.2">
      <c r="C12" s="116" t="s">
        <v>178</v>
      </c>
      <c r="D12">
        <v>8</v>
      </c>
      <c r="E12">
        <v>4502.3999999999996</v>
      </c>
      <c r="F12">
        <v>10</v>
      </c>
      <c r="G12">
        <v>5628</v>
      </c>
      <c r="H12">
        <v>12</v>
      </c>
      <c r="I12">
        <v>6753.5999999999995</v>
      </c>
      <c r="J12">
        <v>6</v>
      </c>
      <c r="K12">
        <v>3376.7999999999997</v>
      </c>
      <c r="L12">
        <v>18</v>
      </c>
      <c r="M12">
        <v>10130.4</v>
      </c>
      <c r="N12">
        <v>14</v>
      </c>
      <c r="O12">
        <v>7879.1999999999989</v>
      </c>
      <c r="P12">
        <v>15</v>
      </c>
      <c r="Q12">
        <v>8442</v>
      </c>
      <c r="R12">
        <v>18</v>
      </c>
      <c r="S12">
        <v>10130.4</v>
      </c>
      <c r="T12">
        <v>25</v>
      </c>
      <c r="U12">
        <v>14069.999999999998</v>
      </c>
      <c r="V12">
        <v>22</v>
      </c>
      <c r="W12">
        <v>12381.599999999999</v>
      </c>
      <c r="X12">
        <v>30</v>
      </c>
      <c r="Y12">
        <v>16884</v>
      </c>
      <c r="Z12">
        <v>29</v>
      </c>
      <c r="AA12">
        <v>16321.199999999999</v>
      </c>
      <c r="AB12">
        <v>8</v>
      </c>
      <c r="AC12">
        <v>4502.3999999999996</v>
      </c>
      <c r="AD12">
        <v>9</v>
      </c>
      <c r="AE12">
        <v>5065.2</v>
      </c>
      <c r="AF12">
        <v>5</v>
      </c>
      <c r="AG12">
        <v>2814</v>
      </c>
      <c r="AH12">
        <v>8</v>
      </c>
      <c r="AI12">
        <v>4502.3999999999996</v>
      </c>
      <c r="AJ12">
        <v>6</v>
      </c>
      <c r="AK12">
        <v>3376.7999999999997</v>
      </c>
      <c r="AL12">
        <v>9</v>
      </c>
      <c r="AM12">
        <v>5065.2</v>
      </c>
      <c r="AN12">
        <v>11</v>
      </c>
      <c r="AO12">
        <v>6190.7999999999993</v>
      </c>
      <c r="AP12">
        <v>8</v>
      </c>
      <c r="AQ12">
        <v>4502.3999999999996</v>
      </c>
      <c r="AR12">
        <v>14</v>
      </c>
      <c r="AS12">
        <v>7879.1999999999989</v>
      </c>
      <c r="AT12">
        <v>17</v>
      </c>
      <c r="AU12">
        <v>9567.5999999999985</v>
      </c>
      <c r="AV12">
        <v>14</v>
      </c>
      <c r="AW12">
        <v>7879.1999999999989</v>
      </c>
      <c r="AX12">
        <v>12</v>
      </c>
      <c r="AY12">
        <v>6753.5999999999995</v>
      </c>
      <c r="AZ12">
        <v>36</v>
      </c>
      <c r="BA12">
        <v>20260.8</v>
      </c>
      <c r="BB12">
        <v>31</v>
      </c>
      <c r="BC12">
        <v>17446.8</v>
      </c>
      <c r="BD12">
        <v>31</v>
      </c>
      <c r="BE12">
        <v>17446.8</v>
      </c>
      <c r="BF12">
        <v>39</v>
      </c>
      <c r="BG12">
        <v>21949.199999999997</v>
      </c>
      <c r="BH12">
        <v>8</v>
      </c>
      <c r="BI12">
        <v>4502.3999999999996</v>
      </c>
      <c r="BJ12">
        <v>5</v>
      </c>
      <c r="BK12">
        <v>2814</v>
      </c>
      <c r="BL12">
        <v>7</v>
      </c>
      <c r="BM12">
        <v>3939.5999999999995</v>
      </c>
      <c r="BN12">
        <v>8</v>
      </c>
      <c r="BO12">
        <v>4502.3999999999996</v>
      </c>
      <c r="BP12">
        <v>12</v>
      </c>
      <c r="BQ12">
        <v>6753.5999999999995</v>
      </c>
      <c r="BR12">
        <v>7</v>
      </c>
      <c r="BS12">
        <v>3939.5999999999995</v>
      </c>
      <c r="BT12">
        <v>9</v>
      </c>
      <c r="BU12">
        <v>5065.2</v>
      </c>
      <c r="BV12">
        <v>8</v>
      </c>
      <c r="BW12">
        <v>4502.3999999999996</v>
      </c>
      <c r="BX12">
        <v>24</v>
      </c>
      <c r="BY12">
        <v>13507.199999999999</v>
      </c>
      <c r="BZ12">
        <v>19</v>
      </c>
      <c r="CA12">
        <v>10693.199999999999</v>
      </c>
      <c r="CB12">
        <v>36</v>
      </c>
      <c r="CC12">
        <v>20260.8</v>
      </c>
      <c r="CD12">
        <v>29</v>
      </c>
      <c r="CE12">
        <v>16321.199999999999</v>
      </c>
      <c r="CF12">
        <v>59</v>
      </c>
      <c r="CG12">
        <v>33205.199999999997</v>
      </c>
      <c r="CH12">
        <v>29</v>
      </c>
      <c r="CI12">
        <v>16321.199999999999</v>
      </c>
      <c r="CJ12">
        <v>53</v>
      </c>
      <c r="CK12">
        <v>29828.399999999998</v>
      </c>
      <c r="CL12">
        <v>49</v>
      </c>
      <c r="CM12">
        <v>27577.199999999997</v>
      </c>
      <c r="CN12">
        <v>10</v>
      </c>
      <c r="CO12">
        <v>5628</v>
      </c>
      <c r="CP12">
        <v>10</v>
      </c>
      <c r="CQ12">
        <v>5628</v>
      </c>
      <c r="CR12">
        <v>10</v>
      </c>
      <c r="CS12">
        <v>5628</v>
      </c>
      <c r="CT12">
        <v>9</v>
      </c>
      <c r="CU12">
        <v>5065.2</v>
      </c>
    </row>
    <row r="13" spans="1:99" x14ac:dyDescent="0.2">
      <c r="C13" s="116" t="s">
        <v>179</v>
      </c>
      <c r="D13">
        <v>9</v>
      </c>
      <c r="E13">
        <v>766.80000000000007</v>
      </c>
      <c r="F13">
        <v>10</v>
      </c>
      <c r="G13">
        <v>852</v>
      </c>
      <c r="H13">
        <v>11</v>
      </c>
      <c r="I13">
        <v>937.2</v>
      </c>
      <c r="J13">
        <v>7</v>
      </c>
      <c r="K13">
        <v>596.4</v>
      </c>
      <c r="L13">
        <v>21</v>
      </c>
      <c r="M13">
        <v>1789.2</v>
      </c>
      <c r="N13">
        <v>17</v>
      </c>
      <c r="O13">
        <v>1448.4</v>
      </c>
      <c r="P13">
        <v>18</v>
      </c>
      <c r="Q13">
        <v>1533.6000000000001</v>
      </c>
      <c r="R13">
        <v>17</v>
      </c>
      <c r="S13">
        <v>1448.4</v>
      </c>
      <c r="T13">
        <v>23</v>
      </c>
      <c r="U13">
        <v>1959.6000000000001</v>
      </c>
      <c r="V13">
        <v>20</v>
      </c>
      <c r="W13">
        <v>1704</v>
      </c>
      <c r="X13">
        <v>36</v>
      </c>
      <c r="Y13">
        <v>3067.2000000000003</v>
      </c>
      <c r="Z13">
        <v>29</v>
      </c>
      <c r="AA13">
        <v>2470.8000000000002</v>
      </c>
      <c r="AB13">
        <v>9</v>
      </c>
      <c r="AC13">
        <v>766.80000000000007</v>
      </c>
      <c r="AD13">
        <v>9</v>
      </c>
      <c r="AE13">
        <v>766.80000000000007</v>
      </c>
      <c r="AF13">
        <v>6</v>
      </c>
      <c r="AG13">
        <v>511.20000000000005</v>
      </c>
      <c r="AH13">
        <v>8</v>
      </c>
      <c r="AI13">
        <v>681.6</v>
      </c>
      <c r="AJ13">
        <v>7</v>
      </c>
      <c r="AK13">
        <v>596.4</v>
      </c>
      <c r="AL13">
        <v>10</v>
      </c>
      <c r="AM13">
        <v>852</v>
      </c>
      <c r="AN13">
        <v>10</v>
      </c>
      <c r="AO13">
        <v>852</v>
      </c>
      <c r="AP13">
        <v>7</v>
      </c>
      <c r="AQ13">
        <v>596.4</v>
      </c>
      <c r="AR13">
        <v>16</v>
      </c>
      <c r="AS13">
        <v>1363.2</v>
      </c>
      <c r="AT13">
        <v>16</v>
      </c>
      <c r="AU13">
        <v>1363.2</v>
      </c>
      <c r="AV13">
        <v>14</v>
      </c>
      <c r="AW13">
        <v>1192.8</v>
      </c>
      <c r="AX13">
        <v>13</v>
      </c>
      <c r="AY13">
        <v>1107.6000000000001</v>
      </c>
      <c r="AZ13">
        <v>39</v>
      </c>
      <c r="BA13">
        <v>3322.8</v>
      </c>
      <c r="BB13">
        <v>34</v>
      </c>
      <c r="BC13">
        <v>2896.8</v>
      </c>
      <c r="BD13">
        <v>30</v>
      </c>
      <c r="BE13">
        <v>2556</v>
      </c>
      <c r="BF13">
        <v>43</v>
      </c>
      <c r="BG13">
        <v>3663.6</v>
      </c>
      <c r="BH13">
        <v>8</v>
      </c>
      <c r="BI13">
        <v>681.6</v>
      </c>
      <c r="BJ13">
        <v>5</v>
      </c>
      <c r="BK13">
        <v>426</v>
      </c>
      <c r="BL13">
        <v>8</v>
      </c>
      <c r="BM13">
        <v>681.6</v>
      </c>
      <c r="BN13">
        <v>9</v>
      </c>
      <c r="BO13">
        <v>766.80000000000007</v>
      </c>
      <c r="BP13">
        <v>13</v>
      </c>
      <c r="BQ13">
        <v>1107.6000000000001</v>
      </c>
      <c r="BR13">
        <v>7</v>
      </c>
      <c r="BS13">
        <v>596.4</v>
      </c>
      <c r="BT13">
        <v>9</v>
      </c>
      <c r="BU13">
        <v>766.80000000000007</v>
      </c>
      <c r="BV13">
        <v>8</v>
      </c>
      <c r="BW13">
        <v>681.6</v>
      </c>
      <c r="BX13">
        <v>22</v>
      </c>
      <c r="BY13">
        <v>1874.4</v>
      </c>
      <c r="BZ13">
        <v>21</v>
      </c>
      <c r="CA13">
        <v>1789.2</v>
      </c>
      <c r="CB13">
        <v>36</v>
      </c>
      <c r="CC13">
        <v>3067.2000000000003</v>
      </c>
      <c r="CD13">
        <v>30</v>
      </c>
      <c r="CE13">
        <v>2556</v>
      </c>
      <c r="CF13">
        <v>64</v>
      </c>
      <c r="CG13">
        <v>5452.8</v>
      </c>
      <c r="CH13">
        <v>31</v>
      </c>
      <c r="CI13">
        <v>2641.2000000000003</v>
      </c>
      <c r="CJ13">
        <v>52</v>
      </c>
      <c r="CK13">
        <v>4430.4000000000005</v>
      </c>
      <c r="CL13">
        <v>53</v>
      </c>
      <c r="CM13">
        <v>4515.6000000000004</v>
      </c>
      <c r="CN13">
        <v>11</v>
      </c>
      <c r="CO13">
        <v>937.2</v>
      </c>
      <c r="CP13">
        <v>10</v>
      </c>
      <c r="CQ13">
        <v>852</v>
      </c>
      <c r="CR13">
        <v>9</v>
      </c>
      <c r="CS13">
        <v>766.80000000000007</v>
      </c>
      <c r="CT13">
        <v>8</v>
      </c>
      <c r="CU13">
        <v>681.6</v>
      </c>
    </row>
    <row r="14" spans="1:99" x14ac:dyDescent="0.2">
      <c r="C14" s="116" t="s">
        <v>180</v>
      </c>
      <c r="D14">
        <v>8</v>
      </c>
      <c r="E14">
        <v>3907.2</v>
      </c>
      <c r="F14">
        <v>11</v>
      </c>
      <c r="G14">
        <v>5372.4</v>
      </c>
      <c r="H14">
        <v>10</v>
      </c>
      <c r="I14">
        <v>4884</v>
      </c>
      <c r="J14">
        <v>7</v>
      </c>
      <c r="K14">
        <v>3418.7999999999997</v>
      </c>
      <c r="L14">
        <v>19</v>
      </c>
      <c r="M14">
        <v>9279.6</v>
      </c>
      <c r="N14">
        <v>14</v>
      </c>
      <c r="O14">
        <v>6837.5999999999995</v>
      </c>
      <c r="P14">
        <v>18</v>
      </c>
      <c r="Q14">
        <v>8791.1999999999989</v>
      </c>
      <c r="R14">
        <v>16</v>
      </c>
      <c r="S14">
        <v>7814.4</v>
      </c>
      <c r="T14">
        <v>24</v>
      </c>
      <c r="U14">
        <v>11721.599999999999</v>
      </c>
      <c r="V14">
        <v>19</v>
      </c>
      <c r="W14">
        <v>9279.6</v>
      </c>
      <c r="X14">
        <v>34</v>
      </c>
      <c r="Y14">
        <v>16605.599999999999</v>
      </c>
      <c r="Z14">
        <v>26</v>
      </c>
      <c r="AA14">
        <v>12698.4</v>
      </c>
      <c r="AB14">
        <v>7</v>
      </c>
      <c r="AC14">
        <v>3418.7999999999997</v>
      </c>
      <c r="AD14">
        <v>8</v>
      </c>
      <c r="AE14">
        <v>3907.2</v>
      </c>
      <c r="AF14">
        <v>6</v>
      </c>
      <c r="AG14">
        <v>2930.3999999999996</v>
      </c>
      <c r="AH14">
        <v>8</v>
      </c>
      <c r="AI14">
        <v>3907.2</v>
      </c>
      <c r="AJ14">
        <v>6</v>
      </c>
      <c r="AK14">
        <v>2930.3999999999996</v>
      </c>
      <c r="AL14">
        <v>9</v>
      </c>
      <c r="AM14">
        <v>4395.5999999999995</v>
      </c>
      <c r="AN14">
        <v>11</v>
      </c>
      <c r="AO14">
        <v>5372.4</v>
      </c>
      <c r="AP14">
        <v>8</v>
      </c>
      <c r="AQ14">
        <v>3907.2</v>
      </c>
      <c r="AR14">
        <v>14</v>
      </c>
      <c r="AS14">
        <v>6837.5999999999995</v>
      </c>
      <c r="AT14">
        <v>16</v>
      </c>
      <c r="AU14">
        <v>7814.4</v>
      </c>
      <c r="AV14">
        <v>14</v>
      </c>
      <c r="AW14">
        <v>6837.5999999999995</v>
      </c>
      <c r="AX14">
        <v>12</v>
      </c>
      <c r="AY14">
        <v>5860.7999999999993</v>
      </c>
      <c r="AZ14">
        <v>36</v>
      </c>
      <c r="BA14">
        <v>17582.399999999998</v>
      </c>
      <c r="BB14">
        <v>29</v>
      </c>
      <c r="BC14">
        <v>14163.599999999999</v>
      </c>
      <c r="BD14">
        <v>27</v>
      </c>
      <c r="BE14">
        <v>13186.8</v>
      </c>
      <c r="BF14">
        <v>39</v>
      </c>
      <c r="BG14">
        <v>19047.599999999999</v>
      </c>
      <c r="BH14">
        <v>8</v>
      </c>
      <c r="BI14">
        <v>3907.2</v>
      </c>
      <c r="BJ14">
        <v>6</v>
      </c>
      <c r="BK14">
        <v>2930.3999999999996</v>
      </c>
      <c r="BL14">
        <v>6</v>
      </c>
      <c r="BM14">
        <v>2930.3999999999996</v>
      </c>
      <c r="BN14">
        <v>9</v>
      </c>
      <c r="BO14">
        <v>4395.5999999999995</v>
      </c>
      <c r="BP14">
        <v>11</v>
      </c>
      <c r="BQ14">
        <v>5372.4</v>
      </c>
      <c r="BR14">
        <v>8</v>
      </c>
      <c r="BS14">
        <v>3907.2</v>
      </c>
      <c r="BT14">
        <v>9</v>
      </c>
      <c r="BU14">
        <v>4395.5999999999995</v>
      </c>
      <c r="BV14">
        <v>7</v>
      </c>
      <c r="BW14">
        <v>3418.7999999999997</v>
      </c>
      <c r="BX14">
        <v>21</v>
      </c>
      <c r="BY14">
        <v>10256.4</v>
      </c>
      <c r="BZ14">
        <v>19</v>
      </c>
      <c r="CA14">
        <v>9279.6</v>
      </c>
      <c r="CB14">
        <v>36</v>
      </c>
      <c r="CC14">
        <v>17582.399999999998</v>
      </c>
      <c r="CD14">
        <v>28</v>
      </c>
      <c r="CE14">
        <v>13675.199999999999</v>
      </c>
      <c r="CF14">
        <v>50</v>
      </c>
      <c r="CG14">
        <v>24420</v>
      </c>
      <c r="CH14">
        <v>28</v>
      </c>
      <c r="CI14">
        <v>13675.199999999999</v>
      </c>
      <c r="CJ14">
        <v>56</v>
      </c>
      <c r="CK14">
        <v>27350.399999999998</v>
      </c>
      <c r="CL14">
        <v>53</v>
      </c>
      <c r="CM14">
        <v>25885.199999999997</v>
      </c>
      <c r="CN14">
        <v>10</v>
      </c>
      <c r="CO14">
        <v>4884</v>
      </c>
      <c r="CP14">
        <v>10</v>
      </c>
      <c r="CQ14">
        <v>4884</v>
      </c>
      <c r="CR14">
        <v>9</v>
      </c>
      <c r="CS14">
        <v>4395.5999999999995</v>
      </c>
      <c r="CT14">
        <v>8</v>
      </c>
      <c r="CU14">
        <v>3907.2</v>
      </c>
    </row>
    <row r="15" spans="1:99" x14ac:dyDescent="0.2">
      <c r="C15" s="116" t="s">
        <v>181</v>
      </c>
      <c r="D15">
        <v>9</v>
      </c>
      <c r="E15">
        <v>6868.7999999999993</v>
      </c>
      <c r="F15">
        <v>11</v>
      </c>
      <c r="G15">
        <v>8395.1999999999989</v>
      </c>
      <c r="H15">
        <v>10</v>
      </c>
      <c r="I15">
        <v>7631.9999999999991</v>
      </c>
      <c r="J15">
        <v>7</v>
      </c>
      <c r="K15">
        <v>5342.4</v>
      </c>
      <c r="L15">
        <v>19</v>
      </c>
      <c r="M15">
        <v>14500.8</v>
      </c>
      <c r="N15">
        <v>16</v>
      </c>
      <c r="O15">
        <v>12211.199999999999</v>
      </c>
      <c r="P15">
        <v>17</v>
      </c>
      <c r="Q15">
        <v>12974.4</v>
      </c>
      <c r="R15">
        <v>17</v>
      </c>
      <c r="S15">
        <v>12974.4</v>
      </c>
      <c r="T15">
        <v>21</v>
      </c>
      <c r="U15">
        <v>16027.199999999999</v>
      </c>
      <c r="V15">
        <v>21</v>
      </c>
      <c r="W15">
        <v>16027.199999999999</v>
      </c>
      <c r="X15">
        <v>30</v>
      </c>
      <c r="Y15">
        <v>22895.999999999996</v>
      </c>
      <c r="Z15">
        <v>28</v>
      </c>
      <c r="AA15">
        <v>21369.599999999999</v>
      </c>
      <c r="AB15">
        <v>8</v>
      </c>
      <c r="AC15">
        <v>6105.5999999999995</v>
      </c>
      <c r="AD15">
        <v>7</v>
      </c>
      <c r="AE15">
        <v>5342.4</v>
      </c>
      <c r="AF15">
        <v>6</v>
      </c>
      <c r="AG15">
        <v>4579.2</v>
      </c>
      <c r="AH15">
        <v>8</v>
      </c>
      <c r="AI15">
        <v>6105.5999999999995</v>
      </c>
      <c r="AJ15">
        <v>6</v>
      </c>
      <c r="AK15">
        <v>4579.2</v>
      </c>
      <c r="AL15">
        <v>9</v>
      </c>
      <c r="AM15">
        <v>6868.7999999999993</v>
      </c>
      <c r="AN15">
        <v>11</v>
      </c>
      <c r="AO15">
        <v>8395.1999999999989</v>
      </c>
      <c r="AP15">
        <v>7</v>
      </c>
      <c r="AQ15">
        <v>5342.4</v>
      </c>
      <c r="AR15">
        <v>13</v>
      </c>
      <c r="AS15">
        <v>9921.5999999999985</v>
      </c>
      <c r="AT15">
        <v>15</v>
      </c>
      <c r="AU15">
        <v>11447.999999999998</v>
      </c>
      <c r="AV15">
        <v>15</v>
      </c>
      <c r="AW15">
        <v>11447.999999999998</v>
      </c>
      <c r="AX15">
        <v>13</v>
      </c>
      <c r="AY15">
        <v>9921.5999999999985</v>
      </c>
      <c r="AZ15">
        <v>35</v>
      </c>
      <c r="BA15">
        <v>26711.999999999996</v>
      </c>
      <c r="BB15">
        <v>27</v>
      </c>
      <c r="BC15">
        <v>20606.399999999998</v>
      </c>
      <c r="BD15">
        <v>30</v>
      </c>
      <c r="BE15">
        <v>22895.999999999996</v>
      </c>
      <c r="BF15">
        <v>41</v>
      </c>
      <c r="BG15">
        <v>31291.199999999997</v>
      </c>
      <c r="BH15">
        <v>9</v>
      </c>
      <c r="BI15">
        <v>6868.7999999999993</v>
      </c>
      <c r="BJ15">
        <v>5</v>
      </c>
      <c r="BK15">
        <v>3815.9999999999995</v>
      </c>
      <c r="BL15">
        <v>7</v>
      </c>
      <c r="BM15">
        <v>5342.4</v>
      </c>
      <c r="BN15">
        <v>8</v>
      </c>
      <c r="BO15">
        <v>6105.5999999999995</v>
      </c>
      <c r="BP15">
        <v>12</v>
      </c>
      <c r="BQ15">
        <v>9158.4</v>
      </c>
      <c r="BR15">
        <v>7</v>
      </c>
      <c r="BS15">
        <v>5342.4</v>
      </c>
      <c r="BT15">
        <v>9</v>
      </c>
      <c r="BU15">
        <v>6868.7999999999993</v>
      </c>
      <c r="BV15">
        <v>8</v>
      </c>
      <c r="BW15">
        <v>6105.5999999999995</v>
      </c>
      <c r="BX15">
        <v>20</v>
      </c>
      <c r="BY15">
        <v>15263.999999999998</v>
      </c>
      <c r="BZ15">
        <v>21</v>
      </c>
      <c r="CA15">
        <v>16027.199999999999</v>
      </c>
      <c r="CB15">
        <v>30</v>
      </c>
      <c r="CC15">
        <v>22895.999999999996</v>
      </c>
      <c r="CD15">
        <v>24</v>
      </c>
      <c r="CE15">
        <v>18316.8</v>
      </c>
      <c r="CF15">
        <v>53</v>
      </c>
      <c r="CG15">
        <v>40449.599999999999</v>
      </c>
      <c r="CH15">
        <v>29</v>
      </c>
      <c r="CI15">
        <v>22132.799999999999</v>
      </c>
      <c r="CJ15">
        <v>52</v>
      </c>
      <c r="CK15">
        <v>39686.399999999994</v>
      </c>
      <c r="CL15">
        <v>52</v>
      </c>
      <c r="CM15">
        <v>39686.399999999994</v>
      </c>
      <c r="CN15">
        <v>9</v>
      </c>
      <c r="CO15">
        <v>6868.7999999999993</v>
      </c>
      <c r="CP15">
        <v>11</v>
      </c>
      <c r="CQ15">
        <v>8395.1999999999989</v>
      </c>
      <c r="CR15">
        <v>9</v>
      </c>
      <c r="CS15">
        <v>6868.7999999999993</v>
      </c>
      <c r="CT15">
        <v>7</v>
      </c>
      <c r="CU15">
        <v>5342.4</v>
      </c>
    </row>
    <row r="16" spans="1:99" x14ac:dyDescent="0.2">
      <c r="C16" s="116" t="s">
        <v>182</v>
      </c>
      <c r="D16">
        <v>9</v>
      </c>
      <c r="E16">
        <v>3067.2000000000003</v>
      </c>
      <c r="F16">
        <v>10</v>
      </c>
      <c r="G16">
        <v>3408</v>
      </c>
      <c r="H16">
        <v>11</v>
      </c>
      <c r="I16">
        <v>3748.8</v>
      </c>
      <c r="J16">
        <v>7</v>
      </c>
      <c r="K16">
        <v>2385.6</v>
      </c>
      <c r="L16">
        <v>20</v>
      </c>
      <c r="M16">
        <v>6816</v>
      </c>
      <c r="N16">
        <v>17</v>
      </c>
      <c r="O16">
        <v>5793.6</v>
      </c>
      <c r="P16">
        <v>15</v>
      </c>
      <c r="Q16">
        <v>5112</v>
      </c>
      <c r="R16">
        <v>17</v>
      </c>
      <c r="S16">
        <v>5793.6</v>
      </c>
      <c r="T16">
        <v>22</v>
      </c>
      <c r="U16">
        <v>7497.6</v>
      </c>
      <c r="V16">
        <v>20</v>
      </c>
      <c r="W16">
        <v>6816</v>
      </c>
      <c r="X16">
        <v>29</v>
      </c>
      <c r="Y16">
        <v>9883.2000000000007</v>
      </c>
      <c r="Z16">
        <v>31</v>
      </c>
      <c r="AA16">
        <v>10564.800000000001</v>
      </c>
      <c r="AB16">
        <v>9</v>
      </c>
      <c r="AC16">
        <v>3067.2000000000003</v>
      </c>
      <c r="AD16">
        <v>8</v>
      </c>
      <c r="AE16">
        <v>2726.4</v>
      </c>
      <c r="AF16">
        <v>6</v>
      </c>
      <c r="AG16">
        <v>2044.8000000000002</v>
      </c>
      <c r="AH16">
        <v>9</v>
      </c>
      <c r="AI16">
        <v>3067.2000000000003</v>
      </c>
      <c r="AJ16">
        <v>7</v>
      </c>
      <c r="AK16">
        <v>2385.6</v>
      </c>
      <c r="AL16">
        <v>10</v>
      </c>
      <c r="AM16">
        <v>3408</v>
      </c>
      <c r="AN16">
        <v>11</v>
      </c>
      <c r="AO16">
        <v>3748.8</v>
      </c>
      <c r="AP16">
        <v>8</v>
      </c>
      <c r="AQ16">
        <v>2726.4</v>
      </c>
      <c r="AR16">
        <v>13</v>
      </c>
      <c r="AS16">
        <v>4430.4000000000005</v>
      </c>
      <c r="AT16">
        <v>18</v>
      </c>
      <c r="AU16">
        <v>6134.4000000000005</v>
      </c>
      <c r="AV16">
        <v>15</v>
      </c>
      <c r="AW16">
        <v>5112</v>
      </c>
      <c r="AX16">
        <v>12</v>
      </c>
      <c r="AY16">
        <v>4089.6000000000004</v>
      </c>
      <c r="AZ16">
        <v>37</v>
      </c>
      <c r="BA16">
        <v>12609.6</v>
      </c>
      <c r="BB16">
        <v>32</v>
      </c>
      <c r="BC16">
        <v>10905.6</v>
      </c>
      <c r="BD16">
        <v>29</v>
      </c>
      <c r="BE16">
        <v>9883.2000000000007</v>
      </c>
      <c r="BF16">
        <v>42</v>
      </c>
      <c r="BG16">
        <v>14313.6</v>
      </c>
      <c r="BH16">
        <v>8</v>
      </c>
      <c r="BI16">
        <v>2726.4</v>
      </c>
      <c r="BJ16">
        <v>5</v>
      </c>
      <c r="BK16">
        <v>1704</v>
      </c>
      <c r="BL16">
        <v>7</v>
      </c>
      <c r="BM16">
        <v>2385.6</v>
      </c>
      <c r="BN16">
        <v>8</v>
      </c>
      <c r="BO16">
        <v>2726.4</v>
      </c>
      <c r="BP16">
        <v>12</v>
      </c>
      <c r="BQ16">
        <v>4089.6000000000004</v>
      </c>
      <c r="BR16">
        <v>8</v>
      </c>
      <c r="BS16">
        <v>2726.4</v>
      </c>
      <c r="BT16">
        <v>10</v>
      </c>
      <c r="BU16">
        <v>3408</v>
      </c>
      <c r="BV16">
        <v>7</v>
      </c>
      <c r="BW16">
        <v>2385.6</v>
      </c>
      <c r="BX16">
        <v>23</v>
      </c>
      <c r="BY16">
        <v>7838.4000000000005</v>
      </c>
      <c r="BZ16">
        <v>19</v>
      </c>
      <c r="CA16">
        <v>6475.2</v>
      </c>
      <c r="CB16">
        <v>35</v>
      </c>
      <c r="CC16">
        <v>11928</v>
      </c>
      <c r="CD16">
        <v>30</v>
      </c>
      <c r="CE16">
        <v>10224</v>
      </c>
      <c r="CF16">
        <v>56</v>
      </c>
      <c r="CG16">
        <v>19084.8</v>
      </c>
      <c r="CH16">
        <v>33</v>
      </c>
      <c r="CI16">
        <v>11246.4</v>
      </c>
      <c r="CJ16">
        <v>60</v>
      </c>
      <c r="CK16">
        <v>20448</v>
      </c>
      <c r="CL16">
        <v>52</v>
      </c>
      <c r="CM16">
        <v>17721.600000000002</v>
      </c>
      <c r="CN16">
        <v>11</v>
      </c>
      <c r="CO16">
        <v>3748.8</v>
      </c>
      <c r="CP16">
        <v>11</v>
      </c>
      <c r="CQ16">
        <v>3748.8</v>
      </c>
      <c r="CR16">
        <v>9</v>
      </c>
      <c r="CS16">
        <v>3067.2000000000003</v>
      </c>
      <c r="CT16">
        <v>8</v>
      </c>
      <c r="CU16">
        <v>2726.4</v>
      </c>
    </row>
    <row r="17" spans="2:99" x14ac:dyDescent="0.2">
      <c r="C17" s="116" t="s">
        <v>183</v>
      </c>
      <c r="D17">
        <v>8</v>
      </c>
      <c r="E17">
        <v>3379.2</v>
      </c>
      <c r="F17">
        <v>9</v>
      </c>
      <c r="G17">
        <v>3801.6</v>
      </c>
      <c r="H17">
        <v>10</v>
      </c>
      <c r="I17">
        <v>4224</v>
      </c>
      <c r="J17">
        <v>6</v>
      </c>
      <c r="K17">
        <v>2534.3999999999996</v>
      </c>
      <c r="L17">
        <v>19</v>
      </c>
      <c r="M17">
        <v>8025.5999999999995</v>
      </c>
      <c r="N17">
        <v>16</v>
      </c>
      <c r="O17">
        <v>6758.4</v>
      </c>
      <c r="P17">
        <v>17</v>
      </c>
      <c r="Q17">
        <v>7180.7999999999993</v>
      </c>
      <c r="R17">
        <v>17</v>
      </c>
      <c r="S17">
        <v>7180.7999999999993</v>
      </c>
      <c r="T17">
        <v>22</v>
      </c>
      <c r="U17">
        <v>9292.7999999999993</v>
      </c>
      <c r="V17">
        <v>21</v>
      </c>
      <c r="W17">
        <v>8870.4</v>
      </c>
      <c r="X17">
        <v>30</v>
      </c>
      <c r="Y17">
        <v>12672</v>
      </c>
      <c r="Z17">
        <v>29</v>
      </c>
      <c r="AA17">
        <v>12249.599999999999</v>
      </c>
      <c r="AB17">
        <v>8</v>
      </c>
      <c r="AC17">
        <v>3379.2</v>
      </c>
      <c r="AD17">
        <v>9</v>
      </c>
      <c r="AE17">
        <v>3801.6</v>
      </c>
      <c r="AF17">
        <v>6</v>
      </c>
      <c r="AG17">
        <v>2534.3999999999996</v>
      </c>
      <c r="AH17">
        <v>9</v>
      </c>
      <c r="AI17">
        <v>3801.6</v>
      </c>
      <c r="AJ17">
        <v>6</v>
      </c>
      <c r="AK17">
        <v>2534.3999999999996</v>
      </c>
      <c r="AL17">
        <v>9</v>
      </c>
      <c r="AM17">
        <v>3801.6</v>
      </c>
      <c r="AN17">
        <v>11</v>
      </c>
      <c r="AO17">
        <v>4646.3999999999996</v>
      </c>
      <c r="AP17">
        <v>7</v>
      </c>
      <c r="AQ17">
        <v>2956.7999999999997</v>
      </c>
      <c r="AR17">
        <v>16</v>
      </c>
      <c r="AS17">
        <v>6758.4</v>
      </c>
      <c r="AT17">
        <v>18</v>
      </c>
      <c r="AU17">
        <v>7603.2</v>
      </c>
      <c r="AV17">
        <v>14</v>
      </c>
      <c r="AW17">
        <v>5913.5999999999995</v>
      </c>
      <c r="AX17">
        <v>11</v>
      </c>
      <c r="AY17">
        <v>4646.3999999999996</v>
      </c>
      <c r="AZ17">
        <v>38</v>
      </c>
      <c r="BA17">
        <v>16051.199999999999</v>
      </c>
      <c r="BB17">
        <v>33</v>
      </c>
      <c r="BC17">
        <v>13939.199999999999</v>
      </c>
      <c r="BD17">
        <v>28</v>
      </c>
      <c r="BE17">
        <v>11827.199999999999</v>
      </c>
      <c r="BF17">
        <v>42</v>
      </c>
      <c r="BG17">
        <v>17740.8</v>
      </c>
      <c r="BH17">
        <v>9</v>
      </c>
      <c r="BI17">
        <v>3801.6</v>
      </c>
      <c r="BJ17">
        <v>5</v>
      </c>
      <c r="BK17">
        <v>2112</v>
      </c>
      <c r="BL17">
        <v>7</v>
      </c>
      <c r="BM17">
        <v>2956.7999999999997</v>
      </c>
      <c r="BN17">
        <v>8</v>
      </c>
      <c r="BO17">
        <v>3379.2</v>
      </c>
      <c r="BP17">
        <v>13</v>
      </c>
      <c r="BQ17">
        <v>5491.2</v>
      </c>
      <c r="BR17">
        <v>7</v>
      </c>
      <c r="BS17">
        <v>2956.7999999999997</v>
      </c>
      <c r="BT17">
        <v>9</v>
      </c>
      <c r="BU17">
        <v>3801.6</v>
      </c>
      <c r="BV17">
        <v>7</v>
      </c>
      <c r="BW17">
        <v>2956.7999999999997</v>
      </c>
      <c r="BX17">
        <v>21</v>
      </c>
      <c r="BY17">
        <v>8870.4</v>
      </c>
      <c r="BZ17">
        <v>20</v>
      </c>
      <c r="CA17">
        <v>8448</v>
      </c>
      <c r="CB17">
        <v>37</v>
      </c>
      <c r="CC17">
        <v>15628.8</v>
      </c>
      <c r="CD17">
        <v>25</v>
      </c>
      <c r="CE17">
        <v>10560</v>
      </c>
      <c r="CF17">
        <v>61</v>
      </c>
      <c r="CG17">
        <v>25766.399999999998</v>
      </c>
      <c r="CH17">
        <v>33</v>
      </c>
      <c r="CI17">
        <v>13939.199999999999</v>
      </c>
      <c r="CJ17">
        <v>52</v>
      </c>
      <c r="CK17">
        <v>21964.799999999999</v>
      </c>
      <c r="CL17">
        <v>48</v>
      </c>
      <c r="CM17">
        <v>20275.199999999997</v>
      </c>
      <c r="CN17">
        <v>10</v>
      </c>
      <c r="CO17">
        <v>4224</v>
      </c>
      <c r="CP17">
        <v>12</v>
      </c>
      <c r="CQ17">
        <v>5068.7999999999993</v>
      </c>
      <c r="CR17">
        <v>10</v>
      </c>
      <c r="CS17">
        <v>4224</v>
      </c>
      <c r="CT17">
        <v>8</v>
      </c>
      <c r="CU17">
        <v>3379.2</v>
      </c>
    </row>
    <row r="18" spans="2:99" x14ac:dyDescent="0.2">
      <c r="C18" s="116" t="s">
        <v>184</v>
      </c>
      <c r="D18">
        <v>8</v>
      </c>
      <c r="E18">
        <v>5222.3999999999996</v>
      </c>
      <c r="F18">
        <v>9</v>
      </c>
      <c r="G18">
        <v>5875.2</v>
      </c>
      <c r="H18">
        <v>11</v>
      </c>
      <c r="I18">
        <v>7180.7999999999993</v>
      </c>
      <c r="J18">
        <v>7</v>
      </c>
      <c r="K18">
        <v>4569.5999999999995</v>
      </c>
      <c r="L18">
        <v>18</v>
      </c>
      <c r="M18">
        <v>11750.4</v>
      </c>
      <c r="N18">
        <v>16</v>
      </c>
      <c r="O18">
        <v>10444.799999999999</v>
      </c>
      <c r="P18">
        <v>15</v>
      </c>
      <c r="Q18">
        <v>9792</v>
      </c>
      <c r="R18">
        <v>15</v>
      </c>
      <c r="S18">
        <v>9792</v>
      </c>
      <c r="T18">
        <v>21</v>
      </c>
      <c r="U18">
        <v>13708.8</v>
      </c>
      <c r="V18">
        <v>20</v>
      </c>
      <c r="W18">
        <v>13056</v>
      </c>
      <c r="X18">
        <v>29</v>
      </c>
      <c r="Y18">
        <v>18931.199999999997</v>
      </c>
      <c r="Z18">
        <v>28</v>
      </c>
      <c r="AA18">
        <v>18278.399999999998</v>
      </c>
      <c r="AB18">
        <v>8</v>
      </c>
      <c r="AC18">
        <v>5222.3999999999996</v>
      </c>
      <c r="AD18">
        <v>8</v>
      </c>
      <c r="AE18">
        <v>5222.3999999999996</v>
      </c>
      <c r="AF18">
        <v>6</v>
      </c>
      <c r="AG18">
        <v>3916.7999999999997</v>
      </c>
      <c r="AH18">
        <v>8</v>
      </c>
      <c r="AI18">
        <v>5222.3999999999996</v>
      </c>
      <c r="AJ18">
        <v>6</v>
      </c>
      <c r="AK18">
        <v>3916.7999999999997</v>
      </c>
      <c r="AL18">
        <v>9</v>
      </c>
      <c r="AM18">
        <v>5875.2</v>
      </c>
      <c r="AN18">
        <v>10</v>
      </c>
      <c r="AO18">
        <v>6528</v>
      </c>
      <c r="AP18">
        <v>7</v>
      </c>
      <c r="AQ18">
        <v>4569.5999999999995</v>
      </c>
      <c r="AR18">
        <v>15</v>
      </c>
      <c r="AS18">
        <v>9792</v>
      </c>
      <c r="AT18">
        <v>16</v>
      </c>
      <c r="AU18">
        <v>10444.799999999999</v>
      </c>
      <c r="AV18">
        <v>13</v>
      </c>
      <c r="AW18">
        <v>8486.4</v>
      </c>
      <c r="AX18">
        <v>13</v>
      </c>
      <c r="AY18">
        <v>8486.4</v>
      </c>
      <c r="AZ18">
        <v>39</v>
      </c>
      <c r="BA18">
        <v>25459.199999999997</v>
      </c>
      <c r="BB18">
        <v>29</v>
      </c>
      <c r="BC18">
        <v>18931.199999999997</v>
      </c>
      <c r="BD18">
        <v>27</v>
      </c>
      <c r="BE18">
        <v>17625.599999999999</v>
      </c>
      <c r="BF18">
        <v>39</v>
      </c>
      <c r="BG18">
        <v>25459.199999999997</v>
      </c>
      <c r="BH18">
        <v>9</v>
      </c>
      <c r="BI18">
        <v>5875.2</v>
      </c>
      <c r="BJ18">
        <v>5</v>
      </c>
      <c r="BK18">
        <v>3264</v>
      </c>
      <c r="BL18">
        <v>7</v>
      </c>
      <c r="BM18">
        <v>4569.5999999999995</v>
      </c>
      <c r="BN18">
        <v>8</v>
      </c>
      <c r="BO18">
        <v>5222.3999999999996</v>
      </c>
      <c r="BP18">
        <v>12</v>
      </c>
      <c r="BQ18">
        <v>7833.5999999999995</v>
      </c>
      <c r="BR18">
        <v>8</v>
      </c>
      <c r="BS18">
        <v>5222.3999999999996</v>
      </c>
      <c r="BT18">
        <v>9</v>
      </c>
      <c r="BU18">
        <v>5875.2</v>
      </c>
      <c r="BV18">
        <v>7</v>
      </c>
      <c r="BW18">
        <v>4569.5999999999995</v>
      </c>
      <c r="BX18">
        <v>23</v>
      </c>
      <c r="BY18">
        <v>15014.4</v>
      </c>
      <c r="BZ18">
        <v>19</v>
      </c>
      <c r="CA18">
        <v>12403.199999999999</v>
      </c>
      <c r="CB18">
        <v>33</v>
      </c>
      <c r="CC18">
        <v>21542.399999999998</v>
      </c>
      <c r="CD18">
        <v>24</v>
      </c>
      <c r="CE18">
        <v>15667.199999999999</v>
      </c>
      <c r="CF18">
        <v>52</v>
      </c>
      <c r="CG18">
        <v>33945.599999999999</v>
      </c>
      <c r="CH18">
        <v>28</v>
      </c>
      <c r="CI18">
        <v>18278.399999999998</v>
      </c>
      <c r="CJ18">
        <v>55</v>
      </c>
      <c r="CK18">
        <v>35904</v>
      </c>
      <c r="CL18">
        <v>55</v>
      </c>
      <c r="CM18">
        <v>35904</v>
      </c>
      <c r="CN18">
        <v>10</v>
      </c>
      <c r="CO18">
        <v>6528</v>
      </c>
      <c r="CP18">
        <v>11</v>
      </c>
      <c r="CQ18">
        <v>7180.7999999999993</v>
      </c>
      <c r="CR18">
        <v>9</v>
      </c>
      <c r="CS18">
        <v>5875.2</v>
      </c>
      <c r="CT18">
        <v>8</v>
      </c>
      <c r="CU18">
        <v>5222.3999999999996</v>
      </c>
    </row>
    <row r="19" spans="2:99" x14ac:dyDescent="0.2">
      <c r="C19" s="116" t="s">
        <v>185</v>
      </c>
      <c r="D19">
        <v>9</v>
      </c>
      <c r="E19">
        <v>2970</v>
      </c>
      <c r="F19">
        <v>10</v>
      </c>
      <c r="G19">
        <v>3300</v>
      </c>
      <c r="H19">
        <v>12</v>
      </c>
      <c r="I19">
        <v>3960</v>
      </c>
      <c r="J19">
        <v>6</v>
      </c>
      <c r="K19">
        <v>1980</v>
      </c>
      <c r="L19">
        <v>17</v>
      </c>
      <c r="M19">
        <v>5610</v>
      </c>
      <c r="N19">
        <v>17</v>
      </c>
      <c r="O19">
        <v>5610</v>
      </c>
      <c r="P19">
        <v>18</v>
      </c>
      <c r="Q19">
        <v>5940</v>
      </c>
      <c r="R19">
        <v>18</v>
      </c>
      <c r="S19">
        <v>5940</v>
      </c>
      <c r="T19">
        <v>23</v>
      </c>
      <c r="U19">
        <v>7590</v>
      </c>
      <c r="V19">
        <v>20</v>
      </c>
      <c r="W19">
        <v>6600</v>
      </c>
      <c r="X19">
        <v>31</v>
      </c>
      <c r="Y19">
        <v>10230</v>
      </c>
      <c r="Z19">
        <v>30</v>
      </c>
      <c r="AA19">
        <v>9900</v>
      </c>
      <c r="AB19">
        <v>8</v>
      </c>
      <c r="AC19">
        <v>2640</v>
      </c>
      <c r="AD19">
        <v>9</v>
      </c>
      <c r="AE19">
        <v>2970</v>
      </c>
      <c r="AF19">
        <v>6</v>
      </c>
      <c r="AG19">
        <v>1980</v>
      </c>
      <c r="AH19">
        <v>9</v>
      </c>
      <c r="AI19">
        <v>2970</v>
      </c>
      <c r="AJ19">
        <v>6</v>
      </c>
      <c r="AK19">
        <v>1980</v>
      </c>
      <c r="AL19">
        <v>8</v>
      </c>
      <c r="AM19">
        <v>2640</v>
      </c>
      <c r="AN19">
        <v>10</v>
      </c>
      <c r="AO19">
        <v>3300</v>
      </c>
      <c r="AP19">
        <v>8</v>
      </c>
      <c r="AQ19">
        <v>2640</v>
      </c>
      <c r="AR19">
        <v>14</v>
      </c>
      <c r="AS19">
        <v>4620</v>
      </c>
      <c r="AT19">
        <v>18</v>
      </c>
      <c r="AU19">
        <v>5940</v>
      </c>
      <c r="AV19">
        <v>14</v>
      </c>
      <c r="AW19">
        <v>4620</v>
      </c>
      <c r="AX19">
        <v>11</v>
      </c>
      <c r="AY19">
        <v>3630</v>
      </c>
      <c r="AZ19">
        <v>37</v>
      </c>
      <c r="BA19">
        <v>12210</v>
      </c>
      <c r="BB19">
        <v>33</v>
      </c>
      <c r="BC19">
        <v>10890</v>
      </c>
      <c r="BD19">
        <v>29</v>
      </c>
      <c r="BE19">
        <v>9570</v>
      </c>
      <c r="BF19">
        <v>40</v>
      </c>
      <c r="BG19">
        <v>13200</v>
      </c>
      <c r="BH19">
        <v>8</v>
      </c>
      <c r="BI19">
        <v>2640</v>
      </c>
      <c r="BJ19">
        <v>5</v>
      </c>
      <c r="BK19">
        <v>1650</v>
      </c>
      <c r="BL19">
        <v>8</v>
      </c>
      <c r="BM19">
        <v>2640</v>
      </c>
      <c r="BN19">
        <v>9</v>
      </c>
      <c r="BO19">
        <v>2970</v>
      </c>
      <c r="BP19">
        <v>13</v>
      </c>
      <c r="BQ19">
        <v>4290</v>
      </c>
      <c r="BR19">
        <v>7</v>
      </c>
      <c r="BS19">
        <v>2310</v>
      </c>
      <c r="BT19">
        <v>10</v>
      </c>
      <c r="BU19">
        <v>3300</v>
      </c>
      <c r="BV19">
        <v>8</v>
      </c>
      <c r="BW19">
        <v>2640</v>
      </c>
      <c r="BX19">
        <v>24</v>
      </c>
      <c r="BY19">
        <v>7920</v>
      </c>
      <c r="BZ19">
        <v>20</v>
      </c>
      <c r="CA19">
        <v>6600</v>
      </c>
      <c r="CB19">
        <v>33</v>
      </c>
      <c r="CC19">
        <v>10890</v>
      </c>
      <c r="CD19">
        <v>26</v>
      </c>
      <c r="CE19">
        <v>8580</v>
      </c>
      <c r="CF19">
        <v>58</v>
      </c>
      <c r="CG19">
        <v>19140</v>
      </c>
      <c r="CH19">
        <v>33</v>
      </c>
      <c r="CI19">
        <v>10890</v>
      </c>
      <c r="CJ19">
        <v>50</v>
      </c>
      <c r="CK19">
        <v>16500</v>
      </c>
      <c r="CL19">
        <v>56</v>
      </c>
      <c r="CM19">
        <v>18480</v>
      </c>
      <c r="CN19">
        <v>11</v>
      </c>
      <c r="CO19">
        <v>3630</v>
      </c>
      <c r="CP19">
        <v>11</v>
      </c>
      <c r="CQ19">
        <v>3630</v>
      </c>
      <c r="CR19">
        <v>10</v>
      </c>
      <c r="CS19">
        <v>3300</v>
      </c>
      <c r="CT19">
        <v>9</v>
      </c>
      <c r="CU19">
        <v>2970</v>
      </c>
    </row>
    <row r="20" spans="2:99" x14ac:dyDescent="0.2">
      <c r="B20" s="116" t="s">
        <v>127</v>
      </c>
      <c r="C20" s="116" t="s">
        <v>186</v>
      </c>
      <c r="D20">
        <v>10</v>
      </c>
      <c r="E20">
        <v>2868</v>
      </c>
      <c r="F20">
        <v>13</v>
      </c>
      <c r="G20">
        <v>3728.4</v>
      </c>
      <c r="H20">
        <v>9</v>
      </c>
      <c r="I20">
        <v>2581.2000000000003</v>
      </c>
      <c r="J20">
        <v>12</v>
      </c>
      <c r="K20">
        <v>3441.6000000000004</v>
      </c>
      <c r="L20">
        <v>59</v>
      </c>
      <c r="M20">
        <v>16921.2</v>
      </c>
      <c r="N20">
        <v>42</v>
      </c>
      <c r="O20">
        <v>12045.6</v>
      </c>
      <c r="P20">
        <v>53</v>
      </c>
      <c r="Q20">
        <v>15200.400000000001</v>
      </c>
      <c r="R20">
        <v>38</v>
      </c>
      <c r="S20">
        <v>10898.4</v>
      </c>
      <c r="T20">
        <v>30</v>
      </c>
      <c r="U20">
        <v>8604</v>
      </c>
      <c r="V20">
        <v>18</v>
      </c>
      <c r="W20">
        <v>5162.4000000000005</v>
      </c>
      <c r="X20">
        <v>24</v>
      </c>
      <c r="Y20">
        <v>6883.2000000000007</v>
      </c>
      <c r="Z20">
        <v>31</v>
      </c>
      <c r="AA20">
        <v>8890.8000000000011</v>
      </c>
      <c r="AB20">
        <v>8</v>
      </c>
      <c r="AC20">
        <v>2294.4</v>
      </c>
      <c r="AD20">
        <v>15</v>
      </c>
      <c r="AE20">
        <v>4302</v>
      </c>
      <c r="AF20">
        <v>10</v>
      </c>
      <c r="AG20">
        <v>2868</v>
      </c>
      <c r="AH20">
        <v>12</v>
      </c>
      <c r="AI20">
        <v>3441.6000000000004</v>
      </c>
      <c r="AJ20">
        <v>18</v>
      </c>
      <c r="AK20">
        <v>5162.4000000000005</v>
      </c>
      <c r="AL20">
        <v>20</v>
      </c>
      <c r="AM20">
        <v>5736</v>
      </c>
      <c r="AN20">
        <v>16</v>
      </c>
      <c r="AO20">
        <v>4588.8</v>
      </c>
      <c r="AP20">
        <v>21</v>
      </c>
      <c r="AQ20">
        <v>6022.8</v>
      </c>
      <c r="AR20">
        <v>11</v>
      </c>
      <c r="AS20">
        <v>3154.8</v>
      </c>
      <c r="AT20">
        <v>14</v>
      </c>
      <c r="AU20">
        <v>4015.2000000000003</v>
      </c>
      <c r="AV20">
        <v>17</v>
      </c>
      <c r="AW20">
        <v>4875.6000000000004</v>
      </c>
      <c r="AX20">
        <v>12</v>
      </c>
      <c r="AY20">
        <v>3441.6000000000004</v>
      </c>
      <c r="AZ20">
        <v>43</v>
      </c>
      <c r="BA20">
        <v>12332.4</v>
      </c>
      <c r="BB20">
        <v>41</v>
      </c>
      <c r="BC20">
        <v>11758.800000000001</v>
      </c>
      <c r="BD20">
        <v>23</v>
      </c>
      <c r="BE20">
        <v>6596.4000000000005</v>
      </c>
      <c r="BF20">
        <v>45</v>
      </c>
      <c r="BG20">
        <v>12906</v>
      </c>
      <c r="BH20">
        <v>18</v>
      </c>
      <c r="BI20">
        <v>5162.4000000000005</v>
      </c>
      <c r="BJ20">
        <v>14</v>
      </c>
      <c r="BK20">
        <v>4015.2000000000003</v>
      </c>
      <c r="BL20">
        <v>15</v>
      </c>
      <c r="BM20">
        <v>4302</v>
      </c>
      <c r="BN20">
        <v>10</v>
      </c>
      <c r="BO20">
        <v>2868</v>
      </c>
      <c r="BP20">
        <v>64</v>
      </c>
      <c r="BQ20">
        <v>18355.2</v>
      </c>
      <c r="BR20">
        <v>45</v>
      </c>
      <c r="BS20">
        <v>12906</v>
      </c>
      <c r="BT20">
        <v>55</v>
      </c>
      <c r="BU20">
        <v>15774</v>
      </c>
      <c r="BV20">
        <v>79</v>
      </c>
      <c r="BW20">
        <v>22657.200000000001</v>
      </c>
      <c r="BX20">
        <v>18</v>
      </c>
      <c r="BY20">
        <v>5162.4000000000005</v>
      </c>
      <c r="BZ20">
        <v>24</v>
      </c>
      <c r="CA20">
        <v>6883.2000000000007</v>
      </c>
      <c r="CB20">
        <v>18</v>
      </c>
      <c r="CC20">
        <v>5162.4000000000005</v>
      </c>
      <c r="CD20">
        <v>16</v>
      </c>
      <c r="CE20">
        <v>4588.8</v>
      </c>
      <c r="CF20">
        <v>18</v>
      </c>
      <c r="CG20">
        <v>5162.4000000000005</v>
      </c>
      <c r="CH20">
        <v>13</v>
      </c>
      <c r="CI20">
        <v>3728.4</v>
      </c>
      <c r="CJ20">
        <v>19</v>
      </c>
      <c r="CK20">
        <v>5449.2</v>
      </c>
      <c r="CL20">
        <v>18</v>
      </c>
      <c r="CM20">
        <v>5162.4000000000005</v>
      </c>
      <c r="CN20">
        <v>53</v>
      </c>
      <c r="CO20">
        <v>15200.400000000001</v>
      </c>
      <c r="CP20">
        <v>55</v>
      </c>
      <c r="CQ20">
        <v>15774</v>
      </c>
      <c r="CR20">
        <v>52</v>
      </c>
      <c r="CS20">
        <v>14913.6</v>
      </c>
      <c r="CT20">
        <v>41</v>
      </c>
      <c r="CU20">
        <v>11758.800000000001</v>
      </c>
    </row>
    <row r="21" spans="2:99" x14ac:dyDescent="0.2">
      <c r="C21" s="116" t="s">
        <v>187</v>
      </c>
      <c r="D21">
        <v>10</v>
      </c>
      <c r="E21">
        <v>624</v>
      </c>
      <c r="F21">
        <v>12</v>
      </c>
      <c r="G21">
        <v>748.8</v>
      </c>
      <c r="H21">
        <v>10</v>
      </c>
      <c r="I21">
        <v>624</v>
      </c>
      <c r="J21">
        <v>14</v>
      </c>
      <c r="K21">
        <v>873.6</v>
      </c>
      <c r="L21">
        <v>59</v>
      </c>
      <c r="M21">
        <v>3681.6</v>
      </c>
      <c r="N21">
        <v>51</v>
      </c>
      <c r="O21">
        <v>3182.4</v>
      </c>
      <c r="P21">
        <v>58</v>
      </c>
      <c r="Q21">
        <v>3619.2</v>
      </c>
      <c r="R21">
        <v>39</v>
      </c>
      <c r="S21">
        <v>2433.6</v>
      </c>
      <c r="T21">
        <v>28</v>
      </c>
      <c r="U21">
        <v>1747.2</v>
      </c>
      <c r="V21">
        <v>18</v>
      </c>
      <c r="W21">
        <v>1123.2</v>
      </c>
      <c r="X21">
        <v>25</v>
      </c>
      <c r="Y21">
        <v>1560</v>
      </c>
      <c r="Z21">
        <v>32</v>
      </c>
      <c r="AA21">
        <v>1996.8</v>
      </c>
      <c r="AB21">
        <v>8</v>
      </c>
      <c r="AC21">
        <v>499.2</v>
      </c>
      <c r="AD21">
        <v>13</v>
      </c>
      <c r="AE21">
        <v>811.19999999999993</v>
      </c>
      <c r="AF21">
        <v>11</v>
      </c>
      <c r="AG21">
        <v>686.4</v>
      </c>
      <c r="AH21">
        <v>14</v>
      </c>
      <c r="AI21">
        <v>873.6</v>
      </c>
      <c r="AJ21">
        <v>19</v>
      </c>
      <c r="AK21">
        <v>1185.5999999999999</v>
      </c>
      <c r="AL21">
        <v>21</v>
      </c>
      <c r="AM21">
        <v>1310.3999999999999</v>
      </c>
      <c r="AN21">
        <v>17</v>
      </c>
      <c r="AO21">
        <v>1060.8</v>
      </c>
      <c r="AP21">
        <v>25</v>
      </c>
      <c r="AQ21">
        <v>1560</v>
      </c>
      <c r="AR21">
        <v>12</v>
      </c>
      <c r="AS21">
        <v>748.8</v>
      </c>
      <c r="AT21">
        <v>16</v>
      </c>
      <c r="AU21">
        <v>998.4</v>
      </c>
      <c r="AV21">
        <v>16</v>
      </c>
      <c r="AW21">
        <v>998.4</v>
      </c>
      <c r="AX21">
        <v>11</v>
      </c>
      <c r="AY21">
        <v>686.4</v>
      </c>
      <c r="AZ21">
        <v>41</v>
      </c>
      <c r="BA21">
        <v>2558.4</v>
      </c>
      <c r="BB21">
        <v>47</v>
      </c>
      <c r="BC21">
        <v>2932.7999999999997</v>
      </c>
      <c r="BD21">
        <v>28</v>
      </c>
      <c r="BE21">
        <v>1747.2</v>
      </c>
      <c r="BF21">
        <v>40</v>
      </c>
      <c r="BG21">
        <v>2496</v>
      </c>
      <c r="BH21">
        <v>19</v>
      </c>
      <c r="BI21">
        <v>1185.5999999999999</v>
      </c>
      <c r="BJ21">
        <v>15</v>
      </c>
      <c r="BK21">
        <v>936</v>
      </c>
      <c r="BL21">
        <v>17</v>
      </c>
      <c r="BM21">
        <v>1060.8</v>
      </c>
      <c r="BN21">
        <v>10</v>
      </c>
      <c r="BO21">
        <v>624</v>
      </c>
      <c r="BP21">
        <v>67</v>
      </c>
      <c r="BQ21">
        <v>4180.8</v>
      </c>
      <c r="BR21">
        <v>47</v>
      </c>
      <c r="BS21">
        <v>2932.7999999999997</v>
      </c>
      <c r="BT21">
        <v>54</v>
      </c>
      <c r="BU21">
        <v>3369.6</v>
      </c>
      <c r="BV21">
        <v>83</v>
      </c>
      <c r="BW21">
        <v>5179.2</v>
      </c>
      <c r="BX21">
        <v>16</v>
      </c>
      <c r="BY21">
        <v>998.4</v>
      </c>
      <c r="BZ21">
        <v>25</v>
      </c>
      <c r="CA21">
        <v>1560</v>
      </c>
      <c r="CB21">
        <v>17</v>
      </c>
      <c r="CC21">
        <v>1060.8</v>
      </c>
      <c r="CD21">
        <v>15</v>
      </c>
      <c r="CE21">
        <v>936</v>
      </c>
      <c r="CF21">
        <v>18</v>
      </c>
      <c r="CG21">
        <v>1123.2</v>
      </c>
      <c r="CH21">
        <v>11</v>
      </c>
      <c r="CI21">
        <v>686.4</v>
      </c>
      <c r="CJ21">
        <v>19</v>
      </c>
      <c r="CK21">
        <v>1185.5999999999999</v>
      </c>
      <c r="CL21">
        <v>19</v>
      </c>
      <c r="CM21">
        <v>1185.5999999999999</v>
      </c>
      <c r="CN21">
        <v>57</v>
      </c>
      <c r="CO21">
        <v>3556.7999999999997</v>
      </c>
      <c r="CP21">
        <v>58</v>
      </c>
      <c r="CQ21">
        <v>3619.2</v>
      </c>
      <c r="CR21">
        <v>56</v>
      </c>
      <c r="CS21">
        <v>3494.4</v>
      </c>
      <c r="CT21">
        <v>40</v>
      </c>
      <c r="CU21">
        <v>2496</v>
      </c>
    </row>
    <row r="22" spans="2:99" x14ac:dyDescent="0.2">
      <c r="C22" s="116" t="s">
        <v>188</v>
      </c>
      <c r="D22">
        <v>9</v>
      </c>
      <c r="E22">
        <v>1684.8</v>
      </c>
      <c r="F22">
        <v>11</v>
      </c>
      <c r="G22">
        <v>2059.1999999999998</v>
      </c>
      <c r="H22">
        <v>10</v>
      </c>
      <c r="I22">
        <v>1872</v>
      </c>
      <c r="J22">
        <v>12</v>
      </c>
      <c r="K22">
        <v>2246.3999999999996</v>
      </c>
      <c r="L22">
        <v>52</v>
      </c>
      <c r="M22">
        <v>9734.4</v>
      </c>
      <c r="N22">
        <v>43</v>
      </c>
      <c r="O22">
        <v>8049.5999999999995</v>
      </c>
      <c r="P22">
        <v>54</v>
      </c>
      <c r="Q22">
        <v>10108.799999999999</v>
      </c>
      <c r="R22">
        <v>38</v>
      </c>
      <c r="S22">
        <v>7113.5999999999995</v>
      </c>
      <c r="T22">
        <v>30</v>
      </c>
      <c r="U22">
        <v>5616</v>
      </c>
      <c r="V22">
        <v>19</v>
      </c>
      <c r="W22">
        <v>3556.7999999999997</v>
      </c>
      <c r="X22">
        <v>28</v>
      </c>
      <c r="Y22">
        <v>5241.5999999999995</v>
      </c>
      <c r="Z22">
        <v>30</v>
      </c>
      <c r="AA22">
        <v>5616</v>
      </c>
      <c r="AB22">
        <v>8</v>
      </c>
      <c r="AC22">
        <v>1497.6</v>
      </c>
      <c r="AD22">
        <v>15</v>
      </c>
      <c r="AE22">
        <v>2808</v>
      </c>
      <c r="AF22">
        <v>12</v>
      </c>
      <c r="AG22">
        <v>2246.3999999999996</v>
      </c>
      <c r="AH22">
        <v>14</v>
      </c>
      <c r="AI22">
        <v>2620.7999999999997</v>
      </c>
      <c r="AJ22">
        <v>18</v>
      </c>
      <c r="AK22">
        <v>3369.6</v>
      </c>
      <c r="AL22">
        <v>21</v>
      </c>
      <c r="AM22">
        <v>3931.2</v>
      </c>
      <c r="AN22">
        <v>16</v>
      </c>
      <c r="AO22">
        <v>2995.2</v>
      </c>
      <c r="AP22">
        <v>21</v>
      </c>
      <c r="AQ22">
        <v>3931.2</v>
      </c>
      <c r="AR22">
        <v>13</v>
      </c>
      <c r="AS22">
        <v>2433.6</v>
      </c>
      <c r="AT22">
        <v>16</v>
      </c>
      <c r="AU22">
        <v>2995.2</v>
      </c>
      <c r="AV22">
        <v>17</v>
      </c>
      <c r="AW22">
        <v>3182.3999999999996</v>
      </c>
      <c r="AX22">
        <v>11</v>
      </c>
      <c r="AY22">
        <v>2059.1999999999998</v>
      </c>
      <c r="AZ22">
        <v>46</v>
      </c>
      <c r="BA22">
        <v>8611.1999999999989</v>
      </c>
      <c r="BB22">
        <v>46</v>
      </c>
      <c r="BC22">
        <v>8611.1999999999989</v>
      </c>
      <c r="BD22">
        <v>24</v>
      </c>
      <c r="BE22">
        <v>4492.7999999999993</v>
      </c>
      <c r="BF22">
        <v>39</v>
      </c>
      <c r="BG22">
        <v>7300.7999999999993</v>
      </c>
      <c r="BH22">
        <v>20</v>
      </c>
      <c r="BI22">
        <v>3744</v>
      </c>
      <c r="BJ22">
        <v>14</v>
      </c>
      <c r="BK22">
        <v>2620.7999999999997</v>
      </c>
      <c r="BL22">
        <v>15</v>
      </c>
      <c r="BM22">
        <v>2808</v>
      </c>
      <c r="BN22">
        <v>10</v>
      </c>
      <c r="BO22">
        <v>1872</v>
      </c>
      <c r="BP22">
        <v>72</v>
      </c>
      <c r="BQ22">
        <v>13478.4</v>
      </c>
      <c r="BR22">
        <v>42</v>
      </c>
      <c r="BS22">
        <v>7862.4</v>
      </c>
      <c r="BT22">
        <v>63</v>
      </c>
      <c r="BU22">
        <v>11793.599999999999</v>
      </c>
      <c r="BV22">
        <v>86</v>
      </c>
      <c r="BW22">
        <v>16099.199999999999</v>
      </c>
      <c r="BX22">
        <v>15</v>
      </c>
      <c r="BY22">
        <v>2808</v>
      </c>
      <c r="BZ22">
        <v>24</v>
      </c>
      <c r="CA22">
        <v>4492.7999999999993</v>
      </c>
      <c r="CB22">
        <v>16</v>
      </c>
      <c r="CC22">
        <v>2995.2</v>
      </c>
      <c r="CD22">
        <v>16</v>
      </c>
      <c r="CE22">
        <v>2995.2</v>
      </c>
      <c r="CF22">
        <v>18</v>
      </c>
      <c r="CG22">
        <v>3369.6</v>
      </c>
      <c r="CH22">
        <v>12</v>
      </c>
      <c r="CI22">
        <v>2246.3999999999996</v>
      </c>
      <c r="CJ22">
        <v>18</v>
      </c>
      <c r="CK22">
        <v>3369.6</v>
      </c>
      <c r="CL22">
        <v>20</v>
      </c>
      <c r="CM22">
        <v>3744</v>
      </c>
      <c r="CN22">
        <v>56</v>
      </c>
      <c r="CO22">
        <v>10483.199999999999</v>
      </c>
      <c r="CP22">
        <v>50</v>
      </c>
      <c r="CQ22">
        <v>9360</v>
      </c>
      <c r="CR22">
        <v>51</v>
      </c>
      <c r="CS22">
        <v>9547.1999999999989</v>
      </c>
      <c r="CT22">
        <v>40</v>
      </c>
      <c r="CU22">
        <v>7488</v>
      </c>
    </row>
    <row r="23" spans="2:99" x14ac:dyDescent="0.2">
      <c r="C23" s="116" t="s">
        <v>189</v>
      </c>
      <c r="D23">
        <v>10</v>
      </c>
      <c r="E23">
        <v>2940</v>
      </c>
      <c r="F23">
        <v>12</v>
      </c>
      <c r="G23">
        <v>3528</v>
      </c>
      <c r="H23">
        <v>11</v>
      </c>
      <c r="I23">
        <v>3234</v>
      </c>
      <c r="J23">
        <v>13</v>
      </c>
      <c r="K23">
        <v>3822</v>
      </c>
      <c r="L23">
        <v>59</v>
      </c>
      <c r="M23">
        <v>17346</v>
      </c>
      <c r="N23">
        <v>46</v>
      </c>
      <c r="O23">
        <v>13524</v>
      </c>
      <c r="P23">
        <v>54</v>
      </c>
      <c r="Q23">
        <v>15876</v>
      </c>
      <c r="R23">
        <v>32</v>
      </c>
      <c r="S23">
        <v>9408</v>
      </c>
      <c r="T23">
        <v>30</v>
      </c>
      <c r="U23">
        <v>8820</v>
      </c>
      <c r="V23">
        <v>18</v>
      </c>
      <c r="W23">
        <v>5292</v>
      </c>
      <c r="X23">
        <v>27</v>
      </c>
      <c r="Y23">
        <v>7938</v>
      </c>
      <c r="Z23">
        <v>29</v>
      </c>
      <c r="AA23">
        <v>8526</v>
      </c>
      <c r="AB23">
        <v>8</v>
      </c>
      <c r="AC23">
        <v>2352</v>
      </c>
      <c r="AD23">
        <v>13</v>
      </c>
      <c r="AE23">
        <v>3822</v>
      </c>
      <c r="AF23">
        <v>10</v>
      </c>
      <c r="AG23">
        <v>2940</v>
      </c>
      <c r="AH23">
        <v>13</v>
      </c>
      <c r="AI23">
        <v>3822</v>
      </c>
      <c r="AJ23">
        <v>16</v>
      </c>
      <c r="AK23">
        <v>4704</v>
      </c>
      <c r="AL23">
        <v>21</v>
      </c>
      <c r="AM23">
        <v>6174</v>
      </c>
      <c r="AN23">
        <v>17</v>
      </c>
      <c r="AO23">
        <v>4998</v>
      </c>
      <c r="AP23">
        <v>24</v>
      </c>
      <c r="AQ23">
        <v>7056</v>
      </c>
      <c r="AR23">
        <v>13</v>
      </c>
      <c r="AS23">
        <v>3822</v>
      </c>
      <c r="AT23">
        <v>16</v>
      </c>
      <c r="AU23">
        <v>4704</v>
      </c>
      <c r="AV23">
        <v>17</v>
      </c>
      <c r="AW23">
        <v>4998</v>
      </c>
      <c r="AX23">
        <v>11</v>
      </c>
      <c r="AY23">
        <v>3234</v>
      </c>
      <c r="AZ23">
        <v>45</v>
      </c>
      <c r="BA23">
        <v>13230</v>
      </c>
      <c r="BB23">
        <v>41</v>
      </c>
      <c r="BC23">
        <v>12054</v>
      </c>
      <c r="BD23">
        <v>26</v>
      </c>
      <c r="BE23">
        <v>7644</v>
      </c>
      <c r="BF23">
        <v>38</v>
      </c>
      <c r="BG23">
        <v>11172</v>
      </c>
      <c r="BH23">
        <v>18</v>
      </c>
      <c r="BI23">
        <v>5292</v>
      </c>
      <c r="BJ23">
        <v>16</v>
      </c>
      <c r="BK23">
        <v>4704</v>
      </c>
      <c r="BL23">
        <v>14</v>
      </c>
      <c r="BM23">
        <v>4116</v>
      </c>
      <c r="BN23">
        <v>10</v>
      </c>
      <c r="BO23">
        <v>2940</v>
      </c>
      <c r="BP23">
        <v>69</v>
      </c>
      <c r="BQ23">
        <v>20286</v>
      </c>
      <c r="BR23">
        <v>47</v>
      </c>
      <c r="BS23">
        <v>13818</v>
      </c>
      <c r="BT23">
        <v>63</v>
      </c>
      <c r="BU23">
        <v>18522</v>
      </c>
      <c r="BV23">
        <v>85</v>
      </c>
      <c r="BW23">
        <v>24990</v>
      </c>
      <c r="BX23">
        <v>16</v>
      </c>
      <c r="BY23">
        <v>4704</v>
      </c>
      <c r="BZ23">
        <v>25</v>
      </c>
      <c r="CA23">
        <v>7350</v>
      </c>
      <c r="CB23">
        <v>17</v>
      </c>
      <c r="CC23">
        <v>4998</v>
      </c>
      <c r="CD23">
        <v>15</v>
      </c>
      <c r="CE23">
        <v>4410</v>
      </c>
      <c r="CF23">
        <v>19</v>
      </c>
      <c r="CG23">
        <v>5586</v>
      </c>
      <c r="CH23">
        <v>13</v>
      </c>
      <c r="CI23">
        <v>3822</v>
      </c>
      <c r="CJ23">
        <v>19</v>
      </c>
      <c r="CK23">
        <v>5586</v>
      </c>
      <c r="CL23">
        <v>18</v>
      </c>
      <c r="CM23">
        <v>5292</v>
      </c>
      <c r="CN23">
        <v>48</v>
      </c>
      <c r="CO23">
        <v>14112</v>
      </c>
      <c r="CP23">
        <v>56</v>
      </c>
      <c r="CQ23">
        <v>16464</v>
      </c>
      <c r="CR23">
        <v>50</v>
      </c>
      <c r="CS23">
        <v>14700</v>
      </c>
      <c r="CT23">
        <v>41</v>
      </c>
      <c r="CU23">
        <v>12054</v>
      </c>
    </row>
    <row r="24" spans="2:99" x14ac:dyDescent="0.2">
      <c r="C24" s="116" t="s">
        <v>190</v>
      </c>
      <c r="D24">
        <v>9</v>
      </c>
      <c r="E24">
        <v>3304.7999999999997</v>
      </c>
      <c r="F24">
        <v>12</v>
      </c>
      <c r="G24">
        <v>4406.3999999999996</v>
      </c>
      <c r="H24">
        <v>9</v>
      </c>
      <c r="I24">
        <v>3304.7999999999997</v>
      </c>
      <c r="J24">
        <v>13</v>
      </c>
      <c r="K24">
        <v>4773.5999999999995</v>
      </c>
      <c r="L24">
        <v>61</v>
      </c>
      <c r="M24">
        <v>22399.200000000001</v>
      </c>
      <c r="N24">
        <v>45</v>
      </c>
      <c r="O24">
        <v>16524</v>
      </c>
      <c r="P24">
        <v>49</v>
      </c>
      <c r="Q24">
        <v>17992.8</v>
      </c>
      <c r="R24">
        <v>32</v>
      </c>
      <c r="S24">
        <v>11750.4</v>
      </c>
      <c r="T24">
        <v>32</v>
      </c>
      <c r="U24">
        <v>11750.4</v>
      </c>
      <c r="V24">
        <v>21</v>
      </c>
      <c r="W24">
        <v>7711.2</v>
      </c>
      <c r="X24">
        <v>24</v>
      </c>
      <c r="Y24">
        <v>8812.7999999999993</v>
      </c>
      <c r="Z24">
        <v>28</v>
      </c>
      <c r="AA24">
        <v>10281.6</v>
      </c>
      <c r="AB24">
        <v>9</v>
      </c>
      <c r="AC24">
        <v>3304.7999999999997</v>
      </c>
      <c r="AD24">
        <v>14</v>
      </c>
      <c r="AE24">
        <v>5140.8</v>
      </c>
      <c r="AF24">
        <v>11</v>
      </c>
      <c r="AG24">
        <v>4039.2</v>
      </c>
      <c r="AH24">
        <v>13</v>
      </c>
      <c r="AI24">
        <v>4773.5999999999995</v>
      </c>
      <c r="AJ24">
        <v>16</v>
      </c>
      <c r="AK24">
        <v>5875.2</v>
      </c>
      <c r="AL24">
        <v>19</v>
      </c>
      <c r="AM24">
        <v>6976.8</v>
      </c>
      <c r="AN24">
        <v>16</v>
      </c>
      <c r="AO24">
        <v>5875.2</v>
      </c>
      <c r="AP24">
        <v>22</v>
      </c>
      <c r="AQ24">
        <v>8078.4</v>
      </c>
      <c r="AR24">
        <v>14</v>
      </c>
      <c r="AS24">
        <v>5140.8</v>
      </c>
      <c r="AT24">
        <v>15</v>
      </c>
      <c r="AU24">
        <v>5508</v>
      </c>
      <c r="AV24">
        <v>18</v>
      </c>
      <c r="AW24">
        <v>6609.5999999999995</v>
      </c>
      <c r="AX24">
        <v>11</v>
      </c>
      <c r="AY24">
        <v>4039.2</v>
      </c>
      <c r="AZ24">
        <v>40</v>
      </c>
      <c r="BA24">
        <v>14688</v>
      </c>
      <c r="BB24">
        <v>41</v>
      </c>
      <c r="BC24">
        <v>15055.199999999999</v>
      </c>
      <c r="BD24">
        <v>23</v>
      </c>
      <c r="BE24">
        <v>8445.6</v>
      </c>
      <c r="BF24">
        <v>39</v>
      </c>
      <c r="BG24">
        <v>14320.8</v>
      </c>
      <c r="BH24">
        <v>18</v>
      </c>
      <c r="BI24">
        <v>6609.5999999999995</v>
      </c>
      <c r="BJ24">
        <v>16</v>
      </c>
      <c r="BK24">
        <v>5875.2</v>
      </c>
      <c r="BL24">
        <v>14</v>
      </c>
      <c r="BM24">
        <v>5140.8</v>
      </c>
      <c r="BN24">
        <v>10</v>
      </c>
      <c r="BO24">
        <v>3672</v>
      </c>
      <c r="BP24">
        <v>65</v>
      </c>
      <c r="BQ24">
        <v>23868</v>
      </c>
      <c r="BR24">
        <v>42</v>
      </c>
      <c r="BS24">
        <v>15422.4</v>
      </c>
      <c r="BT24">
        <v>57</v>
      </c>
      <c r="BU24">
        <v>20930.399999999998</v>
      </c>
      <c r="BV24">
        <v>85</v>
      </c>
      <c r="BW24">
        <v>31212</v>
      </c>
      <c r="BX24">
        <v>16</v>
      </c>
      <c r="BY24">
        <v>5875.2</v>
      </c>
      <c r="BZ24">
        <v>24</v>
      </c>
      <c r="CA24">
        <v>8812.7999999999993</v>
      </c>
      <c r="CB24">
        <v>17</v>
      </c>
      <c r="CC24">
        <v>6242.4</v>
      </c>
      <c r="CD24">
        <v>15</v>
      </c>
      <c r="CE24">
        <v>5508</v>
      </c>
      <c r="CF24">
        <v>17</v>
      </c>
      <c r="CG24">
        <v>6242.4</v>
      </c>
      <c r="CH24">
        <v>12</v>
      </c>
      <c r="CI24">
        <v>4406.3999999999996</v>
      </c>
      <c r="CJ24">
        <v>17</v>
      </c>
      <c r="CK24">
        <v>6242.4</v>
      </c>
      <c r="CL24">
        <v>17</v>
      </c>
      <c r="CM24">
        <v>6242.4</v>
      </c>
      <c r="CN24">
        <v>53</v>
      </c>
      <c r="CO24">
        <v>19461.599999999999</v>
      </c>
      <c r="CP24">
        <v>54</v>
      </c>
      <c r="CQ24">
        <v>19828.8</v>
      </c>
      <c r="CR24">
        <v>46</v>
      </c>
      <c r="CS24">
        <v>16891.2</v>
      </c>
      <c r="CT24">
        <v>35</v>
      </c>
      <c r="CU24">
        <v>12852</v>
      </c>
    </row>
    <row r="25" spans="2:99" x14ac:dyDescent="0.2">
      <c r="C25" s="116" t="s">
        <v>191</v>
      </c>
      <c r="D25">
        <v>9</v>
      </c>
      <c r="E25">
        <v>4773.5999999999995</v>
      </c>
      <c r="F25">
        <v>13</v>
      </c>
      <c r="G25">
        <v>6895.2</v>
      </c>
      <c r="H25">
        <v>10</v>
      </c>
      <c r="I25">
        <v>5304</v>
      </c>
      <c r="J25">
        <v>12</v>
      </c>
      <c r="K25">
        <v>6364.7999999999993</v>
      </c>
      <c r="L25">
        <v>61</v>
      </c>
      <c r="M25">
        <v>32354.399999999998</v>
      </c>
      <c r="N25">
        <v>40</v>
      </c>
      <c r="O25">
        <v>21216</v>
      </c>
      <c r="P25">
        <v>55</v>
      </c>
      <c r="Q25">
        <v>29172</v>
      </c>
      <c r="R25">
        <v>32</v>
      </c>
      <c r="S25">
        <v>16972.8</v>
      </c>
      <c r="T25">
        <v>28</v>
      </c>
      <c r="U25">
        <v>14851.199999999999</v>
      </c>
      <c r="V25">
        <v>20</v>
      </c>
      <c r="W25">
        <v>10608</v>
      </c>
      <c r="X25">
        <v>28</v>
      </c>
      <c r="Y25">
        <v>14851.199999999999</v>
      </c>
      <c r="Z25">
        <v>28</v>
      </c>
      <c r="AA25">
        <v>14851.199999999999</v>
      </c>
      <c r="AB25">
        <v>7</v>
      </c>
      <c r="AC25">
        <v>3712.7999999999997</v>
      </c>
      <c r="AD25">
        <v>13</v>
      </c>
      <c r="AE25">
        <v>6895.2</v>
      </c>
      <c r="AF25">
        <v>11</v>
      </c>
      <c r="AG25">
        <v>5834.4</v>
      </c>
      <c r="AH25">
        <v>13</v>
      </c>
      <c r="AI25">
        <v>6895.2</v>
      </c>
      <c r="AJ25">
        <v>17</v>
      </c>
      <c r="AK25">
        <v>9016.7999999999993</v>
      </c>
      <c r="AL25">
        <v>20</v>
      </c>
      <c r="AM25">
        <v>10608</v>
      </c>
      <c r="AN25">
        <v>16</v>
      </c>
      <c r="AO25">
        <v>8486.4</v>
      </c>
      <c r="AP25">
        <v>23</v>
      </c>
      <c r="AQ25">
        <v>12199.199999999999</v>
      </c>
      <c r="AR25">
        <v>12</v>
      </c>
      <c r="AS25">
        <v>6364.7999999999993</v>
      </c>
      <c r="AT25">
        <v>14</v>
      </c>
      <c r="AU25">
        <v>7425.5999999999995</v>
      </c>
      <c r="AV25">
        <v>17</v>
      </c>
      <c r="AW25">
        <v>9016.7999999999993</v>
      </c>
      <c r="AX25">
        <v>11</v>
      </c>
      <c r="AY25">
        <v>5834.4</v>
      </c>
      <c r="AZ25">
        <v>44</v>
      </c>
      <c r="BA25">
        <v>23337.599999999999</v>
      </c>
      <c r="BB25">
        <v>47</v>
      </c>
      <c r="BC25">
        <v>24928.799999999999</v>
      </c>
      <c r="BD25">
        <v>24</v>
      </c>
      <c r="BE25">
        <v>12729.599999999999</v>
      </c>
      <c r="BF25">
        <v>43</v>
      </c>
      <c r="BG25">
        <v>22807.200000000001</v>
      </c>
      <c r="BH25">
        <v>17</v>
      </c>
      <c r="BI25">
        <v>9016.7999999999993</v>
      </c>
      <c r="BJ25">
        <v>14</v>
      </c>
      <c r="BK25">
        <v>7425.5999999999995</v>
      </c>
      <c r="BL25">
        <v>14</v>
      </c>
      <c r="BM25">
        <v>7425.5999999999995</v>
      </c>
      <c r="BN25">
        <v>9</v>
      </c>
      <c r="BO25">
        <v>4773.5999999999995</v>
      </c>
      <c r="BP25">
        <v>62</v>
      </c>
      <c r="BQ25">
        <v>32884.799999999996</v>
      </c>
      <c r="BR25">
        <v>44</v>
      </c>
      <c r="BS25">
        <v>23337.599999999999</v>
      </c>
      <c r="BT25">
        <v>52</v>
      </c>
      <c r="BU25">
        <v>27580.799999999999</v>
      </c>
      <c r="BV25">
        <v>80</v>
      </c>
      <c r="BW25">
        <v>42432</v>
      </c>
      <c r="BX25">
        <v>15</v>
      </c>
      <c r="BY25">
        <v>7956</v>
      </c>
      <c r="BZ25">
        <v>24</v>
      </c>
      <c r="CA25">
        <v>12729.599999999999</v>
      </c>
      <c r="CB25">
        <v>16</v>
      </c>
      <c r="CC25">
        <v>8486.4</v>
      </c>
      <c r="CD25">
        <v>16</v>
      </c>
      <c r="CE25">
        <v>8486.4</v>
      </c>
      <c r="CF25">
        <v>17</v>
      </c>
      <c r="CG25">
        <v>9016.7999999999993</v>
      </c>
      <c r="CH25">
        <v>11</v>
      </c>
      <c r="CI25">
        <v>5834.4</v>
      </c>
      <c r="CJ25">
        <v>16</v>
      </c>
      <c r="CK25">
        <v>8486.4</v>
      </c>
      <c r="CL25">
        <v>17</v>
      </c>
      <c r="CM25">
        <v>9016.7999999999993</v>
      </c>
      <c r="CN25">
        <v>47</v>
      </c>
      <c r="CO25">
        <v>24928.799999999999</v>
      </c>
      <c r="CP25">
        <v>56</v>
      </c>
      <c r="CQ25">
        <v>29702.399999999998</v>
      </c>
      <c r="CR25">
        <v>51</v>
      </c>
      <c r="CS25">
        <v>27050.399999999998</v>
      </c>
      <c r="CT25">
        <v>36</v>
      </c>
      <c r="CU25">
        <v>19094.399999999998</v>
      </c>
    </row>
    <row r="26" spans="2:99" x14ac:dyDescent="0.2">
      <c r="C26" s="116" t="s">
        <v>192</v>
      </c>
      <c r="D26">
        <v>9</v>
      </c>
      <c r="E26">
        <v>4374</v>
      </c>
      <c r="F26">
        <v>13</v>
      </c>
      <c r="G26">
        <v>6318</v>
      </c>
      <c r="H26">
        <v>10</v>
      </c>
      <c r="I26">
        <v>4860</v>
      </c>
      <c r="J26">
        <v>13</v>
      </c>
      <c r="K26">
        <v>6318</v>
      </c>
      <c r="L26">
        <v>51</v>
      </c>
      <c r="M26">
        <v>24786</v>
      </c>
      <c r="N26">
        <v>45</v>
      </c>
      <c r="O26">
        <v>21870</v>
      </c>
      <c r="P26">
        <v>54</v>
      </c>
      <c r="Q26">
        <v>26244</v>
      </c>
      <c r="R26">
        <v>37</v>
      </c>
      <c r="S26">
        <v>17982</v>
      </c>
      <c r="T26">
        <v>27</v>
      </c>
      <c r="U26">
        <v>13122</v>
      </c>
      <c r="V26">
        <v>18</v>
      </c>
      <c r="W26">
        <v>8748</v>
      </c>
      <c r="X26">
        <v>27</v>
      </c>
      <c r="Y26">
        <v>13122</v>
      </c>
      <c r="Z26">
        <v>31</v>
      </c>
      <c r="AA26">
        <v>15066</v>
      </c>
      <c r="AB26">
        <v>9</v>
      </c>
      <c r="AC26">
        <v>4374</v>
      </c>
      <c r="AD26">
        <v>14</v>
      </c>
      <c r="AE26">
        <v>6804</v>
      </c>
      <c r="AF26">
        <v>11</v>
      </c>
      <c r="AG26">
        <v>5346</v>
      </c>
      <c r="AH26">
        <v>12</v>
      </c>
      <c r="AI26">
        <v>5832</v>
      </c>
      <c r="AJ26">
        <v>18</v>
      </c>
      <c r="AK26">
        <v>8748</v>
      </c>
      <c r="AL26">
        <v>22</v>
      </c>
      <c r="AM26">
        <v>10692</v>
      </c>
      <c r="AN26">
        <v>17</v>
      </c>
      <c r="AO26">
        <v>8262</v>
      </c>
      <c r="AP26">
        <v>23</v>
      </c>
      <c r="AQ26">
        <v>11178</v>
      </c>
      <c r="AR26">
        <v>13</v>
      </c>
      <c r="AS26">
        <v>6318</v>
      </c>
      <c r="AT26">
        <v>15</v>
      </c>
      <c r="AU26">
        <v>7290</v>
      </c>
      <c r="AV26">
        <v>16</v>
      </c>
      <c r="AW26">
        <v>7776</v>
      </c>
      <c r="AX26">
        <v>11</v>
      </c>
      <c r="AY26">
        <v>5346</v>
      </c>
      <c r="AZ26">
        <v>44</v>
      </c>
      <c r="BA26">
        <v>21384</v>
      </c>
      <c r="BB26">
        <v>43</v>
      </c>
      <c r="BC26">
        <v>20898</v>
      </c>
      <c r="BD26">
        <v>24</v>
      </c>
      <c r="BE26">
        <v>11664</v>
      </c>
      <c r="BF26">
        <v>43</v>
      </c>
      <c r="BG26">
        <v>20898</v>
      </c>
      <c r="BH26">
        <v>20</v>
      </c>
      <c r="BI26">
        <v>9720</v>
      </c>
      <c r="BJ26">
        <v>14</v>
      </c>
      <c r="BK26">
        <v>6804</v>
      </c>
      <c r="BL26">
        <v>16</v>
      </c>
      <c r="BM26">
        <v>7776</v>
      </c>
      <c r="BN26">
        <v>10</v>
      </c>
      <c r="BO26">
        <v>4860</v>
      </c>
      <c r="BP26">
        <v>59</v>
      </c>
      <c r="BQ26">
        <v>28674</v>
      </c>
      <c r="BR26">
        <v>39</v>
      </c>
      <c r="BS26">
        <v>18954</v>
      </c>
      <c r="BT26">
        <v>58</v>
      </c>
      <c r="BU26">
        <v>28188</v>
      </c>
      <c r="BV26">
        <v>85</v>
      </c>
      <c r="BW26">
        <v>41310</v>
      </c>
      <c r="BX26">
        <v>15</v>
      </c>
      <c r="BY26">
        <v>7290</v>
      </c>
      <c r="BZ26">
        <v>23</v>
      </c>
      <c r="CA26">
        <v>11178</v>
      </c>
      <c r="CB26">
        <v>16</v>
      </c>
      <c r="CC26">
        <v>7776</v>
      </c>
      <c r="CD26">
        <v>15</v>
      </c>
      <c r="CE26">
        <v>7290</v>
      </c>
      <c r="CF26">
        <v>18</v>
      </c>
      <c r="CG26">
        <v>8748</v>
      </c>
      <c r="CH26">
        <v>11</v>
      </c>
      <c r="CI26">
        <v>5346</v>
      </c>
      <c r="CJ26">
        <v>19</v>
      </c>
      <c r="CK26">
        <v>9234</v>
      </c>
      <c r="CL26">
        <v>17</v>
      </c>
      <c r="CM26">
        <v>8262</v>
      </c>
      <c r="CN26">
        <v>49</v>
      </c>
      <c r="CO26">
        <v>23814</v>
      </c>
      <c r="CP26">
        <v>48</v>
      </c>
      <c r="CQ26">
        <v>23328</v>
      </c>
      <c r="CR26">
        <v>53</v>
      </c>
      <c r="CS26">
        <v>25758</v>
      </c>
      <c r="CT26">
        <v>36</v>
      </c>
      <c r="CU26">
        <v>17496</v>
      </c>
    </row>
    <row r="27" spans="2:99" x14ac:dyDescent="0.2">
      <c r="C27" s="116" t="s">
        <v>193</v>
      </c>
      <c r="D27">
        <v>10</v>
      </c>
      <c r="E27">
        <v>4272</v>
      </c>
      <c r="F27">
        <v>12</v>
      </c>
      <c r="G27">
        <v>5126.3999999999996</v>
      </c>
      <c r="H27">
        <v>10</v>
      </c>
      <c r="I27">
        <v>4272</v>
      </c>
      <c r="J27">
        <v>13</v>
      </c>
      <c r="K27">
        <v>5553.5999999999995</v>
      </c>
      <c r="L27">
        <v>53</v>
      </c>
      <c r="M27">
        <v>22641.599999999999</v>
      </c>
      <c r="N27">
        <v>46</v>
      </c>
      <c r="O27">
        <v>19651.2</v>
      </c>
      <c r="P27">
        <v>50</v>
      </c>
      <c r="Q27">
        <v>21360</v>
      </c>
      <c r="R27">
        <v>32</v>
      </c>
      <c r="S27">
        <v>13670.4</v>
      </c>
      <c r="T27">
        <v>29</v>
      </c>
      <c r="U27">
        <v>12388.8</v>
      </c>
      <c r="V27">
        <v>21</v>
      </c>
      <c r="W27">
        <v>8971.1999999999989</v>
      </c>
      <c r="X27">
        <v>24</v>
      </c>
      <c r="Y27">
        <v>10252.799999999999</v>
      </c>
      <c r="Z27">
        <v>32</v>
      </c>
      <c r="AA27">
        <v>13670.4</v>
      </c>
      <c r="AB27">
        <v>8</v>
      </c>
      <c r="AC27">
        <v>3417.6</v>
      </c>
      <c r="AD27">
        <v>14</v>
      </c>
      <c r="AE27">
        <v>5980.8</v>
      </c>
      <c r="AF27">
        <v>10</v>
      </c>
      <c r="AG27">
        <v>4272</v>
      </c>
      <c r="AH27">
        <v>12</v>
      </c>
      <c r="AI27">
        <v>5126.3999999999996</v>
      </c>
      <c r="AJ27">
        <v>16</v>
      </c>
      <c r="AK27">
        <v>6835.2</v>
      </c>
      <c r="AL27">
        <v>19</v>
      </c>
      <c r="AM27">
        <v>8116.8</v>
      </c>
      <c r="AN27">
        <v>17</v>
      </c>
      <c r="AO27">
        <v>7262.4</v>
      </c>
      <c r="AP27">
        <v>22</v>
      </c>
      <c r="AQ27">
        <v>9398.4</v>
      </c>
      <c r="AR27">
        <v>12</v>
      </c>
      <c r="AS27">
        <v>5126.3999999999996</v>
      </c>
      <c r="AT27">
        <v>15</v>
      </c>
      <c r="AU27">
        <v>6408</v>
      </c>
      <c r="AV27">
        <v>18</v>
      </c>
      <c r="AW27">
        <v>7689.5999999999995</v>
      </c>
      <c r="AX27">
        <v>11</v>
      </c>
      <c r="AY27">
        <v>4699.2</v>
      </c>
      <c r="AZ27">
        <v>47</v>
      </c>
      <c r="BA27">
        <v>20078.399999999998</v>
      </c>
      <c r="BB27">
        <v>43</v>
      </c>
      <c r="BC27">
        <v>18369.599999999999</v>
      </c>
      <c r="BD27">
        <v>26</v>
      </c>
      <c r="BE27">
        <v>11107.199999999999</v>
      </c>
      <c r="BF27">
        <v>43</v>
      </c>
      <c r="BG27">
        <v>18369.599999999999</v>
      </c>
      <c r="BH27">
        <v>19</v>
      </c>
      <c r="BI27">
        <v>8116.8</v>
      </c>
      <c r="BJ27">
        <v>16</v>
      </c>
      <c r="BK27">
        <v>6835.2</v>
      </c>
      <c r="BL27">
        <v>14</v>
      </c>
      <c r="BM27">
        <v>5980.8</v>
      </c>
      <c r="BN27">
        <v>10</v>
      </c>
      <c r="BO27">
        <v>4272</v>
      </c>
      <c r="BP27">
        <v>64</v>
      </c>
      <c r="BQ27">
        <v>27340.799999999999</v>
      </c>
      <c r="BR27">
        <v>40</v>
      </c>
      <c r="BS27">
        <v>17088</v>
      </c>
      <c r="BT27">
        <v>57</v>
      </c>
      <c r="BU27">
        <v>24350.399999999998</v>
      </c>
      <c r="BV27">
        <v>84</v>
      </c>
      <c r="BW27">
        <v>35884.799999999996</v>
      </c>
      <c r="BX27">
        <v>15</v>
      </c>
      <c r="BY27">
        <v>6408</v>
      </c>
      <c r="BZ27">
        <v>23</v>
      </c>
      <c r="CA27">
        <v>9825.6</v>
      </c>
      <c r="CB27">
        <v>17</v>
      </c>
      <c r="CC27">
        <v>7262.4</v>
      </c>
      <c r="CD27">
        <v>16</v>
      </c>
      <c r="CE27">
        <v>6835.2</v>
      </c>
      <c r="CF27">
        <v>17</v>
      </c>
      <c r="CG27">
        <v>7262.4</v>
      </c>
      <c r="CH27">
        <v>13</v>
      </c>
      <c r="CI27">
        <v>5553.5999999999995</v>
      </c>
      <c r="CJ27">
        <v>17</v>
      </c>
      <c r="CK27">
        <v>7262.4</v>
      </c>
      <c r="CL27">
        <v>17</v>
      </c>
      <c r="CM27">
        <v>7262.4</v>
      </c>
      <c r="CN27">
        <v>52</v>
      </c>
      <c r="CO27">
        <v>22214.399999999998</v>
      </c>
      <c r="CP27">
        <v>55</v>
      </c>
      <c r="CQ27">
        <v>23496</v>
      </c>
      <c r="CR27">
        <v>55</v>
      </c>
      <c r="CS27">
        <v>23496</v>
      </c>
      <c r="CT27">
        <v>36</v>
      </c>
      <c r="CU27">
        <v>15379.199999999999</v>
      </c>
    </row>
    <row r="28" spans="2:99" x14ac:dyDescent="0.2">
      <c r="C28" s="116" t="s">
        <v>194</v>
      </c>
      <c r="D28">
        <v>10</v>
      </c>
      <c r="E28">
        <v>7380</v>
      </c>
      <c r="F28">
        <v>12</v>
      </c>
      <c r="G28">
        <v>8856</v>
      </c>
      <c r="H28">
        <v>9</v>
      </c>
      <c r="I28">
        <v>6642</v>
      </c>
      <c r="J28">
        <v>13</v>
      </c>
      <c r="K28">
        <v>9594</v>
      </c>
      <c r="L28">
        <v>52</v>
      </c>
      <c r="M28">
        <v>38376</v>
      </c>
      <c r="N28">
        <v>45</v>
      </c>
      <c r="O28">
        <v>33210</v>
      </c>
      <c r="P28">
        <v>45</v>
      </c>
      <c r="Q28">
        <v>33210</v>
      </c>
      <c r="R28">
        <v>32</v>
      </c>
      <c r="S28">
        <v>23616</v>
      </c>
      <c r="T28">
        <v>28</v>
      </c>
      <c r="U28">
        <v>20664</v>
      </c>
      <c r="V28">
        <v>20</v>
      </c>
      <c r="W28">
        <v>14760</v>
      </c>
      <c r="X28">
        <v>26</v>
      </c>
      <c r="Y28">
        <v>19188</v>
      </c>
      <c r="Z28">
        <v>30</v>
      </c>
      <c r="AA28">
        <v>22140</v>
      </c>
      <c r="AB28">
        <v>8</v>
      </c>
      <c r="AC28">
        <v>5904</v>
      </c>
      <c r="AD28">
        <v>14</v>
      </c>
      <c r="AE28">
        <v>10332</v>
      </c>
      <c r="AF28">
        <v>10</v>
      </c>
      <c r="AG28">
        <v>7380</v>
      </c>
      <c r="AH28">
        <v>12</v>
      </c>
      <c r="AI28">
        <v>8856</v>
      </c>
      <c r="AJ28">
        <v>16</v>
      </c>
      <c r="AK28">
        <v>11808</v>
      </c>
      <c r="AL28">
        <v>20</v>
      </c>
      <c r="AM28">
        <v>14760</v>
      </c>
      <c r="AN28">
        <v>17</v>
      </c>
      <c r="AO28">
        <v>12546</v>
      </c>
      <c r="AP28">
        <v>24</v>
      </c>
      <c r="AQ28">
        <v>17712</v>
      </c>
      <c r="AR28">
        <v>11</v>
      </c>
      <c r="AS28">
        <v>8118</v>
      </c>
      <c r="AT28">
        <v>15</v>
      </c>
      <c r="AU28">
        <v>11070</v>
      </c>
      <c r="AV28">
        <v>17</v>
      </c>
      <c r="AW28">
        <v>12546</v>
      </c>
      <c r="AX28">
        <v>10</v>
      </c>
      <c r="AY28">
        <v>7380</v>
      </c>
      <c r="AZ28">
        <v>45</v>
      </c>
      <c r="BA28">
        <v>33210</v>
      </c>
      <c r="BB28">
        <v>38</v>
      </c>
      <c r="BC28">
        <v>28044</v>
      </c>
      <c r="BD28">
        <v>26</v>
      </c>
      <c r="BE28">
        <v>19188</v>
      </c>
      <c r="BF28">
        <v>41</v>
      </c>
      <c r="BG28">
        <v>30258</v>
      </c>
      <c r="BH28">
        <v>20</v>
      </c>
      <c r="BI28">
        <v>14760</v>
      </c>
      <c r="BJ28">
        <v>15</v>
      </c>
      <c r="BK28">
        <v>11070</v>
      </c>
      <c r="BL28">
        <v>14</v>
      </c>
      <c r="BM28">
        <v>10332</v>
      </c>
      <c r="BN28">
        <v>9</v>
      </c>
      <c r="BO28">
        <v>6642</v>
      </c>
      <c r="BP28">
        <v>65</v>
      </c>
      <c r="BQ28">
        <v>47970</v>
      </c>
      <c r="BR28">
        <v>45</v>
      </c>
      <c r="BS28">
        <v>33210</v>
      </c>
      <c r="BT28">
        <v>52</v>
      </c>
      <c r="BU28">
        <v>38376</v>
      </c>
      <c r="BV28">
        <v>81</v>
      </c>
      <c r="BW28">
        <v>59778</v>
      </c>
      <c r="BX28">
        <v>16</v>
      </c>
      <c r="BY28">
        <v>11808</v>
      </c>
      <c r="BZ28">
        <v>20</v>
      </c>
      <c r="CA28">
        <v>14760</v>
      </c>
      <c r="CB28">
        <v>16</v>
      </c>
      <c r="CC28">
        <v>11808</v>
      </c>
      <c r="CD28">
        <v>14</v>
      </c>
      <c r="CE28">
        <v>10332</v>
      </c>
      <c r="CF28">
        <v>18</v>
      </c>
      <c r="CG28">
        <v>13284</v>
      </c>
      <c r="CH28">
        <v>12</v>
      </c>
      <c r="CI28">
        <v>8856</v>
      </c>
      <c r="CJ28">
        <v>17</v>
      </c>
      <c r="CK28">
        <v>12546</v>
      </c>
      <c r="CL28">
        <v>18</v>
      </c>
      <c r="CM28">
        <v>13284</v>
      </c>
      <c r="CN28">
        <v>46</v>
      </c>
      <c r="CO28">
        <v>33948</v>
      </c>
      <c r="CP28">
        <v>50</v>
      </c>
      <c r="CQ28">
        <v>36900</v>
      </c>
      <c r="CR28">
        <v>46</v>
      </c>
      <c r="CS28">
        <v>33948</v>
      </c>
      <c r="CT28">
        <v>33</v>
      </c>
      <c r="CU28">
        <v>24354</v>
      </c>
    </row>
    <row r="29" spans="2:99" x14ac:dyDescent="0.2">
      <c r="C29" s="116" t="s">
        <v>195</v>
      </c>
      <c r="D29">
        <v>10</v>
      </c>
      <c r="E29">
        <v>3384</v>
      </c>
      <c r="F29">
        <v>13</v>
      </c>
      <c r="G29">
        <v>4399.2</v>
      </c>
      <c r="H29">
        <v>9</v>
      </c>
      <c r="I29">
        <v>3045.6</v>
      </c>
      <c r="J29">
        <v>12</v>
      </c>
      <c r="K29">
        <v>4060.7999999999997</v>
      </c>
      <c r="L29">
        <v>56</v>
      </c>
      <c r="M29">
        <v>18950.399999999998</v>
      </c>
      <c r="N29">
        <v>43</v>
      </c>
      <c r="O29">
        <v>14551.199999999999</v>
      </c>
      <c r="P29">
        <v>48</v>
      </c>
      <c r="Q29">
        <v>16243.199999999999</v>
      </c>
      <c r="R29">
        <v>35</v>
      </c>
      <c r="S29">
        <v>11844</v>
      </c>
      <c r="T29">
        <v>29</v>
      </c>
      <c r="U29">
        <v>9813.5999999999985</v>
      </c>
      <c r="V29">
        <v>19</v>
      </c>
      <c r="W29">
        <v>6429.5999999999995</v>
      </c>
      <c r="X29">
        <v>26</v>
      </c>
      <c r="Y29">
        <v>8798.4</v>
      </c>
      <c r="Z29">
        <v>28</v>
      </c>
      <c r="AA29">
        <v>9475.1999999999989</v>
      </c>
      <c r="AB29">
        <v>9</v>
      </c>
      <c r="AC29">
        <v>3045.6</v>
      </c>
      <c r="AD29">
        <v>13</v>
      </c>
      <c r="AE29">
        <v>4399.2</v>
      </c>
      <c r="AF29">
        <v>11</v>
      </c>
      <c r="AG29">
        <v>3722.3999999999996</v>
      </c>
      <c r="AH29">
        <v>13</v>
      </c>
      <c r="AI29">
        <v>4399.2</v>
      </c>
      <c r="AJ29">
        <v>16</v>
      </c>
      <c r="AK29">
        <v>5414.4</v>
      </c>
      <c r="AL29">
        <v>22</v>
      </c>
      <c r="AM29">
        <v>7444.7999999999993</v>
      </c>
      <c r="AN29">
        <v>18</v>
      </c>
      <c r="AO29">
        <v>6091.2</v>
      </c>
      <c r="AP29">
        <v>26</v>
      </c>
      <c r="AQ29">
        <v>8798.4</v>
      </c>
      <c r="AR29">
        <v>11</v>
      </c>
      <c r="AS29">
        <v>3722.3999999999996</v>
      </c>
      <c r="AT29">
        <v>15</v>
      </c>
      <c r="AU29">
        <v>5076</v>
      </c>
      <c r="AV29">
        <v>17</v>
      </c>
      <c r="AW29">
        <v>5752.7999999999993</v>
      </c>
      <c r="AX29">
        <v>12</v>
      </c>
      <c r="AY29">
        <v>4060.7999999999997</v>
      </c>
      <c r="AZ29">
        <v>45</v>
      </c>
      <c r="BA29">
        <v>15227.999999999998</v>
      </c>
      <c r="BB29">
        <v>42</v>
      </c>
      <c r="BC29">
        <v>14212.8</v>
      </c>
      <c r="BD29">
        <v>26</v>
      </c>
      <c r="BE29">
        <v>8798.4</v>
      </c>
      <c r="BF29">
        <v>39</v>
      </c>
      <c r="BG29">
        <v>13197.599999999999</v>
      </c>
      <c r="BH29">
        <v>21</v>
      </c>
      <c r="BI29">
        <v>7106.4</v>
      </c>
      <c r="BJ29">
        <v>13</v>
      </c>
      <c r="BK29">
        <v>4399.2</v>
      </c>
      <c r="BL29">
        <v>14</v>
      </c>
      <c r="BM29">
        <v>4737.5999999999995</v>
      </c>
      <c r="BN29">
        <v>9</v>
      </c>
      <c r="BO29">
        <v>3045.6</v>
      </c>
      <c r="BP29">
        <v>70</v>
      </c>
      <c r="BQ29">
        <v>23688</v>
      </c>
      <c r="BR29">
        <v>44</v>
      </c>
      <c r="BS29">
        <v>14889.599999999999</v>
      </c>
      <c r="BT29">
        <v>62</v>
      </c>
      <c r="BU29">
        <v>20980.799999999999</v>
      </c>
      <c r="BV29">
        <v>76</v>
      </c>
      <c r="BW29">
        <v>25718.399999999998</v>
      </c>
      <c r="BX29">
        <v>16</v>
      </c>
      <c r="BY29">
        <v>5414.4</v>
      </c>
      <c r="BZ29">
        <v>23</v>
      </c>
      <c r="CA29">
        <v>7783.2</v>
      </c>
      <c r="CB29">
        <v>16</v>
      </c>
      <c r="CC29">
        <v>5414.4</v>
      </c>
      <c r="CD29">
        <v>16</v>
      </c>
      <c r="CE29">
        <v>5414.4</v>
      </c>
      <c r="CF29">
        <v>19</v>
      </c>
      <c r="CG29">
        <v>6429.5999999999995</v>
      </c>
      <c r="CH29">
        <v>12</v>
      </c>
      <c r="CI29">
        <v>4060.7999999999997</v>
      </c>
      <c r="CJ29">
        <v>17</v>
      </c>
      <c r="CK29">
        <v>5752.7999999999993</v>
      </c>
      <c r="CL29">
        <v>18</v>
      </c>
      <c r="CM29">
        <v>6091.2</v>
      </c>
      <c r="CN29">
        <v>48</v>
      </c>
      <c r="CO29">
        <v>16243.199999999999</v>
      </c>
      <c r="CP29">
        <v>49</v>
      </c>
      <c r="CQ29">
        <v>16581.599999999999</v>
      </c>
      <c r="CR29">
        <v>50</v>
      </c>
      <c r="CS29">
        <v>16920</v>
      </c>
      <c r="CT29">
        <v>36</v>
      </c>
      <c r="CU29">
        <v>12182.4</v>
      </c>
    </row>
    <row r="30" spans="2:99" x14ac:dyDescent="0.2">
      <c r="C30" s="116" t="s">
        <v>196</v>
      </c>
      <c r="D30">
        <v>10</v>
      </c>
      <c r="E30">
        <v>1392</v>
      </c>
      <c r="F30">
        <v>14</v>
      </c>
      <c r="G30">
        <v>1948.7999999999997</v>
      </c>
      <c r="H30">
        <v>10</v>
      </c>
      <c r="I30">
        <v>1392</v>
      </c>
      <c r="J30">
        <v>12</v>
      </c>
      <c r="K30">
        <v>1670.3999999999999</v>
      </c>
      <c r="L30">
        <v>64</v>
      </c>
      <c r="M30">
        <v>8908.7999999999993</v>
      </c>
      <c r="N30">
        <v>48</v>
      </c>
      <c r="O30">
        <v>6681.5999999999995</v>
      </c>
      <c r="P30">
        <v>57</v>
      </c>
      <c r="Q30">
        <v>7934.4</v>
      </c>
      <c r="R30">
        <v>35</v>
      </c>
      <c r="S30">
        <v>4872</v>
      </c>
      <c r="T30">
        <v>34</v>
      </c>
      <c r="U30">
        <v>4732.7999999999993</v>
      </c>
      <c r="V30">
        <v>21</v>
      </c>
      <c r="W30">
        <v>2923.2</v>
      </c>
      <c r="X30">
        <v>24</v>
      </c>
      <c r="Y30">
        <v>3340.7999999999997</v>
      </c>
      <c r="Z30">
        <v>28</v>
      </c>
      <c r="AA30">
        <v>3897.5999999999995</v>
      </c>
      <c r="AB30">
        <v>9</v>
      </c>
      <c r="AC30">
        <v>1252.8</v>
      </c>
      <c r="AD30">
        <v>15</v>
      </c>
      <c r="AE30">
        <v>2088</v>
      </c>
      <c r="AF30">
        <v>11</v>
      </c>
      <c r="AG30">
        <v>1531.1999999999998</v>
      </c>
      <c r="AH30">
        <v>12</v>
      </c>
      <c r="AI30">
        <v>1670.3999999999999</v>
      </c>
      <c r="AJ30">
        <v>19</v>
      </c>
      <c r="AK30">
        <v>2644.7999999999997</v>
      </c>
      <c r="AL30">
        <v>19</v>
      </c>
      <c r="AM30">
        <v>2644.7999999999997</v>
      </c>
      <c r="AN30">
        <v>17</v>
      </c>
      <c r="AO30">
        <v>2366.3999999999996</v>
      </c>
      <c r="AP30">
        <v>23</v>
      </c>
      <c r="AQ30">
        <v>3201.6</v>
      </c>
      <c r="AR30">
        <v>12</v>
      </c>
      <c r="AS30">
        <v>1670.3999999999999</v>
      </c>
      <c r="AT30">
        <v>14</v>
      </c>
      <c r="AU30">
        <v>1948.7999999999997</v>
      </c>
      <c r="AV30">
        <v>16</v>
      </c>
      <c r="AW30">
        <v>2227.1999999999998</v>
      </c>
      <c r="AX30">
        <v>11</v>
      </c>
      <c r="AY30">
        <v>1531.1999999999998</v>
      </c>
      <c r="AZ30">
        <v>40</v>
      </c>
      <c r="BA30">
        <v>5568</v>
      </c>
      <c r="BB30">
        <v>47</v>
      </c>
      <c r="BC30">
        <v>6542.4</v>
      </c>
      <c r="BD30">
        <v>25</v>
      </c>
      <c r="BE30">
        <v>3479.9999999999995</v>
      </c>
      <c r="BF30">
        <v>41</v>
      </c>
      <c r="BG30">
        <v>5707.2</v>
      </c>
      <c r="BH30">
        <v>19</v>
      </c>
      <c r="BI30">
        <v>2644.7999999999997</v>
      </c>
      <c r="BJ30">
        <v>16</v>
      </c>
      <c r="BK30">
        <v>2227.1999999999998</v>
      </c>
      <c r="BL30">
        <v>15</v>
      </c>
      <c r="BM30">
        <v>2088</v>
      </c>
      <c r="BN30">
        <v>11</v>
      </c>
      <c r="BO30">
        <v>1531.1999999999998</v>
      </c>
      <c r="BP30">
        <v>69</v>
      </c>
      <c r="BQ30">
        <v>9604.7999999999993</v>
      </c>
      <c r="BR30">
        <v>45</v>
      </c>
      <c r="BS30">
        <v>6263.9999999999991</v>
      </c>
      <c r="BT30">
        <v>60</v>
      </c>
      <c r="BU30">
        <v>8352</v>
      </c>
      <c r="BV30">
        <v>89</v>
      </c>
      <c r="BW30">
        <v>12388.8</v>
      </c>
      <c r="BX30">
        <v>15</v>
      </c>
      <c r="BY30">
        <v>2088</v>
      </c>
      <c r="BZ30">
        <v>21</v>
      </c>
      <c r="CA30">
        <v>2923.2</v>
      </c>
      <c r="CB30">
        <v>16</v>
      </c>
      <c r="CC30">
        <v>2227.1999999999998</v>
      </c>
      <c r="CD30">
        <v>16</v>
      </c>
      <c r="CE30">
        <v>2227.1999999999998</v>
      </c>
      <c r="CF30">
        <v>17</v>
      </c>
      <c r="CG30">
        <v>2366.3999999999996</v>
      </c>
      <c r="CH30">
        <v>11</v>
      </c>
      <c r="CI30">
        <v>1531.1999999999998</v>
      </c>
      <c r="CJ30">
        <v>19</v>
      </c>
      <c r="CK30">
        <v>2644.7999999999997</v>
      </c>
      <c r="CL30">
        <v>20</v>
      </c>
      <c r="CM30">
        <v>2784</v>
      </c>
      <c r="CN30">
        <v>53</v>
      </c>
      <c r="CO30">
        <v>7377.5999999999995</v>
      </c>
      <c r="CP30">
        <v>59</v>
      </c>
      <c r="CQ30">
        <v>8212.7999999999993</v>
      </c>
      <c r="CR30">
        <v>50</v>
      </c>
      <c r="CS30">
        <v>6959.9999999999991</v>
      </c>
      <c r="CT30">
        <v>43</v>
      </c>
      <c r="CU30">
        <v>5985.5999999999995</v>
      </c>
    </row>
    <row r="31" spans="2:99" x14ac:dyDescent="0.2">
      <c r="C31" s="116" t="s">
        <v>197</v>
      </c>
      <c r="D31">
        <v>9</v>
      </c>
      <c r="E31">
        <v>3067.2000000000003</v>
      </c>
      <c r="F31">
        <v>13</v>
      </c>
      <c r="G31">
        <v>4430.4000000000005</v>
      </c>
      <c r="H31">
        <v>10</v>
      </c>
      <c r="I31">
        <v>3408</v>
      </c>
      <c r="J31">
        <v>12</v>
      </c>
      <c r="K31">
        <v>4089.6000000000004</v>
      </c>
      <c r="L31">
        <v>55</v>
      </c>
      <c r="M31">
        <v>18744</v>
      </c>
      <c r="N31">
        <v>43</v>
      </c>
      <c r="O31">
        <v>14654.4</v>
      </c>
      <c r="P31">
        <v>55</v>
      </c>
      <c r="Q31">
        <v>18744</v>
      </c>
      <c r="R31">
        <v>33</v>
      </c>
      <c r="S31">
        <v>11246.4</v>
      </c>
      <c r="T31">
        <v>32</v>
      </c>
      <c r="U31">
        <v>10905.6</v>
      </c>
      <c r="V31">
        <v>20</v>
      </c>
      <c r="W31">
        <v>6816</v>
      </c>
      <c r="X31">
        <v>25</v>
      </c>
      <c r="Y31">
        <v>8520</v>
      </c>
      <c r="Z31">
        <v>30</v>
      </c>
      <c r="AA31">
        <v>10224</v>
      </c>
      <c r="AB31">
        <v>9</v>
      </c>
      <c r="AC31">
        <v>3067.2000000000003</v>
      </c>
      <c r="AD31">
        <v>14</v>
      </c>
      <c r="AE31">
        <v>4771.2</v>
      </c>
      <c r="AF31">
        <v>10</v>
      </c>
      <c r="AG31">
        <v>3408</v>
      </c>
      <c r="AH31">
        <v>13</v>
      </c>
      <c r="AI31">
        <v>4430.4000000000005</v>
      </c>
      <c r="AJ31">
        <v>18</v>
      </c>
      <c r="AK31">
        <v>6134.4000000000005</v>
      </c>
      <c r="AL31">
        <v>18</v>
      </c>
      <c r="AM31">
        <v>6134.4000000000005</v>
      </c>
      <c r="AN31">
        <v>18</v>
      </c>
      <c r="AO31">
        <v>6134.4000000000005</v>
      </c>
      <c r="AP31">
        <v>24</v>
      </c>
      <c r="AQ31">
        <v>8179.2000000000007</v>
      </c>
      <c r="AR31">
        <v>13</v>
      </c>
      <c r="AS31">
        <v>4430.4000000000005</v>
      </c>
      <c r="AT31">
        <v>15</v>
      </c>
      <c r="AU31">
        <v>5112</v>
      </c>
      <c r="AV31">
        <v>17</v>
      </c>
      <c r="AW31">
        <v>5793.6</v>
      </c>
      <c r="AX31">
        <v>12</v>
      </c>
      <c r="AY31">
        <v>4089.6000000000004</v>
      </c>
      <c r="AZ31">
        <v>43</v>
      </c>
      <c r="BA31">
        <v>14654.4</v>
      </c>
      <c r="BB31">
        <v>42</v>
      </c>
      <c r="BC31">
        <v>14313.6</v>
      </c>
      <c r="BD31">
        <v>23</v>
      </c>
      <c r="BE31">
        <v>7838.4000000000005</v>
      </c>
      <c r="BF31">
        <v>42</v>
      </c>
      <c r="BG31">
        <v>14313.6</v>
      </c>
      <c r="BH31">
        <v>19</v>
      </c>
      <c r="BI31">
        <v>6475.2</v>
      </c>
      <c r="BJ31">
        <v>15</v>
      </c>
      <c r="BK31">
        <v>5112</v>
      </c>
      <c r="BL31">
        <v>14</v>
      </c>
      <c r="BM31">
        <v>4771.2</v>
      </c>
      <c r="BN31">
        <v>11</v>
      </c>
      <c r="BO31">
        <v>3748.8</v>
      </c>
      <c r="BP31">
        <v>64</v>
      </c>
      <c r="BQ31">
        <v>21811.200000000001</v>
      </c>
      <c r="BR31">
        <v>44</v>
      </c>
      <c r="BS31">
        <v>14995.2</v>
      </c>
      <c r="BT31">
        <v>55</v>
      </c>
      <c r="BU31">
        <v>18744</v>
      </c>
      <c r="BV31">
        <v>83</v>
      </c>
      <c r="BW31">
        <v>28286.400000000001</v>
      </c>
      <c r="BX31">
        <v>17</v>
      </c>
      <c r="BY31">
        <v>5793.6</v>
      </c>
      <c r="BZ31">
        <v>22</v>
      </c>
      <c r="CA31">
        <v>7497.6</v>
      </c>
      <c r="CB31">
        <v>16</v>
      </c>
      <c r="CC31">
        <v>5452.8</v>
      </c>
      <c r="CD31">
        <v>14</v>
      </c>
      <c r="CE31">
        <v>4771.2</v>
      </c>
      <c r="CF31">
        <v>17</v>
      </c>
      <c r="CG31">
        <v>5793.6</v>
      </c>
      <c r="CH31">
        <v>13</v>
      </c>
      <c r="CI31">
        <v>4430.4000000000005</v>
      </c>
      <c r="CJ31">
        <v>17</v>
      </c>
      <c r="CK31">
        <v>5793.6</v>
      </c>
      <c r="CL31">
        <v>17</v>
      </c>
      <c r="CM31">
        <v>5793.6</v>
      </c>
      <c r="CN31">
        <v>53</v>
      </c>
      <c r="CO31">
        <v>18062.400000000001</v>
      </c>
      <c r="CP31">
        <v>56</v>
      </c>
      <c r="CQ31">
        <v>19084.8</v>
      </c>
      <c r="CR31">
        <v>55</v>
      </c>
      <c r="CS31">
        <v>18744</v>
      </c>
      <c r="CT31">
        <v>42</v>
      </c>
      <c r="CU31">
        <v>14313.6</v>
      </c>
    </row>
    <row r="32" spans="2:99" x14ac:dyDescent="0.2">
      <c r="C32" s="116" t="s">
        <v>198</v>
      </c>
      <c r="D32">
        <v>10</v>
      </c>
      <c r="E32">
        <v>8400</v>
      </c>
      <c r="F32">
        <v>13</v>
      </c>
      <c r="G32">
        <v>10920</v>
      </c>
      <c r="H32">
        <v>10</v>
      </c>
      <c r="I32">
        <v>8400</v>
      </c>
      <c r="J32">
        <v>13</v>
      </c>
      <c r="K32">
        <v>10920</v>
      </c>
      <c r="L32">
        <v>54</v>
      </c>
      <c r="M32">
        <v>45360</v>
      </c>
      <c r="N32">
        <v>46</v>
      </c>
      <c r="O32">
        <v>38640</v>
      </c>
      <c r="P32">
        <v>46</v>
      </c>
      <c r="Q32">
        <v>38640</v>
      </c>
      <c r="R32">
        <v>33</v>
      </c>
      <c r="S32">
        <v>27720</v>
      </c>
      <c r="T32">
        <v>30</v>
      </c>
      <c r="U32">
        <v>25200</v>
      </c>
      <c r="V32">
        <v>17</v>
      </c>
      <c r="W32">
        <v>14280</v>
      </c>
      <c r="X32">
        <v>24</v>
      </c>
      <c r="Y32">
        <v>20160</v>
      </c>
      <c r="Z32">
        <v>31</v>
      </c>
      <c r="AA32">
        <v>26040</v>
      </c>
      <c r="AB32">
        <v>9</v>
      </c>
      <c r="AC32">
        <v>7560</v>
      </c>
      <c r="AD32">
        <v>13</v>
      </c>
      <c r="AE32">
        <v>10920</v>
      </c>
      <c r="AF32">
        <v>11</v>
      </c>
      <c r="AG32">
        <v>9240</v>
      </c>
      <c r="AH32">
        <v>13</v>
      </c>
      <c r="AI32">
        <v>10920</v>
      </c>
      <c r="AJ32">
        <v>17</v>
      </c>
      <c r="AK32">
        <v>14280</v>
      </c>
      <c r="AL32">
        <v>21</v>
      </c>
      <c r="AM32">
        <v>17640</v>
      </c>
      <c r="AN32">
        <v>17</v>
      </c>
      <c r="AO32">
        <v>14280</v>
      </c>
      <c r="AP32">
        <v>24</v>
      </c>
      <c r="AQ32">
        <v>20160</v>
      </c>
      <c r="AR32">
        <v>13</v>
      </c>
      <c r="AS32">
        <v>10920</v>
      </c>
      <c r="AT32">
        <v>16</v>
      </c>
      <c r="AU32">
        <v>13440</v>
      </c>
      <c r="AV32">
        <v>17</v>
      </c>
      <c r="AW32">
        <v>14280</v>
      </c>
      <c r="AX32">
        <v>10</v>
      </c>
      <c r="AY32">
        <v>8400</v>
      </c>
      <c r="AZ32">
        <v>39</v>
      </c>
      <c r="BA32">
        <v>32760</v>
      </c>
      <c r="BB32">
        <v>42</v>
      </c>
      <c r="BC32">
        <v>35280</v>
      </c>
      <c r="BD32">
        <v>23</v>
      </c>
      <c r="BE32">
        <v>19320</v>
      </c>
      <c r="BF32">
        <v>36</v>
      </c>
      <c r="BG32">
        <v>30240</v>
      </c>
      <c r="BH32">
        <v>17</v>
      </c>
      <c r="BI32">
        <v>14280</v>
      </c>
      <c r="BJ32">
        <v>14</v>
      </c>
      <c r="BK32">
        <v>11760</v>
      </c>
      <c r="BL32">
        <v>16</v>
      </c>
      <c r="BM32">
        <v>13440</v>
      </c>
      <c r="BN32">
        <v>9</v>
      </c>
      <c r="BO32">
        <v>7560</v>
      </c>
      <c r="BP32">
        <v>61</v>
      </c>
      <c r="BQ32">
        <v>51240</v>
      </c>
      <c r="BR32">
        <v>41</v>
      </c>
      <c r="BS32">
        <v>34440</v>
      </c>
      <c r="BT32">
        <v>55</v>
      </c>
      <c r="BU32">
        <v>46200</v>
      </c>
      <c r="BV32">
        <v>69</v>
      </c>
      <c r="BW32">
        <v>57960</v>
      </c>
      <c r="BX32">
        <v>15</v>
      </c>
      <c r="BY32">
        <v>12600</v>
      </c>
      <c r="BZ32">
        <v>21</v>
      </c>
      <c r="CA32">
        <v>17640</v>
      </c>
      <c r="CB32">
        <v>17</v>
      </c>
      <c r="CC32">
        <v>14280</v>
      </c>
      <c r="CD32">
        <v>14</v>
      </c>
      <c r="CE32">
        <v>11760</v>
      </c>
      <c r="CF32">
        <v>16</v>
      </c>
      <c r="CG32">
        <v>13440</v>
      </c>
      <c r="CH32">
        <v>11</v>
      </c>
      <c r="CI32">
        <v>9240</v>
      </c>
      <c r="CJ32">
        <v>17</v>
      </c>
      <c r="CK32">
        <v>14280</v>
      </c>
      <c r="CL32">
        <v>18</v>
      </c>
      <c r="CM32">
        <v>15120</v>
      </c>
      <c r="CN32">
        <v>44</v>
      </c>
      <c r="CO32">
        <v>36960</v>
      </c>
      <c r="CP32">
        <v>49</v>
      </c>
      <c r="CQ32">
        <v>41160</v>
      </c>
      <c r="CR32">
        <v>50</v>
      </c>
      <c r="CS32">
        <v>42000</v>
      </c>
      <c r="CT32">
        <v>36</v>
      </c>
      <c r="CU32">
        <v>30240</v>
      </c>
    </row>
    <row r="33" spans="2:99" x14ac:dyDescent="0.2">
      <c r="C33" s="116" t="s">
        <v>199</v>
      </c>
      <c r="D33">
        <v>10</v>
      </c>
      <c r="E33">
        <v>4740</v>
      </c>
      <c r="F33">
        <v>13</v>
      </c>
      <c r="G33">
        <v>6162</v>
      </c>
      <c r="H33">
        <v>9</v>
      </c>
      <c r="I33">
        <v>4266</v>
      </c>
      <c r="J33">
        <v>12</v>
      </c>
      <c r="K33">
        <v>5688</v>
      </c>
      <c r="L33">
        <v>51</v>
      </c>
      <c r="M33">
        <v>24174</v>
      </c>
      <c r="N33">
        <v>46</v>
      </c>
      <c r="O33">
        <v>21804</v>
      </c>
      <c r="P33">
        <v>48</v>
      </c>
      <c r="Q33">
        <v>22752</v>
      </c>
      <c r="R33">
        <v>32</v>
      </c>
      <c r="S33">
        <v>15168</v>
      </c>
      <c r="T33">
        <v>27</v>
      </c>
      <c r="U33">
        <v>12798</v>
      </c>
      <c r="V33">
        <v>20</v>
      </c>
      <c r="W33">
        <v>9480</v>
      </c>
      <c r="X33">
        <v>26</v>
      </c>
      <c r="Y33">
        <v>12324</v>
      </c>
      <c r="Z33">
        <v>31</v>
      </c>
      <c r="AA33">
        <v>14694</v>
      </c>
      <c r="AB33">
        <v>8</v>
      </c>
      <c r="AC33">
        <v>3792</v>
      </c>
      <c r="AD33">
        <v>13</v>
      </c>
      <c r="AE33">
        <v>6162</v>
      </c>
      <c r="AF33">
        <v>11</v>
      </c>
      <c r="AG33">
        <v>5214</v>
      </c>
      <c r="AH33">
        <v>12</v>
      </c>
      <c r="AI33">
        <v>5688</v>
      </c>
      <c r="AJ33">
        <v>16</v>
      </c>
      <c r="AK33">
        <v>7584</v>
      </c>
      <c r="AL33">
        <v>18</v>
      </c>
      <c r="AM33">
        <v>8532</v>
      </c>
      <c r="AN33">
        <v>18</v>
      </c>
      <c r="AO33">
        <v>8532</v>
      </c>
      <c r="AP33">
        <v>25</v>
      </c>
      <c r="AQ33">
        <v>11850</v>
      </c>
      <c r="AR33">
        <v>14</v>
      </c>
      <c r="AS33">
        <v>6636</v>
      </c>
      <c r="AT33">
        <v>14</v>
      </c>
      <c r="AU33">
        <v>6636</v>
      </c>
      <c r="AV33">
        <v>17</v>
      </c>
      <c r="AW33">
        <v>8058</v>
      </c>
      <c r="AX33">
        <v>11</v>
      </c>
      <c r="AY33">
        <v>5214</v>
      </c>
      <c r="AZ33">
        <v>40</v>
      </c>
      <c r="BA33">
        <v>18960</v>
      </c>
      <c r="BB33">
        <v>47</v>
      </c>
      <c r="BC33">
        <v>22278</v>
      </c>
      <c r="BD33">
        <v>22</v>
      </c>
      <c r="BE33">
        <v>10428</v>
      </c>
      <c r="BF33">
        <v>39</v>
      </c>
      <c r="BG33">
        <v>18486</v>
      </c>
      <c r="BH33">
        <v>20</v>
      </c>
      <c r="BI33">
        <v>9480</v>
      </c>
      <c r="BJ33">
        <v>14</v>
      </c>
      <c r="BK33">
        <v>6636</v>
      </c>
      <c r="BL33">
        <v>14</v>
      </c>
      <c r="BM33">
        <v>6636</v>
      </c>
      <c r="BN33">
        <v>11</v>
      </c>
      <c r="BO33">
        <v>5214</v>
      </c>
      <c r="BP33">
        <v>66</v>
      </c>
      <c r="BQ33">
        <v>31284</v>
      </c>
      <c r="BR33">
        <v>41</v>
      </c>
      <c r="BS33">
        <v>19434</v>
      </c>
      <c r="BT33">
        <v>60</v>
      </c>
      <c r="BU33">
        <v>28440</v>
      </c>
      <c r="BV33">
        <v>85</v>
      </c>
      <c r="BW33">
        <v>40290</v>
      </c>
      <c r="BX33">
        <v>17</v>
      </c>
      <c r="BY33">
        <v>8058</v>
      </c>
      <c r="BZ33">
        <v>24</v>
      </c>
      <c r="CA33">
        <v>11376</v>
      </c>
      <c r="CB33">
        <v>17</v>
      </c>
      <c r="CC33">
        <v>8058</v>
      </c>
      <c r="CD33">
        <v>13</v>
      </c>
      <c r="CE33">
        <v>6162</v>
      </c>
      <c r="CF33">
        <v>17</v>
      </c>
      <c r="CG33">
        <v>8058</v>
      </c>
      <c r="CH33">
        <v>11</v>
      </c>
      <c r="CI33">
        <v>5214</v>
      </c>
      <c r="CJ33">
        <v>19</v>
      </c>
      <c r="CK33">
        <v>9006</v>
      </c>
      <c r="CL33">
        <v>17</v>
      </c>
      <c r="CM33">
        <v>8058</v>
      </c>
      <c r="CN33">
        <v>49</v>
      </c>
      <c r="CO33">
        <v>23226</v>
      </c>
      <c r="CP33">
        <v>57</v>
      </c>
      <c r="CQ33">
        <v>27018</v>
      </c>
      <c r="CR33">
        <v>49</v>
      </c>
      <c r="CS33">
        <v>23226</v>
      </c>
      <c r="CT33">
        <v>38</v>
      </c>
      <c r="CU33">
        <v>18012</v>
      </c>
    </row>
    <row r="34" spans="2:99" x14ac:dyDescent="0.2">
      <c r="C34" s="116" t="s">
        <v>200</v>
      </c>
      <c r="D34">
        <v>9</v>
      </c>
      <c r="E34">
        <v>4935.5999999999995</v>
      </c>
      <c r="F34">
        <v>13</v>
      </c>
      <c r="G34">
        <v>7129.2</v>
      </c>
      <c r="H34">
        <v>10</v>
      </c>
      <c r="I34">
        <v>5484</v>
      </c>
      <c r="J34">
        <v>11</v>
      </c>
      <c r="K34">
        <v>6032.4</v>
      </c>
      <c r="L34">
        <v>57</v>
      </c>
      <c r="M34">
        <v>31258.799999999999</v>
      </c>
      <c r="N34">
        <v>44</v>
      </c>
      <c r="O34">
        <v>24129.599999999999</v>
      </c>
      <c r="P34">
        <v>46</v>
      </c>
      <c r="Q34">
        <v>25226.399999999998</v>
      </c>
      <c r="R34">
        <v>34</v>
      </c>
      <c r="S34">
        <v>18645.599999999999</v>
      </c>
      <c r="T34">
        <v>29</v>
      </c>
      <c r="U34">
        <v>15903.599999999999</v>
      </c>
      <c r="V34">
        <v>19</v>
      </c>
      <c r="W34">
        <v>10419.6</v>
      </c>
      <c r="X34">
        <v>26</v>
      </c>
      <c r="Y34">
        <v>14258.4</v>
      </c>
      <c r="Z34">
        <v>28</v>
      </c>
      <c r="AA34">
        <v>15355.199999999999</v>
      </c>
      <c r="AB34">
        <v>8</v>
      </c>
      <c r="AC34">
        <v>4387.2</v>
      </c>
      <c r="AD34">
        <v>15</v>
      </c>
      <c r="AE34">
        <v>8226</v>
      </c>
      <c r="AF34">
        <v>11</v>
      </c>
      <c r="AG34">
        <v>6032.4</v>
      </c>
      <c r="AH34">
        <v>13</v>
      </c>
      <c r="AI34">
        <v>7129.2</v>
      </c>
      <c r="AJ34">
        <v>18</v>
      </c>
      <c r="AK34">
        <v>9871.1999999999989</v>
      </c>
      <c r="AL34">
        <v>21</v>
      </c>
      <c r="AM34">
        <v>11516.4</v>
      </c>
      <c r="AN34">
        <v>16</v>
      </c>
      <c r="AO34">
        <v>8774.4</v>
      </c>
      <c r="AP34">
        <v>21</v>
      </c>
      <c r="AQ34">
        <v>11516.4</v>
      </c>
      <c r="AR34">
        <v>11</v>
      </c>
      <c r="AS34">
        <v>6032.4</v>
      </c>
      <c r="AT34">
        <v>14</v>
      </c>
      <c r="AU34">
        <v>7677.5999999999995</v>
      </c>
      <c r="AV34">
        <v>15</v>
      </c>
      <c r="AW34">
        <v>8226</v>
      </c>
      <c r="AX34">
        <v>12</v>
      </c>
      <c r="AY34">
        <v>6580.7999999999993</v>
      </c>
      <c r="AZ34">
        <v>39</v>
      </c>
      <c r="BA34">
        <v>21387.599999999999</v>
      </c>
      <c r="BB34">
        <v>40</v>
      </c>
      <c r="BC34">
        <v>21936</v>
      </c>
      <c r="BD34">
        <v>22</v>
      </c>
      <c r="BE34">
        <v>12064.8</v>
      </c>
      <c r="BF34">
        <v>40</v>
      </c>
      <c r="BG34">
        <v>21936</v>
      </c>
      <c r="BH34">
        <v>21</v>
      </c>
      <c r="BI34">
        <v>11516.4</v>
      </c>
      <c r="BJ34">
        <v>16</v>
      </c>
      <c r="BK34">
        <v>8774.4</v>
      </c>
      <c r="BL34">
        <v>16</v>
      </c>
      <c r="BM34">
        <v>8774.4</v>
      </c>
      <c r="BN34">
        <v>10</v>
      </c>
      <c r="BO34">
        <v>5484</v>
      </c>
      <c r="BP34">
        <v>58</v>
      </c>
      <c r="BQ34">
        <v>31807.199999999997</v>
      </c>
      <c r="BR34">
        <v>44</v>
      </c>
      <c r="BS34">
        <v>24129.599999999999</v>
      </c>
      <c r="BT34">
        <v>61</v>
      </c>
      <c r="BU34">
        <v>33452.400000000001</v>
      </c>
      <c r="BV34">
        <v>83</v>
      </c>
      <c r="BW34">
        <v>45517.2</v>
      </c>
      <c r="BX34">
        <v>15</v>
      </c>
      <c r="BY34">
        <v>8226</v>
      </c>
      <c r="BZ34">
        <v>21</v>
      </c>
      <c r="CA34">
        <v>11516.4</v>
      </c>
      <c r="CB34">
        <v>15</v>
      </c>
      <c r="CC34">
        <v>8226</v>
      </c>
      <c r="CD34">
        <v>16</v>
      </c>
      <c r="CE34">
        <v>8774.4</v>
      </c>
      <c r="CF34">
        <v>17</v>
      </c>
      <c r="CG34">
        <v>9322.7999999999993</v>
      </c>
      <c r="CH34">
        <v>11</v>
      </c>
      <c r="CI34">
        <v>6032.4</v>
      </c>
      <c r="CJ34">
        <v>18</v>
      </c>
      <c r="CK34">
        <v>9871.1999999999989</v>
      </c>
      <c r="CL34">
        <v>17</v>
      </c>
      <c r="CM34">
        <v>9322.7999999999993</v>
      </c>
      <c r="CN34">
        <v>47</v>
      </c>
      <c r="CO34">
        <v>25774.799999999999</v>
      </c>
      <c r="CP34">
        <v>55</v>
      </c>
      <c r="CQ34">
        <v>30162</v>
      </c>
      <c r="CR34">
        <v>45</v>
      </c>
      <c r="CS34">
        <v>24678</v>
      </c>
      <c r="CT34">
        <v>39</v>
      </c>
      <c r="CU34">
        <v>21387.599999999999</v>
      </c>
    </row>
    <row r="35" spans="2:99" x14ac:dyDescent="0.2">
      <c r="C35" s="116" t="s">
        <v>201</v>
      </c>
      <c r="D35">
        <v>9</v>
      </c>
      <c r="E35">
        <v>4525.1999999999989</v>
      </c>
      <c r="F35">
        <v>13</v>
      </c>
      <c r="G35">
        <v>6536.3999999999987</v>
      </c>
      <c r="H35">
        <v>10</v>
      </c>
      <c r="I35">
        <v>5027.9999999999991</v>
      </c>
      <c r="J35">
        <v>12</v>
      </c>
      <c r="K35">
        <v>6033.5999999999985</v>
      </c>
      <c r="L35">
        <v>51</v>
      </c>
      <c r="M35">
        <v>25642.799999999996</v>
      </c>
      <c r="N35">
        <v>41</v>
      </c>
      <c r="O35">
        <v>20614.799999999996</v>
      </c>
      <c r="P35">
        <v>53</v>
      </c>
      <c r="Q35">
        <v>26648.399999999994</v>
      </c>
      <c r="R35">
        <v>36</v>
      </c>
      <c r="S35">
        <v>18100.799999999996</v>
      </c>
      <c r="T35">
        <v>31</v>
      </c>
      <c r="U35">
        <v>15586.799999999997</v>
      </c>
      <c r="V35">
        <v>19</v>
      </c>
      <c r="W35">
        <v>9553.1999999999989</v>
      </c>
      <c r="X35">
        <v>25</v>
      </c>
      <c r="Y35">
        <v>12569.999999999998</v>
      </c>
      <c r="Z35">
        <v>32</v>
      </c>
      <c r="AA35">
        <v>16089.599999999997</v>
      </c>
      <c r="AB35">
        <v>8</v>
      </c>
      <c r="AC35">
        <v>4022.3999999999992</v>
      </c>
      <c r="AD35">
        <v>14</v>
      </c>
      <c r="AE35">
        <v>7039.1999999999989</v>
      </c>
      <c r="AF35">
        <v>10</v>
      </c>
      <c r="AG35">
        <v>5027.9999999999991</v>
      </c>
      <c r="AH35">
        <v>12</v>
      </c>
      <c r="AI35">
        <v>6033.5999999999985</v>
      </c>
      <c r="AJ35">
        <v>15</v>
      </c>
      <c r="AK35">
        <v>7541.9999999999982</v>
      </c>
      <c r="AL35">
        <v>18</v>
      </c>
      <c r="AM35">
        <v>9050.3999999999978</v>
      </c>
      <c r="AN35">
        <v>18</v>
      </c>
      <c r="AO35">
        <v>9050.3999999999978</v>
      </c>
      <c r="AP35">
        <v>22</v>
      </c>
      <c r="AQ35">
        <v>11061.599999999999</v>
      </c>
      <c r="AR35">
        <v>12</v>
      </c>
      <c r="AS35">
        <v>6033.5999999999985</v>
      </c>
      <c r="AT35">
        <v>14</v>
      </c>
      <c r="AU35">
        <v>7039.1999999999989</v>
      </c>
      <c r="AV35">
        <v>17</v>
      </c>
      <c r="AW35">
        <v>8547.5999999999985</v>
      </c>
      <c r="AX35">
        <v>11</v>
      </c>
      <c r="AY35">
        <v>5530.7999999999993</v>
      </c>
      <c r="AZ35">
        <v>46</v>
      </c>
      <c r="BA35">
        <v>23128.799999999996</v>
      </c>
      <c r="BB35">
        <v>41</v>
      </c>
      <c r="BC35">
        <v>20614.799999999996</v>
      </c>
      <c r="BD35">
        <v>26</v>
      </c>
      <c r="BE35">
        <v>13072.799999999997</v>
      </c>
      <c r="BF35">
        <v>43</v>
      </c>
      <c r="BG35">
        <v>21620.399999999994</v>
      </c>
      <c r="BH35">
        <v>19</v>
      </c>
      <c r="BI35">
        <v>9553.1999999999989</v>
      </c>
      <c r="BJ35">
        <v>16</v>
      </c>
      <c r="BK35">
        <v>8044.7999999999984</v>
      </c>
      <c r="BL35">
        <v>13</v>
      </c>
      <c r="BM35">
        <v>6536.3999999999987</v>
      </c>
      <c r="BN35">
        <v>10</v>
      </c>
      <c r="BO35">
        <v>5027.9999999999991</v>
      </c>
      <c r="BP35">
        <v>66</v>
      </c>
      <c r="BQ35">
        <v>33184.799999999996</v>
      </c>
      <c r="BR35">
        <v>47</v>
      </c>
      <c r="BS35">
        <v>23631.599999999995</v>
      </c>
      <c r="BT35">
        <v>58</v>
      </c>
      <c r="BU35">
        <v>29162.399999999994</v>
      </c>
      <c r="BV35">
        <v>81</v>
      </c>
      <c r="BW35">
        <v>40726.799999999988</v>
      </c>
      <c r="BX35">
        <v>17</v>
      </c>
      <c r="BY35">
        <v>8547.5999999999985</v>
      </c>
      <c r="BZ35">
        <v>22</v>
      </c>
      <c r="CA35">
        <v>11061.599999999999</v>
      </c>
      <c r="CB35">
        <v>17</v>
      </c>
      <c r="CC35">
        <v>8547.5999999999985</v>
      </c>
      <c r="CD35">
        <v>14</v>
      </c>
      <c r="CE35">
        <v>7039.1999999999989</v>
      </c>
      <c r="CF35">
        <v>19</v>
      </c>
      <c r="CG35">
        <v>9553.1999999999989</v>
      </c>
      <c r="CH35">
        <v>11</v>
      </c>
      <c r="CI35">
        <v>5530.7999999999993</v>
      </c>
      <c r="CJ35">
        <v>18</v>
      </c>
      <c r="CK35">
        <v>9050.3999999999978</v>
      </c>
      <c r="CL35">
        <v>17</v>
      </c>
      <c r="CM35">
        <v>8547.5999999999985</v>
      </c>
      <c r="CN35">
        <v>50</v>
      </c>
      <c r="CO35">
        <v>25139.999999999996</v>
      </c>
      <c r="CP35">
        <v>51</v>
      </c>
      <c r="CQ35">
        <v>25642.799999999996</v>
      </c>
      <c r="CR35">
        <v>52</v>
      </c>
      <c r="CS35">
        <v>26145.599999999995</v>
      </c>
      <c r="CT35">
        <v>36</v>
      </c>
      <c r="CU35">
        <v>18100.799999999996</v>
      </c>
    </row>
    <row r="36" spans="2:99" x14ac:dyDescent="0.2">
      <c r="C36" s="116" t="s">
        <v>202</v>
      </c>
      <c r="D36">
        <v>10</v>
      </c>
      <c r="E36">
        <v>7608</v>
      </c>
      <c r="F36">
        <v>11</v>
      </c>
      <c r="G36">
        <v>8368.7999999999993</v>
      </c>
      <c r="H36">
        <v>9</v>
      </c>
      <c r="I36">
        <v>6847.2</v>
      </c>
      <c r="J36">
        <v>14</v>
      </c>
      <c r="K36">
        <v>10651.199999999999</v>
      </c>
      <c r="L36">
        <v>59</v>
      </c>
      <c r="M36">
        <v>44887.199999999997</v>
      </c>
      <c r="N36">
        <v>47</v>
      </c>
      <c r="O36">
        <v>35757.599999999999</v>
      </c>
      <c r="P36">
        <v>48</v>
      </c>
      <c r="Q36">
        <v>36518.399999999994</v>
      </c>
      <c r="R36">
        <v>32</v>
      </c>
      <c r="S36">
        <v>24345.599999999999</v>
      </c>
      <c r="T36">
        <v>32</v>
      </c>
      <c r="U36">
        <v>24345.599999999999</v>
      </c>
      <c r="V36">
        <v>20</v>
      </c>
      <c r="W36">
        <v>15216</v>
      </c>
      <c r="X36">
        <v>24</v>
      </c>
      <c r="Y36">
        <v>18259.199999999997</v>
      </c>
      <c r="Z36">
        <v>31</v>
      </c>
      <c r="AA36">
        <v>23584.799999999999</v>
      </c>
      <c r="AB36">
        <v>8</v>
      </c>
      <c r="AC36">
        <v>6086.4</v>
      </c>
      <c r="AD36">
        <v>13</v>
      </c>
      <c r="AE36">
        <v>9890.4</v>
      </c>
      <c r="AF36">
        <v>10</v>
      </c>
      <c r="AG36">
        <v>7608</v>
      </c>
      <c r="AH36">
        <v>11</v>
      </c>
      <c r="AI36">
        <v>8368.7999999999993</v>
      </c>
      <c r="AJ36">
        <v>16</v>
      </c>
      <c r="AK36">
        <v>12172.8</v>
      </c>
      <c r="AL36">
        <v>19</v>
      </c>
      <c r="AM36">
        <v>14455.199999999999</v>
      </c>
      <c r="AN36">
        <v>16</v>
      </c>
      <c r="AO36">
        <v>12172.8</v>
      </c>
      <c r="AP36">
        <v>24</v>
      </c>
      <c r="AQ36">
        <v>18259.199999999997</v>
      </c>
      <c r="AR36">
        <v>11</v>
      </c>
      <c r="AS36">
        <v>8368.7999999999993</v>
      </c>
      <c r="AT36">
        <v>15</v>
      </c>
      <c r="AU36">
        <v>11412</v>
      </c>
      <c r="AV36">
        <v>17</v>
      </c>
      <c r="AW36">
        <v>12933.599999999999</v>
      </c>
      <c r="AX36">
        <v>12</v>
      </c>
      <c r="AY36">
        <v>9129.5999999999985</v>
      </c>
      <c r="AZ36">
        <v>44</v>
      </c>
      <c r="BA36">
        <v>33475.199999999997</v>
      </c>
      <c r="BB36">
        <v>45</v>
      </c>
      <c r="BC36">
        <v>34236</v>
      </c>
      <c r="BD36">
        <v>23</v>
      </c>
      <c r="BE36">
        <v>17498.399999999998</v>
      </c>
      <c r="BF36">
        <v>39</v>
      </c>
      <c r="BG36">
        <v>29671.199999999997</v>
      </c>
      <c r="BH36">
        <v>17</v>
      </c>
      <c r="BI36">
        <v>12933.599999999999</v>
      </c>
      <c r="BJ36">
        <v>13</v>
      </c>
      <c r="BK36">
        <v>9890.4</v>
      </c>
      <c r="BL36">
        <v>15</v>
      </c>
      <c r="BM36">
        <v>11412</v>
      </c>
      <c r="BN36">
        <v>9</v>
      </c>
      <c r="BO36">
        <v>6847.2</v>
      </c>
      <c r="BP36">
        <v>61</v>
      </c>
      <c r="BQ36">
        <v>46408.799999999996</v>
      </c>
      <c r="BR36">
        <v>43</v>
      </c>
      <c r="BS36">
        <v>32714.399999999998</v>
      </c>
      <c r="BT36">
        <v>55</v>
      </c>
      <c r="BU36">
        <v>41844</v>
      </c>
      <c r="BV36">
        <v>74</v>
      </c>
      <c r="BW36">
        <v>56299.199999999997</v>
      </c>
      <c r="BX36">
        <v>17</v>
      </c>
      <c r="BY36">
        <v>12933.599999999999</v>
      </c>
      <c r="BZ36">
        <v>22</v>
      </c>
      <c r="CA36">
        <v>16737.599999999999</v>
      </c>
      <c r="CB36">
        <v>16</v>
      </c>
      <c r="CC36">
        <v>12172.8</v>
      </c>
      <c r="CD36">
        <v>16</v>
      </c>
      <c r="CE36">
        <v>12172.8</v>
      </c>
      <c r="CF36">
        <v>18</v>
      </c>
      <c r="CG36">
        <v>13694.4</v>
      </c>
      <c r="CH36">
        <v>11</v>
      </c>
      <c r="CI36">
        <v>8368.7999999999993</v>
      </c>
      <c r="CJ36">
        <v>15</v>
      </c>
      <c r="CK36">
        <v>11412</v>
      </c>
      <c r="CL36">
        <v>19</v>
      </c>
      <c r="CM36">
        <v>14455.199999999999</v>
      </c>
      <c r="CN36">
        <v>51</v>
      </c>
      <c r="CO36">
        <v>38800.799999999996</v>
      </c>
      <c r="CP36">
        <v>56</v>
      </c>
      <c r="CQ36">
        <v>42604.799999999996</v>
      </c>
      <c r="CR36">
        <v>45</v>
      </c>
      <c r="CS36">
        <v>34236</v>
      </c>
      <c r="CT36">
        <v>38</v>
      </c>
      <c r="CU36">
        <v>28910.399999999998</v>
      </c>
    </row>
    <row r="37" spans="2:99" x14ac:dyDescent="0.2">
      <c r="B37" s="116" t="s">
        <v>128</v>
      </c>
      <c r="C37" s="116" t="s">
        <v>203</v>
      </c>
      <c r="D37">
        <v>134</v>
      </c>
      <c r="E37">
        <v>115293.59999999999</v>
      </c>
      <c r="F37">
        <v>121</v>
      </c>
      <c r="G37">
        <v>104108.4</v>
      </c>
      <c r="H37">
        <v>132</v>
      </c>
      <c r="I37">
        <v>113572.8</v>
      </c>
      <c r="J37">
        <v>85</v>
      </c>
      <c r="K37">
        <v>73134</v>
      </c>
      <c r="L37">
        <v>92</v>
      </c>
      <c r="M37">
        <v>79156.800000000003</v>
      </c>
      <c r="N37">
        <v>73</v>
      </c>
      <c r="O37">
        <v>62809.2</v>
      </c>
      <c r="P37">
        <v>76</v>
      </c>
      <c r="Q37">
        <v>65390.400000000001</v>
      </c>
      <c r="R37">
        <v>59</v>
      </c>
      <c r="S37">
        <v>50763.6</v>
      </c>
      <c r="T37">
        <v>11</v>
      </c>
      <c r="U37">
        <v>9464.4</v>
      </c>
      <c r="V37">
        <v>10</v>
      </c>
      <c r="W37">
        <v>8604</v>
      </c>
      <c r="X37">
        <v>6</v>
      </c>
      <c r="Y37">
        <v>5162.3999999999996</v>
      </c>
      <c r="Z37">
        <v>11</v>
      </c>
      <c r="AA37">
        <v>9464.4</v>
      </c>
      <c r="AB37">
        <v>25</v>
      </c>
      <c r="AC37">
        <v>21510</v>
      </c>
      <c r="AD37">
        <v>24</v>
      </c>
      <c r="AE37">
        <v>20649.599999999999</v>
      </c>
      <c r="AF37">
        <v>22</v>
      </c>
      <c r="AG37">
        <v>18928.8</v>
      </c>
      <c r="AH37">
        <v>36</v>
      </c>
      <c r="AI37">
        <v>30974.399999999998</v>
      </c>
      <c r="AJ37">
        <v>79</v>
      </c>
      <c r="AK37">
        <v>67971.599999999991</v>
      </c>
      <c r="AL37">
        <v>96</v>
      </c>
      <c r="AM37">
        <v>82598.399999999994</v>
      </c>
      <c r="AN37">
        <v>109</v>
      </c>
      <c r="AO37">
        <v>93783.599999999991</v>
      </c>
      <c r="AP37">
        <v>66</v>
      </c>
      <c r="AQ37">
        <v>56786.400000000001</v>
      </c>
      <c r="AR37">
        <v>79</v>
      </c>
      <c r="AS37">
        <v>67971.599999999991</v>
      </c>
      <c r="AT37">
        <v>56</v>
      </c>
      <c r="AU37">
        <v>48182.400000000001</v>
      </c>
      <c r="AV37">
        <v>75</v>
      </c>
      <c r="AW37">
        <v>64530</v>
      </c>
      <c r="AX37">
        <v>39</v>
      </c>
      <c r="AY37">
        <v>33555.599999999999</v>
      </c>
      <c r="AZ37">
        <v>78</v>
      </c>
      <c r="BA37">
        <v>67111.199999999997</v>
      </c>
      <c r="BB37">
        <v>74</v>
      </c>
      <c r="BC37">
        <v>63669.599999999999</v>
      </c>
      <c r="BD37">
        <v>101</v>
      </c>
      <c r="BE37">
        <v>86900.4</v>
      </c>
      <c r="BF37">
        <v>75</v>
      </c>
      <c r="BG37">
        <v>64530</v>
      </c>
      <c r="BH37">
        <v>58</v>
      </c>
      <c r="BI37">
        <v>49903.199999999997</v>
      </c>
      <c r="BJ37">
        <v>44</v>
      </c>
      <c r="BK37">
        <v>37857.599999999999</v>
      </c>
      <c r="BL37">
        <v>43</v>
      </c>
      <c r="BM37">
        <v>36997.199999999997</v>
      </c>
      <c r="BN37">
        <v>65</v>
      </c>
      <c r="BO37">
        <v>55926</v>
      </c>
      <c r="BP37">
        <v>17</v>
      </c>
      <c r="BQ37">
        <v>14626.8</v>
      </c>
      <c r="BR37">
        <v>31</v>
      </c>
      <c r="BS37">
        <v>26672.399999999998</v>
      </c>
      <c r="BT37">
        <v>17</v>
      </c>
      <c r="BU37">
        <v>14626.8</v>
      </c>
      <c r="BV37">
        <v>23</v>
      </c>
      <c r="BW37">
        <v>19789.2</v>
      </c>
      <c r="BX37">
        <v>61</v>
      </c>
      <c r="BY37">
        <v>52484.4</v>
      </c>
      <c r="BZ37">
        <v>49</v>
      </c>
      <c r="CA37">
        <v>42159.6</v>
      </c>
      <c r="CB37">
        <v>59</v>
      </c>
      <c r="CC37">
        <v>50763.6</v>
      </c>
      <c r="CD37">
        <v>61</v>
      </c>
      <c r="CE37">
        <v>52484.4</v>
      </c>
      <c r="CF37">
        <v>24</v>
      </c>
      <c r="CG37">
        <v>20649.599999999999</v>
      </c>
      <c r="CH37">
        <v>25</v>
      </c>
      <c r="CI37">
        <v>21510</v>
      </c>
      <c r="CJ37">
        <v>21</v>
      </c>
      <c r="CK37">
        <v>18068.399999999998</v>
      </c>
      <c r="CL37">
        <v>26</v>
      </c>
      <c r="CM37">
        <v>22370.399999999998</v>
      </c>
      <c r="CN37">
        <v>10</v>
      </c>
      <c r="CO37">
        <v>8604</v>
      </c>
      <c r="CP37">
        <v>6</v>
      </c>
      <c r="CQ37">
        <v>5162.3999999999996</v>
      </c>
      <c r="CR37">
        <v>6</v>
      </c>
      <c r="CS37">
        <v>5162.3999999999996</v>
      </c>
      <c r="CT37">
        <v>10</v>
      </c>
      <c r="CU37">
        <v>8604</v>
      </c>
    </row>
    <row r="38" spans="2:99" x14ac:dyDescent="0.2">
      <c r="C38" s="116" t="s">
        <v>204</v>
      </c>
      <c r="D38">
        <v>111</v>
      </c>
      <c r="E38">
        <v>137862</v>
      </c>
      <c r="F38">
        <v>108</v>
      </c>
      <c r="G38">
        <v>134136</v>
      </c>
      <c r="H38">
        <v>118</v>
      </c>
      <c r="I38">
        <v>146556</v>
      </c>
      <c r="J38">
        <v>75</v>
      </c>
      <c r="K38">
        <v>93150</v>
      </c>
      <c r="L38">
        <v>73</v>
      </c>
      <c r="M38">
        <v>90666</v>
      </c>
      <c r="N38">
        <v>65</v>
      </c>
      <c r="O38">
        <v>80730</v>
      </c>
      <c r="P38">
        <v>64</v>
      </c>
      <c r="Q38">
        <v>79488</v>
      </c>
      <c r="R38">
        <v>51</v>
      </c>
      <c r="S38">
        <v>63342</v>
      </c>
      <c r="T38">
        <v>10</v>
      </c>
      <c r="U38">
        <v>12420</v>
      </c>
      <c r="V38">
        <v>9</v>
      </c>
      <c r="W38">
        <v>11178</v>
      </c>
      <c r="X38">
        <v>6</v>
      </c>
      <c r="Y38">
        <v>7452</v>
      </c>
      <c r="Z38">
        <v>10</v>
      </c>
      <c r="AA38">
        <v>12420</v>
      </c>
      <c r="AB38">
        <v>24</v>
      </c>
      <c r="AC38">
        <v>29808</v>
      </c>
      <c r="AD38">
        <v>22</v>
      </c>
      <c r="AE38">
        <v>27324</v>
      </c>
      <c r="AF38">
        <v>23</v>
      </c>
      <c r="AG38">
        <v>28566</v>
      </c>
      <c r="AH38">
        <v>33</v>
      </c>
      <c r="AI38">
        <v>40986</v>
      </c>
      <c r="AJ38">
        <v>72</v>
      </c>
      <c r="AK38">
        <v>89424</v>
      </c>
      <c r="AL38">
        <v>85</v>
      </c>
      <c r="AM38">
        <v>105570</v>
      </c>
      <c r="AN38">
        <v>88</v>
      </c>
      <c r="AO38">
        <v>109296</v>
      </c>
      <c r="AP38">
        <v>69</v>
      </c>
      <c r="AQ38">
        <v>85698</v>
      </c>
      <c r="AR38">
        <v>76</v>
      </c>
      <c r="AS38">
        <v>94392</v>
      </c>
      <c r="AT38">
        <v>56</v>
      </c>
      <c r="AU38">
        <v>69552</v>
      </c>
      <c r="AV38">
        <v>75</v>
      </c>
      <c r="AW38">
        <v>93150</v>
      </c>
      <c r="AX38">
        <v>44</v>
      </c>
      <c r="AY38">
        <v>54648</v>
      </c>
      <c r="AZ38">
        <v>73</v>
      </c>
      <c r="BA38">
        <v>90666</v>
      </c>
      <c r="BB38">
        <v>73</v>
      </c>
      <c r="BC38">
        <v>90666</v>
      </c>
      <c r="BD38">
        <v>90</v>
      </c>
      <c r="BE38">
        <v>111780</v>
      </c>
      <c r="BF38">
        <v>66</v>
      </c>
      <c r="BG38">
        <v>81972</v>
      </c>
      <c r="BH38">
        <v>59</v>
      </c>
      <c r="BI38">
        <v>73278</v>
      </c>
      <c r="BJ38">
        <v>42</v>
      </c>
      <c r="BK38">
        <v>52164</v>
      </c>
      <c r="BL38">
        <v>42</v>
      </c>
      <c r="BM38">
        <v>52164</v>
      </c>
      <c r="BN38">
        <v>66</v>
      </c>
      <c r="BO38">
        <v>81972</v>
      </c>
      <c r="BP38">
        <v>20</v>
      </c>
      <c r="BQ38">
        <v>24840</v>
      </c>
      <c r="BR38">
        <v>27</v>
      </c>
      <c r="BS38">
        <v>33534</v>
      </c>
      <c r="BT38">
        <v>15</v>
      </c>
      <c r="BU38">
        <v>18630</v>
      </c>
      <c r="BV38">
        <v>22</v>
      </c>
      <c r="BW38">
        <v>27324</v>
      </c>
      <c r="BX38">
        <v>49</v>
      </c>
      <c r="BY38">
        <v>60858</v>
      </c>
      <c r="BZ38">
        <v>46</v>
      </c>
      <c r="CA38">
        <v>57132</v>
      </c>
      <c r="CB38">
        <v>54</v>
      </c>
      <c r="CC38">
        <v>67068</v>
      </c>
      <c r="CD38">
        <v>62</v>
      </c>
      <c r="CE38">
        <v>77004</v>
      </c>
      <c r="CF38">
        <v>20</v>
      </c>
      <c r="CG38">
        <v>24840</v>
      </c>
      <c r="CH38">
        <v>20</v>
      </c>
      <c r="CI38">
        <v>24840</v>
      </c>
      <c r="CJ38">
        <v>21</v>
      </c>
      <c r="CK38">
        <v>26082</v>
      </c>
      <c r="CL38">
        <v>27</v>
      </c>
      <c r="CM38">
        <v>33534</v>
      </c>
      <c r="CN38">
        <v>9</v>
      </c>
      <c r="CO38">
        <v>11178</v>
      </c>
      <c r="CP38">
        <v>5</v>
      </c>
      <c r="CQ38">
        <v>6210</v>
      </c>
      <c r="CR38">
        <v>7</v>
      </c>
      <c r="CS38">
        <v>8694</v>
      </c>
      <c r="CT38">
        <v>10</v>
      </c>
      <c r="CU38">
        <v>12420</v>
      </c>
    </row>
    <row r="39" spans="2:99" x14ac:dyDescent="0.2">
      <c r="C39" s="116" t="s">
        <v>205</v>
      </c>
      <c r="D39">
        <v>103</v>
      </c>
      <c r="E39">
        <v>146589.6</v>
      </c>
      <c r="F39">
        <v>110</v>
      </c>
      <c r="G39">
        <v>156552</v>
      </c>
      <c r="H39">
        <v>117</v>
      </c>
      <c r="I39">
        <v>166514.4</v>
      </c>
      <c r="J39">
        <v>68</v>
      </c>
      <c r="K39">
        <v>96777.600000000006</v>
      </c>
      <c r="L39">
        <v>76</v>
      </c>
      <c r="M39">
        <v>108163.2</v>
      </c>
      <c r="N39">
        <v>69</v>
      </c>
      <c r="O39">
        <v>98200.8</v>
      </c>
      <c r="P39">
        <v>61</v>
      </c>
      <c r="Q39">
        <v>86815.2</v>
      </c>
      <c r="R39">
        <v>52</v>
      </c>
      <c r="S39">
        <v>74006.400000000009</v>
      </c>
      <c r="T39">
        <v>9</v>
      </c>
      <c r="U39">
        <v>12808.800000000001</v>
      </c>
      <c r="V39">
        <v>10</v>
      </c>
      <c r="W39">
        <v>14232</v>
      </c>
      <c r="X39">
        <v>7</v>
      </c>
      <c r="Y39">
        <v>9962.4</v>
      </c>
      <c r="Z39">
        <v>10</v>
      </c>
      <c r="AA39">
        <v>14232</v>
      </c>
      <c r="AB39">
        <v>25</v>
      </c>
      <c r="AC39">
        <v>35580</v>
      </c>
      <c r="AD39">
        <v>23</v>
      </c>
      <c r="AE39">
        <v>32733.600000000002</v>
      </c>
      <c r="AF39">
        <v>21</v>
      </c>
      <c r="AG39">
        <v>29887.200000000001</v>
      </c>
      <c r="AH39">
        <v>29</v>
      </c>
      <c r="AI39">
        <v>41272.800000000003</v>
      </c>
      <c r="AJ39">
        <v>65</v>
      </c>
      <c r="AK39">
        <v>92508</v>
      </c>
      <c r="AL39">
        <v>85</v>
      </c>
      <c r="AM39">
        <v>120972</v>
      </c>
      <c r="AN39">
        <v>88</v>
      </c>
      <c r="AO39">
        <v>125241.60000000001</v>
      </c>
      <c r="AP39">
        <v>59</v>
      </c>
      <c r="AQ39">
        <v>83968.8</v>
      </c>
      <c r="AR39">
        <v>66</v>
      </c>
      <c r="AS39">
        <v>93931.199999999997</v>
      </c>
      <c r="AT39">
        <v>54</v>
      </c>
      <c r="AU39">
        <v>76852.800000000003</v>
      </c>
      <c r="AV39">
        <v>70</v>
      </c>
      <c r="AW39">
        <v>99624</v>
      </c>
      <c r="AX39">
        <v>38</v>
      </c>
      <c r="AY39">
        <v>54081.599999999999</v>
      </c>
      <c r="AZ39">
        <v>70</v>
      </c>
      <c r="BA39">
        <v>99624</v>
      </c>
      <c r="BB39">
        <v>70</v>
      </c>
      <c r="BC39">
        <v>99624</v>
      </c>
      <c r="BD39">
        <v>81</v>
      </c>
      <c r="BE39">
        <v>115279.2</v>
      </c>
      <c r="BF39">
        <v>65</v>
      </c>
      <c r="BG39">
        <v>92508</v>
      </c>
      <c r="BH39">
        <v>53</v>
      </c>
      <c r="BI39">
        <v>75429.600000000006</v>
      </c>
      <c r="BJ39">
        <v>48</v>
      </c>
      <c r="BK39">
        <v>68313.600000000006</v>
      </c>
      <c r="BL39">
        <v>42</v>
      </c>
      <c r="BM39">
        <v>59774.400000000001</v>
      </c>
      <c r="BN39">
        <v>60</v>
      </c>
      <c r="BO39">
        <v>85392</v>
      </c>
      <c r="BP39">
        <v>19</v>
      </c>
      <c r="BQ39">
        <v>27040.799999999999</v>
      </c>
      <c r="BR39">
        <v>29</v>
      </c>
      <c r="BS39">
        <v>41272.800000000003</v>
      </c>
      <c r="BT39">
        <v>18</v>
      </c>
      <c r="BU39">
        <v>25617.600000000002</v>
      </c>
      <c r="BV39">
        <v>23</v>
      </c>
      <c r="BW39">
        <v>32733.600000000002</v>
      </c>
      <c r="BX39">
        <v>53</v>
      </c>
      <c r="BY39">
        <v>75429.600000000006</v>
      </c>
      <c r="BZ39">
        <v>49</v>
      </c>
      <c r="CA39">
        <v>69736.800000000003</v>
      </c>
      <c r="CB39">
        <v>56</v>
      </c>
      <c r="CC39">
        <v>79699.199999999997</v>
      </c>
      <c r="CD39">
        <v>58</v>
      </c>
      <c r="CE39">
        <v>82545.600000000006</v>
      </c>
      <c r="CF39">
        <v>23</v>
      </c>
      <c r="CG39">
        <v>32733.600000000002</v>
      </c>
      <c r="CH39">
        <v>20</v>
      </c>
      <c r="CI39">
        <v>28464</v>
      </c>
      <c r="CJ39">
        <v>21</v>
      </c>
      <c r="CK39">
        <v>29887.200000000001</v>
      </c>
      <c r="CL39">
        <v>27</v>
      </c>
      <c r="CM39">
        <v>38426.400000000001</v>
      </c>
      <c r="CN39">
        <v>8</v>
      </c>
      <c r="CO39">
        <v>11385.6</v>
      </c>
      <c r="CP39">
        <v>6</v>
      </c>
      <c r="CQ39">
        <v>8539.2000000000007</v>
      </c>
      <c r="CR39">
        <v>7</v>
      </c>
      <c r="CS39">
        <v>9962.4</v>
      </c>
      <c r="CT39">
        <v>9</v>
      </c>
      <c r="CU39">
        <v>12808.800000000001</v>
      </c>
    </row>
    <row r="40" spans="2:99" x14ac:dyDescent="0.2">
      <c r="C40" s="116" t="s">
        <v>206</v>
      </c>
      <c r="D40">
        <v>130</v>
      </c>
      <c r="E40">
        <v>94224</v>
      </c>
      <c r="F40">
        <v>105</v>
      </c>
      <c r="G40">
        <v>76104</v>
      </c>
      <c r="H40">
        <v>119</v>
      </c>
      <c r="I40">
        <v>86251.199999999997</v>
      </c>
      <c r="J40">
        <v>87</v>
      </c>
      <c r="K40">
        <v>63057.599999999999</v>
      </c>
      <c r="L40">
        <v>89</v>
      </c>
      <c r="M40">
        <v>64507.199999999997</v>
      </c>
      <c r="N40">
        <v>79</v>
      </c>
      <c r="O40">
        <v>57259.199999999997</v>
      </c>
      <c r="P40">
        <v>78</v>
      </c>
      <c r="Q40">
        <v>56534.399999999994</v>
      </c>
      <c r="R40">
        <v>58</v>
      </c>
      <c r="S40">
        <v>42038.399999999994</v>
      </c>
      <c r="T40">
        <v>11</v>
      </c>
      <c r="U40">
        <v>7972.7999999999993</v>
      </c>
      <c r="V40">
        <v>11</v>
      </c>
      <c r="W40">
        <v>7972.7999999999993</v>
      </c>
      <c r="X40">
        <v>7</v>
      </c>
      <c r="Y40">
        <v>5073.5999999999995</v>
      </c>
      <c r="Z40">
        <v>11</v>
      </c>
      <c r="AA40">
        <v>7972.7999999999993</v>
      </c>
      <c r="AB40">
        <v>30</v>
      </c>
      <c r="AC40">
        <v>21744</v>
      </c>
      <c r="AD40">
        <v>24</v>
      </c>
      <c r="AE40">
        <v>17395.199999999997</v>
      </c>
      <c r="AF40">
        <v>23</v>
      </c>
      <c r="AG40">
        <v>16670.399999999998</v>
      </c>
      <c r="AH40">
        <v>31</v>
      </c>
      <c r="AI40">
        <v>22468.799999999999</v>
      </c>
      <c r="AJ40">
        <v>77</v>
      </c>
      <c r="AK40">
        <v>55809.599999999999</v>
      </c>
      <c r="AL40">
        <v>100</v>
      </c>
      <c r="AM40">
        <v>72480</v>
      </c>
      <c r="AN40">
        <v>104</v>
      </c>
      <c r="AO40">
        <v>75379.199999999997</v>
      </c>
      <c r="AP40">
        <v>65</v>
      </c>
      <c r="AQ40">
        <v>47112</v>
      </c>
      <c r="AR40">
        <v>70</v>
      </c>
      <c r="AS40">
        <v>50736</v>
      </c>
      <c r="AT40">
        <v>58</v>
      </c>
      <c r="AU40">
        <v>42038.399999999994</v>
      </c>
      <c r="AV40">
        <v>82</v>
      </c>
      <c r="AW40">
        <v>59433.599999999999</v>
      </c>
      <c r="AX40">
        <v>40</v>
      </c>
      <c r="AY40">
        <v>28992</v>
      </c>
      <c r="AZ40">
        <v>76</v>
      </c>
      <c r="BA40">
        <v>55084.799999999996</v>
      </c>
      <c r="BB40">
        <v>75</v>
      </c>
      <c r="BC40">
        <v>54360</v>
      </c>
      <c r="BD40">
        <v>98</v>
      </c>
      <c r="BE40">
        <v>71030.399999999994</v>
      </c>
      <c r="BF40">
        <v>76</v>
      </c>
      <c r="BG40">
        <v>55084.799999999996</v>
      </c>
      <c r="BH40">
        <v>66</v>
      </c>
      <c r="BI40">
        <v>47836.799999999996</v>
      </c>
      <c r="BJ40">
        <v>53</v>
      </c>
      <c r="BK40">
        <v>38414.399999999994</v>
      </c>
      <c r="BL40">
        <v>43</v>
      </c>
      <c r="BM40">
        <v>31166.399999999998</v>
      </c>
      <c r="BN40">
        <v>62</v>
      </c>
      <c r="BO40">
        <v>44937.599999999999</v>
      </c>
      <c r="BP40">
        <v>19</v>
      </c>
      <c r="BQ40">
        <v>13771.199999999999</v>
      </c>
      <c r="BR40">
        <v>31</v>
      </c>
      <c r="BS40">
        <v>22468.799999999999</v>
      </c>
      <c r="BT40">
        <v>16</v>
      </c>
      <c r="BU40">
        <v>11596.8</v>
      </c>
      <c r="BV40">
        <v>21</v>
      </c>
      <c r="BW40">
        <v>15220.8</v>
      </c>
      <c r="BX40">
        <v>63</v>
      </c>
      <c r="BY40">
        <v>45662.399999999994</v>
      </c>
      <c r="BZ40">
        <v>47</v>
      </c>
      <c r="CA40">
        <v>34065.599999999999</v>
      </c>
      <c r="CB40">
        <v>58</v>
      </c>
      <c r="CC40">
        <v>42038.399999999994</v>
      </c>
      <c r="CD40">
        <v>70</v>
      </c>
      <c r="CE40">
        <v>50736</v>
      </c>
      <c r="CF40">
        <v>22</v>
      </c>
      <c r="CG40">
        <v>15945.599999999999</v>
      </c>
      <c r="CH40">
        <v>25</v>
      </c>
      <c r="CI40">
        <v>18120</v>
      </c>
      <c r="CJ40">
        <v>24</v>
      </c>
      <c r="CK40">
        <v>17395.199999999997</v>
      </c>
      <c r="CL40">
        <v>25</v>
      </c>
      <c r="CM40">
        <v>18120</v>
      </c>
      <c r="CN40">
        <v>10</v>
      </c>
      <c r="CO40">
        <v>7248</v>
      </c>
      <c r="CP40">
        <v>6</v>
      </c>
      <c r="CQ40">
        <v>4348.7999999999993</v>
      </c>
      <c r="CR40">
        <v>7</v>
      </c>
      <c r="CS40">
        <v>5073.5999999999995</v>
      </c>
      <c r="CT40">
        <v>9</v>
      </c>
      <c r="CU40">
        <v>6523.2</v>
      </c>
    </row>
    <row r="41" spans="2:99" x14ac:dyDescent="0.2">
      <c r="C41" s="116" t="s">
        <v>207</v>
      </c>
      <c r="D41">
        <v>122</v>
      </c>
      <c r="E41">
        <v>80520</v>
      </c>
      <c r="F41">
        <v>121</v>
      </c>
      <c r="G41">
        <v>79860</v>
      </c>
      <c r="H41">
        <v>117</v>
      </c>
      <c r="I41">
        <v>77220</v>
      </c>
      <c r="J41">
        <v>81</v>
      </c>
      <c r="K41">
        <v>53460</v>
      </c>
      <c r="L41">
        <v>96</v>
      </c>
      <c r="M41">
        <v>63360</v>
      </c>
      <c r="N41">
        <v>73</v>
      </c>
      <c r="O41">
        <v>48180</v>
      </c>
      <c r="P41">
        <v>70</v>
      </c>
      <c r="Q41">
        <v>46200</v>
      </c>
      <c r="R41">
        <v>57</v>
      </c>
      <c r="S41">
        <v>37620</v>
      </c>
      <c r="T41">
        <v>10</v>
      </c>
      <c r="U41">
        <v>6600</v>
      </c>
      <c r="V41">
        <v>9</v>
      </c>
      <c r="W41">
        <v>5940</v>
      </c>
      <c r="X41">
        <v>7</v>
      </c>
      <c r="Y41">
        <v>4620</v>
      </c>
      <c r="Z41">
        <v>11</v>
      </c>
      <c r="AA41">
        <v>7260</v>
      </c>
      <c r="AB41">
        <v>27</v>
      </c>
      <c r="AC41">
        <v>17820</v>
      </c>
      <c r="AD41">
        <v>23</v>
      </c>
      <c r="AE41">
        <v>15180</v>
      </c>
      <c r="AF41">
        <v>21</v>
      </c>
      <c r="AG41">
        <v>13860</v>
      </c>
      <c r="AH41">
        <v>32</v>
      </c>
      <c r="AI41">
        <v>21120</v>
      </c>
      <c r="AJ41">
        <v>89</v>
      </c>
      <c r="AK41">
        <v>58740</v>
      </c>
      <c r="AL41">
        <v>86</v>
      </c>
      <c r="AM41">
        <v>56760</v>
      </c>
      <c r="AN41">
        <v>97</v>
      </c>
      <c r="AO41">
        <v>64020</v>
      </c>
      <c r="AP41">
        <v>76</v>
      </c>
      <c r="AQ41">
        <v>50160</v>
      </c>
      <c r="AR41">
        <v>77</v>
      </c>
      <c r="AS41">
        <v>50820</v>
      </c>
      <c r="AT41">
        <v>67</v>
      </c>
      <c r="AU41">
        <v>44220</v>
      </c>
      <c r="AV41">
        <v>83</v>
      </c>
      <c r="AW41">
        <v>54780</v>
      </c>
      <c r="AX41">
        <v>45</v>
      </c>
      <c r="AY41">
        <v>29700</v>
      </c>
      <c r="AZ41">
        <v>70</v>
      </c>
      <c r="BA41">
        <v>46200</v>
      </c>
      <c r="BB41">
        <v>82</v>
      </c>
      <c r="BC41">
        <v>54120</v>
      </c>
      <c r="BD41">
        <v>91</v>
      </c>
      <c r="BE41">
        <v>60060</v>
      </c>
      <c r="BF41">
        <v>74</v>
      </c>
      <c r="BG41">
        <v>48840</v>
      </c>
      <c r="BH41">
        <v>62</v>
      </c>
      <c r="BI41">
        <v>40920</v>
      </c>
      <c r="BJ41">
        <v>47</v>
      </c>
      <c r="BK41">
        <v>31020</v>
      </c>
      <c r="BL41">
        <v>48</v>
      </c>
      <c r="BM41">
        <v>31680</v>
      </c>
      <c r="BN41">
        <v>72</v>
      </c>
      <c r="BO41">
        <v>47520</v>
      </c>
      <c r="BP41">
        <v>20</v>
      </c>
      <c r="BQ41">
        <v>13200</v>
      </c>
      <c r="BR41">
        <v>27</v>
      </c>
      <c r="BS41">
        <v>17820</v>
      </c>
      <c r="BT41">
        <v>18</v>
      </c>
      <c r="BU41">
        <v>11880</v>
      </c>
      <c r="BV41">
        <v>24</v>
      </c>
      <c r="BW41">
        <v>15840</v>
      </c>
      <c r="BX41">
        <v>59</v>
      </c>
      <c r="BY41">
        <v>38940</v>
      </c>
      <c r="BZ41">
        <v>55</v>
      </c>
      <c r="CA41">
        <v>36300</v>
      </c>
      <c r="CB41">
        <v>59</v>
      </c>
      <c r="CC41">
        <v>38940</v>
      </c>
      <c r="CD41">
        <v>65</v>
      </c>
      <c r="CE41">
        <v>42900</v>
      </c>
      <c r="CF41">
        <v>23</v>
      </c>
      <c r="CG41">
        <v>15180</v>
      </c>
      <c r="CH41">
        <v>22</v>
      </c>
      <c r="CI41">
        <v>14520</v>
      </c>
      <c r="CJ41">
        <v>22</v>
      </c>
      <c r="CK41">
        <v>14520</v>
      </c>
      <c r="CL41">
        <v>24</v>
      </c>
      <c r="CM41">
        <v>15840</v>
      </c>
      <c r="CN41">
        <v>9</v>
      </c>
      <c r="CO41">
        <v>5940</v>
      </c>
      <c r="CP41">
        <v>7</v>
      </c>
      <c r="CQ41">
        <v>4620</v>
      </c>
      <c r="CR41">
        <v>6</v>
      </c>
      <c r="CS41">
        <v>3960</v>
      </c>
      <c r="CT41">
        <v>9</v>
      </c>
      <c r="CU41">
        <v>5940</v>
      </c>
    </row>
    <row r="42" spans="2:99" x14ac:dyDescent="0.2">
      <c r="C42" s="116" t="s">
        <v>208</v>
      </c>
      <c r="D42">
        <v>124</v>
      </c>
      <c r="E42">
        <v>104904</v>
      </c>
      <c r="F42">
        <v>117</v>
      </c>
      <c r="G42">
        <v>98982</v>
      </c>
      <c r="H42">
        <v>135</v>
      </c>
      <c r="I42">
        <v>114210</v>
      </c>
      <c r="J42">
        <v>81</v>
      </c>
      <c r="K42">
        <v>68526</v>
      </c>
      <c r="L42">
        <v>78</v>
      </c>
      <c r="M42">
        <v>65988</v>
      </c>
      <c r="N42">
        <v>74</v>
      </c>
      <c r="O42">
        <v>62604</v>
      </c>
      <c r="P42">
        <v>78</v>
      </c>
      <c r="Q42">
        <v>65988</v>
      </c>
      <c r="R42">
        <v>60</v>
      </c>
      <c r="S42">
        <v>50760</v>
      </c>
      <c r="T42">
        <v>11</v>
      </c>
      <c r="U42">
        <v>9306</v>
      </c>
      <c r="V42">
        <v>9</v>
      </c>
      <c r="W42">
        <v>7614</v>
      </c>
      <c r="X42">
        <v>6</v>
      </c>
      <c r="Y42">
        <v>5076</v>
      </c>
      <c r="Z42">
        <v>11</v>
      </c>
      <c r="AA42">
        <v>9306</v>
      </c>
      <c r="AB42">
        <v>28</v>
      </c>
      <c r="AC42">
        <v>23688</v>
      </c>
      <c r="AD42">
        <v>24</v>
      </c>
      <c r="AE42">
        <v>20304</v>
      </c>
      <c r="AF42">
        <v>22</v>
      </c>
      <c r="AG42">
        <v>18612</v>
      </c>
      <c r="AH42">
        <v>31</v>
      </c>
      <c r="AI42">
        <v>26226</v>
      </c>
      <c r="AJ42">
        <v>73</v>
      </c>
      <c r="AK42">
        <v>61758</v>
      </c>
      <c r="AL42">
        <v>93</v>
      </c>
      <c r="AM42">
        <v>78678</v>
      </c>
      <c r="AN42">
        <v>100</v>
      </c>
      <c r="AO42">
        <v>84600</v>
      </c>
      <c r="AP42">
        <v>77</v>
      </c>
      <c r="AQ42">
        <v>65142</v>
      </c>
      <c r="AR42">
        <v>78</v>
      </c>
      <c r="AS42">
        <v>65988</v>
      </c>
      <c r="AT42">
        <v>54</v>
      </c>
      <c r="AU42">
        <v>45684</v>
      </c>
      <c r="AV42">
        <v>69</v>
      </c>
      <c r="AW42">
        <v>58374</v>
      </c>
      <c r="AX42">
        <v>39</v>
      </c>
      <c r="AY42">
        <v>32994</v>
      </c>
      <c r="AZ42">
        <v>72</v>
      </c>
      <c r="BA42">
        <v>60912</v>
      </c>
      <c r="BB42">
        <v>75</v>
      </c>
      <c r="BC42">
        <v>63450</v>
      </c>
      <c r="BD42">
        <v>106</v>
      </c>
      <c r="BE42">
        <v>89676</v>
      </c>
      <c r="BF42">
        <v>66</v>
      </c>
      <c r="BG42">
        <v>55836</v>
      </c>
      <c r="BH42">
        <v>57</v>
      </c>
      <c r="BI42">
        <v>48222</v>
      </c>
      <c r="BJ42">
        <v>44</v>
      </c>
      <c r="BK42">
        <v>37224</v>
      </c>
      <c r="BL42">
        <v>47</v>
      </c>
      <c r="BM42">
        <v>39762</v>
      </c>
      <c r="BN42">
        <v>70</v>
      </c>
      <c r="BO42">
        <v>59220</v>
      </c>
      <c r="BP42">
        <v>19</v>
      </c>
      <c r="BQ42">
        <v>16074</v>
      </c>
      <c r="BR42">
        <v>29</v>
      </c>
      <c r="BS42">
        <v>24534</v>
      </c>
      <c r="BT42">
        <v>16</v>
      </c>
      <c r="BU42">
        <v>13536</v>
      </c>
      <c r="BV42">
        <v>21</v>
      </c>
      <c r="BW42">
        <v>17766</v>
      </c>
      <c r="BX42">
        <v>55</v>
      </c>
      <c r="BY42">
        <v>46530</v>
      </c>
      <c r="BZ42">
        <v>52</v>
      </c>
      <c r="CA42">
        <v>43992</v>
      </c>
      <c r="CB42">
        <v>60</v>
      </c>
      <c r="CC42">
        <v>50760</v>
      </c>
      <c r="CD42">
        <v>62</v>
      </c>
      <c r="CE42">
        <v>52452</v>
      </c>
      <c r="CF42">
        <v>24</v>
      </c>
      <c r="CG42">
        <v>20304</v>
      </c>
      <c r="CH42">
        <v>24</v>
      </c>
      <c r="CI42">
        <v>20304</v>
      </c>
      <c r="CJ42">
        <v>24</v>
      </c>
      <c r="CK42">
        <v>20304</v>
      </c>
      <c r="CL42">
        <v>28</v>
      </c>
      <c r="CM42">
        <v>23688</v>
      </c>
      <c r="CN42">
        <v>9</v>
      </c>
      <c r="CO42">
        <v>7614</v>
      </c>
      <c r="CP42">
        <v>6</v>
      </c>
      <c r="CQ42">
        <v>5076</v>
      </c>
      <c r="CR42">
        <v>7</v>
      </c>
      <c r="CS42">
        <v>5922</v>
      </c>
      <c r="CT42">
        <v>10</v>
      </c>
      <c r="CU42">
        <v>8460</v>
      </c>
    </row>
    <row r="43" spans="2:99" x14ac:dyDescent="0.2">
      <c r="C43" s="116" t="s">
        <v>209</v>
      </c>
      <c r="D43">
        <v>112</v>
      </c>
      <c r="E43">
        <v>114508.8</v>
      </c>
      <c r="F43">
        <v>107</v>
      </c>
      <c r="G43">
        <v>109396.8</v>
      </c>
      <c r="H43">
        <v>111</v>
      </c>
      <c r="I43">
        <v>113486.39999999999</v>
      </c>
      <c r="J43">
        <v>76</v>
      </c>
      <c r="K43">
        <v>77702.399999999994</v>
      </c>
      <c r="L43">
        <v>90</v>
      </c>
      <c r="M43">
        <v>92016</v>
      </c>
      <c r="N43">
        <v>72</v>
      </c>
      <c r="O43">
        <v>73612.800000000003</v>
      </c>
      <c r="P43">
        <v>67</v>
      </c>
      <c r="Q43">
        <v>68500.800000000003</v>
      </c>
      <c r="R43">
        <v>53</v>
      </c>
      <c r="S43">
        <v>54187.199999999997</v>
      </c>
      <c r="T43">
        <v>11</v>
      </c>
      <c r="U43">
        <v>11246.4</v>
      </c>
      <c r="V43">
        <v>9</v>
      </c>
      <c r="W43">
        <v>9201.6</v>
      </c>
      <c r="X43">
        <v>7</v>
      </c>
      <c r="Y43">
        <v>7156.8</v>
      </c>
      <c r="Z43">
        <v>10</v>
      </c>
      <c r="AA43">
        <v>10224</v>
      </c>
      <c r="AB43">
        <v>28</v>
      </c>
      <c r="AC43">
        <v>28627.200000000001</v>
      </c>
      <c r="AD43">
        <v>26</v>
      </c>
      <c r="AE43">
        <v>26582.399999999998</v>
      </c>
      <c r="AF43">
        <v>22</v>
      </c>
      <c r="AG43">
        <v>22492.799999999999</v>
      </c>
      <c r="AH43">
        <v>36</v>
      </c>
      <c r="AI43">
        <v>36806.400000000001</v>
      </c>
      <c r="AJ43">
        <v>78</v>
      </c>
      <c r="AK43">
        <v>79747.199999999997</v>
      </c>
      <c r="AL43">
        <v>81</v>
      </c>
      <c r="AM43">
        <v>82814.399999999994</v>
      </c>
      <c r="AN43">
        <v>97</v>
      </c>
      <c r="AO43">
        <v>99172.800000000003</v>
      </c>
      <c r="AP43">
        <v>75</v>
      </c>
      <c r="AQ43">
        <v>76680</v>
      </c>
      <c r="AR43">
        <v>71</v>
      </c>
      <c r="AS43">
        <v>72590.399999999994</v>
      </c>
      <c r="AT43">
        <v>63</v>
      </c>
      <c r="AU43">
        <v>64411.199999999997</v>
      </c>
      <c r="AV43">
        <v>80</v>
      </c>
      <c r="AW43">
        <v>81792</v>
      </c>
      <c r="AX43">
        <v>42</v>
      </c>
      <c r="AY43">
        <v>42940.799999999996</v>
      </c>
      <c r="AZ43">
        <v>73</v>
      </c>
      <c r="BA43">
        <v>74635.199999999997</v>
      </c>
      <c r="BB43">
        <v>67</v>
      </c>
      <c r="BC43">
        <v>68500.800000000003</v>
      </c>
      <c r="BD43">
        <v>94</v>
      </c>
      <c r="BE43">
        <v>96105.599999999991</v>
      </c>
      <c r="BF43">
        <v>64</v>
      </c>
      <c r="BG43">
        <v>65433.599999999999</v>
      </c>
      <c r="BH43">
        <v>60</v>
      </c>
      <c r="BI43">
        <v>61344</v>
      </c>
      <c r="BJ43">
        <v>48</v>
      </c>
      <c r="BK43">
        <v>49075.199999999997</v>
      </c>
      <c r="BL43">
        <v>47</v>
      </c>
      <c r="BM43">
        <v>48052.799999999996</v>
      </c>
      <c r="BN43">
        <v>69</v>
      </c>
      <c r="BO43">
        <v>70545.599999999991</v>
      </c>
      <c r="BP43">
        <v>20</v>
      </c>
      <c r="BQ43">
        <v>20448</v>
      </c>
      <c r="BR43">
        <v>27</v>
      </c>
      <c r="BS43">
        <v>27604.799999999999</v>
      </c>
      <c r="BT43">
        <v>19</v>
      </c>
      <c r="BU43">
        <v>19425.599999999999</v>
      </c>
      <c r="BV43">
        <v>22</v>
      </c>
      <c r="BW43">
        <v>22492.799999999999</v>
      </c>
      <c r="BX43">
        <v>61</v>
      </c>
      <c r="BY43">
        <v>62366.400000000001</v>
      </c>
      <c r="BZ43">
        <v>49</v>
      </c>
      <c r="CA43">
        <v>50097.599999999999</v>
      </c>
      <c r="CB43">
        <v>68</v>
      </c>
      <c r="CC43">
        <v>69523.199999999997</v>
      </c>
      <c r="CD43">
        <v>60</v>
      </c>
      <c r="CE43">
        <v>61344</v>
      </c>
      <c r="CF43">
        <v>22</v>
      </c>
      <c r="CG43">
        <v>22492.799999999999</v>
      </c>
      <c r="CH43">
        <v>23</v>
      </c>
      <c r="CI43">
        <v>23515.200000000001</v>
      </c>
      <c r="CJ43">
        <v>23</v>
      </c>
      <c r="CK43">
        <v>23515.200000000001</v>
      </c>
      <c r="CL43">
        <v>26</v>
      </c>
      <c r="CM43">
        <v>26582.399999999998</v>
      </c>
      <c r="CN43">
        <v>8</v>
      </c>
      <c r="CO43">
        <v>8179.2</v>
      </c>
      <c r="CP43">
        <v>6</v>
      </c>
      <c r="CQ43">
        <v>6134.4</v>
      </c>
      <c r="CR43">
        <v>6</v>
      </c>
      <c r="CS43">
        <v>6134.4</v>
      </c>
      <c r="CT43">
        <v>9</v>
      </c>
      <c r="CU43">
        <v>9201.6</v>
      </c>
    </row>
    <row r="44" spans="2:99" x14ac:dyDescent="0.2">
      <c r="C44" s="116" t="s">
        <v>210</v>
      </c>
      <c r="D44">
        <v>130</v>
      </c>
      <c r="E44">
        <v>132912</v>
      </c>
      <c r="F44">
        <v>115</v>
      </c>
      <c r="G44">
        <v>117576</v>
      </c>
      <c r="H44">
        <v>121</v>
      </c>
      <c r="I44">
        <v>123710.39999999999</v>
      </c>
      <c r="J44">
        <v>69</v>
      </c>
      <c r="K44">
        <v>70545.599999999991</v>
      </c>
      <c r="L44">
        <v>81</v>
      </c>
      <c r="M44">
        <v>82814.399999999994</v>
      </c>
      <c r="N44">
        <v>67</v>
      </c>
      <c r="O44">
        <v>68500.800000000003</v>
      </c>
      <c r="P44">
        <v>67</v>
      </c>
      <c r="Q44">
        <v>68500.800000000003</v>
      </c>
      <c r="R44">
        <v>54</v>
      </c>
      <c r="S44">
        <v>55209.599999999999</v>
      </c>
      <c r="T44">
        <v>10</v>
      </c>
      <c r="U44">
        <v>10224</v>
      </c>
      <c r="V44">
        <v>9</v>
      </c>
      <c r="W44">
        <v>9201.6</v>
      </c>
      <c r="X44">
        <v>7</v>
      </c>
      <c r="Y44">
        <v>7156.8</v>
      </c>
      <c r="Z44">
        <v>10</v>
      </c>
      <c r="AA44">
        <v>10224</v>
      </c>
      <c r="AB44">
        <v>25</v>
      </c>
      <c r="AC44">
        <v>25560</v>
      </c>
      <c r="AD44">
        <v>25</v>
      </c>
      <c r="AE44">
        <v>25560</v>
      </c>
      <c r="AF44">
        <v>23</v>
      </c>
      <c r="AG44">
        <v>23515.200000000001</v>
      </c>
      <c r="AH44">
        <v>30</v>
      </c>
      <c r="AI44">
        <v>30672</v>
      </c>
      <c r="AJ44">
        <v>74</v>
      </c>
      <c r="AK44">
        <v>75657.599999999991</v>
      </c>
      <c r="AL44">
        <v>84</v>
      </c>
      <c r="AM44">
        <v>85881.599999999991</v>
      </c>
      <c r="AN44">
        <v>89</v>
      </c>
      <c r="AO44">
        <v>90993.599999999991</v>
      </c>
      <c r="AP44">
        <v>63</v>
      </c>
      <c r="AQ44">
        <v>64411.199999999997</v>
      </c>
      <c r="AR44">
        <v>73</v>
      </c>
      <c r="AS44">
        <v>74635.199999999997</v>
      </c>
      <c r="AT44">
        <v>57</v>
      </c>
      <c r="AU44">
        <v>58276.799999999996</v>
      </c>
      <c r="AV44">
        <v>68</v>
      </c>
      <c r="AW44">
        <v>69523.199999999997</v>
      </c>
      <c r="AX44">
        <v>44</v>
      </c>
      <c r="AY44">
        <v>44985.599999999999</v>
      </c>
      <c r="AZ44">
        <v>73</v>
      </c>
      <c r="BA44">
        <v>74635.199999999997</v>
      </c>
      <c r="BB44">
        <v>75</v>
      </c>
      <c r="BC44">
        <v>76680</v>
      </c>
      <c r="BD44">
        <v>98</v>
      </c>
      <c r="BE44">
        <v>100195.2</v>
      </c>
      <c r="BF44">
        <v>69</v>
      </c>
      <c r="BG44">
        <v>70545.599999999991</v>
      </c>
      <c r="BH44">
        <v>59</v>
      </c>
      <c r="BI44">
        <v>60321.599999999999</v>
      </c>
      <c r="BJ44">
        <v>50</v>
      </c>
      <c r="BK44">
        <v>51120</v>
      </c>
      <c r="BL44">
        <v>42</v>
      </c>
      <c r="BM44">
        <v>42940.799999999996</v>
      </c>
      <c r="BN44">
        <v>64</v>
      </c>
      <c r="BO44">
        <v>65433.599999999999</v>
      </c>
      <c r="BP44">
        <v>18</v>
      </c>
      <c r="BQ44">
        <v>18403.2</v>
      </c>
      <c r="BR44">
        <v>28</v>
      </c>
      <c r="BS44">
        <v>28627.200000000001</v>
      </c>
      <c r="BT44">
        <v>18</v>
      </c>
      <c r="BU44">
        <v>18403.2</v>
      </c>
      <c r="BV44">
        <v>20</v>
      </c>
      <c r="BW44">
        <v>20448</v>
      </c>
      <c r="BX44">
        <v>58</v>
      </c>
      <c r="BY44">
        <v>59299.199999999997</v>
      </c>
      <c r="BZ44">
        <v>47</v>
      </c>
      <c r="CA44">
        <v>48052.799999999996</v>
      </c>
      <c r="CB44">
        <v>67</v>
      </c>
      <c r="CC44">
        <v>68500.800000000003</v>
      </c>
      <c r="CD44">
        <v>69</v>
      </c>
      <c r="CE44">
        <v>70545.599999999991</v>
      </c>
      <c r="CF44">
        <v>20</v>
      </c>
      <c r="CG44">
        <v>20448</v>
      </c>
      <c r="CH44">
        <v>24</v>
      </c>
      <c r="CI44">
        <v>24537.599999999999</v>
      </c>
      <c r="CJ44">
        <v>21</v>
      </c>
      <c r="CK44">
        <v>21470.399999999998</v>
      </c>
      <c r="CL44">
        <v>25</v>
      </c>
      <c r="CM44">
        <v>25560</v>
      </c>
      <c r="CN44">
        <v>9</v>
      </c>
      <c r="CO44">
        <v>9201.6</v>
      </c>
      <c r="CP44">
        <v>6</v>
      </c>
      <c r="CQ44">
        <v>6134.4</v>
      </c>
      <c r="CR44">
        <v>7</v>
      </c>
      <c r="CS44">
        <v>7156.8</v>
      </c>
      <c r="CT44">
        <v>10</v>
      </c>
      <c r="CU44">
        <v>10224</v>
      </c>
    </row>
    <row r="45" spans="2:99" x14ac:dyDescent="0.2">
      <c r="C45" s="116" t="s">
        <v>211</v>
      </c>
      <c r="D45">
        <v>115</v>
      </c>
      <c r="E45">
        <v>143658</v>
      </c>
      <c r="F45">
        <v>115</v>
      </c>
      <c r="G45">
        <v>143658</v>
      </c>
      <c r="H45">
        <v>103</v>
      </c>
      <c r="I45">
        <v>128667.6</v>
      </c>
      <c r="J45">
        <v>74</v>
      </c>
      <c r="K45">
        <v>92440.8</v>
      </c>
      <c r="L45">
        <v>87</v>
      </c>
      <c r="M45">
        <v>108680.40000000001</v>
      </c>
      <c r="N45">
        <v>64</v>
      </c>
      <c r="O45">
        <v>79948.800000000003</v>
      </c>
      <c r="P45">
        <v>68</v>
      </c>
      <c r="Q45">
        <v>84945.600000000006</v>
      </c>
      <c r="R45">
        <v>56</v>
      </c>
      <c r="S45">
        <v>69955.199999999997</v>
      </c>
      <c r="T45">
        <v>11</v>
      </c>
      <c r="U45">
        <v>13741.2</v>
      </c>
      <c r="V45">
        <v>10</v>
      </c>
      <c r="W45">
        <v>12492</v>
      </c>
      <c r="X45">
        <v>7</v>
      </c>
      <c r="Y45">
        <v>8744.4</v>
      </c>
      <c r="Z45">
        <v>9</v>
      </c>
      <c r="AA45">
        <v>11242.800000000001</v>
      </c>
      <c r="AB45">
        <v>27</v>
      </c>
      <c r="AC45">
        <v>33728.400000000001</v>
      </c>
      <c r="AD45">
        <v>26</v>
      </c>
      <c r="AE45">
        <v>32479.200000000001</v>
      </c>
      <c r="AF45">
        <v>23</v>
      </c>
      <c r="AG45">
        <v>28731.600000000002</v>
      </c>
      <c r="AH45">
        <v>32</v>
      </c>
      <c r="AI45">
        <v>39974.400000000001</v>
      </c>
      <c r="AJ45">
        <v>80</v>
      </c>
      <c r="AK45">
        <v>99936</v>
      </c>
      <c r="AL45">
        <v>94</v>
      </c>
      <c r="AM45">
        <v>117424.8</v>
      </c>
      <c r="AN45">
        <v>93</v>
      </c>
      <c r="AO45">
        <v>116175.6</v>
      </c>
      <c r="AP45">
        <v>66</v>
      </c>
      <c r="AQ45">
        <v>82447.199999999997</v>
      </c>
      <c r="AR45">
        <v>66</v>
      </c>
      <c r="AS45">
        <v>82447.199999999997</v>
      </c>
      <c r="AT45">
        <v>57</v>
      </c>
      <c r="AU45">
        <v>71204.400000000009</v>
      </c>
      <c r="AV45">
        <v>75</v>
      </c>
      <c r="AW45">
        <v>93690</v>
      </c>
      <c r="AX45">
        <v>44</v>
      </c>
      <c r="AY45">
        <v>54964.800000000003</v>
      </c>
      <c r="AZ45">
        <v>63</v>
      </c>
      <c r="BA45">
        <v>78699.600000000006</v>
      </c>
      <c r="BB45">
        <v>72</v>
      </c>
      <c r="BC45">
        <v>89942.400000000009</v>
      </c>
      <c r="BD45">
        <v>87</v>
      </c>
      <c r="BE45">
        <v>108680.40000000001</v>
      </c>
      <c r="BF45">
        <v>68</v>
      </c>
      <c r="BG45">
        <v>84945.600000000006</v>
      </c>
      <c r="BH45">
        <v>54</v>
      </c>
      <c r="BI45">
        <v>67456.800000000003</v>
      </c>
      <c r="BJ45">
        <v>47</v>
      </c>
      <c r="BK45">
        <v>58712.4</v>
      </c>
      <c r="BL45">
        <v>41</v>
      </c>
      <c r="BM45">
        <v>51217.200000000004</v>
      </c>
      <c r="BN45">
        <v>66</v>
      </c>
      <c r="BO45">
        <v>82447.199999999997</v>
      </c>
      <c r="BP45">
        <v>19</v>
      </c>
      <c r="BQ45">
        <v>23734.799999999999</v>
      </c>
      <c r="BR45">
        <v>26</v>
      </c>
      <c r="BS45">
        <v>32479.200000000001</v>
      </c>
      <c r="BT45">
        <v>17</v>
      </c>
      <c r="BU45">
        <v>21236.400000000001</v>
      </c>
      <c r="BV45">
        <v>19</v>
      </c>
      <c r="BW45">
        <v>23734.799999999999</v>
      </c>
      <c r="BX45">
        <v>52</v>
      </c>
      <c r="BY45">
        <v>64958.400000000001</v>
      </c>
      <c r="BZ45">
        <v>52</v>
      </c>
      <c r="CA45">
        <v>64958.400000000001</v>
      </c>
      <c r="CB45">
        <v>65</v>
      </c>
      <c r="CC45">
        <v>81198</v>
      </c>
      <c r="CD45">
        <v>56</v>
      </c>
      <c r="CE45">
        <v>69955.199999999997</v>
      </c>
      <c r="CF45">
        <v>23</v>
      </c>
      <c r="CG45">
        <v>28731.600000000002</v>
      </c>
      <c r="CH45">
        <v>23</v>
      </c>
      <c r="CI45">
        <v>28731.600000000002</v>
      </c>
      <c r="CJ45">
        <v>20</v>
      </c>
      <c r="CK45">
        <v>24984</v>
      </c>
      <c r="CL45">
        <v>24</v>
      </c>
      <c r="CM45">
        <v>29980.800000000003</v>
      </c>
      <c r="CN45">
        <v>9</v>
      </c>
      <c r="CO45">
        <v>11242.800000000001</v>
      </c>
      <c r="CP45">
        <v>6</v>
      </c>
      <c r="CQ45">
        <v>7495.2000000000007</v>
      </c>
      <c r="CR45">
        <v>6</v>
      </c>
      <c r="CS45">
        <v>7495.2000000000007</v>
      </c>
      <c r="CT45">
        <v>10</v>
      </c>
      <c r="CU45">
        <v>12492</v>
      </c>
    </row>
    <row r="46" spans="2:99" x14ac:dyDescent="0.2">
      <c r="C46" s="116" t="s">
        <v>212</v>
      </c>
      <c r="D46">
        <v>104</v>
      </c>
      <c r="E46">
        <v>126048</v>
      </c>
      <c r="F46">
        <v>110</v>
      </c>
      <c r="G46">
        <v>133320</v>
      </c>
      <c r="H46">
        <v>116</v>
      </c>
      <c r="I46">
        <v>140592</v>
      </c>
      <c r="J46">
        <v>66</v>
      </c>
      <c r="K46">
        <v>79992</v>
      </c>
      <c r="L46">
        <v>85</v>
      </c>
      <c r="M46">
        <v>103020</v>
      </c>
      <c r="N46">
        <v>75</v>
      </c>
      <c r="O46">
        <v>90900</v>
      </c>
      <c r="P46">
        <v>69</v>
      </c>
      <c r="Q46">
        <v>83628</v>
      </c>
      <c r="R46">
        <v>48</v>
      </c>
      <c r="S46">
        <v>58176</v>
      </c>
      <c r="T46">
        <v>10</v>
      </c>
      <c r="U46">
        <v>12120</v>
      </c>
      <c r="V46">
        <v>9</v>
      </c>
      <c r="W46">
        <v>10908</v>
      </c>
      <c r="X46">
        <v>7</v>
      </c>
      <c r="Y46">
        <v>8484</v>
      </c>
      <c r="Z46">
        <v>10</v>
      </c>
      <c r="AA46">
        <v>12120</v>
      </c>
      <c r="AB46">
        <v>24</v>
      </c>
      <c r="AC46">
        <v>29088</v>
      </c>
      <c r="AD46">
        <v>22</v>
      </c>
      <c r="AE46">
        <v>26664</v>
      </c>
      <c r="AF46">
        <v>20</v>
      </c>
      <c r="AG46">
        <v>24240</v>
      </c>
      <c r="AH46">
        <v>32</v>
      </c>
      <c r="AI46">
        <v>38784</v>
      </c>
      <c r="AJ46">
        <v>70</v>
      </c>
      <c r="AK46">
        <v>84840</v>
      </c>
      <c r="AL46">
        <v>79</v>
      </c>
      <c r="AM46">
        <v>95748</v>
      </c>
      <c r="AN46">
        <v>100</v>
      </c>
      <c r="AO46">
        <v>121200</v>
      </c>
      <c r="AP46">
        <v>64</v>
      </c>
      <c r="AQ46">
        <v>77568</v>
      </c>
      <c r="AR46">
        <v>73</v>
      </c>
      <c r="AS46">
        <v>88476</v>
      </c>
      <c r="AT46">
        <v>60</v>
      </c>
      <c r="AU46">
        <v>72720</v>
      </c>
      <c r="AV46">
        <v>65</v>
      </c>
      <c r="AW46">
        <v>78780</v>
      </c>
      <c r="AX46">
        <v>37</v>
      </c>
      <c r="AY46">
        <v>44844</v>
      </c>
      <c r="AZ46">
        <v>70</v>
      </c>
      <c r="BA46">
        <v>84840</v>
      </c>
      <c r="BB46">
        <v>66</v>
      </c>
      <c r="BC46">
        <v>79992</v>
      </c>
      <c r="BD46">
        <v>95</v>
      </c>
      <c r="BE46">
        <v>115140</v>
      </c>
      <c r="BF46">
        <v>62</v>
      </c>
      <c r="BG46">
        <v>75144</v>
      </c>
      <c r="BH46">
        <v>56</v>
      </c>
      <c r="BI46">
        <v>67872</v>
      </c>
      <c r="BJ46">
        <v>47</v>
      </c>
      <c r="BK46">
        <v>56964</v>
      </c>
      <c r="BL46">
        <v>43</v>
      </c>
      <c r="BM46">
        <v>52116</v>
      </c>
      <c r="BN46">
        <v>58</v>
      </c>
      <c r="BO46">
        <v>70296</v>
      </c>
      <c r="BP46">
        <v>19</v>
      </c>
      <c r="BQ46">
        <v>23028</v>
      </c>
      <c r="BR46">
        <v>30</v>
      </c>
      <c r="BS46">
        <v>36360</v>
      </c>
      <c r="BT46">
        <v>17</v>
      </c>
      <c r="BU46">
        <v>20604</v>
      </c>
      <c r="BV46">
        <v>22</v>
      </c>
      <c r="BW46">
        <v>26664</v>
      </c>
      <c r="BX46">
        <v>56</v>
      </c>
      <c r="BY46">
        <v>67872</v>
      </c>
      <c r="BZ46">
        <v>46</v>
      </c>
      <c r="CA46">
        <v>55752</v>
      </c>
      <c r="CB46">
        <v>60</v>
      </c>
      <c r="CC46">
        <v>72720</v>
      </c>
      <c r="CD46">
        <v>61</v>
      </c>
      <c r="CE46">
        <v>73932</v>
      </c>
      <c r="CF46">
        <v>22</v>
      </c>
      <c r="CG46">
        <v>26664</v>
      </c>
      <c r="CH46">
        <v>22</v>
      </c>
      <c r="CI46">
        <v>26664</v>
      </c>
      <c r="CJ46">
        <v>22</v>
      </c>
      <c r="CK46">
        <v>26664</v>
      </c>
      <c r="CL46">
        <v>26</v>
      </c>
      <c r="CM46">
        <v>31512</v>
      </c>
      <c r="CN46">
        <v>10</v>
      </c>
      <c r="CO46">
        <v>12120</v>
      </c>
      <c r="CP46">
        <v>6</v>
      </c>
      <c r="CQ46">
        <v>7272</v>
      </c>
      <c r="CR46">
        <v>6</v>
      </c>
      <c r="CS46">
        <v>7272</v>
      </c>
      <c r="CT46">
        <v>10</v>
      </c>
      <c r="CU46">
        <v>12120</v>
      </c>
    </row>
    <row r="47" spans="2:99" x14ac:dyDescent="0.2">
      <c r="C47" s="116" t="s">
        <v>213</v>
      </c>
      <c r="D47">
        <v>106</v>
      </c>
      <c r="E47">
        <v>161925.59999999998</v>
      </c>
      <c r="F47">
        <v>108</v>
      </c>
      <c r="G47">
        <v>164980.79999999999</v>
      </c>
      <c r="H47">
        <v>115</v>
      </c>
      <c r="I47">
        <v>175674</v>
      </c>
      <c r="J47">
        <v>66</v>
      </c>
      <c r="K47">
        <v>100821.59999999999</v>
      </c>
      <c r="L47">
        <v>73</v>
      </c>
      <c r="M47">
        <v>111514.79999999999</v>
      </c>
      <c r="N47">
        <v>72</v>
      </c>
      <c r="O47">
        <v>109987.2</v>
      </c>
      <c r="P47">
        <v>71</v>
      </c>
      <c r="Q47">
        <v>108459.59999999999</v>
      </c>
      <c r="R47">
        <v>54</v>
      </c>
      <c r="S47">
        <v>82490.399999999994</v>
      </c>
      <c r="T47">
        <v>9</v>
      </c>
      <c r="U47">
        <v>13748.4</v>
      </c>
      <c r="V47">
        <v>10</v>
      </c>
      <c r="W47">
        <v>15276</v>
      </c>
      <c r="X47">
        <v>6</v>
      </c>
      <c r="Y47">
        <v>9165.5999999999985</v>
      </c>
      <c r="Z47">
        <v>10</v>
      </c>
      <c r="AA47">
        <v>15276</v>
      </c>
      <c r="AB47">
        <v>24</v>
      </c>
      <c r="AC47">
        <v>36662.399999999994</v>
      </c>
      <c r="AD47">
        <v>25</v>
      </c>
      <c r="AE47">
        <v>38190</v>
      </c>
      <c r="AF47">
        <v>22</v>
      </c>
      <c r="AG47">
        <v>33607.199999999997</v>
      </c>
      <c r="AH47">
        <v>29</v>
      </c>
      <c r="AI47">
        <v>44300.399999999994</v>
      </c>
      <c r="AJ47">
        <v>64</v>
      </c>
      <c r="AK47">
        <v>97766.399999999994</v>
      </c>
      <c r="AL47">
        <v>75</v>
      </c>
      <c r="AM47">
        <v>114570</v>
      </c>
      <c r="AN47">
        <v>91</v>
      </c>
      <c r="AO47">
        <v>139011.6</v>
      </c>
      <c r="AP47">
        <v>68</v>
      </c>
      <c r="AQ47">
        <v>103876.79999999999</v>
      </c>
      <c r="AR47">
        <v>68</v>
      </c>
      <c r="AS47">
        <v>103876.79999999999</v>
      </c>
      <c r="AT47">
        <v>54</v>
      </c>
      <c r="AU47">
        <v>82490.399999999994</v>
      </c>
      <c r="AV47">
        <v>72</v>
      </c>
      <c r="AW47">
        <v>109987.2</v>
      </c>
      <c r="AX47">
        <v>37</v>
      </c>
      <c r="AY47">
        <v>56521.2</v>
      </c>
      <c r="AZ47">
        <v>62</v>
      </c>
      <c r="BA47">
        <v>94711.2</v>
      </c>
      <c r="BB47">
        <v>67</v>
      </c>
      <c r="BC47">
        <v>102349.2</v>
      </c>
      <c r="BD47">
        <v>85</v>
      </c>
      <c r="BE47">
        <v>129845.99999999999</v>
      </c>
      <c r="BF47">
        <v>57</v>
      </c>
      <c r="BG47">
        <v>87073.2</v>
      </c>
      <c r="BH47">
        <v>53</v>
      </c>
      <c r="BI47">
        <v>80962.799999999988</v>
      </c>
      <c r="BJ47">
        <v>42</v>
      </c>
      <c r="BK47">
        <v>64159.199999999997</v>
      </c>
      <c r="BL47">
        <v>40</v>
      </c>
      <c r="BM47">
        <v>61104</v>
      </c>
      <c r="BN47">
        <v>54</v>
      </c>
      <c r="BO47">
        <v>82490.399999999994</v>
      </c>
      <c r="BP47">
        <v>18</v>
      </c>
      <c r="BQ47">
        <v>27496.799999999999</v>
      </c>
      <c r="BR47">
        <v>29</v>
      </c>
      <c r="BS47">
        <v>44300.399999999994</v>
      </c>
      <c r="BT47">
        <v>17</v>
      </c>
      <c r="BU47">
        <v>25969.199999999997</v>
      </c>
      <c r="BV47">
        <v>20</v>
      </c>
      <c r="BW47">
        <v>30552</v>
      </c>
      <c r="BX47">
        <v>49</v>
      </c>
      <c r="BY47">
        <v>74852.399999999994</v>
      </c>
      <c r="BZ47">
        <v>44</v>
      </c>
      <c r="CA47">
        <v>67214.399999999994</v>
      </c>
      <c r="CB47">
        <v>62</v>
      </c>
      <c r="CC47">
        <v>94711.2</v>
      </c>
      <c r="CD47">
        <v>60</v>
      </c>
      <c r="CE47">
        <v>91656</v>
      </c>
      <c r="CF47">
        <v>21</v>
      </c>
      <c r="CG47">
        <v>32079.599999999999</v>
      </c>
      <c r="CH47">
        <v>21</v>
      </c>
      <c r="CI47">
        <v>32079.599999999999</v>
      </c>
      <c r="CJ47">
        <v>21</v>
      </c>
      <c r="CK47">
        <v>32079.599999999999</v>
      </c>
      <c r="CL47">
        <v>26</v>
      </c>
      <c r="CM47">
        <v>39717.599999999999</v>
      </c>
      <c r="CN47">
        <v>8</v>
      </c>
      <c r="CO47">
        <v>12220.8</v>
      </c>
      <c r="CP47">
        <v>5</v>
      </c>
      <c r="CQ47">
        <v>7638</v>
      </c>
      <c r="CR47">
        <v>6</v>
      </c>
      <c r="CS47">
        <v>9165.5999999999985</v>
      </c>
      <c r="CT47">
        <v>8</v>
      </c>
      <c r="CU47">
        <v>12220.8</v>
      </c>
    </row>
    <row r="48" spans="2:99" x14ac:dyDescent="0.2">
      <c r="C48" s="116" t="s">
        <v>214</v>
      </c>
      <c r="D48">
        <v>127</v>
      </c>
      <c r="E48">
        <v>110185.2</v>
      </c>
      <c r="F48">
        <v>118</v>
      </c>
      <c r="G48">
        <v>102376.8</v>
      </c>
      <c r="H48">
        <v>132</v>
      </c>
      <c r="I48">
        <v>114523.2</v>
      </c>
      <c r="J48">
        <v>70</v>
      </c>
      <c r="K48">
        <v>60732</v>
      </c>
      <c r="L48">
        <v>88</v>
      </c>
      <c r="M48">
        <v>76348.800000000003</v>
      </c>
      <c r="N48">
        <v>73</v>
      </c>
      <c r="O48">
        <v>63334.8</v>
      </c>
      <c r="P48">
        <v>74</v>
      </c>
      <c r="Q48">
        <v>64202.400000000001</v>
      </c>
      <c r="R48">
        <v>53</v>
      </c>
      <c r="S48">
        <v>45982.8</v>
      </c>
      <c r="T48">
        <v>9</v>
      </c>
      <c r="U48">
        <v>7808.4000000000005</v>
      </c>
      <c r="V48">
        <v>10</v>
      </c>
      <c r="W48">
        <v>8676</v>
      </c>
      <c r="X48">
        <v>7</v>
      </c>
      <c r="Y48">
        <v>6073.2</v>
      </c>
      <c r="Z48">
        <v>10</v>
      </c>
      <c r="AA48">
        <v>8676</v>
      </c>
      <c r="AB48">
        <v>26</v>
      </c>
      <c r="AC48">
        <v>22557.600000000002</v>
      </c>
      <c r="AD48">
        <v>26</v>
      </c>
      <c r="AE48">
        <v>22557.600000000002</v>
      </c>
      <c r="AF48">
        <v>22</v>
      </c>
      <c r="AG48">
        <v>19087.2</v>
      </c>
      <c r="AH48">
        <v>31</v>
      </c>
      <c r="AI48">
        <v>26895.600000000002</v>
      </c>
      <c r="AJ48">
        <v>74</v>
      </c>
      <c r="AK48">
        <v>64202.400000000001</v>
      </c>
      <c r="AL48">
        <v>101</v>
      </c>
      <c r="AM48">
        <v>87627.6</v>
      </c>
      <c r="AN48">
        <v>95</v>
      </c>
      <c r="AO48">
        <v>82422</v>
      </c>
      <c r="AP48">
        <v>70</v>
      </c>
      <c r="AQ48">
        <v>60732</v>
      </c>
      <c r="AR48">
        <v>80</v>
      </c>
      <c r="AS48">
        <v>69408</v>
      </c>
      <c r="AT48">
        <v>62</v>
      </c>
      <c r="AU48">
        <v>53791.200000000004</v>
      </c>
      <c r="AV48">
        <v>77</v>
      </c>
      <c r="AW48">
        <v>66805.2</v>
      </c>
      <c r="AX48">
        <v>40</v>
      </c>
      <c r="AY48">
        <v>34704</v>
      </c>
      <c r="AZ48">
        <v>81</v>
      </c>
      <c r="BA48">
        <v>70275.600000000006</v>
      </c>
      <c r="BB48">
        <v>81</v>
      </c>
      <c r="BC48">
        <v>70275.600000000006</v>
      </c>
      <c r="BD48">
        <v>103</v>
      </c>
      <c r="BE48">
        <v>89362.8</v>
      </c>
      <c r="BF48">
        <v>68</v>
      </c>
      <c r="BG48">
        <v>58996.800000000003</v>
      </c>
      <c r="BH48">
        <v>58</v>
      </c>
      <c r="BI48">
        <v>50320.800000000003</v>
      </c>
      <c r="BJ48">
        <v>47</v>
      </c>
      <c r="BK48">
        <v>40777.200000000004</v>
      </c>
      <c r="BL48">
        <v>45</v>
      </c>
      <c r="BM48">
        <v>39042</v>
      </c>
      <c r="BN48">
        <v>61</v>
      </c>
      <c r="BO48">
        <v>52923.6</v>
      </c>
      <c r="BP48">
        <v>20</v>
      </c>
      <c r="BQ48">
        <v>17352</v>
      </c>
      <c r="BR48">
        <v>31</v>
      </c>
      <c r="BS48">
        <v>26895.600000000002</v>
      </c>
      <c r="BT48">
        <v>18</v>
      </c>
      <c r="BU48">
        <v>15616.800000000001</v>
      </c>
      <c r="BV48">
        <v>22</v>
      </c>
      <c r="BW48">
        <v>19087.2</v>
      </c>
      <c r="BX48">
        <v>55</v>
      </c>
      <c r="BY48">
        <v>47718</v>
      </c>
      <c r="BZ48">
        <v>49</v>
      </c>
      <c r="CA48">
        <v>42512.4</v>
      </c>
      <c r="CB48">
        <v>68</v>
      </c>
      <c r="CC48">
        <v>58996.800000000003</v>
      </c>
      <c r="CD48">
        <v>64</v>
      </c>
      <c r="CE48">
        <v>55526.400000000001</v>
      </c>
      <c r="CF48">
        <v>21</v>
      </c>
      <c r="CG48">
        <v>18219.600000000002</v>
      </c>
      <c r="CH48">
        <v>23</v>
      </c>
      <c r="CI48">
        <v>19954.8</v>
      </c>
      <c r="CJ48">
        <v>22</v>
      </c>
      <c r="CK48">
        <v>19087.2</v>
      </c>
      <c r="CL48">
        <v>27</v>
      </c>
      <c r="CM48">
        <v>23425.200000000001</v>
      </c>
      <c r="CN48">
        <v>10</v>
      </c>
      <c r="CO48">
        <v>8676</v>
      </c>
      <c r="CP48">
        <v>5</v>
      </c>
      <c r="CQ48">
        <v>4338</v>
      </c>
      <c r="CR48">
        <v>7</v>
      </c>
      <c r="CS48">
        <v>6073.2</v>
      </c>
      <c r="CT48">
        <v>10</v>
      </c>
      <c r="CU48">
        <v>8676</v>
      </c>
    </row>
    <row r="49" spans="2:99" x14ac:dyDescent="0.2">
      <c r="B49" s="116" t="s">
        <v>129</v>
      </c>
      <c r="C49" s="116" t="s">
        <v>215</v>
      </c>
      <c r="D49">
        <v>18.420427553444181</v>
      </c>
      <c r="E49">
        <v>18147.805225653206</v>
      </c>
      <c r="F49">
        <v>41.6932409124461</v>
      </c>
      <c r="G49">
        <v>41076.180946941895</v>
      </c>
      <c r="H49">
        <v>0</v>
      </c>
      <c r="I49">
        <v>0</v>
      </c>
      <c r="J49">
        <v>59.597010038872916</v>
      </c>
      <c r="K49">
        <v>58714.974290297592</v>
      </c>
      <c r="L49">
        <v>0</v>
      </c>
      <c r="M49">
        <v>0</v>
      </c>
      <c r="N49">
        <v>25.278903414683224</v>
      </c>
      <c r="O49">
        <v>24904.77564414591</v>
      </c>
      <c r="P49">
        <v>32.416783703152632</v>
      </c>
      <c r="Q49">
        <v>31937.015304345972</v>
      </c>
      <c r="R49">
        <v>10.915522853075183</v>
      </c>
      <c r="S49">
        <v>10753.97311484967</v>
      </c>
      <c r="T49">
        <v>2.4640290384086487</v>
      </c>
      <c r="U49">
        <v>2427.5614086402006</v>
      </c>
      <c r="V49">
        <v>5.6616848455344355</v>
      </c>
      <c r="W49">
        <v>5577.8919098205251</v>
      </c>
      <c r="X49">
        <v>3.2301710067764779</v>
      </c>
      <c r="Y49">
        <v>3182.3644758761857</v>
      </c>
      <c r="Z49">
        <v>4.6741314201873987</v>
      </c>
      <c r="AA49">
        <v>4604.9542751686249</v>
      </c>
      <c r="AB49">
        <v>0</v>
      </c>
      <c r="AC49">
        <v>0</v>
      </c>
      <c r="AD49">
        <v>8.5235596456523286</v>
      </c>
      <c r="AE49">
        <v>8397.4109628966744</v>
      </c>
      <c r="AF49">
        <v>4.2897460018814675</v>
      </c>
      <c r="AG49">
        <v>4226.2577610536218</v>
      </c>
      <c r="AH49">
        <v>19</v>
      </c>
      <c r="AI49">
        <v>18718.8</v>
      </c>
      <c r="AJ49">
        <v>12.43168928842629</v>
      </c>
      <c r="AK49">
        <v>12247.700286957579</v>
      </c>
      <c r="AL49">
        <v>0</v>
      </c>
      <c r="AM49">
        <v>0</v>
      </c>
      <c r="AN49">
        <v>25</v>
      </c>
      <c r="AO49">
        <v>24630</v>
      </c>
      <c r="AP49">
        <v>18</v>
      </c>
      <c r="AQ49">
        <v>17733.599999999999</v>
      </c>
      <c r="AR49">
        <v>7.0132246542411547</v>
      </c>
      <c r="AS49">
        <v>6909.4289293583852</v>
      </c>
      <c r="AT49">
        <v>0</v>
      </c>
      <c r="AU49">
        <v>0</v>
      </c>
      <c r="AV49">
        <v>3.5174746335963922</v>
      </c>
      <c r="AW49">
        <v>3465.4160090191654</v>
      </c>
      <c r="AX49">
        <v>6.6558945614735681</v>
      </c>
      <c r="AY49">
        <v>6557.387321963759</v>
      </c>
      <c r="AZ49">
        <v>44</v>
      </c>
      <c r="BA49">
        <v>43348.799999999996</v>
      </c>
      <c r="BB49">
        <v>30</v>
      </c>
      <c r="BC49">
        <v>29555.999999999996</v>
      </c>
      <c r="BD49">
        <v>27.620774548100524</v>
      </c>
      <c r="BE49">
        <v>27211.987084788634</v>
      </c>
      <c r="BF49">
        <v>0</v>
      </c>
      <c r="BG49">
        <v>0</v>
      </c>
      <c r="BH49">
        <v>8</v>
      </c>
      <c r="BI49">
        <v>7881.5999999999995</v>
      </c>
      <c r="BJ49">
        <v>9.3417083036737196</v>
      </c>
      <c r="BK49">
        <v>9203.4510207793483</v>
      </c>
      <c r="BL49">
        <v>8.110908710596231</v>
      </c>
      <c r="BM49">
        <v>7990.8672616794065</v>
      </c>
      <c r="BN49">
        <v>5.3796451945576278</v>
      </c>
      <c r="BO49">
        <v>5300.0264456781742</v>
      </c>
      <c r="BP49">
        <v>15.71371811919288</v>
      </c>
      <c r="BQ49">
        <v>15481.155091028824</v>
      </c>
      <c r="BR49">
        <v>10.496763703620843</v>
      </c>
      <c r="BS49">
        <v>10341.411600807254</v>
      </c>
      <c r="BT49">
        <v>0</v>
      </c>
      <c r="BU49">
        <v>0</v>
      </c>
      <c r="BV49">
        <v>3.2670157068062826</v>
      </c>
      <c r="BW49">
        <v>3218.6638743455496</v>
      </c>
      <c r="BX49">
        <v>25</v>
      </c>
      <c r="BY49">
        <v>24630</v>
      </c>
      <c r="BZ49">
        <v>4.4103433320276979</v>
      </c>
      <c r="CA49">
        <v>4345.0702507136875</v>
      </c>
      <c r="CB49">
        <v>16</v>
      </c>
      <c r="CC49">
        <v>15763.199999999999</v>
      </c>
      <c r="CD49">
        <v>8.0149264289951656</v>
      </c>
      <c r="CE49">
        <v>7896.3055178460363</v>
      </c>
      <c r="CF49">
        <v>44</v>
      </c>
      <c r="CG49">
        <v>43348.799999999996</v>
      </c>
      <c r="CH49">
        <v>14.811053882818419</v>
      </c>
      <c r="CI49">
        <v>14591.850285352704</v>
      </c>
      <c r="CJ49">
        <v>19.767916579323622</v>
      </c>
      <c r="CK49">
        <v>19475.351413949629</v>
      </c>
      <c r="CL49">
        <v>21.673198925546835</v>
      </c>
      <c r="CM49">
        <v>21352.435581448739</v>
      </c>
      <c r="CN49">
        <v>6.9668785643501172</v>
      </c>
      <c r="CO49">
        <v>6863.7687615977347</v>
      </c>
      <c r="CP49">
        <v>10.564375708153023</v>
      </c>
      <c r="CQ49">
        <v>10408.022947672356</v>
      </c>
      <c r="CR49">
        <v>8.2521727229723609</v>
      </c>
      <c r="CS49">
        <v>8130.0405666723691</v>
      </c>
      <c r="CT49">
        <v>0</v>
      </c>
      <c r="CU49">
        <v>0</v>
      </c>
    </row>
    <row r="50" spans="2:99" x14ac:dyDescent="0.2">
      <c r="C50" s="116" t="s">
        <v>216</v>
      </c>
      <c r="D50">
        <v>38</v>
      </c>
      <c r="E50">
        <v>10716</v>
      </c>
      <c r="F50">
        <v>67</v>
      </c>
      <c r="G50">
        <v>18894</v>
      </c>
      <c r="H50">
        <v>51</v>
      </c>
      <c r="I50">
        <v>14382</v>
      </c>
      <c r="J50">
        <v>66</v>
      </c>
      <c r="K50">
        <v>18612</v>
      </c>
      <c r="L50">
        <v>69</v>
      </c>
      <c r="M50">
        <v>19458</v>
      </c>
      <c r="N50">
        <v>76</v>
      </c>
      <c r="O50">
        <v>21432</v>
      </c>
      <c r="P50">
        <v>72</v>
      </c>
      <c r="Q50">
        <v>20304</v>
      </c>
      <c r="R50">
        <v>55</v>
      </c>
      <c r="S50">
        <v>15510</v>
      </c>
      <c r="T50">
        <v>4</v>
      </c>
      <c r="U50">
        <v>1128</v>
      </c>
      <c r="V50">
        <v>8</v>
      </c>
      <c r="W50">
        <v>2256</v>
      </c>
      <c r="X50">
        <v>4</v>
      </c>
      <c r="Y50">
        <v>1128</v>
      </c>
      <c r="Z50">
        <v>7</v>
      </c>
      <c r="AA50">
        <v>1974</v>
      </c>
      <c r="AB50">
        <v>13</v>
      </c>
      <c r="AC50">
        <v>3666</v>
      </c>
      <c r="AD50">
        <v>16</v>
      </c>
      <c r="AE50">
        <v>4512</v>
      </c>
      <c r="AF50">
        <v>18</v>
      </c>
      <c r="AG50">
        <v>5076</v>
      </c>
      <c r="AH50">
        <v>18</v>
      </c>
      <c r="AI50">
        <v>5076</v>
      </c>
      <c r="AJ50">
        <v>17</v>
      </c>
      <c r="AK50">
        <v>4794</v>
      </c>
      <c r="AL50">
        <v>22</v>
      </c>
      <c r="AM50">
        <v>6204</v>
      </c>
      <c r="AN50">
        <v>30</v>
      </c>
      <c r="AO50">
        <v>8460</v>
      </c>
      <c r="AP50">
        <v>20</v>
      </c>
      <c r="AQ50">
        <v>5640</v>
      </c>
      <c r="AR50">
        <v>11</v>
      </c>
      <c r="AS50">
        <v>3102</v>
      </c>
      <c r="AT50">
        <v>17</v>
      </c>
      <c r="AU50">
        <v>4794</v>
      </c>
      <c r="AV50">
        <v>13</v>
      </c>
      <c r="AW50">
        <v>3666</v>
      </c>
      <c r="AX50">
        <v>12</v>
      </c>
      <c r="AY50">
        <v>3384</v>
      </c>
      <c r="AZ50">
        <v>50</v>
      </c>
      <c r="BA50">
        <v>14100</v>
      </c>
      <c r="BB50">
        <v>37</v>
      </c>
      <c r="BC50">
        <v>10434</v>
      </c>
      <c r="BD50">
        <v>38</v>
      </c>
      <c r="BE50">
        <v>10716</v>
      </c>
      <c r="BF50">
        <v>25</v>
      </c>
      <c r="BG50">
        <v>7050</v>
      </c>
      <c r="BH50">
        <v>9</v>
      </c>
      <c r="BI50">
        <v>2538</v>
      </c>
      <c r="BJ50">
        <v>13</v>
      </c>
      <c r="BK50">
        <v>3666</v>
      </c>
      <c r="BL50">
        <v>14</v>
      </c>
      <c r="BM50">
        <v>3948</v>
      </c>
      <c r="BN50">
        <v>12</v>
      </c>
      <c r="BO50">
        <v>3384</v>
      </c>
      <c r="BP50">
        <v>25</v>
      </c>
      <c r="BQ50">
        <v>7050</v>
      </c>
      <c r="BR50">
        <v>24</v>
      </c>
      <c r="BS50">
        <v>6768</v>
      </c>
      <c r="BT50">
        <v>15</v>
      </c>
      <c r="BU50">
        <v>4230</v>
      </c>
      <c r="BV50">
        <v>15</v>
      </c>
      <c r="BW50">
        <v>4230</v>
      </c>
      <c r="BX50">
        <v>25</v>
      </c>
      <c r="BY50">
        <v>7050</v>
      </c>
      <c r="BZ50">
        <v>22</v>
      </c>
      <c r="CA50">
        <v>6204</v>
      </c>
      <c r="CB50">
        <v>18</v>
      </c>
      <c r="CC50">
        <v>5076</v>
      </c>
      <c r="CD50">
        <v>30</v>
      </c>
      <c r="CE50">
        <v>8460</v>
      </c>
      <c r="CF50">
        <v>50</v>
      </c>
      <c r="CG50">
        <v>14100</v>
      </c>
      <c r="CH50">
        <v>36</v>
      </c>
      <c r="CI50">
        <v>10152</v>
      </c>
      <c r="CJ50">
        <v>35</v>
      </c>
      <c r="CK50">
        <v>9870</v>
      </c>
      <c r="CL50">
        <v>59</v>
      </c>
      <c r="CM50">
        <v>16638</v>
      </c>
      <c r="CN50">
        <v>11</v>
      </c>
      <c r="CO50">
        <v>3102</v>
      </c>
      <c r="CP50">
        <v>14</v>
      </c>
      <c r="CQ50">
        <v>3948</v>
      </c>
      <c r="CR50">
        <v>11</v>
      </c>
      <c r="CS50">
        <v>3102</v>
      </c>
      <c r="CT50">
        <v>18</v>
      </c>
      <c r="CU50">
        <v>5076</v>
      </c>
    </row>
    <row r="51" spans="2:99" x14ac:dyDescent="0.2">
      <c r="C51" s="116" t="s">
        <v>217</v>
      </c>
      <c r="D51">
        <v>31</v>
      </c>
      <c r="E51">
        <v>26486.399999999998</v>
      </c>
      <c r="F51">
        <v>54</v>
      </c>
      <c r="G51">
        <v>46137.599999999999</v>
      </c>
      <c r="H51">
        <v>47</v>
      </c>
      <c r="I51">
        <v>40156.799999999996</v>
      </c>
      <c r="J51">
        <v>64</v>
      </c>
      <c r="K51">
        <v>54681.599999999999</v>
      </c>
      <c r="L51">
        <v>71</v>
      </c>
      <c r="M51">
        <v>60662.400000000001</v>
      </c>
      <c r="N51">
        <v>67</v>
      </c>
      <c r="O51">
        <v>57244.799999999996</v>
      </c>
      <c r="P51">
        <v>63</v>
      </c>
      <c r="Q51">
        <v>53827.199999999997</v>
      </c>
      <c r="R51">
        <v>52</v>
      </c>
      <c r="S51">
        <v>44428.799999999996</v>
      </c>
      <c r="T51">
        <v>4</v>
      </c>
      <c r="U51">
        <v>3417.6</v>
      </c>
      <c r="V51">
        <v>8</v>
      </c>
      <c r="W51">
        <v>6835.2</v>
      </c>
      <c r="X51">
        <v>5</v>
      </c>
      <c r="Y51">
        <v>4272</v>
      </c>
      <c r="Z51">
        <v>7</v>
      </c>
      <c r="AA51">
        <v>5980.8</v>
      </c>
      <c r="AB51">
        <v>13</v>
      </c>
      <c r="AC51">
        <v>11107.199999999999</v>
      </c>
      <c r="AD51">
        <v>16</v>
      </c>
      <c r="AE51">
        <v>13670.4</v>
      </c>
      <c r="AF51">
        <v>20</v>
      </c>
      <c r="AG51">
        <v>17088</v>
      </c>
      <c r="AH51">
        <v>19</v>
      </c>
      <c r="AI51">
        <v>16233.6</v>
      </c>
      <c r="AJ51">
        <v>15</v>
      </c>
      <c r="AK51">
        <v>12816</v>
      </c>
      <c r="AL51">
        <v>22</v>
      </c>
      <c r="AM51">
        <v>18796.8</v>
      </c>
      <c r="AN51">
        <v>25</v>
      </c>
      <c r="AO51">
        <v>21360</v>
      </c>
      <c r="AP51">
        <v>20</v>
      </c>
      <c r="AQ51">
        <v>17088</v>
      </c>
      <c r="AR51">
        <v>11</v>
      </c>
      <c r="AS51">
        <v>9398.4</v>
      </c>
      <c r="AT51">
        <v>16</v>
      </c>
      <c r="AU51">
        <v>13670.4</v>
      </c>
      <c r="AV51">
        <v>14</v>
      </c>
      <c r="AW51">
        <v>11961.6</v>
      </c>
      <c r="AX51">
        <v>12</v>
      </c>
      <c r="AY51">
        <v>10252.799999999999</v>
      </c>
      <c r="AZ51">
        <v>47</v>
      </c>
      <c r="BA51">
        <v>40156.799999999996</v>
      </c>
      <c r="BB51">
        <v>31</v>
      </c>
      <c r="BC51">
        <v>26486.399999999998</v>
      </c>
      <c r="BD51">
        <v>35</v>
      </c>
      <c r="BE51">
        <v>29904</v>
      </c>
      <c r="BF51">
        <v>25</v>
      </c>
      <c r="BG51">
        <v>21360</v>
      </c>
      <c r="BH51">
        <v>8</v>
      </c>
      <c r="BI51">
        <v>6835.2</v>
      </c>
      <c r="BJ51">
        <v>11</v>
      </c>
      <c r="BK51">
        <v>9398.4</v>
      </c>
      <c r="BL51">
        <v>14</v>
      </c>
      <c r="BM51">
        <v>11961.6</v>
      </c>
      <c r="BN51">
        <v>10</v>
      </c>
      <c r="BO51">
        <v>8544</v>
      </c>
      <c r="BP51">
        <v>24</v>
      </c>
      <c r="BQ51">
        <v>20505.599999999999</v>
      </c>
      <c r="BR51">
        <v>21</v>
      </c>
      <c r="BS51">
        <v>17942.399999999998</v>
      </c>
      <c r="BT51">
        <v>13</v>
      </c>
      <c r="BU51">
        <v>11107.199999999999</v>
      </c>
      <c r="BV51">
        <v>13</v>
      </c>
      <c r="BW51">
        <v>11107.199999999999</v>
      </c>
      <c r="BX51">
        <v>27</v>
      </c>
      <c r="BY51">
        <v>23068.799999999999</v>
      </c>
      <c r="BZ51">
        <v>21</v>
      </c>
      <c r="CA51">
        <v>17942.399999999998</v>
      </c>
      <c r="CB51">
        <v>18</v>
      </c>
      <c r="CC51">
        <v>15379.199999999999</v>
      </c>
      <c r="CD51">
        <v>28</v>
      </c>
      <c r="CE51">
        <v>23923.200000000001</v>
      </c>
      <c r="CF51">
        <v>44</v>
      </c>
      <c r="CG51">
        <v>37593.599999999999</v>
      </c>
      <c r="CH51">
        <v>30</v>
      </c>
      <c r="CI51">
        <v>25632</v>
      </c>
      <c r="CJ51">
        <v>33</v>
      </c>
      <c r="CK51">
        <v>28195.200000000001</v>
      </c>
      <c r="CL51">
        <v>55</v>
      </c>
      <c r="CM51">
        <v>46992</v>
      </c>
      <c r="CN51">
        <v>10</v>
      </c>
      <c r="CO51">
        <v>8544</v>
      </c>
      <c r="CP51">
        <v>14</v>
      </c>
      <c r="CQ51">
        <v>11961.6</v>
      </c>
      <c r="CR51">
        <v>10</v>
      </c>
      <c r="CS51">
        <v>8544</v>
      </c>
      <c r="CT51">
        <v>14</v>
      </c>
      <c r="CU51">
        <v>11961.6</v>
      </c>
    </row>
    <row r="52" spans="2:99" x14ac:dyDescent="0.2">
      <c r="C52" s="116" t="s">
        <v>218</v>
      </c>
      <c r="D52">
        <v>35</v>
      </c>
      <c r="E52">
        <v>18900</v>
      </c>
      <c r="F52">
        <v>57</v>
      </c>
      <c r="G52">
        <v>30780</v>
      </c>
      <c r="H52">
        <v>52</v>
      </c>
      <c r="I52">
        <v>28080</v>
      </c>
      <c r="J52">
        <v>66</v>
      </c>
      <c r="K52">
        <v>35640</v>
      </c>
      <c r="L52">
        <v>71</v>
      </c>
      <c r="M52">
        <v>38340</v>
      </c>
      <c r="N52">
        <v>67</v>
      </c>
      <c r="O52">
        <v>36180</v>
      </c>
      <c r="P52">
        <v>69</v>
      </c>
      <c r="Q52">
        <v>37260</v>
      </c>
      <c r="R52">
        <v>46</v>
      </c>
      <c r="S52">
        <v>24840</v>
      </c>
      <c r="T52">
        <v>4</v>
      </c>
      <c r="U52">
        <v>2160</v>
      </c>
      <c r="V52">
        <v>8</v>
      </c>
      <c r="W52">
        <v>4320</v>
      </c>
      <c r="X52">
        <v>4</v>
      </c>
      <c r="Y52">
        <v>2160</v>
      </c>
      <c r="Z52">
        <v>8</v>
      </c>
      <c r="AA52">
        <v>4320</v>
      </c>
      <c r="AB52">
        <v>13</v>
      </c>
      <c r="AC52">
        <v>7020</v>
      </c>
      <c r="AD52">
        <v>15</v>
      </c>
      <c r="AE52">
        <v>8100</v>
      </c>
      <c r="AF52">
        <v>19</v>
      </c>
      <c r="AG52">
        <v>10260</v>
      </c>
      <c r="AH52">
        <v>20</v>
      </c>
      <c r="AI52">
        <v>10800</v>
      </c>
      <c r="AJ52">
        <v>16</v>
      </c>
      <c r="AK52">
        <v>8640</v>
      </c>
      <c r="AL52">
        <v>26</v>
      </c>
      <c r="AM52">
        <v>14040</v>
      </c>
      <c r="AN52">
        <v>26</v>
      </c>
      <c r="AO52">
        <v>14040</v>
      </c>
      <c r="AP52">
        <v>21</v>
      </c>
      <c r="AQ52">
        <v>11340</v>
      </c>
      <c r="AR52">
        <v>11</v>
      </c>
      <c r="AS52">
        <v>5940</v>
      </c>
      <c r="AT52">
        <v>15</v>
      </c>
      <c r="AU52">
        <v>8100</v>
      </c>
      <c r="AV52">
        <v>14</v>
      </c>
      <c r="AW52">
        <v>7560</v>
      </c>
      <c r="AX52">
        <v>12</v>
      </c>
      <c r="AY52">
        <v>6480</v>
      </c>
      <c r="AZ52">
        <v>42</v>
      </c>
      <c r="BA52">
        <v>22680</v>
      </c>
      <c r="BB52">
        <v>35</v>
      </c>
      <c r="BC52">
        <v>18900</v>
      </c>
      <c r="BD52">
        <v>38</v>
      </c>
      <c r="BE52">
        <v>20520</v>
      </c>
      <c r="BF52">
        <v>27</v>
      </c>
      <c r="BG52">
        <v>14580</v>
      </c>
      <c r="BH52">
        <v>9</v>
      </c>
      <c r="BI52">
        <v>4860</v>
      </c>
      <c r="BJ52">
        <v>12</v>
      </c>
      <c r="BK52">
        <v>6480</v>
      </c>
      <c r="BL52">
        <v>15</v>
      </c>
      <c r="BM52">
        <v>8100</v>
      </c>
      <c r="BN52">
        <v>12</v>
      </c>
      <c r="BO52">
        <v>6480</v>
      </c>
      <c r="BP52">
        <v>23</v>
      </c>
      <c r="BQ52">
        <v>12420</v>
      </c>
      <c r="BR52">
        <v>22</v>
      </c>
      <c r="BS52">
        <v>11880</v>
      </c>
      <c r="BT52">
        <v>13</v>
      </c>
      <c r="BU52">
        <v>7020</v>
      </c>
      <c r="BV52">
        <v>14</v>
      </c>
      <c r="BW52">
        <v>7560</v>
      </c>
      <c r="BX52">
        <v>26</v>
      </c>
      <c r="BY52">
        <v>14040</v>
      </c>
      <c r="BZ52">
        <v>22</v>
      </c>
      <c r="CA52">
        <v>11880</v>
      </c>
      <c r="CB52">
        <v>17</v>
      </c>
      <c r="CC52">
        <v>9180</v>
      </c>
      <c r="CD52">
        <v>28</v>
      </c>
      <c r="CE52">
        <v>15120</v>
      </c>
      <c r="CF52">
        <v>48</v>
      </c>
      <c r="CG52">
        <v>25920</v>
      </c>
      <c r="CH52">
        <v>31</v>
      </c>
      <c r="CI52">
        <v>16740</v>
      </c>
      <c r="CJ52">
        <v>33</v>
      </c>
      <c r="CK52">
        <v>17820</v>
      </c>
      <c r="CL52">
        <v>57</v>
      </c>
      <c r="CM52">
        <v>30780</v>
      </c>
      <c r="CN52">
        <v>10</v>
      </c>
      <c r="CO52">
        <v>5400</v>
      </c>
      <c r="CP52">
        <v>16</v>
      </c>
      <c r="CQ52">
        <v>8640</v>
      </c>
      <c r="CR52">
        <v>10</v>
      </c>
      <c r="CS52">
        <v>5400</v>
      </c>
      <c r="CT52">
        <v>15</v>
      </c>
      <c r="CU52">
        <v>8100</v>
      </c>
    </row>
    <row r="53" spans="2:99" x14ac:dyDescent="0.2">
      <c r="C53" s="116" t="s">
        <v>219</v>
      </c>
      <c r="D53">
        <v>34</v>
      </c>
      <c r="E53">
        <v>13831.2</v>
      </c>
      <c r="F53">
        <v>56</v>
      </c>
      <c r="G53">
        <v>22780.799999999999</v>
      </c>
      <c r="H53">
        <v>54</v>
      </c>
      <c r="I53">
        <v>21967.200000000001</v>
      </c>
      <c r="J53">
        <v>71</v>
      </c>
      <c r="K53">
        <v>28882.799999999999</v>
      </c>
      <c r="L53">
        <v>72</v>
      </c>
      <c r="M53">
        <v>29289.600000000002</v>
      </c>
      <c r="N53">
        <v>70</v>
      </c>
      <c r="O53">
        <v>28476</v>
      </c>
      <c r="P53">
        <v>75</v>
      </c>
      <c r="Q53">
        <v>30510</v>
      </c>
      <c r="R53">
        <v>48</v>
      </c>
      <c r="S53">
        <v>19526.400000000001</v>
      </c>
      <c r="T53">
        <v>4</v>
      </c>
      <c r="U53">
        <v>1627.2</v>
      </c>
      <c r="V53">
        <v>9</v>
      </c>
      <c r="W53">
        <v>3661.2000000000003</v>
      </c>
      <c r="X53">
        <v>5</v>
      </c>
      <c r="Y53">
        <v>2034</v>
      </c>
      <c r="Z53">
        <v>7</v>
      </c>
      <c r="AA53">
        <v>2847.6</v>
      </c>
      <c r="AB53">
        <v>14</v>
      </c>
      <c r="AC53">
        <v>5695.2</v>
      </c>
      <c r="AD53">
        <v>18</v>
      </c>
      <c r="AE53">
        <v>7322.4000000000005</v>
      </c>
      <c r="AF53">
        <v>18</v>
      </c>
      <c r="AG53">
        <v>7322.4000000000005</v>
      </c>
      <c r="AH53">
        <v>19</v>
      </c>
      <c r="AI53">
        <v>7729.2</v>
      </c>
      <c r="AJ53">
        <v>17</v>
      </c>
      <c r="AK53">
        <v>6915.6</v>
      </c>
      <c r="AL53">
        <v>22</v>
      </c>
      <c r="AM53">
        <v>8949.6</v>
      </c>
      <c r="AN53">
        <v>28</v>
      </c>
      <c r="AO53">
        <v>11390.4</v>
      </c>
      <c r="AP53">
        <v>19</v>
      </c>
      <c r="AQ53">
        <v>7729.2</v>
      </c>
      <c r="AR53">
        <v>13</v>
      </c>
      <c r="AS53">
        <v>5288.4000000000005</v>
      </c>
      <c r="AT53">
        <v>17</v>
      </c>
      <c r="AU53">
        <v>6915.6</v>
      </c>
      <c r="AV53">
        <v>12</v>
      </c>
      <c r="AW53">
        <v>4881.6000000000004</v>
      </c>
      <c r="AX53">
        <v>12</v>
      </c>
      <c r="AY53">
        <v>4881.6000000000004</v>
      </c>
      <c r="AZ53">
        <v>49</v>
      </c>
      <c r="BA53">
        <v>19933.2</v>
      </c>
      <c r="BB53">
        <v>34</v>
      </c>
      <c r="BC53">
        <v>13831.2</v>
      </c>
      <c r="BD53">
        <v>41</v>
      </c>
      <c r="BE53">
        <v>16678.8</v>
      </c>
      <c r="BF53">
        <v>24</v>
      </c>
      <c r="BG53">
        <v>9763.2000000000007</v>
      </c>
      <c r="BH53">
        <v>9</v>
      </c>
      <c r="BI53">
        <v>3661.2000000000003</v>
      </c>
      <c r="BJ53">
        <v>12</v>
      </c>
      <c r="BK53">
        <v>4881.6000000000004</v>
      </c>
      <c r="BL53">
        <v>15</v>
      </c>
      <c r="BM53">
        <v>6102</v>
      </c>
      <c r="BN53">
        <v>11</v>
      </c>
      <c r="BO53">
        <v>4474.8</v>
      </c>
      <c r="BP53">
        <v>23</v>
      </c>
      <c r="BQ53">
        <v>9356.4</v>
      </c>
      <c r="BR53">
        <v>21</v>
      </c>
      <c r="BS53">
        <v>8542.8000000000011</v>
      </c>
      <c r="BT53">
        <v>13</v>
      </c>
      <c r="BU53">
        <v>5288.4000000000005</v>
      </c>
      <c r="BV53">
        <v>14</v>
      </c>
      <c r="BW53">
        <v>5695.2</v>
      </c>
      <c r="BX53">
        <v>25</v>
      </c>
      <c r="BY53">
        <v>10170</v>
      </c>
      <c r="BZ53">
        <v>23</v>
      </c>
      <c r="CA53">
        <v>9356.4</v>
      </c>
      <c r="CB53">
        <v>20</v>
      </c>
      <c r="CC53">
        <v>8136</v>
      </c>
      <c r="CD53">
        <v>30</v>
      </c>
      <c r="CE53">
        <v>12204</v>
      </c>
      <c r="CF53">
        <v>45</v>
      </c>
      <c r="CG53">
        <v>18306</v>
      </c>
      <c r="CH53">
        <v>36</v>
      </c>
      <c r="CI53">
        <v>14644.800000000001</v>
      </c>
      <c r="CJ53">
        <v>38</v>
      </c>
      <c r="CK53">
        <v>15458.4</v>
      </c>
      <c r="CL53">
        <v>51</v>
      </c>
      <c r="CM53">
        <v>20746.8</v>
      </c>
      <c r="CN53">
        <v>11</v>
      </c>
      <c r="CO53">
        <v>4474.8</v>
      </c>
      <c r="CP53">
        <v>14</v>
      </c>
      <c r="CQ53">
        <v>5695.2</v>
      </c>
      <c r="CR53">
        <v>10</v>
      </c>
      <c r="CS53">
        <v>4068</v>
      </c>
      <c r="CT53">
        <v>16</v>
      </c>
      <c r="CU53">
        <v>6508.8</v>
      </c>
    </row>
    <row r="54" spans="2:99" x14ac:dyDescent="0.2">
      <c r="C54" s="116" t="s">
        <v>220</v>
      </c>
      <c r="D54">
        <v>34</v>
      </c>
      <c r="E54">
        <v>11383.2</v>
      </c>
      <c r="F54">
        <v>57</v>
      </c>
      <c r="G54">
        <v>19083.600000000002</v>
      </c>
      <c r="H54">
        <v>51</v>
      </c>
      <c r="I54">
        <v>17074.8</v>
      </c>
      <c r="J54">
        <v>75</v>
      </c>
      <c r="K54">
        <v>25110</v>
      </c>
      <c r="L54">
        <v>69</v>
      </c>
      <c r="M54">
        <v>23101.200000000001</v>
      </c>
      <c r="N54">
        <v>70</v>
      </c>
      <c r="O54">
        <v>23436</v>
      </c>
      <c r="P54">
        <v>74</v>
      </c>
      <c r="Q54">
        <v>24775.200000000001</v>
      </c>
      <c r="R54">
        <v>51</v>
      </c>
      <c r="S54">
        <v>17074.8</v>
      </c>
      <c r="T54">
        <v>4</v>
      </c>
      <c r="U54">
        <v>1339.2</v>
      </c>
      <c r="V54">
        <v>8</v>
      </c>
      <c r="W54">
        <v>2678.4</v>
      </c>
      <c r="X54">
        <v>5</v>
      </c>
      <c r="Y54">
        <v>1674</v>
      </c>
      <c r="Z54">
        <v>7</v>
      </c>
      <c r="AA54">
        <v>2343.6</v>
      </c>
      <c r="AB54">
        <v>14</v>
      </c>
      <c r="AC54">
        <v>4687.2</v>
      </c>
      <c r="AD54">
        <v>18</v>
      </c>
      <c r="AE54">
        <v>6026.4000000000005</v>
      </c>
      <c r="AF54">
        <v>19</v>
      </c>
      <c r="AG54">
        <v>6361.2</v>
      </c>
      <c r="AH54">
        <v>18</v>
      </c>
      <c r="AI54">
        <v>6026.4000000000005</v>
      </c>
      <c r="AJ54">
        <v>15</v>
      </c>
      <c r="AK54">
        <v>5022</v>
      </c>
      <c r="AL54">
        <v>23</v>
      </c>
      <c r="AM54">
        <v>7700.4000000000005</v>
      </c>
      <c r="AN54">
        <v>27</v>
      </c>
      <c r="AO54">
        <v>9039.6</v>
      </c>
      <c r="AP54">
        <v>21</v>
      </c>
      <c r="AQ54">
        <v>7030.8</v>
      </c>
      <c r="AR54">
        <v>13</v>
      </c>
      <c r="AS54">
        <v>4352.4000000000005</v>
      </c>
      <c r="AT54">
        <v>15</v>
      </c>
      <c r="AU54">
        <v>5022</v>
      </c>
      <c r="AV54">
        <v>14</v>
      </c>
      <c r="AW54">
        <v>4687.2</v>
      </c>
      <c r="AX54">
        <v>12</v>
      </c>
      <c r="AY54">
        <v>4017.6000000000004</v>
      </c>
      <c r="AZ54">
        <v>48</v>
      </c>
      <c r="BA54">
        <v>16070.400000000001</v>
      </c>
      <c r="BB54">
        <v>39</v>
      </c>
      <c r="BC54">
        <v>13057.2</v>
      </c>
      <c r="BD54">
        <v>42</v>
      </c>
      <c r="BE54">
        <v>14061.6</v>
      </c>
      <c r="BF54">
        <v>28</v>
      </c>
      <c r="BG54">
        <v>9374.4</v>
      </c>
      <c r="BH54">
        <v>9</v>
      </c>
      <c r="BI54">
        <v>3013.2000000000003</v>
      </c>
      <c r="BJ54">
        <v>12</v>
      </c>
      <c r="BK54">
        <v>4017.6000000000004</v>
      </c>
      <c r="BL54">
        <v>14</v>
      </c>
      <c r="BM54">
        <v>4687.2</v>
      </c>
      <c r="BN54">
        <v>10</v>
      </c>
      <c r="BO54">
        <v>3348</v>
      </c>
      <c r="BP54">
        <v>24</v>
      </c>
      <c r="BQ54">
        <v>8035.2000000000007</v>
      </c>
      <c r="BR54">
        <v>22</v>
      </c>
      <c r="BS54">
        <v>7365.6</v>
      </c>
      <c r="BT54">
        <v>14</v>
      </c>
      <c r="BU54">
        <v>4687.2</v>
      </c>
      <c r="BV54">
        <v>14</v>
      </c>
      <c r="BW54">
        <v>4687.2</v>
      </c>
      <c r="BX54">
        <v>27</v>
      </c>
      <c r="BY54">
        <v>9039.6</v>
      </c>
      <c r="BZ54">
        <v>21</v>
      </c>
      <c r="CA54">
        <v>7030.8</v>
      </c>
      <c r="CB54">
        <v>19</v>
      </c>
      <c r="CC54">
        <v>6361.2</v>
      </c>
      <c r="CD54">
        <v>29</v>
      </c>
      <c r="CE54">
        <v>9709.2000000000007</v>
      </c>
      <c r="CF54">
        <v>49</v>
      </c>
      <c r="CG54">
        <v>16405.2</v>
      </c>
      <c r="CH54">
        <v>37</v>
      </c>
      <c r="CI54">
        <v>12387.6</v>
      </c>
      <c r="CJ54">
        <v>34</v>
      </c>
      <c r="CK54">
        <v>11383.2</v>
      </c>
      <c r="CL54">
        <v>54</v>
      </c>
      <c r="CM54">
        <v>18079.2</v>
      </c>
      <c r="CN54">
        <v>10</v>
      </c>
      <c r="CO54">
        <v>3348</v>
      </c>
      <c r="CP54">
        <v>14</v>
      </c>
      <c r="CQ54">
        <v>4687.2</v>
      </c>
      <c r="CR54">
        <v>11</v>
      </c>
      <c r="CS54">
        <v>3682.8</v>
      </c>
      <c r="CT54">
        <v>15</v>
      </c>
      <c r="CU54">
        <v>5022</v>
      </c>
    </row>
    <row r="55" spans="2:99" x14ac:dyDescent="0.2">
      <c r="C55" s="116" t="s">
        <v>221</v>
      </c>
      <c r="D55">
        <v>34</v>
      </c>
      <c r="E55">
        <v>22562.400000000001</v>
      </c>
      <c r="F55">
        <v>58</v>
      </c>
      <c r="G55">
        <v>38488.800000000003</v>
      </c>
      <c r="H55">
        <v>51</v>
      </c>
      <c r="I55">
        <v>33843.599999999999</v>
      </c>
      <c r="J55">
        <v>65</v>
      </c>
      <c r="K55">
        <v>43134</v>
      </c>
      <c r="L55">
        <v>67</v>
      </c>
      <c r="M55">
        <v>44461.200000000004</v>
      </c>
      <c r="N55">
        <v>72</v>
      </c>
      <c r="O55">
        <v>47779.200000000004</v>
      </c>
      <c r="P55">
        <v>67</v>
      </c>
      <c r="Q55">
        <v>44461.200000000004</v>
      </c>
      <c r="R55">
        <v>49</v>
      </c>
      <c r="S55">
        <v>32516.400000000001</v>
      </c>
      <c r="T55">
        <v>4</v>
      </c>
      <c r="U55">
        <v>2654.4</v>
      </c>
      <c r="V55">
        <v>8</v>
      </c>
      <c r="W55">
        <v>5308.8</v>
      </c>
      <c r="X55">
        <v>5</v>
      </c>
      <c r="Y55">
        <v>3318</v>
      </c>
      <c r="Z55">
        <v>8</v>
      </c>
      <c r="AA55">
        <v>5308.8</v>
      </c>
      <c r="AB55">
        <v>15</v>
      </c>
      <c r="AC55">
        <v>9954</v>
      </c>
      <c r="AD55">
        <v>18</v>
      </c>
      <c r="AE55">
        <v>11944.800000000001</v>
      </c>
      <c r="AF55">
        <v>18</v>
      </c>
      <c r="AG55">
        <v>11944.800000000001</v>
      </c>
      <c r="AH55">
        <v>19</v>
      </c>
      <c r="AI55">
        <v>12608.4</v>
      </c>
      <c r="AJ55">
        <v>17</v>
      </c>
      <c r="AK55">
        <v>11281.2</v>
      </c>
      <c r="AL55">
        <v>22</v>
      </c>
      <c r="AM55">
        <v>14599.2</v>
      </c>
      <c r="AN55">
        <v>27</v>
      </c>
      <c r="AO55">
        <v>17917.2</v>
      </c>
      <c r="AP55">
        <v>19</v>
      </c>
      <c r="AQ55">
        <v>12608.4</v>
      </c>
      <c r="AR55">
        <v>12</v>
      </c>
      <c r="AS55">
        <v>7963.2000000000007</v>
      </c>
      <c r="AT55">
        <v>17</v>
      </c>
      <c r="AU55">
        <v>11281.2</v>
      </c>
      <c r="AV55">
        <v>14</v>
      </c>
      <c r="AW55">
        <v>9290.4</v>
      </c>
      <c r="AX55">
        <v>11</v>
      </c>
      <c r="AY55">
        <v>7299.6</v>
      </c>
      <c r="AZ55">
        <v>44</v>
      </c>
      <c r="BA55">
        <v>29198.400000000001</v>
      </c>
      <c r="BB55">
        <v>38</v>
      </c>
      <c r="BC55">
        <v>25216.799999999999</v>
      </c>
      <c r="BD55">
        <v>39</v>
      </c>
      <c r="BE55">
        <v>25880.400000000001</v>
      </c>
      <c r="BF55">
        <v>25</v>
      </c>
      <c r="BG55">
        <v>16590</v>
      </c>
      <c r="BH55">
        <v>9</v>
      </c>
      <c r="BI55">
        <v>5972.4000000000005</v>
      </c>
      <c r="BJ55">
        <v>11</v>
      </c>
      <c r="BK55">
        <v>7299.6</v>
      </c>
      <c r="BL55">
        <v>15</v>
      </c>
      <c r="BM55">
        <v>9954</v>
      </c>
      <c r="BN55">
        <v>10</v>
      </c>
      <c r="BO55">
        <v>6636</v>
      </c>
      <c r="BP55">
        <v>25</v>
      </c>
      <c r="BQ55">
        <v>16590</v>
      </c>
      <c r="BR55">
        <v>19</v>
      </c>
      <c r="BS55">
        <v>12608.4</v>
      </c>
      <c r="BT55">
        <v>13</v>
      </c>
      <c r="BU55">
        <v>8626.8000000000011</v>
      </c>
      <c r="BV55">
        <v>13</v>
      </c>
      <c r="BW55">
        <v>8626.8000000000011</v>
      </c>
      <c r="BX55">
        <v>24</v>
      </c>
      <c r="BY55">
        <v>15926.400000000001</v>
      </c>
      <c r="BZ55">
        <v>22</v>
      </c>
      <c r="CA55">
        <v>14599.2</v>
      </c>
      <c r="CB55">
        <v>19</v>
      </c>
      <c r="CC55">
        <v>12608.4</v>
      </c>
      <c r="CD55">
        <v>29</v>
      </c>
      <c r="CE55">
        <v>19244.400000000001</v>
      </c>
      <c r="CF55">
        <v>44</v>
      </c>
      <c r="CG55">
        <v>29198.400000000001</v>
      </c>
      <c r="CH55">
        <v>35</v>
      </c>
      <c r="CI55">
        <v>23226</v>
      </c>
      <c r="CJ55">
        <v>32</v>
      </c>
      <c r="CK55">
        <v>21235.200000000001</v>
      </c>
      <c r="CL55">
        <v>51</v>
      </c>
      <c r="CM55">
        <v>33843.599999999999</v>
      </c>
      <c r="CN55">
        <v>10</v>
      </c>
      <c r="CO55">
        <v>6636</v>
      </c>
      <c r="CP55">
        <v>13</v>
      </c>
      <c r="CQ55">
        <v>8626.8000000000011</v>
      </c>
      <c r="CR55">
        <v>9</v>
      </c>
      <c r="CS55">
        <v>5972.4000000000005</v>
      </c>
      <c r="CT55">
        <v>16</v>
      </c>
      <c r="CU55">
        <v>10617.6</v>
      </c>
    </row>
    <row r="56" spans="2:99" x14ac:dyDescent="0.2">
      <c r="C56" s="116" t="s">
        <v>222</v>
      </c>
      <c r="D56">
        <v>19.536817102137768</v>
      </c>
      <c r="E56">
        <v>22482.96912114014</v>
      </c>
      <c r="F56">
        <v>40.279910712024204</v>
      </c>
      <c r="G56">
        <v>46354.121247397452</v>
      </c>
      <c r="H56">
        <v>0</v>
      </c>
      <c r="I56">
        <v>0</v>
      </c>
      <c r="J56">
        <v>63.441978428477633</v>
      </c>
      <c r="K56">
        <v>73009.028775492057</v>
      </c>
      <c r="L56">
        <v>0</v>
      </c>
      <c r="M56">
        <v>0</v>
      </c>
      <c r="N56">
        <v>26.08140828499063</v>
      </c>
      <c r="O56">
        <v>30014.484654367217</v>
      </c>
      <c r="P56">
        <v>32.416783703152632</v>
      </c>
      <c r="Q56">
        <v>37305.234685588046</v>
      </c>
      <c r="R56">
        <v>11.1636029179178</v>
      </c>
      <c r="S56">
        <v>12847.074237939803</v>
      </c>
      <c r="T56">
        <v>2.4640290384086487</v>
      </c>
      <c r="U56">
        <v>2835.6046174006729</v>
      </c>
      <c r="V56">
        <v>4.9539742398426316</v>
      </c>
      <c r="W56">
        <v>5701.0335552109</v>
      </c>
      <c r="X56">
        <v>3.2301710067764779</v>
      </c>
      <c r="Y56">
        <v>3717.2807945983709</v>
      </c>
      <c r="Z56">
        <v>4.6741314201873987</v>
      </c>
      <c r="AA56">
        <v>5378.9904383516578</v>
      </c>
      <c r="AB56">
        <v>0</v>
      </c>
      <c r="AC56">
        <v>0</v>
      </c>
      <c r="AD56">
        <v>9.0562821235055999</v>
      </c>
      <c r="AE56">
        <v>10421.969467730243</v>
      </c>
      <c r="AF56">
        <v>4.0639698965192848</v>
      </c>
      <c r="AG56">
        <v>4676.816556914393</v>
      </c>
      <c r="AH56">
        <v>18</v>
      </c>
      <c r="AI56">
        <v>20714.399999999998</v>
      </c>
      <c r="AJ56">
        <v>14.089247860216462</v>
      </c>
      <c r="AK56">
        <v>16213.906437537104</v>
      </c>
      <c r="AL56">
        <v>0</v>
      </c>
      <c r="AM56">
        <v>0</v>
      </c>
      <c r="AN56">
        <v>26</v>
      </c>
      <c r="AO56">
        <v>29920.799999999999</v>
      </c>
      <c r="AP56">
        <v>16</v>
      </c>
      <c r="AQ56">
        <v>18412.8</v>
      </c>
      <c r="AR56">
        <v>7.0132246542411547</v>
      </c>
      <c r="AS56">
        <v>8070.8189321007203</v>
      </c>
      <c r="AT56">
        <v>0</v>
      </c>
      <c r="AU56">
        <v>0</v>
      </c>
      <c r="AV56">
        <v>3.5174746335963922</v>
      </c>
      <c r="AW56">
        <v>4047.909808342728</v>
      </c>
      <c r="AX56">
        <v>6.0508132377032444</v>
      </c>
      <c r="AY56">
        <v>6963.2758739488936</v>
      </c>
      <c r="AZ56">
        <v>39</v>
      </c>
      <c r="BA56">
        <v>44881.2</v>
      </c>
      <c r="BB56">
        <v>36</v>
      </c>
      <c r="BC56">
        <v>41428.799999999996</v>
      </c>
      <c r="BD56">
        <v>26.893912059992619</v>
      </c>
      <c r="BE56">
        <v>30949.513998639504</v>
      </c>
      <c r="BF56">
        <v>0</v>
      </c>
      <c r="BG56">
        <v>0</v>
      </c>
      <c r="BH56">
        <v>9</v>
      </c>
      <c r="BI56">
        <v>10357.199999999999</v>
      </c>
      <c r="BJ56">
        <v>7.9045224108008405</v>
      </c>
      <c r="BK56">
        <v>9096.5243903496066</v>
      </c>
      <c r="BL56">
        <v>8.110908710596231</v>
      </c>
      <c r="BM56">
        <v>9334.0337441541415</v>
      </c>
      <c r="BN56">
        <v>5.9176097140133912</v>
      </c>
      <c r="BO56">
        <v>6809.9852588866106</v>
      </c>
      <c r="BP56">
        <v>13.749503354293768</v>
      </c>
      <c r="BQ56">
        <v>15822.928460121268</v>
      </c>
      <c r="BR56">
        <v>12.246224320890985</v>
      </c>
      <c r="BS56">
        <v>14092.954948481345</v>
      </c>
      <c r="BT56">
        <v>0</v>
      </c>
      <c r="BU56">
        <v>0</v>
      </c>
      <c r="BV56">
        <v>3.2670157068062826</v>
      </c>
      <c r="BW56">
        <v>3759.6816753926701</v>
      </c>
      <c r="BX56">
        <v>25</v>
      </c>
      <c r="BY56">
        <v>28770</v>
      </c>
      <c r="BZ56">
        <v>4.4103433320276979</v>
      </c>
      <c r="CA56">
        <v>5075.4231064974747</v>
      </c>
      <c r="CB56">
        <v>16</v>
      </c>
      <c r="CC56">
        <v>18412.8</v>
      </c>
      <c r="CD56">
        <v>8.301173801459278</v>
      </c>
      <c r="CE56">
        <v>9552.9908107193369</v>
      </c>
      <c r="CF56">
        <v>46</v>
      </c>
      <c r="CG56">
        <v>52936.799999999996</v>
      </c>
      <c r="CH56">
        <v>13.913414253556697</v>
      </c>
      <c r="CI56">
        <v>16011.557122993047</v>
      </c>
      <c r="CJ56">
        <v>21.621158758635215</v>
      </c>
      <c r="CK56">
        <v>24881.629499437404</v>
      </c>
      <c r="CL56">
        <v>22.973590861079646</v>
      </c>
      <c r="CM56">
        <v>26438.008362930457</v>
      </c>
      <c r="CN56">
        <v>6.9668785643501172</v>
      </c>
      <c r="CO56">
        <v>8017.4838518541146</v>
      </c>
      <c r="CP56">
        <v>9.8600839942761542</v>
      </c>
      <c r="CQ56">
        <v>11346.984660612998</v>
      </c>
      <c r="CR56">
        <v>6.751777682431932</v>
      </c>
      <c r="CS56">
        <v>7769.9457569426668</v>
      </c>
      <c r="CT56">
        <v>0</v>
      </c>
      <c r="CU56">
        <v>0</v>
      </c>
    </row>
    <row r="57" spans="2:99" x14ac:dyDescent="0.2">
      <c r="C57" s="116" t="s">
        <v>223</v>
      </c>
      <c r="D57">
        <v>31</v>
      </c>
      <c r="E57">
        <v>43747.200000000004</v>
      </c>
      <c r="F57">
        <v>47</v>
      </c>
      <c r="G57">
        <v>66326.400000000009</v>
      </c>
      <c r="H57">
        <v>44</v>
      </c>
      <c r="I57">
        <v>62092.800000000003</v>
      </c>
      <c r="J57">
        <v>60</v>
      </c>
      <c r="K57">
        <v>84672</v>
      </c>
      <c r="L57">
        <v>62</v>
      </c>
      <c r="M57">
        <v>87494.400000000009</v>
      </c>
      <c r="N57">
        <v>67</v>
      </c>
      <c r="O57">
        <v>94550.400000000009</v>
      </c>
      <c r="P57">
        <v>64</v>
      </c>
      <c r="Q57">
        <v>90316.800000000003</v>
      </c>
      <c r="R57">
        <v>48</v>
      </c>
      <c r="S57">
        <v>67737.600000000006</v>
      </c>
      <c r="T57">
        <v>4</v>
      </c>
      <c r="U57">
        <v>5644.8</v>
      </c>
      <c r="V57">
        <v>8</v>
      </c>
      <c r="W57">
        <v>11289.6</v>
      </c>
      <c r="X57">
        <v>5</v>
      </c>
      <c r="Y57">
        <v>7056</v>
      </c>
      <c r="Z57">
        <v>7</v>
      </c>
      <c r="AA57">
        <v>9878.4</v>
      </c>
      <c r="AB57">
        <v>14</v>
      </c>
      <c r="AC57">
        <v>19756.8</v>
      </c>
      <c r="AD57">
        <v>15</v>
      </c>
      <c r="AE57">
        <v>21168</v>
      </c>
      <c r="AF57">
        <v>18</v>
      </c>
      <c r="AG57">
        <v>25401.600000000002</v>
      </c>
      <c r="AH57">
        <v>18</v>
      </c>
      <c r="AI57">
        <v>25401.600000000002</v>
      </c>
      <c r="AJ57">
        <v>15</v>
      </c>
      <c r="AK57">
        <v>21168</v>
      </c>
      <c r="AL57">
        <v>21</v>
      </c>
      <c r="AM57">
        <v>29635.200000000001</v>
      </c>
      <c r="AN57">
        <v>22</v>
      </c>
      <c r="AO57">
        <v>31046.400000000001</v>
      </c>
      <c r="AP57">
        <v>18</v>
      </c>
      <c r="AQ57">
        <v>25401.600000000002</v>
      </c>
      <c r="AR57">
        <v>10</v>
      </c>
      <c r="AS57">
        <v>14112</v>
      </c>
      <c r="AT57">
        <v>15</v>
      </c>
      <c r="AU57">
        <v>21168</v>
      </c>
      <c r="AV57">
        <v>13</v>
      </c>
      <c r="AW57">
        <v>18345.600000000002</v>
      </c>
      <c r="AX57">
        <v>11</v>
      </c>
      <c r="AY57">
        <v>15523.2</v>
      </c>
      <c r="AZ57">
        <v>38</v>
      </c>
      <c r="BA57">
        <v>53625.599999999999</v>
      </c>
      <c r="BB57">
        <v>34</v>
      </c>
      <c r="BC57">
        <v>47980.800000000003</v>
      </c>
      <c r="BD57">
        <v>30</v>
      </c>
      <c r="BE57">
        <v>42336</v>
      </c>
      <c r="BF57">
        <v>24</v>
      </c>
      <c r="BG57">
        <v>33868.800000000003</v>
      </c>
      <c r="BH57">
        <v>9</v>
      </c>
      <c r="BI57">
        <v>12700.800000000001</v>
      </c>
      <c r="BJ57">
        <v>10</v>
      </c>
      <c r="BK57">
        <v>14112</v>
      </c>
      <c r="BL57">
        <v>13</v>
      </c>
      <c r="BM57">
        <v>18345.600000000002</v>
      </c>
      <c r="BN57">
        <v>11</v>
      </c>
      <c r="BO57">
        <v>15523.2</v>
      </c>
      <c r="BP57">
        <v>22</v>
      </c>
      <c r="BQ57">
        <v>31046.400000000001</v>
      </c>
      <c r="BR57">
        <v>21</v>
      </c>
      <c r="BS57">
        <v>29635.200000000001</v>
      </c>
      <c r="BT57">
        <v>12</v>
      </c>
      <c r="BU57">
        <v>16934.400000000001</v>
      </c>
      <c r="BV57">
        <v>12</v>
      </c>
      <c r="BW57">
        <v>16934.400000000001</v>
      </c>
      <c r="BX57">
        <v>25</v>
      </c>
      <c r="BY57">
        <v>35280</v>
      </c>
      <c r="BZ57">
        <v>22</v>
      </c>
      <c r="CA57">
        <v>31046.400000000001</v>
      </c>
      <c r="CB57">
        <v>16</v>
      </c>
      <c r="CC57">
        <v>22579.200000000001</v>
      </c>
      <c r="CD57">
        <v>24</v>
      </c>
      <c r="CE57">
        <v>33868.800000000003</v>
      </c>
      <c r="CF57">
        <v>43</v>
      </c>
      <c r="CG57">
        <v>60681.599999999999</v>
      </c>
      <c r="CH57">
        <v>30</v>
      </c>
      <c r="CI57">
        <v>42336</v>
      </c>
      <c r="CJ57">
        <v>33</v>
      </c>
      <c r="CK57">
        <v>46569.599999999999</v>
      </c>
      <c r="CL57">
        <v>50</v>
      </c>
      <c r="CM57">
        <v>70560</v>
      </c>
      <c r="CN57">
        <v>9</v>
      </c>
      <c r="CO57">
        <v>12700.800000000001</v>
      </c>
      <c r="CP57">
        <v>14</v>
      </c>
      <c r="CQ57">
        <v>19756.8</v>
      </c>
      <c r="CR57">
        <v>9</v>
      </c>
      <c r="CS57">
        <v>12700.800000000001</v>
      </c>
      <c r="CT57">
        <v>14</v>
      </c>
      <c r="CU57">
        <v>19756.8</v>
      </c>
    </row>
    <row r="58" spans="2:99" x14ac:dyDescent="0.2">
      <c r="C58" s="116" t="s">
        <v>224</v>
      </c>
      <c r="D58">
        <v>17.862232779097386</v>
      </c>
      <c r="E58">
        <v>21027.420427553443</v>
      </c>
      <c r="F58">
        <v>36.74658521096945</v>
      </c>
      <c r="G58">
        <v>43258.080110353236</v>
      </c>
      <c r="H58">
        <v>0</v>
      </c>
      <c r="I58">
        <v>0</v>
      </c>
      <c r="J58">
        <v>53.829557454465863</v>
      </c>
      <c r="K58">
        <v>63368.15503539722</v>
      </c>
      <c r="L58">
        <v>0</v>
      </c>
      <c r="M58">
        <v>0</v>
      </c>
      <c r="N58">
        <v>25.680155849836929</v>
      </c>
      <c r="O58">
        <v>30230.679466428035</v>
      </c>
      <c r="P58">
        <v>36.076743153508581</v>
      </c>
      <c r="Q58">
        <v>42469.542040310305</v>
      </c>
      <c r="R58">
        <v>11.411682982760418</v>
      </c>
      <c r="S58">
        <v>13433.833207305564</v>
      </c>
      <c r="T58">
        <v>2.4640290384086487</v>
      </c>
      <c r="U58">
        <v>2900.6549840146613</v>
      </c>
      <c r="V58">
        <v>4.9539742398426316</v>
      </c>
      <c r="W58">
        <v>5831.8184751427461</v>
      </c>
      <c r="X58">
        <v>3.2301710067764779</v>
      </c>
      <c r="Y58">
        <v>3802.5573091772699</v>
      </c>
      <c r="Z58">
        <v>4.6741314201873987</v>
      </c>
      <c r="AA58">
        <v>5502.3875078446063</v>
      </c>
      <c r="AB58">
        <v>0</v>
      </c>
      <c r="AC58">
        <v>0</v>
      </c>
      <c r="AD58">
        <v>8.5235596456523286</v>
      </c>
      <c r="AE58">
        <v>10033.934414861922</v>
      </c>
      <c r="AF58">
        <v>3.8381937911571025</v>
      </c>
      <c r="AG58">
        <v>4518.3217309501415</v>
      </c>
      <c r="AH58">
        <v>17</v>
      </c>
      <c r="AI58">
        <v>20012.400000000001</v>
      </c>
      <c r="AJ58">
        <v>12.43168928842629</v>
      </c>
      <c r="AK58">
        <v>14634.584630335428</v>
      </c>
      <c r="AL58">
        <v>0</v>
      </c>
      <c r="AM58">
        <v>0</v>
      </c>
      <c r="AN58">
        <v>28</v>
      </c>
      <c r="AO58">
        <v>32961.599999999999</v>
      </c>
      <c r="AP58">
        <v>20</v>
      </c>
      <c r="AQ58">
        <v>23544</v>
      </c>
      <c r="AR58">
        <v>7.7145471196652693</v>
      </c>
      <c r="AS58">
        <v>9081.564869269956</v>
      </c>
      <c r="AT58">
        <v>0</v>
      </c>
      <c r="AU58">
        <v>0</v>
      </c>
      <c r="AV58">
        <v>3.5174746335963922</v>
      </c>
      <c r="AW58">
        <v>4140.7711386696728</v>
      </c>
      <c r="AX58">
        <v>6.6558945614735681</v>
      </c>
      <c r="AY58">
        <v>7835.319077766685</v>
      </c>
      <c r="AZ58">
        <v>40</v>
      </c>
      <c r="BA58">
        <v>47088</v>
      </c>
      <c r="BB58">
        <v>34</v>
      </c>
      <c r="BC58">
        <v>40024.800000000003</v>
      </c>
      <c r="BD58">
        <v>25.440187083776802</v>
      </c>
      <c r="BE58">
        <v>29948.188235022051</v>
      </c>
      <c r="BF58">
        <v>0</v>
      </c>
      <c r="BG58">
        <v>0</v>
      </c>
      <c r="BH58">
        <v>9</v>
      </c>
      <c r="BI58">
        <v>10594.800000000001</v>
      </c>
      <c r="BJ58">
        <v>7.9045224108008405</v>
      </c>
      <c r="BK58">
        <v>9305.2037819947491</v>
      </c>
      <c r="BL58">
        <v>8.7348247652574766</v>
      </c>
      <c r="BM58">
        <v>10282.635713661102</v>
      </c>
      <c r="BN58">
        <v>5.9176097140133912</v>
      </c>
      <c r="BO58">
        <v>6966.2101553365646</v>
      </c>
      <c r="BP58">
        <v>15.05897986422651</v>
      </c>
      <c r="BQ58">
        <v>17727.431096167449</v>
      </c>
      <c r="BR58">
        <v>11.07991724271089</v>
      </c>
      <c r="BS58">
        <v>13043.27857811926</v>
      </c>
      <c r="BT58">
        <v>0</v>
      </c>
      <c r="BU58">
        <v>0</v>
      </c>
      <c r="BV58">
        <v>3.2670157068062826</v>
      </c>
      <c r="BW58">
        <v>3845.9308900523561</v>
      </c>
      <c r="BX58">
        <v>25</v>
      </c>
      <c r="BY58">
        <v>29430</v>
      </c>
      <c r="BZ58">
        <v>4.1898261654263127</v>
      </c>
      <c r="CA58">
        <v>4932.2633619398557</v>
      </c>
      <c r="CB58">
        <v>18</v>
      </c>
      <c r="CC58">
        <v>21189.600000000002</v>
      </c>
      <c r="CD58">
        <v>7.1561843116028268</v>
      </c>
      <c r="CE58">
        <v>8424.2601716188474</v>
      </c>
      <c r="CF58">
        <v>46</v>
      </c>
      <c r="CG58">
        <v>54151.200000000004</v>
      </c>
      <c r="CH58">
        <v>14.811053882818419</v>
      </c>
      <c r="CI58">
        <v>17435.572630853843</v>
      </c>
      <c r="CJ58">
        <v>19.767916579323622</v>
      </c>
      <c r="CK58">
        <v>23270.791397179768</v>
      </c>
      <c r="CL58">
        <v>20.372806990014023</v>
      </c>
      <c r="CM58">
        <v>23982.868388644511</v>
      </c>
      <c r="CN58">
        <v>7.7409761826112415</v>
      </c>
      <c r="CO58">
        <v>9112.6771621699536</v>
      </c>
      <c r="CP58">
        <v>9.1557922803992859</v>
      </c>
      <c r="CQ58">
        <v>10778.19867248604</v>
      </c>
      <c r="CR58">
        <v>6.751777682431932</v>
      </c>
      <c r="CS58">
        <v>7948.1926877588703</v>
      </c>
      <c r="CT58">
        <v>0</v>
      </c>
      <c r="CU58">
        <v>0</v>
      </c>
    </row>
    <row r="59" spans="2:99" x14ac:dyDescent="0.2">
      <c r="C59" s="116" t="s">
        <v>225</v>
      </c>
      <c r="D59">
        <v>38</v>
      </c>
      <c r="E59">
        <v>11536.8</v>
      </c>
      <c r="F59">
        <v>62</v>
      </c>
      <c r="G59">
        <v>18823.199999999997</v>
      </c>
      <c r="H59">
        <v>60</v>
      </c>
      <c r="I59">
        <v>18215.999999999996</v>
      </c>
      <c r="J59">
        <v>70</v>
      </c>
      <c r="K59">
        <v>21251.999999999996</v>
      </c>
      <c r="L59">
        <v>68</v>
      </c>
      <c r="M59">
        <v>20644.8</v>
      </c>
      <c r="N59">
        <v>84</v>
      </c>
      <c r="O59">
        <v>25502.399999999998</v>
      </c>
      <c r="P59">
        <v>82</v>
      </c>
      <c r="Q59">
        <v>24895.199999999997</v>
      </c>
      <c r="R59">
        <v>49</v>
      </c>
      <c r="S59">
        <v>14876.399999999998</v>
      </c>
      <c r="T59">
        <v>4</v>
      </c>
      <c r="U59">
        <v>1214.3999999999999</v>
      </c>
      <c r="V59">
        <v>8</v>
      </c>
      <c r="W59">
        <v>2428.7999999999997</v>
      </c>
      <c r="X59">
        <v>5</v>
      </c>
      <c r="Y59">
        <v>1517.9999999999998</v>
      </c>
      <c r="Z59">
        <v>8</v>
      </c>
      <c r="AA59">
        <v>2428.7999999999997</v>
      </c>
      <c r="AB59">
        <v>15</v>
      </c>
      <c r="AC59">
        <v>4553.9999999999991</v>
      </c>
      <c r="AD59">
        <v>18</v>
      </c>
      <c r="AE59">
        <v>5464.7999999999993</v>
      </c>
      <c r="AF59">
        <v>20</v>
      </c>
      <c r="AG59">
        <v>6071.9999999999991</v>
      </c>
      <c r="AH59">
        <v>19</v>
      </c>
      <c r="AI59">
        <v>5768.4</v>
      </c>
      <c r="AJ59">
        <v>19</v>
      </c>
      <c r="AK59">
        <v>5768.4</v>
      </c>
      <c r="AL59">
        <v>25</v>
      </c>
      <c r="AM59">
        <v>7589.9999999999991</v>
      </c>
      <c r="AN59">
        <v>30</v>
      </c>
      <c r="AO59">
        <v>9107.9999999999982</v>
      </c>
      <c r="AP59">
        <v>19</v>
      </c>
      <c r="AQ59">
        <v>5768.4</v>
      </c>
      <c r="AR59">
        <v>12</v>
      </c>
      <c r="AS59">
        <v>3643.2</v>
      </c>
      <c r="AT59">
        <v>16</v>
      </c>
      <c r="AU59">
        <v>4857.5999999999995</v>
      </c>
      <c r="AV59">
        <v>14</v>
      </c>
      <c r="AW59">
        <v>4250.3999999999996</v>
      </c>
      <c r="AX59">
        <v>12</v>
      </c>
      <c r="AY59">
        <v>3643.2</v>
      </c>
      <c r="AZ59">
        <v>45</v>
      </c>
      <c r="BA59">
        <v>13661.999999999998</v>
      </c>
      <c r="BB59">
        <v>34</v>
      </c>
      <c r="BC59">
        <v>10322.4</v>
      </c>
      <c r="BD59">
        <v>43</v>
      </c>
      <c r="BE59">
        <v>13054.8</v>
      </c>
      <c r="BF59">
        <v>27</v>
      </c>
      <c r="BG59">
        <v>8197.1999999999989</v>
      </c>
      <c r="BH59">
        <v>8</v>
      </c>
      <c r="BI59">
        <v>2428.7999999999997</v>
      </c>
      <c r="BJ59">
        <v>13</v>
      </c>
      <c r="BK59">
        <v>3946.7999999999997</v>
      </c>
      <c r="BL59">
        <v>14</v>
      </c>
      <c r="BM59">
        <v>4250.3999999999996</v>
      </c>
      <c r="BN59">
        <v>11</v>
      </c>
      <c r="BO59">
        <v>3339.5999999999995</v>
      </c>
      <c r="BP59">
        <v>24</v>
      </c>
      <c r="BQ59">
        <v>7286.4</v>
      </c>
      <c r="BR59">
        <v>20</v>
      </c>
      <c r="BS59">
        <v>6071.9999999999991</v>
      </c>
      <c r="BT59">
        <v>15</v>
      </c>
      <c r="BU59">
        <v>4553.9999999999991</v>
      </c>
      <c r="BV59">
        <v>14</v>
      </c>
      <c r="BW59">
        <v>4250.3999999999996</v>
      </c>
      <c r="BX59">
        <v>24</v>
      </c>
      <c r="BY59">
        <v>7286.4</v>
      </c>
      <c r="BZ59">
        <v>22</v>
      </c>
      <c r="CA59">
        <v>6679.1999999999989</v>
      </c>
      <c r="CB59">
        <v>17</v>
      </c>
      <c r="CC59">
        <v>5161.2</v>
      </c>
      <c r="CD59">
        <v>29</v>
      </c>
      <c r="CE59">
        <v>8804.4</v>
      </c>
      <c r="CF59">
        <v>46</v>
      </c>
      <c r="CG59">
        <v>13965.599999999999</v>
      </c>
      <c r="CH59">
        <v>35</v>
      </c>
      <c r="CI59">
        <v>10625.999999999998</v>
      </c>
      <c r="CJ59">
        <v>37</v>
      </c>
      <c r="CK59">
        <v>11233.199999999999</v>
      </c>
      <c r="CL59">
        <v>57</v>
      </c>
      <c r="CM59">
        <v>17305.199999999997</v>
      </c>
      <c r="CN59">
        <v>11</v>
      </c>
      <c r="CO59">
        <v>3339.5999999999995</v>
      </c>
      <c r="CP59">
        <v>15</v>
      </c>
      <c r="CQ59">
        <v>4553.9999999999991</v>
      </c>
      <c r="CR59">
        <v>11</v>
      </c>
      <c r="CS59">
        <v>3339.5999999999995</v>
      </c>
      <c r="CT59">
        <v>16</v>
      </c>
      <c r="CU59">
        <v>4857.5999999999995</v>
      </c>
    </row>
    <row r="60" spans="2:99" x14ac:dyDescent="0.2">
      <c r="C60" s="116" t="s">
        <v>226</v>
      </c>
      <c r="D60">
        <v>36</v>
      </c>
      <c r="E60">
        <v>23457.600000000002</v>
      </c>
      <c r="F60">
        <v>60</v>
      </c>
      <c r="G60">
        <v>39096</v>
      </c>
      <c r="H60">
        <v>50</v>
      </c>
      <c r="I60">
        <v>32580</v>
      </c>
      <c r="J60">
        <v>64</v>
      </c>
      <c r="K60">
        <v>41702.400000000001</v>
      </c>
      <c r="L60">
        <v>63</v>
      </c>
      <c r="M60">
        <v>41050.800000000003</v>
      </c>
      <c r="N60">
        <v>71</v>
      </c>
      <c r="O60">
        <v>46263.6</v>
      </c>
      <c r="P60">
        <v>78</v>
      </c>
      <c r="Q60">
        <v>50824.800000000003</v>
      </c>
      <c r="R60">
        <v>46</v>
      </c>
      <c r="S60">
        <v>29973.600000000002</v>
      </c>
      <c r="T60">
        <v>4</v>
      </c>
      <c r="U60">
        <v>2606.4</v>
      </c>
      <c r="V60">
        <v>8</v>
      </c>
      <c r="W60">
        <v>5212.8</v>
      </c>
      <c r="X60">
        <v>5</v>
      </c>
      <c r="Y60">
        <v>3258</v>
      </c>
      <c r="Z60">
        <v>7</v>
      </c>
      <c r="AA60">
        <v>4561.2</v>
      </c>
      <c r="AB60">
        <v>12</v>
      </c>
      <c r="AC60">
        <v>7819.2000000000007</v>
      </c>
      <c r="AD60">
        <v>16</v>
      </c>
      <c r="AE60">
        <v>10425.6</v>
      </c>
      <c r="AF60">
        <v>18</v>
      </c>
      <c r="AG60">
        <v>11728.800000000001</v>
      </c>
      <c r="AH60">
        <v>17</v>
      </c>
      <c r="AI60">
        <v>11077.2</v>
      </c>
      <c r="AJ60">
        <v>16</v>
      </c>
      <c r="AK60">
        <v>10425.6</v>
      </c>
      <c r="AL60">
        <v>26</v>
      </c>
      <c r="AM60">
        <v>16941.600000000002</v>
      </c>
      <c r="AN60">
        <v>26</v>
      </c>
      <c r="AO60">
        <v>16941.600000000002</v>
      </c>
      <c r="AP60">
        <v>21</v>
      </c>
      <c r="AQ60">
        <v>13683.6</v>
      </c>
      <c r="AR60">
        <v>10</v>
      </c>
      <c r="AS60">
        <v>6516</v>
      </c>
      <c r="AT60">
        <v>16</v>
      </c>
      <c r="AU60">
        <v>10425.6</v>
      </c>
      <c r="AV60">
        <v>13</v>
      </c>
      <c r="AW60">
        <v>8470.8000000000011</v>
      </c>
      <c r="AX60">
        <v>10</v>
      </c>
      <c r="AY60">
        <v>6516</v>
      </c>
      <c r="AZ60">
        <v>45</v>
      </c>
      <c r="BA60">
        <v>29322</v>
      </c>
      <c r="BB60">
        <v>33</v>
      </c>
      <c r="BC60">
        <v>21502.799999999999</v>
      </c>
      <c r="BD60">
        <v>40</v>
      </c>
      <c r="BE60">
        <v>26064</v>
      </c>
      <c r="BF60">
        <v>26</v>
      </c>
      <c r="BG60">
        <v>16941.600000000002</v>
      </c>
      <c r="BH60">
        <v>9</v>
      </c>
      <c r="BI60">
        <v>5864.4000000000005</v>
      </c>
      <c r="BJ60">
        <v>13</v>
      </c>
      <c r="BK60">
        <v>8470.8000000000011</v>
      </c>
      <c r="BL60">
        <v>14</v>
      </c>
      <c r="BM60">
        <v>9122.4</v>
      </c>
      <c r="BN60">
        <v>11</v>
      </c>
      <c r="BO60">
        <v>7167.6</v>
      </c>
      <c r="BP60">
        <v>26</v>
      </c>
      <c r="BQ60">
        <v>16941.600000000002</v>
      </c>
      <c r="BR60">
        <v>22</v>
      </c>
      <c r="BS60">
        <v>14335.2</v>
      </c>
      <c r="BT60">
        <v>14</v>
      </c>
      <c r="BU60">
        <v>9122.4</v>
      </c>
      <c r="BV60">
        <v>13</v>
      </c>
      <c r="BW60">
        <v>8470.8000000000011</v>
      </c>
      <c r="BX60">
        <v>27</v>
      </c>
      <c r="BY60">
        <v>17593.2</v>
      </c>
      <c r="BZ60">
        <v>22</v>
      </c>
      <c r="CA60">
        <v>14335.2</v>
      </c>
      <c r="CB60">
        <v>19</v>
      </c>
      <c r="CC60">
        <v>12380.4</v>
      </c>
      <c r="CD60">
        <v>28</v>
      </c>
      <c r="CE60">
        <v>18244.8</v>
      </c>
      <c r="CF60">
        <v>46</v>
      </c>
      <c r="CG60">
        <v>29973.600000000002</v>
      </c>
      <c r="CH60">
        <v>33</v>
      </c>
      <c r="CI60">
        <v>21502.799999999999</v>
      </c>
      <c r="CJ60">
        <v>35</v>
      </c>
      <c r="CK60">
        <v>22806</v>
      </c>
      <c r="CL60">
        <v>48</v>
      </c>
      <c r="CM60">
        <v>31276.800000000003</v>
      </c>
      <c r="CN60">
        <v>10</v>
      </c>
      <c r="CO60">
        <v>6516</v>
      </c>
      <c r="CP60">
        <v>16</v>
      </c>
      <c r="CQ60">
        <v>10425.6</v>
      </c>
      <c r="CR60">
        <v>11</v>
      </c>
      <c r="CS60">
        <v>7167.6</v>
      </c>
      <c r="CT60">
        <v>15</v>
      </c>
      <c r="CU60">
        <v>9774</v>
      </c>
    </row>
    <row r="61" spans="2:99" x14ac:dyDescent="0.2">
      <c r="C61" s="116" t="s">
        <v>227</v>
      </c>
      <c r="D61">
        <v>33</v>
      </c>
      <c r="E61">
        <v>31402.799999999996</v>
      </c>
      <c r="F61">
        <v>53</v>
      </c>
      <c r="G61">
        <v>50434.799999999996</v>
      </c>
      <c r="H61">
        <v>49</v>
      </c>
      <c r="I61">
        <v>46628.399999999994</v>
      </c>
      <c r="J61">
        <v>69</v>
      </c>
      <c r="K61">
        <v>65660.399999999994</v>
      </c>
      <c r="L61">
        <v>60</v>
      </c>
      <c r="M61">
        <v>57095.999999999993</v>
      </c>
      <c r="N61">
        <v>65</v>
      </c>
      <c r="O61">
        <v>61853.999999999993</v>
      </c>
      <c r="P61">
        <v>64</v>
      </c>
      <c r="Q61">
        <v>60902.399999999994</v>
      </c>
      <c r="R61">
        <v>43</v>
      </c>
      <c r="S61">
        <v>40918.799999999996</v>
      </c>
      <c r="T61">
        <v>4</v>
      </c>
      <c r="U61">
        <v>3806.3999999999996</v>
      </c>
      <c r="V61">
        <v>8</v>
      </c>
      <c r="W61">
        <v>7612.7999999999993</v>
      </c>
      <c r="X61">
        <v>5</v>
      </c>
      <c r="Y61">
        <v>4758</v>
      </c>
      <c r="Z61">
        <v>8</v>
      </c>
      <c r="AA61">
        <v>7612.7999999999993</v>
      </c>
      <c r="AB61">
        <v>13</v>
      </c>
      <c r="AC61">
        <v>12370.8</v>
      </c>
      <c r="AD61">
        <v>16</v>
      </c>
      <c r="AE61">
        <v>15225.599999999999</v>
      </c>
      <c r="AF61">
        <v>18</v>
      </c>
      <c r="AG61">
        <v>17128.8</v>
      </c>
      <c r="AH61">
        <v>17</v>
      </c>
      <c r="AI61">
        <v>16177.199999999999</v>
      </c>
      <c r="AJ61">
        <v>17</v>
      </c>
      <c r="AK61">
        <v>16177.199999999999</v>
      </c>
      <c r="AL61">
        <v>22</v>
      </c>
      <c r="AM61">
        <v>20935.199999999997</v>
      </c>
      <c r="AN61">
        <v>26</v>
      </c>
      <c r="AO61">
        <v>24741.599999999999</v>
      </c>
      <c r="AP61">
        <v>19</v>
      </c>
      <c r="AQ61">
        <v>18080.399999999998</v>
      </c>
      <c r="AR61">
        <v>11</v>
      </c>
      <c r="AS61">
        <v>10467.599999999999</v>
      </c>
      <c r="AT61">
        <v>16</v>
      </c>
      <c r="AU61">
        <v>15225.599999999999</v>
      </c>
      <c r="AV61">
        <v>13</v>
      </c>
      <c r="AW61">
        <v>12370.8</v>
      </c>
      <c r="AX61">
        <v>11</v>
      </c>
      <c r="AY61">
        <v>10467.599999999999</v>
      </c>
      <c r="AZ61">
        <v>45</v>
      </c>
      <c r="BA61">
        <v>42821.999999999993</v>
      </c>
      <c r="BB61">
        <v>36</v>
      </c>
      <c r="BC61">
        <v>34257.599999999999</v>
      </c>
      <c r="BD61">
        <v>34</v>
      </c>
      <c r="BE61">
        <v>32354.399999999998</v>
      </c>
      <c r="BF61">
        <v>23</v>
      </c>
      <c r="BG61">
        <v>21886.799999999999</v>
      </c>
      <c r="BH61">
        <v>8</v>
      </c>
      <c r="BI61">
        <v>7612.7999999999993</v>
      </c>
      <c r="BJ61">
        <v>11</v>
      </c>
      <c r="BK61">
        <v>10467.599999999999</v>
      </c>
      <c r="BL61">
        <v>13</v>
      </c>
      <c r="BM61">
        <v>12370.8</v>
      </c>
      <c r="BN61">
        <v>11</v>
      </c>
      <c r="BO61">
        <v>10467.599999999999</v>
      </c>
      <c r="BP61">
        <v>25</v>
      </c>
      <c r="BQ61">
        <v>23789.999999999996</v>
      </c>
      <c r="BR61">
        <v>19</v>
      </c>
      <c r="BS61">
        <v>18080.399999999998</v>
      </c>
      <c r="BT61">
        <v>14</v>
      </c>
      <c r="BU61">
        <v>13322.399999999998</v>
      </c>
      <c r="BV61">
        <v>13</v>
      </c>
      <c r="BW61">
        <v>12370.8</v>
      </c>
      <c r="BX61">
        <v>22</v>
      </c>
      <c r="BY61">
        <v>20935.199999999997</v>
      </c>
      <c r="BZ61">
        <v>21</v>
      </c>
      <c r="CA61">
        <v>19983.599999999999</v>
      </c>
      <c r="CB61">
        <v>18</v>
      </c>
      <c r="CC61">
        <v>17128.8</v>
      </c>
      <c r="CD61">
        <v>27</v>
      </c>
      <c r="CE61">
        <v>25693.199999999997</v>
      </c>
      <c r="CF61">
        <v>46</v>
      </c>
      <c r="CG61">
        <v>43773.599999999999</v>
      </c>
      <c r="CH61">
        <v>31</v>
      </c>
      <c r="CI61">
        <v>29499.599999999999</v>
      </c>
      <c r="CJ61">
        <v>34</v>
      </c>
      <c r="CK61">
        <v>32354.399999999998</v>
      </c>
      <c r="CL61">
        <v>50</v>
      </c>
      <c r="CM61">
        <v>47579.999999999993</v>
      </c>
      <c r="CN61">
        <v>11</v>
      </c>
      <c r="CO61">
        <v>10467.599999999999</v>
      </c>
      <c r="CP61">
        <v>15</v>
      </c>
      <c r="CQ61">
        <v>14273.999999999998</v>
      </c>
      <c r="CR61">
        <v>9</v>
      </c>
      <c r="CS61">
        <v>8564.4</v>
      </c>
      <c r="CT61">
        <v>16</v>
      </c>
      <c r="CU61">
        <v>15225.599999999999</v>
      </c>
    </row>
    <row r="62" spans="2:99" x14ac:dyDescent="0.2">
      <c r="C62" s="116" t="s">
        <v>228</v>
      </c>
      <c r="D62">
        <v>28</v>
      </c>
      <c r="E62">
        <v>47745.599999999999</v>
      </c>
      <c r="F62">
        <v>45</v>
      </c>
      <c r="G62">
        <v>76734</v>
      </c>
      <c r="H62">
        <v>43</v>
      </c>
      <c r="I62">
        <v>73323.600000000006</v>
      </c>
      <c r="J62">
        <v>52</v>
      </c>
      <c r="K62">
        <v>88670.400000000009</v>
      </c>
      <c r="L62">
        <v>58</v>
      </c>
      <c r="M62">
        <v>98901.6</v>
      </c>
      <c r="N62">
        <v>66</v>
      </c>
      <c r="O62">
        <v>112543.2</v>
      </c>
      <c r="P62">
        <v>57</v>
      </c>
      <c r="Q62">
        <v>97196.400000000009</v>
      </c>
      <c r="R62">
        <v>42</v>
      </c>
      <c r="S62">
        <v>71618.400000000009</v>
      </c>
      <c r="T62">
        <v>4</v>
      </c>
      <c r="U62">
        <v>6820.8</v>
      </c>
      <c r="V62">
        <v>8</v>
      </c>
      <c r="W62">
        <v>13641.6</v>
      </c>
      <c r="X62">
        <v>4</v>
      </c>
      <c r="Y62">
        <v>6820.8</v>
      </c>
      <c r="Z62">
        <v>7</v>
      </c>
      <c r="AA62">
        <v>11936.4</v>
      </c>
      <c r="AB62">
        <v>12</v>
      </c>
      <c r="AC62">
        <v>20462.400000000001</v>
      </c>
      <c r="AD62">
        <v>15</v>
      </c>
      <c r="AE62">
        <v>25578</v>
      </c>
      <c r="AF62">
        <v>17</v>
      </c>
      <c r="AG62">
        <v>28988.400000000001</v>
      </c>
      <c r="AH62">
        <v>16</v>
      </c>
      <c r="AI62">
        <v>27283.200000000001</v>
      </c>
      <c r="AJ62">
        <v>14</v>
      </c>
      <c r="AK62">
        <v>23872.799999999999</v>
      </c>
      <c r="AL62">
        <v>22</v>
      </c>
      <c r="AM62">
        <v>37514.400000000001</v>
      </c>
      <c r="AN62">
        <v>24</v>
      </c>
      <c r="AO62">
        <v>40924.800000000003</v>
      </c>
      <c r="AP62">
        <v>16</v>
      </c>
      <c r="AQ62">
        <v>27283.200000000001</v>
      </c>
      <c r="AR62">
        <v>10</v>
      </c>
      <c r="AS62">
        <v>17052</v>
      </c>
      <c r="AT62">
        <v>14</v>
      </c>
      <c r="AU62">
        <v>23872.799999999999</v>
      </c>
      <c r="AV62">
        <v>12</v>
      </c>
      <c r="AW62">
        <v>20462.400000000001</v>
      </c>
      <c r="AX62">
        <v>9</v>
      </c>
      <c r="AY62">
        <v>15346.800000000001</v>
      </c>
      <c r="AZ62">
        <v>38</v>
      </c>
      <c r="BA62">
        <v>64797.599999999999</v>
      </c>
      <c r="BB62">
        <v>30</v>
      </c>
      <c r="BC62">
        <v>51156</v>
      </c>
      <c r="BD62">
        <v>31</v>
      </c>
      <c r="BE62">
        <v>52861.200000000004</v>
      </c>
      <c r="BF62">
        <v>22</v>
      </c>
      <c r="BG62">
        <v>37514.400000000001</v>
      </c>
      <c r="BH62">
        <v>8</v>
      </c>
      <c r="BI62">
        <v>13641.6</v>
      </c>
      <c r="BJ62">
        <v>10</v>
      </c>
      <c r="BK62">
        <v>17052</v>
      </c>
      <c r="BL62">
        <v>12</v>
      </c>
      <c r="BM62">
        <v>20462.400000000001</v>
      </c>
      <c r="BN62">
        <v>11</v>
      </c>
      <c r="BO62">
        <v>18757.2</v>
      </c>
      <c r="BP62">
        <v>19</v>
      </c>
      <c r="BQ62">
        <v>32398.799999999999</v>
      </c>
      <c r="BR62">
        <v>19</v>
      </c>
      <c r="BS62">
        <v>32398.799999999999</v>
      </c>
      <c r="BT62">
        <v>11</v>
      </c>
      <c r="BU62">
        <v>18757.2</v>
      </c>
      <c r="BV62">
        <v>12</v>
      </c>
      <c r="BW62">
        <v>20462.400000000001</v>
      </c>
      <c r="BX62">
        <v>21</v>
      </c>
      <c r="BY62">
        <v>35809.200000000004</v>
      </c>
      <c r="BZ62">
        <v>19</v>
      </c>
      <c r="CA62">
        <v>32398.799999999999</v>
      </c>
      <c r="CB62">
        <v>16</v>
      </c>
      <c r="CC62">
        <v>27283.200000000001</v>
      </c>
      <c r="CD62">
        <v>23</v>
      </c>
      <c r="CE62">
        <v>39219.599999999999</v>
      </c>
      <c r="CF62">
        <v>42</v>
      </c>
      <c r="CG62">
        <v>71618.400000000009</v>
      </c>
      <c r="CH62">
        <v>27</v>
      </c>
      <c r="CI62">
        <v>46040.4</v>
      </c>
      <c r="CJ62">
        <v>31</v>
      </c>
      <c r="CK62">
        <v>52861.200000000004</v>
      </c>
      <c r="CL62">
        <v>44</v>
      </c>
      <c r="CM62">
        <v>75028.800000000003</v>
      </c>
      <c r="CN62">
        <v>10</v>
      </c>
      <c r="CO62">
        <v>17052</v>
      </c>
      <c r="CP62">
        <v>13</v>
      </c>
      <c r="CQ62">
        <v>22167.600000000002</v>
      </c>
      <c r="CR62">
        <v>9</v>
      </c>
      <c r="CS62">
        <v>15346.800000000001</v>
      </c>
      <c r="CT62">
        <v>16</v>
      </c>
      <c r="CU62">
        <v>27283.200000000001</v>
      </c>
    </row>
    <row r="63" spans="2:99" x14ac:dyDescent="0.2">
      <c r="C63" s="116" t="s">
        <v>229</v>
      </c>
      <c r="D63">
        <v>36</v>
      </c>
      <c r="E63">
        <v>28641.600000000002</v>
      </c>
      <c r="F63">
        <v>59</v>
      </c>
      <c r="G63">
        <v>46940.4</v>
      </c>
      <c r="H63">
        <v>47</v>
      </c>
      <c r="I63">
        <v>37393.200000000004</v>
      </c>
      <c r="J63">
        <v>64</v>
      </c>
      <c r="K63">
        <v>50918.400000000001</v>
      </c>
      <c r="L63">
        <v>73</v>
      </c>
      <c r="M63">
        <v>58078.8</v>
      </c>
      <c r="N63">
        <v>68</v>
      </c>
      <c r="O63">
        <v>54100.800000000003</v>
      </c>
      <c r="P63">
        <v>69</v>
      </c>
      <c r="Q63">
        <v>54896.4</v>
      </c>
      <c r="R63">
        <v>44</v>
      </c>
      <c r="S63">
        <v>35006.400000000001</v>
      </c>
      <c r="T63">
        <v>4</v>
      </c>
      <c r="U63">
        <v>3182.4</v>
      </c>
      <c r="V63">
        <v>8</v>
      </c>
      <c r="W63">
        <v>6364.8</v>
      </c>
      <c r="X63">
        <v>5</v>
      </c>
      <c r="Y63">
        <v>3978</v>
      </c>
      <c r="Z63">
        <v>7</v>
      </c>
      <c r="AA63">
        <v>5569.2</v>
      </c>
      <c r="AB63">
        <v>13</v>
      </c>
      <c r="AC63">
        <v>10342.800000000001</v>
      </c>
      <c r="AD63">
        <v>16</v>
      </c>
      <c r="AE63">
        <v>12729.6</v>
      </c>
      <c r="AF63">
        <v>20</v>
      </c>
      <c r="AG63">
        <v>15912</v>
      </c>
      <c r="AH63">
        <v>19</v>
      </c>
      <c r="AI63">
        <v>15116.4</v>
      </c>
      <c r="AJ63">
        <v>17</v>
      </c>
      <c r="AK63">
        <v>13525.2</v>
      </c>
      <c r="AL63">
        <v>25</v>
      </c>
      <c r="AM63">
        <v>19890</v>
      </c>
      <c r="AN63">
        <v>26</v>
      </c>
      <c r="AO63">
        <v>20685.600000000002</v>
      </c>
      <c r="AP63">
        <v>17</v>
      </c>
      <c r="AQ63">
        <v>13525.2</v>
      </c>
      <c r="AR63">
        <v>12</v>
      </c>
      <c r="AS63">
        <v>9547.2000000000007</v>
      </c>
      <c r="AT63">
        <v>15</v>
      </c>
      <c r="AU63">
        <v>11934</v>
      </c>
      <c r="AV63">
        <v>12</v>
      </c>
      <c r="AW63">
        <v>9547.2000000000007</v>
      </c>
      <c r="AX63">
        <v>10</v>
      </c>
      <c r="AY63">
        <v>7956</v>
      </c>
      <c r="AZ63">
        <v>49</v>
      </c>
      <c r="BA63">
        <v>38984.400000000001</v>
      </c>
      <c r="BB63">
        <v>33</v>
      </c>
      <c r="BC63">
        <v>26254.799999999999</v>
      </c>
      <c r="BD63">
        <v>38</v>
      </c>
      <c r="BE63">
        <v>30232.799999999999</v>
      </c>
      <c r="BF63">
        <v>26</v>
      </c>
      <c r="BG63">
        <v>20685.600000000002</v>
      </c>
      <c r="BH63">
        <v>9</v>
      </c>
      <c r="BI63">
        <v>7160.4000000000005</v>
      </c>
      <c r="BJ63">
        <v>12</v>
      </c>
      <c r="BK63">
        <v>9547.2000000000007</v>
      </c>
      <c r="BL63">
        <v>13</v>
      </c>
      <c r="BM63">
        <v>10342.800000000001</v>
      </c>
      <c r="BN63">
        <v>10</v>
      </c>
      <c r="BO63">
        <v>7956</v>
      </c>
      <c r="BP63">
        <v>23</v>
      </c>
      <c r="BQ63">
        <v>18298.8</v>
      </c>
      <c r="BR63">
        <v>19</v>
      </c>
      <c r="BS63">
        <v>15116.4</v>
      </c>
      <c r="BT63">
        <v>13</v>
      </c>
      <c r="BU63">
        <v>10342.800000000001</v>
      </c>
      <c r="BV63">
        <v>14</v>
      </c>
      <c r="BW63">
        <v>11138.4</v>
      </c>
      <c r="BX63">
        <v>26</v>
      </c>
      <c r="BY63">
        <v>20685.600000000002</v>
      </c>
      <c r="BZ63">
        <v>23</v>
      </c>
      <c r="CA63">
        <v>18298.8</v>
      </c>
      <c r="CB63">
        <v>16</v>
      </c>
      <c r="CC63">
        <v>12729.6</v>
      </c>
      <c r="CD63">
        <v>29</v>
      </c>
      <c r="CE63">
        <v>23072.400000000001</v>
      </c>
      <c r="CF63">
        <v>46</v>
      </c>
      <c r="CG63">
        <v>36597.599999999999</v>
      </c>
      <c r="CH63">
        <v>34</v>
      </c>
      <c r="CI63">
        <v>27050.400000000001</v>
      </c>
      <c r="CJ63">
        <v>34</v>
      </c>
      <c r="CK63">
        <v>27050.400000000001</v>
      </c>
      <c r="CL63">
        <v>51</v>
      </c>
      <c r="CM63">
        <v>40575.599999999999</v>
      </c>
      <c r="CN63">
        <v>10</v>
      </c>
      <c r="CO63">
        <v>7956</v>
      </c>
      <c r="CP63">
        <v>13</v>
      </c>
      <c r="CQ63">
        <v>10342.800000000001</v>
      </c>
      <c r="CR63">
        <v>10</v>
      </c>
      <c r="CS63">
        <v>7956</v>
      </c>
      <c r="CT63">
        <v>16</v>
      </c>
      <c r="CU63">
        <v>12729.6</v>
      </c>
    </row>
    <row r="64" spans="2:99" x14ac:dyDescent="0.2">
      <c r="C64" s="116" t="s">
        <v>230</v>
      </c>
      <c r="D64">
        <v>33</v>
      </c>
      <c r="E64">
        <v>33303.599999999991</v>
      </c>
      <c r="F64">
        <v>60</v>
      </c>
      <c r="G64">
        <v>60551.999999999985</v>
      </c>
      <c r="H64">
        <v>50</v>
      </c>
      <c r="I64">
        <v>50459.999999999993</v>
      </c>
      <c r="J64">
        <v>68</v>
      </c>
      <c r="K64">
        <v>68625.599999999991</v>
      </c>
      <c r="L64">
        <v>58</v>
      </c>
      <c r="M64">
        <v>58533.599999999991</v>
      </c>
      <c r="N64">
        <v>74</v>
      </c>
      <c r="O64">
        <v>74680.799999999988</v>
      </c>
      <c r="P64">
        <v>73</v>
      </c>
      <c r="Q64">
        <v>73671.599999999991</v>
      </c>
      <c r="R64">
        <v>45</v>
      </c>
      <c r="S64">
        <v>45413.999999999993</v>
      </c>
      <c r="T64">
        <v>4</v>
      </c>
      <c r="U64">
        <v>4036.7999999999993</v>
      </c>
      <c r="V64">
        <v>8</v>
      </c>
      <c r="W64">
        <v>8073.5999999999985</v>
      </c>
      <c r="X64">
        <v>4</v>
      </c>
      <c r="Y64">
        <v>4036.7999999999993</v>
      </c>
      <c r="Z64">
        <v>7</v>
      </c>
      <c r="AA64">
        <v>7064.3999999999987</v>
      </c>
      <c r="AB64">
        <v>14</v>
      </c>
      <c r="AC64">
        <v>14128.799999999997</v>
      </c>
      <c r="AD64">
        <v>15</v>
      </c>
      <c r="AE64">
        <v>15137.999999999996</v>
      </c>
      <c r="AF64">
        <v>18</v>
      </c>
      <c r="AG64">
        <v>18165.599999999999</v>
      </c>
      <c r="AH64">
        <v>18</v>
      </c>
      <c r="AI64">
        <v>18165.599999999999</v>
      </c>
      <c r="AJ64">
        <v>16</v>
      </c>
      <c r="AK64">
        <v>16147.199999999997</v>
      </c>
      <c r="AL64">
        <v>25</v>
      </c>
      <c r="AM64">
        <v>25229.999999999996</v>
      </c>
      <c r="AN64">
        <v>23</v>
      </c>
      <c r="AO64">
        <v>23211.599999999995</v>
      </c>
      <c r="AP64">
        <v>19</v>
      </c>
      <c r="AQ64">
        <v>19174.799999999996</v>
      </c>
      <c r="AR64">
        <v>10</v>
      </c>
      <c r="AS64">
        <v>10091.999999999998</v>
      </c>
      <c r="AT64">
        <v>15</v>
      </c>
      <c r="AU64">
        <v>15137.999999999996</v>
      </c>
      <c r="AV64">
        <v>12</v>
      </c>
      <c r="AW64">
        <v>12110.399999999998</v>
      </c>
      <c r="AX64">
        <v>11</v>
      </c>
      <c r="AY64">
        <v>11101.199999999997</v>
      </c>
      <c r="AZ64">
        <v>42</v>
      </c>
      <c r="BA64">
        <v>42386.399999999994</v>
      </c>
      <c r="BB64">
        <v>34</v>
      </c>
      <c r="BC64">
        <v>34312.799999999996</v>
      </c>
      <c r="BD64">
        <v>32</v>
      </c>
      <c r="BE64">
        <v>32294.399999999994</v>
      </c>
      <c r="BF64">
        <v>25</v>
      </c>
      <c r="BG64">
        <v>25229.999999999996</v>
      </c>
      <c r="BH64">
        <v>9</v>
      </c>
      <c r="BI64">
        <v>9082.7999999999993</v>
      </c>
      <c r="BJ64">
        <v>11</v>
      </c>
      <c r="BK64">
        <v>11101.199999999997</v>
      </c>
      <c r="BL64">
        <v>14</v>
      </c>
      <c r="BM64">
        <v>14128.799999999997</v>
      </c>
      <c r="BN64">
        <v>11</v>
      </c>
      <c r="BO64">
        <v>11101.199999999997</v>
      </c>
      <c r="BP64">
        <v>24</v>
      </c>
      <c r="BQ64">
        <v>24220.799999999996</v>
      </c>
      <c r="BR64">
        <v>22</v>
      </c>
      <c r="BS64">
        <v>22202.399999999994</v>
      </c>
      <c r="BT64">
        <v>14</v>
      </c>
      <c r="BU64">
        <v>14128.799999999997</v>
      </c>
      <c r="BV64">
        <v>12</v>
      </c>
      <c r="BW64">
        <v>12110.399999999998</v>
      </c>
      <c r="BX64">
        <v>23</v>
      </c>
      <c r="BY64">
        <v>23211.599999999995</v>
      </c>
      <c r="BZ64">
        <v>22</v>
      </c>
      <c r="CA64">
        <v>22202.399999999994</v>
      </c>
      <c r="CB64">
        <v>19</v>
      </c>
      <c r="CC64">
        <v>19174.799999999996</v>
      </c>
      <c r="CD64">
        <v>29</v>
      </c>
      <c r="CE64">
        <v>29266.799999999996</v>
      </c>
      <c r="CF64">
        <v>44</v>
      </c>
      <c r="CG64">
        <v>44404.799999999988</v>
      </c>
      <c r="CH64">
        <v>31</v>
      </c>
      <c r="CI64">
        <v>31285.199999999993</v>
      </c>
      <c r="CJ64">
        <v>30</v>
      </c>
      <c r="CK64">
        <v>30275.999999999993</v>
      </c>
      <c r="CL64">
        <v>46</v>
      </c>
      <c r="CM64">
        <v>46423.19999999999</v>
      </c>
      <c r="CN64">
        <v>11</v>
      </c>
      <c r="CO64">
        <v>11101.199999999997</v>
      </c>
      <c r="CP64">
        <v>14</v>
      </c>
      <c r="CQ64">
        <v>14128.799999999997</v>
      </c>
      <c r="CR64">
        <v>9</v>
      </c>
      <c r="CS64">
        <v>9082.7999999999993</v>
      </c>
      <c r="CT64">
        <v>16</v>
      </c>
      <c r="CU64">
        <v>16147.199999999997</v>
      </c>
    </row>
    <row r="65" spans="2:99" x14ac:dyDescent="0.2">
      <c r="C65" s="116" t="s">
        <v>231</v>
      </c>
      <c r="D65">
        <v>31</v>
      </c>
      <c r="E65">
        <v>31806</v>
      </c>
      <c r="F65">
        <v>52</v>
      </c>
      <c r="G65">
        <v>53352</v>
      </c>
      <c r="H65">
        <v>47</v>
      </c>
      <c r="I65">
        <v>48222</v>
      </c>
      <c r="J65">
        <v>65</v>
      </c>
      <c r="K65">
        <v>66690</v>
      </c>
      <c r="L65">
        <v>58</v>
      </c>
      <c r="M65">
        <v>59508</v>
      </c>
      <c r="N65">
        <v>72</v>
      </c>
      <c r="O65">
        <v>73872</v>
      </c>
      <c r="P65">
        <v>68</v>
      </c>
      <c r="Q65">
        <v>69768</v>
      </c>
      <c r="R65">
        <v>52</v>
      </c>
      <c r="S65">
        <v>53352</v>
      </c>
      <c r="T65">
        <v>4</v>
      </c>
      <c r="U65">
        <v>4104</v>
      </c>
      <c r="V65">
        <v>8</v>
      </c>
      <c r="W65">
        <v>8208</v>
      </c>
      <c r="X65">
        <v>5</v>
      </c>
      <c r="Y65">
        <v>5130</v>
      </c>
      <c r="Z65">
        <v>7</v>
      </c>
      <c r="AA65">
        <v>7182</v>
      </c>
      <c r="AB65">
        <v>12</v>
      </c>
      <c r="AC65">
        <v>12312</v>
      </c>
      <c r="AD65">
        <v>15</v>
      </c>
      <c r="AE65">
        <v>15390</v>
      </c>
      <c r="AF65">
        <v>18</v>
      </c>
      <c r="AG65">
        <v>18468</v>
      </c>
      <c r="AH65">
        <v>16</v>
      </c>
      <c r="AI65">
        <v>16416</v>
      </c>
      <c r="AJ65">
        <v>15</v>
      </c>
      <c r="AK65">
        <v>15390</v>
      </c>
      <c r="AL65">
        <v>21</v>
      </c>
      <c r="AM65">
        <v>21546</v>
      </c>
      <c r="AN65">
        <v>26</v>
      </c>
      <c r="AO65">
        <v>26676</v>
      </c>
      <c r="AP65">
        <v>19</v>
      </c>
      <c r="AQ65">
        <v>19494</v>
      </c>
      <c r="AR65">
        <v>12</v>
      </c>
      <c r="AS65">
        <v>12312</v>
      </c>
      <c r="AT65">
        <v>17</v>
      </c>
      <c r="AU65">
        <v>17442</v>
      </c>
      <c r="AV65">
        <v>13</v>
      </c>
      <c r="AW65">
        <v>13338</v>
      </c>
      <c r="AX65">
        <v>12</v>
      </c>
      <c r="AY65">
        <v>12312</v>
      </c>
      <c r="AZ65">
        <v>41</v>
      </c>
      <c r="BA65">
        <v>42066</v>
      </c>
      <c r="BB65">
        <v>33</v>
      </c>
      <c r="BC65">
        <v>33858</v>
      </c>
      <c r="BD65">
        <v>35</v>
      </c>
      <c r="BE65">
        <v>35910</v>
      </c>
      <c r="BF65">
        <v>26</v>
      </c>
      <c r="BG65">
        <v>26676</v>
      </c>
      <c r="BH65">
        <v>8</v>
      </c>
      <c r="BI65">
        <v>8208</v>
      </c>
      <c r="BJ65">
        <v>11</v>
      </c>
      <c r="BK65">
        <v>11286</v>
      </c>
      <c r="BL65">
        <v>14</v>
      </c>
      <c r="BM65">
        <v>14364</v>
      </c>
      <c r="BN65">
        <v>11</v>
      </c>
      <c r="BO65">
        <v>11286</v>
      </c>
      <c r="BP65">
        <v>22</v>
      </c>
      <c r="BQ65">
        <v>22572</v>
      </c>
      <c r="BR65">
        <v>22</v>
      </c>
      <c r="BS65">
        <v>22572</v>
      </c>
      <c r="BT65">
        <v>12</v>
      </c>
      <c r="BU65">
        <v>12312</v>
      </c>
      <c r="BV65">
        <v>13</v>
      </c>
      <c r="BW65">
        <v>13338</v>
      </c>
      <c r="BX65">
        <v>25</v>
      </c>
      <c r="BY65">
        <v>25650</v>
      </c>
      <c r="BZ65">
        <v>22</v>
      </c>
      <c r="CA65">
        <v>22572</v>
      </c>
      <c r="CB65">
        <v>17</v>
      </c>
      <c r="CC65">
        <v>17442</v>
      </c>
      <c r="CD65">
        <v>27</v>
      </c>
      <c r="CE65">
        <v>27702</v>
      </c>
      <c r="CF65">
        <v>43</v>
      </c>
      <c r="CG65">
        <v>44118</v>
      </c>
      <c r="CH65">
        <v>28</v>
      </c>
      <c r="CI65">
        <v>28728</v>
      </c>
      <c r="CJ65">
        <v>35</v>
      </c>
      <c r="CK65">
        <v>35910</v>
      </c>
      <c r="CL65">
        <v>46</v>
      </c>
      <c r="CM65">
        <v>47196</v>
      </c>
      <c r="CN65">
        <v>11</v>
      </c>
      <c r="CO65">
        <v>11286</v>
      </c>
      <c r="CP65">
        <v>15</v>
      </c>
      <c r="CQ65">
        <v>15390</v>
      </c>
      <c r="CR65">
        <v>10</v>
      </c>
      <c r="CS65">
        <v>10260</v>
      </c>
      <c r="CT65">
        <v>16</v>
      </c>
      <c r="CU65">
        <v>16416</v>
      </c>
    </row>
    <row r="66" spans="2:99" x14ac:dyDescent="0.2">
      <c r="C66" s="116" t="s">
        <v>232</v>
      </c>
      <c r="D66">
        <v>32</v>
      </c>
      <c r="E66">
        <v>38092.799999999996</v>
      </c>
      <c r="F66">
        <v>53</v>
      </c>
      <c r="G66">
        <v>63091.19999999999</v>
      </c>
      <c r="H66">
        <v>47</v>
      </c>
      <c r="I66">
        <v>55948.799999999996</v>
      </c>
      <c r="J66">
        <v>61</v>
      </c>
      <c r="K66">
        <v>72614.399999999994</v>
      </c>
      <c r="L66">
        <v>59</v>
      </c>
      <c r="M66">
        <v>70233.599999999991</v>
      </c>
      <c r="N66">
        <v>64</v>
      </c>
      <c r="O66">
        <v>76185.599999999991</v>
      </c>
      <c r="P66">
        <v>69</v>
      </c>
      <c r="Q66">
        <v>82137.599999999991</v>
      </c>
      <c r="R66">
        <v>46</v>
      </c>
      <c r="S66">
        <v>54758.399999999994</v>
      </c>
      <c r="T66">
        <v>4</v>
      </c>
      <c r="U66">
        <v>4761.5999999999995</v>
      </c>
      <c r="V66">
        <v>8</v>
      </c>
      <c r="W66">
        <v>9523.1999999999989</v>
      </c>
      <c r="X66">
        <v>4</v>
      </c>
      <c r="Y66">
        <v>4761.5999999999995</v>
      </c>
      <c r="Z66">
        <v>7</v>
      </c>
      <c r="AA66">
        <v>8332.7999999999993</v>
      </c>
      <c r="AB66">
        <v>14</v>
      </c>
      <c r="AC66">
        <v>16665.599999999999</v>
      </c>
      <c r="AD66">
        <v>15</v>
      </c>
      <c r="AE66">
        <v>17855.999999999996</v>
      </c>
      <c r="AF66">
        <v>16</v>
      </c>
      <c r="AG66">
        <v>19046.399999999998</v>
      </c>
      <c r="AH66">
        <v>16</v>
      </c>
      <c r="AI66">
        <v>19046.399999999998</v>
      </c>
      <c r="AJ66">
        <v>16</v>
      </c>
      <c r="AK66">
        <v>19046.399999999998</v>
      </c>
      <c r="AL66">
        <v>22</v>
      </c>
      <c r="AM66">
        <v>26188.799999999996</v>
      </c>
      <c r="AN66">
        <v>24</v>
      </c>
      <c r="AO66">
        <v>28569.599999999999</v>
      </c>
      <c r="AP66">
        <v>18</v>
      </c>
      <c r="AQ66">
        <v>21427.199999999997</v>
      </c>
      <c r="AR66">
        <v>12</v>
      </c>
      <c r="AS66">
        <v>14284.8</v>
      </c>
      <c r="AT66">
        <v>14</v>
      </c>
      <c r="AU66">
        <v>16665.599999999999</v>
      </c>
      <c r="AV66">
        <v>13</v>
      </c>
      <c r="AW66">
        <v>15475.199999999999</v>
      </c>
      <c r="AX66">
        <v>10</v>
      </c>
      <c r="AY66">
        <v>11903.999999999998</v>
      </c>
      <c r="AZ66">
        <v>45</v>
      </c>
      <c r="BA66">
        <v>53567.999999999993</v>
      </c>
      <c r="BB66">
        <v>35</v>
      </c>
      <c r="BC66">
        <v>41663.999999999993</v>
      </c>
      <c r="BD66">
        <v>34</v>
      </c>
      <c r="BE66">
        <v>40473.599999999999</v>
      </c>
      <c r="BF66">
        <v>23</v>
      </c>
      <c r="BG66">
        <v>27379.199999999997</v>
      </c>
      <c r="BH66">
        <v>8</v>
      </c>
      <c r="BI66">
        <v>9523.1999999999989</v>
      </c>
      <c r="BJ66">
        <v>11</v>
      </c>
      <c r="BK66">
        <v>13094.399999999998</v>
      </c>
      <c r="BL66">
        <v>13</v>
      </c>
      <c r="BM66">
        <v>15475.199999999999</v>
      </c>
      <c r="BN66">
        <v>11</v>
      </c>
      <c r="BO66">
        <v>13094.399999999998</v>
      </c>
      <c r="BP66">
        <v>23</v>
      </c>
      <c r="BQ66">
        <v>27379.199999999997</v>
      </c>
      <c r="BR66">
        <v>19</v>
      </c>
      <c r="BS66">
        <v>22617.599999999999</v>
      </c>
      <c r="BT66">
        <v>12</v>
      </c>
      <c r="BU66">
        <v>14284.8</v>
      </c>
      <c r="BV66">
        <v>14</v>
      </c>
      <c r="BW66">
        <v>16665.599999999999</v>
      </c>
      <c r="BX66">
        <v>23</v>
      </c>
      <c r="BY66">
        <v>27379.199999999997</v>
      </c>
      <c r="BZ66">
        <v>20</v>
      </c>
      <c r="CA66">
        <v>23807.999999999996</v>
      </c>
      <c r="CB66">
        <v>18</v>
      </c>
      <c r="CC66">
        <v>21427.199999999997</v>
      </c>
      <c r="CD66">
        <v>28</v>
      </c>
      <c r="CE66">
        <v>33331.199999999997</v>
      </c>
      <c r="CF66">
        <v>41</v>
      </c>
      <c r="CG66">
        <v>48806.399999999994</v>
      </c>
      <c r="CH66">
        <v>32</v>
      </c>
      <c r="CI66">
        <v>38092.799999999996</v>
      </c>
      <c r="CJ66">
        <v>34</v>
      </c>
      <c r="CK66">
        <v>40473.599999999999</v>
      </c>
      <c r="CL66">
        <v>46</v>
      </c>
      <c r="CM66">
        <v>54758.399999999994</v>
      </c>
      <c r="CN66">
        <v>10</v>
      </c>
      <c r="CO66">
        <v>11903.999999999998</v>
      </c>
      <c r="CP66">
        <v>13</v>
      </c>
      <c r="CQ66">
        <v>15475.199999999999</v>
      </c>
      <c r="CR66">
        <v>9</v>
      </c>
      <c r="CS66">
        <v>10713.599999999999</v>
      </c>
      <c r="CT66">
        <v>14</v>
      </c>
      <c r="CU66">
        <v>16665.599999999999</v>
      </c>
    </row>
    <row r="67" spans="2:99" x14ac:dyDescent="0.2">
      <c r="C67" s="116" t="s">
        <v>233</v>
      </c>
      <c r="D67">
        <v>32</v>
      </c>
      <c r="E67">
        <v>35942.400000000001</v>
      </c>
      <c r="F67">
        <v>58</v>
      </c>
      <c r="G67">
        <v>65145.600000000006</v>
      </c>
      <c r="H67">
        <v>53</v>
      </c>
      <c r="I67">
        <v>59529.600000000006</v>
      </c>
      <c r="J67">
        <v>59</v>
      </c>
      <c r="K67">
        <v>66268.800000000003</v>
      </c>
      <c r="L67">
        <v>69</v>
      </c>
      <c r="M67">
        <v>77500.800000000003</v>
      </c>
      <c r="N67">
        <v>64</v>
      </c>
      <c r="O67">
        <v>71884.800000000003</v>
      </c>
      <c r="P67">
        <v>64</v>
      </c>
      <c r="Q67">
        <v>71884.800000000003</v>
      </c>
      <c r="R67">
        <v>44</v>
      </c>
      <c r="S67">
        <v>49420.800000000003</v>
      </c>
      <c r="T67">
        <v>4</v>
      </c>
      <c r="U67">
        <v>4492.8</v>
      </c>
      <c r="V67">
        <v>7</v>
      </c>
      <c r="W67">
        <v>7862.4000000000005</v>
      </c>
      <c r="X67">
        <v>5</v>
      </c>
      <c r="Y67">
        <v>5616</v>
      </c>
      <c r="Z67">
        <v>7</v>
      </c>
      <c r="AA67">
        <v>7862.4000000000005</v>
      </c>
      <c r="AB67">
        <v>12</v>
      </c>
      <c r="AC67">
        <v>13478.400000000001</v>
      </c>
      <c r="AD67">
        <v>17</v>
      </c>
      <c r="AE67">
        <v>19094.400000000001</v>
      </c>
      <c r="AF67">
        <v>19</v>
      </c>
      <c r="AG67">
        <v>21340.799999999999</v>
      </c>
      <c r="AH67">
        <v>18</v>
      </c>
      <c r="AI67">
        <v>20217.600000000002</v>
      </c>
      <c r="AJ67">
        <v>14</v>
      </c>
      <c r="AK67">
        <v>15724.800000000001</v>
      </c>
      <c r="AL67">
        <v>22</v>
      </c>
      <c r="AM67">
        <v>24710.400000000001</v>
      </c>
      <c r="AN67">
        <v>23</v>
      </c>
      <c r="AO67">
        <v>25833.600000000002</v>
      </c>
      <c r="AP67">
        <v>19</v>
      </c>
      <c r="AQ67">
        <v>21340.799999999999</v>
      </c>
      <c r="AR67">
        <v>10</v>
      </c>
      <c r="AS67">
        <v>11232</v>
      </c>
      <c r="AT67">
        <v>14</v>
      </c>
      <c r="AU67">
        <v>15724.800000000001</v>
      </c>
      <c r="AV67">
        <v>14</v>
      </c>
      <c r="AW67">
        <v>15724.800000000001</v>
      </c>
      <c r="AX67">
        <v>12</v>
      </c>
      <c r="AY67">
        <v>13478.400000000001</v>
      </c>
      <c r="AZ67">
        <v>39</v>
      </c>
      <c r="BA67">
        <v>43804.800000000003</v>
      </c>
      <c r="BB67">
        <v>34</v>
      </c>
      <c r="BC67">
        <v>38188.800000000003</v>
      </c>
      <c r="BD67">
        <v>36</v>
      </c>
      <c r="BE67">
        <v>40435.200000000004</v>
      </c>
      <c r="BF67">
        <v>22</v>
      </c>
      <c r="BG67">
        <v>24710.400000000001</v>
      </c>
      <c r="BH67">
        <v>8</v>
      </c>
      <c r="BI67">
        <v>8985.6</v>
      </c>
      <c r="BJ67">
        <v>12</v>
      </c>
      <c r="BK67">
        <v>13478.400000000001</v>
      </c>
      <c r="BL67">
        <v>14</v>
      </c>
      <c r="BM67">
        <v>15724.800000000001</v>
      </c>
      <c r="BN67">
        <v>10</v>
      </c>
      <c r="BO67">
        <v>11232</v>
      </c>
      <c r="BP67">
        <v>23</v>
      </c>
      <c r="BQ67">
        <v>25833.600000000002</v>
      </c>
      <c r="BR67">
        <v>20</v>
      </c>
      <c r="BS67">
        <v>22464</v>
      </c>
      <c r="BT67">
        <v>12</v>
      </c>
      <c r="BU67">
        <v>13478.400000000001</v>
      </c>
      <c r="BV67">
        <v>12</v>
      </c>
      <c r="BW67">
        <v>13478.400000000001</v>
      </c>
      <c r="BX67">
        <v>26</v>
      </c>
      <c r="BY67">
        <v>29203.200000000001</v>
      </c>
      <c r="BZ67">
        <v>21</v>
      </c>
      <c r="CA67">
        <v>23587.200000000001</v>
      </c>
      <c r="CB67">
        <v>17</v>
      </c>
      <c r="CC67">
        <v>19094.400000000001</v>
      </c>
      <c r="CD67">
        <v>27</v>
      </c>
      <c r="CE67">
        <v>30326.400000000001</v>
      </c>
      <c r="CF67">
        <v>42</v>
      </c>
      <c r="CG67">
        <v>47174.400000000001</v>
      </c>
      <c r="CH67">
        <v>29</v>
      </c>
      <c r="CI67">
        <v>32572.800000000003</v>
      </c>
      <c r="CJ67">
        <v>35</v>
      </c>
      <c r="CK67">
        <v>39312</v>
      </c>
      <c r="CL67">
        <v>52</v>
      </c>
      <c r="CM67">
        <v>58406.400000000001</v>
      </c>
      <c r="CN67">
        <v>11</v>
      </c>
      <c r="CO67">
        <v>12355.2</v>
      </c>
      <c r="CP67">
        <v>14</v>
      </c>
      <c r="CQ67">
        <v>15724.800000000001</v>
      </c>
      <c r="CR67">
        <v>9</v>
      </c>
      <c r="CS67">
        <v>10108.800000000001</v>
      </c>
      <c r="CT67">
        <v>14</v>
      </c>
      <c r="CU67">
        <v>15724.800000000001</v>
      </c>
    </row>
    <row r="68" spans="2:99" x14ac:dyDescent="0.2">
      <c r="C68" s="116" t="s">
        <v>234</v>
      </c>
      <c r="D68">
        <v>31</v>
      </c>
      <c r="E68">
        <v>32029.200000000001</v>
      </c>
      <c r="F68">
        <v>57</v>
      </c>
      <c r="G68">
        <v>58892.4</v>
      </c>
      <c r="H68">
        <v>48</v>
      </c>
      <c r="I68">
        <v>49593.600000000006</v>
      </c>
      <c r="J68">
        <v>66</v>
      </c>
      <c r="K68">
        <v>68191.199999999997</v>
      </c>
      <c r="L68">
        <v>70</v>
      </c>
      <c r="M68">
        <v>72324</v>
      </c>
      <c r="N68">
        <v>69</v>
      </c>
      <c r="O68">
        <v>71290.8</v>
      </c>
      <c r="P68">
        <v>66</v>
      </c>
      <c r="Q68">
        <v>68191.199999999997</v>
      </c>
      <c r="R68">
        <v>45</v>
      </c>
      <c r="S68">
        <v>46494</v>
      </c>
      <c r="T68">
        <v>4</v>
      </c>
      <c r="U68">
        <v>4132.8</v>
      </c>
      <c r="V68">
        <v>7</v>
      </c>
      <c r="W68">
        <v>7232.4000000000005</v>
      </c>
      <c r="X68">
        <v>4</v>
      </c>
      <c r="Y68">
        <v>4132.8</v>
      </c>
      <c r="Z68">
        <v>7</v>
      </c>
      <c r="AA68">
        <v>7232.4000000000005</v>
      </c>
      <c r="AB68">
        <v>14</v>
      </c>
      <c r="AC68">
        <v>14464.800000000001</v>
      </c>
      <c r="AD68">
        <v>17</v>
      </c>
      <c r="AE68">
        <v>17564.400000000001</v>
      </c>
      <c r="AF68">
        <v>18</v>
      </c>
      <c r="AG68">
        <v>18597.600000000002</v>
      </c>
      <c r="AH68">
        <v>18</v>
      </c>
      <c r="AI68">
        <v>18597.600000000002</v>
      </c>
      <c r="AJ68">
        <v>17</v>
      </c>
      <c r="AK68">
        <v>17564.400000000001</v>
      </c>
      <c r="AL68">
        <v>23</v>
      </c>
      <c r="AM68">
        <v>23763.600000000002</v>
      </c>
      <c r="AN68">
        <v>27</v>
      </c>
      <c r="AO68">
        <v>27896.400000000001</v>
      </c>
      <c r="AP68">
        <v>18</v>
      </c>
      <c r="AQ68">
        <v>18597.600000000002</v>
      </c>
      <c r="AR68">
        <v>12</v>
      </c>
      <c r="AS68">
        <v>12398.400000000001</v>
      </c>
      <c r="AT68">
        <v>15</v>
      </c>
      <c r="AU68">
        <v>15498</v>
      </c>
      <c r="AV68">
        <v>14</v>
      </c>
      <c r="AW68">
        <v>14464.800000000001</v>
      </c>
      <c r="AX68">
        <v>11</v>
      </c>
      <c r="AY68">
        <v>11365.2</v>
      </c>
      <c r="AZ68">
        <v>40</v>
      </c>
      <c r="BA68">
        <v>41328</v>
      </c>
      <c r="BB68">
        <v>35</v>
      </c>
      <c r="BC68">
        <v>36162</v>
      </c>
      <c r="BD68">
        <v>32</v>
      </c>
      <c r="BE68">
        <v>33062.400000000001</v>
      </c>
      <c r="BF68">
        <v>24</v>
      </c>
      <c r="BG68">
        <v>24796.800000000003</v>
      </c>
      <c r="BH68">
        <v>9</v>
      </c>
      <c r="BI68">
        <v>9298.8000000000011</v>
      </c>
      <c r="BJ68">
        <v>12</v>
      </c>
      <c r="BK68">
        <v>12398.400000000001</v>
      </c>
      <c r="BL68">
        <v>13</v>
      </c>
      <c r="BM68">
        <v>13431.6</v>
      </c>
      <c r="BN68">
        <v>11</v>
      </c>
      <c r="BO68">
        <v>11365.2</v>
      </c>
      <c r="BP68">
        <v>24</v>
      </c>
      <c r="BQ68">
        <v>24796.800000000003</v>
      </c>
      <c r="BR68">
        <v>20</v>
      </c>
      <c r="BS68">
        <v>20664</v>
      </c>
      <c r="BT68">
        <v>12</v>
      </c>
      <c r="BU68">
        <v>12398.400000000001</v>
      </c>
      <c r="BV68">
        <v>12</v>
      </c>
      <c r="BW68">
        <v>12398.400000000001</v>
      </c>
      <c r="BX68">
        <v>22</v>
      </c>
      <c r="BY68">
        <v>22730.400000000001</v>
      </c>
      <c r="BZ68">
        <v>19</v>
      </c>
      <c r="CA68">
        <v>19630.8</v>
      </c>
      <c r="CB68">
        <v>17</v>
      </c>
      <c r="CC68">
        <v>17564.400000000001</v>
      </c>
      <c r="CD68">
        <v>24</v>
      </c>
      <c r="CE68">
        <v>24796.800000000003</v>
      </c>
      <c r="CF68">
        <v>44</v>
      </c>
      <c r="CG68">
        <v>45460.800000000003</v>
      </c>
      <c r="CH68">
        <v>34</v>
      </c>
      <c r="CI68">
        <v>35128.800000000003</v>
      </c>
      <c r="CJ68">
        <v>33</v>
      </c>
      <c r="CK68">
        <v>34095.599999999999</v>
      </c>
      <c r="CL68">
        <v>52</v>
      </c>
      <c r="CM68">
        <v>53726.400000000001</v>
      </c>
      <c r="CN68">
        <v>10</v>
      </c>
      <c r="CO68">
        <v>10332</v>
      </c>
      <c r="CP68">
        <v>13</v>
      </c>
      <c r="CQ68">
        <v>13431.6</v>
      </c>
      <c r="CR68">
        <v>9</v>
      </c>
      <c r="CS68">
        <v>9298.8000000000011</v>
      </c>
      <c r="CT68">
        <v>15</v>
      </c>
      <c r="CU68">
        <v>15498</v>
      </c>
    </row>
    <row r="69" spans="2:99" x14ac:dyDescent="0.2">
      <c r="C69" s="116" t="s">
        <v>235</v>
      </c>
      <c r="D69">
        <v>33</v>
      </c>
      <c r="E69">
        <v>25027.200000000001</v>
      </c>
      <c r="F69">
        <v>54</v>
      </c>
      <c r="G69">
        <v>40953.599999999999</v>
      </c>
      <c r="H69">
        <v>53</v>
      </c>
      <c r="I69">
        <v>40195.199999999997</v>
      </c>
      <c r="J69">
        <v>60</v>
      </c>
      <c r="K69">
        <v>45504</v>
      </c>
      <c r="L69">
        <v>69</v>
      </c>
      <c r="M69">
        <v>52329.599999999999</v>
      </c>
      <c r="N69">
        <v>70</v>
      </c>
      <c r="O69">
        <v>53088</v>
      </c>
      <c r="P69">
        <v>77</v>
      </c>
      <c r="Q69">
        <v>58396.799999999996</v>
      </c>
      <c r="R69">
        <v>54</v>
      </c>
      <c r="S69">
        <v>40953.599999999999</v>
      </c>
      <c r="T69">
        <v>4</v>
      </c>
      <c r="U69">
        <v>3033.6</v>
      </c>
      <c r="V69">
        <v>8</v>
      </c>
      <c r="W69">
        <v>6067.2</v>
      </c>
      <c r="X69">
        <v>5</v>
      </c>
      <c r="Y69">
        <v>3792</v>
      </c>
      <c r="Z69">
        <v>8</v>
      </c>
      <c r="AA69">
        <v>6067.2</v>
      </c>
      <c r="AB69">
        <v>14</v>
      </c>
      <c r="AC69">
        <v>10617.6</v>
      </c>
      <c r="AD69">
        <v>16</v>
      </c>
      <c r="AE69">
        <v>12134.4</v>
      </c>
      <c r="AF69">
        <v>20</v>
      </c>
      <c r="AG69">
        <v>15168</v>
      </c>
      <c r="AH69">
        <v>17</v>
      </c>
      <c r="AI69">
        <v>12892.8</v>
      </c>
      <c r="AJ69">
        <v>18</v>
      </c>
      <c r="AK69">
        <v>13651.199999999999</v>
      </c>
      <c r="AL69">
        <v>22</v>
      </c>
      <c r="AM69">
        <v>16684.8</v>
      </c>
      <c r="AN69">
        <v>25</v>
      </c>
      <c r="AO69">
        <v>18960</v>
      </c>
      <c r="AP69">
        <v>17</v>
      </c>
      <c r="AQ69">
        <v>12892.8</v>
      </c>
      <c r="AR69">
        <v>11</v>
      </c>
      <c r="AS69">
        <v>8342.4</v>
      </c>
      <c r="AT69">
        <v>15</v>
      </c>
      <c r="AU69">
        <v>11376</v>
      </c>
      <c r="AV69">
        <v>13</v>
      </c>
      <c r="AW69">
        <v>9859.1999999999989</v>
      </c>
      <c r="AX69">
        <v>11</v>
      </c>
      <c r="AY69">
        <v>8342.4</v>
      </c>
      <c r="AZ69">
        <v>46</v>
      </c>
      <c r="BA69">
        <v>34886.400000000001</v>
      </c>
      <c r="BB69">
        <v>35</v>
      </c>
      <c r="BC69">
        <v>26544</v>
      </c>
      <c r="BD69">
        <v>40</v>
      </c>
      <c r="BE69">
        <v>30336</v>
      </c>
      <c r="BF69">
        <v>23</v>
      </c>
      <c r="BG69">
        <v>17443.2</v>
      </c>
      <c r="BH69">
        <v>8</v>
      </c>
      <c r="BI69">
        <v>6067.2</v>
      </c>
      <c r="BJ69">
        <v>12</v>
      </c>
      <c r="BK69">
        <v>9100.7999999999993</v>
      </c>
      <c r="BL69">
        <v>14</v>
      </c>
      <c r="BM69">
        <v>10617.6</v>
      </c>
      <c r="BN69">
        <v>10</v>
      </c>
      <c r="BO69">
        <v>7584</v>
      </c>
      <c r="BP69">
        <v>24</v>
      </c>
      <c r="BQ69">
        <v>18201.599999999999</v>
      </c>
      <c r="BR69">
        <v>19</v>
      </c>
      <c r="BS69">
        <v>14409.6</v>
      </c>
      <c r="BT69">
        <v>14</v>
      </c>
      <c r="BU69">
        <v>10617.6</v>
      </c>
      <c r="BV69">
        <v>14</v>
      </c>
      <c r="BW69">
        <v>10617.6</v>
      </c>
      <c r="BX69">
        <v>25</v>
      </c>
      <c r="BY69">
        <v>18960</v>
      </c>
      <c r="BZ69">
        <v>22</v>
      </c>
      <c r="CA69">
        <v>16684.8</v>
      </c>
      <c r="CB69">
        <v>16</v>
      </c>
      <c r="CC69">
        <v>12134.4</v>
      </c>
      <c r="CD69">
        <v>28</v>
      </c>
      <c r="CE69">
        <v>21235.200000000001</v>
      </c>
      <c r="CF69">
        <v>48</v>
      </c>
      <c r="CG69">
        <v>36403.199999999997</v>
      </c>
      <c r="CH69">
        <v>32</v>
      </c>
      <c r="CI69">
        <v>24268.799999999999</v>
      </c>
      <c r="CJ69">
        <v>38</v>
      </c>
      <c r="CK69">
        <v>28819.200000000001</v>
      </c>
      <c r="CL69">
        <v>50</v>
      </c>
      <c r="CM69">
        <v>37920</v>
      </c>
      <c r="CN69">
        <v>11</v>
      </c>
      <c r="CO69">
        <v>8342.4</v>
      </c>
      <c r="CP69">
        <v>14</v>
      </c>
      <c r="CQ69">
        <v>10617.6</v>
      </c>
      <c r="CR69">
        <v>10</v>
      </c>
      <c r="CS69">
        <v>7584</v>
      </c>
      <c r="CT69">
        <v>17</v>
      </c>
      <c r="CU69">
        <v>12892.8</v>
      </c>
    </row>
    <row r="70" spans="2:99" x14ac:dyDescent="0.2">
      <c r="C70" s="116" t="s">
        <v>236</v>
      </c>
      <c r="D70">
        <v>33</v>
      </c>
      <c r="E70">
        <v>17661.599999999999</v>
      </c>
      <c r="F70">
        <v>62</v>
      </c>
      <c r="G70">
        <v>33182.399999999994</v>
      </c>
      <c r="H70">
        <v>50</v>
      </c>
      <c r="I70">
        <v>26759.999999999996</v>
      </c>
      <c r="J70">
        <v>64</v>
      </c>
      <c r="K70">
        <v>34252.799999999996</v>
      </c>
      <c r="L70">
        <v>68</v>
      </c>
      <c r="M70">
        <v>36393.599999999999</v>
      </c>
      <c r="N70">
        <v>67</v>
      </c>
      <c r="O70">
        <v>35858.399999999994</v>
      </c>
      <c r="P70">
        <v>67</v>
      </c>
      <c r="Q70">
        <v>35858.399999999994</v>
      </c>
      <c r="R70">
        <v>50</v>
      </c>
      <c r="S70">
        <v>26759.999999999996</v>
      </c>
      <c r="T70">
        <v>4</v>
      </c>
      <c r="U70">
        <v>2140.7999999999997</v>
      </c>
      <c r="V70">
        <v>8</v>
      </c>
      <c r="W70">
        <v>4281.5999999999995</v>
      </c>
      <c r="X70">
        <v>5</v>
      </c>
      <c r="Y70">
        <v>2675.9999999999995</v>
      </c>
      <c r="Z70">
        <v>7</v>
      </c>
      <c r="AA70">
        <v>3746.3999999999996</v>
      </c>
      <c r="AB70">
        <v>14</v>
      </c>
      <c r="AC70">
        <v>7492.7999999999993</v>
      </c>
      <c r="AD70">
        <v>16</v>
      </c>
      <c r="AE70">
        <v>8563.1999999999989</v>
      </c>
      <c r="AF70">
        <v>20</v>
      </c>
      <c r="AG70">
        <v>10703.999999999998</v>
      </c>
      <c r="AH70">
        <v>17</v>
      </c>
      <c r="AI70">
        <v>9098.4</v>
      </c>
      <c r="AJ70">
        <v>15</v>
      </c>
      <c r="AK70">
        <v>8027.9999999999991</v>
      </c>
      <c r="AL70">
        <v>25</v>
      </c>
      <c r="AM70">
        <v>13379.999999999998</v>
      </c>
      <c r="AN70">
        <v>25</v>
      </c>
      <c r="AO70">
        <v>13379.999999999998</v>
      </c>
      <c r="AP70">
        <v>20</v>
      </c>
      <c r="AQ70">
        <v>10703.999999999998</v>
      </c>
      <c r="AR70">
        <v>11</v>
      </c>
      <c r="AS70">
        <v>5887.1999999999989</v>
      </c>
      <c r="AT70">
        <v>16</v>
      </c>
      <c r="AU70">
        <v>8563.1999999999989</v>
      </c>
      <c r="AV70">
        <v>13</v>
      </c>
      <c r="AW70">
        <v>6957.5999999999995</v>
      </c>
      <c r="AX70">
        <v>12</v>
      </c>
      <c r="AY70">
        <v>6422.4</v>
      </c>
      <c r="AZ70">
        <v>42</v>
      </c>
      <c r="BA70">
        <v>22478.399999999998</v>
      </c>
      <c r="BB70">
        <v>32</v>
      </c>
      <c r="BC70">
        <v>17126.399999999998</v>
      </c>
      <c r="BD70">
        <v>39</v>
      </c>
      <c r="BE70">
        <v>20872.799999999996</v>
      </c>
      <c r="BF70">
        <v>26</v>
      </c>
      <c r="BG70">
        <v>13915.199999999999</v>
      </c>
      <c r="BH70">
        <v>9</v>
      </c>
      <c r="BI70">
        <v>4816.7999999999993</v>
      </c>
      <c r="BJ70">
        <v>12</v>
      </c>
      <c r="BK70">
        <v>6422.4</v>
      </c>
      <c r="BL70">
        <v>15</v>
      </c>
      <c r="BM70">
        <v>8027.9999999999991</v>
      </c>
      <c r="BN70">
        <v>10</v>
      </c>
      <c r="BO70">
        <v>5351.9999999999991</v>
      </c>
      <c r="BP70">
        <v>25</v>
      </c>
      <c r="BQ70">
        <v>13379.999999999998</v>
      </c>
      <c r="BR70">
        <v>23</v>
      </c>
      <c r="BS70">
        <v>12309.599999999999</v>
      </c>
      <c r="BT70">
        <v>15</v>
      </c>
      <c r="BU70">
        <v>8027.9999999999991</v>
      </c>
      <c r="BV70">
        <v>13</v>
      </c>
      <c r="BW70">
        <v>6957.5999999999995</v>
      </c>
      <c r="BX70">
        <v>25</v>
      </c>
      <c r="BY70">
        <v>13379.999999999998</v>
      </c>
      <c r="BZ70">
        <v>20</v>
      </c>
      <c r="CA70">
        <v>10703.999999999998</v>
      </c>
      <c r="CB70">
        <v>20</v>
      </c>
      <c r="CC70">
        <v>10703.999999999998</v>
      </c>
      <c r="CD70">
        <v>25</v>
      </c>
      <c r="CE70">
        <v>13379.999999999998</v>
      </c>
      <c r="CF70">
        <v>46</v>
      </c>
      <c r="CG70">
        <v>24619.199999999997</v>
      </c>
      <c r="CH70">
        <v>31</v>
      </c>
      <c r="CI70">
        <v>16591.199999999997</v>
      </c>
      <c r="CJ70">
        <v>39</v>
      </c>
      <c r="CK70">
        <v>20872.799999999996</v>
      </c>
      <c r="CL70">
        <v>54</v>
      </c>
      <c r="CM70">
        <v>28900.799999999996</v>
      </c>
      <c r="CN70">
        <v>11</v>
      </c>
      <c r="CO70">
        <v>5887.1999999999989</v>
      </c>
      <c r="CP70">
        <v>14</v>
      </c>
      <c r="CQ70">
        <v>7492.7999999999993</v>
      </c>
      <c r="CR70">
        <v>10</v>
      </c>
      <c r="CS70">
        <v>5351.9999999999991</v>
      </c>
      <c r="CT70">
        <v>16</v>
      </c>
      <c r="CU70">
        <v>8563.1999999999989</v>
      </c>
    </row>
    <row r="71" spans="2:99" x14ac:dyDescent="0.2">
      <c r="B71" s="116" t="s">
        <v>130</v>
      </c>
      <c r="C71" s="116" t="s">
        <v>237</v>
      </c>
      <c r="D71">
        <v>13.954869358669834</v>
      </c>
      <c r="E71">
        <v>7870.5463182897865</v>
      </c>
      <c r="F71">
        <v>10.599976503164264</v>
      </c>
      <c r="G71">
        <v>5978.3867477846452</v>
      </c>
      <c r="H71">
        <v>0</v>
      </c>
      <c r="I71">
        <v>0</v>
      </c>
      <c r="J71">
        <v>15.379873558418819</v>
      </c>
      <c r="K71">
        <v>8674.2486869482145</v>
      </c>
      <c r="L71">
        <v>0</v>
      </c>
      <c r="M71">
        <v>0</v>
      </c>
      <c r="N71">
        <v>4.4137767866907218</v>
      </c>
      <c r="O71">
        <v>2489.3701076935672</v>
      </c>
      <c r="P71">
        <v>9.4113243009152825</v>
      </c>
      <c r="Q71">
        <v>5307.9869057162196</v>
      </c>
      <c r="R71">
        <v>5.2096813616949733</v>
      </c>
      <c r="S71">
        <v>2938.260287995965</v>
      </c>
      <c r="T71">
        <v>15.400181490054056</v>
      </c>
      <c r="U71">
        <v>8685.7023603904872</v>
      </c>
      <c r="V71">
        <v>16.985054536603304</v>
      </c>
      <c r="W71">
        <v>9579.5707586442641</v>
      </c>
      <c r="X71">
        <v>16.796889235237686</v>
      </c>
      <c r="Y71">
        <v>9473.445528674054</v>
      </c>
      <c r="Z71">
        <v>14.690127320588967</v>
      </c>
      <c r="AA71">
        <v>8285.2318088121774</v>
      </c>
      <c r="AB71">
        <v>0</v>
      </c>
      <c r="AC71">
        <v>0</v>
      </c>
      <c r="AD71">
        <v>17.047119291304657</v>
      </c>
      <c r="AE71">
        <v>9614.5752802958268</v>
      </c>
      <c r="AF71">
        <v>10.611476952022578</v>
      </c>
      <c r="AG71">
        <v>5984.8730009407336</v>
      </c>
      <c r="AH71">
        <v>36</v>
      </c>
      <c r="AI71">
        <v>20304</v>
      </c>
      <c r="AJ71">
        <v>9.9453514307410309</v>
      </c>
      <c r="AK71">
        <v>5609.1782069379415</v>
      </c>
      <c r="AL71">
        <v>0</v>
      </c>
      <c r="AM71">
        <v>0</v>
      </c>
      <c r="AN71">
        <v>9</v>
      </c>
      <c r="AO71">
        <v>5076</v>
      </c>
      <c r="AP71">
        <v>10</v>
      </c>
      <c r="AQ71">
        <v>5640</v>
      </c>
      <c r="AR71">
        <v>7.0132246542411547</v>
      </c>
      <c r="AS71">
        <v>3955.4587049920115</v>
      </c>
      <c r="AT71">
        <v>0</v>
      </c>
      <c r="AU71">
        <v>0</v>
      </c>
      <c r="AV71">
        <v>4.0586245772266061</v>
      </c>
      <c r="AW71">
        <v>2289.0642615558058</v>
      </c>
      <c r="AX71">
        <v>7.8660572090142171</v>
      </c>
      <c r="AY71">
        <v>4436.4562658840186</v>
      </c>
      <c r="AZ71">
        <v>8</v>
      </c>
      <c r="BA71">
        <v>4512</v>
      </c>
      <c r="BB71">
        <v>12</v>
      </c>
      <c r="BC71">
        <v>6768</v>
      </c>
      <c r="BD71">
        <v>9.4492123454028114</v>
      </c>
      <c r="BE71">
        <v>5329.3557628071858</v>
      </c>
      <c r="BF71">
        <v>0</v>
      </c>
      <c r="BG71">
        <v>0</v>
      </c>
      <c r="BH71">
        <v>14</v>
      </c>
      <c r="BI71">
        <v>7896</v>
      </c>
      <c r="BJ71">
        <v>10.060301250110161</v>
      </c>
      <c r="BK71">
        <v>5674.0099050621311</v>
      </c>
      <c r="BL71">
        <v>8.7348247652574766</v>
      </c>
      <c r="BM71">
        <v>4926.4411676052168</v>
      </c>
      <c r="BN71">
        <v>12.911148466938306</v>
      </c>
      <c r="BO71">
        <v>7281.8877353532043</v>
      </c>
      <c r="BP71">
        <v>3.9284295297982199</v>
      </c>
      <c r="BQ71">
        <v>2215.6342548061962</v>
      </c>
      <c r="BR71">
        <v>3.4989212345402811</v>
      </c>
      <c r="BS71">
        <v>1973.3915762807185</v>
      </c>
      <c r="BT71">
        <v>0</v>
      </c>
      <c r="BU71">
        <v>0</v>
      </c>
      <c r="BV71">
        <v>2.261780104712042</v>
      </c>
      <c r="BW71">
        <v>1275.6439790575917</v>
      </c>
      <c r="BX71">
        <v>5</v>
      </c>
      <c r="BY71">
        <v>2820</v>
      </c>
      <c r="BZ71">
        <v>1.3231029996083095</v>
      </c>
      <c r="CA71">
        <v>746.23009177908648</v>
      </c>
      <c r="CB71">
        <v>9</v>
      </c>
      <c r="CC71">
        <v>5076</v>
      </c>
      <c r="CD71">
        <v>2.8624737246411307</v>
      </c>
      <c r="CE71">
        <v>1614.4351806975976</v>
      </c>
      <c r="CF71">
        <v>29</v>
      </c>
      <c r="CG71">
        <v>16356</v>
      </c>
      <c r="CH71">
        <v>21.094531287650476</v>
      </c>
      <c r="CI71">
        <v>11897.315646234869</v>
      </c>
      <c r="CJ71">
        <v>17.29692700690817</v>
      </c>
      <c r="CK71">
        <v>9755.4668318962085</v>
      </c>
      <c r="CL71">
        <v>18.20548709745934</v>
      </c>
      <c r="CM71">
        <v>10267.894722967068</v>
      </c>
      <c r="CN71">
        <v>4.6445857095667451</v>
      </c>
      <c r="CO71">
        <v>2619.5463401956445</v>
      </c>
      <c r="CP71">
        <v>7.0429171387686811</v>
      </c>
      <c r="CQ71">
        <v>3972.205266265536</v>
      </c>
      <c r="CR71">
        <v>6.751777682431932</v>
      </c>
      <c r="CS71">
        <v>3808.0026128916097</v>
      </c>
      <c r="CT71">
        <v>0</v>
      </c>
      <c r="CU71">
        <v>0</v>
      </c>
    </row>
    <row r="72" spans="2:99" x14ac:dyDescent="0.2">
      <c r="C72" s="116" t="s">
        <v>238</v>
      </c>
      <c r="D72">
        <v>16.7458432304038</v>
      </c>
      <c r="E72">
        <v>1245.8907363420426</v>
      </c>
      <c r="F72">
        <v>12.719971803797115</v>
      </c>
      <c r="G72">
        <v>946.36590220250525</v>
      </c>
      <c r="H72">
        <v>0</v>
      </c>
      <c r="I72">
        <v>0</v>
      </c>
      <c r="J72">
        <v>17.30235775322117</v>
      </c>
      <c r="K72">
        <v>1287.2954168396548</v>
      </c>
      <c r="L72">
        <v>0</v>
      </c>
      <c r="M72">
        <v>0</v>
      </c>
      <c r="N72">
        <v>5.2162816569981256</v>
      </c>
      <c r="O72">
        <v>388.09135528066048</v>
      </c>
      <c r="P72">
        <v>10.45702700101698</v>
      </c>
      <c r="Q72">
        <v>778.00280887566328</v>
      </c>
      <c r="R72">
        <v>5.2096813616949733</v>
      </c>
      <c r="S72">
        <v>387.600293310106</v>
      </c>
      <c r="T72">
        <v>16.632196009258379</v>
      </c>
      <c r="U72">
        <v>1237.4353830888233</v>
      </c>
      <c r="V72">
        <v>19.108186353678722</v>
      </c>
      <c r="W72">
        <v>1421.6490647136968</v>
      </c>
      <c r="X72">
        <v>15.504820832527097</v>
      </c>
      <c r="Y72">
        <v>1153.5586699400158</v>
      </c>
      <c r="Z72">
        <v>17.361059560696052</v>
      </c>
      <c r="AA72">
        <v>1291.6628313157862</v>
      </c>
      <c r="AB72">
        <v>0</v>
      </c>
      <c r="AC72">
        <v>0</v>
      </c>
      <c r="AD72">
        <v>19.178009202717742</v>
      </c>
      <c r="AE72">
        <v>1426.8438846821998</v>
      </c>
      <c r="AF72">
        <v>10.837253057384761</v>
      </c>
      <c r="AG72">
        <v>806.29162746942609</v>
      </c>
      <c r="AH72">
        <v>43</v>
      </c>
      <c r="AI72">
        <v>3199.2</v>
      </c>
      <c r="AJ72">
        <v>9.1165721448459465</v>
      </c>
      <c r="AK72">
        <v>678.27296757653835</v>
      </c>
      <c r="AL72">
        <v>0</v>
      </c>
      <c r="AM72">
        <v>0</v>
      </c>
      <c r="AN72">
        <v>9</v>
      </c>
      <c r="AO72">
        <v>669.59999999999991</v>
      </c>
      <c r="AP72">
        <v>10</v>
      </c>
      <c r="AQ72">
        <v>743.99999999999989</v>
      </c>
      <c r="AR72">
        <v>7.0132246542411547</v>
      </c>
      <c r="AS72">
        <v>521.78391427554186</v>
      </c>
      <c r="AT72">
        <v>0</v>
      </c>
      <c r="AU72">
        <v>0</v>
      </c>
      <c r="AV72">
        <v>4.3291995490417134</v>
      </c>
      <c r="AW72">
        <v>322.09244644870347</v>
      </c>
      <c r="AX72">
        <v>6.6558945614735681</v>
      </c>
      <c r="AY72">
        <v>495.19855537363338</v>
      </c>
      <c r="AZ72">
        <v>9</v>
      </c>
      <c r="BA72">
        <v>669.59999999999991</v>
      </c>
      <c r="BB72">
        <v>11</v>
      </c>
      <c r="BC72">
        <v>818.39999999999986</v>
      </c>
      <c r="BD72">
        <v>10.17607483351072</v>
      </c>
      <c r="BE72">
        <v>757.09996761319746</v>
      </c>
      <c r="BF72">
        <v>0</v>
      </c>
      <c r="BG72">
        <v>0</v>
      </c>
      <c r="BH72">
        <v>15</v>
      </c>
      <c r="BI72">
        <v>1115.9999999999998</v>
      </c>
      <c r="BJ72">
        <v>11.49748714298304</v>
      </c>
      <c r="BK72">
        <v>855.41304343793809</v>
      </c>
      <c r="BL72">
        <v>9.3587408199187259</v>
      </c>
      <c r="BM72">
        <v>696.2903170019531</v>
      </c>
      <c r="BN72">
        <v>12.373183947482543</v>
      </c>
      <c r="BO72">
        <v>920.56488569270107</v>
      </c>
      <c r="BP72">
        <v>3.9284295297982199</v>
      </c>
      <c r="BQ72">
        <v>292.27515701698752</v>
      </c>
      <c r="BR72">
        <v>3.4989212345402811</v>
      </c>
      <c r="BS72">
        <v>260.31973984979686</v>
      </c>
      <c r="BT72">
        <v>0</v>
      </c>
      <c r="BU72">
        <v>0</v>
      </c>
      <c r="BV72">
        <v>2.5130890052356021</v>
      </c>
      <c r="BW72">
        <v>186.97382198952877</v>
      </c>
      <c r="BX72">
        <v>6</v>
      </c>
      <c r="BY72">
        <v>446.4</v>
      </c>
      <c r="BZ72">
        <v>1.5436201662096942</v>
      </c>
      <c r="CA72">
        <v>114.84534036600124</v>
      </c>
      <c r="CB72">
        <v>9</v>
      </c>
      <c r="CC72">
        <v>669.59999999999991</v>
      </c>
      <c r="CD72">
        <v>3.1487210971052435</v>
      </c>
      <c r="CE72">
        <v>234.2648496246301</v>
      </c>
      <c r="CF72">
        <v>28</v>
      </c>
      <c r="CG72">
        <v>2083.1999999999998</v>
      </c>
      <c r="CH72">
        <v>21.992170916912197</v>
      </c>
      <c r="CI72">
        <v>1636.2175162182673</v>
      </c>
      <c r="CJ72">
        <v>18.532421793115894</v>
      </c>
      <c r="CK72">
        <v>1378.8121814078224</v>
      </c>
      <c r="CL72">
        <v>18.20548709745934</v>
      </c>
      <c r="CM72">
        <v>1354.4882400509748</v>
      </c>
      <c r="CN72">
        <v>4.6445857095667451</v>
      </c>
      <c r="CO72">
        <v>345.55717679176581</v>
      </c>
      <c r="CP72">
        <v>7.7472088526455494</v>
      </c>
      <c r="CQ72">
        <v>576.39233863682875</v>
      </c>
      <c r="CR72">
        <v>6.751777682431932</v>
      </c>
      <c r="CS72">
        <v>502.3322595729357</v>
      </c>
      <c r="CT72">
        <v>0</v>
      </c>
      <c r="CU72">
        <v>0</v>
      </c>
    </row>
    <row r="73" spans="2:99" x14ac:dyDescent="0.2">
      <c r="C73" s="116" t="s">
        <v>239</v>
      </c>
      <c r="D73">
        <v>15.071258907363418</v>
      </c>
      <c r="E73">
        <v>8427.8479809976234</v>
      </c>
      <c r="F73">
        <v>10.599976503164264</v>
      </c>
      <c r="G73">
        <v>5927.506860569456</v>
      </c>
      <c r="H73">
        <v>0</v>
      </c>
      <c r="I73">
        <v>0</v>
      </c>
      <c r="J73">
        <v>15.379873558418819</v>
      </c>
      <c r="K73">
        <v>8600.4252938678019</v>
      </c>
      <c r="L73">
        <v>0</v>
      </c>
      <c r="M73">
        <v>0</v>
      </c>
      <c r="N73">
        <v>4.8150292218444237</v>
      </c>
      <c r="O73">
        <v>2692.5643408554015</v>
      </c>
      <c r="P73">
        <v>9.4113243009152825</v>
      </c>
      <c r="Q73">
        <v>5262.8125490718257</v>
      </c>
      <c r="R73">
        <v>5.2096813616949733</v>
      </c>
      <c r="S73">
        <v>2913.2538174598285</v>
      </c>
      <c r="T73">
        <v>14.784174230451891</v>
      </c>
      <c r="U73">
        <v>8267.3102296686957</v>
      </c>
      <c r="V73">
        <v>18.400475747986917</v>
      </c>
      <c r="W73">
        <v>10289.546038274282</v>
      </c>
      <c r="X73">
        <v>14.212752429816502</v>
      </c>
      <c r="Y73">
        <v>7947.7711587533868</v>
      </c>
      <c r="Z73">
        <v>14.690127320588967</v>
      </c>
      <c r="AA73">
        <v>8214.7191976733502</v>
      </c>
      <c r="AB73">
        <v>0</v>
      </c>
      <c r="AC73">
        <v>0</v>
      </c>
      <c r="AD73">
        <v>19.178009202717742</v>
      </c>
      <c r="AE73">
        <v>10724.34274615976</v>
      </c>
      <c r="AF73">
        <v>9.7083725305738469</v>
      </c>
      <c r="AG73">
        <v>5428.9219190968943</v>
      </c>
      <c r="AH73">
        <v>40</v>
      </c>
      <c r="AI73">
        <v>22367.999999999996</v>
      </c>
      <c r="AJ73">
        <v>10.774130716636119</v>
      </c>
      <c r="AK73">
        <v>6024.8938967429167</v>
      </c>
      <c r="AL73">
        <v>0</v>
      </c>
      <c r="AM73">
        <v>0</v>
      </c>
      <c r="AN73">
        <v>10</v>
      </c>
      <c r="AO73">
        <v>5591.9999999999991</v>
      </c>
      <c r="AP73">
        <v>10</v>
      </c>
      <c r="AQ73">
        <v>5591.9999999999991</v>
      </c>
      <c r="AR73">
        <v>7.0132246542411547</v>
      </c>
      <c r="AS73">
        <v>3921.7952266516531</v>
      </c>
      <c r="AT73">
        <v>0</v>
      </c>
      <c r="AU73">
        <v>0</v>
      </c>
      <c r="AV73">
        <v>4.5997745208568208</v>
      </c>
      <c r="AW73">
        <v>2572.1939120631337</v>
      </c>
      <c r="AX73">
        <v>7.8660572090142171</v>
      </c>
      <c r="AY73">
        <v>4398.6991912807498</v>
      </c>
      <c r="AZ73">
        <v>8</v>
      </c>
      <c r="BA73">
        <v>4473.5999999999995</v>
      </c>
      <c r="BB73">
        <v>11</v>
      </c>
      <c r="BC73">
        <v>6151.1999999999989</v>
      </c>
      <c r="BD73">
        <v>10.17607483351072</v>
      </c>
      <c r="BE73">
        <v>5690.4610468991941</v>
      </c>
      <c r="BF73">
        <v>0</v>
      </c>
      <c r="BG73">
        <v>0</v>
      </c>
      <c r="BH73">
        <v>15</v>
      </c>
      <c r="BI73">
        <v>8387.9999999999982</v>
      </c>
      <c r="BJ73">
        <v>10.060301250110161</v>
      </c>
      <c r="BK73">
        <v>5625.7204590616011</v>
      </c>
      <c r="BL73">
        <v>8.7348247652574766</v>
      </c>
      <c r="BM73">
        <v>4884.5140087319805</v>
      </c>
      <c r="BN73">
        <v>12.373183947482543</v>
      </c>
      <c r="BO73">
        <v>6919.0844634322375</v>
      </c>
      <c r="BP73">
        <v>3.9284295297982199</v>
      </c>
      <c r="BQ73">
        <v>2196.7777930631642</v>
      </c>
      <c r="BR73">
        <v>3.4989212345402811</v>
      </c>
      <c r="BS73">
        <v>1956.596754354925</v>
      </c>
      <c r="BT73">
        <v>0</v>
      </c>
      <c r="BU73">
        <v>0</v>
      </c>
      <c r="BV73">
        <v>2.7643979057591621</v>
      </c>
      <c r="BW73">
        <v>1545.8513089005232</v>
      </c>
      <c r="BX73">
        <v>6</v>
      </c>
      <c r="BY73">
        <v>3355.2</v>
      </c>
      <c r="BZ73">
        <v>1.3231029996083095</v>
      </c>
      <c r="CA73">
        <v>739.87919738096662</v>
      </c>
      <c r="CB73">
        <v>9</v>
      </c>
      <c r="CC73">
        <v>5032.7999999999993</v>
      </c>
      <c r="CD73">
        <v>2.8624737246411307</v>
      </c>
      <c r="CE73">
        <v>1600.6953068193202</v>
      </c>
      <c r="CF73">
        <v>25</v>
      </c>
      <c r="CG73">
        <v>13979.999999999998</v>
      </c>
      <c r="CH73">
        <v>17.952792585234445</v>
      </c>
      <c r="CI73">
        <v>10039.201613663101</v>
      </c>
      <c r="CJ73">
        <v>17.29692700690817</v>
      </c>
      <c r="CK73">
        <v>9672.4415822630472</v>
      </c>
      <c r="CL73">
        <v>16.905095161926532</v>
      </c>
      <c r="CM73">
        <v>9453.329214549316</v>
      </c>
      <c r="CN73">
        <v>4.6445857095667451</v>
      </c>
      <c r="CO73">
        <v>2597.2523287897234</v>
      </c>
      <c r="CP73">
        <v>6.3386254248918137</v>
      </c>
      <c r="CQ73">
        <v>3544.5593375995018</v>
      </c>
      <c r="CR73">
        <v>6.0015801621617175</v>
      </c>
      <c r="CS73">
        <v>3356.0836266808319</v>
      </c>
      <c r="CT73">
        <v>0</v>
      </c>
      <c r="CU73">
        <v>0</v>
      </c>
    </row>
    <row r="74" spans="2:99" x14ac:dyDescent="0.2">
      <c r="C74" s="116" t="s">
        <v>240</v>
      </c>
      <c r="D74">
        <v>15.629453681710213</v>
      </c>
      <c r="E74">
        <v>6301.7957244655581</v>
      </c>
      <c r="F74">
        <v>10.599976503164264</v>
      </c>
      <c r="G74">
        <v>4273.9105260758315</v>
      </c>
      <c r="H74">
        <v>0</v>
      </c>
      <c r="I74">
        <v>0</v>
      </c>
      <c r="J74">
        <v>14.418631461017643</v>
      </c>
      <c r="K74">
        <v>5813.5922050823137</v>
      </c>
      <c r="L74">
        <v>0</v>
      </c>
      <c r="M74">
        <v>0</v>
      </c>
      <c r="N74">
        <v>4.8150292218444237</v>
      </c>
      <c r="O74">
        <v>1941.4197822476715</v>
      </c>
      <c r="P74">
        <v>10.979878351067828</v>
      </c>
      <c r="Q74">
        <v>4427.086951150548</v>
      </c>
      <c r="R74">
        <v>4.9616012968523551</v>
      </c>
      <c r="S74">
        <v>2000.5176428908694</v>
      </c>
      <c r="T74">
        <v>17.248203268860543</v>
      </c>
      <c r="U74">
        <v>6954.4755580045703</v>
      </c>
      <c r="V74">
        <v>16.985054536603304</v>
      </c>
      <c r="W74">
        <v>6848.3739891584519</v>
      </c>
      <c r="X74">
        <v>16.15085503388239</v>
      </c>
      <c r="Y74">
        <v>6512.0247496613792</v>
      </c>
      <c r="Z74">
        <v>16.693326500669279</v>
      </c>
      <c r="AA74">
        <v>6730.7492450698528</v>
      </c>
      <c r="AB74">
        <v>0</v>
      </c>
      <c r="AC74">
        <v>0</v>
      </c>
      <c r="AD74">
        <v>20.243454158424282</v>
      </c>
      <c r="AE74">
        <v>8162.1607166766698</v>
      </c>
      <c r="AF74">
        <v>10.837253057384761</v>
      </c>
      <c r="AG74">
        <v>4369.5804327375354</v>
      </c>
      <c r="AH74">
        <v>37</v>
      </c>
      <c r="AI74">
        <v>14918.4</v>
      </c>
      <c r="AJ74">
        <v>9.9453514307410309</v>
      </c>
      <c r="AK74">
        <v>4009.9656968747836</v>
      </c>
      <c r="AL74">
        <v>0</v>
      </c>
      <c r="AM74">
        <v>0</v>
      </c>
      <c r="AN74">
        <v>10</v>
      </c>
      <c r="AO74">
        <v>4032</v>
      </c>
      <c r="AP74">
        <v>9</v>
      </c>
      <c r="AQ74">
        <v>3628.7999999999997</v>
      </c>
      <c r="AR74">
        <v>7.0132246542411547</v>
      </c>
      <c r="AS74">
        <v>2827.7321805900333</v>
      </c>
      <c r="AT74">
        <v>0</v>
      </c>
      <c r="AU74">
        <v>0</v>
      </c>
      <c r="AV74">
        <v>4.0586245772266061</v>
      </c>
      <c r="AW74">
        <v>1636.4374295377675</v>
      </c>
      <c r="AX74">
        <v>7.2609758852438926</v>
      </c>
      <c r="AY74">
        <v>2927.6254769303373</v>
      </c>
      <c r="AZ74">
        <v>8</v>
      </c>
      <c r="BA74">
        <v>3225.6</v>
      </c>
      <c r="BB74">
        <v>12</v>
      </c>
      <c r="BC74">
        <v>4838.3999999999996</v>
      </c>
      <c r="BD74">
        <v>9.4492123454028114</v>
      </c>
      <c r="BE74">
        <v>3809.9224176664134</v>
      </c>
      <c r="BF74">
        <v>0</v>
      </c>
      <c r="BG74">
        <v>0</v>
      </c>
      <c r="BH74">
        <v>17</v>
      </c>
      <c r="BI74">
        <v>6854.4</v>
      </c>
      <c r="BJ74">
        <v>11.49748714298304</v>
      </c>
      <c r="BK74">
        <v>4635.7868160507614</v>
      </c>
      <c r="BL74">
        <v>8.110908710596231</v>
      </c>
      <c r="BM74">
        <v>3270.3183921124</v>
      </c>
      <c r="BN74">
        <v>11.297254908571018</v>
      </c>
      <c r="BO74">
        <v>4555.0531791358344</v>
      </c>
      <c r="BP74">
        <v>3.2736912748318501</v>
      </c>
      <c r="BQ74">
        <v>1319.9523220122019</v>
      </c>
      <c r="BR74">
        <v>3.4989212345402811</v>
      </c>
      <c r="BS74">
        <v>1410.7650417666414</v>
      </c>
      <c r="BT74">
        <v>0</v>
      </c>
      <c r="BU74">
        <v>0</v>
      </c>
      <c r="BV74">
        <v>2.5130890052356021</v>
      </c>
      <c r="BW74">
        <v>1013.2774869109948</v>
      </c>
      <c r="BX74">
        <v>5</v>
      </c>
      <c r="BY74">
        <v>2016</v>
      </c>
      <c r="BZ74">
        <v>1.3231029996083095</v>
      </c>
      <c r="CA74">
        <v>533.4751294420704</v>
      </c>
      <c r="CB74">
        <v>10</v>
      </c>
      <c r="CC74">
        <v>4032</v>
      </c>
      <c r="CD74">
        <v>3.1487210971052435</v>
      </c>
      <c r="CE74">
        <v>1269.564346352834</v>
      </c>
      <c r="CF74">
        <v>30</v>
      </c>
      <c r="CG74">
        <v>12096</v>
      </c>
      <c r="CH74">
        <v>22.44099073154306</v>
      </c>
      <c r="CI74">
        <v>9048.2074629581621</v>
      </c>
      <c r="CJ74">
        <v>17.29692700690817</v>
      </c>
      <c r="CK74">
        <v>6974.1209691853737</v>
      </c>
      <c r="CL74">
        <v>16.038167204904656</v>
      </c>
      <c r="CM74">
        <v>6466.5890170175571</v>
      </c>
      <c r="CN74">
        <v>4.6445857095667451</v>
      </c>
      <c r="CO74">
        <v>1872.6969580973116</v>
      </c>
      <c r="CP74">
        <v>7.0429171387686811</v>
      </c>
      <c r="CQ74">
        <v>2839.7041903515319</v>
      </c>
      <c r="CR74">
        <v>6.751777682431932</v>
      </c>
      <c r="CS74">
        <v>2722.3167615565549</v>
      </c>
      <c r="CT74">
        <v>0</v>
      </c>
      <c r="CU74">
        <v>0</v>
      </c>
    </row>
    <row r="75" spans="2:99" x14ac:dyDescent="0.2">
      <c r="C75" s="116" t="s">
        <v>241</v>
      </c>
      <c r="D75">
        <v>15.071258907363418</v>
      </c>
      <c r="E75">
        <v>9693.8337292161505</v>
      </c>
      <c r="F75">
        <v>12.013306703586165</v>
      </c>
      <c r="G75">
        <v>7726.9588717466204</v>
      </c>
      <c r="H75">
        <v>0</v>
      </c>
      <c r="I75">
        <v>0</v>
      </c>
      <c r="J75">
        <v>14.418631461017643</v>
      </c>
      <c r="K75">
        <v>9274.0637557265472</v>
      </c>
      <c r="L75">
        <v>0</v>
      </c>
      <c r="M75">
        <v>0</v>
      </c>
      <c r="N75">
        <v>4.8150292218444237</v>
      </c>
      <c r="O75">
        <v>3097.0267954903329</v>
      </c>
      <c r="P75">
        <v>9.9341756509661305</v>
      </c>
      <c r="Q75">
        <v>6389.6617787014147</v>
      </c>
      <c r="R75">
        <v>4.9616012968523551</v>
      </c>
      <c r="S75">
        <v>3191.3019541354342</v>
      </c>
      <c r="T75">
        <v>14.168166970849729</v>
      </c>
      <c r="U75">
        <v>9112.9649956505455</v>
      </c>
      <c r="V75">
        <v>16.277343930911503</v>
      </c>
      <c r="W75">
        <v>10469.587616362278</v>
      </c>
      <c r="X75">
        <v>16.15085503388239</v>
      </c>
      <c r="Y75">
        <v>10388.229957793152</v>
      </c>
      <c r="Z75">
        <v>16.02559344064251</v>
      </c>
      <c r="AA75">
        <v>10307.661701021261</v>
      </c>
      <c r="AB75">
        <v>0</v>
      </c>
      <c r="AC75">
        <v>0</v>
      </c>
      <c r="AD75">
        <v>16.514396813451388</v>
      </c>
      <c r="AE75">
        <v>10622.060030411931</v>
      </c>
      <c r="AF75">
        <v>9.7083725305738469</v>
      </c>
      <c r="AG75">
        <v>6244.4252116650978</v>
      </c>
      <c r="AH75">
        <v>39</v>
      </c>
      <c r="AI75">
        <v>25084.799999999996</v>
      </c>
      <c r="AJ75">
        <v>9.9453514307410309</v>
      </c>
      <c r="AK75">
        <v>6396.8500402526306</v>
      </c>
      <c r="AL75">
        <v>0</v>
      </c>
      <c r="AM75">
        <v>0</v>
      </c>
      <c r="AN75">
        <v>10</v>
      </c>
      <c r="AO75">
        <v>6431.9999999999991</v>
      </c>
      <c r="AP75">
        <v>9</v>
      </c>
      <c r="AQ75">
        <v>5788.7999999999993</v>
      </c>
      <c r="AR75">
        <v>6.3119021888170392</v>
      </c>
      <c r="AS75">
        <v>4059.8154878471191</v>
      </c>
      <c r="AT75">
        <v>0</v>
      </c>
      <c r="AU75">
        <v>0</v>
      </c>
      <c r="AV75">
        <v>4.3291995490417134</v>
      </c>
      <c r="AW75">
        <v>2784.54114994363</v>
      </c>
      <c r="AX75">
        <v>7.8660572090142171</v>
      </c>
      <c r="AY75">
        <v>5059.4479968379437</v>
      </c>
      <c r="AZ75">
        <v>8</v>
      </c>
      <c r="BA75">
        <v>5145.5999999999995</v>
      </c>
      <c r="BB75">
        <v>11</v>
      </c>
      <c r="BC75">
        <v>7075.1999999999989</v>
      </c>
      <c r="BD75">
        <v>10.17607483351072</v>
      </c>
      <c r="BE75">
        <v>6545.2513329140947</v>
      </c>
      <c r="BF75">
        <v>0</v>
      </c>
      <c r="BG75">
        <v>0</v>
      </c>
      <c r="BH75">
        <v>16</v>
      </c>
      <c r="BI75">
        <v>10291.199999999999</v>
      </c>
      <c r="BJ75">
        <v>10.060301250110161</v>
      </c>
      <c r="BK75">
        <v>6470.7857640708553</v>
      </c>
      <c r="BL75">
        <v>7.4869926559349809</v>
      </c>
      <c r="BM75">
        <v>4815.6336762973788</v>
      </c>
      <c r="BN75">
        <v>12.911148466938306</v>
      </c>
      <c r="BO75">
        <v>8304.4506939347175</v>
      </c>
      <c r="BP75">
        <v>3.9284295297982199</v>
      </c>
      <c r="BQ75">
        <v>2526.7658735662149</v>
      </c>
      <c r="BR75">
        <v>4.0820747736303282</v>
      </c>
      <c r="BS75">
        <v>2625.5904943990267</v>
      </c>
      <c r="BT75">
        <v>0</v>
      </c>
      <c r="BU75">
        <v>0</v>
      </c>
      <c r="BV75">
        <v>2.5130890052356021</v>
      </c>
      <c r="BW75">
        <v>1616.4188481675392</v>
      </c>
      <c r="BX75">
        <v>6</v>
      </c>
      <c r="BY75">
        <v>3859.2</v>
      </c>
      <c r="BZ75">
        <v>1.5436201662096942</v>
      </c>
      <c r="CA75">
        <v>992.85649090607524</v>
      </c>
      <c r="CB75">
        <v>10</v>
      </c>
      <c r="CC75">
        <v>6431.9999999999991</v>
      </c>
      <c r="CD75">
        <v>2.8624737246411307</v>
      </c>
      <c r="CE75">
        <v>1841.143099689175</v>
      </c>
      <c r="CF75">
        <v>26</v>
      </c>
      <c r="CG75">
        <v>16723.199999999997</v>
      </c>
      <c r="CH75">
        <v>20.645711473019613</v>
      </c>
      <c r="CI75">
        <v>13279.321619446213</v>
      </c>
      <c r="CJ75">
        <v>17.29692700690817</v>
      </c>
      <c r="CK75">
        <v>11125.383450843334</v>
      </c>
      <c r="CL75">
        <v>16.905095161926532</v>
      </c>
      <c r="CM75">
        <v>10873.357208151145</v>
      </c>
      <c r="CN75">
        <v>4.6445857095667451</v>
      </c>
      <c r="CO75">
        <v>2987.39752839333</v>
      </c>
      <c r="CP75">
        <v>7.0429171387686811</v>
      </c>
      <c r="CQ75">
        <v>4530.0043036560155</v>
      </c>
      <c r="CR75">
        <v>6.751777682431932</v>
      </c>
      <c r="CS75">
        <v>4342.7434053402185</v>
      </c>
      <c r="CT75">
        <v>0</v>
      </c>
      <c r="CU75">
        <v>0</v>
      </c>
    </row>
    <row r="76" spans="2:99" x14ac:dyDescent="0.2">
      <c r="C76" s="116" t="s">
        <v>242</v>
      </c>
      <c r="D76">
        <v>16.187648456057008</v>
      </c>
      <c r="E76">
        <v>12606.940617577198</v>
      </c>
      <c r="F76">
        <v>10.599976503164264</v>
      </c>
      <c r="G76">
        <v>8255.2617006643286</v>
      </c>
      <c r="H76">
        <v>0</v>
      </c>
      <c r="I76">
        <v>0</v>
      </c>
      <c r="J76">
        <v>14.418631461017643</v>
      </c>
      <c r="K76">
        <v>11229.230181840539</v>
      </c>
      <c r="L76">
        <v>0</v>
      </c>
      <c r="M76">
        <v>0</v>
      </c>
      <c r="N76">
        <v>4.8150292218444237</v>
      </c>
      <c r="O76">
        <v>3749.9447579724369</v>
      </c>
      <c r="P76">
        <v>9.9341756509661305</v>
      </c>
      <c r="Q76">
        <v>7736.7359969724221</v>
      </c>
      <c r="R76">
        <v>5.4577614265375916</v>
      </c>
      <c r="S76">
        <v>4250.5045989874761</v>
      </c>
      <c r="T76">
        <v>16.016188749656216</v>
      </c>
      <c r="U76">
        <v>12473.40779823226</v>
      </c>
      <c r="V76">
        <v>16.277343930911503</v>
      </c>
      <c r="W76">
        <v>12676.795453393877</v>
      </c>
      <c r="X76">
        <v>15.504820832527097</v>
      </c>
      <c r="Y76">
        <v>12075.154464372103</v>
      </c>
      <c r="Z76">
        <v>17.361059560696052</v>
      </c>
      <c r="AA76">
        <v>13520.793185870085</v>
      </c>
      <c r="AB76">
        <v>0</v>
      </c>
      <c r="AC76">
        <v>0</v>
      </c>
      <c r="AD76">
        <v>15.981674335598116</v>
      </c>
      <c r="AE76">
        <v>12446.527972563812</v>
      </c>
      <c r="AF76">
        <v>9.4825964252116659</v>
      </c>
      <c r="AG76">
        <v>7385.0460959548445</v>
      </c>
      <c r="AH76">
        <v>39</v>
      </c>
      <c r="AI76">
        <v>30373.199999999997</v>
      </c>
      <c r="AJ76">
        <v>9.1165721448459465</v>
      </c>
      <c r="AK76">
        <v>7099.9863864060226</v>
      </c>
      <c r="AL76">
        <v>0</v>
      </c>
      <c r="AM76">
        <v>0</v>
      </c>
      <c r="AN76">
        <v>10</v>
      </c>
      <c r="AO76">
        <v>7788</v>
      </c>
      <c r="AP76">
        <v>10</v>
      </c>
      <c r="AQ76">
        <v>7788</v>
      </c>
      <c r="AR76">
        <v>7.0132246542411547</v>
      </c>
      <c r="AS76">
        <v>5461.8993607230113</v>
      </c>
      <c r="AT76">
        <v>0</v>
      </c>
      <c r="AU76">
        <v>0</v>
      </c>
      <c r="AV76">
        <v>4.0586245772266061</v>
      </c>
      <c r="AW76">
        <v>3160.8568207440808</v>
      </c>
      <c r="AX76">
        <v>7.2609758852438926</v>
      </c>
      <c r="AY76">
        <v>5654.8480194279437</v>
      </c>
      <c r="AZ76">
        <v>8</v>
      </c>
      <c r="BA76">
        <v>6230.4</v>
      </c>
      <c r="BB76">
        <v>11</v>
      </c>
      <c r="BC76">
        <v>8566.7999999999993</v>
      </c>
      <c r="BD76">
        <v>8.722349857294903</v>
      </c>
      <c r="BE76">
        <v>6792.9660688612703</v>
      </c>
      <c r="BF76">
        <v>0</v>
      </c>
      <c r="BG76">
        <v>0</v>
      </c>
      <c r="BH76">
        <v>16</v>
      </c>
      <c r="BI76">
        <v>12460.8</v>
      </c>
      <c r="BJ76">
        <v>10.778894196546601</v>
      </c>
      <c r="BK76">
        <v>8394.6028002704916</v>
      </c>
      <c r="BL76">
        <v>8.7348247652574766</v>
      </c>
      <c r="BM76">
        <v>6802.6815271825226</v>
      </c>
      <c r="BN76">
        <v>10.759290389115256</v>
      </c>
      <c r="BO76">
        <v>8379.3353550429601</v>
      </c>
      <c r="BP76">
        <v>3.9284295297982199</v>
      </c>
      <c r="BQ76">
        <v>3059.4609178068536</v>
      </c>
      <c r="BR76">
        <v>2.9157676954502345</v>
      </c>
      <c r="BS76">
        <v>2270.7998812166425</v>
      </c>
      <c r="BT76">
        <v>0</v>
      </c>
      <c r="BU76">
        <v>0</v>
      </c>
      <c r="BV76">
        <v>2.5130890052356021</v>
      </c>
      <c r="BW76">
        <v>1957.1937172774867</v>
      </c>
      <c r="BX76">
        <v>6</v>
      </c>
      <c r="BY76">
        <v>4672.7999999999993</v>
      </c>
      <c r="BZ76">
        <v>1.3231029996083095</v>
      </c>
      <c r="CA76">
        <v>1030.4326160949513</v>
      </c>
      <c r="CB76">
        <v>8</v>
      </c>
      <c r="CC76">
        <v>6230.4</v>
      </c>
      <c r="CD76">
        <v>3.1487210971052435</v>
      </c>
      <c r="CE76">
        <v>2452.2239904255634</v>
      </c>
      <c r="CF76">
        <v>29</v>
      </c>
      <c r="CG76">
        <v>22585.199999999997</v>
      </c>
      <c r="CH76">
        <v>21.543351102281338</v>
      </c>
      <c r="CI76">
        <v>16777.961838456704</v>
      </c>
      <c r="CJ76">
        <v>16.061432220700443</v>
      </c>
      <c r="CK76">
        <v>12508.643413481504</v>
      </c>
      <c r="CL76">
        <v>15.604703226393722</v>
      </c>
      <c r="CM76">
        <v>12152.94287271543</v>
      </c>
      <c r="CN76">
        <v>4.6445857095667451</v>
      </c>
      <c r="CO76">
        <v>3617.2033506105809</v>
      </c>
      <c r="CP76">
        <v>7.0429171387686811</v>
      </c>
      <c r="CQ76">
        <v>5485.0238676730487</v>
      </c>
      <c r="CR76">
        <v>6.0015801621617175</v>
      </c>
      <c r="CS76">
        <v>4674.0306302915451</v>
      </c>
      <c r="CT76">
        <v>0</v>
      </c>
      <c r="CU76">
        <v>0</v>
      </c>
    </row>
    <row r="77" spans="2:99" x14ac:dyDescent="0.2">
      <c r="C77" s="116" t="s">
        <v>243</v>
      </c>
      <c r="D77">
        <v>15.629453681710213</v>
      </c>
      <c r="E77">
        <v>4351.2399049881233</v>
      </c>
      <c r="F77">
        <v>11.306641603375216</v>
      </c>
      <c r="G77">
        <v>3147.7690223796599</v>
      </c>
      <c r="H77">
        <v>0</v>
      </c>
      <c r="I77">
        <v>0</v>
      </c>
      <c r="J77">
        <v>17.30235775322117</v>
      </c>
      <c r="K77">
        <v>4816.9763984967731</v>
      </c>
      <c r="L77">
        <v>0</v>
      </c>
      <c r="M77">
        <v>0</v>
      </c>
      <c r="N77">
        <v>4.8150292218444237</v>
      </c>
      <c r="O77">
        <v>1340.5041353614874</v>
      </c>
      <c r="P77">
        <v>9.4113243009152825</v>
      </c>
      <c r="Q77">
        <v>2620.1126853748146</v>
      </c>
      <c r="R77">
        <v>5.7058414913802089</v>
      </c>
      <c r="S77">
        <v>1588.50627120025</v>
      </c>
      <c r="T77">
        <v>16.632196009258379</v>
      </c>
      <c r="U77">
        <v>4630.4033689775324</v>
      </c>
      <c r="V77">
        <v>16.277343930911503</v>
      </c>
      <c r="W77">
        <v>4531.6125503657622</v>
      </c>
      <c r="X77">
        <v>14.858786631171801</v>
      </c>
      <c r="Y77">
        <v>4136.6861981182292</v>
      </c>
      <c r="Z77">
        <v>17.361059560696052</v>
      </c>
      <c r="AA77">
        <v>4833.3189816977801</v>
      </c>
      <c r="AB77">
        <v>0</v>
      </c>
      <c r="AC77">
        <v>0</v>
      </c>
      <c r="AD77">
        <v>19.710731680571008</v>
      </c>
      <c r="AE77">
        <v>5487.4676998709683</v>
      </c>
      <c r="AF77">
        <v>10.837253057384761</v>
      </c>
      <c r="AG77">
        <v>3017.091251175917</v>
      </c>
      <c r="AH77">
        <v>38</v>
      </c>
      <c r="AI77">
        <v>10579.199999999999</v>
      </c>
      <c r="AJ77">
        <v>9.9453514307410309</v>
      </c>
      <c r="AK77">
        <v>2768.7858383183029</v>
      </c>
      <c r="AL77">
        <v>0</v>
      </c>
      <c r="AM77">
        <v>0</v>
      </c>
      <c r="AN77">
        <v>9</v>
      </c>
      <c r="AO77">
        <v>2505.6</v>
      </c>
      <c r="AP77">
        <v>10</v>
      </c>
      <c r="AQ77">
        <v>2784</v>
      </c>
      <c r="AR77">
        <v>6.3119021888170392</v>
      </c>
      <c r="AS77">
        <v>1757.2335693666637</v>
      </c>
      <c r="AT77">
        <v>0</v>
      </c>
      <c r="AU77">
        <v>0</v>
      </c>
      <c r="AV77">
        <v>4.0586245772266061</v>
      </c>
      <c r="AW77">
        <v>1129.9210822998871</v>
      </c>
      <c r="AX77">
        <v>7.8660572090142171</v>
      </c>
      <c r="AY77">
        <v>2189.9103269895577</v>
      </c>
      <c r="AZ77">
        <v>8</v>
      </c>
      <c r="BA77">
        <v>2227.1999999999998</v>
      </c>
      <c r="BB77">
        <v>11</v>
      </c>
      <c r="BC77">
        <v>3062.3999999999996</v>
      </c>
      <c r="BD77">
        <v>9.4492123454028114</v>
      </c>
      <c r="BE77">
        <v>2630.6607169601425</v>
      </c>
      <c r="BF77">
        <v>0</v>
      </c>
      <c r="BG77">
        <v>0</v>
      </c>
      <c r="BH77">
        <v>15</v>
      </c>
      <c r="BI77">
        <v>4176</v>
      </c>
      <c r="BJ77">
        <v>10.778894196546601</v>
      </c>
      <c r="BK77">
        <v>3000.8441443185734</v>
      </c>
      <c r="BL77">
        <v>8.110908710596231</v>
      </c>
      <c r="BM77">
        <v>2258.0769850299907</v>
      </c>
      <c r="BN77">
        <v>11.835219428026782</v>
      </c>
      <c r="BO77">
        <v>3294.9250887626558</v>
      </c>
      <c r="BP77">
        <v>3.9284295297982199</v>
      </c>
      <c r="BQ77">
        <v>1093.6747810958243</v>
      </c>
      <c r="BR77">
        <v>4.0820747736303282</v>
      </c>
      <c r="BS77">
        <v>1136.4496169786833</v>
      </c>
      <c r="BT77">
        <v>0</v>
      </c>
      <c r="BU77">
        <v>0</v>
      </c>
      <c r="BV77">
        <v>2.7643979057591621</v>
      </c>
      <c r="BW77">
        <v>769.60837696335068</v>
      </c>
      <c r="BX77">
        <v>6</v>
      </c>
      <c r="BY77">
        <v>1670.3999999999999</v>
      </c>
      <c r="BZ77">
        <v>1.5436201662096942</v>
      </c>
      <c r="CA77">
        <v>429.74385427277883</v>
      </c>
      <c r="CB77">
        <v>9</v>
      </c>
      <c r="CC77">
        <v>2505.6</v>
      </c>
      <c r="CD77">
        <v>3.1487210971052435</v>
      </c>
      <c r="CE77">
        <v>876.60395343409971</v>
      </c>
      <c r="CF77">
        <v>31</v>
      </c>
      <c r="CG77">
        <v>8630.4</v>
      </c>
      <c r="CH77">
        <v>19.748071843757895</v>
      </c>
      <c r="CI77">
        <v>5497.8632013021979</v>
      </c>
      <c r="CJ77">
        <v>16.679179613804308</v>
      </c>
      <c r="CK77">
        <v>4643.4836044831191</v>
      </c>
      <c r="CL77">
        <v>19.505879032992151</v>
      </c>
      <c r="CM77">
        <v>5430.4367227850144</v>
      </c>
      <c r="CN77">
        <v>4.6445857095667451</v>
      </c>
      <c r="CO77">
        <v>1293.0526615433816</v>
      </c>
      <c r="CP77">
        <v>7.0429171387686811</v>
      </c>
      <c r="CQ77">
        <v>1960.7481314332006</v>
      </c>
      <c r="CR77">
        <v>6.751777682431932</v>
      </c>
      <c r="CS77">
        <v>1879.6949067890498</v>
      </c>
      <c r="CT77">
        <v>0</v>
      </c>
      <c r="CU77">
        <v>0</v>
      </c>
    </row>
    <row r="78" spans="2:99" x14ac:dyDescent="0.2">
      <c r="C78" s="116" t="s">
        <v>244</v>
      </c>
      <c r="D78">
        <v>13.954869358669834</v>
      </c>
      <c r="E78">
        <v>7703.0878859857485</v>
      </c>
      <c r="F78">
        <v>11.306641603375216</v>
      </c>
      <c r="G78">
        <v>6241.2661650631189</v>
      </c>
      <c r="H78">
        <v>0</v>
      </c>
      <c r="I78">
        <v>0</v>
      </c>
      <c r="J78">
        <v>15.379873558418819</v>
      </c>
      <c r="K78">
        <v>8489.6902042471884</v>
      </c>
      <c r="L78">
        <v>0</v>
      </c>
      <c r="M78">
        <v>0</v>
      </c>
      <c r="N78">
        <v>4.4137767866907218</v>
      </c>
      <c r="O78">
        <v>2436.4047862532784</v>
      </c>
      <c r="P78">
        <v>10.979878351067828</v>
      </c>
      <c r="Q78">
        <v>6060.8928497894412</v>
      </c>
      <c r="R78">
        <v>5.4577614265375916</v>
      </c>
      <c r="S78">
        <v>3012.6843074487506</v>
      </c>
      <c r="T78">
        <v>16.632196009258379</v>
      </c>
      <c r="U78">
        <v>9180.9721971106246</v>
      </c>
      <c r="V78">
        <v>18.400475747986917</v>
      </c>
      <c r="W78">
        <v>10157.062612888778</v>
      </c>
      <c r="X78">
        <v>16.796889235237686</v>
      </c>
      <c r="Y78">
        <v>9271.8828578512021</v>
      </c>
      <c r="Z78">
        <v>14.690127320588967</v>
      </c>
      <c r="AA78">
        <v>8108.9502809651103</v>
      </c>
      <c r="AB78">
        <v>0</v>
      </c>
      <c r="AC78">
        <v>0</v>
      </c>
      <c r="AD78">
        <v>19.710731680571008</v>
      </c>
      <c r="AE78">
        <v>10880.323887675197</v>
      </c>
      <c r="AF78">
        <v>9.9341486359360314</v>
      </c>
      <c r="AG78">
        <v>5483.6500470366891</v>
      </c>
      <c r="AH78">
        <v>40</v>
      </c>
      <c r="AI78">
        <v>22080</v>
      </c>
      <c r="AJ78">
        <v>9.1165721448459465</v>
      </c>
      <c r="AK78">
        <v>5032.3478239549622</v>
      </c>
      <c r="AL78">
        <v>0</v>
      </c>
      <c r="AM78">
        <v>0</v>
      </c>
      <c r="AN78">
        <v>9</v>
      </c>
      <c r="AO78">
        <v>4968</v>
      </c>
      <c r="AP78">
        <v>11</v>
      </c>
      <c r="AQ78">
        <v>6072</v>
      </c>
      <c r="AR78">
        <v>7.0132246542411547</v>
      </c>
      <c r="AS78">
        <v>3871.3000091411172</v>
      </c>
      <c r="AT78">
        <v>0</v>
      </c>
      <c r="AU78">
        <v>0</v>
      </c>
      <c r="AV78">
        <v>3.7880496054114992</v>
      </c>
      <c r="AW78">
        <v>2091.0033821871475</v>
      </c>
      <c r="AX78">
        <v>7.2609758852438926</v>
      </c>
      <c r="AY78">
        <v>4008.0586886546289</v>
      </c>
      <c r="AZ78">
        <v>9</v>
      </c>
      <c r="BA78">
        <v>4968</v>
      </c>
      <c r="BB78">
        <v>10</v>
      </c>
      <c r="BC78">
        <v>5520</v>
      </c>
      <c r="BD78">
        <v>8.722349857294903</v>
      </c>
      <c r="BE78">
        <v>4814.7371212267863</v>
      </c>
      <c r="BF78">
        <v>0</v>
      </c>
      <c r="BG78">
        <v>0</v>
      </c>
      <c r="BH78">
        <v>16</v>
      </c>
      <c r="BI78">
        <v>8832</v>
      </c>
      <c r="BJ78">
        <v>10.060301250110161</v>
      </c>
      <c r="BK78">
        <v>5553.2862900608088</v>
      </c>
      <c r="BL78">
        <v>8.7348247652574766</v>
      </c>
      <c r="BM78">
        <v>4821.6232704221275</v>
      </c>
      <c r="BN78">
        <v>12.911148466938306</v>
      </c>
      <c r="BO78">
        <v>7126.953953749945</v>
      </c>
      <c r="BP78">
        <v>3.9284295297982199</v>
      </c>
      <c r="BQ78">
        <v>2168.4931004486175</v>
      </c>
      <c r="BR78">
        <v>3.4989212345402811</v>
      </c>
      <c r="BS78">
        <v>1931.4045214662351</v>
      </c>
      <c r="BT78">
        <v>0</v>
      </c>
      <c r="BU78">
        <v>0</v>
      </c>
      <c r="BV78">
        <v>2.261780104712042</v>
      </c>
      <c r="BW78">
        <v>1248.5026178010471</v>
      </c>
      <c r="BX78">
        <v>6</v>
      </c>
      <c r="BY78">
        <v>3312</v>
      </c>
      <c r="BZ78">
        <v>1.5436201662096942</v>
      </c>
      <c r="CA78">
        <v>852.07833174775124</v>
      </c>
      <c r="CB78">
        <v>8</v>
      </c>
      <c r="CC78">
        <v>4416</v>
      </c>
      <c r="CD78">
        <v>3.1487210971052435</v>
      </c>
      <c r="CE78">
        <v>1738.0940456020944</v>
      </c>
      <c r="CF78">
        <v>29</v>
      </c>
      <c r="CG78">
        <v>16008</v>
      </c>
      <c r="CH78">
        <v>21.094531287650476</v>
      </c>
      <c r="CI78">
        <v>11644.181270783063</v>
      </c>
      <c r="CJ78">
        <v>18.532421793115894</v>
      </c>
      <c r="CK78">
        <v>10229.896829799973</v>
      </c>
      <c r="CL78">
        <v>17.772023118948404</v>
      </c>
      <c r="CM78">
        <v>9810.1567616595185</v>
      </c>
      <c r="CN78">
        <v>4.6445857095667451</v>
      </c>
      <c r="CO78">
        <v>2563.8113116808431</v>
      </c>
      <c r="CP78">
        <v>7.7472088526455494</v>
      </c>
      <c r="CQ78">
        <v>4276.4592866603434</v>
      </c>
      <c r="CR78">
        <v>6.0015801621617175</v>
      </c>
      <c r="CS78">
        <v>3312.8722495132679</v>
      </c>
      <c r="CT78">
        <v>0</v>
      </c>
      <c r="CU78">
        <v>0</v>
      </c>
    </row>
    <row r="79" spans="2:99" x14ac:dyDescent="0.2">
      <c r="C79" s="116" t="s">
        <v>245</v>
      </c>
      <c r="D79">
        <v>15.629453681710213</v>
      </c>
      <c r="E79">
        <v>11834.622327790972</v>
      </c>
      <c r="F79">
        <v>9.893311402953314</v>
      </c>
      <c r="G79">
        <v>7491.2153943162484</v>
      </c>
      <c r="H79">
        <v>0</v>
      </c>
      <c r="I79">
        <v>0</v>
      </c>
      <c r="J79">
        <v>14.418631461017643</v>
      </c>
      <c r="K79">
        <v>10917.787742282559</v>
      </c>
      <c r="L79">
        <v>0</v>
      </c>
      <c r="M79">
        <v>0</v>
      </c>
      <c r="N79">
        <v>5.2162816569981256</v>
      </c>
      <c r="O79">
        <v>3949.7684706789805</v>
      </c>
      <c r="P79">
        <v>9.4113243009152825</v>
      </c>
      <c r="Q79">
        <v>7126.2547606530516</v>
      </c>
      <c r="R79">
        <v>5.2096813616949733</v>
      </c>
      <c r="S79">
        <v>3944.7707270754336</v>
      </c>
      <c r="T79">
        <v>15.400181490054056</v>
      </c>
      <c r="U79">
        <v>11661.01742426893</v>
      </c>
      <c r="V79">
        <v>15.569633325219698</v>
      </c>
      <c r="W79">
        <v>11789.326353856353</v>
      </c>
      <c r="X79">
        <v>15.504820832527097</v>
      </c>
      <c r="Y79">
        <v>11740.250334389517</v>
      </c>
      <c r="Z79">
        <v>15.357860380615739</v>
      </c>
      <c r="AA79">
        <v>11628.971880202236</v>
      </c>
      <c r="AB79">
        <v>0</v>
      </c>
      <c r="AC79">
        <v>0</v>
      </c>
      <c r="AD79">
        <v>15.981674335598116</v>
      </c>
      <c r="AE79">
        <v>12101.323806914892</v>
      </c>
      <c r="AF79">
        <v>10.159924741298212</v>
      </c>
      <c r="AG79">
        <v>7693.0950141110061</v>
      </c>
      <c r="AH79">
        <v>39</v>
      </c>
      <c r="AI79">
        <v>29530.799999999996</v>
      </c>
      <c r="AJ79">
        <v>8.2877928589508603</v>
      </c>
      <c r="AK79">
        <v>6275.5167527975909</v>
      </c>
      <c r="AL79">
        <v>0</v>
      </c>
      <c r="AM79">
        <v>0</v>
      </c>
      <c r="AN79">
        <v>9</v>
      </c>
      <c r="AO79">
        <v>6814.7999999999993</v>
      </c>
      <c r="AP79">
        <v>10</v>
      </c>
      <c r="AQ79">
        <v>7571.9999999999991</v>
      </c>
      <c r="AR79">
        <v>7.0132246542411547</v>
      </c>
      <c r="AS79">
        <v>5310.4137081914023</v>
      </c>
      <c r="AT79">
        <v>0</v>
      </c>
      <c r="AU79">
        <v>0</v>
      </c>
      <c r="AV79">
        <v>3.7880496054114992</v>
      </c>
      <c r="AW79">
        <v>2868.3111612175867</v>
      </c>
      <c r="AX79">
        <v>7.2609758852438926</v>
      </c>
      <c r="AY79">
        <v>5498.0109403066754</v>
      </c>
      <c r="AZ79">
        <v>7</v>
      </c>
      <c r="BA79">
        <v>5300.4</v>
      </c>
      <c r="BB79">
        <v>11</v>
      </c>
      <c r="BC79">
        <v>8329.1999999999989</v>
      </c>
      <c r="BD79">
        <v>9.4492123454028114</v>
      </c>
      <c r="BE79">
        <v>7154.9435879390085</v>
      </c>
      <c r="BF79">
        <v>0</v>
      </c>
      <c r="BG79">
        <v>0</v>
      </c>
      <c r="BH79">
        <v>17</v>
      </c>
      <c r="BI79">
        <v>12872.4</v>
      </c>
      <c r="BJ79">
        <v>10.778894196546601</v>
      </c>
      <c r="BK79">
        <v>8161.778685625085</v>
      </c>
      <c r="BL79">
        <v>7.4869926559349809</v>
      </c>
      <c r="BM79">
        <v>5669.1508390739673</v>
      </c>
      <c r="BN79">
        <v>12.373183947482543</v>
      </c>
      <c r="BO79">
        <v>9368.9748850337801</v>
      </c>
      <c r="BP79">
        <v>3.9284295297982199</v>
      </c>
      <c r="BQ79">
        <v>2974.6068399632118</v>
      </c>
      <c r="BR79">
        <v>3.4989212345402811</v>
      </c>
      <c r="BS79">
        <v>2649.3831587939007</v>
      </c>
      <c r="BT79">
        <v>0</v>
      </c>
      <c r="BU79">
        <v>0</v>
      </c>
      <c r="BV79">
        <v>2.7643979057591621</v>
      </c>
      <c r="BW79">
        <v>2093.2020942408371</v>
      </c>
      <c r="BX79">
        <v>6</v>
      </c>
      <c r="BY79">
        <v>4543.2</v>
      </c>
      <c r="BZ79">
        <v>1.3231029996083095</v>
      </c>
      <c r="CA79">
        <v>1001.8535913034118</v>
      </c>
      <c r="CB79">
        <v>9</v>
      </c>
      <c r="CC79">
        <v>6814.7999999999993</v>
      </c>
      <c r="CD79">
        <v>3.1487210971052435</v>
      </c>
      <c r="CE79">
        <v>2384.2116147280904</v>
      </c>
      <c r="CF79">
        <v>28</v>
      </c>
      <c r="CG79">
        <v>21201.599999999999</v>
      </c>
      <c r="CH79">
        <v>18.85043221449617</v>
      </c>
      <c r="CI79">
        <v>14273.547272816499</v>
      </c>
      <c r="CJ79">
        <v>17.914674400012032</v>
      </c>
      <c r="CK79">
        <v>13564.991455689109</v>
      </c>
      <c r="CL79">
        <v>15.604703226393722</v>
      </c>
      <c r="CM79">
        <v>11815.881283025325</v>
      </c>
      <c r="CN79">
        <v>4.6445857095667451</v>
      </c>
      <c r="CO79">
        <v>3516.8802992839392</v>
      </c>
      <c r="CP79">
        <v>7.0429171387686811</v>
      </c>
      <c r="CQ79">
        <v>5332.8968574756445</v>
      </c>
      <c r="CR79">
        <v>6.0015801621617175</v>
      </c>
      <c r="CS79">
        <v>4544.3964987888521</v>
      </c>
      <c r="CT79">
        <v>0</v>
      </c>
      <c r="CU79">
        <v>0</v>
      </c>
    </row>
    <row r="80" spans="2:99" x14ac:dyDescent="0.2">
      <c r="C80" s="116" t="s">
        <v>246</v>
      </c>
      <c r="D80">
        <v>15.629453681710213</v>
      </c>
      <c r="E80">
        <v>12584.836104513062</v>
      </c>
      <c r="F80">
        <v>10.599976503164264</v>
      </c>
      <c r="G80">
        <v>8535.1010803478639</v>
      </c>
      <c r="H80">
        <v>0</v>
      </c>
      <c r="I80">
        <v>0</v>
      </c>
      <c r="J80">
        <v>14.418631461017643</v>
      </c>
      <c r="K80">
        <v>11609.882052411405</v>
      </c>
      <c r="L80">
        <v>0</v>
      </c>
      <c r="M80">
        <v>0</v>
      </c>
      <c r="N80">
        <v>4.8150292218444237</v>
      </c>
      <c r="O80">
        <v>3877.0615294291297</v>
      </c>
      <c r="P80">
        <v>10.45702700101698</v>
      </c>
      <c r="Q80">
        <v>8419.9981412188718</v>
      </c>
      <c r="R80">
        <v>4.9616012968523551</v>
      </c>
      <c r="S80">
        <v>3995.0813642255162</v>
      </c>
      <c r="T80">
        <v>14.784174230451891</v>
      </c>
      <c r="U80">
        <v>11904.217090359862</v>
      </c>
      <c r="V80">
        <v>16.985054536603304</v>
      </c>
      <c r="W80">
        <v>13676.36591287298</v>
      </c>
      <c r="X80">
        <v>16.15085503388239</v>
      </c>
      <c r="Y80">
        <v>13004.6684732821</v>
      </c>
      <c r="Z80">
        <v>15.357860380615739</v>
      </c>
      <c r="AA80">
        <v>12366.149178471791</v>
      </c>
      <c r="AB80">
        <v>0</v>
      </c>
      <c r="AC80">
        <v>0</v>
      </c>
      <c r="AD80">
        <v>17.57984176915793</v>
      </c>
      <c r="AE80">
        <v>14155.288592525963</v>
      </c>
      <c r="AF80">
        <v>9.2568203198494832</v>
      </c>
      <c r="AG80">
        <v>7453.5917215428035</v>
      </c>
      <c r="AH80">
        <v>36</v>
      </c>
      <c r="AI80">
        <v>28987.199999999997</v>
      </c>
      <c r="AJ80">
        <v>9.1165721448459465</v>
      </c>
      <c r="AK80">
        <v>7340.6638910299553</v>
      </c>
      <c r="AL80">
        <v>0</v>
      </c>
      <c r="AM80">
        <v>0</v>
      </c>
      <c r="AN80">
        <v>9</v>
      </c>
      <c r="AO80">
        <v>7246.7999999999993</v>
      </c>
      <c r="AP80">
        <v>9</v>
      </c>
      <c r="AQ80">
        <v>7246.7999999999993</v>
      </c>
      <c r="AR80">
        <v>7.0132246542411547</v>
      </c>
      <c r="AS80">
        <v>5647.0484915949773</v>
      </c>
      <c r="AT80">
        <v>0</v>
      </c>
      <c r="AU80">
        <v>0</v>
      </c>
      <c r="AV80">
        <v>4.0586245772266061</v>
      </c>
      <c r="AW80">
        <v>3268.0045095828627</v>
      </c>
      <c r="AX80">
        <v>7.2609758852438926</v>
      </c>
      <c r="AY80">
        <v>5846.5377827983821</v>
      </c>
      <c r="AZ80">
        <v>9</v>
      </c>
      <c r="BA80">
        <v>7246.7999999999993</v>
      </c>
      <c r="BB80">
        <v>12</v>
      </c>
      <c r="BC80">
        <v>9662.4</v>
      </c>
      <c r="BD80">
        <v>8.722349857294903</v>
      </c>
      <c r="BE80">
        <v>7023.2361050938553</v>
      </c>
      <c r="BF80">
        <v>0</v>
      </c>
      <c r="BG80">
        <v>0</v>
      </c>
      <c r="BH80">
        <v>15</v>
      </c>
      <c r="BI80">
        <v>12077.999999999998</v>
      </c>
      <c r="BJ80">
        <v>10.060301250110161</v>
      </c>
      <c r="BK80">
        <v>8100.5545665887012</v>
      </c>
      <c r="BL80">
        <v>8.7348247652574766</v>
      </c>
      <c r="BM80">
        <v>7033.2809009853199</v>
      </c>
      <c r="BN80">
        <v>12.911148466938306</v>
      </c>
      <c r="BO80">
        <v>10396.056745578722</v>
      </c>
      <c r="BP80">
        <v>3.2736912748318501</v>
      </c>
      <c r="BQ80">
        <v>2635.9762144946053</v>
      </c>
      <c r="BR80">
        <v>3.4989212345402811</v>
      </c>
      <c r="BS80">
        <v>2817.3313780518342</v>
      </c>
      <c r="BT80">
        <v>0</v>
      </c>
      <c r="BU80">
        <v>0</v>
      </c>
      <c r="BV80">
        <v>2.7643979057591621</v>
      </c>
      <c r="BW80">
        <v>2225.893193717277</v>
      </c>
      <c r="BX80">
        <v>6</v>
      </c>
      <c r="BY80">
        <v>4831.2</v>
      </c>
      <c r="BZ80">
        <v>1.5436201662096942</v>
      </c>
      <c r="CA80">
        <v>1242.9229578320458</v>
      </c>
      <c r="CB80">
        <v>8</v>
      </c>
      <c r="CC80">
        <v>6441.5999999999995</v>
      </c>
      <c r="CD80">
        <v>3.1487210971052435</v>
      </c>
      <c r="CE80">
        <v>2535.3502273891418</v>
      </c>
      <c r="CF80">
        <v>26</v>
      </c>
      <c r="CG80">
        <v>20935.199999999997</v>
      </c>
      <c r="CH80">
        <v>18.401612399865311</v>
      </c>
      <c r="CI80">
        <v>14816.978304371547</v>
      </c>
      <c r="CJ80">
        <v>16.679179613804308</v>
      </c>
      <c r="CK80">
        <v>13430.075425035227</v>
      </c>
      <c r="CL80">
        <v>16.038167204904656</v>
      </c>
      <c r="CM80">
        <v>12913.932233389229</v>
      </c>
      <c r="CN80">
        <v>4.6445857095667451</v>
      </c>
      <c r="CO80">
        <v>3739.8204133431427</v>
      </c>
      <c r="CP80">
        <v>6.3386254248918137</v>
      </c>
      <c r="CQ80">
        <v>5103.8611921228876</v>
      </c>
      <c r="CR80">
        <v>6.751777682431932</v>
      </c>
      <c r="CS80">
        <v>5436.5313898941913</v>
      </c>
      <c r="CT80">
        <v>0</v>
      </c>
      <c r="CU80">
        <v>0</v>
      </c>
    </row>
    <row r="81" spans="2:99" x14ac:dyDescent="0.2">
      <c r="C81" s="116" t="s">
        <v>247</v>
      </c>
      <c r="D81">
        <v>15.629453681710213</v>
      </c>
      <c r="E81">
        <v>11778.356294536818</v>
      </c>
      <c r="F81">
        <v>10.599976503164264</v>
      </c>
      <c r="G81">
        <v>7988.1422927845897</v>
      </c>
      <c r="H81">
        <v>0</v>
      </c>
      <c r="I81">
        <v>0</v>
      </c>
      <c r="J81">
        <v>15.379873558418819</v>
      </c>
      <c r="K81">
        <v>11590.272713624423</v>
      </c>
      <c r="L81">
        <v>0</v>
      </c>
      <c r="M81">
        <v>0</v>
      </c>
      <c r="N81">
        <v>4.8150292218444237</v>
      </c>
      <c r="O81">
        <v>3628.606021581958</v>
      </c>
      <c r="P81">
        <v>10.45702700101698</v>
      </c>
      <c r="Q81">
        <v>7880.4155479663968</v>
      </c>
      <c r="R81">
        <v>4.9616012968523551</v>
      </c>
      <c r="S81">
        <v>3739.0627373079351</v>
      </c>
      <c r="T81">
        <v>16.016188749656216</v>
      </c>
      <c r="U81">
        <v>12069.799841740925</v>
      </c>
      <c r="V81">
        <v>16.277343930911503</v>
      </c>
      <c r="W81">
        <v>12266.606386334908</v>
      </c>
      <c r="X81">
        <v>16.15085503388239</v>
      </c>
      <c r="Y81">
        <v>12171.284353533769</v>
      </c>
      <c r="Z81">
        <v>15.357860380615739</v>
      </c>
      <c r="AA81">
        <v>11573.683582832022</v>
      </c>
      <c r="AB81">
        <v>0</v>
      </c>
      <c r="AC81">
        <v>0</v>
      </c>
      <c r="AD81">
        <v>16.514396813451388</v>
      </c>
      <c r="AE81">
        <v>12445.249438616966</v>
      </c>
      <c r="AF81">
        <v>9.9341486359360314</v>
      </c>
      <c r="AG81">
        <v>7486.374412041393</v>
      </c>
      <c r="AH81">
        <v>36</v>
      </c>
      <c r="AI81">
        <v>27129.600000000002</v>
      </c>
      <c r="AJ81">
        <v>9.1165721448459465</v>
      </c>
      <c r="AK81">
        <v>6870.2487683559057</v>
      </c>
      <c r="AL81">
        <v>0</v>
      </c>
      <c r="AM81">
        <v>0</v>
      </c>
      <c r="AN81">
        <v>10</v>
      </c>
      <c r="AO81">
        <v>7536</v>
      </c>
      <c r="AP81">
        <v>9</v>
      </c>
      <c r="AQ81">
        <v>6782.4000000000005</v>
      </c>
      <c r="AR81">
        <v>6.3119021888170392</v>
      </c>
      <c r="AS81">
        <v>4756.6494894925208</v>
      </c>
      <c r="AT81">
        <v>0</v>
      </c>
      <c r="AU81">
        <v>0</v>
      </c>
      <c r="AV81">
        <v>4.0586245772266061</v>
      </c>
      <c r="AW81">
        <v>3058.5794813979705</v>
      </c>
      <c r="AX81">
        <v>6.6558945614735681</v>
      </c>
      <c r="AY81">
        <v>5015.8821415264811</v>
      </c>
      <c r="AZ81">
        <v>8</v>
      </c>
      <c r="BA81">
        <v>6028.8</v>
      </c>
      <c r="BB81">
        <v>11</v>
      </c>
      <c r="BC81">
        <v>8289.6</v>
      </c>
      <c r="BD81">
        <v>9.4492123454028114</v>
      </c>
      <c r="BE81">
        <v>7120.926423495559</v>
      </c>
      <c r="BF81">
        <v>0</v>
      </c>
      <c r="BG81">
        <v>0</v>
      </c>
      <c r="BH81">
        <v>15</v>
      </c>
      <c r="BI81">
        <v>11304</v>
      </c>
      <c r="BJ81">
        <v>11.49748714298304</v>
      </c>
      <c r="BK81">
        <v>8664.5063109520197</v>
      </c>
      <c r="BL81">
        <v>7.4869926559349809</v>
      </c>
      <c r="BM81">
        <v>5642.1976655126018</v>
      </c>
      <c r="BN81">
        <v>10.759290389115256</v>
      </c>
      <c r="BO81">
        <v>8108.2012372372565</v>
      </c>
      <c r="BP81">
        <v>3.9284295297982199</v>
      </c>
      <c r="BQ81">
        <v>2960.4644936559384</v>
      </c>
      <c r="BR81">
        <v>3.4989212345402811</v>
      </c>
      <c r="BS81">
        <v>2636.787042349556</v>
      </c>
      <c r="BT81">
        <v>0</v>
      </c>
      <c r="BU81">
        <v>0</v>
      </c>
      <c r="BV81">
        <v>2.5130890052356021</v>
      </c>
      <c r="BW81">
        <v>1893.8638743455497</v>
      </c>
      <c r="BX81">
        <v>6</v>
      </c>
      <c r="BY81">
        <v>4521.6000000000004</v>
      </c>
      <c r="BZ81">
        <v>1.3231029996083095</v>
      </c>
      <c r="CA81">
        <v>997.09042050482208</v>
      </c>
      <c r="CB81">
        <v>8</v>
      </c>
      <c r="CC81">
        <v>6028.8</v>
      </c>
      <c r="CD81">
        <v>3.4349684695693568</v>
      </c>
      <c r="CE81">
        <v>2588.5922386674674</v>
      </c>
      <c r="CF81">
        <v>25</v>
      </c>
      <c r="CG81">
        <v>18840</v>
      </c>
      <c r="CH81">
        <v>20.196891658388754</v>
      </c>
      <c r="CI81">
        <v>15220.377553761766</v>
      </c>
      <c r="CJ81">
        <v>15.443684827596581</v>
      </c>
      <c r="CK81">
        <v>11638.360886076784</v>
      </c>
      <c r="CL81">
        <v>15.604703226393722</v>
      </c>
      <c r="CM81">
        <v>11759.70435141031</v>
      </c>
      <c r="CN81">
        <v>4.6445857095667451</v>
      </c>
      <c r="CO81">
        <v>3500.159790729499</v>
      </c>
      <c r="CP81">
        <v>7.0429171387686811</v>
      </c>
      <c r="CQ81">
        <v>5307.5423557760778</v>
      </c>
      <c r="CR81">
        <v>7.5019752027021465</v>
      </c>
      <c r="CS81">
        <v>5653.4885127563375</v>
      </c>
      <c r="CT81">
        <v>0</v>
      </c>
      <c r="CU81">
        <v>0</v>
      </c>
    </row>
    <row r="82" spans="2:99" x14ac:dyDescent="0.2">
      <c r="C82" s="116" t="s">
        <v>248</v>
      </c>
      <c r="D82">
        <v>15.071258907363418</v>
      </c>
      <c r="E82">
        <v>7668.2565320665053</v>
      </c>
      <c r="F82">
        <v>11.306641603375216</v>
      </c>
      <c r="G82">
        <v>5752.8192477973089</v>
      </c>
      <c r="H82">
        <v>0</v>
      </c>
      <c r="I82">
        <v>0</v>
      </c>
      <c r="J82">
        <v>14.418631461017643</v>
      </c>
      <c r="K82">
        <v>7336.1996873657754</v>
      </c>
      <c r="L82">
        <v>0</v>
      </c>
      <c r="M82">
        <v>0</v>
      </c>
      <c r="N82">
        <v>4.4137767866907218</v>
      </c>
      <c r="O82">
        <v>2245.7296290682389</v>
      </c>
      <c r="P82">
        <v>10.45702700101698</v>
      </c>
      <c r="Q82">
        <v>5320.5353381174382</v>
      </c>
      <c r="R82">
        <v>4.7135212320097377</v>
      </c>
      <c r="S82">
        <v>2398.2396028465541</v>
      </c>
      <c r="T82">
        <v>17.248203268860543</v>
      </c>
      <c r="U82">
        <v>8775.8858231962422</v>
      </c>
      <c r="V82">
        <v>18.400475747986917</v>
      </c>
      <c r="W82">
        <v>9362.1620605757416</v>
      </c>
      <c r="X82">
        <v>14.212752429816502</v>
      </c>
      <c r="Y82">
        <v>7231.4484362906351</v>
      </c>
      <c r="Z82">
        <v>16.693326500669279</v>
      </c>
      <c r="AA82">
        <v>8493.5645235405282</v>
      </c>
      <c r="AB82">
        <v>0</v>
      </c>
      <c r="AC82">
        <v>0</v>
      </c>
      <c r="AD82">
        <v>19.178009202717742</v>
      </c>
      <c r="AE82">
        <v>9757.771082342786</v>
      </c>
      <c r="AF82">
        <v>10.159924741298212</v>
      </c>
      <c r="AG82">
        <v>5169.3697083725292</v>
      </c>
      <c r="AH82">
        <v>40</v>
      </c>
      <c r="AI82">
        <v>20351.999999999996</v>
      </c>
      <c r="AJ82">
        <v>9.9453514307410309</v>
      </c>
      <c r="AK82">
        <v>5060.1948079610356</v>
      </c>
      <c r="AL82">
        <v>0</v>
      </c>
      <c r="AM82">
        <v>0</v>
      </c>
      <c r="AN82">
        <v>9</v>
      </c>
      <c r="AO82">
        <v>4579.1999999999989</v>
      </c>
      <c r="AP82">
        <v>10</v>
      </c>
      <c r="AQ82">
        <v>5087.9999999999991</v>
      </c>
      <c r="AR82">
        <v>6.3119021888170392</v>
      </c>
      <c r="AS82">
        <v>3211.4958336701088</v>
      </c>
      <c r="AT82">
        <v>0</v>
      </c>
      <c r="AU82">
        <v>0</v>
      </c>
      <c r="AV82">
        <v>4.3291995490417134</v>
      </c>
      <c r="AW82">
        <v>2202.6967305524236</v>
      </c>
      <c r="AX82">
        <v>6.6558945614735681</v>
      </c>
      <c r="AY82">
        <v>3386.5191528777509</v>
      </c>
      <c r="AZ82">
        <v>8</v>
      </c>
      <c r="BA82">
        <v>4070.3999999999992</v>
      </c>
      <c r="BB82">
        <v>11</v>
      </c>
      <c r="BC82">
        <v>5596.7999999999993</v>
      </c>
      <c r="BD82">
        <v>9.4492123454028114</v>
      </c>
      <c r="BE82">
        <v>4807.7592413409493</v>
      </c>
      <c r="BF82">
        <v>0</v>
      </c>
      <c r="BG82">
        <v>0</v>
      </c>
      <c r="BH82">
        <v>16</v>
      </c>
      <c r="BI82">
        <v>8140.7999999999984</v>
      </c>
      <c r="BJ82">
        <v>10.060301250110161</v>
      </c>
      <c r="BK82">
        <v>5118.6812760560488</v>
      </c>
      <c r="BL82">
        <v>7.4869926559349809</v>
      </c>
      <c r="BM82">
        <v>3809.3818633397177</v>
      </c>
      <c r="BN82">
        <v>11.835219428026782</v>
      </c>
      <c r="BO82">
        <v>6021.7596449800258</v>
      </c>
      <c r="BP82">
        <v>3.9284295297982199</v>
      </c>
      <c r="BQ82">
        <v>1998.7849447613339</v>
      </c>
      <c r="BR82">
        <v>3.4989212345402811</v>
      </c>
      <c r="BS82">
        <v>1780.2511241340947</v>
      </c>
      <c r="BT82">
        <v>0</v>
      </c>
      <c r="BU82">
        <v>0</v>
      </c>
      <c r="BV82">
        <v>2.5130890052356021</v>
      </c>
      <c r="BW82">
        <v>1278.6596858638741</v>
      </c>
      <c r="BX82">
        <v>6</v>
      </c>
      <c r="BY82">
        <v>3052.7999999999993</v>
      </c>
      <c r="BZ82">
        <v>1.3231029996083095</v>
      </c>
      <c r="CA82">
        <v>673.19480620070772</v>
      </c>
      <c r="CB82">
        <v>10</v>
      </c>
      <c r="CC82">
        <v>5087.9999999999991</v>
      </c>
      <c r="CD82">
        <v>3.1487210971052435</v>
      </c>
      <c r="CE82">
        <v>1602.0692942071475</v>
      </c>
      <c r="CF82">
        <v>28</v>
      </c>
      <c r="CG82">
        <v>14246.399999999998</v>
      </c>
      <c r="CH82">
        <v>19.299252029127029</v>
      </c>
      <c r="CI82">
        <v>9819.4594324198297</v>
      </c>
      <c r="CJ82">
        <v>16.679179613804308</v>
      </c>
      <c r="CK82">
        <v>8486.3665875036295</v>
      </c>
      <c r="CL82">
        <v>16.471631183415596</v>
      </c>
      <c r="CM82">
        <v>8380.7659461218536</v>
      </c>
      <c r="CN82">
        <v>4.6445857095667451</v>
      </c>
      <c r="CO82">
        <v>2363.1652090275593</v>
      </c>
      <c r="CP82">
        <v>6.3386254248918137</v>
      </c>
      <c r="CQ82">
        <v>3225.0926161849543</v>
      </c>
      <c r="CR82">
        <v>6.751777682431932</v>
      </c>
      <c r="CS82">
        <v>3435.3044848213663</v>
      </c>
      <c r="CT82">
        <v>0</v>
      </c>
      <c r="CU82">
        <v>0</v>
      </c>
    </row>
    <row r="83" spans="2:99" x14ac:dyDescent="0.2">
      <c r="C83" s="116" t="s">
        <v>249</v>
      </c>
      <c r="D83">
        <v>13.396674584323041</v>
      </c>
      <c r="E83">
        <v>11526.498812351543</v>
      </c>
      <c r="F83">
        <v>11.306641603375216</v>
      </c>
      <c r="G83">
        <v>9728.2344355440346</v>
      </c>
      <c r="H83">
        <v>0</v>
      </c>
      <c r="I83">
        <v>0</v>
      </c>
      <c r="J83">
        <v>15.379873558418819</v>
      </c>
      <c r="K83">
        <v>13232.843209663552</v>
      </c>
      <c r="L83">
        <v>0</v>
      </c>
      <c r="M83">
        <v>0</v>
      </c>
      <c r="N83">
        <v>4.4137767866907218</v>
      </c>
      <c r="O83">
        <v>3797.6135472686969</v>
      </c>
      <c r="P83">
        <v>9.9341756509661305</v>
      </c>
      <c r="Q83">
        <v>8547.364730091258</v>
      </c>
      <c r="R83">
        <v>4.9616012968523551</v>
      </c>
      <c r="S83">
        <v>4268.9617558117661</v>
      </c>
      <c r="T83">
        <v>14.168166970849729</v>
      </c>
      <c r="U83">
        <v>12190.290861719106</v>
      </c>
      <c r="V83">
        <v>16.985054536603304</v>
      </c>
      <c r="W83">
        <v>14613.940923293483</v>
      </c>
      <c r="X83">
        <v>14.858786631171801</v>
      </c>
      <c r="Y83">
        <v>12784.500017460217</v>
      </c>
      <c r="Z83">
        <v>16.693326500669279</v>
      </c>
      <c r="AA83">
        <v>14362.938121175848</v>
      </c>
      <c r="AB83">
        <v>0</v>
      </c>
      <c r="AC83">
        <v>0</v>
      </c>
      <c r="AD83">
        <v>17.57984176915793</v>
      </c>
      <c r="AE83">
        <v>15125.695858183482</v>
      </c>
      <c r="AF83">
        <v>10.159924741298212</v>
      </c>
      <c r="AG83">
        <v>8741.5992474129816</v>
      </c>
      <c r="AH83">
        <v>37</v>
      </c>
      <c r="AI83">
        <v>31834.799999999999</v>
      </c>
      <c r="AJ83">
        <v>9.9453514307410309</v>
      </c>
      <c r="AK83">
        <v>8556.9803710095821</v>
      </c>
      <c r="AL83">
        <v>0</v>
      </c>
      <c r="AM83">
        <v>0</v>
      </c>
      <c r="AN83">
        <v>10</v>
      </c>
      <c r="AO83">
        <v>8604</v>
      </c>
      <c r="AP83">
        <v>10</v>
      </c>
      <c r="AQ83">
        <v>8604</v>
      </c>
      <c r="AR83">
        <v>7.0132246542411547</v>
      </c>
      <c r="AS83">
        <v>6034.1784925090897</v>
      </c>
      <c r="AT83">
        <v>0</v>
      </c>
      <c r="AU83">
        <v>0</v>
      </c>
      <c r="AV83">
        <v>4.3291995490417134</v>
      </c>
      <c r="AW83">
        <v>3724.8432919954903</v>
      </c>
      <c r="AX83">
        <v>6.6558945614735681</v>
      </c>
      <c r="AY83">
        <v>5726.7316806918579</v>
      </c>
      <c r="AZ83">
        <v>7</v>
      </c>
      <c r="BA83">
        <v>6022.8</v>
      </c>
      <c r="BB83">
        <v>12</v>
      </c>
      <c r="BC83">
        <v>10324.799999999999</v>
      </c>
      <c r="BD83">
        <v>8.722349857294903</v>
      </c>
      <c r="BE83">
        <v>7504.7098172165342</v>
      </c>
      <c r="BF83">
        <v>0</v>
      </c>
      <c r="BG83">
        <v>0</v>
      </c>
      <c r="BH83">
        <v>16</v>
      </c>
      <c r="BI83">
        <v>13766.4</v>
      </c>
      <c r="BJ83">
        <v>10.060301250110161</v>
      </c>
      <c r="BK83">
        <v>8655.8831955947826</v>
      </c>
      <c r="BL83">
        <v>7.4869926559349809</v>
      </c>
      <c r="BM83">
        <v>6441.8084811664576</v>
      </c>
      <c r="BN83">
        <v>11.297254908571018</v>
      </c>
      <c r="BO83">
        <v>9720.1581233345041</v>
      </c>
      <c r="BP83">
        <v>3.9284295297982199</v>
      </c>
      <c r="BQ83">
        <v>3380.0207674383882</v>
      </c>
      <c r="BR83">
        <v>3.4989212345402811</v>
      </c>
      <c r="BS83">
        <v>3010.4718301984576</v>
      </c>
      <c r="BT83">
        <v>0</v>
      </c>
      <c r="BU83">
        <v>0</v>
      </c>
      <c r="BV83">
        <v>2.7643979057591621</v>
      </c>
      <c r="BW83">
        <v>2378.4879581151831</v>
      </c>
      <c r="BX83">
        <v>6</v>
      </c>
      <c r="BY83">
        <v>5162.3999999999996</v>
      </c>
      <c r="BZ83">
        <v>1.3231029996083095</v>
      </c>
      <c r="CA83">
        <v>1138.3978208629894</v>
      </c>
      <c r="CB83">
        <v>9</v>
      </c>
      <c r="CC83">
        <v>7743.5999999999995</v>
      </c>
      <c r="CD83">
        <v>3.1487210971052435</v>
      </c>
      <c r="CE83">
        <v>2709.1596319493515</v>
      </c>
      <c r="CF83">
        <v>26</v>
      </c>
      <c r="CG83">
        <v>22370.399999999998</v>
      </c>
      <c r="CH83">
        <v>18.85043221449617</v>
      </c>
      <c r="CI83">
        <v>16218.911877352504</v>
      </c>
      <c r="CJ83">
        <v>14.825937434492717</v>
      </c>
      <c r="CK83">
        <v>12756.236568637534</v>
      </c>
      <c r="CL83">
        <v>15.171239247882784</v>
      </c>
      <c r="CM83">
        <v>13053.334248878347</v>
      </c>
      <c r="CN83">
        <v>4.6445857095667451</v>
      </c>
      <c r="CO83">
        <v>3996.2015445112274</v>
      </c>
      <c r="CP83">
        <v>7.0429171387686811</v>
      </c>
      <c r="CQ83">
        <v>6059.7259061965733</v>
      </c>
      <c r="CR83">
        <v>6.751777682431932</v>
      </c>
      <c r="CS83">
        <v>5809.2295179644343</v>
      </c>
      <c r="CT83">
        <v>0</v>
      </c>
      <c r="CU83">
        <v>0</v>
      </c>
    </row>
    <row r="84" spans="2:99" x14ac:dyDescent="0.2">
      <c r="C84" s="116" t="s">
        <v>250</v>
      </c>
      <c r="D84">
        <v>13.954869358669834</v>
      </c>
      <c r="E84">
        <v>10901.543942992874</v>
      </c>
      <c r="F84">
        <v>9.893311402953314</v>
      </c>
      <c r="G84">
        <v>7728.6548679871285</v>
      </c>
      <c r="H84">
        <v>0</v>
      </c>
      <c r="I84">
        <v>0</v>
      </c>
      <c r="J84">
        <v>14.418631461017643</v>
      </c>
      <c r="K84">
        <v>11263.834897346982</v>
      </c>
      <c r="L84">
        <v>0</v>
      </c>
      <c r="M84">
        <v>0</v>
      </c>
      <c r="N84">
        <v>4.4137767866907218</v>
      </c>
      <c r="O84">
        <v>3448.0424257627915</v>
      </c>
      <c r="P84">
        <v>8.8884729508644327</v>
      </c>
      <c r="Q84">
        <v>6943.6750692152946</v>
      </c>
      <c r="R84">
        <v>4.7135212320097377</v>
      </c>
      <c r="S84">
        <v>3682.2027864460069</v>
      </c>
      <c r="T84">
        <v>16.016188749656216</v>
      </c>
      <c r="U84">
        <v>12511.846651231435</v>
      </c>
      <c r="V84">
        <v>16.277343930911503</v>
      </c>
      <c r="W84">
        <v>12715.861078828064</v>
      </c>
      <c r="X84">
        <v>14.858786631171801</v>
      </c>
      <c r="Y84">
        <v>11607.68411627141</v>
      </c>
      <c r="Z84">
        <v>15.357860380615739</v>
      </c>
      <c r="AA84">
        <v>11997.560529337014</v>
      </c>
      <c r="AB84">
        <v>0</v>
      </c>
      <c r="AC84">
        <v>0</v>
      </c>
      <c r="AD84">
        <v>17.57984176915793</v>
      </c>
      <c r="AE84">
        <v>13733.372390066173</v>
      </c>
      <c r="AF84">
        <v>10.611476952022578</v>
      </c>
      <c r="AG84">
        <v>8289.6857949200366</v>
      </c>
      <c r="AH84">
        <v>40</v>
      </c>
      <c r="AI84">
        <v>31247.999999999996</v>
      </c>
      <c r="AJ84">
        <v>9.9453514307410309</v>
      </c>
      <c r="AK84">
        <v>7769.3085376948929</v>
      </c>
      <c r="AL84">
        <v>0</v>
      </c>
      <c r="AM84">
        <v>0</v>
      </c>
      <c r="AN84">
        <v>9</v>
      </c>
      <c r="AO84">
        <v>7030.7999999999993</v>
      </c>
      <c r="AP84">
        <v>10</v>
      </c>
      <c r="AQ84">
        <v>7811.9999999999991</v>
      </c>
      <c r="AR84">
        <v>6.3119021888170392</v>
      </c>
      <c r="AS84">
        <v>4930.8579899038705</v>
      </c>
      <c r="AT84">
        <v>0</v>
      </c>
      <c r="AU84">
        <v>0</v>
      </c>
      <c r="AV84">
        <v>4.0586245772266061</v>
      </c>
      <c r="AW84">
        <v>3170.5975197294242</v>
      </c>
      <c r="AX84">
        <v>6.6558945614735681</v>
      </c>
      <c r="AY84">
        <v>5199.5848314231507</v>
      </c>
      <c r="AZ84">
        <v>8</v>
      </c>
      <c r="BA84">
        <v>6249.5999999999995</v>
      </c>
      <c r="BB84">
        <v>12</v>
      </c>
      <c r="BC84">
        <v>9374.4</v>
      </c>
      <c r="BD84">
        <v>10.17607483351072</v>
      </c>
      <c r="BE84">
        <v>7949.5496599385733</v>
      </c>
      <c r="BF84">
        <v>0</v>
      </c>
      <c r="BG84">
        <v>0</v>
      </c>
      <c r="BH84">
        <v>16</v>
      </c>
      <c r="BI84">
        <v>12499.199999999999</v>
      </c>
      <c r="BJ84">
        <v>9.3417083036737196</v>
      </c>
      <c r="BK84">
        <v>7297.7425268299094</v>
      </c>
      <c r="BL84">
        <v>8.7348247652574766</v>
      </c>
      <c r="BM84">
        <v>6823.6451066191403</v>
      </c>
      <c r="BN84">
        <v>11.835219428026782</v>
      </c>
      <c r="BO84">
        <v>9245.6734171745211</v>
      </c>
      <c r="BP84">
        <v>3.2736912748318501</v>
      </c>
      <c r="BQ84">
        <v>2557.4076238986408</v>
      </c>
      <c r="BR84">
        <v>3.4989212345402811</v>
      </c>
      <c r="BS84">
        <v>2733.3572684228675</v>
      </c>
      <c r="BT84">
        <v>0</v>
      </c>
      <c r="BU84">
        <v>0</v>
      </c>
      <c r="BV84">
        <v>2.261780104712042</v>
      </c>
      <c r="BW84">
        <v>1766.9026178010472</v>
      </c>
      <c r="BX84">
        <v>5</v>
      </c>
      <c r="BY84">
        <v>3905.9999999999995</v>
      </c>
      <c r="BZ84">
        <v>1.3231029996083095</v>
      </c>
      <c r="CA84">
        <v>1033.6080632940113</v>
      </c>
      <c r="CB84">
        <v>10</v>
      </c>
      <c r="CC84">
        <v>7811.9999999999991</v>
      </c>
      <c r="CD84">
        <v>3.4349684695693568</v>
      </c>
      <c r="CE84">
        <v>2683.3973684275811</v>
      </c>
      <c r="CF84">
        <v>28</v>
      </c>
      <c r="CG84">
        <v>21873.599999999999</v>
      </c>
      <c r="CH84">
        <v>17.952792585234445</v>
      </c>
      <c r="CI84">
        <v>14024.721567585148</v>
      </c>
      <c r="CJ84">
        <v>16.679179613804308</v>
      </c>
      <c r="CK84">
        <v>13029.775114303924</v>
      </c>
      <c r="CL84">
        <v>17.338559140437468</v>
      </c>
      <c r="CM84">
        <v>13544.882400509749</v>
      </c>
      <c r="CN84">
        <v>5.4186833278278685</v>
      </c>
      <c r="CO84">
        <v>4233.0754156991306</v>
      </c>
      <c r="CP84">
        <v>6.3386254248918137</v>
      </c>
      <c r="CQ84">
        <v>4951.7341819254843</v>
      </c>
      <c r="CR84">
        <v>6.751777682431932</v>
      </c>
      <c r="CS84">
        <v>5274.4887255158246</v>
      </c>
      <c r="CT84">
        <v>0</v>
      </c>
      <c r="CU84">
        <v>0</v>
      </c>
    </row>
    <row r="85" spans="2:99" x14ac:dyDescent="0.2">
      <c r="C85" s="116" t="s">
        <v>251</v>
      </c>
      <c r="D85">
        <v>16.187648456057008</v>
      </c>
      <c r="E85">
        <v>2428.1472684085511</v>
      </c>
      <c r="F85">
        <v>11.306641603375216</v>
      </c>
      <c r="G85">
        <v>1695.9962405062822</v>
      </c>
      <c r="H85">
        <v>0</v>
      </c>
      <c r="I85">
        <v>0</v>
      </c>
      <c r="J85">
        <v>14.418631461017643</v>
      </c>
      <c r="K85">
        <v>2162.7947191526464</v>
      </c>
      <c r="L85">
        <v>0</v>
      </c>
      <c r="M85">
        <v>0</v>
      </c>
      <c r="N85">
        <v>5.2162816569981256</v>
      </c>
      <c r="O85">
        <v>782.4422485497189</v>
      </c>
      <c r="P85">
        <v>10.45702700101698</v>
      </c>
      <c r="Q85">
        <v>1568.554050152547</v>
      </c>
      <c r="R85">
        <v>4.9616012968523551</v>
      </c>
      <c r="S85">
        <v>744.2401945278533</v>
      </c>
      <c r="T85">
        <v>16.632196009258379</v>
      </c>
      <c r="U85">
        <v>2494.8294013887571</v>
      </c>
      <c r="V85">
        <v>17.692765142295109</v>
      </c>
      <c r="W85">
        <v>2653.9147713442662</v>
      </c>
      <c r="X85">
        <v>17.442923436592981</v>
      </c>
      <c r="Y85">
        <v>2616.4385154889469</v>
      </c>
      <c r="Z85">
        <v>15.357860380615739</v>
      </c>
      <c r="AA85">
        <v>2303.6790570923608</v>
      </c>
      <c r="AB85">
        <v>0</v>
      </c>
      <c r="AC85">
        <v>0</v>
      </c>
      <c r="AD85">
        <v>20.243454158424282</v>
      </c>
      <c r="AE85">
        <v>3036.5181237636421</v>
      </c>
      <c r="AF85">
        <v>11.063029162746943</v>
      </c>
      <c r="AG85">
        <v>1659.4543744120415</v>
      </c>
      <c r="AH85">
        <v>43</v>
      </c>
      <c r="AI85">
        <v>6450</v>
      </c>
      <c r="AJ85">
        <v>9.9453514307410309</v>
      </c>
      <c r="AK85">
        <v>1491.8027146111547</v>
      </c>
      <c r="AL85">
        <v>0</v>
      </c>
      <c r="AM85">
        <v>0</v>
      </c>
      <c r="AN85">
        <v>9</v>
      </c>
      <c r="AO85">
        <v>1350</v>
      </c>
      <c r="AP85">
        <v>10</v>
      </c>
      <c r="AQ85">
        <v>1500</v>
      </c>
      <c r="AR85">
        <v>6.3119021888170392</v>
      </c>
      <c r="AS85">
        <v>946.78532832255587</v>
      </c>
      <c r="AT85">
        <v>0</v>
      </c>
      <c r="AU85">
        <v>0</v>
      </c>
      <c r="AV85">
        <v>4.3291995490417134</v>
      </c>
      <c r="AW85">
        <v>649.37993235625697</v>
      </c>
      <c r="AX85">
        <v>6.6558945614735681</v>
      </c>
      <c r="AY85">
        <v>998.38418422103518</v>
      </c>
      <c r="AZ85">
        <v>9</v>
      </c>
      <c r="BA85">
        <v>1350</v>
      </c>
      <c r="BB85">
        <v>13</v>
      </c>
      <c r="BC85">
        <v>1950</v>
      </c>
      <c r="BD85">
        <v>10.17607483351072</v>
      </c>
      <c r="BE85">
        <v>1526.411225026608</v>
      </c>
      <c r="BF85">
        <v>0</v>
      </c>
      <c r="BG85">
        <v>0</v>
      </c>
      <c r="BH85">
        <v>16</v>
      </c>
      <c r="BI85">
        <v>2400</v>
      </c>
      <c r="BJ85">
        <v>11.49748714298304</v>
      </c>
      <c r="BK85">
        <v>1724.6230714474559</v>
      </c>
      <c r="BL85">
        <v>9.3587408199187259</v>
      </c>
      <c r="BM85">
        <v>1403.8111229878089</v>
      </c>
      <c r="BN85">
        <v>13.44911298639407</v>
      </c>
      <c r="BO85">
        <v>2017.3669479591106</v>
      </c>
      <c r="BP85">
        <v>3.9284295297982199</v>
      </c>
      <c r="BQ85">
        <v>589.26442946973293</v>
      </c>
      <c r="BR85">
        <v>3.4989212345402811</v>
      </c>
      <c r="BS85">
        <v>524.83818518104215</v>
      </c>
      <c r="BT85">
        <v>0</v>
      </c>
      <c r="BU85">
        <v>0</v>
      </c>
      <c r="BV85">
        <v>2.5130890052356021</v>
      </c>
      <c r="BW85">
        <v>376.96335078534031</v>
      </c>
      <c r="BX85">
        <v>6</v>
      </c>
      <c r="BY85">
        <v>900</v>
      </c>
      <c r="BZ85">
        <v>1.3231029996083095</v>
      </c>
      <c r="CA85">
        <v>198.46544994124642</v>
      </c>
      <c r="CB85">
        <v>10</v>
      </c>
      <c r="CC85">
        <v>1500</v>
      </c>
      <c r="CD85">
        <v>3.4349684695693568</v>
      </c>
      <c r="CE85">
        <v>515.24527043540354</v>
      </c>
      <c r="CF85">
        <v>30</v>
      </c>
      <c r="CG85">
        <v>4500</v>
      </c>
      <c r="CH85">
        <v>19.299252029127029</v>
      </c>
      <c r="CI85">
        <v>2894.8878043690543</v>
      </c>
      <c r="CJ85">
        <v>19.767916579323622</v>
      </c>
      <c r="CK85">
        <v>2965.1874868985433</v>
      </c>
      <c r="CL85">
        <v>16.471631183415596</v>
      </c>
      <c r="CM85">
        <v>2470.7446775123394</v>
      </c>
      <c r="CN85">
        <v>4.6445857095667451</v>
      </c>
      <c r="CO85">
        <v>696.68785643501178</v>
      </c>
      <c r="CP85">
        <v>7.0429171387686811</v>
      </c>
      <c r="CQ85">
        <v>1056.4375708153023</v>
      </c>
      <c r="CR85">
        <v>6.751777682431932</v>
      </c>
      <c r="CS85">
        <v>1012.7666523647898</v>
      </c>
      <c r="CT85">
        <v>0</v>
      </c>
      <c r="CU85">
        <v>0</v>
      </c>
    </row>
    <row r="86" spans="2:99" x14ac:dyDescent="0.2">
      <c r="C86" s="116" t="s">
        <v>252</v>
      </c>
      <c r="D86">
        <v>15.071258907363418</v>
      </c>
      <c r="E86">
        <v>8138.4798099762456</v>
      </c>
      <c r="F86">
        <v>9.893311402953314</v>
      </c>
      <c r="G86">
        <v>5342.3881575947898</v>
      </c>
      <c r="H86">
        <v>0</v>
      </c>
      <c r="I86">
        <v>0</v>
      </c>
      <c r="J86">
        <v>14.418631461017643</v>
      </c>
      <c r="K86">
        <v>7786.0609889495272</v>
      </c>
      <c r="L86">
        <v>0</v>
      </c>
      <c r="M86">
        <v>0</v>
      </c>
      <c r="N86">
        <v>4.8150292218444237</v>
      </c>
      <c r="O86">
        <v>2600.1157797959886</v>
      </c>
      <c r="P86">
        <v>9.4113243009152825</v>
      </c>
      <c r="Q86">
        <v>5082.1151224942523</v>
      </c>
      <c r="R86">
        <v>5.4577614265375916</v>
      </c>
      <c r="S86">
        <v>2947.1911703302994</v>
      </c>
      <c r="T86">
        <v>16.016188749656216</v>
      </c>
      <c r="U86">
        <v>8648.741924814356</v>
      </c>
      <c r="V86">
        <v>15.569633325219698</v>
      </c>
      <c r="W86">
        <v>8407.6019956186374</v>
      </c>
      <c r="X86">
        <v>14.212752429816502</v>
      </c>
      <c r="Y86">
        <v>7674.8863121009117</v>
      </c>
      <c r="Z86">
        <v>16.02559344064251</v>
      </c>
      <c r="AA86">
        <v>8653.8204579469548</v>
      </c>
      <c r="AB86">
        <v>0</v>
      </c>
      <c r="AC86">
        <v>0</v>
      </c>
      <c r="AD86">
        <v>16.514396813451388</v>
      </c>
      <c r="AE86">
        <v>8917.7742792637491</v>
      </c>
      <c r="AF86">
        <v>9.9341486359360314</v>
      </c>
      <c r="AG86">
        <v>5364.4402634054568</v>
      </c>
      <c r="AH86">
        <v>35</v>
      </c>
      <c r="AI86">
        <v>18900</v>
      </c>
      <c r="AJ86">
        <v>9.9453514307410309</v>
      </c>
      <c r="AK86">
        <v>5370.4897726001564</v>
      </c>
      <c r="AL86">
        <v>0</v>
      </c>
      <c r="AM86">
        <v>0</v>
      </c>
      <c r="AN86">
        <v>10</v>
      </c>
      <c r="AO86">
        <v>5400</v>
      </c>
      <c r="AP86">
        <v>9</v>
      </c>
      <c r="AQ86">
        <v>4860</v>
      </c>
      <c r="AR86">
        <v>7.0132246542411547</v>
      </c>
      <c r="AS86">
        <v>3787.1413132902235</v>
      </c>
      <c r="AT86">
        <v>0</v>
      </c>
      <c r="AU86">
        <v>0</v>
      </c>
      <c r="AV86">
        <v>4.5997745208568208</v>
      </c>
      <c r="AW86">
        <v>2483.8782412626833</v>
      </c>
      <c r="AX86">
        <v>7.8660572090142171</v>
      </c>
      <c r="AY86">
        <v>4247.6708928676771</v>
      </c>
      <c r="AZ86">
        <v>8</v>
      </c>
      <c r="BA86">
        <v>4320</v>
      </c>
      <c r="BB86">
        <v>12</v>
      </c>
      <c r="BC86">
        <v>6480</v>
      </c>
      <c r="BD86">
        <v>10.17607483351072</v>
      </c>
      <c r="BE86">
        <v>5495.0804100957885</v>
      </c>
      <c r="BF86">
        <v>0</v>
      </c>
      <c r="BG86">
        <v>0</v>
      </c>
      <c r="BH86">
        <v>15</v>
      </c>
      <c r="BI86">
        <v>8100</v>
      </c>
      <c r="BJ86">
        <v>10.778894196546601</v>
      </c>
      <c r="BK86">
        <v>5820.6028661351647</v>
      </c>
      <c r="BL86">
        <v>8.7348247652574766</v>
      </c>
      <c r="BM86">
        <v>4716.8053732390372</v>
      </c>
      <c r="BN86">
        <v>12.373183947482543</v>
      </c>
      <c r="BO86">
        <v>6681.519331640573</v>
      </c>
      <c r="BP86">
        <v>3.9284295297982199</v>
      </c>
      <c r="BQ86">
        <v>2121.3519460910388</v>
      </c>
      <c r="BR86">
        <v>3.4989212345402811</v>
      </c>
      <c r="BS86">
        <v>1889.4174666517517</v>
      </c>
      <c r="BT86">
        <v>0</v>
      </c>
      <c r="BU86">
        <v>0</v>
      </c>
      <c r="BV86">
        <v>2.5130890052356021</v>
      </c>
      <c r="BW86">
        <v>1357.068062827225</v>
      </c>
      <c r="BX86">
        <v>7</v>
      </c>
      <c r="BY86">
        <v>3780</v>
      </c>
      <c r="BZ86">
        <v>1.5436201662096942</v>
      </c>
      <c r="CA86">
        <v>833.55488975323487</v>
      </c>
      <c r="CB86">
        <v>8</v>
      </c>
      <c r="CC86">
        <v>4320</v>
      </c>
      <c r="CD86">
        <v>2.8624737246411307</v>
      </c>
      <c r="CE86">
        <v>1545.7358113062105</v>
      </c>
      <c r="CF86">
        <v>30</v>
      </c>
      <c r="CG86">
        <v>16200</v>
      </c>
      <c r="CH86">
        <v>18.85043221449617</v>
      </c>
      <c r="CI86">
        <v>10179.233395827932</v>
      </c>
      <c r="CJ86">
        <v>16.061432220700443</v>
      </c>
      <c r="CK86">
        <v>8673.1733991782385</v>
      </c>
      <c r="CL86">
        <v>17.772023118948404</v>
      </c>
      <c r="CM86">
        <v>9596.8924842321376</v>
      </c>
      <c r="CN86">
        <v>4.6445857095667451</v>
      </c>
      <c r="CO86">
        <v>2508.0762831660422</v>
      </c>
      <c r="CP86">
        <v>7.7472088526455494</v>
      </c>
      <c r="CQ86">
        <v>4183.4927804285962</v>
      </c>
      <c r="CR86">
        <v>6.751777682431932</v>
      </c>
      <c r="CS86">
        <v>3645.9599485132435</v>
      </c>
      <c r="CT86">
        <v>0</v>
      </c>
      <c r="CU86">
        <v>0</v>
      </c>
    </row>
    <row r="87" spans="2:99" x14ac:dyDescent="0.2">
      <c r="B87" s="116" t="s">
        <v>131</v>
      </c>
      <c r="C87" s="116" t="s">
        <v>253</v>
      </c>
      <c r="D87">
        <v>11.163895486935866</v>
      </c>
      <c r="E87">
        <v>21823.182897862229</v>
      </c>
      <c r="F87">
        <v>14.839967104429972</v>
      </c>
      <c r="G87">
        <v>29009.167695739707</v>
      </c>
      <c r="H87">
        <v>0</v>
      </c>
      <c r="I87">
        <v>0</v>
      </c>
      <c r="J87">
        <v>16.341115655819994</v>
      </c>
      <c r="K87">
        <v>31943.612883996924</v>
      </c>
      <c r="L87">
        <v>0</v>
      </c>
      <c r="M87">
        <v>0</v>
      </c>
      <c r="N87">
        <v>6.4200389624592322</v>
      </c>
      <c r="O87">
        <v>12549.892163815306</v>
      </c>
      <c r="P87">
        <v>6.7970675506610361</v>
      </c>
      <c r="Q87">
        <v>13286.907648032193</v>
      </c>
      <c r="R87">
        <v>2.9769607781114136</v>
      </c>
      <c r="S87">
        <v>5819.3629290521912</v>
      </c>
      <c r="T87">
        <v>10.472123413236757</v>
      </c>
      <c r="U87">
        <v>20470.906848195213</v>
      </c>
      <c r="V87">
        <v>7.7848166626098489</v>
      </c>
      <c r="W87">
        <v>15217.759612069733</v>
      </c>
      <c r="X87">
        <v>7.1063762149082512</v>
      </c>
      <c r="Y87">
        <v>13891.544224902649</v>
      </c>
      <c r="Z87">
        <v>13.354661200535423</v>
      </c>
      <c r="AA87">
        <v>26105.691714806646</v>
      </c>
      <c r="AB87">
        <v>0</v>
      </c>
      <c r="AC87">
        <v>0</v>
      </c>
      <c r="AD87">
        <v>5.8599472563859765</v>
      </c>
      <c r="AE87">
        <v>11455.024896783307</v>
      </c>
      <c r="AF87">
        <v>3.6124176857949202</v>
      </c>
      <c r="AG87">
        <v>7061.5540921919101</v>
      </c>
      <c r="AH87">
        <v>13</v>
      </c>
      <c r="AI87">
        <v>25412.399999999998</v>
      </c>
      <c r="AJ87">
        <v>26.520937148642755</v>
      </c>
      <c r="AK87">
        <v>51843.127938166857</v>
      </c>
      <c r="AL87">
        <v>0</v>
      </c>
      <c r="AM87">
        <v>0</v>
      </c>
      <c r="AN87">
        <v>29</v>
      </c>
      <c r="AO87">
        <v>56689.2</v>
      </c>
      <c r="AP87">
        <v>23</v>
      </c>
      <c r="AQ87">
        <v>44960.4</v>
      </c>
      <c r="AR87">
        <v>7.0132246542411547</v>
      </c>
      <c r="AS87">
        <v>13709.451554110608</v>
      </c>
      <c r="AT87">
        <v>0</v>
      </c>
      <c r="AU87">
        <v>0</v>
      </c>
      <c r="AV87">
        <v>2.705749718151071</v>
      </c>
      <c r="AW87">
        <v>5289.1995490417139</v>
      </c>
      <c r="AX87">
        <v>6.6558945614735681</v>
      </c>
      <c r="AY87">
        <v>13010.942688768531</v>
      </c>
      <c r="AZ87">
        <v>9</v>
      </c>
      <c r="BA87">
        <v>17593.2</v>
      </c>
      <c r="BB87">
        <v>7</v>
      </c>
      <c r="BC87">
        <v>13683.6</v>
      </c>
      <c r="BD87">
        <v>7.2686248810790861</v>
      </c>
      <c r="BE87">
        <v>14208.707917533397</v>
      </c>
      <c r="BF87">
        <v>0</v>
      </c>
      <c r="BG87">
        <v>0</v>
      </c>
      <c r="BH87">
        <v>21</v>
      </c>
      <c r="BI87">
        <v>41050.799999999996</v>
      </c>
      <c r="BJ87">
        <v>23.713567232402522</v>
      </c>
      <c r="BK87">
        <v>46355.281225900449</v>
      </c>
      <c r="BL87">
        <v>14.350069257208714</v>
      </c>
      <c r="BM87">
        <v>28051.515383991595</v>
      </c>
      <c r="BN87">
        <v>9.1453968307479681</v>
      </c>
      <c r="BO87">
        <v>17877.421724746127</v>
      </c>
      <c r="BP87">
        <v>4.5831677847645897</v>
      </c>
      <c r="BQ87">
        <v>8959.17638565782</v>
      </c>
      <c r="BR87">
        <v>6.4146889299905157</v>
      </c>
      <c r="BS87">
        <v>12539.43392034546</v>
      </c>
      <c r="BT87">
        <v>0</v>
      </c>
      <c r="BU87">
        <v>0</v>
      </c>
      <c r="BV87">
        <v>2.261780104712042</v>
      </c>
      <c r="BW87">
        <v>4421.3277486910993</v>
      </c>
      <c r="BX87">
        <v>5</v>
      </c>
      <c r="BY87">
        <v>9774</v>
      </c>
      <c r="BZ87">
        <v>1.7641373328110792</v>
      </c>
      <c r="CA87">
        <v>3448.5356581790975</v>
      </c>
      <c r="CB87">
        <v>7</v>
      </c>
      <c r="CC87">
        <v>13683.6</v>
      </c>
      <c r="CD87">
        <v>1.4312368623205654</v>
      </c>
      <c r="CE87">
        <v>2797.781818464241</v>
      </c>
      <c r="CF87">
        <v>11</v>
      </c>
      <c r="CG87">
        <v>21502.799999999999</v>
      </c>
      <c r="CH87">
        <v>3.5905585170468894</v>
      </c>
      <c r="CI87">
        <v>7018.8237891232593</v>
      </c>
      <c r="CJ87">
        <v>4.3242317517270425</v>
      </c>
      <c r="CK87">
        <v>8453.0082282760231</v>
      </c>
      <c r="CL87">
        <v>3.9011758065984306</v>
      </c>
      <c r="CM87">
        <v>7626.018466738612</v>
      </c>
      <c r="CN87">
        <v>16.256049983483607</v>
      </c>
      <c r="CO87">
        <v>31777.326507713755</v>
      </c>
      <c r="CP87">
        <v>16.198709419167969</v>
      </c>
      <c r="CQ87">
        <v>31665.237172589546</v>
      </c>
      <c r="CR87">
        <v>10.502765283783004</v>
      </c>
      <c r="CS87">
        <v>20530.805576739018</v>
      </c>
      <c r="CT87">
        <v>0</v>
      </c>
      <c r="CU87">
        <v>0</v>
      </c>
    </row>
    <row r="88" spans="2:99" x14ac:dyDescent="0.2">
      <c r="C88" s="116" t="s">
        <v>254</v>
      </c>
      <c r="D88">
        <v>10.605700712589075</v>
      </c>
      <c r="E88">
        <v>20070.228028503563</v>
      </c>
      <c r="F88">
        <v>15.54663220464092</v>
      </c>
      <c r="G88">
        <v>29420.446784062475</v>
      </c>
      <c r="H88">
        <v>0</v>
      </c>
      <c r="I88">
        <v>0</v>
      </c>
      <c r="J88">
        <v>16.341115655819994</v>
      </c>
      <c r="K88">
        <v>30923.927267073756</v>
      </c>
      <c r="L88">
        <v>0</v>
      </c>
      <c r="M88">
        <v>0</v>
      </c>
      <c r="N88">
        <v>5.6175340921518275</v>
      </c>
      <c r="O88">
        <v>10630.621515988118</v>
      </c>
      <c r="P88">
        <v>8.3656216008135829</v>
      </c>
      <c r="Q88">
        <v>15831.102317379624</v>
      </c>
      <c r="R88">
        <v>2.9769607781114136</v>
      </c>
      <c r="S88">
        <v>5633.6005764980382</v>
      </c>
      <c r="T88">
        <v>9.2401088940324332</v>
      </c>
      <c r="U88">
        <v>17485.982071066974</v>
      </c>
      <c r="V88">
        <v>7.0771060569180442</v>
      </c>
      <c r="W88">
        <v>13392.715502111705</v>
      </c>
      <c r="X88">
        <v>5.8143078121976606</v>
      </c>
      <c r="Y88">
        <v>11002.996103802852</v>
      </c>
      <c r="Z88">
        <v>12.686928140508652</v>
      </c>
      <c r="AA88">
        <v>24008.742813098572</v>
      </c>
      <c r="AB88">
        <v>0</v>
      </c>
      <c r="AC88">
        <v>0</v>
      </c>
      <c r="AD88">
        <v>6.3926697342392469</v>
      </c>
      <c r="AE88">
        <v>12097.488205074351</v>
      </c>
      <c r="AF88">
        <v>3.3866415804327374</v>
      </c>
      <c r="AG88">
        <v>6408.8805268109118</v>
      </c>
      <c r="AH88">
        <v>13</v>
      </c>
      <c r="AI88">
        <v>24601.199999999997</v>
      </c>
      <c r="AJ88">
        <v>22.377040719167322</v>
      </c>
      <c r="AK88">
        <v>42346.311856952234</v>
      </c>
      <c r="AL88">
        <v>0</v>
      </c>
      <c r="AM88">
        <v>0</v>
      </c>
      <c r="AN88">
        <v>26</v>
      </c>
      <c r="AO88">
        <v>49202.399999999994</v>
      </c>
      <c r="AP88">
        <v>21</v>
      </c>
      <c r="AQ88">
        <v>39740.399999999994</v>
      </c>
      <c r="AR88">
        <v>6.3119021888170392</v>
      </c>
      <c r="AS88">
        <v>11944.643702117364</v>
      </c>
      <c r="AT88">
        <v>0</v>
      </c>
      <c r="AU88">
        <v>0</v>
      </c>
      <c r="AV88">
        <v>2.9763246899661779</v>
      </c>
      <c r="AW88">
        <v>5632.3968432919946</v>
      </c>
      <c r="AX88">
        <v>6.0508132377032444</v>
      </c>
      <c r="AY88">
        <v>11450.558971029619</v>
      </c>
      <c r="AZ88">
        <v>9</v>
      </c>
      <c r="BA88">
        <v>17031.599999999999</v>
      </c>
      <c r="BB88">
        <v>7</v>
      </c>
      <c r="BC88">
        <v>13246.8</v>
      </c>
      <c r="BD88">
        <v>5.8148999048632684</v>
      </c>
      <c r="BE88">
        <v>11004.116579963249</v>
      </c>
      <c r="BF88">
        <v>0</v>
      </c>
      <c r="BG88">
        <v>0</v>
      </c>
      <c r="BH88">
        <v>22</v>
      </c>
      <c r="BI88">
        <v>41632.799999999996</v>
      </c>
      <c r="BJ88">
        <v>25.150753125275401</v>
      </c>
      <c r="BK88">
        <v>47595.285214271164</v>
      </c>
      <c r="BL88">
        <v>13.726153202547465</v>
      </c>
      <c r="BM88">
        <v>25975.372320500821</v>
      </c>
      <c r="BN88">
        <v>9.1453968307479681</v>
      </c>
      <c r="BO88">
        <v>17306.748962507452</v>
      </c>
      <c r="BP88">
        <v>4.5831677847645897</v>
      </c>
      <c r="BQ88">
        <v>8673.1867158885088</v>
      </c>
      <c r="BR88">
        <v>6.4146889299905157</v>
      </c>
      <c r="BS88">
        <v>12139.157331114051</v>
      </c>
      <c r="BT88">
        <v>0</v>
      </c>
      <c r="BU88">
        <v>0</v>
      </c>
      <c r="BV88">
        <v>2.7643979057591621</v>
      </c>
      <c r="BW88">
        <v>5231.3465968586379</v>
      </c>
      <c r="BX88">
        <v>5</v>
      </c>
      <c r="BY88">
        <v>9462</v>
      </c>
      <c r="BZ88">
        <v>1.7641373328110792</v>
      </c>
      <c r="CA88">
        <v>3338.4534886116862</v>
      </c>
      <c r="CB88">
        <v>7</v>
      </c>
      <c r="CC88">
        <v>13246.8</v>
      </c>
      <c r="CD88">
        <v>1.4312368623205654</v>
      </c>
      <c r="CE88">
        <v>2708.4726382554377</v>
      </c>
      <c r="CF88">
        <v>10</v>
      </c>
      <c r="CG88">
        <v>18924</v>
      </c>
      <c r="CH88">
        <v>4.0393783316777503</v>
      </c>
      <c r="CI88">
        <v>7644.1195548669739</v>
      </c>
      <c r="CJ88">
        <v>4.9419791448309054</v>
      </c>
      <c r="CK88">
        <v>9352.2013336780055</v>
      </c>
      <c r="CL88">
        <v>3.9011758065984306</v>
      </c>
      <c r="CM88">
        <v>7382.5850964068695</v>
      </c>
      <c r="CN88">
        <v>16.256049983483607</v>
      </c>
      <c r="CO88">
        <v>30762.948988744374</v>
      </c>
      <c r="CP88">
        <v>16.903001133044835</v>
      </c>
      <c r="CQ88">
        <v>31987.239344174042</v>
      </c>
      <c r="CR88">
        <v>12.003160324323435</v>
      </c>
      <c r="CS88">
        <v>22714.780597749668</v>
      </c>
      <c r="CT88">
        <v>0</v>
      </c>
      <c r="CU88">
        <v>0</v>
      </c>
    </row>
    <row r="89" spans="2:99" x14ac:dyDescent="0.2">
      <c r="C89" s="116" t="s">
        <v>255</v>
      </c>
      <c r="D89">
        <v>10.605700712589075</v>
      </c>
      <c r="E89">
        <v>25428.228028503563</v>
      </c>
      <c r="F89">
        <v>14.13330200421902</v>
      </c>
      <c r="G89">
        <v>33886.004885315524</v>
      </c>
      <c r="H89">
        <v>0</v>
      </c>
      <c r="I89">
        <v>0</v>
      </c>
      <c r="J89">
        <v>16.341115655819994</v>
      </c>
      <c r="K89">
        <v>39179.458896394019</v>
      </c>
      <c r="L89">
        <v>0</v>
      </c>
      <c r="M89">
        <v>0</v>
      </c>
      <c r="N89">
        <v>6.0187865273055294</v>
      </c>
      <c r="O89">
        <v>14430.642577867737</v>
      </c>
      <c r="P89">
        <v>7.319918900711885</v>
      </c>
      <c r="Q89">
        <v>17550.237556346816</v>
      </c>
      <c r="R89">
        <v>3.4731209077966487</v>
      </c>
      <c r="S89">
        <v>8327.1546885332446</v>
      </c>
      <c r="T89">
        <v>9.8561161536345949</v>
      </c>
      <c r="U89">
        <v>23631.024089954302</v>
      </c>
      <c r="V89">
        <v>7.7848166626098489</v>
      </c>
      <c r="W89">
        <v>18664.876430273373</v>
      </c>
      <c r="X89">
        <v>6.4603420135529559</v>
      </c>
      <c r="Y89">
        <v>15489.316011694567</v>
      </c>
      <c r="Z89">
        <v>12.686928140508652</v>
      </c>
      <c r="AA89">
        <v>30418.178909683542</v>
      </c>
      <c r="AB89">
        <v>0</v>
      </c>
      <c r="AC89">
        <v>0</v>
      </c>
      <c r="AD89">
        <v>6.3926697342392469</v>
      </c>
      <c r="AE89">
        <v>15327.064954812018</v>
      </c>
      <c r="AF89">
        <v>3.6124176857949202</v>
      </c>
      <c r="AG89">
        <v>8661.1326434619004</v>
      </c>
      <c r="AH89">
        <v>12</v>
      </c>
      <c r="AI89">
        <v>28771.199999999997</v>
      </c>
      <c r="AJ89">
        <v>24.863378576852579</v>
      </c>
      <c r="AK89">
        <v>59612.436475861738</v>
      </c>
      <c r="AL89">
        <v>0</v>
      </c>
      <c r="AM89">
        <v>0</v>
      </c>
      <c r="AN89">
        <v>28</v>
      </c>
      <c r="AO89">
        <v>67132.800000000003</v>
      </c>
      <c r="AP89">
        <v>20</v>
      </c>
      <c r="AQ89">
        <v>47952</v>
      </c>
      <c r="AR89">
        <v>5.6105797233929229</v>
      </c>
      <c r="AS89">
        <v>13451.925944806871</v>
      </c>
      <c r="AT89">
        <v>0</v>
      </c>
      <c r="AU89">
        <v>0</v>
      </c>
      <c r="AV89">
        <v>2.705749718151071</v>
      </c>
      <c r="AW89">
        <v>6487.3055242390074</v>
      </c>
      <c r="AX89">
        <v>6.6558945614735681</v>
      </c>
      <c r="AY89">
        <v>15958.172800589025</v>
      </c>
      <c r="AZ89">
        <v>7</v>
      </c>
      <c r="BA89">
        <v>16783.2</v>
      </c>
      <c r="BB89">
        <v>6</v>
      </c>
      <c r="BC89">
        <v>14385.599999999999</v>
      </c>
      <c r="BD89">
        <v>6.5417623929711777</v>
      </c>
      <c r="BE89">
        <v>15684.529513387695</v>
      </c>
      <c r="BF89">
        <v>0</v>
      </c>
      <c r="BG89">
        <v>0</v>
      </c>
      <c r="BH89">
        <v>22</v>
      </c>
      <c r="BI89">
        <v>52747.199999999997</v>
      </c>
      <c r="BJ89">
        <v>25.150753125275401</v>
      </c>
      <c r="BK89">
        <v>60301.445693160298</v>
      </c>
      <c r="BL89">
        <v>13.726153202547465</v>
      </c>
      <c r="BM89">
        <v>32909.824918427803</v>
      </c>
      <c r="BN89">
        <v>9.6833613502037288</v>
      </c>
      <c r="BO89">
        <v>23216.827173248461</v>
      </c>
      <c r="BP89">
        <v>3.9284295297982199</v>
      </c>
      <c r="BQ89">
        <v>9418.8026406442114</v>
      </c>
      <c r="BR89">
        <v>6.4146889299905157</v>
      </c>
      <c r="BS89">
        <v>15379.858178545259</v>
      </c>
      <c r="BT89">
        <v>0</v>
      </c>
      <c r="BU89">
        <v>0</v>
      </c>
      <c r="BV89">
        <v>2.261780104712042</v>
      </c>
      <c r="BW89">
        <v>5422.8439790575922</v>
      </c>
      <c r="BX89">
        <v>5</v>
      </c>
      <c r="BY89">
        <v>11988</v>
      </c>
      <c r="BZ89">
        <v>1.7641373328110792</v>
      </c>
      <c r="CA89">
        <v>4229.6956691478435</v>
      </c>
      <c r="CB89">
        <v>6</v>
      </c>
      <c r="CC89">
        <v>14385.599999999999</v>
      </c>
      <c r="CD89">
        <v>1.1449894898564521</v>
      </c>
      <c r="CE89">
        <v>2745.2268008798296</v>
      </c>
      <c r="CF89">
        <v>10</v>
      </c>
      <c r="CG89">
        <v>23976</v>
      </c>
      <c r="CH89">
        <v>3.5905585170468894</v>
      </c>
      <c r="CI89">
        <v>8608.7231004716214</v>
      </c>
      <c r="CJ89">
        <v>4.3242317517270425</v>
      </c>
      <c r="CK89">
        <v>10367.778047940757</v>
      </c>
      <c r="CL89">
        <v>3.9011758065984306</v>
      </c>
      <c r="CM89">
        <v>9353.4591139003969</v>
      </c>
      <c r="CN89">
        <v>13.933757128700234</v>
      </c>
      <c r="CO89">
        <v>33407.576091771683</v>
      </c>
      <c r="CP89">
        <v>16.198709419167969</v>
      </c>
      <c r="CQ89">
        <v>38838.025703397121</v>
      </c>
      <c r="CR89">
        <v>9.7525677635127899</v>
      </c>
      <c r="CS89">
        <v>23382.756469798263</v>
      </c>
      <c r="CT89">
        <v>0</v>
      </c>
      <c r="CU89">
        <v>0</v>
      </c>
    </row>
    <row r="90" spans="2:99" x14ac:dyDescent="0.2">
      <c r="C90" s="116" t="s">
        <v>256</v>
      </c>
      <c r="D90">
        <v>10.047505938242281</v>
      </c>
      <c r="E90">
        <v>22076.38004750594</v>
      </c>
      <c r="F90">
        <v>13.426636904008067</v>
      </c>
      <c r="G90">
        <v>29501.006605486524</v>
      </c>
      <c r="H90">
        <v>0</v>
      </c>
      <c r="I90">
        <v>0</v>
      </c>
      <c r="J90">
        <v>18.263599850622345</v>
      </c>
      <c r="K90">
        <v>40128.78159178741</v>
      </c>
      <c r="L90">
        <v>0</v>
      </c>
      <c r="M90">
        <v>0</v>
      </c>
      <c r="N90">
        <v>5.6175340921518275</v>
      </c>
      <c r="O90">
        <v>12342.845907275994</v>
      </c>
      <c r="P90">
        <v>7.8427702507627339</v>
      </c>
      <c r="Q90">
        <v>17232.134794975878</v>
      </c>
      <c r="R90">
        <v>2.9769607781114136</v>
      </c>
      <c r="S90">
        <v>6540.9782216663971</v>
      </c>
      <c r="T90">
        <v>9.2401088940324332</v>
      </c>
      <c r="U90">
        <v>20302.367261968062</v>
      </c>
      <c r="V90">
        <v>7.7848166626098489</v>
      </c>
      <c r="W90">
        <v>17104.799171086357</v>
      </c>
      <c r="X90">
        <v>5.8143078121976606</v>
      </c>
      <c r="Y90">
        <v>12775.1971249607</v>
      </c>
      <c r="Z90">
        <v>12.686928140508652</v>
      </c>
      <c r="AA90">
        <v>27875.718510325609</v>
      </c>
      <c r="AB90">
        <v>0</v>
      </c>
      <c r="AC90">
        <v>0</v>
      </c>
      <c r="AD90">
        <v>5.8599472563859765</v>
      </c>
      <c r="AE90">
        <v>12875.476111731266</v>
      </c>
      <c r="AF90">
        <v>3.3866415804327374</v>
      </c>
      <c r="AG90">
        <v>7441.1288805268105</v>
      </c>
      <c r="AH90">
        <v>13</v>
      </c>
      <c r="AI90">
        <v>28563.599999999999</v>
      </c>
      <c r="AJ90">
        <v>24.034599290957495</v>
      </c>
      <c r="AK90">
        <v>52808.821562091805</v>
      </c>
      <c r="AL90">
        <v>0</v>
      </c>
      <c r="AM90">
        <v>0</v>
      </c>
      <c r="AN90">
        <v>25</v>
      </c>
      <c r="AO90">
        <v>54929.999999999993</v>
      </c>
      <c r="AP90">
        <v>20</v>
      </c>
      <c r="AQ90">
        <v>43944</v>
      </c>
      <c r="AR90">
        <v>6.3119021888170392</v>
      </c>
      <c r="AS90">
        <v>13868.511489268798</v>
      </c>
      <c r="AT90">
        <v>0</v>
      </c>
      <c r="AU90">
        <v>0</v>
      </c>
      <c r="AV90">
        <v>2.705749718151071</v>
      </c>
      <c r="AW90">
        <v>5945.0732807215327</v>
      </c>
      <c r="AX90">
        <v>5.4457319139329199</v>
      </c>
      <c r="AY90">
        <v>11965.362161293411</v>
      </c>
      <c r="AZ90">
        <v>8</v>
      </c>
      <c r="BA90">
        <v>17577.599999999999</v>
      </c>
      <c r="BB90">
        <v>6</v>
      </c>
      <c r="BC90">
        <v>13183.199999999999</v>
      </c>
      <c r="BD90">
        <v>6.5417623929711777</v>
      </c>
      <c r="BE90">
        <v>14373.560329836271</v>
      </c>
      <c r="BF90">
        <v>0</v>
      </c>
      <c r="BG90">
        <v>0</v>
      </c>
      <c r="BH90">
        <v>24</v>
      </c>
      <c r="BI90">
        <v>52732.799999999996</v>
      </c>
      <c r="BJ90">
        <v>24.432160178838959</v>
      </c>
      <c r="BK90">
        <v>53682.342344944955</v>
      </c>
      <c r="BL90">
        <v>13.726153202547465</v>
      </c>
      <c r="BM90">
        <v>30159.103816637289</v>
      </c>
      <c r="BN90">
        <v>10.759290389115256</v>
      </c>
      <c r="BO90">
        <v>23640.312842964038</v>
      </c>
      <c r="BP90">
        <v>4.5831677847645897</v>
      </c>
      <c r="BQ90">
        <v>10070.136256684757</v>
      </c>
      <c r="BR90">
        <v>6.4146889299905157</v>
      </c>
      <c r="BS90">
        <v>14094.35451697516</v>
      </c>
      <c r="BT90">
        <v>0</v>
      </c>
      <c r="BU90">
        <v>0</v>
      </c>
      <c r="BV90">
        <v>2.7643979057591621</v>
      </c>
      <c r="BW90">
        <v>6073.9350785340303</v>
      </c>
      <c r="BX90">
        <v>4</v>
      </c>
      <c r="BY90">
        <v>8788.7999999999993</v>
      </c>
      <c r="BZ90">
        <v>1.7641373328110792</v>
      </c>
      <c r="CA90">
        <v>3876.1625476525028</v>
      </c>
      <c r="CB90">
        <v>6</v>
      </c>
      <c r="CC90">
        <v>13183.199999999999</v>
      </c>
      <c r="CD90">
        <v>1.4312368623205654</v>
      </c>
      <c r="CE90">
        <v>3144.7136338907458</v>
      </c>
      <c r="CF90">
        <v>11</v>
      </c>
      <c r="CG90">
        <v>24169.199999999997</v>
      </c>
      <c r="CH90">
        <v>4.0393783316777503</v>
      </c>
      <c r="CI90">
        <v>8875.322070362352</v>
      </c>
      <c r="CJ90">
        <v>4.9419791448309054</v>
      </c>
      <c r="CK90">
        <v>10858.516577022465</v>
      </c>
      <c r="CL90">
        <v>4.334639785109367</v>
      </c>
      <c r="CM90">
        <v>9524.0705358423002</v>
      </c>
      <c r="CN90">
        <v>15.481952365222483</v>
      </c>
      <c r="CO90">
        <v>34016.945736866837</v>
      </c>
      <c r="CP90">
        <v>14.79012599141423</v>
      </c>
      <c r="CQ90">
        <v>32496.864828335343</v>
      </c>
      <c r="CR90">
        <v>10.502765283783004</v>
      </c>
      <c r="CS90">
        <v>23076.675881528015</v>
      </c>
      <c r="CT90">
        <v>0</v>
      </c>
      <c r="CU90">
        <v>0</v>
      </c>
    </row>
    <row r="91" spans="2:99" x14ac:dyDescent="0.2">
      <c r="C91" s="116" t="s">
        <v>257</v>
      </c>
      <c r="D91">
        <v>11.722090261282661</v>
      </c>
      <c r="E91">
        <v>26923.296912114012</v>
      </c>
      <c r="F91">
        <v>14.13330200421902</v>
      </c>
      <c r="G91">
        <v>32461.36804329024</v>
      </c>
      <c r="H91">
        <v>0</v>
      </c>
      <c r="I91">
        <v>0</v>
      </c>
      <c r="J91">
        <v>16.341115655819994</v>
      </c>
      <c r="K91">
        <v>37532.274438287357</v>
      </c>
      <c r="L91">
        <v>0</v>
      </c>
      <c r="M91">
        <v>0</v>
      </c>
      <c r="N91">
        <v>5.2162816569981256</v>
      </c>
      <c r="O91">
        <v>11980.755709793293</v>
      </c>
      <c r="P91">
        <v>7.8427702507627339</v>
      </c>
      <c r="Q91">
        <v>18013.274711951846</v>
      </c>
      <c r="R91">
        <v>2.9769607781114136</v>
      </c>
      <c r="S91">
        <v>6837.4835151662937</v>
      </c>
      <c r="T91">
        <v>9.2401088940324332</v>
      </c>
      <c r="U91">
        <v>21222.682107813689</v>
      </c>
      <c r="V91">
        <v>7.7848166626098489</v>
      </c>
      <c r="W91">
        <v>17880.166910682299</v>
      </c>
      <c r="X91">
        <v>5.8143078121976606</v>
      </c>
      <c r="Y91">
        <v>13354.302183055584</v>
      </c>
      <c r="Z91">
        <v>12.019195080481882</v>
      </c>
      <c r="AA91">
        <v>27605.687260850784</v>
      </c>
      <c r="AB91">
        <v>0</v>
      </c>
      <c r="AC91">
        <v>0</v>
      </c>
      <c r="AD91">
        <v>6.3926697342392469</v>
      </c>
      <c r="AE91">
        <v>14682.683845600701</v>
      </c>
      <c r="AF91">
        <v>3.1608654750705552</v>
      </c>
      <c r="AG91">
        <v>7259.8758231420506</v>
      </c>
      <c r="AH91">
        <v>13</v>
      </c>
      <c r="AI91">
        <v>29858.399999999998</v>
      </c>
      <c r="AJ91">
        <v>23.20582000506241</v>
      </c>
      <c r="AK91">
        <v>53299.127387627341</v>
      </c>
      <c r="AL91">
        <v>0</v>
      </c>
      <c r="AM91">
        <v>0</v>
      </c>
      <c r="AN91">
        <v>27</v>
      </c>
      <c r="AO91">
        <v>62013.599999999991</v>
      </c>
      <c r="AP91">
        <v>22</v>
      </c>
      <c r="AQ91">
        <v>50529.599999999991</v>
      </c>
      <c r="AR91">
        <v>5.6105797233929229</v>
      </c>
      <c r="AS91">
        <v>12886.379508688864</v>
      </c>
      <c r="AT91">
        <v>0</v>
      </c>
      <c r="AU91">
        <v>0</v>
      </c>
      <c r="AV91">
        <v>2.4351747463359636</v>
      </c>
      <c r="AW91">
        <v>5593.109357384441</v>
      </c>
      <c r="AX91">
        <v>5.4457319139329199</v>
      </c>
      <c r="AY91">
        <v>12507.757059921129</v>
      </c>
      <c r="AZ91">
        <v>8</v>
      </c>
      <c r="BA91">
        <v>18374.399999999998</v>
      </c>
      <c r="BB91">
        <v>6</v>
      </c>
      <c r="BC91">
        <v>13780.8</v>
      </c>
      <c r="BD91">
        <v>7.2686248810790861</v>
      </c>
      <c r="BE91">
        <v>16694.577626862443</v>
      </c>
      <c r="BF91">
        <v>0</v>
      </c>
      <c r="BG91">
        <v>0</v>
      </c>
      <c r="BH91">
        <v>22</v>
      </c>
      <c r="BI91">
        <v>50529.599999999991</v>
      </c>
      <c r="BJ91">
        <v>21.557788393093201</v>
      </c>
      <c r="BK91">
        <v>49513.928381256461</v>
      </c>
      <c r="BL91">
        <v>12.478321093224968</v>
      </c>
      <c r="BM91">
        <v>28660.207886919103</v>
      </c>
      <c r="BN91">
        <v>9.1453968307479681</v>
      </c>
      <c r="BO91">
        <v>21005.147440861929</v>
      </c>
      <c r="BP91">
        <v>4.5831677847645897</v>
      </c>
      <c r="BQ91">
        <v>10526.619768047309</v>
      </c>
      <c r="BR91">
        <v>6.9978424690805623</v>
      </c>
      <c r="BS91">
        <v>16072.644582984234</v>
      </c>
      <c r="BT91">
        <v>0</v>
      </c>
      <c r="BU91">
        <v>0</v>
      </c>
      <c r="BV91">
        <v>2.5130890052356021</v>
      </c>
      <c r="BW91">
        <v>5772.0628272251306</v>
      </c>
      <c r="BX91">
        <v>5</v>
      </c>
      <c r="BY91">
        <v>11483.999999999998</v>
      </c>
      <c r="BZ91">
        <v>1.7641373328110792</v>
      </c>
      <c r="CA91">
        <v>4051.870626000486</v>
      </c>
      <c r="CB91">
        <v>7</v>
      </c>
      <c r="CC91">
        <v>16077.599999999999</v>
      </c>
      <c r="CD91">
        <v>1.4312368623205654</v>
      </c>
      <c r="CE91">
        <v>3287.2648253778743</v>
      </c>
      <c r="CF91">
        <v>10</v>
      </c>
      <c r="CG91">
        <v>22967.999999999996</v>
      </c>
      <c r="CH91">
        <v>3.5905585170468894</v>
      </c>
      <c r="CI91">
        <v>8246.7948019532942</v>
      </c>
      <c r="CJ91">
        <v>4.9419791448309054</v>
      </c>
      <c r="CK91">
        <v>11350.737699847623</v>
      </c>
      <c r="CL91">
        <v>3.4677118280874937</v>
      </c>
      <c r="CM91">
        <v>7964.6405267513546</v>
      </c>
      <c r="CN91">
        <v>14.707854746961358</v>
      </c>
      <c r="CO91">
        <v>33781.00078282084</v>
      </c>
      <c r="CP91">
        <v>15.494417705291099</v>
      </c>
      <c r="CQ91">
        <v>35587.578585512594</v>
      </c>
      <c r="CR91">
        <v>10.502765283783004</v>
      </c>
      <c r="CS91">
        <v>24122.7513037928</v>
      </c>
      <c r="CT91">
        <v>0</v>
      </c>
      <c r="CU91">
        <v>0</v>
      </c>
    </row>
    <row r="92" spans="2:99" x14ac:dyDescent="0.2">
      <c r="C92" s="116" t="s">
        <v>258</v>
      </c>
      <c r="D92">
        <v>11.163895486935866</v>
      </c>
      <c r="E92">
        <v>15861.662707838477</v>
      </c>
      <c r="F92">
        <v>14.13330200421902</v>
      </c>
      <c r="G92">
        <v>20080.595487594383</v>
      </c>
      <c r="H92">
        <v>0</v>
      </c>
      <c r="I92">
        <v>0</v>
      </c>
      <c r="J92">
        <v>20.1860840454247</v>
      </c>
      <c r="K92">
        <v>28680.388211739413</v>
      </c>
      <c r="L92">
        <v>0</v>
      </c>
      <c r="M92">
        <v>0</v>
      </c>
      <c r="N92">
        <v>6.0187865273055294</v>
      </c>
      <c r="O92">
        <v>8551.4918979956965</v>
      </c>
      <c r="P92">
        <v>7.319918900711885</v>
      </c>
      <c r="Q92">
        <v>10400.140774131445</v>
      </c>
      <c r="R92">
        <v>3.2250408429540309</v>
      </c>
      <c r="S92">
        <v>4582.1380296690868</v>
      </c>
      <c r="T92">
        <v>9.2401088940324332</v>
      </c>
      <c r="U92">
        <v>13128.346716641281</v>
      </c>
      <c r="V92">
        <v>8.4925272683016519</v>
      </c>
      <c r="W92">
        <v>12066.182742802986</v>
      </c>
      <c r="X92">
        <v>6.4603420135529559</v>
      </c>
      <c r="Y92">
        <v>9178.85393285604</v>
      </c>
      <c r="Z92">
        <v>12.019195080481882</v>
      </c>
      <c r="AA92">
        <v>17076.872370348658</v>
      </c>
      <c r="AB92">
        <v>0</v>
      </c>
      <c r="AC92">
        <v>0</v>
      </c>
      <c r="AD92">
        <v>6.9253922120925164</v>
      </c>
      <c r="AE92">
        <v>9839.5972549410471</v>
      </c>
      <c r="AF92">
        <v>3.6124176857949202</v>
      </c>
      <c r="AG92">
        <v>5132.5230479774227</v>
      </c>
      <c r="AH92">
        <v>15</v>
      </c>
      <c r="AI92">
        <v>21312</v>
      </c>
      <c r="AJ92">
        <v>23.20582000506241</v>
      </c>
      <c r="AK92">
        <v>32970.829063192672</v>
      </c>
      <c r="AL92">
        <v>0</v>
      </c>
      <c r="AM92">
        <v>0</v>
      </c>
      <c r="AN92">
        <v>29</v>
      </c>
      <c r="AO92">
        <v>41203.199999999997</v>
      </c>
      <c r="AP92">
        <v>25</v>
      </c>
      <c r="AQ92">
        <v>35520</v>
      </c>
      <c r="AR92">
        <v>7.0132246542411547</v>
      </c>
      <c r="AS92">
        <v>9964.389588745833</v>
      </c>
      <c r="AT92">
        <v>0</v>
      </c>
      <c r="AU92">
        <v>0</v>
      </c>
      <c r="AV92">
        <v>2.705749718151071</v>
      </c>
      <c r="AW92">
        <v>3844.3291995490417</v>
      </c>
      <c r="AX92">
        <v>6.6558945614735681</v>
      </c>
      <c r="AY92">
        <v>9456.694992941646</v>
      </c>
      <c r="AZ92">
        <v>9</v>
      </c>
      <c r="BA92">
        <v>12787.199999999999</v>
      </c>
      <c r="BB92">
        <v>7</v>
      </c>
      <c r="BC92">
        <v>9945.6</v>
      </c>
      <c r="BD92">
        <v>7.2686248810790861</v>
      </c>
      <c r="BE92">
        <v>10327.262231037164</v>
      </c>
      <c r="BF92">
        <v>0</v>
      </c>
      <c r="BG92">
        <v>0</v>
      </c>
      <c r="BH92">
        <v>23</v>
      </c>
      <c r="BI92">
        <v>32678.399999999998</v>
      </c>
      <c r="BJ92">
        <v>28.025124911021162</v>
      </c>
      <c r="BK92">
        <v>39818.09747357887</v>
      </c>
      <c r="BL92">
        <v>15.597901366531211</v>
      </c>
      <c r="BM92">
        <v>22161.498261567544</v>
      </c>
      <c r="BN92">
        <v>11.297254908571018</v>
      </c>
      <c r="BO92">
        <v>16051.139774097703</v>
      </c>
      <c r="BP92">
        <v>4.5831677847645897</v>
      </c>
      <c r="BQ92">
        <v>6511.7647885935285</v>
      </c>
      <c r="BR92">
        <v>7.5809960081706089</v>
      </c>
      <c r="BS92">
        <v>10771.079128408801</v>
      </c>
      <c r="BT92">
        <v>0</v>
      </c>
      <c r="BU92">
        <v>0</v>
      </c>
      <c r="BV92">
        <v>2.5130890052356021</v>
      </c>
      <c r="BW92">
        <v>3570.5968586387435</v>
      </c>
      <c r="BX92">
        <v>5</v>
      </c>
      <c r="BY92">
        <v>7104</v>
      </c>
      <c r="BZ92">
        <v>1.984654499412464</v>
      </c>
      <c r="CA92">
        <v>2819.7971127652286</v>
      </c>
      <c r="CB92">
        <v>7</v>
      </c>
      <c r="CC92">
        <v>9945.6</v>
      </c>
      <c r="CD92">
        <v>1.4312368623205654</v>
      </c>
      <c r="CE92">
        <v>2033.5013339850591</v>
      </c>
      <c r="CF92">
        <v>10</v>
      </c>
      <c r="CG92">
        <v>14208</v>
      </c>
      <c r="CH92">
        <v>4.0393783316777503</v>
      </c>
      <c r="CI92">
        <v>5739.1487336477476</v>
      </c>
      <c r="CJ92">
        <v>4.9419791448309054</v>
      </c>
      <c r="CK92">
        <v>7021.56396897575</v>
      </c>
      <c r="CL92">
        <v>4.334639785109367</v>
      </c>
      <c r="CM92">
        <v>6158.6562066833885</v>
      </c>
      <c r="CN92">
        <v>15.481952365222483</v>
      </c>
      <c r="CO92">
        <v>21996.757920508102</v>
      </c>
      <c r="CP92">
        <v>17.607292846921705</v>
      </c>
      <c r="CQ92">
        <v>25016.441676906357</v>
      </c>
      <c r="CR92">
        <v>11.252962804053221</v>
      </c>
      <c r="CS92">
        <v>15988.209551998816</v>
      </c>
      <c r="CT92">
        <v>0</v>
      </c>
      <c r="CU92">
        <v>0</v>
      </c>
    </row>
    <row r="93" spans="2:99" x14ac:dyDescent="0.2">
      <c r="C93" s="116" t="s">
        <v>259</v>
      </c>
      <c r="D93">
        <v>10.605700712589075</v>
      </c>
      <c r="E93">
        <v>18797.543942992874</v>
      </c>
      <c r="F93">
        <v>15.54663220464092</v>
      </c>
      <c r="G93">
        <v>27554.850919505563</v>
      </c>
      <c r="H93">
        <v>0</v>
      </c>
      <c r="I93">
        <v>0</v>
      </c>
      <c r="J93">
        <v>16.341115655819994</v>
      </c>
      <c r="K93">
        <v>28962.993388375355</v>
      </c>
      <c r="L93">
        <v>0</v>
      </c>
      <c r="M93">
        <v>0</v>
      </c>
      <c r="N93">
        <v>6.4200389624592322</v>
      </c>
      <c r="O93">
        <v>11378.877057062742</v>
      </c>
      <c r="P93">
        <v>7.8427702507627339</v>
      </c>
      <c r="Q93">
        <v>13900.525992451869</v>
      </c>
      <c r="R93">
        <v>2.9769607781114136</v>
      </c>
      <c r="S93">
        <v>5276.3652831246691</v>
      </c>
      <c r="T93">
        <v>10.472123413236757</v>
      </c>
      <c r="U93">
        <v>18560.791537620826</v>
      </c>
      <c r="V93">
        <v>7.7848166626098489</v>
      </c>
      <c r="W93">
        <v>13797.809052809695</v>
      </c>
      <c r="X93">
        <v>7.1063762149082512</v>
      </c>
      <c r="Y93">
        <v>12595.341203303384</v>
      </c>
      <c r="Z93">
        <v>11.351462020455111</v>
      </c>
      <c r="AA93">
        <v>20119.331285054639</v>
      </c>
      <c r="AB93">
        <v>0</v>
      </c>
      <c r="AC93">
        <v>0</v>
      </c>
      <c r="AD93">
        <v>5.8599472563859765</v>
      </c>
      <c r="AE93">
        <v>10386.170517218505</v>
      </c>
      <c r="AF93">
        <v>3.3866415804327374</v>
      </c>
      <c r="AG93">
        <v>6002.4835371589834</v>
      </c>
      <c r="AH93">
        <v>14</v>
      </c>
      <c r="AI93">
        <v>24813.599999999999</v>
      </c>
      <c r="AJ93">
        <v>27.349716434537839</v>
      </c>
      <c r="AK93">
        <v>48474.637408574861</v>
      </c>
      <c r="AL93">
        <v>0</v>
      </c>
      <c r="AM93">
        <v>0</v>
      </c>
      <c r="AN93">
        <v>30</v>
      </c>
      <c r="AO93">
        <v>53171.999999999993</v>
      </c>
      <c r="AP93">
        <v>24</v>
      </c>
      <c r="AQ93">
        <v>42537.599999999999</v>
      </c>
      <c r="AR93">
        <v>7.0132246542411547</v>
      </c>
      <c r="AS93">
        <v>12430.239377177022</v>
      </c>
      <c r="AT93">
        <v>0</v>
      </c>
      <c r="AU93">
        <v>0</v>
      </c>
      <c r="AV93">
        <v>2.9763246899661779</v>
      </c>
      <c r="AW93">
        <v>5275.2378804960535</v>
      </c>
      <c r="AX93">
        <v>6.6558945614735681</v>
      </c>
      <c r="AY93">
        <v>11796.907520755751</v>
      </c>
      <c r="AZ93">
        <v>8</v>
      </c>
      <c r="BA93">
        <v>14179.199999999999</v>
      </c>
      <c r="BB93">
        <v>7</v>
      </c>
      <c r="BC93">
        <v>12406.8</v>
      </c>
      <c r="BD93">
        <v>6.5417623929711777</v>
      </c>
      <c r="BE93">
        <v>11594.619665302114</v>
      </c>
      <c r="BF93">
        <v>0</v>
      </c>
      <c r="BG93">
        <v>0</v>
      </c>
      <c r="BH93">
        <v>26</v>
      </c>
      <c r="BI93">
        <v>46082.399999999994</v>
      </c>
      <c r="BJ93">
        <v>26.587939018148283</v>
      </c>
      <c r="BK93">
        <v>47124.463115766011</v>
      </c>
      <c r="BL93">
        <v>15.597901366531211</v>
      </c>
      <c r="BM93">
        <v>27645.720382039915</v>
      </c>
      <c r="BN93">
        <v>10.759290389115256</v>
      </c>
      <c r="BO93">
        <v>19069.766285667876</v>
      </c>
      <c r="BP93">
        <v>4.5831677847645897</v>
      </c>
      <c r="BQ93">
        <v>8123.2065817167586</v>
      </c>
      <c r="BR93">
        <v>6.4146889299905157</v>
      </c>
      <c r="BS93">
        <v>11369.394659515188</v>
      </c>
      <c r="BT93">
        <v>0</v>
      </c>
      <c r="BU93">
        <v>0</v>
      </c>
      <c r="BV93">
        <v>2.261780104712042</v>
      </c>
      <c r="BW93">
        <v>4008.7790575916229</v>
      </c>
      <c r="BX93">
        <v>5</v>
      </c>
      <c r="BY93">
        <v>8862</v>
      </c>
      <c r="BZ93">
        <v>1.5436201662096942</v>
      </c>
      <c r="CA93">
        <v>2735.912382590062</v>
      </c>
      <c r="CB93">
        <v>7</v>
      </c>
      <c r="CC93">
        <v>12406.8</v>
      </c>
      <c r="CD93">
        <v>1.4312368623205654</v>
      </c>
      <c r="CE93">
        <v>2536.7242147769698</v>
      </c>
      <c r="CF93">
        <v>10</v>
      </c>
      <c r="CG93">
        <v>17724</v>
      </c>
      <c r="CH93">
        <v>4.0393783316777503</v>
      </c>
      <c r="CI93">
        <v>7159.3941550656436</v>
      </c>
      <c r="CJ93">
        <v>4.3242317517270425</v>
      </c>
      <c r="CK93">
        <v>7664.2683567610093</v>
      </c>
      <c r="CL93">
        <v>3.9011758065984306</v>
      </c>
      <c r="CM93">
        <v>6914.4439996150577</v>
      </c>
      <c r="CN93">
        <v>15.481952365222483</v>
      </c>
      <c r="CO93">
        <v>27440.212372120328</v>
      </c>
      <c r="CP93">
        <v>15.494417705291099</v>
      </c>
      <c r="CQ93">
        <v>27462.305940857943</v>
      </c>
      <c r="CR93">
        <v>10.502765283783004</v>
      </c>
      <c r="CS93">
        <v>18615.101188976994</v>
      </c>
      <c r="CT93">
        <v>0</v>
      </c>
      <c r="CU93">
        <v>0</v>
      </c>
    </row>
    <row r="94" spans="2:99" x14ac:dyDescent="0.2">
      <c r="C94" s="116" t="s">
        <v>260</v>
      </c>
      <c r="D94">
        <v>10.605700712589075</v>
      </c>
      <c r="E94">
        <v>25402.774346793351</v>
      </c>
      <c r="F94">
        <v>13.426636904008067</v>
      </c>
      <c r="G94">
        <v>32159.480712480119</v>
      </c>
      <c r="H94">
        <v>0</v>
      </c>
      <c r="I94">
        <v>0</v>
      </c>
      <c r="J94">
        <v>15.379873558418819</v>
      </c>
      <c r="K94">
        <v>36837.873147124752</v>
      </c>
      <c r="L94">
        <v>0</v>
      </c>
      <c r="M94">
        <v>0</v>
      </c>
      <c r="N94">
        <v>5.6175340921518275</v>
      </c>
      <c r="O94">
        <v>13455.117657522056</v>
      </c>
      <c r="P94">
        <v>7.8427702507627339</v>
      </c>
      <c r="Q94">
        <v>18785.003304626898</v>
      </c>
      <c r="R94">
        <v>3.2250408429540309</v>
      </c>
      <c r="S94">
        <v>7724.6178270434939</v>
      </c>
      <c r="T94">
        <v>9.8561161536345949</v>
      </c>
      <c r="U94">
        <v>23607.36941118558</v>
      </c>
      <c r="V94">
        <v>7.0771060569180442</v>
      </c>
      <c r="W94">
        <v>16951.084427530099</v>
      </c>
      <c r="X94">
        <v>7.1063762149082512</v>
      </c>
      <c r="Y94">
        <v>17021.192309948241</v>
      </c>
      <c r="Z94">
        <v>12.686928140508652</v>
      </c>
      <c r="AA94">
        <v>30387.73028214632</v>
      </c>
      <c r="AB94">
        <v>0</v>
      </c>
      <c r="AC94">
        <v>0</v>
      </c>
      <c r="AD94">
        <v>5.8599472563859765</v>
      </c>
      <c r="AE94">
        <v>14035.745668495691</v>
      </c>
      <c r="AF94">
        <v>3.3866415804327374</v>
      </c>
      <c r="AG94">
        <v>8111.6839134524917</v>
      </c>
      <c r="AH94">
        <v>13</v>
      </c>
      <c r="AI94">
        <v>31137.599999999999</v>
      </c>
      <c r="AJ94">
        <v>20.719482147377153</v>
      </c>
      <c r="AK94">
        <v>49627.303639397753</v>
      </c>
      <c r="AL94">
        <v>0</v>
      </c>
      <c r="AM94">
        <v>0</v>
      </c>
      <c r="AN94">
        <v>28</v>
      </c>
      <c r="AO94">
        <v>67065.599999999991</v>
      </c>
      <c r="AP94">
        <v>22</v>
      </c>
      <c r="AQ94">
        <v>52694.399999999994</v>
      </c>
      <c r="AR94">
        <v>6.3119021888170392</v>
      </c>
      <c r="AS94">
        <v>15118.268122654572</v>
      </c>
      <c r="AT94">
        <v>0</v>
      </c>
      <c r="AU94">
        <v>0</v>
      </c>
      <c r="AV94">
        <v>2.4351747463359636</v>
      </c>
      <c r="AW94">
        <v>5832.7305524239</v>
      </c>
      <c r="AX94">
        <v>6.0508132377032444</v>
      </c>
      <c r="AY94">
        <v>14492.907866946811</v>
      </c>
      <c r="AZ94">
        <v>8</v>
      </c>
      <c r="BA94">
        <v>19161.599999999999</v>
      </c>
      <c r="BB94">
        <v>6</v>
      </c>
      <c r="BC94">
        <v>14371.199999999999</v>
      </c>
      <c r="BD94">
        <v>6.5417623929711777</v>
      </c>
      <c r="BE94">
        <v>15668.829283644563</v>
      </c>
      <c r="BF94">
        <v>0</v>
      </c>
      <c r="BG94">
        <v>0</v>
      </c>
      <c r="BH94">
        <v>21</v>
      </c>
      <c r="BI94">
        <v>50299.199999999997</v>
      </c>
      <c r="BJ94">
        <v>21.557788393093201</v>
      </c>
      <c r="BK94">
        <v>51635.214759136834</v>
      </c>
      <c r="BL94">
        <v>14.350069257208714</v>
      </c>
      <c r="BM94">
        <v>34371.285884866309</v>
      </c>
      <c r="BN94">
        <v>8.6074323112922055</v>
      </c>
      <c r="BO94">
        <v>20616.521872007088</v>
      </c>
      <c r="BP94">
        <v>3.9284295297982199</v>
      </c>
      <c r="BQ94">
        <v>9409.3744097726958</v>
      </c>
      <c r="BR94">
        <v>6.4146889299905157</v>
      </c>
      <c r="BS94">
        <v>15364.462925113283</v>
      </c>
      <c r="BT94">
        <v>0</v>
      </c>
      <c r="BU94">
        <v>0</v>
      </c>
      <c r="BV94">
        <v>2.5130890052356021</v>
      </c>
      <c r="BW94">
        <v>6019.3507853403135</v>
      </c>
      <c r="BX94">
        <v>5</v>
      </c>
      <c r="BY94">
        <v>11976</v>
      </c>
      <c r="BZ94">
        <v>1.5436201662096942</v>
      </c>
      <c r="CA94">
        <v>3697.2790221054593</v>
      </c>
      <c r="CB94">
        <v>6</v>
      </c>
      <c r="CC94">
        <v>14371.199999999999</v>
      </c>
      <c r="CD94">
        <v>1.4312368623205654</v>
      </c>
      <c r="CE94">
        <v>3428.098532630218</v>
      </c>
      <c r="CF94">
        <v>10</v>
      </c>
      <c r="CG94">
        <v>23952</v>
      </c>
      <c r="CH94">
        <v>3.5905585170468894</v>
      </c>
      <c r="CI94">
        <v>8600.1057600307086</v>
      </c>
      <c r="CJ94">
        <v>4.3242317517270425</v>
      </c>
      <c r="CK94">
        <v>10357.399891736612</v>
      </c>
      <c r="CL94">
        <v>3.9011758065984306</v>
      </c>
      <c r="CM94">
        <v>9344.0962919645608</v>
      </c>
      <c r="CN94">
        <v>13.933757128700234</v>
      </c>
      <c r="CO94">
        <v>33374.135074662801</v>
      </c>
      <c r="CP94">
        <v>15.494417705291099</v>
      </c>
      <c r="CQ94">
        <v>37112.229287713235</v>
      </c>
      <c r="CR94">
        <v>10.502765283783004</v>
      </c>
      <c r="CS94">
        <v>25156.223407717051</v>
      </c>
      <c r="CT94">
        <v>0</v>
      </c>
      <c r="CU94">
        <v>0</v>
      </c>
    </row>
    <row r="95" spans="2:99" x14ac:dyDescent="0.2">
      <c r="B95" s="116" t="s">
        <v>132</v>
      </c>
      <c r="C95" s="116" t="s">
        <v>261</v>
      </c>
      <c r="D95">
        <v>27.909738717339668</v>
      </c>
      <c r="E95">
        <v>48361.995249406173</v>
      </c>
      <c r="F95">
        <v>36.74658521096945</v>
      </c>
      <c r="G95">
        <v>63674.482853567861</v>
      </c>
      <c r="H95">
        <v>0</v>
      </c>
      <c r="I95">
        <v>0</v>
      </c>
      <c r="J95">
        <v>30.759747116837637</v>
      </c>
      <c r="K95">
        <v>53300.489804056255</v>
      </c>
      <c r="L95">
        <v>0</v>
      </c>
      <c r="M95">
        <v>0</v>
      </c>
      <c r="N95">
        <v>23.272641238914716</v>
      </c>
      <c r="O95">
        <v>40326.832738791418</v>
      </c>
      <c r="P95">
        <v>49.670878254830647</v>
      </c>
      <c r="Q95">
        <v>86069.69783997054</v>
      </c>
      <c r="R95">
        <v>26.048406808474869</v>
      </c>
      <c r="S95">
        <v>45136.679317725255</v>
      </c>
      <c r="T95">
        <v>9.2401088940324332</v>
      </c>
      <c r="U95">
        <v>16011.2606915794</v>
      </c>
      <c r="V95">
        <v>7.0771060569180442</v>
      </c>
      <c r="W95">
        <v>12263.209375427587</v>
      </c>
      <c r="X95">
        <v>10.982581423040026</v>
      </c>
      <c r="Y95">
        <v>19030.617089843756</v>
      </c>
      <c r="Z95">
        <v>6.6773306002677115</v>
      </c>
      <c r="AA95">
        <v>11570.478464143891</v>
      </c>
      <c r="AB95">
        <v>0</v>
      </c>
      <c r="AC95">
        <v>0</v>
      </c>
      <c r="AD95">
        <v>7.4581146899457886</v>
      </c>
      <c r="AE95">
        <v>12923.421134738062</v>
      </c>
      <c r="AF95">
        <v>3.8381937911571025</v>
      </c>
      <c r="AG95">
        <v>6650.8222013170271</v>
      </c>
      <c r="AH95">
        <v>14</v>
      </c>
      <c r="AI95">
        <v>24259.200000000001</v>
      </c>
      <c r="AJ95">
        <v>19.061923575586977</v>
      </c>
      <c r="AK95">
        <v>33030.501171777112</v>
      </c>
      <c r="AL95">
        <v>0</v>
      </c>
      <c r="AM95">
        <v>0</v>
      </c>
      <c r="AN95">
        <v>19</v>
      </c>
      <c r="AO95">
        <v>32923.199999999997</v>
      </c>
      <c r="AP95">
        <v>14</v>
      </c>
      <c r="AQ95">
        <v>24259.200000000001</v>
      </c>
      <c r="AR95">
        <v>32.26083340950931</v>
      </c>
      <c r="AS95">
        <v>55901.572131997731</v>
      </c>
      <c r="AT95">
        <v>0</v>
      </c>
      <c r="AU95">
        <v>0</v>
      </c>
      <c r="AV95">
        <v>12.446448703494926</v>
      </c>
      <c r="AW95">
        <v>21567.206313416009</v>
      </c>
      <c r="AX95">
        <v>42.35569266392271</v>
      </c>
      <c r="AY95">
        <v>73393.944248045271</v>
      </c>
      <c r="AZ95">
        <v>29</v>
      </c>
      <c r="BA95">
        <v>50251.199999999997</v>
      </c>
      <c r="BB95">
        <v>28</v>
      </c>
      <c r="BC95">
        <v>48518.400000000001</v>
      </c>
      <c r="BD95">
        <v>18.171562202697714</v>
      </c>
      <c r="BE95">
        <v>31487.682984834599</v>
      </c>
      <c r="BF95">
        <v>0</v>
      </c>
      <c r="BG95">
        <v>0</v>
      </c>
      <c r="BH95">
        <v>29</v>
      </c>
      <c r="BI95">
        <v>50251.199999999997</v>
      </c>
      <c r="BJ95">
        <v>15.090451875165241</v>
      </c>
      <c r="BK95">
        <v>26148.735009286331</v>
      </c>
      <c r="BL95">
        <v>15.597901366531211</v>
      </c>
      <c r="BM95">
        <v>27028.043487925283</v>
      </c>
      <c r="BN95">
        <v>14.525042025305595</v>
      </c>
      <c r="BO95">
        <v>25168.992821449534</v>
      </c>
      <c r="BP95">
        <v>26.189530198654801</v>
      </c>
      <c r="BQ95">
        <v>45381.217928229038</v>
      </c>
      <c r="BR95">
        <v>25.658755719962063</v>
      </c>
      <c r="BS95">
        <v>44461.491911550263</v>
      </c>
      <c r="BT95">
        <v>0</v>
      </c>
      <c r="BU95">
        <v>0</v>
      </c>
      <c r="BV95">
        <v>15.329842931937174</v>
      </c>
      <c r="BW95">
        <v>26563.551832460733</v>
      </c>
      <c r="BX95">
        <v>68</v>
      </c>
      <c r="BY95">
        <v>117830.39999999999</v>
      </c>
      <c r="BZ95">
        <v>9.7027553304609349</v>
      </c>
      <c r="CA95">
        <v>16812.934436622709</v>
      </c>
      <c r="CB95">
        <v>40</v>
      </c>
      <c r="CC95">
        <v>69312</v>
      </c>
      <c r="CD95">
        <v>14.598615995669766</v>
      </c>
      <c r="CE95">
        <v>25296.481797296568</v>
      </c>
      <c r="CF95">
        <v>15</v>
      </c>
      <c r="CG95">
        <v>25992</v>
      </c>
      <c r="CH95">
        <v>7.6299368487246406</v>
      </c>
      <c r="CI95">
        <v>13221.154571470057</v>
      </c>
      <c r="CJ95">
        <v>5.5597265379347691</v>
      </c>
      <c r="CK95">
        <v>9633.894144933367</v>
      </c>
      <c r="CL95">
        <v>6.9354236561749874</v>
      </c>
      <c r="CM95">
        <v>12017.702111420018</v>
      </c>
      <c r="CN95">
        <v>19.352440456528104</v>
      </c>
      <c r="CO95">
        <v>33533.908823071899</v>
      </c>
      <c r="CP95">
        <v>16.198709419167969</v>
      </c>
      <c r="CQ95">
        <v>28069.123681534256</v>
      </c>
      <c r="CR95">
        <v>21.755728087836225</v>
      </c>
      <c r="CS95">
        <v>37698.325630602609</v>
      </c>
      <c r="CT95">
        <v>0</v>
      </c>
      <c r="CU95">
        <v>0</v>
      </c>
    </row>
    <row r="96" spans="2:99" x14ac:dyDescent="0.2">
      <c r="C96" s="116" t="s">
        <v>262</v>
      </c>
      <c r="D96">
        <v>33.4916864608076</v>
      </c>
      <c r="E96">
        <v>27570.356294536814</v>
      </c>
      <c r="F96">
        <v>41.6932409124461</v>
      </c>
      <c r="G96">
        <v>34321.875919125625</v>
      </c>
      <c r="H96">
        <v>0</v>
      </c>
      <c r="I96">
        <v>0</v>
      </c>
      <c r="J96">
        <v>37.488441798645873</v>
      </c>
      <c r="K96">
        <v>30860.485288645279</v>
      </c>
      <c r="L96">
        <v>0</v>
      </c>
      <c r="M96">
        <v>0</v>
      </c>
      <c r="N96">
        <v>28.890175331066544</v>
      </c>
      <c r="O96">
        <v>23782.392332533978</v>
      </c>
      <c r="P96">
        <v>62.219310656051029</v>
      </c>
      <c r="Q96">
        <v>51218.936532061205</v>
      </c>
      <c r="R96">
        <v>34.235048948281253</v>
      </c>
      <c r="S96">
        <v>28182.292294225124</v>
      </c>
      <c r="T96">
        <v>9.8561161536345949</v>
      </c>
      <c r="U96">
        <v>8113.5548176719976</v>
      </c>
      <c r="V96">
        <v>9.2002378739934585</v>
      </c>
      <c r="W96">
        <v>7573.6358178714145</v>
      </c>
      <c r="X96">
        <v>13.566718228461209</v>
      </c>
      <c r="Y96">
        <v>11168.122445669267</v>
      </c>
      <c r="Z96">
        <v>6.6773306002677115</v>
      </c>
      <c r="AA96">
        <v>5496.7785501403796</v>
      </c>
      <c r="AB96">
        <v>0</v>
      </c>
      <c r="AC96">
        <v>0</v>
      </c>
      <c r="AD96">
        <v>7.4581146899457886</v>
      </c>
      <c r="AE96">
        <v>6139.5200127633725</v>
      </c>
      <c r="AF96">
        <v>3.3866415804327374</v>
      </c>
      <c r="AG96">
        <v>2787.8833490122292</v>
      </c>
      <c r="AH96">
        <v>15</v>
      </c>
      <c r="AI96">
        <v>12347.999999999998</v>
      </c>
      <c r="AJ96">
        <v>19.890702861482062</v>
      </c>
      <c r="AK96">
        <v>16374.026595572032</v>
      </c>
      <c r="AL96">
        <v>0</v>
      </c>
      <c r="AM96">
        <v>0</v>
      </c>
      <c r="AN96">
        <v>19</v>
      </c>
      <c r="AO96">
        <v>15640.8</v>
      </c>
      <c r="AP96">
        <v>18</v>
      </c>
      <c r="AQ96">
        <v>14817.599999999999</v>
      </c>
      <c r="AR96">
        <v>40.676702994598699</v>
      </c>
      <c r="AS96">
        <v>33485.061905153649</v>
      </c>
      <c r="AT96">
        <v>0</v>
      </c>
      <c r="AU96">
        <v>0</v>
      </c>
      <c r="AV96">
        <v>14.340473506200677</v>
      </c>
      <c r="AW96">
        <v>11805.077790304396</v>
      </c>
      <c r="AX96">
        <v>44.776017959004008</v>
      </c>
      <c r="AY96">
        <v>36859.617983852098</v>
      </c>
      <c r="AZ96">
        <v>31</v>
      </c>
      <c r="BA96">
        <v>25519.199999999997</v>
      </c>
      <c r="BB96">
        <v>33</v>
      </c>
      <c r="BC96">
        <v>27165.599999999999</v>
      </c>
      <c r="BD96">
        <v>19.625287178913531</v>
      </c>
      <c r="BE96">
        <v>16155.536405681618</v>
      </c>
      <c r="BF96">
        <v>0</v>
      </c>
      <c r="BG96">
        <v>0</v>
      </c>
      <c r="BH96">
        <v>32</v>
      </c>
      <c r="BI96">
        <v>26342.399999999998</v>
      </c>
      <c r="BJ96">
        <v>17.964823660911001</v>
      </c>
      <c r="BK96">
        <v>14788.642837661935</v>
      </c>
      <c r="BL96">
        <v>16.221817421192462</v>
      </c>
      <c r="BM96">
        <v>13353.800101125633</v>
      </c>
      <c r="BN96">
        <v>15.063006544761357</v>
      </c>
      <c r="BO96">
        <v>12399.866987647549</v>
      </c>
      <c r="BP96">
        <v>30.11795972845302</v>
      </c>
      <c r="BQ96">
        <v>24793.104448462524</v>
      </c>
      <c r="BR96">
        <v>33.822905267222723</v>
      </c>
      <c r="BS96">
        <v>27843.015615977743</v>
      </c>
      <c r="BT96">
        <v>0</v>
      </c>
      <c r="BU96">
        <v>0</v>
      </c>
      <c r="BV96">
        <v>19.350785340314136</v>
      </c>
      <c r="BW96">
        <v>15929.566492146596</v>
      </c>
      <c r="BX96">
        <v>69</v>
      </c>
      <c r="BY96">
        <v>56800.799999999996</v>
      </c>
      <c r="BZ96">
        <v>12.128444163076169</v>
      </c>
      <c r="CA96">
        <v>9984.1352350443012</v>
      </c>
      <c r="CB96">
        <v>40</v>
      </c>
      <c r="CC96">
        <v>32928</v>
      </c>
      <c r="CD96">
        <v>16.029852857990331</v>
      </c>
      <c r="CE96">
        <v>13195.774872697639</v>
      </c>
      <c r="CF96">
        <v>18</v>
      </c>
      <c r="CG96">
        <v>14817.599999999999</v>
      </c>
      <c r="CH96">
        <v>8.5275764779863632</v>
      </c>
      <c r="CI96">
        <v>7019.9009566783734</v>
      </c>
      <c r="CJ96">
        <v>6.7952213241424957</v>
      </c>
      <c r="CK96">
        <v>5593.8261940341017</v>
      </c>
      <c r="CL96">
        <v>7.3688876346859242</v>
      </c>
      <c r="CM96">
        <v>6066.0683008734522</v>
      </c>
      <c r="CN96">
        <v>22.448830929572601</v>
      </c>
      <c r="CO96">
        <v>18479.877621224165</v>
      </c>
      <c r="CP96">
        <v>17.607292846921705</v>
      </c>
      <c r="CQ96">
        <v>14494.323471585947</v>
      </c>
      <c r="CR96">
        <v>21.005530567566009</v>
      </c>
      <c r="CS96">
        <v>17291.752763220338</v>
      </c>
      <c r="CT96">
        <v>0</v>
      </c>
      <c r="CU96">
        <v>0</v>
      </c>
    </row>
    <row r="97" spans="2:99" x14ac:dyDescent="0.2">
      <c r="C97" s="116" t="s">
        <v>263</v>
      </c>
      <c r="D97">
        <v>29.026128266033254</v>
      </c>
      <c r="E97">
        <v>53082.983372921612</v>
      </c>
      <c r="F97">
        <v>36.039920110758494</v>
      </c>
      <c r="G97">
        <v>65909.805898555132</v>
      </c>
      <c r="H97">
        <v>0</v>
      </c>
      <c r="I97">
        <v>0</v>
      </c>
      <c r="J97">
        <v>31.720989214238816</v>
      </c>
      <c r="K97">
        <v>58011.345074999947</v>
      </c>
      <c r="L97">
        <v>0</v>
      </c>
      <c r="M97">
        <v>0</v>
      </c>
      <c r="N97">
        <v>22.068883933453609</v>
      </c>
      <c r="O97">
        <v>40359.574937499958</v>
      </c>
      <c r="P97">
        <v>52.285135005084896</v>
      </c>
      <c r="Q97">
        <v>95619.054897299255</v>
      </c>
      <c r="R97">
        <v>28.529207456901041</v>
      </c>
      <c r="S97">
        <v>52174.214597180624</v>
      </c>
      <c r="T97">
        <v>8.6241016344302714</v>
      </c>
      <c r="U97">
        <v>15771.75706904608</v>
      </c>
      <c r="V97">
        <v>8.4925272683016519</v>
      </c>
      <c r="W97">
        <v>15531.133868270061</v>
      </c>
      <c r="X97">
        <v>12.274649825750616</v>
      </c>
      <c r="Y97">
        <v>22447.879601332726</v>
      </c>
      <c r="Z97">
        <v>6.0095975402409412</v>
      </c>
      <c r="AA97">
        <v>10990.351981592634</v>
      </c>
      <c r="AB97">
        <v>0</v>
      </c>
      <c r="AC97">
        <v>0</v>
      </c>
      <c r="AD97">
        <v>6.9253922120925164</v>
      </c>
      <c r="AE97">
        <v>12665.157277474793</v>
      </c>
      <c r="AF97">
        <v>3.8381937911571025</v>
      </c>
      <c r="AG97">
        <v>7019.2888052681092</v>
      </c>
      <c r="AH97">
        <v>13</v>
      </c>
      <c r="AI97">
        <v>23774.399999999998</v>
      </c>
      <c r="AJ97">
        <v>18.233144289691893</v>
      </c>
      <c r="AK97">
        <v>33344.77427698853</v>
      </c>
      <c r="AL97">
        <v>0</v>
      </c>
      <c r="AM97">
        <v>0</v>
      </c>
      <c r="AN97">
        <v>16</v>
      </c>
      <c r="AO97">
        <v>29260.799999999999</v>
      </c>
      <c r="AP97">
        <v>15</v>
      </c>
      <c r="AQ97">
        <v>27432</v>
      </c>
      <c r="AR97">
        <v>38.572735598326354</v>
      </c>
      <c r="AS97">
        <v>70541.818862219239</v>
      </c>
      <c r="AT97">
        <v>0</v>
      </c>
      <c r="AU97">
        <v>0</v>
      </c>
      <c r="AV97">
        <v>12.446448703494926</v>
      </c>
      <c r="AW97">
        <v>22762.06538895152</v>
      </c>
      <c r="AX97">
        <v>43.565855311463359</v>
      </c>
      <c r="AY97">
        <v>79673.236193604185</v>
      </c>
      <c r="AZ97">
        <v>27</v>
      </c>
      <c r="BA97">
        <v>49377.599999999999</v>
      </c>
      <c r="BB97">
        <v>30</v>
      </c>
      <c r="BC97">
        <v>54864</v>
      </c>
      <c r="BD97">
        <v>16.717837226481898</v>
      </c>
      <c r="BE97">
        <v>30573.580719790094</v>
      </c>
      <c r="BF97">
        <v>0</v>
      </c>
      <c r="BG97">
        <v>0</v>
      </c>
      <c r="BH97">
        <v>28</v>
      </c>
      <c r="BI97">
        <v>51206.400000000001</v>
      </c>
      <c r="BJ97">
        <v>15.090451875165241</v>
      </c>
      <c r="BK97">
        <v>27597.418389302195</v>
      </c>
      <c r="BL97">
        <v>14.973985311869962</v>
      </c>
      <c r="BM97">
        <v>27384.424338347784</v>
      </c>
      <c r="BN97">
        <v>13.987077505849831</v>
      </c>
      <c r="BO97">
        <v>25579.56734269817</v>
      </c>
      <c r="BP97">
        <v>29.463221473486652</v>
      </c>
      <c r="BQ97">
        <v>53882.339430712389</v>
      </c>
      <c r="BR97">
        <v>26.241909259052107</v>
      </c>
      <c r="BS97">
        <v>47991.203652954493</v>
      </c>
      <c r="BT97">
        <v>0</v>
      </c>
      <c r="BU97">
        <v>0</v>
      </c>
      <c r="BV97">
        <v>15.581151832460733</v>
      </c>
      <c r="BW97">
        <v>28494.81047120419</v>
      </c>
      <c r="BX97">
        <v>58</v>
      </c>
      <c r="BY97">
        <v>106070.39999999999</v>
      </c>
      <c r="BZ97">
        <v>9.7027553304609349</v>
      </c>
      <c r="CA97">
        <v>17744.398948346956</v>
      </c>
      <c r="CB97">
        <v>36</v>
      </c>
      <c r="CC97">
        <v>65836.800000000003</v>
      </c>
      <c r="CD97">
        <v>15.171110740597991</v>
      </c>
      <c r="CE97">
        <v>27744.927322405605</v>
      </c>
      <c r="CF97">
        <v>16</v>
      </c>
      <c r="CG97">
        <v>29260.799999999999</v>
      </c>
      <c r="CH97">
        <v>8.0787566633555006</v>
      </c>
      <c r="CI97">
        <v>14774.430185944539</v>
      </c>
      <c r="CJ97">
        <v>6.7952213241424957</v>
      </c>
      <c r="CK97">
        <v>12427.100757591796</v>
      </c>
      <c r="CL97">
        <v>6.9354236561749874</v>
      </c>
      <c r="CM97">
        <v>12683.502782412817</v>
      </c>
      <c r="CN97">
        <v>20.900635693050351</v>
      </c>
      <c r="CO97">
        <v>38223.082555450477</v>
      </c>
      <c r="CP97">
        <v>14.79012599141423</v>
      </c>
      <c r="CQ97">
        <v>27048.182413098344</v>
      </c>
      <c r="CR97">
        <v>18.754938006755367</v>
      </c>
      <c r="CS97">
        <v>34299.030626754211</v>
      </c>
      <c r="CT97">
        <v>0</v>
      </c>
      <c r="CU97">
        <v>0</v>
      </c>
    </row>
    <row r="98" spans="2:99" x14ac:dyDescent="0.2">
      <c r="C98" s="116" t="s">
        <v>264</v>
      </c>
      <c r="D98">
        <v>29.026128266033254</v>
      </c>
      <c r="E98">
        <v>36677.415676959616</v>
      </c>
      <c r="F98">
        <v>42.399906012657055</v>
      </c>
      <c r="G98">
        <v>53576.52123759345</v>
      </c>
      <c r="H98">
        <v>0</v>
      </c>
      <c r="I98">
        <v>0</v>
      </c>
      <c r="J98">
        <v>30.759747116837637</v>
      </c>
      <c r="K98">
        <v>38868.016456836034</v>
      </c>
      <c r="L98">
        <v>0</v>
      </c>
      <c r="M98">
        <v>0</v>
      </c>
      <c r="N98">
        <v>22.47013636860731</v>
      </c>
      <c r="O98">
        <v>28393.264315372195</v>
      </c>
      <c r="P98">
        <v>54.899391755339138</v>
      </c>
      <c r="Q98">
        <v>69370.871422046534</v>
      </c>
      <c r="R98">
        <v>29.025367586586281</v>
      </c>
      <c r="S98">
        <v>36676.454482410423</v>
      </c>
      <c r="T98">
        <v>8.6241016344302714</v>
      </c>
      <c r="U98">
        <v>10897.414825266091</v>
      </c>
      <c r="V98">
        <v>8.4925272683016519</v>
      </c>
      <c r="W98">
        <v>10731.157456225967</v>
      </c>
      <c r="X98">
        <v>12.274649825750616</v>
      </c>
      <c r="Y98">
        <v>15510.247519818478</v>
      </c>
      <c r="Z98">
        <v>6.6773306002677115</v>
      </c>
      <c r="AA98">
        <v>8437.4749464982797</v>
      </c>
      <c r="AB98">
        <v>0</v>
      </c>
      <c r="AC98">
        <v>0</v>
      </c>
      <c r="AD98">
        <v>6.3926697342392469</v>
      </c>
      <c r="AE98">
        <v>8077.7774761847122</v>
      </c>
      <c r="AF98">
        <v>3.8381937911571025</v>
      </c>
      <c r="AG98">
        <v>4849.9416745061144</v>
      </c>
      <c r="AH98">
        <v>14</v>
      </c>
      <c r="AI98">
        <v>17690.399999999998</v>
      </c>
      <c r="AJ98">
        <v>20.719482147377153</v>
      </c>
      <c r="AK98">
        <v>26181.137641425768</v>
      </c>
      <c r="AL98">
        <v>0</v>
      </c>
      <c r="AM98">
        <v>0</v>
      </c>
      <c r="AN98">
        <v>17</v>
      </c>
      <c r="AO98">
        <v>21481.199999999997</v>
      </c>
      <c r="AP98">
        <v>15</v>
      </c>
      <c r="AQ98">
        <v>18954</v>
      </c>
      <c r="AR98">
        <v>35.767445736629881</v>
      </c>
      <c r="AS98">
        <v>45195.744432805513</v>
      </c>
      <c r="AT98">
        <v>0</v>
      </c>
      <c r="AU98">
        <v>0</v>
      </c>
      <c r="AV98">
        <v>13.799323562570462</v>
      </c>
      <c r="AW98">
        <v>17436.825253664036</v>
      </c>
      <c r="AX98">
        <v>43.565855311463359</v>
      </c>
      <c r="AY98">
        <v>55049.814771565099</v>
      </c>
      <c r="AZ98">
        <v>32</v>
      </c>
      <c r="BA98">
        <v>40435.199999999997</v>
      </c>
      <c r="BB98">
        <v>30</v>
      </c>
      <c r="BC98">
        <v>37908</v>
      </c>
      <c r="BD98">
        <v>15.990974738373989</v>
      </c>
      <c r="BE98">
        <v>20206.195679409371</v>
      </c>
      <c r="BF98">
        <v>0</v>
      </c>
      <c r="BG98">
        <v>0</v>
      </c>
      <c r="BH98">
        <v>27</v>
      </c>
      <c r="BI98">
        <v>34117.199999999997</v>
      </c>
      <c r="BJ98">
        <v>17.24623071447456</v>
      </c>
      <c r="BK98">
        <v>21792.337130810054</v>
      </c>
      <c r="BL98">
        <v>18.093565585176204</v>
      </c>
      <c r="BM98">
        <v>22863.029473428651</v>
      </c>
      <c r="BN98">
        <v>15.063006544761357</v>
      </c>
      <c r="BO98">
        <v>19033.615069960451</v>
      </c>
      <c r="BP98">
        <v>30.11795972845302</v>
      </c>
      <c r="BQ98">
        <v>38057.053912873234</v>
      </c>
      <c r="BR98">
        <v>30.323984032682436</v>
      </c>
      <c r="BS98">
        <v>38317.386223697526</v>
      </c>
      <c r="BT98">
        <v>0</v>
      </c>
      <c r="BU98">
        <v>0</v>
      </c>
      <c r="BV98">
        <v>17.842931937172775</v>
      </c>
      <c r="BW98">
        <v>22546.328795811518</v>
      </c>
      <c r="BX98">
        <v>73</v>
      </c>
      <c r="BY98">
        <v>92242.799999999988</v>
      </c>
      <c r="BZ98">
        <v>10.584823996866476</v>
      </c>
      <c r="CA98">
        <v>13374.983602440478</v>
      </c>
      <c r="CB98">
        <v>38</v>
      </c>
      <c r="CC98">
        <v>48016.799999999996</v>
      </c>
      <c r="CD98">
        <v>14.312368623205654</v>
      </c>
      <c r="CE98">
        <v>18085.108992282661</v>
      </c>
      <c r="CF98">
        <v>15</v>
      </c>
      <c r="CG98">
        <v>18954</v>
      </c>
      <c r="CH98">
        <v>8.5275764779863632</v>
      </c>
      <c r="CI98">
        <v>10775.445637583567</v>
      </c>
      <c r="CJ98">
        <v>6.177473931038632</v>
      </c>
      <c r="CK98">
        <v>7805.8560592604144</v>
      </c>
      <c r="CL98">
        <v>6.9354236561749874</v>
      </c>
      <c r="CM98">
        <v>8763.6013319427129</v>
      </c>
      <c r="CN98">
        <v>20.126538074789227</v>
      </c>
      <c r="CO98">
        <v>25431.893511303664</v>
      </c>
      <c r="CP98">
        <v>16.198709419167969</v>
      </c>
      <c r="CQ98">
        <v>20468.689222060642</v>
      </c>
      <c r="CR98">
        <v>22.505925608106441</v>
      </c>
      <c r="CS98">
        <v>28438.487598403299</v>
      </c>
      <c r="CT98">
        <v>0</v>
      </c>
      <c r="CU98">
        <v>0</v>
      </c>
    </row>
    <row r="99" spans="2:99" x14ac:dyDescent="0.2">
      <c r="C99" s="116" t="s">
        <v>265</v>
      </c>
      <c r="D99">
        <v>19.536817102137768</v>
      </c>
      <c r="E99">
        <v>107093.01662707838</v>
      </c>
      <c r="F99">
        <v>24.733278507383282</v>
      </c>
      <c r="G99">
        <v>135577.93946607219</v>
      </c>
      <c r="H99">
        <v>0</v>
      </c>
      <c r="I99">
        <v>0</v>
      </c>
      <c r="J99">
        <v>17.30235775322117</v>
      </c>
      <c r="K99">
        <v>94844.604260057153</v>
      </c>
      <c r="L99">
        <v>0</v>
      </c>
      <c r="M99">
        <v>0</v>
      </c>
      <c r="N99">
        <v>11.235068184303655</v>
      </c>
      <c r="O99">
        <v>61586.149759078908</v>
      </c>
      <c r="P99">
        <v>28.756824252796694</v>
      </c>
      <c r="Q99">
        <v>157633.40782413035</v>
      </c>
      <c r="R99">
        <v>15.132883955399683</v>
      </c>
      <c r="S99">
        <v>82952.416689918886</v>
      </c>
      <c r="T99">
        <v>6.7760798556237836</v>
      </c>
      <c r="U99">
        <v>37143.759336587325</v>
      </c>
      <c r="V99">
        <v>5.6616848455344355</v>
      </c>
      <c r="W99">
        <v>31035.09164928156</v>
      </c>
      <c r="X99">
        <v>9.0444788189741381</v>
      </c>
      <c r="Y99">
        <v>49578.215094088628</v>
      </c>
      <c r="Z99">
        <v>5.3418644802141699</v>
      </c>
      <c r="AA99">
        <v>29281.964334741991</v>
      </c>
      <c r="AB99">
        <v>0</v>
      </c>
      <c r="AC99">
        <v>0</v>
      </c>
      <c r="AD99">
        <v>4.7945023006794356</v>
      </c>
      <c r="AE99">
        <v>26281.54381140439</v>
      </c>
      <c r="AF99">
        <v>2.4835371589840078</v>
      </c>
      <c r="AG99">
        <v>13613.757290686735</v>
      </c>
      <c r="AH99">
        <v>10</v>
      </c>
      <c r="AI99">
        <v>54815.999999999993</v>
      </c>
      <c r="AJ99">
        <v>13.260468574321377</v>
      </c>
      <c r="AK99">
        <v>72688.584537000061</v>
      </c>
      <c r="AL99">
        <v>0</v>
      </c>
      <c r="AM99">
        <v>0</v>
      </c>
      <c r="AN99">
        <v>12</v>
      </c>
      <c r="AO99">
        <v>65779.199999999997</v>
      </c>
      <c r="AP99">
        <v>10</v>
      </c>
      <c r="AQ99">
        <v>54815.999999999993</v>
      </c>
      <c r="AR99">
        <v>23.844963824419928</v>
      </c>
      <c r="AS99">
        <v>130708.55369994027</v>
      </c>
      <c r="AT99">
        <v>0</v>
      </c>
      <c r="AU99">
        <v>0</v>
      </c>
      <c r="AV99">
        <v>8.3878241262683204</v>
      </c>
      <c r="AW99">
        <v>45978.696730552423</v>
      </c>
      <c r="AX99">
        <v>24.203252950812978</v>
      </c>
      <c r="AY99">
        <v>132672.55137517641</v>
      </c>
      <c r="AZ99">
        <v>18</v>
      </c>
      <c r="BA99">
        <v>98668.799999999988</v>
      </c>
      <c r="BB99">
        <v>18</v>
      </c>
      <c r="BC99">
        <v>98668.799999999988</v>
      </c>
      <c r="BD99">
        <v>11.629799809726537</v>
      </c>
      <c r="BE99">
        <v>63749.910636996974</v>
      </c>
      <c r="BF99">
        <v>0</v>
      </c>
      <c r="BG99">
        <v>0</v>
      </c>
      <c r="BH99">
        <v>16</v>
      </c>
      <c r="BI99">
        <v>87705.599999999991</v>
      </c>
      <c r="BJ99">
        <v>11.49748714298304</v>
      </c>
      <c r="BK99">
        <v>63024.625522975824</v>
      </c>
      <c r="BL99">
        <v>11.230488983902472</v>
      </c>
      <c r="BM99">
        <v>61561.048414159784</v>
      </c>
      <c r="BN99">
        <v>9.6833613502037288</v>
      </c>
      <c r="BO99">
        <v>53080.313577276756</v>
      </c>
      <c r="BP99">
        <v>15.71371811919288</v>
      </c>
      <c r="BQ99">
        <v>86136.317242167686</v>
      </c>
      <c r="BR99">
        <v>16.328299094521313</v>
      </c>
      <c r="BS99">
        <v>89505.204316528019</v>
      </c>
      <c r="BT99">
        <v>0</v>
      </c>
      <c r="BU99">
        <v>0</v>
      </c>
      <c r="BV99">
        <v>9.2984293193717278</v>
      </c>
      <c r="BW99">
        <v>50970.270157068058</v>
      </c>
      <c r="BX99">
        <v>40</v>
      </c>
      <c r="BY99">
        <v>219263.99999999997</v>
      </c>
      <c r="BZ99">
        <v>6.3949978314401621</v>
      </c>
      <c r="CA99">
        <v>35054.820112822388</v>
      </c>
      <c r="CB99">
        <v>21</v>
      </c>
      <c r="CC99">
        <v>115113.59999999999</v>
      </c>
      <c r="CD99">
        <v>9.4461632913157292</v>
      </c>
      <c r="CE99">
        <v>51780.088697676299</v>
      </c>
      <c r="CF99">
        <v>12</v>
      </c>
      <c r="CG99">
        <v>65779.199999999997</v>
      </c>
      <c r="CH99">
        <v>5.8346575902011955</v>
      </c>
      <c r="CI99">
        <v>31983.25904644687</v>
      </c>
      <c r="CJ99">
        <v>4.9419791448309054</v>
      </c>
      <c r="CK99">
        <v>27089.952880305089</v>
      </c>
      <c r="CL99">
        <v>4.7681037636203039</v>
      </c>
      <c r="CM99">
        <v>26136.837590661056</v>
      </c>
      <c r="CN99">
        <v>13.933757128700234</v>
      </c>
      <c r="CO99">
        <v>76379.28307668319</v>
      </c>
      <c r="CP99">
        <v>9.1557922803992859</v>
      </c>
      <c r="CQ99">
        <v>50188.390964236722</v>
      </c>
      <c r="CR99">
        <v>15.003950405404293</v>
      </c>
      <c r="CS99">
        <v>82245.654542264165</v>
      </c>
      <c r="CT99">
        <v>0</v>
      </c>
      <c r="CU99">
        <v>0</v>
      </c>
    </row>
    <row r="100" spans="2:99" x14ac:dyDescent="0.2">
      <c r="C100" s="116" t="s">
        <v>266</v>
      </c>
      <c r="D100">
        <v>28.467933491686463</v>
      </c>
      <c r="E100">
        <v>46186.375296912112</v>
      </c>
      <c r="F100">
        <v>39.573245611813256</v>
      </c>
      <c r="G100">
        <v>64203.633680605824</v>
      </c>
      <c r="H100">
        <v>0</v>
      </c>
      <c r="I100">
        <v>0</v>
      </c>
      <c r="J100">
        <v>29.798505019436458</v>
      </c>
      <c r="K100">
        <v>48345.094543533705</v>
      </c>
      <c r="L100">
        <v>0</v>
      </c>
      <c r="M100">
        <v>0</v>
      </c>
      <c r="N100">
        <v>22.871388803761015</v>
      </c>
      <c r="O100">
        <v>37106.541195221864</v>
      </c>
      <c r="P100">
        <v>53.853689055237439</v>
      </c>
      <c r="Q100">
        <v>87372.225123217213</v>
      </c>
      <c r="R100">
        <v>29.273447651428899</v>
      </c>
      <c r="S100">
        <v>47493.241469678243</v>
      </c>
      <c r="T100">
        <v>9.8561161536345949</v>
      </c>
      <c r="U100">
        <v>15990.562847656765</v>
      </c>
      <c r="V100">
        <v>8.4925272683016519</v>
      </c>
      <c r="W100">
        <v>13778.276240092599</v>
      </c>
      <c r="X100">
        <v>12.274649825750616</v>
      </c>
      <c r="Y100">
        <v>19914.3918772978</v>
      </c>
      <c r="Z100">
        <v>6.0095975402409412</v>
      </c>
      <c r="AA100">
        <v>9749.9710492869017</v>
      </c>
      <c r="AB100">
        <v>0</v>
      </c>
      <c r="AC100">
        <v>0</v>
      </c>
      <c r="AD100">
        <v>6.3926697342392469</v>
      </c>
      <c r="AE100">
        <v>10371.467376829753</v>
      </c>
      <c r="AF100">
        <v>3.3866415804327374</v>
      </c>
      <c r="AG100">
        <v>5494.4873000940725</v>
      </c>
      <c r="AH100">
        <v>15</v>
      </c>
      <c r="AI100">
        <v>24335.999999999996</v>
      </c>
      <c r="AJ100">
        <v>16.575585717901721</v>
      </c>
      <c r="AK100">
        <v>26892.23026872375</v>
      </c>
      <c r="AL100">
        <v>0</v>
      </c>
      <c r="AM100">
        <v>0</v>
      </c>
      <c r="AN100">
        <v>18</v>
      </c>
      <c r="AO100">
        <v>29203.199999999997</v>
      </c>
      <c r="AP100">
        <v>16</v>
      </c>
      <c r="AQ100">
        <v>25958.399999999998</v>
      </c>
      <c r="AR100">
        <v>35.066123271205775</v>
      </c>
      <c r="AS100">
        <v>56891.278395204245</v>
      </c>
      <c r="AT100">
        <v>0</v>
      </c>
      <c r="AU100">
        <v>0</v>
      </c>
      <c r="AV100">
        <v>13.799323562570462</v>
      </c>
      <c r="AW100">
        <v>22388.022547914316</v>
      </c>
      <c r="AX100">
        <v>42.35569266392271</v>
      </c>
      <c r="AY100">
        <v>68717.875777948197</v>
      </c>
      <c r="AZ100">
        <v>30</v>
      </c>
      <c r="BA100">
        <v>48671.999999999993</v>
      </c>
      <c r="BB100">
        <v>31</v>
      </c>
      <c r="BC100">
        <v>50294.399999999994</v>
      </c>
      <c r="BD100">
        <v>18.171562202697714</v>
      </c>
      <c r="BE100">
        <v>29481.54251765677</v>
      </c>
      <c r="BF100">
        <v>0</v>
      </c>
      <c r="BG100">
        <v>0</v>
      </c>
      <c r="BH100">
        <v>25</v>
      </c>
      <c r="BI100">
        <v>40560</v>
      </c>
      <c r="BJ100">
        <v>15.809044821601681</v>
      </c>
      <c r="BK100">
        <v>25648.594318566564</v>
      </c>
      <c r="BL100">
        <v>14.973985311869962</v>
      </c>
      <c r="BM100">
        <v>24293.793769977823</v>
      </c>
      <c r="BN100">
        <v>12.911148466938306</v>
      </c>
      <c r="BO100">
        <v>20947.047272760705</v>
      </c>
      <c r="BP100">
        <v>30.11795972845302</v>
      </c>
      <c r="BQ100">
        <v>48863.377863442176</v>
      </c>
      <c r="BR100">
        <v>28.574523415412294</v>
      </c>
      <c r="BS100">
        <v>46359.306789164904</v>
      </c>
      <c r="BT100">
        <v>0</v>
      </c>
      <c r="BU100">
        <v>0</v>
      </c>
      <c r="BV100">
        <v>15.329842931937174</v>
      </c>
      <c r="BW100">
        <v>24871.13717277487</v>
      </c>
      <c r="BX100">
        <v>66</v>
      </c>
      <c r="BY100">
        <v>107078.39999999999</v>
      </c>
      <c r="BZ100">
        <v>9.923272497062321</v>
      </c>
      <c r="CA100">
        <v>16099.517299233908</v>
      </c>
      <c r="CB100">
        <v>42</v>
      </c>
      <c r="CC100">
        <v>68140.799999999988</v>
      </c>
      <c r="CD100">
        <v>15.171110740597991</v>
      </c>
      <c r="CE100">
        <v>24613.610065546178</v>
      </c>
      <c r="CF100">
        <v>15</v>
      </c>
      <c r="CG100">
        <v>24335.999999999996</v>
      </c>
      <c r="CH100">
        <v>8.5275764779863632</v>
      </c>
      <c r="CI100">
        <v>13835.140077885075</v>
      </c>
      <c r="CJ100">
        <v>6.7952213241424957</v>
      </c>
      <c r="CK100">
        <v>11024.567076288784</v>
      </c>
      <c r="CL100">
        <v>6.5019596776640505</v>
      </c>
      <c r="CM100">
        <v>10548.779381042155</v>
      </c>
      <c r="CN100">
        <v>19.352440456528104</v>
      </c>
      <c r="CO100">
        <v>31397.399396671193</v>
      </c>
      <c r="CP100">
        <v>14.79012599141423</v>
      </c>
      <c r="CQ100">
        <v>23995.500408470445</v>
      </c>
      <c r="CR100">
        <v>21.005530567566009</v>
      </c>
      <c r="CS100">
        <v>34079.372792819093</v>
      </c>
      <c r="CT100">
        <v>0</v>
      </c>
      <c r="CU100">
        <v>0</v>
      </c>
    </row>
    <row r="101" spans="2:99" x14ac:dyDescent="0.2">
      <c r="C101" s="116" t="s">
        <v>267</v>
      </c>
      <c r="D101">
        <v>34.049881235154395</v>
      </c>
      <c r="E101">
        <v>40532.978622327784</v>
      </c>
      <c r="F101">
        <v>40.279910712024204</v>
      </c>
      <c r="G101">
        <v>47949.205711593604</v>
      </c>
      <c r="H101">
        <v>0</v>
      </c>
      <c r="I101">
        <v>0</v>
      </c>
      <c r="J101">
        <v>31.720989214238816</v>
      </c>
      <c r="K101">
        <v>37760.665560629881</v>
      </c>
      <c r="L101">
        <v>0</v>
      </c>
      <c r="M101">
        <v>0</v>
      </c>
      <c r="N101">
        <v>22.47013636860731</v>
      </c>
      <c r="O101">
        <v>26748.45033319014</v>
      </c>
      <c r="P101">
        <v>53.330837705186596</v>
      </c>
      <c r="Q101">
        <v>63485.029204254119</v>
      </c>
      <c r="R101">
        <v>29.025367586586281</v>
      </c>
      <c r="S101">
        <v>34551.797575072305</v>
      </c>
      <c r="T101">
        <v>9.2401088940324332</v>
      </c>
      <c r="U101">
        <v>10999.425627456207</v>
      </c>
      <c r="V101">
        <v>8.4925272683016519</v>
      </c>
      <c r="W101">
        <v>10109.504460186285</v>
      </c>
      <c r="X101">
        <v>12.274649825750616</v>
      </c>
      <c r="Y101">
        <v>14611.743152573532</v>
      </c>
      <c r="Z101">
        <v>6.6773306002677115</v>
      </c>
      <c r="AA101">
        <v>7948.6943465586828</v>
      </c>
      <c r="AB101">
        <v>0</v>
      </c>
      <c r="AC101">
        <v>0</v>
      </c>
      <c r="AD101">
        <v>7.4581146899457886</v>
      </c>
      <c r="AE101">
        <v>8878.1397269114659</v>
      </c>
      <c r="AF101">
        <v>3.6124176857949202</v>
      </c>
      <c r="AG101">
        <v>4300.2220131702725</v>
      </c>
      <c r="AH101">
        <v>15</v>
      </c>
      <c r="AI101">
        <v>17855.999999999996</v>
      </c>
      <c r="AJ101">
        <v>18.233144289691893</v>
      </c>
      <c r="AK101">
        <v>21704.734962449227</v>
      </c>
      <c r="AL101">
        <v>0</v>
      </c>
      <c r="AM101">
        <v>0</v>
      </c>
      <c r="AN101">
        <v>20</v>
      </c>
      <c r="AO101">
        <v>23807.999999999996</v>
      </c>
      <c r="AP101">
        <v>17</v>
      </c>
      <c r="AQ101">
        <v>20236.8</v>
      </c>
      <c r="AR101">
        <v>39.274058063750459</v>
      </c>
      <c r="AS101">
        <v>46751.838719088541</v>
      </c>
      <c r="AT101">
        <v>0</v>
      </c>
      <c r="AU101">
        <v>0</v>
      </c>
      <c r="AV101">
        <v>15.693348365276213</v>
      </c>
      <c r="AW101">
        <v>18681.361894024802</v>
      </c>
      <c r="AX101">
        <v>44.17093663523368</v>
      </c>
      <c r="AY101">
        <v>52581.082970582167</v>
      </c>
      <c r="AZ101">
        <v>32</v>
      </c>
      <c r="BA101">
        <v>38092.799999999996</v>
      </c>
      <c r="BB101">
        <v>33</v>
      </c>
      <c r="BC101">
        <v>39283.199999999997</v>
      </c>
      <c r="BD101">
        <v>17.444699714589806</v>
      </c>
      <c r="BE101">
        <v>20766.170540247702</v>
      </c>
      <c r="BF101">
        <v>0</v>
      </c>
      <c r="BG101">
        <v>0</v>
      </c>
      <c r="BH101">
        <v>31</v>
      </c>
      <c r="BI101">
        <v>36902.399999999994</v>
      </c>
      <c r="BJ101">
        <v>17.964823660911001</v>
      </c>
      <c r="BK101">
        <v>21385.326085948454</v>
      </c>
      <c r="BL101">
        <v>14.973985311869962</v>
      </c>
      <c r="BM101">
        <v>17825.03211525</v>
      </c>
      <c r="BN101">
        <v>14.525042025305595</v>
      </c>
      <c r="BO101">
        <v>17290.61002692378</v>
      </c>
      <c r="BP101">
        <v>28.80848321852028</v>
      </c>
      <c r="BQ101">
        <v>34293.618423326538</v>
      </c>
      <c r="BR101">
        <v>32.073444649952577</v>
      </c>
      <c r="BS101">
        <v>38180.228511303547</v>
      </c>
      <c r="BT101">
        <v>0</v>
      </c>
      <c r="BU101">
        <v>0</v>
      </c>
      <c r="BV101">
        <v>17.591623036649214</v>
      </c>
      <c r="BW101">
        <v>20941.06806282722</v>
      </c>
      <c r="BX101">
        <v>74</v>
      </c>
      <c r="BY101">
        <v>88089.599999999991</v>
      </c>
      <c r="BZ101">
        <v>12.128444163076169</v>
      </c>
      <c r="CA101">
        <v>14437.699931725871</v>
      </c>
      <c r="CB101">
        <v>37</v>
      </c>
      <c r="CC101">
        <v>44044.799999999996</v>
      </c>
      <c r="CD101">
        <v>15.743605485526219</v>
      </c>
      <c r="CE101">
        <v>18741.187969970408</v>
      </c>
      <c r="CF101">
        <v>16</v>
      </c>
      <c r="CG101">
        <v>19046.399999999998</v>
      </c>
      <c r="CH101">
        <v>7.6299368487246406</v>
      </c>
      <c r="CI101">
        <v>9082.6768247218115</v>
      </c>
      <c r="CJ101">
        <v>6.177473931038632</v>
      </c>
      <c r="CK101">
        <v>7353.6649675083863</v>
      </c>
      <c r="CL101">
        <v>6.5019596776640505</v>
      </c>
      <c r="CM101">
        <v>7739.9328002912844</v>
      </c>
      <c r="CN101">
        <v>21.674733311311474</v>
      </c>
      <c r="CO101">
        <v>25801.602533785175</v>
      </c>
      <c r="CP101">
        <v>17.607292846921705</v>
      </c>
      <c r="CQ101">
        <v>20959.721404975597</v>
      </c>
      <c r="CR101">
        <v>21.755728087836225</v>
      </c>
      <c r="CS101">
        <v>25898.018715760238</v>
      </c>
      <c r="CT101">
        <v>0</v>
      </c>
      <c r="CU101">
        <v>0</v>
      </c>
    </row>
    <row r="102" spans="2:99" x14ac:dyDescent="0.2">
      <c r="C102" s="116" t="s">
        <v>268</v>
      </c>
      <c r="D102">
        <v>29.026128266033254</v>
      </c>
      <c r="E102">
        <v>56287.46793349168</v>
      </c>
      <c r="F102">
        <v>34.626589910336598</v>
      </c>
      <c r="G102">
        <v>67147.88315412472</v>
      </c>
      <c r="H102">
        <v>0</v>
      </c>
      <c r="I102">
        <v>0</v>
      </c>
      <c r="J102">
        <v>28.837262922035286</v>
      </c>
      <c r="K102">
        <v>55921.220258410824</v>
      </c>
      <c r="L102">
        <v>0</v>
      </c>
      <c r="M102">
        <v>0</v>
      </c>
      <c r="N102">
        <v>22.871388803761015</v>
      </c>
      <c r="O102">
        <v>44352.197168253355</v>
      </c>
      <c r="P102">
        <v>50.193729604881497</v>
      </c>
      <c r="Q102">
        <v>97335.680449786189</v>
      </c>
      <c r="R102">
        <v>24.808006484261778</v>
      </c>
      <c r="S102">
        <v>48107.686174280432</v>
      </c>
      <c r="T102">
        <v>9.2401088940324332</v>
      </c>
      <c r="U102">
        <v>17918.419167307693</v>
      </c>
      <c r="V102">
        <v>7.7848166626098489</v>
      </c>
      <c r="W102">
        <v>15096.316472133018</v>
      </c>
      <c r="X102">
        <v>10.336547221684731</v>
      </c>
      <c r="Y102">
        <v>20044.632372291027</v>
      </c>
      <c r="Z102">
        <v>6.0095975402409412</v>
      </c>
      <c r="AA102">
        <v>11653.811550035232</v>
      </c>
      <c r="AB102">
        <v>0</v>
      </c>
      <c r="AC102">
        <v>0</v>
      </c>
      <c r="AD102">
        <v>6.9253922120925164</v>
      </c>
      <c r="AE102">
        <v>13429.720577689806</v>
      </c>
      <c r="AF102">
        <v>3.1608654750705552</v>
      </c>
      <c r="AG102">
        <v>6129.5503292568201</v>
      </c>
      <c r="AH102">
        <v>12</v>
      </c>
      <c r="AI102">
        <v>23270.399999999998</v>
      </c>
      <c r="AJ102">
        <v>18.233144289691893</v>
      </c>
      <c r="AK102">
        <v>35357.713406570518</v>
      </c>
      <c r="AL102">
        <v>0</v>
      </c>
      <c r="AM102">
        <v>0</v>
      </c>
      <c r="AN102">
        <v>18</v>
      </c>
      <c r="AO102">
        <v>34905.599999999999</v>
      </c>
      <c r="AP102">
        <v>13</v>
      </c>
      <c r="AQ102">
        <v>25209.599999999999</v>
      </c>
      <c r="AR102">
        <v>35.767445736629881</v>
      </c>
      <c r="AS102">
        <v>69360.230772472656</v>
      </c>
      <c r="AT102">
        <v>0</v>
      </c>
      <c r="AU102">
        <v>0</v>
      </c>
      <c r="AV102">
        <v>11.905298759864712</v>
      </c>
      <c r="AW102">
        <v>23086.755355129648</v>
      </c>
      <c r="AX102">
        <v>38.725204721300763</v>
      </c>
      <c r="AY102">
        <v>75095.916995546431</v>
      </c>
      <c r="AZ102">
        <v>26</v>
      </c>
      <c r="BA102">
        <v>50419.199999999997</v>
      </c>
      <c r="BB102">
        <v>26</v>
      </c>
      <c r="BC102">
        <v>50419.199999999997</v>
      </c>
      <c r="BD102">
        <v>17.444699714589806</v>
      </c>
      <c r="BE102">
        <v>33828.761686532547</v>
      </c>
      <c r="BF102">
        <v>0</v>
      </c>
      <c r="BG102">
        <v>0</v>
      </c>
      <c r="BH102">
        <v>24</v>
      </c>
      <c r="BI102">
        <v>46540.799999999996</v>
      </c>
      <c r="BJ102">
        <v>16.527637768038122</v>
      </c>
      <c r="BK102">
        <v>32050.395159779524</v>
      </c>
      <c r="BL102">
        <v>16.221817421192462</v>
      </c>
      <c r="BM102">
        <v>31457.348343176418</v>
      </c>
      <c r="BN102">
        <v>13.44911298639407</v>
      </c>
      <c r="BO102">
        <v>26080.51990321538</v>
      </c>
      <c r="BP102">
        <v>26.189530198654801</v>
      </c>
      <c r="BQ102">
        <v>50786.736961231385</v>
      </c>
      <c r="BR102">
        <v>25.075602180872014</v>
      </c>
      <c r="BS102">
        <v>48626.607749147006</v>
      </c>
      <c r="BT102">
        <v>0</v>
      </c>
      <c r="BU102">
        <v>0</v>
      </c>
      <c r="BV102">
        <v>15.329842931937174</v>
      </c>
      <c r="BW102">
        <v>29727.631413612566</v>
      </c>
      <c r="BX102">
        <v>69</v>
      </c>
      <c r="BY102">
        <v>133804.79999999999</v>
      </c>
      <c r="BZ102">
        <v>9.4822381638595505</v>
      </c>
      <c r="CA102">
        <v>18387.95624735644</v>
      </c>
      <c r="CB102">
        <v>34</v>
      </c>
      <c r="CC102">
        <v>65932.799999999988</v>
      </c>
      <c r="CD102">
        <v>13.453626505813313</v>
      </c>
      <c r="CE102">
        <v>26089.272520073173</v>
      </c>
      <c r="CF102">
        <v>14</v>
      </c>
      <c r="CG102">
        <v>27148.799999999996</v>
      </c>
      <c r="CH102">
        <v>8.0787566633555006</v>
      </c>
      <c r="CI102">
        <v>15666.324921578986</v>
      </c>
      <c r="CJ102">
        <v>5.5597265379347691</v>
      </c>
      <c r="CK102">
        <v>10781.421702363103</v>
      </c>
      <c r="CL102">
        <v>6.0684956991531136</v>
      </c>
      <c r="CM102">
        <v>11768.026859797717</v>
      </c>
      <c r="CN102">
        <v>20.126538074789227</v>
      </c>
      <c r="CO102">
        <v>39029.382634631263</v>
      </c>
      <c r="CP102">
        <v>16.198709419167969</v>
      </c>
      <c r="CQ102">
        <v>31412.537305650523</v>
      </c>
      <c r="CR102">
        <v>21.005530567566009</v>
      </c>
      <c r="CS102">
        <v>40733.924876623998</v>
      </c>
      <c r="CT102">
        <v>0</v>
      </c>
      <c r="CU102">
        <v>0</v>
      </c>
    </row>
    <row r="103" spans="2:99" x14ac:dyDescent="0.2">
      <c r="C103" s="116" t="s">
        <v>269</v>
      </c>
      <c r="D103">
        <v>31.817102137767218</v>
      </c>
      <c r="E103">
        <v>64525.08313539192</v>
      </c>
      <c r="F103">
        <v>33.213259709914695</v>
      </c>
      <c r="G103">
        <v>67356.490691707004</v>
      </c>
      <c r="H103">
        <v>0</v>
      </c>
      <c r="I103">
        <v>0</v>
      </c>
      <c r="J103">
        <v>28.837262922035286</v>
      </c>
      <c r="K103">
        <v>58481.969205887559</v>
      </c>
      <c r="L103">
        <v>0</v>
      </c>
      <c r="M103">
        <v>0</v>
      </c>
      <c r="N103">
        <v>19.260116887377695</v>
      </c>
      <c r="O103">
        <v>39059.517047601963</v>
      </c>
      <c r="P103">
        <v>48.625175554728955</v>
      </c>
      <c r="Q103">
        <v>98611.856024990324</v>
      </c>
      <c r="R103">
        <v>27.040727067845339</v>
      </c>
      <c r="S103">
        <v>54838.594493590346</v>
      </c>
      <c r="T103">
        <v>8.6241016344302714</v>
      </c>
      <c r="U103">
        <v>17489.678114624592</v>
      </c>
      <c r="V103">
        <v>7.7848166626098489</v>
      </c>
      <c r="W103">
        <v>15787.608191772773</v>
      </c>
      <c r="X103">
        <v>10.982581423040026</v>
      </c>
      <c r="Y103">
        <v>22272.675125925172</v>
      </c>
      <c r="Z103">
        <v>6.6773306002677115</v>
      </c>
      <c r="AA103">
        <v>13541.62645734292</v>
      </c>
      <c r="AB103">
        <v>0</v>
      </c>
      <c r="AC103">
        <v>0</v>
      </c>
      <c r="AD103">
        <v>6.3926697342392469</v>
      </c>
      <c r="AE103">
        <v>12964.334221037192</v>
      </c>
      <c r="AF103">
        <v>3.1608654750705552</v>
      </c>
      <c r="AG103">
        <v>6410.2351834430856</v>
      </c>
      <c r="AH103">
        <v>14</v>
      </c>
      <c r="AI103">
        <v>28392</v>
      </c>
      <c r="AJ103">
        <v>18.233144289691893</v>
      </c>
      <c r="AK103">
        <v>36976.816619495155</v>
      </c>
      <c r="AL103">
        <v>0</v>
      </c>
      <c r="AM103">
        <v>0</v>
      </c>
      <c r="AN103">
        <v>16</v>
      </c>
      <c r="AO103">
        <v>32448</v>
      </c>
      <c r="AP103">
        <v>13</v>
      </c>
      <c r="AQ103">
        <v>26364</v>
      </c>
      <c r="AR103">
        <v>32.962155874933423</v>
      </c>
      <c r="AS103">
        <v>66847.252114364979</v>
      </c>
      <c r="AT103">
        <v>0</v>
      </c>
      <c r="AU103">
        <v>0</v>
      </c>
      <c r="AV103">
        <v>13.799323562570462</v>
      </c>
      <c r="AW103">
        <v>27985.028184892897</v>
      </c>
      <c r="AX103">
        <v>42.35569266392271</v>
      </c>
      <c r="AY103">
        <v>85897.344722435257</v>
      </c>
      <c r="AZ103">
        <v>29</v>
      </c>
      <c r="BA103">
        <v>58812</v>
      </c>
      <c r="BB103">
        <v>26</v>
      </c>
      <c r="BC103">
        <v>52728</v>
      </c>
      <c r="BD103">
        <v>15.990974738373989</v>
      </c>
      <c r="BE103">
        <v>32429.696769422451</v>
      </c>
      <c r="BF103">
        <v>0</v>
      </c>
      <c r="BG103">
        <v>0</v>
      </c>
      <c r="BH103">
        <v>28</v>
      </c>
      <c r="BI103">
        <v>56784</v>
      </c>
      <c r="BJ103">
        <v>14.371858928728802</v>
      </c>
      <c r="BK103">
        <v>29146.129907462011</v>
      </c>
      <c r="BL103">
        <v>13.726153202547465</v>
      </c>
      <c r="BM103">
        <v>27836.638694766258</v>
      </c>
      <c r="BN103">
        <v>12.373183947482543</v>
      </c>
      <c r="BO103">
        <v>25092.817045494598</v>
      </c>
      <c r="BP103">
        <v>26.189530198654801</v>
      </c>
      <c r="BQ103">
        <v>53112.367242871936</v>
      </c>
      <c r="BR103">
        <v>27.408216337232201</v>
      </c>
      <c r="BS103">
        <v>55583.862731906906</v>
      </c>
      <c r="BT103">
        <v>0</v>
      </c>
      <c r="BU103">
        <v>0</v>
      </c>
      <c r="BV103">
        <v>15.078534031413612</v>
      </c>
      <c r="BW103">
        <v>30579.267015706806</v>
      </c>
      <c r="BX103">
        <v>66</v>
      </c>
      <c r="BY103">
        <v>133848</v>
      </c>
      <c r="BZ103">
        <v>10.36430683026509</v>
      </c>
      <c r="CA103">
        <v>21018.814251777603</v>
      </c>
      <c r="CB103">
        <v>33</v>
      </c>
      <c r="CC103">
        <v>66924</v>
      </c>
      <c r="CD103">
        <v>12.308637015956862</v>
      </c>
      <c r="CE103">
        <v>24961.915868360516</v>
      </c>
      <c r="CF103">
        <v>16</v>
      </c>
      <c r="CG103">
        <v>32448</v>
      </c>
      <c r="CH103">
        <v>7.6299368487246406</v>
      </c>
      <c r="CI103">
        <v>15473.511929213571</v>
      </c>
      <c r="CJ103">
        <v>5.5597265379347691</v>
      </c>
      <c r="CK103">
        <v>11275.125418931711</v>
      </c>
      <c r="CL103">
        <v>6.0684956991531136</v>
      </c>
      <c r="CM103">
        <v>12306.909277882514</v>
      </c>
      <c r="CN103">
        <v>20.900635693050351</v>
      </c>
      <c r="CO103">
        <v>42386.489185506114</v>
      </c>
      <c r="CP103">
        <v>15.494417705291099</v>
      </c>
      <c r="CQ103">
        <v>31422.67910633035</v>
      </c>
      <c r="CR103">
        <v>21.755728087836225</v>
      </c>
      <c r="CS103">
        <v>44120.616562131865</v>
      </c>
      <c r="CT103">
        <v>0</v>
      </c>
      <c r="CU103">
        <v>0</v>
      </c>
    </row>
    <row r="104" spans="2:99" x14ac:dyDescent="0.2">
      <c r="C104" s="116" t="s">
        <v>270</v>
      </c>
      <c r="D104">
        <v>27.351543942992873</v>
      </c>
      <c r="E104">
        <v>56683.339667458429</v>
      </c>
      <c r="F104">
        <v>36.039920110758494</v>
      </c>
      <c r="G104">
        <v>74689.130437535903</v>
      </c>
      <c r="H104">
        <v>0</v>
      </c>
      <c r="I104">
        <v>0</v>
      </c>
      <c r="J104">
        <v>26.914778727232932</v>
      </c>
      <c r="K104">
        <v>55778.18743431753</v>
      </c>
      <c r="L104">
        <v>0</v>
      </c>
      <c r="M104">
        <v>0</v>
      </c>
      <c r="N104">
        <v>21.667631498299908</v>
      </c>
      <c r="O104">
        <v>44903.999517076729</v>
      </c>
      <c r="P104">
        <v>50.716580954932347</v>
      </c>
      <c r="Q104">
        <v>105105.04237100181</v>
      </c>
      <c r="R104">
        <v>26.544566938160102</v>
      </c>
      <c r="S104">
        <v>55010.960522642999</v>
      </c>
      <c r="T104">
        <v>8.6241016344302714</v>
      </c>
      <c r="U104">
        <v>17872.588227193297</v>
      </c>
      <c r="V104">
        <v>8.4925272683016519</v>
      </c>
      <c r="W104">
        <v>17599.913510828344</v>
      </c>
      <c r="X104">
        <v>10.336547221684731</v>
      </c>
      <c r="Y104">
        <v>21421.460462219435</v>
      </c>
      <c r="Z104">
        <v>6.0095975402409412</v>
      </c>
      <c r="AA104">
        <v>12454.289942395328</v>
      </c>
      <c r="AB104">
        <v>0</v>
      </c>
      <c r="AC104">
        <v>0</v>
      </c>
      <c r="AD104">
        <v>6.3926697342392469</v>
      </c>
      <c r="AE104">
        <v>13248.168757237416</v>
      </c>
      <c r="AF104">
        <v>3.1608654750705552</v>
      </c>
      <c r="AG104">
        <v>6550.5776105362183</v>
      </c>
      <c r="AH104">
        <v>13</v>
      </c>
      <c r="AI104">
        <v>26941.200000000001</v>
      </c>
      <c r="AJ104">
        <v>19.061923575586977</v>
      </c>
      <c r="AK104">
        <v>39503.930418046453</v>
      </c>
      <c r="AL104">
        <v>0</v>
      </c>
      <c r="AM104">
        <v>0</v>
      </c>
      <c r="AN104">
        <v>16</v>
      </c>
      <c r="AO104">
        <v>33158.400000000001</v>
      </c>
      <c r="AP104">
        <v>15</v>
      </c>
      <c r="AQ104">
        <v>31086</v>
      </c>
      <c r="AR104">
        <v>35.767445736629881</v>
      </c>
      <c r="AS104">
        <v>74124.454544591776</v>
      </c>
      <c r="AT104">
        <v>0</v>
      </c>
      <c r="AU104">
        <v>0</v>
      </c>
      <c r="AV104">
        <v>12.17587373167982</v>
      </c>
      <c r="AW104">
        <v>25233.280721533261</v>
      </c>
      <c r="AX104">
        <v>41.750611340152382</v>
      </c>
      <c r="AY104">
        <v>86523.966941331804</v>
      </c>
      <c r="AZ104">
        <v>28</v>
      </c>
      <c r="BA104">
        <v>58027.200000000004</v>
      </c>
      <c r="BB104">
        <v>28</v>
      </c>
      <c r="BC104">
        <v>58027.200000000004</v>
      </c>
      <c r="BD104">
        <v>17.444699714589806</v>
      </c>
      <c r="BE104">
        <v>36152.395688515913</v>
      </c>
      <c r="BF104">
        <v>0</v>
      </c>
      <c r="BG104">
        <v>0</v>
      </c>
      <c r="BH104">
        <v>25</v>
      </c>
      <c r="BI104">
        <v>51810</v>
      </c>
      <c r="BJ104">
        <v>15.090451875165241</v>
      </c>
      <c r="BK104">
        <v>31273.452466092447</v>
      </c>
      <c r="BL104">
        <v>14.973985311869962</v>
      </c>
      <c r="BM104">
        <v>31032.087160319312</v>
      </c>
      <c r="BN104">
        <v>12.911148466938306</v>
      </c>
      <c r="BO104">
        <v>26757.064082882946</v>
      </c>
      <c r="BP104">
        <v>26.844268453621169</v>
      </c>
      <c r="BQ104">
        <v>55632.061943284512</v>
      </c>
      <c r="BR104">
        <v>24.492448641781969</v>
      </c>
      <c r="BS104">
        <v>50758.150565228956</v>
      </c>
      <c r="BT104">
        <v>0</v>
      </c>
      <c r="BU104">
        <v>0</v>
      </c>
      <c r="BV104">
        <v>14.324607329842932</v>
      </c>
      <c r="BW104">
        <v>29686.316230366494</v>
      </c>
      <c r="BX104">
        <v>61</v>
      </c>
      <c r="BY104">
        <v>126416.40000000001</v>
      </c>
      <c r="BZ104">
        <v>9.4822381638595505</v>
      </c>
      <c r="CA104">
        <v>19650.990370782532</v>
      </c>
      <c r="CB104">
        <v>35</v>
      </c>
      <c r="CC104">
        <v>72534</v>
      </c>
      <c r="CD104">
        <v>13.453626505813313</v>
      </c>
      <c r="CE104">
        <v>27881.295570647511</v>
      </c>
      <c r="CF104">
        <v>16</v>
      </c>
      <c r="CG104">
        <v>33158.400000000001</v>
      </c>
      <c r="CH104">
        <v>7.1811170340937789</v>
      </c>
      <c r="CI104">
        <v>14882.146941455949</v>
      </c>
      <c r="CJ104">
        <v>6.177473931038632</v>
      </c>
      <c r="CK104">
        <v>12802.196974684461</v>
      </c>
      <c r="CL104">
        <v>6.5019596776640505</v>
      </c>
      <c r="CM104">
        <v>13474.66123599098</v>
      </c>
      <c r="CN104">
        <v>21.674733311311474</v>
      </c>
      <c r="CO104">
        <v>44918.7173143619</v>
      </c>
      <c r="CP104">
        <v>13.381542563660496</v>
      </c>
      <c r="CQ104">
        <v>27731.908808930013</v>
      </c>
      <c r="CR104">
        <v>18.754938006755367</v>
      </c>
      <c r="CS104">
        <v>38867.733525199823</v>
      </c>
      <c r="CT104">
        <v>0</v>
      </c>
      <c r="CU104">
        <v>0</v>
      </c>
    </row>
    <row r="105" spans="2:99" x14ac:dyDescent="0.2">
      <c r="C105" s="116" t="s">
        <v>271</v>
      </c>
      <c r="D105">
        <v>30.142517814726837</v>
      </c>
      <c r="E105">
        <v>60224.750593824218</v>
      </c>
      <c r="F105">
        <v>32.50659460970374</v>
      </c>
      <c r="G105">
        <v>64948.176030188071</v>
      </c>
      <c r="H105">
        <v>0</v>
      </c>
      <c r="I105">
        <v>0</v>
      </c>
      <c r="J105">
        <v>26.914778727232932</v>
      </c>
      <c r="K105">
        <v>53775.727897011398</v>
      </c>
      <c r="L105">
        <v>0</v>
      </c>
      <c r="M105">
        <v>0</v>
      </c>
      <c r="N105">
        <v>20.0626217576851</v>
      </c>
      <c r="O105">
        <v>40085.11827185483</v>
      </c>
      <c r="P105">
        <v>48.102324204678105</v>
      </c>
      <c r="Q105">
        <v>96108.443760946859</v>
      </c>
      <c r="R105">
        <v>27.288807132687957</v>
      </c>
      <c r="S105">
        <v>54523.036651110539</v>
      </c>
      <c r="T105">
        <v>9.8561161536345949</v>
      </c>
      <c r="U105">
        <v>19692.520074961922</v>
      </c>
      <c r="V105">
        <v>7.7848166626098489</v>
      </c>
      <c r="W105">
        <v>15554.063691894478</v>
      </c>
      <c r="X105">
        <v>12.274649825750616</v>
      </c>
      <c r="Y105">
        <v>24524.750351849732</v>
      </c>
      <c r="Z105">
        <v>6.0095975402409412</v>
      </c>
      <c r="AA105">
        <v>12007.175885401401</v>
      </c>
      <c r="AB105">
        <v>0</v>
      </c>
      <c r="AC105">
        <v>0</v>
      </c>
      <c r="AD105">
        <v>6.3926697342392469</v>
      </c>
      <c r="AE105">
        <v>12772.554129010015</v>
      </c>
      <c r="AF105">
        <v>3.1608654750705552</v>
      </c>
      <c r="AG105">
        <v>6315.4092191909695</v>
      </c>
      <c r="AH105">
        <v>13</v>
      </c>
      <c r="AI105">
        <v>25974</v>
      </c>
      <c r="AJ105">
        <v>16.575585717901721</v>
      </c>
      <c r="AK105">
        <v>33118.020264367638</v>
      </c>
      <c r="AL105">
        <v>0</v>
      </c>
      <c r="AM105">
        <v>0</v>
      </c>
      <c r="AN105">
        <v>18</v>
      </c>
      <c r="AO105">
        <v>35964</v>
      </c>
      <c r="AP105">
        <v>13</v>
      </c>
      <c r="AQ105">
        <v>25974</v>
      </c>
      <c r="AR105">
        <v>31.559510944085197</v>
      </c>
      <c r="AS105">
        <v>63055.902866282224</v>
      </c>
      <c r="AT105">
        <v>0</v>
      </c>
      <c r="AU105">
        <v>0</v>
      </c>
      <c r="AV105">
        <v>12.17587373167982</v>
      </c>
      <c r="AW105">
        <v>24327.39571589628</v>
      </c>
      <c r="AX105">
        <v>42.35569266392271</v>
      </c>
      <c r="AY105">
        <v>84626.673942517577</v>
      </c>
      <c r="AZ105">
        <v>29</v>
      </c>
      <c r="BA105">
        <v>57942</v>
      </c>
      <c r="BB105">
        <v>29</v>
      </c>
      <c r="BC105">
        <v>57942</v>
      </c>
      <c r="BD105">
        <v>17.444699714589806</v>
      </c>
      <c r="BE105">
        <v>34854.510029750432</v>
      </c>
      <c r="BF105">
        <v>0</v>
      </c>
      <c r="BG105">
        <v>0</v>
      </c>
      <c r="BH105">
        <v>26</v>
      </c>
      <c r="BI105">
        <v>51948</v>
      </c>
      <c r="BJ105">
        <v>17.24623071447456</v>
      </c>
      <c r="BK105">
        <v>34457.968967520173</v>
      </c>
      <c r="BL105">
        <v>14.350069257208714</v>
      </c>
      <c r="BM105">
        <v>28671.43837590301</v>
      </c>
      <c r="BN105">
        <v>12.911148466938306</v>
      </c>
      <c r="BO105">
        <v>25796.474636942734</v>
      </c>
      <c r="BP105">
        <v>26.844268453621169</v>
      </c>
      <c r="BQ105">
        <v>53634.848370335094</v>
      </c>
      <c r="BR105">
        <v>23.909295102691921</v>
      </c>
      <c r="BS105">
        <v>47770.771615178455</v>
      </c>
      <c r="BT105">
        <v>0</v>
      </c>
      <c r="BU105">
        <v>0</v>
      </c>
      <c r="BV105">
        <v>14.575916230366492</v>
      </c>
      <c r="BW105">
        <v>29122.68062827225</v>
      </c>
      <c r="BX105">
        <v>60</v>
      </c>
      <c r="BY105">
        <v>119880</v>
      </c>
      <c r="BZ105">
        <v>10.80534116346786</v>
      </c>
      <c r="CA105">
        <v>21589.071644608783</v>
      </c>
      <c r="CB105">
        <v>33</v>
      </c>
      <c r="CC105">
        <v>65934</v>
      </c>
      <c r="CD105">
        <v>14.312368623205654</v>
      </c>
      <c r="CE105">
        <v>28596.112509164897</v>
      </c>
      <c r="CF105">
        <v>16</v>
      </c>
      <c r="CG105">
        <v>31968</v>
      </c>
      <c r="CH105">
        <v>7.1811170340937789</v>
      </c>
      <c r="CI105">
        <v>14347.871834119371</v>
      </c>
      <c r="CJ105">
        <v>5.5597265379347691</v>
      </c>
      <c r="CK105">
        <v>11108.333622793669</v>
      </c>
      <c r="CL105">
        <v>6.5019596776640505</v>
      </c>
      <c r="CM105">
        <v>12990.915435972773</v>
      </c>
      <c r="CN105">
        <v>18.57834283826698</v>
      </c>
      <c r="CO105">
        <v>37119.528990857427</v>
      </c>
      <c r="CP105">
        <v>16.198709419167969</v>
      </c>
      <c r="CQ105">
        <v>32365.021419497603</v>
      </c>
      <c r="CR105">
        <v>21.005530567566009</v>
      </c>
      <c r="CS105">
        <v>41969.050073996885</v>
      </c>
      <c r="CT105">
        <v>0</v>
      </c>
      <c r="CU105">
        <v>0</v>
      </c>
    </row>
    <row r="107" spans="2:99" x14ac:dyDescent="0.2">
      <c r="B107" s="119" t="s">
        <v>276</v>
      </c>
    </row>
    <row r="108" spans="2:99" x14ac:dyDescent="0.2">
      <c r="C108" s="116" t="s">
        <v>277</v>
      </c>
      <c r="D108" s="116" t="s">
        <v>92</v>
      </c>
      <c r="E108" s="116" t="s">
        <v>93</v>
      </c>
      <c r="F108" s="116" t="s">
        <v>94</v>
      </c>
      <c r="G108" s="116" t="s">
        <v>95</v>
      </c>
      <c r="H108" s="116" t="s">
        <v>96</v>
      </c>
      <c r="I108" s="116" t="s">
        <v>97</v>
      </c>
      <c r="J108" s="116" t="s">
        <v>98</v>
      </c>
      <c r="K108" s="116" t="s">
        <v>99</v>
      </c>
      <c r="L108" s="116" t="s">
        <v>100</v>
      </c>
      <c r="M108" s="116" t="s">
        <v>101</v>
      </c>
      <c r="N108" s="116" t="s">
        <v>102</v>
      </c>
      <c r="O108" s="116" t="s">
        <v>103</v>
      </c>
    </row>
    <row r="109" spans="2:99" x14ac:dyDescent="0.2">
      <c r="C109" s="116" t="s">
        <v>126</v>
      </c>
      <c r="D109">
        <f>SUM(D$6:D$19)+SUM(F$6:F$19)+SUM(H$6:H$19)+SUM(J$6:J$19)</f>
        <v>501</v>
      </c>
      <c r="E109">
        <f>SUM(L$6:L$19)+SUM(N$6:N$19)+SUM(P$6:P$19)+SUM(R$6:R$19)</f>
        <v>956</v>
      </c>
      <c r="F109">
        <f>SUM(T$6:T$19)+SUM(V$6:V$19)+SUM(X$6:X$19)+SUM(Z$6:Z$19)</f>
        <v>1446</v>
      </c>
      <c r="G109">
        <f>SUM(AB$6:AB$19)+SUM(AD$6:AD$19)+SUM(AF$6:AF$19)+SUM(AH$6:AH$19)</f>
        <v>424</v>
      </c>
      <c r="H109">
        <f>SUM(AJ$6:AJ$19)+SUM(AL$6:AL$19)+SUM(AN$6:AN$19)+SUM(AP$6:AP$19)</f>
        <v>463</v>
      </c>
      <c r="I109">
        <f>SUM(AR$6:AR$19)+SUM(AT$6:AT$19)+SUM(AV$6:AV$19)+SUM(AX$6:AX$19)</f>
        <v>804</v>
      </c>
      <c r="J109">
        <f>SUM(AZ$6:AZ$19)+SUM(BB$6:BB$19)+SUM(BD$6:BD$19)+SUM(BF$6:BF$19)</f>
        <v>1944</v>
      </c>
      <c r="K109">
        <f>SUM(BH$6:BH$19)+SUM(BJ$6:BJ$19)+SUM(BL$6:BL$19)+SUM(BN$6:BN$19)</f>
        <v>402</v>
      </c>
      <c r="L109">
        <f>SUM(BP$6:BP$19)+SUM(BR$6:BR$19)+SUM(BT$6:BT$19)+SUM(BV$6:BV$19)</f>
        <v>508</v>
      </c>
      <c r="M109">
        <f>SUM(BX$6:BX$19)+SUM(BZ$6:BZ$19)+SUM(CB$6:CB$19)+SUM(CD$6:CD$19)</f>
        <v>1452</v>
      </c>
      <c r="N109">
        <f>SUM(CF$6:CF$19)+SUM(CH$6:CH$19)+SUM(CJ$6:CJ$19)+SUM(CL$6:CL$19)</f>
        <v>2712</v>
      </c>
      <c r="O109">
        <f>SUM(CN$6:CN$19)+SUM(CP$6:CP$19)+SUM(CR$6:CR$19)+SUM(CT$6:CT$19)</f>
        <v>539</v>
      </c>
    </row>
    <row r="110" spans="2:99" x14ac:dyDescent="0.2">
      <c r="C110" s="116" t="s">
        <v>127</v>
      </c>
      <c r="D110">
        <f>SUM(D$20:D$36)+SUM(F$20:F$36)+SUM(H$20:H$36)+SUM(J$20:J$36)</f>
        <v>754</v>
      </c>
      <c r="E110">
        <f>SUM(L$20:L$36)+SUM(N$20:N$36)+SUM(P$20:P$36)+SUM(R$20:R$36)</f>
        <v>3170</v>
      </c>
      <c r="F110">
        <f>SUM(T$20:T$36)+SUM(V$20:V$36)+SUM(X$20:X$36)+SUM(Z$20:Z$36)</f>
        <v>1777</v>
      </c>
      <c r="G110">
        <f>SUM(AB$20:AB$36)+SUM(AD$20:AD$36)+SUM(AF$20:AF$36)+SUM(AH$20:AH$36)</f>
        <v>771</v>
      </c>
      <c r="H110">
        <f>SUM(AJ$20:AJ$36)+SUM(AL$20:AL$36)+SUM(AN$20:AN$36)+SUM(AP$20:AP$36)</f>
        <v>1309</v>
      </c>
      <c r="I110">
        <f>SUM(AR$20:AR$36)+SUM(AT$20:AT$36)+SUM(AV$20:AV$36)+SUM(AX$20:AX$36)</f>
        <v>937</v>
      </c>
      <c r="J110">
        <f>SUM(AZ$20:AZ$36)+SUM(BB$20:BB$36)+SUM(BD$20:BD$36)+SUM(BF$20:BF$36)</f>
        <v>2568</v>
      </c>
      <c r="K110">
        <f>SUM(BH$20:BH$36)+SUM(BJ$20:BJ$36)+SUM(BL$20:BL$36)+SUM(BN$20:BN$36)</f>
        <v>991</v>
      </c>
      <c r="L110">
        <f>SUM(BP$20:BP$36)+SUM(BR$20:BR$36)+SUM(BT$20:BT$36)+SUM(BV$20:BV$36)</f>
        <v>4207</v>
      </c>
      <c r="M110">
        <f>SUM(BX$20:BX$36)+SUM(BZ$20:BZ$36)+SUM(CB$20:CB$36)+SUM(CD$20:CD$36)</f>
        <v>1196</v>
      </c>
      <c r="N110">
        <f>SUM(CF$20:CF$36)+SUM(CH$20:CH$36)+SUM(CJ$20:CJ$36)+SUM(CL$20:CL$36)</f>
        <v>1104</v>
      </c>
      <c r="O110">
        <f>SUM(CN$20:CN$36)+SUM(CP$20:CP$36)+SUM(CR$20:CR$36)+SUM(CT$20:CT$36)</f>
        <v>3272</v>
      </c>
    </row>
    <row r="111" spans="2:99" x14ac:dyDescent="0.2">
      <c r="C111" s="116" t="s">
        <v>128</v>
      </c>
      <c r="D111">
        <f>SUM(D$37:D$48)+SUM(F$37:F$48)+SUM(H$37:H$48)+SUM(J$37:J$48)</f>
        <v>5107</v>
      </c>
      <c r="E111">
        <f>SUM(L$37:L$48)+SUM(N$37:N$48)+SUM(P$37:P$48)+SUM(R$37:R$48)</f>
        <v>3362</v>
      </c>
      <c r="F111">
        <f>SUM(T$37:T$48)+SUM(V$37:V$48)+SUM(X$37:X$48)+SUM(Z$37:Z$48)</f>
        <v>440</v>
      </c>
      <c r="G111">
        <f>SUM(AB$37:AB$48)+SUM(AD$37:AD$48)+SUM(AF$37:AF$48)+SUM(AH$37:AH$48)</f>
        <v>1249</v>
      </c>
      <c r="H111">
        <f>SUM(AJ$37:AJ$48)+SUM(AL$37:AL$48)+SUM(AN$37:AN$48)+SUM(AP$37:AP$48)</f>
        <v>3923</v>
      </c>
      <c r="I111">
        <f>SUM(AR$37:AR$48)+SUM(AT$37:AT$48)+SUM(AV$37:AV$48)+SUM(AX$37:AX$48)</f>
        <v>2955</v>
      </c>
      <c r="J111">
        <f>SUM(AZ$37:AZ$48)+SUM(BB$37:BB$48)+SUM(BD$37:BD$48)+SUM(BF$37:BF$48)</f>
        <v>3677</v>
      </c>
      <c r="K111">
        <f>SUM(BH$37:BH$48)+SUM(BJ$37:BJ$48)+SUM(BL$37:BL$48)+SUM(BN$37:BN$48)</f>
        <v>2544</v>
      </c>
      <c r="L111">
        <f>SUM(BP$37:BP$48)+SUM(BR$37:BR$48)+SUM(BT$37:BT$48)+SUM(BV$37:BV$48)</f>
        <v>1038</v>
      </c>
      <c r="M111">
        <f>SUM(BX$37:BX$48)+SUM(BZ$37:BZ$48)+SUM(CB$37:CB$48)+SUM(CD$37:CD$48)</f>
        <v>2740</v>
      </c>
      <c r="N111">
        <f>SUM(CF$37:CF$48)+SUM(CH$37:CH$48)+SUM(CJ$37:CJ$48)+SUM(CL$37:CL$48)</f>
        <v>1110</v>
      </c>
      <c r="O111">
        <f>SUM(CN$37:CN$48)+SUM(CP$37:CP$48)+SUM(CR$37:CR$48)+SUM(CT$37:CT$48)</f>
        <v>371</v>
      </c>
    </row>
    <row r="112" spans="2:99" x14ac:dyDescent="0.2">
      <c r="C112" s="116" t="s">
        <v>129</v>
      </c>
      <c r="D112">
        <f>SUM(D$49:D$70)+SUM(F$49:F$70)+SUM(H$49:H$70)+SUM(J$49:J$70)</f>
        <v>4231.4077601919362</v>
      </c>
      <c r="E112">
        <f>SUM(L$49:L$70)+SUM(N$49:N$70)+SUM(P$49:P$70)+SUM(R$49:R$70)</f>
        <v>5015.4415868630786</v>
      </c>
      <c r="F112">
        <f>SUM(T$49:T$70)+SUM(V$49:V$70)+SUM(X$49:X$70)+SUM(Z$49:Z$70)</f>
        <v>500.67462772133723</v>
      </c>
      <c r="G112">
        <f>SUM(AB$49:AB$70)+SUM(AD$49:AD$70)+SUM(AF$49:AF$70)+SUM(AH$49:AH$70)</f>
        <v>1346.295311104368</v>
      </c>
      <c r="H112">
        <f>SUM(AJ$49:AJ$70)+SUM(AL$49:AL$70)+SUM(AN$49:AN$70)+SUM(AP$49:AP$70)</f>
        <v>1765.9526264370691</v>
      </c>
      <c r="I112">
        <f>SUM(AR$49:AR$70)+SUM(AT$49:AT$70)+SUM(AV$49:AV$70)+SUM(AX$49:AX$70)</f>
        <v>1023.6560226895871</v>
      </c>
      <c r="J112">
        <f>SUM(AZ$49:AZ$70)+SUM(BB$49:BB$70)+SUM(BD$49:BD$70)+SUM(BF$49:BF$70)</f>
        <v>2957.95487369187</v>
      </c>
      <c r="K112">
        <f>SUM(BH$49:BH$70)+SUM(BJ$49:BJ$70)+SUM(BL$49:BL$70)+SUM(BN$49:BN$70)</f>
        <v>944.32225993430973</v>
      </c>
      <c r="L112">
        <f>SUM(BP$49:BP$70)+SUM(BR$49:BR$70)+SUM(BT$49:BT$70)+SUM(BV$49:BV$70)</f>
        <v>1432.1461537253547</v>
      </c>
      <c r="M112">
        <f>SUM(BX$49:BX$70)+SUM(BZ$49:BZ$70)+SUM(CB$49:CB$70)+SUM(CD$49:CD$70)</f>
        <v>1894.4827973715392</v>
      </c>
      <c r="N112">
        <f>SUM(CF$49:CF$70)+SUM(CH$49:CH$70)+SUM(CJ$49:CJ$70)+SUM(CL$49:CL$70)</f>
        <v>3400.7121107131165</v>
      </c>
      <c r="O112">
        <f>SUM(CN$49:CN$70)+SUM(CP$49:CP$70)+SUM(CR$49:CR$70)+SUM(CT$49:CT$70)</f>
        <v>1020.0107133819762</v>
      </c>
    </row>
    <row r="113" spans="2:15" x14ac:dyDescent="0.2">
      <c r="C113" s="116" t="s">
        <v>130</v>
      </c>
      <c r="D113">
        <f>SUM(D$71:D$86)+SUM(F$71:F$86)+SUM(H$71:H$86)+SUM(J$71:J$86)</f>
        <v>658.63277304065525</v>
      </c>
      <c r="E113">
        <f>SUM(L$71:L$86)+SUM(N$71:N$86)+SUM(P$71:P$86)+SUM(R$71:R$86)</f>
        <v>318.34497725766965</v>
      </c>
      <c r="F113">
        <f>SUM(T$71:T$86)+SUM(V$71:V$86)+SUM(X$71:X$86)+SUM(Z$71:Z$86)</f>
        <v>1030.7068048008061</v>
      </c>
      <c r="G113">
        <f>SUM(AB$71:AB$86)+SUM(AD$71:AD$86)+SUM(AF$71:AF$86)+SUM(AH$71:AH$86)</f>
        <v>1069.9717071733307</v>
      </c>
      <c r="H113">
        <f>SUM(AJ$71:AJ$86)+SUM(AL$71:AL$86)+SUM(AN$71:AN$86)+SUM(AP$71:AP$86)</f>
        <v>461.15294717648601</v>
      </c>
      <c r="I113">
        <f>SUM(AR$71:AR$86)+SUM(AT$71:AT$86)+SUM(AV$71:AV$86)+SUM(AX$71:AX$86)</f>
        <v>290.40621055377721</v>
      </c>
      <c r="J113">
        <f>SUM(AZ$71:AZ$86)+SUM(BB$71:BB$86)+SUM(BD$71:BD$86)+SUM(BF$71:BF$86)</f>
        <v>465.64112250266078</v>
      </c>
      <c r="K113">
        <f>SUM(BH$71:BH$86)+SUM(BJ$71:BJ$86)+SUM(BL$71:BL$86)+SUM(BN$71:BN$86)</f>
        <v>746.59256963360087</v>
      </c>
      <c r="L113">
        <f>SUM(BP$71:BP$86)+SUM(BR$71:BR$86)+SUM(BT$71:BT$86)+SUM(BV$71:BV$86)</f>
        <v>158.16859288842372</v>
      </c>
      <c r="M113">
        <f>SUM(BX$71:BX$86)+SUM(BZ$71:BZ$86)+SUM(CB$71:CB$86)+SUM(CD$71:CD$86)</f>
        <v>310.58604117456105</v>
      </c>
      <c r="N113">
        <f>SUM(CF$71:CF$86)+SUM(CH$71:CH$86)+SUM(CJ$71:CJ$86)+SUM(CL$71:CL$86)</f>
        <v>1308.8721909589908</v>
      </c>
      <c r="O113">
        <f>SUM(CN$71:CN$86)+SUM(CP$71:CP$86)+SUM(CR$71:CR$86)+SUM(CT$71:CT$86)</f>
        <v>292.84770183585141</v>
      </c>
    </row>
    <row r="114" spans="2:15" x14ac:dyDescent="0.2">
      <c r="C114" s="116" t="s">
        <v>131</v>
      </c>
      <c r="D114">
        <f>SUM(D$87:D$94)+SUM(F$87:F$94)+SUM(H$87:H$94)+SUM(J$87:J$94)</f>
        <v>337.24173709170378</v>
      </c>
      <c r="E114">
        <f>SUM(L$87:L$94)+SUM(N$87:N$94)+SUM(P$87:P$94)+SUM(R$87:R$94)</f>
        <v>132.92814935319421</v>
      </c>
      <c r="F114">
        <f>SUM(T$87:T$94)+SUM(V$87:V$94)+SUM(X$87:X$94)+SUM(Z$87:Z$94)</f>
        <v>290.36269945747199</v>
      </c>
      <c r="G114">
        <f>SUM(AB$87:AB$94)+SUM(AD$87:AD$94)+SUM(AF$87:AF$94)+SUM(AH$87:AH$94)</f>
        <v>183.08787529454042</v>
      </c>
      <c r="H114">
        <f>SUM(AJ$87:AJ$94)+SUM(AL$87:AL$94)+SUM(AN$87:AN$94)+SUM(AP$87:AP$94)</f>
        <v>591.2767943276599</v>
      </c>
      <c r="I114">
        <f>SUM(AR$87:AR$94)+SUM(AT$87:AT$94)+SUM(AV$87:AV$94)+SUM(AX$87:AX$94)</f>
        <v>122.45920627033559</v>
      </c>
      <c r="J114">
        <f>SUM(AZ$87:AZ$94)+SUM(BB$87:BB$94)+SUM(BD$87:BD$94)+SUM(BF$87:BF$94)</f>
        <v>171.78782411998523</v>
      </c>
      <c r="K114">
        <f>SUM(BH$87:BH$94)+SUM(BJ$87:BJ$94)+SUM(BL$87:BL$94)+SUM(BN$87:BN$94)</f>
        <v>569.27141616603672</v>
      </c>
      <c r="L114">
        <f>SUM(BP$87:BP$94)+SUM(BR$87:BR$94)+SUM(BT$87:BT$94)+SUM(BV$87:BV$94)</f>
        <v>108.27624096673951</v>
      </c>
      <c r="M114">
        <f>SUM(BX$87:BX$94)+SUM(BZ$87:BZ$94)+SUM(CB$87:CB$94)+SUM(CD$87:CD$94)</f>
        <v>117.05622902198765</v>
      </c>
      <c r="N114">
        <f>SUM(CF$87:CF$94)+SUM(CH$87:CH$94)+SUM(CJ$87:CJ$94)+SUM(CL$87:CL$94)</f>
        <v>181.22746141242874</v>
      </c>
      <c r="O114">
        <f>SUM(CN$87:CN$94)+SUM(CP$87:CP$94)+SUM(CR$87:CR$94)+SUM(CT$87:CT$94)</f>
        <v>335.23693530339096</v>
      </c>
    </row>
    <row r="115" spans="2:15" x14ac:dyDescent="0.2">
      <c r="C115" s="116" t="s">
        <v>132</v>
      </c>
      <c r="D115">
        <f>SUM(D$95:D$105)+SUM(F$95:F$105)+SUM(H$95:H$105)+SUM(J$95:J$105)</f>
        <v>1038.7529176514709</v>
      </c>
      <c r="E115">
        <f>SUM(L$95:L$105)+SUM(N$95:N$105)+SUM(P$95:P$105)+SUM(R$95:R$105)</f>
        <v>1086.7459037961987</v>
      </c>
      <c r="F115">
        <f>SUM(T$95:T$105)+SUM(V$95:V$105)+SUM(X$95:X$105)+SUM(Z$95:Z$105)</f>
        <v>381.71648529052504</v>
      </c>
      <c r="G115">
        <f>SUM(AB$95:AB$105)+SUM(AD$95:AD$105)+SUM(AF$95:AF$105)+SUM(AH$95:AH$105)</f>
        <v>258.01026074529602</v>
      </c>
      <c r="H115">
        <f>SUM(AJ$95:AJ$105)+SUM(AL$95:AL$105)+SUM(AN$95:AN$105)+SUM(AP$95:AP$105)</f>
        <v>546.07824932892561</v>
      </c>
      <c r="I115">
        <f>SUM(AR$95:AR$105)+SUM(AT$95:AT$105)+SUM(AV$95:AV$105)+SUM(AX$95:AX$105)</f>
        <v>972.66948639151087</v>
      </c>
      <c r="J115">
        <f>SUM(AZ$95:AZ$105)+SUM(BB$95:BB$105)+SUM(BD$95:BD$105)+SUM(BF$95:BF$105)</f>
        <v>809.07679695562456</v>
      </c>
      <c r="K115">
        <f>SUM(BH$95:BH$105)+SUM(BJ$95:BJ$105)+SUM(BL$95:BL$105)+SUM(BN$95:BN$105)</f>
        <v>777.6395258537284</v>
      </c>
      <c r="L115">
        <f>SUM(BP$95:BP$105)+SUM(BR$95:BR$105)+SUM(BT$95:BT$105)+SUM(BV$95:BV$105)</f>
        <v>760.13932105455251</v>
      </c>
      <c r="M115">
        <f>SUM(BX$95:BX$105)+SUM(BZ$95:BZ$105)+SUM(CB$95:CB$105)+SUM(CD$95:CD$105)</f>
        <v>1357.7007040195881</v>
      </c>
      <c r="N115">
        <f>SUM(CF$95:CF$105)+SUM(CH$95:CH$105)+SUM(CJ$95:CJ$105)+SUM(CL$95:CL$105)</f>
        <v>391.01400850313973</v>
      </c>
      <c r="O115">
        <f>SUM(CN$95:CN$105)+SUM(CP$95:CP$105)+SUM(CR$95:CR$105)+SUM(CT$95:CT$105)</f>
        <v>611.00011243138692</v>
      </c>
    </row>
    <row r="116" spans="2:15" x14ac:dyDescent="0.2">
      <c r="C116" s="116" t="s">
        <v>278</v>
      </c>
      <c r="D116">
        <f t="shared" ref="D116:O116" si="0">SUM(D$109:D$115)</f>
        <v>12628.035187975767</v>
      </c>
      <c r="E116">
        <f t="shared" si="0"/>
        <v>14041.460617270141</v>
      </c>
      <c r="F116">
        <f t="shared" si="0"/>
        <v>5866.4606172701397</v>
      </c>
      <c r="G116">
        <f t="shared" si="0"/>
        <v>5301.3651543175347</v>
      </c>
      <c r="H116">
        <f t="shared" si="0"/>
        <v>9059.4606172701406</v>
      </c>
      <c r="I116">
        <f t="shared" si="0"/>
        <v>7105.1909259052109</v>
      </c>
      <c r="J116">
        <f t="shared" si="0"/>
        <v>12593.460617270139</v>
      </c>
      <c r="K116">
        <f t="shared" si="0"/>
        <v>6974.8257715876762</v>
      </c>
      <c r="L116">
        <f t="shared" si="0"/>
        <v>8211.7303086350694</v>
      </c>
      <c r="M116">
        <f t="shared" si="0"/>
        <v>9067.8257715876753</v>
      </c>
      <c r="N116">
        <f t="shared" si="0"/>
        <v>10207.825771587677</v>
      </c>
      <c r="O116">
        <f t="shared" si="0"/>
        <v>6441.0954629526059</v>
      </c>
    </row>
    <row r="118" spans="2:15" x14ac:dyDescent="0.2">
      <c r="B118" s="118" t="s">
        <v>279</v>
      </c>
    </row>
    <row r="119" spans="2:15" x14ac:dyDescent="0.2">
      <c r="C119" s="116" t="s">
        <v>277</v>
      </c>
      <c r="D119" s="116" t="s">
        <v>92</v>
      </c>
      <c r="E119" s="116" t="s">
        <v>93</v>
      </c>
      <c r="F119" s="116" t="s">
        <v>94</v>
      </c>
      <c r="G119" s="116" t="s">
        <v>95</v>
      </c>
      <c r="H119" s="116" t="s">
        <v>96</v>
      </c>
      <c r="I119" s="116" t="s">
        <v>97</v>
      </c>
      <c r="J119" s="116" t="s">
        <v>98</v>
      </c>
      <c r="K119" s="116" t="s">
        <v>99</v>
      </c>
      <c r="L119" s="116" t="s">
        <v>100</v>
      </c>
      <c r="M119" s="116" t="s">
        <v>101</v>
      </c>
      <c r="N119" s="116" t="s">
        <v>102</v>
      </c>
      <c r="O119" s="116" t="s">
        <v>103</v>
      </c>
    </row>
    <row r="120" spans="2:15" x14ac:dyDescent="0.2">
      <c r="C120" s="116" t="s">
        <v>126</v>
      </c>
      <c r="D120">
        <f>D109*pricing!D15*2000</f>
        <v>2881650.4249661411</v>
      </c>
      <c r="E120">
        <f>E109*pricing!E15*2000</f>
        <v>4108098.7436812548</v>
      </c>
      <c r="F120">
        <f>F109*pricing!F15*2000</f>
        <v>5376317.879978165</v>
      </c>
      <c r="G120">
        <f>G109*pricing!G15*2000</f>
        <v>2900434.4235127969</v>
      </c>
      <c r="H120">
        <f>H109*pricing!H15*2000</f>
        <v>2763292.8521750909</v>
      </c>
      <c r="I120">
        <f>I109*pricing!I15*2000</f>
        <v>4109391.5246313107</v>
      </c>
      <c r="J120">
        <f>J109*pricing!J15*2000</f>
        <v>6618655.2568073412</v>
      </c>
      <c r="K120">
        <f>K109*pricing!K15*2000</f>
        <v>2696562.3697025334</v>
      </c>
      <c r="L120">
        <f>L109*pricing!L15*2000</f>
        <v>3111129.0171931786</v>
      </c>
      <c r="M120">
        <f>M109*pricing!M15*2000</f>
        <v>5332115.4136117082</v>
      </c>
      <c r="N120">
        <f>N109*pricing!N15*2000</f>
        <v>8231834.864699509</v>
      </c>
      <c r="O120">
        <f>O109*pricing!O15*2000</f>
        <v>3603733.6454398879</v>
      </c>
    </row>
    <row r="121" spans="2:15" x14ac:dyDescent="0.2">
      <c r="C121" s="116" t="s">
        <v>127</v>
      </c>
      <c r="D121">
        <f>D110*pricing!D16*2000</f>
        <v>5365930.4071875755</v>
      </c>
      <c r="E121">
        <f>E110*pricing!E16*2000</f>
        <v>12000252.272846725</v>
      </c>
      <c r="F121">
        <f>F110*pricing!F16*2000</f>
        <v>8818487.1854670774</v>
      </c>
      <c r="G121">
        <f>G110*pricing!G16*2000</f>
        <v>5398875.0838893745</v>
      </c>
      <c r="H121">
        <f>H110*pricing!H16*2000</f>
        <v>7380935.5578834414</v>
      </c>
      <c r="I121">
        <f>I110*pricing!I16*2000</f>
        <v>5987530.2466037367</v>
      </c>
      <c r="J121">
        <f>J110*pricing!J16*2000</f>
        <v>11146699.165184004</v>
      </c>
      <c r="K121">
        <f>K110*pricing!K16*2000</f>
        <v>6503161.362804601</v>
      </c>
      <c r="L121">
        <f>L110*pricing!L16*2000</f>
        <v>13927356.075135877</v>
      </c>
      <c r="M121">
        <f>M110*pricing!M16*2000</f>
        <v>7184816.1228826139</v>
      </c>
      <c r="N121">
        <f>N110*pricing!N16*2000</f>
        <v>7368657.9008405227</v>
      </c>
      <c r="O121">
        <f>O110*pricing!O16*2000</f>
        <v>12916317.799679816</v>
      </c>
    </row>
    <row r="122" spans="2:15" x14ac:dyDescent="0.2">
      <c r="C122" s="116" t="s">
        <v>128</v>
      </c>
      <c r="D122">
        <f>D111*pricing!D17*2000</f>
        <v>11119248.665577302</v>
      </c>
      <c r="E122">
        <f>E111*pricing!E17*2000</f>
        <v>7800318.7921894519</v>
      </c>
      <c r="F122">
        <f>F111*pricing!F17*2000</f>
        <v>2950962.0479228967</v>
      </c>
      <c r="G122">
        <f>G111*pricing!G17*2000</f>
        <v>4635083.3022869313</v>
      </c>
      <c r="H122">
        <f>H111*pricing!H17*2000</f>
        <v>9572728.1467732359</v>
      </c>
      <c r="I122">
        <f>I111*pricing!I17*2000</f>
        <v>8253133.0438887039</v>
      </c>
      <c r="J122">
        <f>J111*pricing!J17*2000</f>
        <v>9207842.9558367096</v>
      </c>
      <c r="K122">
        <f>K111*pricing!K17*2000</f>
        <v>6967480.1712099388</v>
      </c>
      <c r="L122">
        <f>L111*pricing!L17*2000</f>
        <v>4560805.8497669529</v>
      </c>
      <c r="M122">
        <f>M111*pricing!M17*2000</f>
        <v>8265539.9155616378</v>
      </c>
      <c r="N122">
        <f>N111*pricing!N17*2000</f>
        <v>4841040.4594379785</v>
      </c>
      <c r="O122">
        <f>O111*pricing!O17*2000</f>
        <v>2610987.3649575487</v>
      </c>
    </row>
    <row r="123" spans="2:15" x14ac:dyDescent="0.2">
      <c r="C123" s="116" t="s">
        <v>129</v>
      </c>
      <c r="D123">
        <f>D112*pricing!D18*2000</f>
        <v>10899809.054467719</v>
      </c>
      <c r="E123">
        <f>E112*pricing!E18*2000</f>
        <v>12587135.012426315</v>
      </c>
      <c r="F123">
        <f>F112*pricing!F18*2000</f>
        <v>3580897.6494855369</v>
      </c>
      <c r="G123">
        <f>G112*pricing!G18*2000</f>
        <v>6036168.9619429801</v>
      </c>
      <c r="H123">
        <f>H112*pricing!H18*2000</f>
        <v>6705920.2208484216</v>
      </c>
      <c r="I123">
        <f>I112*pricing!I18*2000</f>
        <v>4961762.3667660439</v>
      </c>
      <c r="J123">
        <f>J112*pricing!J18*2000</f>
        <v>8878558.4855318461</v>
      </c>
      <c r="K123">
        <f>K112*pricing!K18*2000</f>
        <v>4751658.8534859875</v>
      </c>
      <c r="L123">
        <f>L112*pricing!L18*2000</f>
        <v>5978168.8734885426</v>
      </c>
      <c r="M123">
        <f>M112*pricing!M18*2000</f>
        <v>7101558.4119851179</v>
      </c>
      <c r="N123">
        <f>N112*pricing!N18*2000</f>
        <v>9331355.5086697824</v>
      </c>
      <c r="O123">
        <f>O112*pricing!O18*2000</f>
        <v>5015486.8981689606</v>
      </c>
    </row>
    <row r="124" spans="2:15" x14ac:dyDescent="0.2">
      <c r="C124" s="116" t="s">
        <v>130</v>
      </c>
      <c r="D124">
        <f>D113*pricing!D19*2000</f>
        <v>2824120.0752107184</v>
      </c>
      <c r="E124">
        <f>E113*pricing!E19*2000</f>
        <v>1613696.66066869</v>
      </c>
      <c r="F124">
        <f>F113*pricing!F19*2000</f>
        <v>4029164.2564002653</v>
      </c>
      <c r="G124">
        <f>G113*pricing!G19*2000</f>
        <v>3716661.1814927049</v>
      </c>
      <c r="H124">
        <f>H113*pricing!H19*2000</f>
        <v>2770417.8805985413</v>
      </c>
      <c r="I124">
        <f>I113*pricing!I19*2000</f>
        <v>1719351.879705749</v>
      </c>
      <c r="J124">
        <f>J113*pricing!J19*2000</f>
        <v>2956821.7978081782</v>
      </c>
      <c r="K124">
        <f>K113*pricing!K19*2000</f>
        <v>3679283.2199614346</v>
      </c>
      <c r="L124">
        <f>L113*pricing!L19*2000</f>
        <v>1123541.6132274757</v>
      </c>
      <c r="M124">
        <f>M113*pricing!M19*2000</f>
        <v>2139162.404220765</v>
      </c>
      <c r="N124">
        <f>N113*pricing!N19*2000</f>
        <v>4830813.686713391</v>
      </c>
      <c r="O124">
        <f>O113*pricing!O19*2000</f>
        <v>2101732.1862618052</v>
      </c>
    </row>
    <row r="125" spans="2:15" x14ac:dyDescent="0.2">
      <c r="C125" s="116" t="s">
        <v>131</v>
      </c>
      <c r="D125">
        <f>D114*pricing!D20*2000</f>
        <v>1239113.1011243414</v>
      </c>
      <c r="E125">
        <f>E114*pricing!E20*2000</f>
        <v>602725.61969336949</v>
      </c>
      <c r="F125">
        <f>F114*pricing!F20*2000</f>
        <v>1255198.3654695384</v>
      </c>
      <c r="G125">
        <f>G114*pricing!G20*2000</f>
        <v>837874.45346959459</v>
      </c>
      <c r="H125">
        <f>H114*pricing!H20*2000</f>
        <v>2040940.2040525598</v>
      </c>
      <c r="I125">
        <f>I114*pricing!I20*2000</f>
        <v>743079.74561976618</v>
      </c>
      <c r="J125">
        <f>J114*pricing!J20*2000</f>
        <v>1074783.971563491</v>
      </c>
      <c r="K125">
        <f>K114*pricing!K20*2000</f>
        <v>1933137.321426349</v>
      </c>
      <c r="L125">
        <f>L114*pricing!L20*2000</f>
        <v>624247.86476024706</v>
      </c>
      <c r="M125">
        <f>M114*pricing!M20*2000</f>
        <v>826199.10807714961</v>
      </c>
      <c r="N125">
        <f>N114*pricing!N20*2000</f>
        <v>1102640.9093393621</v>
      </c>
      <c r="O125">
        <f>O114*pricing!O20*2000</f>
        <v>1350610.2154441427</v>
      </c>
    </row>
    <row r="126" spans="2:15" x14ac:dyDescent="0.2">
      <c r="C126" s="116" t="s">
        <v>132</v>
      </c>
      <c r="D126">
        <f>D115*pricing!D21*2000</f>
        <v>2935649.7632882721</v>
      </c>
      <c r="E126">
        <f>E115*pricing!E21*2000</f>
        <v>2208644.5760124498</v>
      </c>
      <c r="F126">
        <f>F115*pricing!F21*2000</f>
        <v>1925321.472823963</v>
      </c>
      <c r="G126">
        <f>G115*pricing!G21*2000</f>
        <v>1212462.4056100748</v>
      </c>
      <c r="H126">
        <f>H115*pricing!H21*2000</f>
        <v>2174742.1437358218</v>
      </c>
      <c r="I126">
        <f>I115*pricing!I21*2000</f>
        <v>2512749.0146144899</v>
      </c>
      <c r="J126">
        <f>J115*pricing!J21*2000</f>
        <v>2836285.7657901417</v>
      </c>
      <c r="K126">
        <f>K115*pricing!K21*2000</f>
        <v>2641355.995197319</v>
      </c>
      <c r="L126">
        <f>L115*pricing!L21*2000</f>
        <v>1865073.153130223</v>
      </c>
      <c r="M126">
        <f>M115*pricing!M21*2000</f>
        <v>3668449.0538260331</v>
      </c>
      <c r="N126">
        <f>N115*pricing!N21*2000</f>
        <v>1954907.6667878914</v>
      </c>
      <c r="O126">
        <f>O115*pricing!O21*2000</f>
        <v>2206111.5353388819</v>
      </c>
    </row>
    <row r="127" spans="2:15" x14ac:dyDescent="0.2">
      <c r="C127" s="116" t="s">
        <v>278</v>
      </c>
      <c r="D127">
        <f t="shared" ref="D127:O127" si="1">SUM(D$120:D$126)</f>
        <v>37265521.491822071</v>
      </c>
      <c r="E127">
        <f t="shared" si="1"/>
        <v>40920871.677518256</v>
      </c>
      <c r="F127">
        <f t="shared" si="1"/>
        <v>27936348.85754744</v>
      </c>
      <c r="G127">
        <f t="shared" si="1"/>
        <v>24737559.812204454</v>
      </c>
      <c r="H127">
        <f t="shared" si="1"/>
        <v>33408977.006067116</v>
      </c>
      <c r="I127">
        <f t="shared" si="1"/>
        <v>28286997.8218298</v>
      </c>
      <c r="J127">
        <f t="shared" si="1"/>
        <v>42719647.398521706</v>
      </c>
      <c r="K127">
        <f t="shared" si="1"/>
        <v>29172639.293788165</v>
      </c>
      <c r="L127">
        <f t="shared" si="1"/>
        <v>31190322.446702495</v>
      </c>
      <c r="M127">
        <f t="shared" si="1"/>
        <v>34517840.430165023</v>
      </c>
      <c r="N127">
        <f t="shared" si="1"/>
        <v>37661250.996488437</v>
      </c>
      <c r="O127">
        <f t="shared" si="1"/>
        <v>29804979.645291042</v>
      </c>
    </row>
    <row r="129" spans="2:15" x14ac:dyDescent="0.2">
      <c r="B129" s="118" t="s">
        <v>280</v>
      </c>
    </row>
    <row r="130" spans="2:15" x14ac:dyDescent="0.2">
      <c r="C130" s="120" t="s">
        <v>277</v>
      </c>
      <c r="D130" s="120" t="s">
        <v>92</v>
      </c>
      <c r="E130" s="120" t="s">
        <v>93</v>
      </c>
      <c r="F130" s="120" t="s">
        <v>94</v>
      </c>
      <c r="G130" s="120" t="s">
        <v>95</v>
      </c>
      <c r="H130" s="120" t="s">
        <v>96</v>
      </c>
      <c r="I130" s="120" t="s">
        <v>97</v>
      </c>
      <c r="J130" s="120" t="s">
        <v>98</v>
      </c>
      <c r="K130" s="120" t="s">
        <v>99</v>
      </c>
      <c r="L130" s="120" t="s">
        <v>100</v>
      </c>
      <c r="M130" s="120" t="s">
        <v>101</v>
      </c>
      <c r="N130" s="120" t="s">
        <v>102</v>
      </c>
      <c r="O130" s="120" t="s">
        <v>103</v>
      </c>
    </row>
    <row r="131" spans="2:15" x14ac:dyDescent="0.2">
      <c r="C131" s="120" t="s">
        <v>126</v>
      </c>
      <c r="D131" s="121">
        <f>SUM(E$6:E$19)+SUM(G$6:G$19)+SUM(I$6:I$19)+SUM(K$6:K$19)</f>
        <v>253485.59999999998</v>
      </c>
      <c r="E131" s="121">
        <f>SUM(M$6:M$19)+SUM(O$6:O$19)+SUM(Q$6:Q$19)+SUM(S$6:S$19)</f>
        <v>481255.19999999995</v>
      </c>
      <c r="F131" s="121">
        <f>SUM(U$6:U$19)+SUM(W$6:W$19)+SUM(Y$6:Y$19)+SUM(AA$6:AA$19)</f>
        <v>730668</v>
      </c>
      <c r="G131" s="121">
        <f>SUM(AC$6:AC$19)+SUM(AE$6:AE$19)+SUM(AG$6:AG$19)+SUM(AI$6:AI$19)</f>
        <v>212715.59999999998</v>
      </c>
      <c r="H131" s="121">
        <f>SUM(AK$6:AK$19)+SUM(AM$6:AM$19)+SUM(AO$6:AO$19)+SUM(AQ$6:AQ$19)</f>
        <v>234050.40000000002</v>
      </c>
      <c r="I131" s="121">
        <f>SUM(AS$6:AS$19)+SUM(AU$6:AU$19)+SUM(AW$6:AW$19)+SUM(AY$6:AY$19)</f>
        <v>406029.59999999992</v>
      </c>
      <c r="J131" s="121">
        <f>SUM(BA$6:BA$19)+SUM(BC$6:BC$19)+SUM(BE$6:BE$19)+SUM(BG$6:BG$19)</f>
        <v>977972.39999999991</v>
      </c>
      <c r="K131" s="121">
        <f>SUM(BI$6:BI$19)+SUM(BK$6:BK$19)+SUM(BM$6:BM$19)+SUM(BO$6:BO$19)</f>
        <v>202510.8</v>
      </c>
      <c r="L131" s="121">
        <f>SUM(BQ$6:BQ$19)+SUM(BS$6:BS$19)+SUM(BU$6:BU$19)+SUM(BW$6:BW$19)</f>
        <v>256164</v>
      </c>
      <c r="M131" s="121">
        <f>SUM(BY$6:BY$19)+SUM(CA$6:CA$19)+SUM(CC$6:CC$19)+SUM(CE$6:CE$19)</f>
        <v>731238</v>
      </c>
      <c r="N131" s="121">
        <f>SUM(CG$6:CG$19)+SUM(CI$6:CI$19)+SUM(CK$6:CK$19)+SUM(CM$6:CM$19)</f>
        <v>1366400.4</v>
      </c>
      <c r="O131" s="121">
        <f>SUM(CO$6:CO$19)+SUM(CQ$6:CQ$19)+SUM(CS$6:CS$19)+SUM(CU$6:CU$19)</f>
        <v>272120.39999999997</v>
      </c>
    </row>
    <row r="132" spans="2:15" x14ac:dyDescent="0.2">
      <c r="C132" s="120" t="s">
        <v>127</v>
      </c>
      <c r="D132" s="121">
        <f>SUM(E$20:E$36)+SUM(G$20:G$36)+SUM(I$20:I$36)+SUM(K$20:K$36)</f>
        <v>324532.79999999993</v>
      </c>
      <c r="E132" s="121">
        <f>SUM(M$20:M$36)+SUM(O$20:O$36)+SUM(Q$20:Q$36)+SUM(S$20:S$36)</f>
        <v>1343550</v>
      </c>
      <c r="F132" s="121">
        <f>SUM(U$20:U$36)+SUM(W$20:W$36)+SUM(Y$20:Y$36)+SUM(AA$20:AA$36)</f>
        <v>764379.59999999986</v>
      </c>
      <c r="G132" s="121">
        <f>SUM(AC$20:AC$36)+SUM(AE$20:AE$36)+SUM(AG$20:AG$36)+SUM(AI$20:AI$36)</f>
        <v>329239.19999999995</v>
      </c>
      <c r="H132" s="121">
        <f>SUM(AK$20:AK$36)+SUM(AM$20:AM$36)+SUM(AO$20:AO$36)+SUM(AQ$20:AQ$36)</f>
        <v>561710.4</v>
      </c>
      <c r="I132" s="121">
        <f>SUM(AS$20:AS$36)+SUM(AU$20:AU$36)+SUM(AW$20:AW$36)+SUM(AY$20:AY$36)</f>
        <v>402565.2</v>
      </c>
      <c r="J132" s="121">
        <f>SUM(BA$20:BA$36)+SUM(BC$20:BC$36)+SUM(BE$20:BE$36)+SUM(BG$20:BG$36)</f>
        <v>1098474</v>
      </c>
      <c r="K132" s="121">
        <f>SUM(BI$20:BI$36)+SUM(BK$20:BK$36)+SUM(BM$20:BM$36)+SUM(BO$20:BO$36)</f>
        <v>423046.79999999993</v>
      </c>
      <c r="L132" s="121">
        <f>SUM(BQ$20:BQ$36)+SUM(BS$20:BS$36)+SUM(BU$20:BU$36)+SUM(BW$20:BW$36)</f>
        <v>1784885.9999999998</v>
      </c>
      <c r="M132" s="121">
        <f>SUM(BY$20:BY$36)+SUM(CA$20:CA$36)+SUM(CC$20:CC$36)+SUM(CE$20:CE$36)</f>
        <v>510672.00000000006</v>
      </c>
      <c r="N132" s="121">
        <f>SUM(CG$20:CG$36)+SUM(CI$20:CI$36)+SUM(CK$20:CK$36)+SUM(CM$20:CM$36)</f>
        <v>470137.19999999995</v>
      </c>
      <c r="O132" s="121">
        <f>SUM(CO$20:CO$36)+SUM(CQ$20:CQ$36)+SUM(CS$20:CS$36)+SUM(CU$20:CU$36)</f>
        <v>1383056.4</v>
      </c>
    </row>
    <row r="133" spans="2:15" x14ac:dyDescent="0.2">
      <c r="C133" s="120" t="s">
        <v>128</v>
      </c>
      <c r="D133" s="121">
        <f>SUM(E$37:E$48)+SUM(G$37:G$48)+SUM(I$37:I$48)+SUM(K$37:K$48)</f>
        <v>5320999.2</v>
      </c>
      <c r="E133" s="121">
        <f>SUM(M$37:M$48)+SUM(O$37:O$48)+SUM(Q$37:Q$48)+SUM(S$37:S$48)</f>
        <v>3505488.0000000005</v>
      </c>
      <c r="F133" s="121">
        <f>SUM(U$37:U$48)+SUM(W$37:W$48)+SUM(Y$37:Y$48)+SUM(AA$37:AA$48)</f>
        <v>461301.6</v>
      </c>
      <c r="G133" s="121">
        <f>SUM(AC$37:AC$48)+SUM(AE$37:AE$48)+SUM(AG$37:AG$48)+SUM(AI$37:AI$48)</f>
        <v>1310672.3999999999</v>
      </c>
      <c r="H133" s="121">
        <f>SUM(AK$37:AK$48)+SUM(AM$37:AM$48)+SUM(AO$37:AO$48)+SUM(AQ$37:AQ$48)</f>
        <v>4085364</v>
      </c>
      <c r="I133" s="121">
        <f>SUM(AS$37:AS$48)+SUM(AU$37:AU$48)+SUM(AW$37:AW$48)+SUM(AY$37:AY$48)</f>
        <v>3088096.8</v>
      </c>
      <c r="J133" s="121">
        <f>SUM(BA$37:BA$48)+SUM(BC$37:BC$48)+SUM(BE$37:BE$48)+SUM(BG$37:BG$48)</f>
        <v>3825990</v>
      </c>
      <c r="K133" s="121">
        <f>SUM(BI$37:BI$48)+SUM(BK$37:BK$48)+SUM(BM$37:BM$48)+SUM(BO$37:BO$48)</f>
        <v>2654790</v>
      </c>
      <c r="L133" s="121">
        <f>SUM(BQ$37:BQ$48)+SUM(BS$37:BS$48)+SUM(BU$37:BU$48)+SUM(BW$37:BW$48)</f>
        <v>1091379.5999999999</v>
      </c>
      <c r="M133" s="121">
        <f>SUM(BY$37:BY$48)+SUM(CA$37:CA$48)+SUM(CC$37:CC$48)+SUM(CE$37:CE$48)</f>
        <v>2864944.8</v>
      </c>
      <c r="N133" s="121">
        <f>SUM(CG$37:CG$48)+SUM(CI$37:CI$48)+SUM(CK$37:CK$48)+SUM(CM$37:CM$48)</f>
        <v>1164343.2</v>
      </c>
      <c r="O133" s="121">
        <f>SUM(CO$37:CO$48)+SUM(CQ$37:CQ$48)+SUM(CS$37:CS$48)+SUM(CU$37:CU$48)</f>
        <v>388340.4</v>
      </c>
    </row>
    <row r="134" spans="2:15" x14ac:dyDescent="0.2">
      <c r="C134" s="120" t="s">
        <v>129</v>
      </c>
      <c r="D134" s="121">
        <f>SUM(E$49:E$70)+SUM(G$49:G$70)+SUM(I$49:I$70)+SUM(K$49:K$70)</f>
        <v>3478931.535180226</v>
      </c>
      <c r="E134" s="121">
        <f>SUM(M$49:M$70)+SUM(O$49:O$70)+SUM(Q$49:Q$70)+SUM(S$49:S$70)</f>
        <v>4086779.8123552799</v>
      </c>
      <c r="F134" s="121">
        <f>SUM(U$49:U$70)+SUM(W$49:W$70)+SUM(Y$49:Y$70)+SUM(AA$49:AA$70)</f>
        <v>420994.69975124643</v>
      </c>
      <c r="G134" s="121">
        <f>SUM(AC$49:AC$70)+SUM(AE$49:AE$70)+SUM(AG$49:AG$70)+SUM(AI$49:AI$70)</f>
        <v>1114730.3108944069</v>
      </c>
      <c r="H134" s="121">
        <f>SUM(AK$49:AK$70)+SUM(AM$49:AM$70)+SUM(AO$49:AO$70)+SUM(AQ$49:AQ$70)</f>
        <v>1469549.39135483</v>
      </c>
      <c r="I134" s="121">
        <f>SUM(AS$49:AS$70)+SUM(AU$49:AU$70)+SUM(AW$49:AW$70)+SUM(AY$49:AY$70)</f>
        <v>840795.49196043995</v>
      </c>
      <c r="J134" s="121">
        <f>SUM(BA$49:BA$70)+SUM(BC$49:BC$70)+SUM(BE$49:BE$70)+SUM(BG$49:BG$70)</f>
        <v>2453574.8893184504</v>
      </c>
      <c r="K134" s="121">
        <f>SUM(BI$49:BI$70)+SUM(BK$49:BK$70)+SUM(BM$49:BM$70)+SUM(BO$49:BO$70)</f>
        <v>790124.93777251965</v>
      </c>
      <c r="L134" s="121">
        <f>SUM(BQ$49:BQ$70)+SUM(BS$49:BS$70)+SUM(BU$49:BU$70)+SUM(BW$49:BW$70)</f>
        <v>1175761.4362145157</v>
      </c>
      <c r="M134" s="121">
        <f>SUM(BY$49:BY$70)+SUM(CA$49:CA$70)+SUM(CC$49:CC$70)+SUM(CE$49:CE$70)</f>
        <v>1573911.5132193353</v>
      </c>
      <c r="N134" s="121">
        <f>SUM(CG$49:CG$70)+SUM(CI$49:CI$70)+SUM(CK$49:CK$70)+SUM(CM$49:CM$70)</f>
        <v>2816835.6646827902</v>
      </c>
      <c r="O134" s="121">
        <f>SUM(CO$49:CO$70)+SUM(CQ$49:CQ$70)+SUM(CS$49:CS$70)+SUM(CU$49:CU$70)</f>
        <v>845525.31506776717</v>
      </c>
    </row>
    <row r="135" spans="2:15" x14ac:dyDescent="0.2">
      <c r="C135" s="120" t="s">
        <v>130</v>
      </c>
      <c r="D135" s="121">
        <f>SUM(E$71:E$86)+SUM(G$71:G$86)+SUM(I$71:I$86)+SUM(K$71:K$86)</f>
        <v>365907.09965770913</v>
      </c>
      <c r="E135" s="121">
        <f>SUM(M$71:M$86)+SUM(O$71:O$86)+SUM(Q$71:Q$86)+SUM(S$71:S$86)</f>
        <v>177939.29051085186</v>
      </c>
      <c r="F135" s="121">
        <f>SUM(U$71:U$86)+SUM(W$71:W$86)+SUM(Y$71:Y$86)+SUM(AA$71:AA$86)</f>
        <v>574722.64718337415</v>
      </c>
      <c r="G135" s="121">
        <f>SUM(AC$71:AC$86)+SUM(AE$71:AE$86)+SUM(AG$71:AG$86)+SUM(AI$71:AI$86)</f>
        <v>592553.98591230949</v>
      </c>
      <c r="H135" s="121">
        <f>SUM(AK$71:AK$86)+SUM(AM$71:AM$86)+SUM(AO$71:AO$86)+SUM(AQ$71:AQ$86)</f>
        <v>259483.08647312439</v>
      </c>
      <c r="I135" s="121">
        <f>SUM(AS$71:AS$86)+SUM(AU$71:AU$86)+SUM(AW$71:AW$86)+SUM(AY$71:AY$86)</f>
        <v>163503.55658152857</v>
      </c>
      <c r="J135" s="121">
        <f>SUM(BA$71:BA$86)+SUM(BC$71:BC$86)+SUM(BE$71:BE$86)+SUM(BG$71:BG$86)</f>
        <v>259801.47090509519</v>
      </c>
      <c r="K135" s="121">
        <f>SUM(BI$71:BI$86)+SUM(BK$71:BK$86)+SUM(BM$71:BM$86)+SUM(BO$71:BO$86)</f>
        <v>417287.64810691267</v>
      </c>
      <c r="L135" s="121">
        <f>SUM(BQ$71:BQ$86)+SUM(BS$71:BS$86)+SUM(BU$71:BU$86)+SUM(BW$71:BW$86)</f>
        <v>88682.57753444952</v>
      </c>
      <c r="M135" s="121">
        <f>SUM(BY$71:BY$86)+SUM(CA$71:CA$86)+SUM(CC$71:CC$86)+SUM(CE$71:CE$86)</f>
        <v>173741.81528143786</v>
      </c>
      <c r="N135" s="121">
        <f>SUM(CG$71:CG$86)+SUM(CI$71:CI$86)+SUM(CK$71:CK$86)+SUM(CM$71:CM$86)</f>
        <v>726075.33554922557</v>
      </c>
      <c r="O135" s="121">
        <f>SUM(CO$71:CO$86)+SUM(CQ$71:CQ$86)+SUM(CS$71:CS$86)+SUM(CU$71:CU$86)</f>
        <v>164266.70683475473</v>
      </c>
    </row>
    <row r="136" spans="2:15" x14ac:dyDescent="0.2">
      <c r="C136" s="120" t="s">
        <v>131</v>
      </c>
      <c r="D136" s="121">
        <f>SUM(E$87:E$94)+SUM(G$87:G$94)+SUM(I$87:I$94)+SUM(K$87:K$94)</f>
        <v>684645.52787036751</v>
      </c>
      <c r="E136" s="121">
        <f>SUM(M$87:M$94)+SUM(O$87:O$94)+SUM(Q$87:Q$94)+SUM(S$87:S$94)</f>
        <v>271061.2726579709</v>
      </c>
      <c r="F136" s="121">
        <f>SUM(U$87:U$94)+SUM(W$87:W$94)+SUM(Y$87:Y$94)+SUM(AA$87:AA$94)</f>
        <v>592391.56013465091</v>
      </c>
      <c r="G136" s="121">
        <f>SUM(AC$87:AC$94)+SUM(AE$87:AE$94)+SUM(AG$87:AG$94)+SUM(AI$87:AI$94)</f>
        <v>371248.51391937939</v>
      </c>
      <c r="H136" s="121">
        <f>SUM(AK$87:AK$94)+SUM(AM$87:AM$94)+SUM(AO$87:AO$94)+SUM(AQ$87:AQ$94)</f>
        <v>1200269.7953318651</v>
      </c>
      <c r="I136" s="121">
        <f>SUM(AS$87:AS$94)+SUM(AU$87:AU$94)+SUM(AW$87:AW$94)+SUM(AY$87:AY$94)</f>
        <v>247912.49553696357</v>
      </c>
      <c r="J136" s="121">
        <f>SUM(BA$87:BA$94)+SUM(BC$87:BC$94)+SUM(BE$87:BE$94)+SUM(BG$87:BG$94)</f>
        <v>348047.80314756691</v>
      </c>
      <c r="K136" s="121">
        <f>SUM(BI$87:BI$94)+SUM(BK$87:BK$94)+SUM(BM$87:BM$94)+SUM(BO$87:BO$94)</f>
        <v>1152497.673139066</v>
      </c>
      <c r="L136" s="121">
        <f>SUM(BQ$87:BQ$94)+SUM(BS$87:BS$94)+SUM(BU$87:BU$94)+SUM(BW$87:BW$94)</f>
        <v>219942.89572194422</v>
      </c>
      <c r="M136" s="121">
        <f>SUM(BY$87:BY$94)+SUM(CA$87:CA$94)+SUM(CC$87:CC$94)+SUM(CE$87:CE$94)</f>
        <v>237618.69030531275</v>
      </c>
      <c r="N136" s="121">
        <f>SUM(CG$87:CG$94)+SUM(CI$87:CI$94)+SUM(CK$87:CK$94)+SUM(CM$87:CM$94)</f>
        <v>369009.8763076624</v>
      </c>
      <c r="O136" s="121">
        <f>SUM(CO$87:CO$94)+SUM(CQ$87:CQ$94)+SUM(CS$87:CS$94)+SUM(CU$87:CU$94)</f>
        <v>680310.12999299553</v>
      </c>
    </row>
    <row r="137" spans="2:15" x14ac:dyDescent="0.2">
      <c r="C137" s="120" t="s">
        <v>132</v>
      </c>
      <c r="D137" s="121">
        <f>SUM(E$95:E$105)+SUM(G$95:G$105)+SUM(I$95:I$105)+SUM(K$95:K$105)</f>
        <v>1922528.7133353637</v>
      </c>
      <c r="E137" s="121">
        <f>SUM(M$95:M$105)+SUM(O$95:O$105)+SUM(Q$95:Q$105)+SUM(S$95:S$105)</f>
        <v>1974281.6573340148</v>
      </c>
      <c r="F137" s="121">
        <f>SUM(U$95:U$105)+SUM(W$95:W$105)+SUM(Y$95:Y$105)+SUM(AA$95:AA$105)</f>
        <v>726618.20413438254</v>
      </c>
      <c r="G137" s="121">
        <f>SUM(AC$95:AC$105)+SUM(AE$95:AE$105)+SUM(AG$95:AG$105)+SUM(AI$95:AI$105)</f>
        <v>487531.57947776257</v>
      </c>
      <c r="H137" s="121">
        <f>SUM(AK$95:AK$105)+SUM(AM$95:AM$105)+SUM(AO$95:AO$105)+SUM(AQ$95:AQ$105)</f>
        <v>1024852.4701624162</v>
      </c>
      <c r="I137" s="121">
        <f>SUM(AS$95:AS$105)+SUM(AU$95:AU$105)+SUM(AW$95:AW$105)+SUM(AY$95:AY$105)</f>
        <v>1805207.4502630048</v>
      </c>
      <c r="J137" s="121">
        <f>SUM(BA$95:BA$105)+SUM(BC$95:BC$105)+SUM(BE$95:BE$105)+SUM(BG$95:BG$105)</f>
        <v>1501721.9836588386</v>
      </c>
      <c r="K137" s="121">
        <f>SUM(BI$95:BI$105)+SUM(BK$95:BK$105)+SUM(BM$95:BM$105)+SUM(BO$95:BO$105)</f>
        <v>1452015.1988370381</v>
      </c>
      <c r="L137" s="121">
        <f>SUM(BQ$95:BQ$105)+SUM(BS$95:BS$105)+SUM(BU$95:BU$105)+SUM(BW$95:BW$105)</f>
        <v>1389402.9017218256</v>
      </c>
      <c r="M137" s="121">
        <f>SUM(BY$95:BY$105)+SUM(CA$95:CA$105)+SUM(CC$95:CC$105)+SUM(CE$95:CE$105)</f>
        <v>2507184.298266883</v>
      </c>
      <c r="N137" s="121">
        <f>SUM(CG$95:CG$105)+SUM(CI$95:CI$105)+SUM(CK$95:CK$105)+SUM(CM$95:CM$105)</f>
        <v>745363.93983408052</v>
      </c>
      <c r="O137" s="121">
        <f>SUM(CO$95:CO$105)+SUM(CQ$95:CQ$105)+SUM(CS$95:CS$105)+SUM(CU$95:CU$105)</f>
        <v>1146499.2115576933</v>
      </c>
    </row>
    <row r="138" spans="2:15" x14ac:dyDescent="0.2">
      <c r="C138" s="120" t="s">
        <v>278</v>
      </c>
      <c r="D138">
        <f t="shared" ref="D138:O138" si="2">SUM(D$131:D$137)</f>
        <v>12351030.476043666</v>
      </c>
      <c r="E138">
        <f t="shared" si="2"/>
        <v>11840355.232858118</v>
      </c>
      <c r="F138">
        <f t="shared" si="2"/>
        <v>4271076.311203653</v>
      </c>
      <c r="G138">
        <f t="shared" si="2"/>
        <v>4418691.590203858</v>
      </c>
      <c r="H138">
        <f t="shared" si="2"/>
        <v>8835279.5433222353</v>
      </c>
      <c r="I138">
        <f t="shared" si="2"/>
        <v>6954110.5943419365</v>
      </c>
      <c r="J138">
        <f t="shared" si="2"/>
        <v>10465582.547029952</v>
      </c>
      <c r="K138">
        <f t="shared" si="2"/>
        <v>7092273.0578555372</v>
      </c>
      <c r="L138">
        <f t="shared" si="2"/>
        <v>6006219.4111927347</v>
      </c>
      <c r="M138">
        <f t="shared" si="2"/>
        <v>8599311.1170729697</v>
      </c>
      <c r="N138">
        <f t="shared" si="2"/>
        <v>7658165.6163737588</v>
      </c>
      <c r="O138">
        <f t="shared" si="2"/>
        <v>4880118.5634532105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sheetData>
    <row r="2" spans="1:99" x14ac:dyDescent="0.2">
      <c r="B2" s="1" t="s">
        <v>272</v>
      </c>
    </row>
    <row r="3" spans="1:99" x14ac:dyDescent="0.2">
      <c r="B3" s="118" t="s">
        <v>281</v>
      </c>
    </row>
    <row r="4" spans="1:99" x14ac:dyDescent="0.2">
      <c r="A4" s="117"/>
      <c r="B4" s="117"/>
      <c r="C4" s="116" t="s">
        <v>274</v>
      </c>
      <c r="D4" s="116" t="s">
        <v>92</v>
      </c>
      <c r="E4" s="117"/>
      <c r="F4" s="117"/>
      <c r="G4" s="117"/>
      <c r="H4" s="117"/>
      <c r="I4" s="117"/>
      <c r="J4" s="117"/>
      <c r="K4" s="117"/>
      <c r="L4" s="116" t="s">
        <v>93</v>
      </c>
      <c r="M4" s="117"/>
      <c r="N4" s="117"/>
      <c r="O4" s="117"/>
      <c r="P4" s="117"/>
      <c r="Q4" s="117"/>
      <c r="R4" s="117"/>
      <c r="S4" s="117"/>
      <c r="T4" s="116" t="s">
        <v>94</v>
      </c>
      <c r="U4" s="117"/>
      <c r="V4" s="117"/>
      <c r="W4" s="117"/>
      <c r="X4" s="117"/>
      <c r="Y4" s="117"/>
      <c r="Z4" s="117"/>
      <c r="AA4" s="117"/>
      <c r="AB4" s="116" t="s">
        <v>95</v>
      </c>
      <c r="AC4" s="117"/>
      <c r="AD4" s="117"/>
      <c r="AE4" s="117"/>
      <c r="AF4" s="117"/>
      <c r="AG4" s="117"/>
      <c r="AH4" s="117"/>
      <c r="AI4" s="117"/>
      <c r="AJ4" s="116" t="s">
        <v>96</v>
      </c>
      <c r="AK4" s="117"/>
      <c r="AL4" s="117"/>
      <c r="AM4" s="117"/>
      <c r="AN4" s="117"/>
      <c r="AO4" s="117"/>
      <c r="AP4" s="117"/>
      <c r="AQ4" s="117"/>
      <c r="AR4" s="116" t="s">
        <v>97</v>
      </c>
      <c r="AS4" s="117"/>
      <c r="AT4" s="117"/>
      <c r="AU4" s="117"/>
      <c r="AV4" s="117"/>
      <c r="AW4" s="117"/>
      <c r="AX4" s="117"/>
      <c r="AY4" s="117"/>
      <c r="AZ4" s="116" t="s">
        <v>98</v>
      </c>
      <c r="BA4" s="117"/>
      <c r="BB4" s="117"/>
      <c r="BC4" s="117"/>
      <c r="BD4" s="117"/>
      <c r="BE4" s="117"/>
      <c r="BF4" s="117"/>
      <c r="BG4" s="117"/>
      <c r="BH4" s="116" t="s">
        <v>99</v>
      </c>
      <c r="BI4" s="117"/>
      <c r="BJ4" s="117"/>
      <c r="BK4" s="117"/>
      <c r="BL4" s="117"/>
      <c r="BM4" s="117"/>
      <c r="BN4" s="117"/>
      <c r="BO4" s="117"/>
      <c r="BP4" s="116" t="s">
        <v>100</v>
      </c>
      <c r="BQ4" s="117"/>
      <c r="BR4" s="117"/>
      <c r="BS4" s="117"/>
      <c r="BT4" s="117"/>
      <c r="BU4" s="117"/>
      <c r="BV4" s="117"/>
      <c r="BW4" s="117"/>
      <c r="BX4" s="116" t="s">
        <v>101</v>
      </c>
      <c r="BY4" s="117"/>
      <c r="BZ4" s="117"/>
      <c r="CA4" s="117"/>
      <c r="CB4" s="117"/>
      <c r="CC4" s="117"/>
      <c r="CD4" s="117"/>
      <c r="CE4" s="117"/>
      <c r="CF4" s="116" t="s">
        <v>102</v>
      </c>
      <c r="CG4" s="117"/>
      <c r="CH4" s="117"/>
      <c r="CI4" s="117"/>
      <c r="CJ4" s="117"/>
      <c r="CK4" s="117"/>
      <c r="CL4" s="117"/>
      <c r="CM4" s="117"/>
      <c r="CN4" s="116" t="s">
        <v>103</v>
      </c>
      <c r="CO4" s="117"/>
      <c r="CP4" s="117"/>
      <c r="CQ4" s="117"/>
      <c r="CR4" s="117"/>
      <c r="CS4" s="117"/>
      <c r="CT4" s="117"/>
      <c r="CU4" s="117"/>
    </row>
    <row r="5" spans="1:99" x14ac:dyDescent="0.2">
      <c r="B5" s="116" t="s">
        <v>167</v>
      </c>
      <c r="C5" s="116" t="s">
        <v>275</v>
      </c>
      <c r="D5" s="116">
        <v>1</v>
      </c>
      <c r="E5" s="116"/>
      <c r="F5" s="116">
        <v>2</v>
      </c>
      <c r="G5" s="116"/>
      <c r="H5" s="116">
        <v>3</v>
      </c>
      <c r="I5" s="116"/>
      <c r="J5" s="116">
        <v>4</v>
      </c>
      <c r="K5" s="116"/>
      <c r="L5" s="116">
        <v>1</v>
      </c>
      <c r="M5" s="116"/>
      <c r="N5" s="116">
        <v>2</v>
      </c>
      <c r="O5" s="116"/>
      <c r="P5" s="116">
        <v>3</v>
      </c>
      <c r="Q5" s="116"/>
      <c r="R5" s="116">
        <v>4</v>
      </c>
      <c r="S5" s="116"/>
      <c r="T5" s="116">
        <v>1</v>
      </c>
      <c r="U5" s="116"/>
      <c r="V5" s="116">
        <v>2</v>
      </c>
      <c r="W5" s="116"/>
      <c r="X5" s="116">
        <v>3</v>
      </c>
      <c r="Y5" s="116"/>
      <c r="Z5" s="116">
        <v>4</v>
      </c>
      <c r="AA5" s="116"/>
      <c r="AB5" s="116">
        <v>1</v>
      </c>
      <c r="AC5" s="116"/>
      <c r="AD5" s="116">
        <v>2</v>
      </c>
      <c r="AE5" s="116"/>
      <c r="AF5" s="116">
        <v>3</v>
      </c>
      <c r="AG5" s="116"/>
      <c r="AH5" s="116">
        <v>4</v>
      </c>
      <c r="AI5" s="116"/>
      <c r="AJ5" s="116">
        <v>1</v>
      </c>
      <c r="AK5" s="116"/>
      <c r="AL5" s="116">
        <v>2</v>
      </c>
      <c r="AM5" s="116"/>
      <c r="AN5" s="116">
        <v>3</v>
      </c>
      <c r="AO5" s="116"/>
      <c r="AP5" s="116">
        <v>4</v>
      </c>
      <c r="AQ5" s="116"/>
      <c r="AR5" s="116">
        <v>1</v>
      </c>
      <c r="AS5" s="116"/>
      <c r="AT5" s="116">
        <v>2</v>
      </c>
      <c r="AU5" s="116"/>
      <c r="AV5" s="116">
        <v>3</v>
      </c>
      <c r="AW5" s="116"/>
      <c r="AX5" s="116">
        <v>4</v>
      </c>
      <c r="AY5" s="116"/>
      <c r="AZ5" s="116">
        <v>1</v>
      </c>
      <c r="BA5" s="116"/>
      <c r="BB5" s="116">
        <v>2</v>
      </c>
      <c r="BC5" s="116"/>
      <c r="BD5" s="116">
        <v>3</v>
      </c>
      <c r="BE5" s="116"/>
      <c r="BF5" s="116">
        <v>4</v>
      </c>
      <c r="BG5" s="116"/>
      <c r="BH5" s="116">
        <v>1</v>
      </c>
      <c r="BI5" s="116"/>
      <c r="BJ5" s="116">
        <v>2</v>
      </c>
      <c r="BK5" s="116"/>
      <c r="BL5" s="116">
        <v>3</v>
      </c>
      <c r="BM5" s="116"/>
      <c r="BN5" s="116">
        <v>4</v>
      </c>
      <c r="BO5" s="116"/>
      <c r="BP5" s="116">
        <v>1</v>
      </c>
      <c r="BQ5" s="116"/>
      <c r="BR5" s="116">
        <v>2</v>
      </c>
      <c r="BS5" s="116"/>
      <c r="BT5" s="116">
        <v>3</v>
      </c>
      <c r="BU5" s="116"/>
      <c r="BV5" s="116">
        <v>4</v>
      </c>
      <c r="BW5" s="116"/>
      <c r="BX5" s="116">
        <v>1</v>
      </c>
      <c r="BY5" s="116"/>
      <c r="BZ5" s="116">
        <v>2</v>
      </c>
      <c r="CA5" s="116"/>
      <c r="CB5" s="116">
        <v>3</v>
      </c>
      <c r="CC5" s="116"/>
      <c r="CD5" s="116">
        <v>4</v>
      </c>
      <c r="CE5" s="116"/>
      <c r="CF5" s="116">
        <v>1</v>
      </c>
      <c r="CG5" s="116"/>
      <c r="CH5" s="116">
        <v>2</v>
      </c>
      <c r="CI5" s="116"/>
      <c r="CJ5" s="116">
        <v>3</v>
      </c>
      <c r="CK5" s="116"/>
      <c r="CL5" s="116">
        <v>4</v>
      </c>
      <c r="CM5" s="116"/>
      <c r="CN5" s="116">
        <v>1</v>
      </c>
      <c r="CO5" s="116"/>
      <c r="CP5" s="116">
        <v>2</v>
      </c>
      <c r="CQ5" s="116"/>
      <c r="CR5" s="116">
        <v>3</v>
      </c>
      <c r="CS5" s="116"/>
      <c r="CT5" s="116">
        <v>4</v>
      </c>
      <c r="CU5" s="116"/>
    </row>
    <row r="6" spans="1:99" x14ac:dyDescent="0.2">
      <c r="B6" s="116" t="s">
        <v>126</v>
      </c>
      <c r="C6" s="116" t="s">
        <v>172</v>
      </c>
      <c r="D6">
        <v>5</v>
      </c>
      <c r="E6">
        <v>2892</v>
      </c>
      <c r="F6">
        <v>7</v>
      </c>
      <c r="G6">
        <v>4048.7999999999997</v>
      </c>
      <c r="H6">
        <v>5</v>
      </c>
      <c r="I6">
        <v>2892</v>
      </c>
      <c r="J6">
        <v>6</v>
      </c>
      <c r="K6">
        <v>3470.3999999999996</v>
      </c>
      <c r="L6">
        <v>30</v>
      </c>
      <c r="M6">
        <v>17352</v>
      </c>
      <c r="N6">
        <v>39</v>
      </c>
      <c r="O6">
        <v>22557.599999999999</v>
      </c>
      <c r="P6">
        <v>33</v>
      </c>
      <c r="Q6">
        <v>19087.2</v>
      </c>
      <c r="R6">
        <v>37</v>
      </c>
      <c r="S6">
        <v>21400.799999999999</v>
      </c>
      <c r="T6">
        <v>83</v>
      </c>
      <c r="U6">
        <v>48007.199999999997</v>
      </c>
      <c r="V6">
        <v>92</v>
      </c>
      <c r="W6">
        <v>53212.799999999996</v>
      </c>
      <c r="X6">
        <v>79</v>
      </c>
      <c r="Y6">
        <v>45693.599999999999</v>
      </c>
      <c r="Z6">
        <v>75</v>
      </c>
      <c r="AA6">
        <v>43380</v>
      </c>
      <c r="AB6">
        <v>8</v>
      </c>
      <c r="AC6">
        <v>4627.2</v>
      </c>
      <c r="AD6">
        <v>7</v>
      </c>
      <c r="AE6">
        <v>4048.7999999999997</v>
      </c>
      <c r="AF6">
        <v>5</v>
      </c>
      <c r="AG6">
        <v>2892</v>
      </c>
      <c r="AH6">
        <v>8</v>
      </c>
      <c r="AI6">
        <v>4627.2</v>
      </c>
      <c r="AJ6">
        <v>7</v>
      </c>
      <c r="AK6">
        <v>4048.7999999999997</v>
      </c>
      <c r="AL6">
        <v>7</v>
      </c>
      <c r="AM6">
        <v>4048.7999999999997</v>
      </c>
      <c r="AN6">
        <v>5</v>
      </c>
      <c r="AO6">
        <v>2892</v>
      </c>
      <c r="AP6">
        <v>8</v>
      </c>
      <c r="AQ6">
        <v>4627.2</v>
      </c>
      <c r="AR6">
        <v>36</v>
      </c>
      <c r="AS6">
        <v>20822.399999999998</v>
      </c>
      <c r="AT6">
        <v>22</v>
      </c>
      <c r="AU6">
        <v>12724.8</v>
      </c>
      <c r="AV6">
        <v>42</v>
      </c>
      <c r="AW6">
        <v>24292.799999999999</v>
      </c>
      <c r="AX6">
        <v>35</v>
      </c>
      <c r="AY6">
        <v>20244</v>
      </c>
      <c r="AZ6">
        <v>28</v>
      </c>
      <c r="BA6">
        <v>16195.199999999999</v>
      </c>
      <c r="BB6">
        <v>23</v>
      </c>
      <c r="BC6">
        <v>13303.199999999999</v>
      </c>
      <c r="BD6">
        <v>24</v>
      </c>
      <c r="BE6">
        <v>13881.599999999999</v>
      </c>
      <c r="BF6">
        <v>25</v>
      </c>
      <c r="BG6">
        <v>14460</v>
      </c>
      <c r="BH6">
        <v>68</v>
      </c>
      <c r="BI6">
        <v>39331.199999999997</v>
      </c>
      <c r="BJ6">
        <v>80</v>
      </c>
      <c r="BK6">
        <v>46272</v>
      </c>
      <c r="BL6">
        <v>74</v>
      </c>
      <c r="BM6">
        <v>42801.599999999999</v>
      </c>
      <c r="BN6">
        <v>68</v>
      </c>
      <c r="BO6">
        <v>39331.199999999997</v>
      </c>
      <c r="BP6">
        <v>66</v>
      </c>
      <c r="BQ6">
        <v>38174.400000000001</v>
      </c>
      <c r="BR6">
        <v>61</v>
      </c>
      <c r="BS6">
        <v>35282.400000000001</v>
      </c>
      <c r="BT6">
        <v>69</v>
      </c>
      <c r="BU6">
        <v>39909.599999999999</v>
      </c>
      <c r="BV6">
        <v>86</v>
      </c>
      <c r="BW6">
        <v>49742.400000000001</v>
      </c>
      <c r="BX6">
        <v>13</v>
      </c>
      <c r="BY6">
        <v>7519.2</v>
      </c>
      <c r="BZ6">
        <v>9</v>
      </c>
      <c r="CA6">
        <v>5205.5999999999995</v>
      </c>
      <c r="CB6">
        <v>8</v>
      </c>
      <c r="CC6">
        <v>4627.2</v>
      </c>
      <c r="CD6">
        <v>8</v>
      </c>
      <c r="CE6">
        <v>4627.2</v>
      </c>
      <c r="CF6">
        <v>18</v>
      </c>
      <c r="CG6">
        <v>10411.199999999999</v>
      </c>
      <c r="CH6">
        <v>18</v>
      </c>
      <c r="CI6">
        <v>10411.199999999999</v>
      </c>
      <c r="CJ6">
        <v>17</v>
      </c>
      <c r="CK6">
        <v>9832.7999999999993</v>
      </c>
      <c r="CL6">
        <v>19</v>
      </c>
      <c r="CM6">
        <v>10989.6</v>
      </c>
      <c r="CN6">
        <v>16</v>
      </c>
      <c r="CO6">
        <v>9254.4</v>
      </c>
      <c r="CP6">
        <v>12</v>
      </c>
      <c r="CQ6">
        <v>6940.7999999999993</v>
      </c>
      <c r="CR6">
        <v>13</v>
      </c>
      <c r="CS6">
        <v>7519.2</v>
      </c>
      <c r="CT6">
        <v>18</v>
      </c>
      <c r="CU6">
        <v>10411.199999999999</v>
      </c>
    </row>
    <row r="7" spans="1:99" x14ac:dyDescent="0.2">
      <c r="C7" s="116" t="s">
        <v>173</v>
      </c>
      <c r="D7">
        <v>5</v>
      </c>
      <c r="E7">
        <v>3942</v>
      </c>
      <c r="F7">
        <v>7</v>
      </c>
      <c r="G7">
        <v>5518.8</v>
      </c>
      <c r="H7">
        <v>5</v>
      </c>
      <c r="I7">
        <v>3942</v>
      </c>
      <c r="J7">
        <v>6</v>
      </c>
      <c r="K7">
        <v>4730.3999999999996</v>
      </c>
      <c r="L7">
        <v>29</v>
      </c>
      <c r="M7">
        <v>22863.599999999999</v>
      </c>
      <c r="N7">
        <v>43</v>
      </c>
      <c r="O7">
        <v>33901.199999999997</v>
      </c>
      <c r="P7">
        <v>28</v>
      </c>
      <c r="Q7">
        <v>22075.200000000001</v>
      </c>
      <c r="R7">
        <v>40</v>
      </c>
      <c r="S7">
        <v>31536</v>
      </c>
      <c r="T7">
        <v>89</v>
      </c>
      <c r="U7">
        <v>70167.599999999991</v>
      </c>
      <c r="V7">
        <v>95</v>
      </c>
      <c r="W7">
        <v>74898</v>
      </c>
      <c r="X7">
        <v>73</v>
      </c>
      <c r="Y7">
        <v>57553.2</v>
      </c>
      <c r="Z7">
        <v>66</v>
      </c>
      <c r="AA7">
        <v>52034.400000000001</v>
      </c>
      <c r="AB7">
        <v>7</v>
      </c>
      <c r="AC7">
        <v>5518.8</v>
      </c>
      <c r="AD7">
        <v>7</v>
      </c>
      <c r="AE7">
        <v>5518.8</v>
      </c>
      <c r="AF7">
        <v>6</v>
      </c>
      <c r="AG7">
        <v>4730.3999999999996</v>
      </c>
      <c r="AH7">
        <v>7</v>
      </c>
      <c r="AI7">
        <v>5518.8</v>
      </c>
      <c r="AJ7">
        <v>7</v>
      </c>
      <c r="AK7">
        <v>5518.8</v>
      </c>
      <c r="AL7">
        <v>7</v>
      </c>
      <c r="AM7">
        <v>5518.8</v>
      </c>
      <c r="AN7">
        <v>5</v>
      </c>
      <c r="AO7">
        <v>3942</v>
      </c>
      <c r="AP7">
        <v>7</v>
      </c>
      <c r="AQ7">
        <v>5518.8</v>
      </c>
      <c r="AR7">
        <v>36</v>
      </c>
      <c r="AS7">
        <v>28382.399999999998</v>
      </c>
      <c r="AT7">
        <v>23</v>
      </c>
      <c r="AU7">
        <v>18133.2</v>
      </c>
      <c r="AV7">
        <v>37</v>
      </c>
      <c r="AW7">
        <v>29170.799999999999</v>
      </c>
      <c r="AX7">
        <v>39</v>
      </c>
      <c r="AY7">
        <v>30747.599999999999</v>
      </c>
      <c r="AZ7">
        <v>28</v>
      </c>
      <c r="BA7">
        <v>22075.200000000001</v>
      </c>
      <c r="BB7">
        <v>22</v>
      </c>
      <c r="BC7">
        <v>17344.8</v>
      </c>
      <c r="BD7">
        <v>23</v>
      </c>
      <c r="BE7">
        <v>18133.2</v>
      </c>
      <c r="BF7">
        <v>23</v>
      </c>
      <c r="BG7">
        <v>18133.2</v>
      </c>
      <c r="BH7">
        <v>69</v>
      </c>
      <c r="BI7">
        <v>54399.6</v>
      </c>
      <c r="BJ7">
        <v>72</v>
      </c>
      <c r="BK7">
        <v>56764.799999999996</v>
      </c>
      <c r="BL7">
        <v>79</v>
      </c>
      <c r="BM7">
        <v>62283.6</v>
      </c>
      <c r="BN7">
        <v>66</v>
      </c>
      <c r="BO7">
        <v>52034.400000000001</v>
      </c>
      <c r="BP7">
        <v>67</v>
      </c>
      <c r="BQ7">
        <v>52822.799999999996</v>
      </c>
      <c r="BR7">
        <v>56</v>
      </c>
      <c r="BS7">
        <v>44150.400000000001</v>
      </c>
      <c r="BT7">
        <v>60</v>
      </c>
      <c r="BU7">
        <v>47304</v>
      </c>
      <c r="BV7">
        <v>90</v>
      </c>
      <c r="BW7">
        <v>70956</v>
      </c>
      <c r="BX7">
        <v>11</v>
      </c>
      <c r="BY7">
        <v>8672.4</v>
      </c>
      <c r="BZ7">
        <v>9</v>
      </c>
      <c r="CA7">
        <v>7095.5999999999995</v>
      </c>
      <c r="CB7">
        <v>8</v>
      </c>
      <c r="CC7">
        <v>6307.2</v>
      </c>
      <c r="CD7">
        <v>8</v>
      </c>
      <c r="CE7">
        <v>6307.2</v>
      </c>
      <c r="CF7">
        <v>17</v>
      </c>
      <c r="CG7">
        <v>13402.8</v>
      </c>
      <c r="CH7">
        <v>20</v>
      </c>
      <c r="CI7">
        <v>15768</v>
      </c>
      <c r="CJ7">
        <v>18</v>
      </c>
      <c r="CK7">
        <v>14191.199999999999</v>
      </c>
      <c r="CL7">
        <v>19</v>
      </c>
      <c r="CM7">
        <v>14979.6</v>
      </c>
      <c r="CN7">
        <v>16</v>
      </c>
      <c r="CO7">
        <v>12614.4</v>
      </c>
      <c r="CP7">
        <v>13</v>
      </c>
      <c r="CQ7">
        <v>10249.199999999999</v>
      </c>
      <c r="CR7">
        <v>11</v>
      </c>
      <c r="CS7">
        <v>8672.4</v>
      </c>
      <c r="CT7">
        <v>18</v>
      </c>
      <c r="CU7">
        <v>14191.199999999999</v>
      </c>
    </row>
    <row r="8" spans="1:99" x14ac:dyDescent="0.2">
      <c r="C8" s="116" t="s">
        <v>174</v>
      </c>
      <c r="D8">
        <v>5</v>
      </c>
      <c r="E8">
        <v>1547.9999999999998</v>
      </c>
      <c r="F8">
        <v>7</v>
      </c>
      <c r="G8">
        <v>2167.1999999999998</v>
      </c>
      <c r="H8">
        <v>5</v>
      </c>
      <c r="I8">
        <v>1547.9999999999998</v>
      </c>
      <c r="J8">
        <v>6</v>
      </c>
      <c r="K8">
        <v>1857.6</v>
      </c>
      <c r="L8">
        <v>32</v>
      </c>
      <c r="M8">
        <v>9907.1999999999989</v>
      </c>
      <c r="N8">
        <v>45</v>
      </c>
      <c r="O8">
        <v>13931.999999999998</v>
      </c>
      <c r="P8">
        <v>29</v>
      </c>
      <c r="Q8">
        <v>8978.4</v>
      </c>
      <c r="R8">
        <v>45</v>
      </c>
      <c r="S8">
        <v>13931.999999999998</v>
      </c>
      <c r="T8">
        <v>99</v>
      </c>
      <c r="U8">
        <v>30650.399999999998</v>
      </c>
      <c r="V8">
        <v>103</v>
      </c>
      <c r="W8">
        <v>31888.799999999996</v>
      </c>
      <c r="X8">
        <v>78</v>
      </c>
      <c r="Y8">
        <v>24148.799999999996</v>
      </c>
      <c r="Z8">
        <v>85</v>
      </c>
      <c r="AA8">
        <v>26315.999999999996</v>
      </c>
      <c r="AB8">
        <v>8</v>
      </c>
      <c r="AC8">
        <v>2476.7999999999997</v>
      </c>
      <c r="AD8">
        <v>7</v>
      </c>
      <c r="AE8">
        <v>2167.1999999999998</v>
      </c>
      <c r="AF8">
        <v>5</v>
      </c>
      <c r="AG8">
        <v>1547.9999999999998</v>
      </c>
      <c r="AH8">
        <v>9</v>
      </c>
      <c r="AI8">
        <v>2786.3999999999996</v>
      </c>
      <c r="AJ8">
        <v>8</v>
      </c>
      <c r="AK8">
        <v>2476.7999999999997</v>
      </c>
      <c r="AL8">
        <v>8</v>
      </c>
      <c r="AM8">
        <v>2476.7999999999997</v>
      </c>
      <c r="AN8">
        <v>5</v>
      </c>
      <c r="AO8">
        <v>1547.9999999999998</v>
      </c>
      <c r="AP8">
        <v>8</v>
      </c>
      <c r="AQ8">
        <v>2476.7999999999997</v>
      </c>
      <c r="AR8">
        <v>39</v>
      </c>
      <c r="AS8">
        <v>12074.399999999998</v>
      </c>
      <c r="AT8">
        <v>24</v>
      </c>
      <c r="AU8">
        <v>7430.4</v>
      </c>
      <c r="AV8">
        <v>41</v>
      </c>
      <c r="AW8">
        <v>12693.599999999999</v>
      </c>
      <c r="AX8">
        <v>44</v>
      </c>
      <c r="AY8">
        <v>13622.399999999998</v>
      </c>
      <c r="AZ8">
        <v>30</v>
      </c>
      <c r="BA8">
        <v>9287.9999999999982</v>
      </c>
      <c r="BB8">
        <v>26</v>
      </c>
      <c r="BC8">
        <v>8049.5999999999995</v>
      </c>
      <c r="BD8">
        <v>24</v>
      </c>
      <c r="BE8">
        <v>7430.4</v>
      </c>
      <c r="BF8">
        <v>29</v>
      </c>
      <c r="BG8">
        <v>8978.4</v>
      </c>
      <c r="BH8">
        <v>83</v>
      </c>
      <c r="BI8">
        <v>25696.799999999996</v>
      </c>
      <c r="BJ8">
        <v>73</v>
      </c>
      <c r="BK8">
        <v>22600.799999999999</v>
      </c>
      <c r="BL8">
        <v>79</v>
      </c>
      <c r="BM8">
        <v>24458.399999999998</v>
      </c>
      <c r="BN8">
        <v>77</v>
      </c>
      <c r="BO8">
        <v>23839.199999999997</v>
      </c>
      <c r="BP8">
        <v>74</v>
      </c>
      <c r="BQ8">
        <v>22910.399999999998</v>
      </c>
      <c r="BR8">
        <v>68</v>
      </c>
      <c r="BS8">
        <v>21052.799999999999</v>
      </c>
      <c r="BT8">
        <v>63</v>
      </c>
      <c r="BU8">
        <v>19504.8</v>
      </c>
      <c r="BV8">
        <v>106</v>
      </c>
      <c r="BW8">
        <v>32817.599999999999</v>
      </c>
      <c r="BX8">
        <v>13</v>
      </c>
      <c r="BY8">
        <v>4024.7999999999997</v>
      </c>
      <c r="BZ8">
        <v>10</v>
      </c>
      <c r="CA8">
        <v>3095.9999999999995</v>
      </c>
      <c r="CB8">
        <v>9</v>
      </c>
      <c r="CC8">
        <v>2786.3999999999996</v>
      </c>
      <c r="CD8">
        <v>9</v>
      </c>
      <c r="CE8">
        <v>2786.3999999999996</v>
      </c>
      <c r="CF8">
        <v>19</v>
      </c>
      <c r="CG8">
        <v>5882.4</v>
      </c>
      <c r="CH8">
        <v>20</v>
      </c>
      <c r="CI8">
        <v>6191.9999999999991</v>
      </c>
      <c r="CJ8">
        <v>19</v>
      </c>
      <c r="CK8">
        <v>5882.4</v>
      </c>
      <c r="CL8">
        <v>21</v>
      </c>
      <c r="CM8">
        <v>6501.5999999999995</v>
      </c>
      <c r="CN8">
        <v>17</v>
      </c>
      <c r="CO8">
        <v>5263.2</v>
      </c>
      <c r="CP8">
        <v>13</v>
      </c>
      <c r="CQ8">
        <v>4024.7999999999997</v>
      </c>
      <c r="CR8">
        <v>12</v>
      </c>
      <c r="CS8">
        <v>3715.2</v>
      </c>
      <c r="CT8">
        <v>20</v>
      </c>
      <c r="CU8">
        <v>6191.9999999999991</v>
      </c>
    </row>
    <row r="9" spans="1:99" x14ac:dyDescent="0.2">
      <c r="C9" s="116" t="s">
        <v>175</v>
      </c>
      <c r="D9">
        <v>4</v>
      </c>
      <c r="E9">
        <v>2808</v>
      </c>
      <c r="F9">
        <v>6</v>
      </c>
      <c r="G9">
        <v>4212</v>
      </c>
      <c r="H9">
        <v>5</v>
      </c>
      <c r="I9">
        <v>3510</v>
      </c>
      <c r="J9">
        <v>6</v>
      </c>
      <c r="K9">
        <v>4212</v>
      </c>
      <c r="L9">
        <v>31</v>
      </c>
      <c r="M9">
        <v>21762</v>
      </c>
      <c r="N9">
        <v>43</v>
      </c>
      <c r="O9">
        <v>30186</v>
      </c>
      <c r="P9">
        <v>28</v>
      </c>
      <c r="Q9">
        <v>19656</v>
      </c>
      <c r="R9">
        <v>40</v>
      </c>
      <c r="S9">
        <v>28080</v>
      </c>
      <c r="T9">
        <v>92</v>
      </c>
      <c r="U9">
        <v>64584</v>
      </c>
      <c r="V9">
        <v>83</v>
      </c>
      <c r="W9">
        <v>58266</v>
      </c>
      <c r="X9">
        <v>75</v>
      </c>
      <c r="Y9">
        <v>52650</v>
      </c>
      <c r="Z9">
        <v>67</v>
      </c>
      <c r="AA9">
        <v>47034</v>
      </c>
      <c r="AB9">
        <v>9</v>
      </c>
      <c r="AC9">
        <v>6318</v>
      </c>
      <c r="AD9">
        <v>6</v>
      </c>
      <c r="AE9">
        <v>4212</v>
      </c>
      <c r="AF9">
        <v>5</v>
      </c>
      <c r="AG9">
        <v>3510</v>
      </c>
      <c r="AH9">
        <v>9</v>
      </c>
      <c r="AI9">
        <v>6318</v>
      </c>
      <c r="AJ9">
        <v>7</v>
      </c>
      <c r="AK9">
        <v>4914</v>
      </c>
      <c r="AL9">
        <v>7</v>
      </c>
      <c r="AM9">
        <v>4914</v>
      </c>
      <c r="AN9">
        <v>5</v>
      </c>
      <c r="AO9">
        <v>3510</v>
      </c>
      <c r="AP9">
        <v>7</v>
      </c>
      <c r="AQ9">
        <v>4914</v>
      </c>
      <c r="AR9">
        <v>32</v>
      </c>
      <c r="AS9">
        <v>22464</v>
      </c>
      <c r="AT9">
        <v>22</v>
      </c>
      <c r="AU9">
        <v>15444</v>
      </c>
      <c r="AV9">
        <v>39</v>
      </c>
      <c r="AW9">
        <v>27378</v>
      </c>
      <c r="AX9">
        <v>37</v>
      </c>
      <c r="AY9">
        <v>25974</v>
      </c>
      <c r="AZ9">
        <v>28</v>
      </c>
      <c r="BA9">
        <v>19656</v>
      </c>
      <c r="BB9">
        <v>21</v>
      </c>
      <c r="BC9">
        <v>14742</v>
      </c>
      <c r="BD9">
        <v>22</v>
      </c>
      <c r="BE9">
        <v>15444</v>
      </c>
      <c r="BF9">
        <v>25</v>
      </c>
      <c r="BG9">
        <v>17550</v>
      </c>
      <c r="BH9">
        <v>70</v>
      </c>
      <c r="BI9">
        <v>49140</v>
      </c>
      <c r="BJ9">
        <v>74</v>
      </c>
      <c r="BK9">
        <v>51948</v>
      </c>
      <c r="BL9">
        <v>74</v>
      </c>
      <c r="BM9">
        <v>51948</v>
      </c>
      <c r="BN9">
        <v>67</v>
      </c>
      <c r="BO9">
        <v>47034</v>
      </c>
      <c r="BP9">
        <v>68</v>
      </c>
      <c r="BQ9">
        <v>47736</v>
      </c>
      <c r="BR9">
        <v>58</v>
      </c>
      <c r="BS9">
        <v>40716</v>
      </c>
      <c r="BT9">
        <v>59</v>
      </c>
      <c r="BU9">
        <v>41418</v>
      </c>
      <c r="BV9">
        <v>92</v>
      </c>
      <c r="BW9">
        <v>64584</v>
      </c>
      <c r="BX9">
        <v>11</v>
      </c>
      <c r="BY9">
        <v>7722</v>
      </c>
      <c r="BZ9">
        <v>10</v>
      </c>
      <c r="CA9">
        <v>7020</v>
      </c>
      <c r="CB9">
        <v>8</v>
      </c>
      <c r="CC9">
        <v>5616</v>
      </c>
      <c r="CD9">
        <v>8</v>
      </c>
      <c r="CE9">
        <v>5616</v>
      </c>
      <c r="CF9">
        <v>15</v>
      </c>
      <c r="CG9">
        <v>10530</v>
      </c>
      <c r="CH9">
        <v>18</v>
      </c>
      <c r="CI9">
        <v>12636</v>
      </c>
      <c r="CJ9">
        <v>17</v>
      </c>
      <c r="CK9">
        <v>11934</v>
      </c>
      <c r="CL9">
        <v>18</v>
      </c>
      <c r="CM9">
        <v>12636</v>
      </c>
      <c r="CN9">
        <v>15</v>
      </c>
      <c r="CO9">
        <v>10530</v>
      </c>
      <c r="CP9">
        <v>12</v>
      </c>
      <c r="CQ9">
        <v>8424</v>
      </c>
      <c r="CR9">
        <v>12</v>
      </c>
      <c r="CS9">
        <v>8424</v>
      </c>
      <c r="CT9">
        <v>17</v>
      </c>
      <c r="CU9">
        <v>11934</v>
      </c>
    </row>
    <row r="10" spans="1:99" x14ac:dyDescent="0.2">
      <c r="C10" s="116" t="s">
        <v>176</v>
      </c>
      <c r="D10">
        <v>5</v>
      </c>
      <c r="E10">
        <v>2724</v>
      </c>
      <c r="F10">
        <v>7</v>
      </c>
      <c r="G10">
        <v>3813.5999999999995</v>
      </c>
      <c r="H10">
        <v>5</v>
      </c>
      <c r="I10">
        <v>2724</v>
      </c>
      <c r="J10">
        <v>6</v>
      </c>
      <c r="K10">
        <v>3268.7999999999997</v>
      </c>
      <c r="L10">
        <v>27</v>
      </c>
      <c r="M10">
        <v>14709.599999999999</v>
      </c>
      <c r="N10">
        <v>44</v>
      </c>
      <c r="O10">
        <v>23971.199999999997</v>
      </c>
      <c r="P10">
        <v>29</v>
      </c>
      <c r="Q10">
        <v>15799.199999999999</v>
      </c>
      <c r="R10">
        <v>41</v>
      </c>
      <c r="S10">
        <v>22336.799999999999</v>
      </c>
      <c r="T10">
        <v>80</v>
      </c>
      <c r="U10">
        <v>43584</v>
      </c>
      <c r="V10">
        <v>90</v>
      </c>
      <c r="W10">
        <v>49031.999999999993</v>
      </c>
      <c r="X10">
        <v>86</v>
      </c>
      <c r="Y10">
        <v>46852.799999999996</v>
      </c>
      <c r="Z10">
        <v>69</v>
      </c>
      <c r="AA10">
        <v>37591.199999999997</v>
      </c>
      <c r="AB10">
        <v>9</v>
      </c>
      <c r="AC10">
        <v>4903.2</v>
      </c>
      <c r="AD10">
        <v>7</v>
      </c>
      <c r="AE10">
        <v>3813.5999999999995</v>
      </c>
      <c r="AF10">
        <v>5</v>
      </c>
      <c r="AG10">
        <v>2724</v>
      </c>
      <c r="AH10">
        <v>8</v>
      </c>
      <c r="AI10">
        <v>4358.3999999999996</v>
      </c>
      <c r="AJ10">
        <v>7</v>
      </c>
      <c r="AK10">
        <v>3813.5999999999995</v>
      </c>
      <c r="AL10">
        <v>8</v>
      </c>
      <c r="AM10">
        <v>4358.3999999999996</v>
      </c>
      <c r="AN10">
        <v>6</v>
      </c>
      <c r="AO10">
        <v>3268.7999999999997</v>
      </c>
      <c r="AP10">
        <v>8</v>
      </c>
      <c r="AQ10">
        <v>4358.3999999999996</v>
      </c>
      <c r="AR10">
        <v>33</v>
      </c>
      <c r="AS10">
        <v>17978.399999999998</v>
      </c>
      <c r="AT10">
        <v>24</v>
      </c>
      <c r="AU10">
        <v>13075.199999999999</v>
      </c>
      <c r="AV10">
        <v>40</v>
      </c>
      <c r="AW10">
        <v>21792</v>
      </c>
      <c r="AX10">
        <v>36</v>
      </c>
      <c r="AY10">
        <v>19612.8</v>
      </c>
      <c r="AZ10">
        <v>26</v>
      </c>
      <c r="BA10">
        <v>14164.8</v>
      </c>
      <c r="BB10">
        <v>21</v>
      </c>
      <c r="BC10">
        <v>11440.8</v>
      </c>
      <c r="BD10">
        <v>20</v>
      </c>
      <c r="BE10">
        <v>10896</v>
      </c>
      <c r="BF10">
        <v>26</v>
      </c>
      <c r="BG10">
        <v>14164.8</v>
      </c>
      <c r="BH10">
        <v>67</v>
      </c>
      <c r="BI10">
        <v>36501.599999999999</v>
      </c>
      <c r="BJ10">
        <v>78</v>
      </c>
      <c r="BK10">
        <v>42494.399999999994</v>
      </c>
      <c r="BL10">
        <v>81</v>
      </c>
      <c r="BM10">
        <v>44128.799999999996</v>
      </c>
      <c r="BN10">
        <v>72</v>
      </c>
      <c r="BO10">
        <v>39225.599999999999</v>
      </c>
      <c r="BP10">
        <v>71</v>
      </c>
      <c r="BQ10">
        <v>38680.799999999996</v>
      </c>
      <c r="BR10">
        <v>67</v>
      </c>
      <c r="BS10">
        <v>36501.599999999999</v>
      </c>
      <c r="BT10">
        <v>60</v>
      </c>
      <c r="BU10">
        <v>32687.999999999996</v>
      </c>
      <c r="BV10">
        <v>89</v>
      </c>
      <c r="BW10">
        <v>48487.199999999997</v>
      </c>
      <c r="BX10">
        <v>12</v>
      </c>
      <c r="BY10">
        <v>6537.5999999999995</v>
      </c>
      <c r="BZ10">
        <v>9</v>
      </c>
      <c r="CA10">
        <v>4903.2</v>
      </c>
      <c r="CB10">
        <v>8</v>
      </c>
      <c r="CC10">
        <v>4358.3999999999996</v>
      </c>
      <c r="CD10">
        <v>8</v>
      </c>
      <c r="CE10">
        <v>4358.3999999999996</v>
      </c>
      <c r="CF10">
        <v>16</v>
      </c>
      <c r="CG10">
        <v>8716.7999999999993</v>
      </c>
      <c r="CH10">
        <v>20</v>
      </c>
      <c r="CI10">
        <v>10896</v>
      </c>
      <c r="CJ10">
        <v>20</v>
      </c>
      <c r="CK10">
        <v>10896</v>
      </c>
      <c r="CL10">
        <v>18</v>
      </c>
      <c r="CM10">
        <v>9806.4</v>
      </c>
      <c r="CN10">
        <v>16</v>
      </c>
      <c r="CO10">
        <v>8716.7999999999993</v>
      </c>
      <c r="CP10">
        <v>14</v>
      </c>
      <c r="CQ10">
        <v>7627.1999999999989</v>
      </c>
      <c r="CR10">
        <v>13</v>
      </c>
      <c r="CS10">
        <v>7082.4</v>
      </c>
      <c r="CT10">
        <v>19</v>
      </c>
      <c r="CU10">
        <v>10351.199999999999</v>
      </c>
    </row>
    <row r="11" spans="1:99" x14ac:dyDescent="0.2">
      <c r="C11" s="116" t="s">
        <v>177</v>
      </c>
      <c r="D11">
        <v>4</v>
      </c>
      <c r="E11">
        <v>2131.1999999999998</v>
      </c>
      <c r="F11">
        <v>6</v>
      </c>
      <c r="G11">
        <v>3196.7999999999997</v>
      </c>
      <c r="H11">
        <v>5</v>
      </c>
      <c r="I11">
        <v>2664</v>
      </c>
      <c r="J11">
        <v>6</v>
      </c>
      <c r="K11">
        <v>3196.7999999999997</v>
      </c>
      <c r="L11">
        <v>29</v>
      </c>
      <c r="M11">
        <v>15451.199999999999</v>
      </c>
      <c r="N11">
        <v>43</v>
      </c>
      <c r="O11">
        <v>22910.399999999998</v>
      </c>
      <c r="P11">
        <v>30</v>
      </c>
      <c r="Q11">
        <v>15983.999999999998</v>
      </c>
      <c r="R11">
        <v>45</v>
      </c>
      <c r="S11">
        <v>23975.999999999996</v>
      </c>
      <c r="T11">
        <v>83</v>
      </c>
      <c r="U11">
        <v>44222.399999999994</v>
      </c>
      <c r="V11">
        <v>88</v>
      </c>
      <c r="W11">
        <v>46886.399999999994</v>
      </c>
      <c r="X11">
        <v>90</v>
      </c>
      <c r="Y11">
        <v>47951.999999999993</v>
      </c>
      <c r="Z11">
        <v>77</v>
      </c>
      <c r="AA11">
        <v>41025.599999999999</v>
      </c>
      <c r="AB11">
        <v>8</v>
      </c>
      <c r="AC11">
        <v>4262.3999999999996</v>
      </c>
      <c r="AD11">
        <v>8</v>
      </c>
      <c r="AE11">
        <v>4262.3999999999996</v>
      </c>
      <c r="AF11">
        <v>5</v>
      </c>
      <c r="AG11">
        <v>2664</v>
      </c>
      <c r="AH11">
        <v>8</v>
      </c>
      <c r="AI11">
        <v>4262.3999999999996</v>
      </c>
      <c r="AJ11">
        <v>7</v>
      </c>
      <c r="AK11">
        <v>3729.5999999999995</v>
      </c>
      <c r="AL11">
        <v>8</v>
      </c>
      <c r="AM11">
        <v>4262.3999999999996</v>
      </c>
      <c r="AN11">
        <v>5</v>
      </c>
      <c r="AO11">
        <v>2664</v>
      </c>
      <c r="AP11">
        <v>8</v>
      </c>
      <c r="AQ11">
        <v>4262.3999999999996</v>
      </c>
      <c r="AR11">
        <v>35</v>
      </c>
      <c r="AS11">
        <v>18648</v>
      </c>
      <c r="AT11">
        <v>23</v>
      </c>
      <c r="AU11">
        <v>12254.4</v>
      </c>
      <c r="AV11">
        <v>37</v>
      </c>
      <c r="AW11">
        <v>19713.599999999999</v>
      </c>
      <c r="AX11">
        <v>40</v>
      </c>
      <c r="AY11">
        <v>21312</v>
      </c>
      <c r="AZ11">
        <v>31</v>
      </c>
      <c r="BA11">
        <v>16516.8</v>
      </c>
      <c r="BB11">
        <v>25</v>
      </c>
      <c r="BC11">
        <v>13319.999999999998</v>
      </c>
      <c r="BD11">
        <v>25</v>
      </c>
      <c r="BE11">
        <v>13319.999999999998</v>
      </c>
      <c r="BF11">
        <v>28</v>
      </c>
      <c r="BG11">
        <v>14918.399999999998</v>
      </c>
      <c r="BH11">
        <v>77</v>
      </c>
      <c r="BI11">
        <v>41025.599999999999</v>
      </c>
      <c r="BJ11">
        <v>74</v>
      </c>
      <c r="BK11">
        <v>39427.199999999997</v>
      </c>
      <c r="BL11">
        <v>75</v>
      </c>
      <c r="BM11">
        <v>39960</v>
      </c>
      <c r="BN11">
        <v>66</v>
      </c>
      <c r="BO11">
        <v>35164.799999999996</v>
      </c>
      <c r="BP11">
        <v>70</v>
      </c>
      <c r="BQ11">
        <v>37296</v>
      </c>
      <c r="BR11">
        <v>66</v>
      </c>
      <c r="BS11">
        <v>35164.799999999996</v>
      </c>
      <c r="BT11">
        <v>69</v>
      </c>
      <c r="BU11">
        <v>36763.199999999997</v>
      </c>
      <c r="BV11">
        <v>97</v>
      </c>
      <c r="BW11">
        <v>51681.599999999999</v>
      </c>
      <c r="BX11">
        <v>12</v>
      </c>
      <c r="BY11">
        <v>6393.5999999999995</v>
      </c>
      <c r="BZ11">
        <v>10</v>
      </c>
      <c r="CA11">
        <v>5328</v>
      </c>
      <c r="CB11">
        <v>9</v>
      </c>
      <c r="CC11">
        <v>4795.2</v>
      </c>
      <c r="CD11">
        <v>9</v>
      </c>
      <c r="CE11">
        <v>4795.2</v>
      </c>
      <c r="CF11">
        <v>18</v>
      </c>
      <c r="CG11">
        <v>9590.4</v>
      </c>
      <c r="CH11">
        <v>18</v>
      </c>
      <c r="CI11">
        <v>9590.4</v>
      </c>
      <c r="CJ11">
        <v>17</v>
      </c>
      <c r="CK11">
        <v>9057.5999999999985</v>
      </c>
      <c r="CL11">
        <v>20</v>
      </c>
      <c r="CM11">
        <v>10656</v>
      </c>
      <c r="CN11">
        <v>15</v>
      </c>
      <c r="CO11">
        <v>7991.9999999999991</v>
      </c>
      <c r="CP11">
        <v>12</v>
      </c>
      <c r="CQ11">
        <v>6393.5999999999995</v>
      </c>
      <c r="CR11">
        <v>14</v>
      </c>
      <c r="CS11">
        <v>7459.1999999999989</v>
      </c>
      <c r="CT11">
        <v>19</v>
      </c>
      <c r="CU11">
        <v>10123.199999999999</v>
      </c>
    </row>
    <row r="12" spans="1:99" x14ac:dyDescent="0.2">
      <c r="C12" s="116" t="s">
        <v>178</v>
      </c>
      <c r="D12">
        <v>5</v>
      </c>
      <c r="E12">
        <v>2814</v>
      </c>
      <c r="F12">
        <v>6</v>
      </c>
      <c r="G12">
        <v>3376.7999999999997</v>
      </c>
      <c r="H12">
        <v>6</v>
      </c>
      <c r="I12">
        <v>3376.7999999999997</v>
      </c>
      <c r="J12">
        <v>6</v>
      </c>
      <c r="K12">
        <v>3376.7999999999997</v>
      </c>
      <c r="L12">
        <v>30</v>
      </c>
      <c r="M12">
        <v>16884</v>
      </c>
      <c r="N12">
        <v>40</v>
      </c>
      <c r="O12">
        <v>22512</v>
      </c>
      <c r="P12">
        <v>28</v>
      </c>
      <c r="Q12">
        <v>15758.399999999998</v>
      </c>
      <c r="R12">
        <v>40</v>
      </c>
      <c r="S12">
        <v>22512</v>
      </c>
      <c r="T12">
        <v>88</v>
      </c>
      <c r="U12">
        <v>49526.399999999994</v>
      </c>
      <c r="V12">
        <v>85</v>
      </c>
      <c r="W12">
        <v>47837.999999999993</v>
      </c>
      <c r="X12">
        <v>88</v>
      </c>
      <c r="Y12">
        <v>49526.399999999994</v>
      </c>
      <c r="Z12">
        <v>71</v>
      </c>
      <c r="AA12">
        <v>39958.799999999996</v>
      </c>
      <c r="AB12">
        <v>8</v>
      </c>
      <c r="AC12">
        <v>4502.3999999999996</v>
      </c>
      <c r="AD12">
        <v>7</v>
      </c>
      <c r="AE12">
        <v>3939.5999999999995</v>
      </c>
      <c r="AF12">
        <v>6</v>
      </c>
      <c r="AG12">
        <v>3376.7999999999997</v>
      </c>
      <c r="AH12">
        <v>8</v>
      </c>
      <c r="AI12">
        <v>4502.3999999999996</v>
      </c>
      <c r="AJ12">
        <v>7</v>
      </c>
      <c r="AK12">
        <v>3939.5999999999995</v>
      </c>
      <c r="AL12">
        <v>8</v>
      </c>
      <c r="AM12">
        <v>4502.3999999999996</v>
      </c>
      <c r="AN12">
        <v>5</v>
      </c>
      <c r="AO12">
        <v>2814</v>
      </c>
      <c r="AP12">
        <v>7</v>
      </c>
      <c r="AQ12">
        <v>3939.5999999999995</v>
      </c>
      <c r="AR12">
        <v>37</v>
      </c>
      <c r="AS12">
        <v>20823.599999999999</v>
      </c>
      <c r="AT12">
        <v>22</v>
      </c>
      <c r="AU12">
        <v>12381.599999999999</v>
      </c>
      <c r="AV12">
        <v>40</v>
      </c>
      <c r="AW12">
        <v>22512</v>
      </c>
      <c r="AX12">
        <v>41</v>
      </c>
      <c r="AY12">
        <v>23074.799999999999</v>
      </c>
      <c r="AZ12">
        <v>29</v>
      </c>
      <c r="BA12">
        <v>16321.199999999999</v>
      </c>
      <c r="BB12">
        <v>23</v>
      </c>
      <c r="BC12">
        <v>12944.4</v>
      </c>
      <c r="BD12">
        <v>23</v>
      </c>
      <c r="BE12">
        <v>12944.4</v>
      </c>
      <c r="BF12">
        <v>26</v>
      </c>
      <c r="BG12">
        <v>14632.8</v>
      </c>
      <c r="BH12">
        <v>66</v>
      </c>
      <c r="BI12">
        <v>37144.799999999996</v>
      </c>
      <c r="BJ12">
        <v>79</v>
      </c>
      <c r="BK12">
        <v>44461.2</v>
      </c>
      <c r="BL12">
        <v>83</v>
      </c>
      <c r="BM12">
        <v>46712.399999999994</v>
      </c>
      <c r="BN12">
        <v>69</v>
      </c>
      <c r="BO12">
        <v>38833.199999999997</v>
      </c>
      <c r="BP12">
        <v>63</v>
      </c>
      <c r="BQ12">
        <v>35456.399999999994</v>
      </c>
      <c r="BR12">
        <v>69</v>
      </c>
      <c r="BS12">
        <v>38833.199999999997</v>
      </c>
      <c r="BT12">
        <v>69</v>
      </c>
      <c r="BU12">
        <v>38833.199999999997</v>
      </c>
      <c r="BV12">
        <v>83</v>
      </c>
      <c r="BW12">
        <v>46712.399999999994</v>
      </c>
      <c r="BX12">
        <v>12</v>
      </c>
      <c r="BY12">
        <v>6753.5999999999995</v>
      </c>
      <c r="BZ12">
        <v>9</v>
      </c>
      <c r="CA12">
        <v>5065.2</v>
      </c>
      <c r="CB12">
        <v>8</v>
      </c>
      <c r="CC12">
        <v>4502.3999999999996</v>
      </c>
      <c r="CD12">
        <v>8</v>
      </c>
      <c r="CE12">
        <v>4502.3999999999996</v>
      </c>
      <c r="CF12">
        <v>16</v>
      </c>
      <c r="CG12">
        <v>9004.7999999999993</v>
      </c>
      <c r="CH12">
        <v>20</v>
      </c>
      <c r="CI12">
        <v>11256</v>
      </c>
      <c r="CJ12">
        <v>19</v>
      </c>
      <c r="CK12">
        <v>10693.199999999999</v>
      </c>
      <c r="CL12">
        <v>20</v>
      </c>
      <c r="CM12">
        <v>11256</v>
      </c>
      <c r="CN12">
        <v>17</v>
      </c>
      <c r="CO12">
        <v>9567.5999999999985</v>
      </c>
      <c r="CP12">
        <v>13</v>
      </c>
      <c r="CQ12">
        <v>7316.4</v>
      </c>
      <c r="CR12">
        <v>13</v>
      </c>
      <c r="CS12">
        <v>7316.4</v>
      </c>
      <c r="CT12">
        <v>19</v>
      </c>
      <c r="CU12">
        <v>10693.199999999999</v>
      </c>
    </row>
    <row r="13" spans="1:99" x14ac:dyDescent="0.2">
      <c r="C13" s="116" t="s">
        <v>179</v>
      </c>
      <c r="D13">
        <v>5</v>
      </c>
      <c r="E13">
        <v>426</v>
      </c>
      <c r="F13">
        <v>7</v>
      </c>
      <c r="G13">
        <v>596.4</v>
      </c>
      <c r="H13">
        <v>5</v>
      </c>
      <c r="I13">
        <v>426</v>
      </c>
      <c r="J13">
        <v>6</v>
      </c>
      <c r="K13">
        <v>511.20000000000005</v>
      </c>
      <c r="L13">
        <v>32</v>
      </c>
      <c r="M13">
        <v>2726.4</v>
      </c>
      <c r="N13">
        <v>45</v>
      </c>
      <c r="O13">
        <v>3834</v>
      </c>
      <c r="P13">
        <v>31</v>
      </c>
      <c r="Q13">
        <v>2641.2000000000003</v>
      </c>
      <c r="R13">
        <v>47</v>
      </c>
      <c r="S13">
        <v>4004.4</v>
      </c>
      <c r="T13">
        <v>103</v>
      </c>
      <c r="U13">
        <v>8775.6</v>
      </c>
      <c r="V13">
        <v>98</v>
      </c>
      <c r="W13">
        <v>8349.6</v>
      </c>
      <c r="X13">
        <v>84</v>
      </c>
      <c r="Y13">
        <v>7156.8</v>
      </c>
      <c r="Z13">
        <v>79</v>
      </c>
      <c r="AA13">
        <v>6730.8</v>
      </c>
      <c r="AB13">
        <v>8</v>
      </c>
      <c r="AC13">
        <v>681.6</v>
      </c>
      <c r="AD13">
        <v>8</v>
      </c>
      <c r="AE13">
        <v>681.6</v>
      </c>
      <c r="AF13">
        <v>5</v>
      </c>
      <c r="AG13">
        <v>426</v>
      </c>
      <c r="AH13">
        <v>8</v>
      </c>
      <c r="AI13">
        <v>681.6</v>
      </c>
      <c r="AJ13">
        <v>8</v>
      </c>
      <c r="AK13">
        <v>681.6</v>
      </c>
      <c r="AL13">
        <v>8</v>
      </c>
      <c r="AM13">
        <v>681.6</v>
      </c>
      <c r="AN13">
        <v>5</v>
      </c>
      <c r="AO13">
        <v>426</v>
      </c>
      <c r="AP13">
        <v>8</v>
      </c>
      <c r="AQ13">
        <v>681.6</v>
      </c>
      <c r="AR13">
        <v>40</v>
      </c>
      <c r="AS13">
        <v>3408</v>
      </c>
      <c r="AT13">
        <v>26</v>
      </c>
      <c r="AU13">
        <v>2215.2000000000003</v>
      </c>
      <c r="AV13">
        <v>40</v>
      </c>
      <c r="AW13">
        <v>3408</v>
      </c>
      <c r="AX13">
        <v>43</v>
      </c>
      <c r="AY13">
        <v>3663.6</v>
      </c>
      <c r="AZ13">
        <v>27</v>
      </c>
      <c r="BA13">
        <v>2300.4</v>
      </c>
      <c r="BB13">
        <v>24</v>
      </c>
      <c r="BC13">
        <v>2044.8000000000002</v>
      </c>
      <c r="BD13">
        <v>24</v>
      </c>
      <c r="BE13">
        <v>2044.8000000000002</v>
      </c>
      <c r="BF13">
        <v>30</v>
      </c>
      <c r="BG13">
        <v>2556</v>
      </c>
      <c r="BH13">
        <v>72</v>
      </c>
      <c r="BI13">
        <v>6134.4000000000005</v>
      </c>
      <c r="BJ13">
        <v>87</v>
      </c>
      <c r="BK13">
        <v>7412.4000000000005</v>
      </c>
      <c r="BL13">
        <v>80</v>
      </c>
      <c r="BM13">
        <v>6816</v>
      </c>
      <c r="BN13">
        <v>77</v>
      </c>
      <c r="BO13">
        <v>6560.4000000000005</v>
      </c>
      <c r="BP13">
        <v>78</v>
      </c>
      <c r="BQ13">
        <v>6645.6</v>
      </c>
      <c r="BR13">
        <v>73</v>
      </c>
      <c r="BS13">
        <v>6219.6</v>
      </c>
      <c r="BT13">
        <v>72</v>
      </c>
      <c r="BU13">
        <v>6134.4000000000005</v>
      </c>
      <c r="BV13">
        <v>101</v>
      </c>
      <c r="BW13">
        <v>8605.2000000000007</v>
      </c>
      <c r="BX13">
        <v>13</v>
      </c>
      <c r="BY13">
        <v>1107.6000000000001</v>
      </c>
      <c r="BZ13">
        <v>10</v>
      </c>
      <c r="CA13">
        <v>852</v>
      </c>
      <c r="CB13">
        <v>10</v>
      </c>
      <c r="CC13">
        <v>852</v>
      </c>
      <c r="CD13">
        <v>8</v>
      </c>
      <c r="CE13">
        <v>681.6</v>
      </c>
      <c r="CF13">
        <v>17</v>
      </c>
      <c r="CG13">
        <v>1448.4</v>
      </c>
      <c r="CH13">
        <v>22</v>
      </c>
      <c r="CI13">
        <v>1874.4</v>
      </c>
      <c r="CJ13">
        <v>19</v>
      </c>
      <c r="CK13">
        <v>1618.8</v>
      </c>
      <c r="CL13">
        <v>19</v>
      </c>
      <c r="CM13">
        <v>1618.8</v>
      </c>
      <c r="CN13">
        <v>15</v>
      </c>
      <c r="CO13">
        <v>1278</v>
      </c>
      <c r="CP13">
        <v>13</v>
      </c>
      <c r="CQ13">
        <v>1107.6000000000001</v>
      </c>
      <c r="CR13">
        <v>12</v>
      </c>
      <c r="CS13">
        <v>1022.4000000000001</v>
      </c>
      <c r="CT13">
        <v>19</v>
      </c>
      <c r="CU13">
        <v>1618.8</v>
      </c>
    </row>
    <row r="14" spans="1:99" x14ac:dyDescent="0.2">
      <c r="C14" s="116" t="s">
        <v>180</v>
      </c>
      <c r="D14">
        <v>4</v>
      </c>
      <c r="E14">
        <v>1953.6</v>
      </c>
      <c r="F14">
        <v>7</v>
      </c>
      <c r="G14">
        <v>3418.7999999999997</v>
      </c>
      <c r="H14">
        <v>5</v>
      </c>
      <c r="I14">
        <v>2442</v>
      </c>
      <c r="J14">
        <v>6</v>
      </c>
      <c r="K14">
        <v>2930.3999999999996</v>
      </c>
      <c r="L14">
        <v>30</v>
      </c>
      <c r="M14">
        <v>14652</v>
      </c>
      <c r="N14">
        <v>40</v>
      </c>
      <c r="O14">
        <v>19536</v>
      </c>
      <c r="P14">
        <v>32</v>
      </c>
      <c r="Q14">
        <v>15628.8</v>
      </c>
      <c r="R14">
        <v>37</v>
      </c>
      <c r="S14">
        <v>18070.8</v>
      </c>
      <c r="T14">
        <v>93</v>
      </c>
      <c r="U14">
        <v>45421.2</v>
      </c>
      <c r="V14">
        <v>96</v>
      </c>
      <c r="W14">
        <v>46886.399999999994</v>
      </c>
      <c r="X14">
        <v>84</v>
      </c>
      <c r="Y14">
        <v>41025.599999999999</v>
      </c>
      <c r="Z14">
        <v>80</v>
      </c>
      <c r="AA14">
        <v>39072</v>
      </c>
      <c r="AB14">
        <v>9</v>
      </c>
      <c r="AC14">
        <v>4395.5999999999995</v>
      </c>
      <c r="AD14">
        <v>7</v>
      </c>
      <c r="AE14">
        <v>3418.7999999999997</v>
      </c>
      <c r="AF14">
        <v>6</v>
      </c>
      <c r="AG14">
        <v>2930.3999999999996</v>
      </c>
      <c r="AH14">
        <v>8</v>
      </c>
      <c r="AI14">
        <v>3907.2</v>
      </c>
      <c r="AJ14">
        <v>7</v>
      </c>
      <c r="AK14">
        <v>3418.7999999999997</v>
      </c>
      <c r="AL14">
        <v>9</v>
      </c>
      <c r="AM14">
        <v>4395.5999999999995</v>
      </c>
      <c r="AN14">
        <v>5</v>
      </c>
      <c r="AO14">
        <v>2442</v>
      </c>
      <c r="AP14">
        <v>8</v>
      </c>
      <c r="AQ14">
        <v>3907.2</v>
      </c>
      <c r="AR14">
        <v>34</v>
      </c>
      <c r="AS14">
        <v>16605.599999999999</v>
      </c>
      <c r="AT14">
        <v>26</v>
      </c>
      <c r="AU14">
        <v>12698.4</v>
      </c>
      <c r="AV14">
        <v>41</v>
      </c>
      <c r="AW14">
        <v>20024.399999999998</v>
      </c>
      <c r="AX14">
        <v>38</v>
      </c>
      <c r="AY14">
        <v>18559.2</v>
      </c>
      <c r="AZ14">
        <v>31</v>
      </c>
      <c r="BA14">
        <v>15140.4</v>
      </c>
      <c r="BB14">
        <v>22</v>
      </c>
      <c r="BC14">
        <v>10744.8</v>
      </c>
      <c r="BD14">
        <v>23</v>
      </c>
      <c r="BE14">
        <v>11233.199999999999</v>
      </c>
      <c r="BF14">
        <v>26</v>
      </c>
      <c r="BG14">
        <v>12698.4</v>
      </c>
      <c r="BH14">
        <v>75</v>
      </c>
      <c r="BI14">
        <v>36630</v>
      </c>
      <c r="BJ14">
        <v>70</v>
      </c>
      <c r="BK14">
        <v>34188</v>
      </c>
      <c r="BL14">
        <v>75</v>
      </c>
      <c r="BM14">
        <v>36630</v>
      </c>
      <c r="BN14">
        <v>65</v>
      </c>
      <c r="BO14">
        <v>31746</v>
      </c>
      <c r="BP14">
        <v>73</v>
      </c>
      <c r="BQ14">
        <v>35653.199999999997</v>
      </c>
      <c r="BR14">
        <v>59</v>
      </c>
      <c r="BS14">
        <v>28815.599999999999</v>
      </c>
      <c r="BT14">
        <v>60</v>
      </c>
      <c r="BU14">
        <v>29304</v>
      </c>
      <c r="BV14">
        <v>90</v>
      </c>
      <c r="BW14">
        <v>43956</v>
      </c>
      <c r="BX14">
        <v>13</v>
      </c>
      <c r="BY14">
        <v>6349.2</v>
      </c>
      <c r="BZ14">
        <v>10</v>
      </c>
      <c r="CA14">
        <v>4884</v>
      </c>
      <c r="CB14">
        <v>8</v>
      </c>
      <c r="CC14">
        <v>3907.2</v>
      </c>
      <c r="CD14">
        <v>9</v>
      </c>
      <c r="CE14">
        <v>4395.5999999999995</v>
      </c>
      <c r="CF14">
        <v>15</v>
      </c>
      <c r="CG14">
        <v>7326</v>
      </c>
      <c r="CH14">
        <v>21</v>
      </c>
      <c r="CI14">
        <v>10256.4</v>
      </c>
      <c r="CJ14">
        <v>18</v>
      </c>
      <c r="CK14">
        <v>8791.1999999999989</v>
      </c>
      <c r="CL14">
        <v>20</v>
      </c>
      <c r="CM14">
        <v>9768</v>
      </c>
      <c r="CN14">
        <v>16</v>
      </c>
      <c r="CO14">
        <v>7814.4</v>
      </c>
      <c r="CP14">
        <v>14</v>
      </c>
      <c r="CQ14">
        <v>6837.5999999999995</v>
      </c>
      <c r="CR14">
        <v>14</v>
      </c>
      <c r="CS14">
        <v>6837.5999999999995</v>
      </c>
      <c r="CT14">
        <v>18</v>
      </c>
      <c r="CU14">
        <v>8791.1999999999989</v>
      </c>
    </row>
    <row r="15" spans="1:99" x14ac:dyDescent="0.2">
      <c r="C15" s="116" t="s">
        <v>181</v>
      </c>
      <c r="D15">
        <v>4</v>
      </c>
      <c r="E15">
        <v>3052.7999999999997</v>
      </c>
      <c r="F15">
        <v>7</v>
      </c>
      <c r="G15">
        <v>5342.4</v>
      </c>
      <c r="H15">
        <v>5</v>
      </c>
      <c r="I15">
        <v>3815.9999999999995</v>
      </c>
      <c r="J15">
        <v>6</v>
      </c>
      <c r="K15">
        <v>4579.2</v>
      </c>
      <c r="L15">
        <v>29</v>
      </c>
      <c r="M15">
        <v>22132.799999999999</v>
      </c>
      <c r="N15">
        <v>37</v>
      </c>
      <c r="O15">
        <v>28238.399999999998</v>
      </c>
      <c r="P15">
        <v>32</v>
      </c>
      <c r="Q15">
        <v>24422.399999999998</v>
      </c>
      <c r="R15">
        <v>41</v>
      </c>
      <c r="S15">
        <v>31291.199999999997</v>
      </c>
      <c r="T15">
        <v>88</v>
      </c>
      <c r="U15">
        <v>67161.599999999991</v>
      </c>
      <c r="V15">
        <v>95</v>
      </c>
      <c r="W15">
        <v>72504</v>
      </c>
      <c r="X15">
        <v>77</v>
      </c>
      <c r="Y15">
        <v>58766.399999999994</v>
      </c>
      <c r="Z15">
        <v>69</v>
      </c>
      <c r="AA15">
        <v>52660.799999999996</v>
      </c>
      <c r="AB15">
        <v>8</v>
      </c>
      <c r="AC15">
        <v>6105.5999999999995</v>
      </c>
      <c r="AD15">
        <v>8</v>
      </c>
      <c r="AE15">
        <v>6105.5999999999995</v>
      </c>
      <c r="AF15">
        <v>5</v>
      </c>
      <c r="AG15">
        <v>3815.9999999999995</v>
      </c>
      <c r="AH15">
        <v>8</v>
      </c>
      <c r="AI15">
        <v>6105.5999999999995</v>
      </c>
      <c r="AJ15">
        <v>7</v>
      </c>
      <c r="AK15">
        <v>5342.4</v>
      </c>
      <c r="AL15">
        <v>9</v>
      </c>
      <c r="AM15">
        <v>6868.7999999999993</v>
      </c>
      <c r="AN15">
        <v>5</v>
      </c>
      <c r="AO15">
        <v>3815.9999999999995</v>
      </c>
      <c r="AP15">
        <v>8</v>
      </c>
      <c r="AQ15">
        <v>6105.5999999999995</v>
      </c>
      <c r="AR15">
        <v>36</v>
      </c>
      <c r="AS15">
        <v>27475.199999999997</v>
      </c>
      <c r="AT15">
        <v>23</v>
      </c>
      <c r="AU15">
        <v>17553.599999999999</v>
      </c>
      <c r="AV15">
        <v>41</v>
      </c>
      <c r="AW15">
        <v>31291.199999999997</v>
      </c>
      <c r="AX15">
        <v>35</v>
      </c>
      <c r="AY15">
        <v>26711.999999999996</v>
      </c>
      <c r="AZ15">
        <v>28</v>
      </c>
      <c r="BA15">
        <v>21369.599999999999</v>
      </c>
      <c r="BB15">
        <v>23</v>
      </c>
      <c r="BC15">
        <v>17553.599999999999</v>
      </c>
      <c r="BD15">
        <v>21</v>
      </c>
      <c r="BE15">
        <v>16027.199999999999</v>
      </c>
      <c r="BF15">
        <v>27</v>
      </c>
      <c r="BG15">
        <v>20606.399999999998</v>
      </c>
      <c r="BH15">
        <v>73</v>
      </c>
      <c r="BI15">
        <v>55713.599999999999</v>
      </c>
      <c r="BJ15">
        <v>71</v>
      </c>
      <c r="BK15">
        <v>54187.199999999997</v>
      </c>
      <c r="BL15">
        <v>72</v>
      </c>
      <c r="BM15">
        <v>54950.399999999994</v>
      </c>
      <c r="BN15">
        <v>67</v>
      </c>
      <c r="BO15">
        <v>51134.399999999994</v>
      </c>
      <c r="BP15">
        <v>63</v>
      </c>
      <c r="BQ15">
        <v>48081.599999999999</v>
      </c>
      <c r="BR15">
        <v>63</v>
      </c>
      <c r="BS15">
        <v>48081.599999999999</v>
      </c>
      <c r="BT15">
        <v>57</v>
      </c>
      <c r="BU15">
        <v>43502.399999999994</v>
      </c>
      <c r="BV15">
        <v>89</v>
      </c>
      <c r="BW15">
        <v>67924.799999999988</v>
      </c>
      <c r="BX15">
        <v>10</v>
      </c>
      <c r="BY15">
        <v>7631.9999999999991</v>
      </c>
      <c r="BZ15">
        <v>9</v>
      </c>
      <c r="CA15">
        <v>6868.7999999999993</v>
      </c>
      <c r="CB15">
        <v>8</v>
      </c>
      <c r="CC15">
        <v>6105.5999999999995</v>
      </c>
      <c r="CD15">
        <v>9</v>
      </c>
      <c r="CE15">
        <v>6868.7999999999993</v>
      </c>
      <c r="CF15">
        <v>16</v>
      </c>
      <c r="CG15">
        <v>12211.199999999999</v>
      </c>
      <c r="CH15">
        <v>20</v>
      </c>
      <c r="CI15">
        <v>15263.999999999998</v>
      </c>
      <c r="CJ15">
        <v>18</v>
      </c>
      <c r="CK15">
        <v>13737.599999999999</v>
      </c>
      <c r="CL15">
        <v>20</v>
      </c>
      <c r="CM15">
        <v>15263.999999999998</v>
      </c>
      <c r="CN15">
        <v>15</v>
      </c>
      <c r="CO15">
        <v>11447.999999999998</v>
      </c>
      <c r="CP15">
        <v>11</v>
      </c>
      <c r="CQ15">
        <v>8395.1999999999989</v>
      </c>
      <c r="CR15">
        <v>13</v>
      </c>
      <c r="CS15">
        <v>9921.5999999999985</v>
      </c>
      <c r="CT15">
        <v>18</v>
      </c>
      <c r="CU15">
        <v>13737.599999999999</v>
      </c>
    </row>
    <row r="16" spans="1:99" x14ac:dyDescent="0.2">
      <c r="C16" s="116" t="s">
        <v>182</v>
      </c>
      <c r="D16">
        <v>5</v>
      </c>
      <c r="E16">
        <v>1704</v>
      </c>
      <c r="F16">
        <v>7</v>
      </c>
      <c r="G16">
        <v>2385.6</v>
      </c>
      <c r="H16">
        <v>5</v>
      </c>
      <c r="I16">
        <v>1704</v>
      </c>
      <c r="J16">
        <v>6</v>
      </c>
      <c r="K16">
        <v>2044.8000000000002</v>
      </c>
      <c r="L16">
        <v>31</v>
      </c>
      <c r="M16">
        <v>10564.800000000001</v>
      </c>
      <c r="N16">
        <v>41</v>
      </c>
      <c r="O16">
        <v>13972.800000000001</v>
      </c>
      <c r="P16">
        <v>29</v>
      </c>
      <c r="Q16">
        <v>9883.2000000000007</v>
      </c>
      <c r="R16">
        <v>41</v>
      </c>
      <c r="S16">
        <v>13972.800000000001</v>
      </c>
      <c r="T16">
        <v>87</v>
      </c>
      <c r="U16">
        <v>29649.600000000002</v>
      </c>
      <c r="V16">
        <v>88</v>
      </c>
      <c r="W16">
        <v>29990.400000000001</v>
      </c>
      <c r="X16">
        <v>92</v>
      </c>
      <c r="Y16">
        <v>31353.600000000002</v>
      </c>
      <c r="Z16">
        <v>80</v>
      </c>
      <c r="AA16">
        <v>27264</v>
      </c>
      <c r="AB16">
        <v>9</v>
      </c>
      <c r="AC16">
        <v>3067.2000000000003</v>
      </c>
      <c r="AD16">
        <v>7</v>
      </c>
      <c r="AE16">
        <v>2385.6</v>
      </c>
      <c r="AF16">
        <v>6</v>
      </c>
      <c r="AG16">
        <v>2044.8000000000002</v>
      </c>
      <c r="AH16">
        <v>9</v>
      </c>
      <c r="AI16">
        <v>3067.2000000000003</v>
      </c>
      <c r="AJ16">
        <v>7</v>
      </c>
      <c r="AK16">
        <v>2385.6</v>
      </c>
      <c r="AL16">
        <v>8</v>
      </c>
      <c r="AM16">
        <v>2726.4</v>
      </c>
      <c r="AN16">
        <v>5</v>
      </c>
      <c r="AO16">
        <v>1704</v>
      </c>
      <c r="AP16">
        <v>9</v>
      </c>
      <c r="AQ16">
        <v>3067.2000000000003</v>
      </c>
      <c r="AR16">
        <v>37</v>
      </c>
      <c r="AS16">
        <v>12609.6</v>
      </c>
      <c r="AT16">
        <v>23</v>
      </c>
      <c r="AU16">
        <v>7838.4000000000005</v>
      </c>
      <c r="AV16">
        <v>40</v>
      </c>
      <c r="AW16">
        <v>13632</v>
      </c>
      <c r="AX16">
        <v>40</v>
      </c>
      <c r="AY16">
        <v>13632</v>
      </c>
      <c r="AZ16">
        <v>27</v>
      </c>
      <c r="BA16">
        <v>9201.6</v>
      </c>
      <c r="BB16">
        <v>22</v>
      </c>
      <c r="BC16">
        <v>7497.6</v>
      </c>
      <c r="BD16">
        <v>21</v>
      </c>
      <c r="BE16">
        <v>7156.8</v>
      </c>
      <c r="BF16">
        <v>26</v>
      </c>
      <c r="BG16">
        <v>8860.8000000000011</v>
      </c>
      <c r="BH16">
        <v>78</v>
      </c>
      <c r="BI16">
        <v>26582.400000000001</v>
      </c>
      <c r="BJ16">
        <v>88</v>
      </c>
      <c r="BK16">
        <v>29990.400000000001</v>
      </c>
      <c r="BL16">
        <v>88</v>
      </c>
      <c r="BM16">
        <v>29990.400000000001</v>
      </c>
      <c r="BN16">
        <v>76</v>
      </c>
      <c r="BO16">
        <v>25900.799999999999</v>
      </c>
      <c r="BP16">
        <v>74</v>
      </c>
      <c r="BQ16">
        <v>25219.200000000001</v>
      </c>
      <c r="BR16">
        <v>66</v>
      </c>
      <c r="BS16">
        <v>22492.799999999999</v>
      </c>
      <c r="BT16">
        <v>67</v>
      </c>
      <c r="BU16">
        <v>22833.600000000002</v>
      </c>
      <c r="BV16">
        <v>96</v>
      </c>
      <c r="BW16">
        <v>32716.800000000003</v>
      </c>
      <c r="BX16">
        <v>12</v>
      </c>
      <c r="BY16">
        <v>4089.6000000000004</v>
      </c>
      <c r="BZ16">
        <v>10</v>
      </c>
      <c r="CA16">
        <v>3408</v>
      </c>
      <c r="CB16">
        <v>8</v>
      </c>
      <c r="CC16">
        <v>2726.4</v>
      </c>
      <c r="CD16">
        <v>8</v>
      </c>
      <c r="CE16">
        <v>2726.4</v>
      </c>
      <c r="CF16">
        <v>16</v>
      </c>
      <c r="CG16">
        <v>5452.8</v>
      </c>
      <c r="CH16">
        <v>18</v>
      </c>
      <c r="CI16">
        <v>6134.4000000000005</v>
      </c>
      <c r="CJ16">
        <v>17</v>
      </c>
      <c r="CK16">
        <v>5793.6</v>
      </c>
      <c r="CL16">
        <v>21</v>
      </c>
      <c r="CM16">
        <v>7156.8</v>
      </c>
      <c r="CN16">
        <v>16</v>
      </c>
      <c r="CO16">
        <v>5452.8</v>
      </c>
      <c r="CP16">
        <v>12</v>
      </c>
      <c r="CQ16">
        <v>4089.6000000000004</v>
      </c>
      <c r="CR16">
        <v>12</v>
      </c>
      <c r="CS16">
        <v>4089.6000000000004</v>
      </c>
      <c r="CT16">
        <v>20</v>
      </c>
      <c r="CU16">
        <v>6816</v>
      </c>
    </row>
    <row r="17" spans="2:99" x14ac:dyDescent="0.2">
      <c r="C17" s="116" t="s">
        <v>183</v>
      </c>
      <c r="D17">
        <v>4</v>
      </c>
      <c r="E17">
        <v>1689.6</v>
      </c>
      <c r="F17">
        <v>6</v>
      </c>
      <c r="G17">
        <v>2534.3999999999996</v>
      </c>
      <c r="H17">
        <v>5</v>
      </c>
      <c r="I17">
        <v>2112</v>
      </c>
      <c r="J17">
        <v>6</v>
      </c>
      <c r="K17">
        <v>2534.3999999999996</v>
      </c>
      <c r="L17">
        <v>30</v>
      </c>
      <c r="M17">
        <v>12672</v>
      </c>
      <c r="N17">
        <v>44</v>
      </c>
      <c r="O17">
        <v>18585.599999999999</v>
      </c>
      <c r="P17">
        <v>29</v>
      </c>
      <c r="Q17">
        <v>12249.599999999999</v>
      </c>
      <c r="R17">
        <v>41</v>
      </c>
      <c r="S17">
        <v>17318.399999999998</v>
      </c>
      <c r="T17">
        <v>95</v>
      </c>
      <c r="U17">
        <v>40128</v>
      </c>
      <c r="V17">
        <v>90</v>
      </c>
      <c r="W17">
        <v>38016</v>
      </c>
      <c r="X17">
        <v>90</v>
      </c>
      <c r="Y17">
        <v>38016</v>
      </c>
      <c r="Z17">
        <v>70</v>
      </c>
      <c r="AA17">
        <v>29568</v>
      </c>
      <c r="AB17">
        <v>8</v>
      </c>
      <c r="AC17">
        <v>3379.2</v>
      </c>
      <c r="AD17">
        <v>8</v>
      </c>
      <c r="AE17">
        <v>3379.2</v>
      </c>
      <c r="AF17">
        <v>5</v>
      </c>
      <c r="AG17">
        <v>2112</v>
      </c>
      <c r="AH17">
        <v>9</v>
      </c>
      <c r="AI17">
        <v>3801.6</v>
      </c>
      <c r="AJ17">
        <v>7</v>
      </c>
      <c r="AK17">
        <v>2956.7999999999997</v>
      </c>
      <c r="AL17">
        <v>7</v>
      </c>
      <c r="AM17">
        <v>2956.7999999999997</v>
      </c>
      <c r="AN17">
        <v>6</v>
      </c>
      <c r="AO17">
        <v>2534.3999999999996</v>
      </c>
      <c r="AP17">
        <v>9</v>
      </c>
      <c r="AQ17">
        <v>3801.6</v>
      </c>
      <c r="AR17">
        <v>34</v>
      </c>
      <c r="AS17">
        <v>14361.599999999999</v>
      </c>
      <c r="AT17">
        <v>27</v>
      </c>
      <c r="AU17">
        <v>11404.8</v>
      </c>
      <c r="AV17">
        <v>37</v>
      </c>
      <c r="AW17">
        <v>15628.8</v>
      </c>
      <c r="AX17">
        <v>39</v>
      </c>
      <c r="AY17">
        <v>16473.599999999999</v>
      </c>
      <c r="AZ17">
        <v>26</v>
      </c>
      <c r="BA17">
        <v>10982.4</v>
      </c>
      <c r="BB17">
        <v>23</v>
      </c>
      <c r="BC17">
        <v>9715.1999999999989</v>
      </c>
      <c r="BD17">
        <v>24</v>
      </c>
      <c r="BE17">
        <v>10137.599999999999</v>
      </c>
      <c r="BF17">
        <v>27</v>
      </c>
      <c r="BG17">
        <v>11404.8</v>
      </c>
      <c r="BH17">
        <v>72</v>
      </c>
      <c r="BI17">
        <v>30412.799999999999</v>
      </c>
      <c r="BJ17">
        <v>83</v>
      </c>
      <c r="BK17">
        <v>35059.199999999997</v>
      </c>
      <c r="BL17">
        <v>87</v>
      </c>
      <c r="BM17">
        <v>36748.799999999996</v>
      </c>
      <c r="BN17">
        <v>68</v>
      </c>
      <c r="BO17">
        <v>28723.199999999997</v>
      </c>
      <c r="BP17">
        <v>73</v>
      </c>
      <c r="BQ17">
        <v>30835.199999999997</v>
      </c>
      <c r="BR17">
        <v>68</v>
      </c>
      <c r="BS17">
        <v>28723.199999999997</v>
      </c>
      <c r="BT17">
        <v>66</v>
      </c>
      <c r="BU17">
        <v>27878.399999999998</v>
      </c>
      <c r="BV17">
        <v>87</v>
      </c>
      <c r="BW17">
        <v>36748.799999999996</v>
      </c>
      <c r="BX17">
        <v>12</v>
      </c>
      <c r="BY17">
        <v>5068.7999999999993</v>
      </c>
      <c r="BZ17">
        <v>10</v>
      </c>
      <c r="CA17">
        <v>4224</v>
      </c>
      <c r="CB17">
        <v>8</v>
      </c>
      <c r="CC17">
        <v>3379.2</v>
      </c>
      <c r="CD17">
        <v>8</v>
      </c>
      <c r="CE17">
        <v>3379.2</v>
      </c>
      <c r="CF17">
        <v>18</v>
      </c>
      <c r="CG17">
        <v>7603.2</v>
      </c>
      <c r="CH17">
        <v>20</v>
      </c>
      <c r="CI17">
        <v>8448</v>
      </c>
      <c r="CJ17">
        <v>19</v>
      </c>
      <c r="CK17">
        <v>8025.5999999999995</v>
      </c>
      <c r="CL17">
        <v>21</v>
      </c>
      <c r="CM17">
        <v>8870.4</v>
      </c>
      <c r="CN17">
        <v>14</v>
      </c>
      <c r="CO17">
        <v>5913.5999999999995</v>
      </c>
      <c r="CP17">
        <v>13</v>
      </c>
      <c r="CQ17">
        <v>5491.2</v>
      </c>
      <c r="CR17">
        <v>12</v>
      </c>
      <c r="CS17">
        <v>5068.7999999999993</v>
      </c>
      <c r="CT17">
        <v>20</v>
      </c>
      <c r="CU17">
        <v>8448</v>
      </c>
    </row>
    <row r="18" spans="2:99" x14ac:dyDescent="0.2">
      <c r="C18" s="116" t="s">
        <v>184</v>
      </c>
      <c r="D18">
        <v>5</v>
      </c>
      <c r="E18">
        <v>3264</v>
      </c>
      <c r="F18">
        <v>7</v>
      </c>
      <c r="G18">
        <v>4569.5999999999995</v>
      </c>
      <c r="H18">
        <v>5</v>
      </c>
      <c r="I18">
        <v>3264</v>
      </c>
      <c r="J18">
        <v>6</v>
      </c>
      <c r="K18">
        <v>3916.7999999999997</v>
      </c>
      <c r="L18">
        <v>28</v>
      </c>
      <c r="M18">
        <v>18278.399999999998</v>
      </c>
      <c r="N18">
        <v>37</v>
      </c>
      <c r="O18">
        <v>24153.599999999999</v>
      </c>
      <c r="P18">
        <v>33</v>
      </c>
      <c r="Q18">
        <v>21542.399999999998</v>
      </c>
      <c r="R18">
        <v>40</v>
      </c>
      <c r="S18">
        <v>26112</v>
      </c>
      <c r="T18">
        <v>92</v>
      </c>
      <c r="U18">
        <v>60057.599999999999</v>
      </c>
      <c r="V18">
        <v>87</v>
      </c>
      <c r="W18">
        <v>56793.599999999999</v>
      </c>
      <c r="X18">
        <v>84</v>
      </c>
      <c r="Y18">
        <v>54835.199999999997</v>
      </c>
      <c r="Z18">
        <v>72</v>
      </c>
      <c r="AA18">
        <v>47001.599999999999</v>
      </c>
      <c r="AB18">
        <v>8</v>
      </c>
      <c r="AC18">
        <v>5222.3999999999996</v>
      </c>
      <c r="AD18">
        <v>7</v>
      </c>
      <c r="AE18">
        <v>4569.5999999999995</v>
      </c>
      <c r="AF18">
        <v>5</v>
      </c>
      <c r="AG18">
        <v>3264</v>
      </c>
      <c r="AH18">
        <v>8</v>
      </c>
      <c r="AI18">
        <v>5222.3999999999996</v>
      </c>
      <c r="AJ18">
        <v>8</v>
      </c>
      <c r="AK18">
        <v>5222.3999999999996</v>
      </c>
      <c r="AL18">
        <v>8</v>
      </c>
      <c r="AM18">
        <v>5222.3999999999996</v>
      </c>
      <c r="AN18">
        <v>5</v>
      </c>
      <c r="AO18">
        <v>3264</v>
      </c>
      <c r="AP18">
        <v>8</v>
      </c>
      <c r="AQ18">
        <v>5222.3999999999996</v>
      </c>
      <c r="AR18">
        <v>37</v>
      </c>
      <c r="AS18">
        <v>24153.599999999999</v>
      </c>
      <c r="AT18">
        <v>22</v>
      </c>
      <c r="AU18">
        <v>14361.599999999999</v>
      </c>
      <c r="AV18">
        <v>35</v>
      </c>
      <c r="AW18">
        <v>22848</v>
      </c>
      <c r="AX18">
        <v>38</v>
      </c>
      <c r="AY18">
        <v>24806.399999999998</v>
      </c>
      <c r="AZ18">
        <v>28</v>
      </c>
      <c r="BA18">
        <v>18278.399999999998</v>
      </c>
      <c r="BB18">
        <v>23</v>
      </c>
      <c r="BC18">
        <v>15014.4</v>
      </c>
      <c r="BD18">
        <v>20</v>
      </c>
      <c r="BE18">
        <v>13056</v>
      </c>
      <c r="BF18">
        <v>24</v>
      </c>
      <c r="BG18">
        <v>15667.199999999999</v>
      </c>
      <c r="BH18">
        <v>73</v>
      </c>
      <c r="BI18">
        <v>47654.399999999994</v>
      </c>
      <c r="BJ18">
        <v>75</v>
      </c>
      <c r="BK18">
        <v>48960</v>
      </c>
      <c r="BL18">
        <v>76</v>
      </c>
      <c r="BM18">
        <v>49612.799999999996</v>
      </c>
      <c r="BN18">
        <v>62</v>
      </c>
      <c r="BO18">
        <v>40473.599999999999</v>
      </c>
      <c r="BP18">
        <v>69</v>
      </c>
      <c r="BQ18">
        <v>45043.199999999997</v>
      </c>
      <c r="BR18">
        <v>62</v>
      </c>
      <c r="BS18">
        <v>40473.599999999999</v>
      </c>
      <c r="BT18">
        <v>63</v>
      </c>
      <c r="BU18">
        <v>41126.399999999994</v>
      </c>
      <c r="BV18">
        <v>82</v>
      </c>
      <c r="BW18">
        <v>53529.599999999999</v>
      </c>
      <c r="BX18">
        <v>11</v>
      </c>
      <c r="BY18">
        <v>7180.7999999999993</v>
      </c>
      <c r="BZ18">
        <v>9</v>
      </c>
      <c r="CA18">
        <v>5875.2</v>
      </c>
      <c r="CB18">
        <v>9</v>
      </c>
      <c r="CC18">
        <v>5875.2</v>
      </c>
      <c r="CD18">
        <v>7</v>
      </c>
      <c r="CE18">
        <v>4569.5999999999995</v>
      </c>
      <c r="CF18">
        <v>17</v>
      </c>
      <c r="CG18">
        <v>11097.599999999999</v>
      </c>
      <c r="CH18">
        <v>20</v>
      </c>
      <c r="CI18">
        <v>13056</v>
      </c>
      <c r="CJ18">
        <v>19</v>
      </c>
      <c r="CK18">
        <v>12403.199999999999</v>
      </c>
      <c r="CL18">
        <v>20</v>
      </c>
      <c r="CM18">
        <v>13056</v>
      </c>
      <c r="CN18">
        <v>16</v>
      </c>
      <c r="CO18">
        <v>10444.799999999999</v>
      </c>
      <c r="CP18">
        <v>14</v>
      </c>
      <c r="CQ18">
        <v>9139.1999999999989</v>
      </c>
      <c r="CR18">
        <v>14</v>
      </c>
      <c r="CS18">
        <v>9139.1999999999989</v>
      </c>
      <c r="CT18">
        <v>19</v>
      </c>
      <c r="CU18">
        <v>12403.199999999999</v>
      </c>
    </row>
    <row r="19" spans="2:99" x14ac:dyDescent="0.2">
      <c r="C19" s="116" t="s">
        <v>185</v>
      </c>
      <c r="D19">
        <v>5</v>
      </c>
      <c r="E19">
        <v>1650</v>
      </c>
      <c r="F19">
        <v>7</v>
      </c>
      <c r="G19">
        <v>2310</v>
      </c>
      <c r="H19">
        <v>6</v>
      </c>
      <c r="I19">
        <v>1980</v>
      </c>
      <c r="J19">
        <v>6</v>
      </c>
      <c r="K19">
        <v>1980</v>
      </c>
      <c r="L19">
        <v>31</v>
      </c>
      <c r="M19">
        <v>10230</v>
      </c>
      <c r="N19">
        <v>38</v>
      </c>
      <c r="O19">
        <v>12540</v>
      </c>
      <c r="P19">
        <v>30</v>
      </c>
      <c r="Q19">
        <v>9900</v>
      </c>
      <c r="R19">
        <v>42</v>
      </c>
      <c r="S19">
        <v>13860</v>
      </c>
      <c r="T19">
        <v>97</v>
      </c>
      <c r="U19">
        <v>32010</v>
      </c>
      <c r="V19">
        <v>89</v>
      </c>
      <c r="W19">
        <v>29370</v>
      </c>
      <c r="X19">
        <v>85</v>
      </c>
      <c r="Y19">
        <v>28050</v>
      </c>
      <c r="Z19">
        <v>77</v>
      </c>
      <c r="AA19">
        <v>25410</v>
      </c>
      <c r="AB19">
        <v>7</v>
      </c>
      <c r="AC19">
        <v>2310</v>
      </c>
      <c r="AD19">
        <v>7</v>
      </c>
      <c r="AE19">
        <v>2310</v>
      </c>
      <c r="AF19">
        <v>6</v>
      </c>
      <c r="AG19">
        <v>1980</v>
      </c>
      <c r="AH19">
        <v>8</v>
      </c>
      <c r="AI19">
        <v>2640</v>
      </c>
      <c r="AJ19">
        <v>7</v>
      </c>
      <c r="AK19">
        <v>2310</v>
      </c>
      <c r="AL19">
        <v>7</v>
      </c>
      <c r="AM19">
        <v>2310</v>
      </c>
      <c r="AN19">
        <v>5</v>
      </c>
      <c r="AO19">
        <v>1650</v>
      </c>
      <c r="AP19">
        <v>9</v>
      </c>
      <c r="AQ19">
        <v>2970</v>
      </c>
      <c r="AR19">
        <v>38</v>
      </c>
      <c r="AS19">
        <v>12540</v>
      </c>
      <c r="AT19">
        <v>23</v>
      </c>
      <c r="AU19">
        <v>7590</v>
      </c>
      <c r="AV19">
        <v>36</v>
      </c>
      <c r="AW19">
        <v>11880</v>
      </c>
      <c r="AX19">
        <v>40</v>
      </c>
      <c r="AY19">
        <v>13200</v>
      </c>
      <c r="AZ19">
        <v>27</v>
      </c>
      <c r="BA19">
        <v>8910</v>
      </c>
      <c r="BB19">
        <v>22</v>
      </c>
      <c r="BC19">
        <v>7260</v>
      </c>
      <c r="BD19">
        <v>24</v>
      </c>
      <c r="BE19">
        <v>7920</v>
      </c>
      <c r="BF19">
        <v>28</v>
      </c>
      <c r="BG19">
        <v>9240</v>
      </c>
      <c r="BH19">
        <v>71</v>
      </c>
      <c r="BI19">
        <v>23430</v>
      </c>
      <c r="BJ19">
        <v>78</v>
      </c>
      <c r="BK19">
        <v>25740</v>
      </c>
      <c r="BL19">
        <v>89</v>
      </c>
      <c r="BM19">
        <v>29370</v>
      </c>
      <c r="BN19">
        <v>74</v>
      </c>
      <c r="BO19">
        <v>24420</v>
      </c>
      <c r="BP19">
        <v>71</v>
      </c>
      <c r="BQ19">
        <v>23430</v>
      </c>
      <c r="BR19">
        <v>69</v>
      </c>
      <c r="BS19">
        <v>22770</v>
      </c>
      <c r="BT19">
        <v>72</v>
      </c>
      <c r="BU19">
        <v>23760</v>
      </c>
      <c r="BV19">
        <v>93</v>
      </c>
      <c r="BW19">
        <v>30690</v>
      </c>
      <c r="BX19">
        <v>11</v>
      </c>
      <c r="BY19">
        <v>3630</v>
      </c>
      <c r="BZ19">
        <v>10</v>
      </c>
      <c r="CA19">
        <v>3300</v>
      </c>
      <c r="CB19">
        <v>9</v>
      </c>
      <c r="CC19">
        <v>2970</v>
      </c>
      <c r="CD19">
        <v>8</v>
      </c>
      <c r="CE19">
        <v>2640</v>
      </c>
      <c r="CF19">
        <v>18</v>
      </c>
      <c r="CG19">
        <v>5940</v>
      </c>
      <c r="CH19">
        <v>20</v>
      </c>
      <c r="CI19">
        <v>6600</v>
      </c>
      <c r="CJ19">
        <v>18</v>
      </c>
      <c r="CK19">
        <v>5940</v>
      </c>
      <c r="CL19">
        <v>22</v>
      </c>
      <c r="CM19">
        <v>7260</v>
      </c>
      <c r="CN19">
        <v>16</v>
      </c>
      <c r="CO19">
        <v>5280</v>
      </c>
      <c r="CP19">
        <v>12</v>
      </c>
      <c r="CQ19">
        <v>3960</v>
      </c>
      <c r="CR19">
        <v>12</v>
      </c>
      <c r="CS19">
        <v>3960</v>
      </c>
      <c r="CT19">
        <v>18</v>
      </c>
      <c r="CU19">
        <v>5940</v>
      </c>
    </row>
    <row r="20" spans="2:99" x14ac:dyDescent="0.2">
      <c r="B20" s="116" t="s">
        <v>127</v>
      </c>
      <c r="C20" s="116" t="s">
        <v>186</v>
      </c>
      <c r="D20">
        <v>9</v>
      </c>
      <c r="E20">
        <v>2581.2000000000003</v>
      </c>
      <c r="F20">
        <v>10</v>
      </c>
      <c r="G20">
        <v>2868</v>
      </c>
      <c r="H20">
        <v>7</v>
      </c>
      <c r="I20">
        <v>2007.6000000000001</v>
      </c>
      <c r="J20">
        <v>12</v>
      </c>
      <c r="K20">
        <v>3441.6000000000004</v>
      </c>
      <c r="L20">
        <v>13</v>
      </c>
      <c r="M20">
        <v>3728.4</v>
      </c>
      <c r="N20">
        <v>12</v>
      </c>
      <c r="O20">
        <v>3441.6000000000004</v>
      </c>
      <c r="P20">
        <v>10</v>
      </c>
      <c r="Q20">
        <v>2868</v>
      </c>
      <c r="R20">
        <v>9</v>
      </c>
      <c r="S20">
        <v>2581.2000000000003</v>
      </c>
      <c r="T20">
        <v>22</v>
      </c>
      <c r="U20">
        <v>6309.6</v>
      </c>
      <c r="V20">
        <v>22</v>
      </c>
      <c r="W20">
        <v>6309.6</v>
      </c>
      <c r="X20">
        <v>11</v>
      </c>
      <c r="Y20">
        <v>3154.8</v>
      </c>
      <c r="Z20">
        <v>13</v>
      </c>
      <c r="AA20">
        <v>3728.4</v>
      </c>
      <c r="AB20">
        <v>20</v>
      </c>
      <c r="AC20">
        <v>5736</v>
      </c>
      <c r="AD20">
        <v>19</v>
      </c>
      <c r="AE20">
        <v>5449.2</v>
      </c>
      <c r="AF20">
        <v>26</v>
      </c>
      <c r="AG20">
        <v>7456.8</v>
      </c>
      <c r="AH20">
        <v>17</v>
      </c>
      <c r="AI20">
        <v>4875.6000000000004</v>
      </c>
      <c r="AJ20">
        <v>10</v>
      </c>
      <c r="AK20">
        <v>2868</v>
      </c>
      <c r="AL20">
        <v>13</v>
      </c>
      <c r="AM20">
        <v>3728.4</v>
      </c>
      <c r="AN20">
        <v>11</v>
      </c>
      <c r="AO20">
        <v>3154.8</v>
      </c>
      <c r="AP20">
        <v>13</v>
      </c>
      <c r="AQ20">
        <v>3728.4</v>
      </c>
      <c r="AR20">
        <v>29</v>
      </c>
      <c r="AS20">
        <v>8317.2000000000007</v>
      </c>
      <c r="AT20">
        <v>18</v>
      </c>
      <c r="AU20">
        <v>5162.4000000000005</v>
      </c>
      <c r="AV20">
        <v>22</v>
      </c>
      <c r="AW20">
        <v>6309.6</v>
      </c>
      <c r="AX20">
        <v>24</v>
      </c>
      <c r="AY20">
        <v>6883.2000000000007</v>
      </c>
      <c r="AZ20">
        <v>10</v>
      </c>
      <c r="BA20">
        <v>2868</v>
      </c>
      <c r="BB20">
        <v>15</v>
      </c>
      <c r="BC20">
        <v>4302</v>
      </c>
      <c r="BD20">
        <v>10</v>
      </c>
      <c r="BE20">
        <v>2868</v>
      </c>
      <c r="BF20">
        <v>13</v>
      </c>
      <c r="BG20">
        <v>3728.4</v>
      </c>
      <c r="BH20">
        <v>11</v>
      </c>
      <c r="BI20">
        <v>3154.8</v>
      </c>
      <c r="BJ20">
        <v>8</v>
      </c>
      <c r="BK20">
        <v>2294.4</v>
      </c>
      <c r="BL20">
        <v>9</v>
      </c>
      <c r="BM20">
        <v>2581.2000000000003</v>
      </c>
      <c r="BN20">
        <v>11</v>
      </c>
      <c r="BO20">
        <v>3154.8</v>
      </c>
      <c r="BP20">
        <v>34</v>
      </c>
      <c r="BQ20">
        <v>9751.2000000000007</v>
      </c>
      <c r="BR20">
        <v>26</v>
      </c>
      <c r="BS20">
        <v>7456.8</v>
      </c>
      <c r="BT20">
        <v>28</v>
      </c>
      <c r="BU20">
        <v>8030.4000000000005</v>
      </c>
      <c r="BV20">
        <v>33</v>
      </c>
      <c r="BW20">
        <v>9464.4</v>
      </c>
      <c r="BX20">
        <v>44</v>
      </c>
      <c r="BY20">
        <v>12619.2</v>
      </c>
      <c r="BZ20">
        <v>47</v>
      </c>
      <c r="CA20">
        <v>13479.6</v>
      </c>
      <c r="CB20">
        <v>46</v>
      </c>
      <c r="CC20">
        <v>13192.800000000001</v>
      </c>
      <c r="CD20">
        <v>47</v>
      </c>
      <c r="CE20">
        <v>13479.6</v>
      </c>
      <c r="CF20">
        <v>115</v>
      </c>
      <c r="CG20">
        <v>32982</v>
      </c>
      <c r="CH20">
        <v>155</v>
      </c>
      <c r="CI20">
        <v>44454</v>
      </c>
      <c r="CJ20">
        <v>119</v>
      </c>
      <c r="CK20">
        <v>34129.200000000004</v>
      </c>
      <c r="CL20">
        <v>86</v>
      </c>
      <c r="CM20">
        <v>24664.799999999999</v>
      </c>
      <c r="CN20">
        <v>40</v>
      </c>
      <c r="CO20">
        <v>11472</v>
      </c>
      <c r="CP20">
        <v>30</v>
      </c>
      <c r="CQ20">
        <v>8604</v>
      </c>
      <c r="CR20">
        <v>51</v>
      </c>
      <c r="CS20">
        <v>14626.800000000001</v>
      </c>
      <c r="CT20">
        <v>31</v>
      </c>
      <c r="CU20">
        <v>8890.8000000000011</v>
      </c>
    </row>
    <row r="21" spans="2:99" x14ac:dyDescent="0.2">
      <c r="C21" s="116" t="s">
        <v>187</v>
      </c>
      <c r="D21">
        <v>9</v>
      </c>
      <c r="E21">
        <v>561.6</v>
      </c>
      <c r="F21">
        <v>10</v>
      </c>
      <c r="G21">
        <v>624</v>
      </c>
      <c r="H21">
        <v>7</v>
      </c>
      <c r="I21">
        <v>436.8</v>
      </c>
      <c r="J21">
        <v>11</v>
      </c>
      <c r="K21">
        <v>686.4</v>
      </c>
      <c r="L21">
        <v>14</v>
      </c>
      <c r="M21">
        <v>873.6</v>
      </c>
      <c r="N21">
        <v>12</v>
      </c>
      <c r="O21">
        <v>748.8</v>
      </c>
      <c r="P21">
        <v>11</v>
      </c>
      <c r="Q21">
        <v>686.4</v>
      </c>
      <c r="R21">
        <v>10</v>
      </c>
      <c r="S21">
        <v>624</v>
      </c>
      <c r="T21">
        <v>19</v>
      </c>
      <c r="U21">
        <v>1185.5999999999999</v>
      </c>
      <c r="V21">
        <v>19</v>
      </c>
      <c r="W21">
        <v>1185.5999999999999</v>
      </c>
      <c r="X21">
        <v>11</v>
      </c>
      <c r="Y21">
        <v>686.4</v>
      </c>
      <c r="Z21">
        <v>12</v>
      </c>
      <c r="AA21">
        <v>748.8</v>
      </c>
      <c r="AB21">
        <v>17</v>
      </c>
      <c r="AC21">
        <v>1060.8</v>
      </c>
      <c r="AD21">
        <v>19</v>
      </c>
      <c r="AE21">
        <v>1185.5999999999999</v>
      </c>
      <c r="AF21">
        <v>24</v>
      </c>
      <c r="AG21">
        <v>1497.6</v>
      </c>
      <c r="AH21">
        <v>18</v>
      </c>
      <c r="AI21">
        <v>1123.2</v>
      </c>
      <c r="AJ21">
        <v>10</v>
      </c>
      <c r="AK21">
        <v>624</v>
      </c>
      <c r="AL21">
        <v>12</v>
      </c>
      <c r="AM21">
        <v>748.8</v>
      </c>
      <c r="AN21">
        <v>11</v>
      </c>
      <c r="AO21">
        <v>686.4</v>
      </c>
      <c r="AP21">
        <v>12</v>
      </c>
      <c r="AQ21">
        <v>748.8</v>
      </c>
      <c r="AR21">
        <v>29</v>
      </c>
      <c r="AS21">
        <v>1809.6</v>
      </c>
      <c r="AT21">
        <v>16</v>
      </c>
      <c r="AU21">
        <v>998.4</v>
      </c>
      <c r="AV21">
        <v>24</v>
      </c>
      <c r="AW21">
        <v>1497.6</v>
      </c>
      <c r="AX21">
        <v>23</v>
      </c>
      <c r="AY21">
        <v>1435.2</v>
      </c>
      <c r="AZ21">
        <v>11</v>
      </c>
      <c r="BA21">
        <v>686.4</v>
      </c>
      <c r="BB21">
        <v>15</v>
      </c>
      <c r="BC21">
        <v>936</v>
      </c>
      <c r="BD21">
        <v>10</v>
      </c>
      <c r="BE21">
        <v>624</v>
      </c>
      <c r="BF21">
        <v>14</v>
      </c>
      <c r="BG21">
        <v>873.6</v>
      </c>
      <c r="BH21">
        <v>12</v>
      </c>
      <c r="BI21">
        <v>748.8</v>
      </c>
      <c r="BJ21">
        <v>7</v>
      </c>
      <c r="BK21">
        <v>436.8</v>
      </c>
      <c r="BL21">
        <v>9</v>
      </c>
      <c r="BM21">
        <v>561.6</v>
      </c>
      <c r="BN21">
        <v>11</v>
      </c>
      <c r="BO21">
        <v>686.4</v>
      </c>
      <c r="BP21">
        <v>31</v>
      </c>
      <c r="BQ21">
        <v>1934.3999999999999</v>
      </c>
      <c r="BR21">
        <v>28</v>
      </c>
      <c r="BS21">
        <v>1747.2</v>
      </c>
      <c r="BT21">
        <v>34</v>
      </c>
      <c r="BU21">
        <v>2121.6</v>
      </c>
      <c r="BV21">
        <v>35</v>
      </c>
      <c r="BW21">
        <v>2184</v>
      </c>
      <c r="BX21">
        <v>45</v>
      </c>
      <c r="BY21">
        <v>2808</v>
      </c>
      <c r="BZ21">
        <v>49</v>
      </c>
      <c r="CA21">
        <v>3057.6</v>
      </c>
      <c r="CB21">
        <v>48</v>
      </c>
      <c r="CC21">
        <v>2995.2</v>
      </c>
      <c r="CD21">
        <v>48</v>
      </c>
      <c r="CE21">
        <v>2995.2</v>
      </c>
      <c r="CF21">
        <v>122</v>
      </c>
      <c r="CG21">
        <v>7612.8</v>
      </c>
      <c r="CH21">
        <v>169</v>
      </c>
      <c r="CI21">
        <v>10545.6</v>
      </c>
      <c r="CJ21">
        <v>130</v>
      </c>
      <c r="CK21">
        <v>8112</v>
      </c>
      <c r="CL21">
        <v>97</v>
      </c>
      <c r="CM21">
        <v>6052.8</v>
      </c>
      <c r="CN21">
        <v>39</v>
      </c>
      <c r="CO21">
        <v>2433.6</v>
      </c>
      <c r="CP21">
        <v>28</v>
      </c>
      <c r="CQ21">
        <v>1747.2</v>
      </c>
      <c r="CR21">
        <v>53</v>
      </c>
      <c r="CS21">
        <v>3307.2</v>
      </c>
      <c r="CT21">
        <v>37</v>
      </c>
      <c r="CU21">
        <v>2308.7999999999997</v>
      </c>
    </row>
    <row r="22" spans="2:99" x14ac:dyDescent="0.2">
      <c r="C22" s="116" t="s">
        <v>188</v>
      </c>
      <c r="D22">
        <v>8</v>
      </c>
      <c r="E22">
        <v>1497.6</v>
      </c>
      <c r="F22">
        <v>9</v>
      </c>
      <c r="G22">
        <v>1684.8</v>
      </c>
      <c r="H22">
        <v>7</v>
      </c>
      <c r="I22">
        <v>1310.3999999999999</v>
      </c>
      <c r="J22">
        <v>12</v>
      </c>
      <c r="K22">
        <v>2246.3999999999996</v>
      </c>
      <c r="L22">
        <v>13</v>
      </c>
      <c r="M22">
        <v>2433.6</v>
      </c>
      <c r="N22">
        <v>12</v>
      </c>
      <c r="O22">
        <v>2246.3999999999996</v>
      </c>
      <c r="P22">
        <v>10</v>
      </c>
      <c r="Q22">
        <v>1872</v>
      </c>
      <c r="R22">
        <v>11</v>
      </c>
      <c r="S22">
        <v>2059.1999999999998</v>
      </c>
      <c r="T22">
        <v>20</v>
      </c>
      <c r="U22">
        <v>3744</v>
      </c>
      <c r="V22">
        <v>22</v>
      </c>
      <c r="W22">
        <v>4118.3999999999996</v>
      </c>
      <c r="X22">
        <v>11</v>
      </c>
      <c r="Y22">
        <v>2059.1999999999998</v>
      </c>
      <c r="Z22">
        <v>12</v>
      </c>
      <c r="AA22">
        <v>2246.3999999999996</v>
      </c>
      <c r="AB22">
        <v>17</v>
      </c>
      <c r="AC22">
        <v>3182.3999999999996</v>
      </c>
      <c r="AD22">
        <v>18</v>
      </c>
      <c r="AE22">
        <v>3369.6</v>
      </c>
      <c r="AF22">
        <v>25</v>
      </c>
      <c r="AG22">
        <v>4680</v>
      </c>
      <c r="AH22">
        <v>18</v>
      </c>
      <c r="AI22">
        <v>3369.6</v>
      </c>
      <c r="AJ22">
        <v>11</v>
      </c>
      <c r="AK22">
        <v>2059.1999999999998</v>
      </c>
      <c r="AL22">
        <v>13</v>
      </c>
      <c r="AM22">
        <v>2433.6</v>
      </c>
      <c r="AN22">
        <v>11</v>
      </c>
      <c r="AO22">
        <v>2059.1999999999998</v>
      </c>
      <c r="AP22">
        <v>12</v>
      </c>
      <c r="AQ22">
        <v>2246.3999999999996</v>
      </c>
      <c r="AR22">
        <v>27</v>
      </c>
      <c r="AS22">
        <v>5054.3999999999996</v>
      </c>
      <c r="AT22">
        <v>18</v>
      </c>
      <c r="AU22">
        <v>3369.6</v>
      </c>
      <c r="AV22">
        <v>23</v>
      </c>
      <c r="AW22">
        <v>4305.5999999999995</v>
      </c>
      <c r="AX22">
        <v>25</v>
      </c>
      <c r="AY22">
        <v>4680</v>
      </c>
      <c r="AZ22">
        <v>10</v>
      </c>
      <c r="BA22">
        <v>1872</v>
      </c>
      <c r="BB22">
        <v>15</v>
      </c>
      <c r="BC22">
        <v>2808</v>
      </c>
      <c r="BD22">
        <v>10</v>
      </c>
      <c r="BE22">
        <v>1872</v>
      </c>
      <c r="BF22">
        <v>15</v>
      </c>
      <c r="BG22">
        <v>2808</v>
      </c>
      <c r="BH22">
        <v>11</v>
      </c>
      <c r="BI22">
        <v>2059.1999999999998</v>
      </c>
      <c r="BJ22">
        <v>8</v>
      </c>
      <c r="BK22">
        <v>1497.6</v>
      </c>
      <c r="BL22">
        <v>9</v>
      </c>
      <c r="BM22">
        <v>1684.8</v>
      </c>
      <c r="BN22">
        <v>10</v>
      </c>
      <c r="BO22">
        <v>1872</v>
      </c>
      <c r="BP22">
        <v>31</v>
      </c>
      <c r="BQ22">
        <v>5803.2</v>
      </c>
      <c r="BR22">
        <v>26</v>
      </c>
      <c r="BS22">
        <v>4867.2</v>
      </c>
      <c r="BT22">
        <v>34</v>
      </c>
      <c r="BU22">
        <v>6364.7999999999993</v>
      </c>
      <c r="BV22">
        <v>34</v>
      </c>
      <c r="BW22">
        <v>6364.7999999999993</v>
      </c>
      <c r="BX22">
        <v>39</v>
      </c>
      <c r="BY22">
        <v>7300.7999999999993</v>
      </c>
      <c r="BZ22">
        <v>54</v>
      </c>
      <c r="CA22">
        <v>10108.799999999999</v>
      </c>
      <c r="CB22">
        <v>50</v>
      </c>
      <c r="CC22">
        <v>9360</v>
      </c>
      <c r="CD22">
        <v>49</v>
      </c>
      <c r="CE22">
        <v>9172.7999999999993</v>
      </c>
      <c r="CF22">
        <v>125</v>
      </c>
      <c r="CG22">
        <v>23400</v>
      </c>
      <c r="CH22">
        <v>157</v>
      </c>
      <c r="CI22">
        <v>29390.399999999998</v>
      </c>
      <c r="CJ22">
        <v>130</v>
      </c>
      <c r="CK22">
        <v>24336</v>
      </c>
      <c r="CL22">
        <v>92</v>
      </c>
      <c r="CM22">
        <v>17222.399999999998</v>
      </c>
      <c r="CN22">
        <v>41</v>
      </c>
      <c r="CO22">
        <v>7675.2</v>
      </c>
      <c r="CP22">
        <v>28</v>
      </c>
      <c r="CQ22">
        <v>5241.5999999999995</v>
      </c>
      <c r="CR22">
        <v>49</v>
      </c>
      <c r="CS22">
        <v>9172.7999999999993</v>
      </c>
      <c r="CT22">
        <v>32</v>
      </c>
      <c r="CU22">
        <v>5990.4</v>
      </c>
    </row>
    <row r="23" spans="2:99" x14ac:dyDescent="0.2">
      <c r="C23" s="116" t="s">
        <v>189</v>
      </c>
      <c r="D23">
        <v>8</v>
      </c>
      <c r="E23">
        <v>2352</v>
      </c>
      <c r="F23">
        <v>9</v>
      </c>
      <c r="G23">
        <v>2646</v>
      </c>
      <c r="H23">
        <v>6</v>
      </c>
      <c r="I23">
        <v>1764</v>
      </c>
      <c r="J23">
        <v>11</v>
      </c>
      <c r="K23">
        <v>3234</v>
      </c>
      <c r="L23">
        <v>14</v>
      </c>
      <c r="M23">
        <v>4116</v>
      </c>
      <c r="N23">
        <v>13</v>
      </c>
      <c r="O23">
        <v>3822</v>
      </c>
      <c r="P23">
        <v>10</v>
      </c>
      <c r="Q23">
        <v>2940</v>
      </c>
      <c r="R23">
        <v>9</v>
      </c>
      <c r="S23">
        <v>2646</v>
      </c>
      <c r="T23">
        <v>19</v>
      </c>
      <c r="U23">
        <v>5586</v>
      </c>
      <c r="V23">
        <v>22</v>
      </c>
      <c r="W23">
        <v>6468</v>
      </c>
      <c r="X23">
        <v>11</v>
      </c>
      <c r="Y23">
        <v>3234</v>
      </c>
      <c r="Z23">
        <v>11</v>
      </c>
      <c r="AA23">
        <v>3234</v>
      </c>
      <c r="AB23">
        <v>19</v>
      </c>
      <c r="AC23">
        <v>5586</v>
      </c>
      <c r="AD23">
        <v>20</v>
      </c>
      <c r="AE23">
        <v>5880</v>
      </c>
      <c r="AF23">
        <v>23</v>
      </c>
      <c r="AG23">
        <v>6762</v>
      </c>
      <c r="AH23">
        <v>19</v>
      </c>
      <c r="AI23">
        <v>5586</v>
      </c>
      <c r="AJ23">
        <v>12</v>
      </c>
      <c r="AK23">
        <v>3528</v>
      </c>
      <c r="AL23">
        <v>13</v>
      </c>
      <c r="AM23">
        <v>3822</v>
      </c>
      <c r="AN23">
        <v>10</v>
      </c>
      <c r="AO23">
        <v>2940</v>
      </c>
      <c r="AP23">
        <v>11</v>
      </c>
      <c r="AQ23">
        <v>3234</v>
      </c>
      <c r="AR23">
        <v>25</v>
      </c>
      <c r="AS23">
        <v>7350</v>
      </c>
      <c r="AT23">
        <v>18</v>
      </c>
      <c r="AU23">
        <v>5292</v>
      </c>
      <c r="AV23">
        <v>21</v>
      </c>
      <c r="AW23">
        <v>6174</v>
      </c>
      <c r="AX23">
        <v>24</v>
      </c>
      <c r="AY23">
        <v>7056</v>
      </c>
      <c r="AZ23">
        <v>10</v>
      </c>
      <c r="BA23">
        <v>2940</v>
      </c>
      <c r="BB23">
        <v>14</v>
      </c>
      <c r="BC23">
        <v>4116</v>
      </c>
      <c r="BD23">
        <v>10</v>
      </c>
      <c r="BE23">
        <v>2940</v>
      </c>
      <c r="BF23">
        <v>13</v>
      </c>
      <c r="BG23">
        <v>3822</v>
      </c>
      <c r="BH23">
        <v>11</v>
      </c>
      <c r="BI23">
        <v>3234</v>
      </c>
      <c r="BJ23">
        <v>7</v>
      </c>
      <c r="BK23">
        <v>2058</v>
      </c>
      <c r="BL23">
        <v>10</v>
      </c>
      <c r="BM23">
        <v>2940</v>
      </c>
      <c r="BN23">
        <v>10</v>
      </c>
      <c r="BO23">
        <v>2940</v>
      </c>
      <c r="BP23">
        <v>34</v>
      </c>
      <c r="BQ23">
        <v>9996</v>
      </c>
      <c r="BR23">
        <v>26</v>
      </c>
      <c r="BS23">
        <v>7644</v>
      </c>
      <c r="BT23">
        <v>28</v>
      </c>
      <c r="BU23">
        <v>8232</v>
      </c>
      <c r="BV23">
        <v>32</v>
      </c>
      <c r="BW23">
        <v>9408</v>
      </c>
      <c r="BX23">
        <v>40</v>
      </c>
      <c r="BY23">
        <v>11760</v>
      </c>
      <c r="BZ23">
        <v>46</v>
      </c>
      <c r="CA23">
        <v>13524</v>
      </c>
      <c r="CB23">
        <v>47</v>
      </c>
      <c r="CC23">
        <v>13818</v>
      </c>
      <c r="CD23">
        <v>43</v>
      </c>
      <c r="CE23">
        <v>12642</v>
      </c>
      <c r="CF23">
        <v>107</v>
      </c>
      <c r="CG23">
        <v>31458</v>
      </c>
      <c r="CH23">
        <v>146</v>
      </c>
      <c r="CI23">
        <v>42924</v>
      </c>
      <c r="CJ23">
        <v>133</v>
      </c>
      <c r="CK23">
        <v>39102</v>
      </c>
      <c r="CL23">
        <v>91</v>
      </c>
      <c r="CM23">
        <v>26754</v>
      </c>
      <c r="CN23">
        <v>38</v>
      </c>
      <c r="CO23">
        <v>11172</v>
      </c>
      <c r="CP23">
        <v>27</v>
      </c>
      <c r="CQ23">
        <v>7938</v>
      </c>
      <c r="CR23">
        <v>51</v>
      </c>
      <c r="CS23">
        <v>14994</v>
      </c>
      <c r="CT23">
        <v>34</v>
      </c>
      <c r="CU23">
        <v>9996</v>
      </c>
    </row>
    <row r="24" spans="2:99" x14ac:dyDescent="0.2">
      <c r="C24" s="116" t="s">
        <v>190</v>
      </c>
      <c r="D24">
        <v>9</v>
      </c>
      <c r="E24">
        <v>3304.7999999999997</v>
      </c>
      <c r="F24">
        <v>9</v>
      </c>
      <c r="G24">
        <v>3304.7999999999997</v>
      </c>
      <c r="H24">
        <v>6</v>
      </c>
      <c r="I24">
        <v>2203.1999999999998</v>
      </c>
      <c r="J24">
        <v>11</v>
      </c>
      <c r="K24">
        <v>4039.2</v>
      </c>
      <c r="L24">
        <v>14</v>
      </c>
      <c r="M24">
        <v>5140.8</v>
      </c>
      <c r="N24">
        <v>12</v>
      </c>
      <c r="O24">
        <v>4406.3999999999996</v>
      </c>
      <c r="P24">
        <v>11</v>
      </c>
      <c r="Q24">
        <v>4039.2</v>
      </c>
      <c r="R24">
        <v>9</v>
      </c>
      <c r="S24">
        <v>3304.7999999999997</v>
      </c>
      <c r="T24">
        <v>19</v>
      </c>
      <c r="U24">
        <v>6976.8</v>
      </c>
      <c r="V24">
        <v>19</v>
      </c>
      <c r="W24">
        <v>6976.8</v>
      </c>
      <c r="X24">
        <v>11</v>
      </c>
      <c r="Y24">
        <v>4039.2</v>
      </c>
      <c r="Z24">
        <v>13</v>
      </c>
      <c r="AA24">
        <v>4773.5999999999995</v>
      </c>
      <c r="AB24">
        <v>19</v>
      </c>
      <c r="AC24">
        <v>6976.8</v>
      </c>
      <c r="AD24">
        <v>18</v>
      </c>
      <c r="AE24">
        <v>6609.5999999999995</v>
      </c>
      <c r="AF24">
        <v>22</v>
      </c>
      <c r="AG24">
        <v>8078.4</v>
      </c>
      <c r="AH24">
        <v>18</v>
      </c>
      <c r="AI24">
        <v>6609.5999999999995</v>
      </c>
      <c r="AJ24">
        <v>11</v>
      </c>
      <c r="AK24">
        <v>4039.2</v>
      </c>
      <c r="AL24">
        <v>12</v>
      </c>
      <c r="AM24">
        <v>4406.3999999999996</v>
      </c>
      <c r="AN24">
        <v>11</v>
      </c>
      <c r="AO24">
        <v>4039.2</v>
      </c>
      <c r="AP24">
        <v>12</v>
      </c>
      <c r="AQ24">
        <v>4406.3999999999996</v>
      </c>
      <c r="AR24">
        <v>26</v>
      </c>
      <c r="AS24">
        <v>9547.1999999999989</v>
      </c>
      <c r="AT24">
        <v>18</v>
      </c>
      <c r="AU24">
        <v>6609.5999999999995</v>
      </c>
      <c r="AV24">
        <v>23</v>
      </c>
      <c r="AW24">
        <v>8445.6</v>
      </c>
      <c r="AX24">
        <v>22</v>
      </c>
      <c r="AY24">
        <v>8078.4</v>
      </c>
      <c r="AZ24">
        <v>11</v>
      </c>
      <c r="BA24">
        <v>4039.2</v>
      </c>
      <c r="BB24">
        <v>15</v>
      </c>
      <c r="BC24">
        <v>5508</v>
      </c>
      <c r="BD24">
        <v>12</v>
      </c>
      <c r="BE24">
        <v>4406.3999999999996</v>
      </c>
      <c r="BF24">
        <v>12</v>
      </c>
      <c r="BG24">
        <v>4406.3999999999996</v>
      </c>
      <c r="BH24">
        <v>11</v>
      </c>
      <c r="BI24">
        <v>4039.2</v>
      </c>
      <c r="BJ24">
        <v>7</v>
      </c>
      <c r="BK24">
        <v>2570.4</v>
      </c>
      <c r="BL24">
        <v>10</v>
      </c>
      <c r="BM24">
        <v>3672</v>
      </c>
      <c r="BN24">
        <v>11</v>
      </c>
      <c r="BO24">
        <v>4039.2</v>
      </c>
      <c r="BP24">
        <v>30</v>
      </c>
      <c r="BQ24">
        <v>11016</v>
      </c>
      <c r="BR24">
        <v>28</v>
      </c>
      <c r="BS24">
        <v>10281.6</v>
      </c>
      <c r="BT24">
        <v>30</v>
      </c>
      <c r="BU24">
        <v>11016</v>
      </c>
      <c r="BV24">
        <v>30</v>
      </c>
      <c r="BW24">
        <v>11016</v>
      </c>
      <c r="BX24">
        <v>42</v>
      </c>
      <c r="BY24">
        <v>15422.4</v>
      </c>
      <c r="BZ24">
        <v>51</v>
      </c>
      <c r="CA24">
        <v>18727.2</v>
      </c>
      <c r="CB24">
        <v>47</v>
      </c>
      <c r="CC24">
        <v>17258.399999999998</v>
      </c>
      <c r="CD24">
        <v>45</v>
      </c>
      <c r="CE24">
        <v>16524</v>
      </c>
      <c r="CF24">
        <v>113</v>
      </c>
      <c r="CG24">
        <v>41493.599999999999</v>
      </c>
      <c r="CH24">
        <v>151</v>
      </c>
      <c r="CI24">
        <v>55447.199999999997</v>
      </c>
      <c r="CJ24">
        <v>127</v>
      </c>
      <c r="CK24">
        <v>46634.400000000001</v>
      </c>
      <c r="CL24">
        <v>89</v>
      </c>
      <c r="CM24">
        <v>32680.799999999999</v>
      </c>
      <c r="CN24">
        <v>37</v>
      </c>
      <c r="CO24">
        <v>13586.4</v>
      </c>
      <c r="CP24">
        <v>27</v>
      </c>
      <c r="CQ24">
        <v>9914.4</v>
      </c>
      <c r="CR24">
        <v>54</v>
      </c>
      <c r="CS24">
        <v>19828.8</v>
      </c>
      <c r="CT24">
        <v>30</v>
      </c>
      <c r="CU24">
        <v>11016</v>
      </c>
    </row>
    <row r="25" spans="2:99" x14ac:dyDescent="0.2">
      <c r="C25" s="116" t="s">
        <v>191</v>
      </c>
      <c r="D25">
        <v>8</v>
      </c>
      <c r="E25">
        <v>4243.2</v>
      </c>
      <c r="F25">
        <v>9</v>
      </c>
      <c r="G25">
        <v>4773.5999999999995</v>
      </c>
      <c r="H25">
        <v>7</v>
      </c>
      <c r="I25">
        <v>3712.7999999999997</v>
      </c>
      <c r="J25">
        <v>12</v>
      </c>
      <c r="K25">
        <v>6364.7999999999993</v>
      </c>
      <c r="L25">
        <v>15</v>
      </c>
      <c r="M25">
        <v>7956</v>
      </c>
      <c r="N25">
        <v>13</v>
      </c>
      <c r="O25">
        <v>6895.2</v>
      </c>
      <c r="P25">
        <v>10</v>
      </c>
      <c r="Q25">
        <v>5304</v>
      </c>
      <c r="R25">
        <v>10</v>
      </c>
      <c r="S25">
        <v>5304</v>
      </c>
      <c r="T25">
        <v>20</v>
      </c>
      <c r="U25">
        <v>10608</v>
      </c>
      <c r="V25">
        <v>18</v>
      </c>
      <c r="W25">
        <v>9547.1999999999989</v>
      </c>
      <c r="X25">
        <v>11</v>
      </c>
      <c r="Y25">
        <v>5834.4</v>
      </c>
      <c r="Z25">
        <v>12</v>
      </c>
      <c r="AA25">
        <v>6364.7999999999993</v>
      </c>
      <c r="AB25">
        <v>19</v>
      </c>
      <c r="AC25">
        <v>10077.6</v>
      </c>
      <c r="AD25">
        <v>21</v>
      </c>
      <c r="AE25">
        <v>11138.4</v>
      </c>
      <c r="AF25">
        <v>26</v>
      </c>
      <c r="AG25">
        <v>13790.4</v>
      </c>
      <c r="AH25">
        <v>16</v>
      </c>
      <c r="AI25">
        <v>8486.4</v>
      </c>
      <c r="AJ25">
        <v>10</v>
      </c>
      <c r="AK25">
        <v>5304</v>
      </c>
      <c r="AL25">
        <v>11</v>
      </c>
      <c r="AM25">
        <v>5834.4</v>
      </c>
      <c r="AN25">
        <v>10</v>
      </c>
      <c r="AO25">
        <v>5304</v>
      </c>
      <c r="AP25">
        <v>12</v>
      </c>
      <c r="AQ25">
        <v>6364.7999999999993</v>
      </c>
      <c r="AR25">
        <v>28</v>
      </c>
      <c r="AS25">
        <v>14851.199999999999</v>
      </c>
      <c r="AT25">
        <v>15</v>
      </c>
      <c r="AU25">
        <v>7956</v>
      </c>
      <c r="AV25">
        <v>23</v>
      </c>
      <c r="AW25">
        <v>12199.199999999999</v>
      </c>
      <c r="AX25">
        <v>22</v>
      </c>
      <c r="AY25">
        <v>11668.8</v>
      </c>
      <c r="AZ25">
        <v>9</v>
      </c>
      <c r="BA25">
        <v>4773.5999999999995</v>
      </c>
      <c r="BB25">
        <v>15</v>
      </c>
      <c r="BC25">
        <v>7956</v>
      </c>
      <c r="BD25">
        <v>10</v>
      </c>
      <c r="BE25">
        <v>5304</v>
      </c>
      <c r="BF25">
        <v>13</v>
      </c>
      <c r="BG25">
        <v>6895.2</v>
      </c>
      <c r="BH25">
        <v>11</v>
      </c>
      <c r="BI25">
        <v>5834.4</v>
      </c>
      <c r="BJ25">
        <v>7</v>
      </c>
      <c r="BK25">
        <v>3712.7999999999997</v>
      </c>
      <c r="BL25">
        <v>9</v>
      </c>
      <c r="BM25">
        <v>4773.5999999999995</v>
      </c>
      <c r="BN25">
        <v>10</v>
      </c>
      <c r="BO25">
        <v>5304</v>
      </c>
      <c r="BP25">
        <v>29</v>
      </c>
      <c r="BQ25">
        <v>15381.599999999999</v>
      </c>
      <c r="BR25">
        <v>27</v>
      </c>
      <c r="BS25">
        <v>14320.8</v>
      </c>
      <c r="BT25">
        <v>32</v>
      </c>
      <c r="BU25">
        <v>16972.8</v>
      </c>
      <c r="BV25">
        <v>32</v>
      </c>
      <c r="BW25">
        <v>16972.8</v>
      </c>
      <c r="BX25">
        <v>38</v>
      </c>
      <c r="BY25">
        <v>20155.2</v>
      </c>
      <c r="BZ25">
        <v>45</v>
      </c>
      <c r="CA25">
        <v>23868</v>
      </c>
      <c r="CB25">
        <v>47</v>
      </c>
      <c r="CC25">
        <v>24928.799999999999</v>
      </c>
      <c r="CD25">
        <v>41</v>
      </c>
      <c r="CE25">
        <v>21746.399999999998</v>
      </c>
      <c r="CF25">
        <v>106</v>
      </c>
      <c r="CG25">
        <v>56222.399999999994</v>
      </c>
      <c r="CH25">
        <v>138</v>
      </c>
      <c r="CI25">
        <v>73195.199999999997</v>
      </c>
      <c r="CJ25">
        <v>115</v>
      </c>
      <c r="CK25">
        <v>60996</v>
      </c>
      <c r="CL25">
        <v>88</v>
      </c>
      <c r="CM25">
        <v>46675.199999999997</v>
      </c>
      <c r="CN25">
        <v>39</v>
      </c>
      <c r="CO25">
        <v>20685.599999999999</v>
      </c>
      <c r="CP25">
        <v>31</v>
      </c>
      <c r="CQ25">
        <v>16442.399999999998</v>
      </c>
      <c r="CR25">
        <v>46</v>
      </c>
      <c r="CS25">
        <v>24398.399999999998</v>
      </c>
      <c r="CT25">
        <v>29</v>
      </c>
      <c r="CU25">
        <v>15381.599999999999</v>
      </c>
    </row>
    <row r="26" spans="2:99" x14ac:dyDescent="0.2">
      <c r="C26" s="116" t="s">
        <v>192</v>
      </c>
      <c r="D26">
        <v>8</v>
      </c>
      <c r="E26">
        <v>3888</v>
      </c>
      <c r="F26">
        <v>10</v>
      </c>
      <c r="G26">
        <v>4860</v>
      </c>
      <c r="H26">
        <v>7</v>
      </c>
      <c r="I26">
        <v>3402</v>
      </c>
      <c r="J26">
        <v>10</v>
      </c>
      <c r="K26">
        <v>4860</v>
      </c>
      <c r="L26">
        <v>12</v>
      </c>
      <c r="M26">
        <v>5832</v>
      </c>
      <c r="N26">
        <v>11</v>
      </c>
      <c r="O26">
        <v>5346</v>
      </c>
      <c r="P26">
        <v>9</v>
      </c>
      <c r="Q26">
        <v>4374</v>
      </c>
      <c r="R26">
        <v>10</v>
      </c>
      <c r="S26">
        <v>4860</v>
      </c>
      <c r="T26">
        <v>21</v>
      </c>
      <c r="U26">
        <v>10206</v>
      </c>
      <c r="V26">
        <v>20</v>
      </c>
      <c r="W26">
        <v>9720</v>
      </c>
      <c r="X26">
        <v>11</v>
      </c>
      <c r="Y26">
        <v>5346</v>
      </c>
      <c r="Z26">
        <v>12</v>
      </c>
      <c r="AA26">
        <v>5832</v>
      </c>
      <c r="AB26">
        <v>17</v>
      </c>
      <c r="AC26">
        <v>8262</v>
      </c>
      <c r="AD26">
        <v>20</v>
      </c>
      <c r="AE26">
        <v>9720</v>
      </c>
      <c r="AF26">
        <v>25</v>
      </c>
      <c r="AG26">
        <v>12150</v>
      </c>
      <c r="AH26">
        <v>17</v>
      </c>
      <c r="AI26">
        <v>8262</v>
      </c>
      <c r="AJ26">
        <v>10</v>
      </c>
      <c r="AK26">
        <v>4860</v>
      </c>
      <c r="AL26">
        <v>13</v>
      </c>
      <c r="AM26">
        <v>6318</v>
      </c>
      <c r="AN26">
        <v>11</v>
      </c>
      <c r="AO26">
        <v>5346</v>
      </c>
      <c r="AP26">
        <v>13</v>
      </c>
      <c r="AQ26">
        <v>6318</v>
      </c>
      <c r="AR26">
        <v>28</v>
      </c>
      <c r="AS26">
        <v>13608</v>
      </c>
      <c r="AT26">
        <v>17</v>
      </c>
      <c r="AU26">
        <v>8262</v>
      </c>
      <c r="AV26">
        <v>23</v>
      </c>
      <c r="AW26">
        <v>11178</v>
      </c>
      <c r="AX26">
        <v>24</v>
      </c>
      <c r="AY26">
        <v>11664</v>
      </c>
      <c r="AZ26">
        <v>9</v>
      </c>
      <c r="BA26">
        <v>4374</v>
      </c>
      <c r="BB26">
        <v>13</v>
      </c>
      <c r="BC26">
        <v>6318</v>
      </c>
      <c r="BD26">
        <v>11</v>
      </c>
      <c r="BE26">
        <v>5346</v>
      </c>
      <c r="BF26">
        <v>13</v>
      </c>
      <c r="BG26">
        <v>6318</v>
      </c>
      <c r="BH26">
        <v>11</v>
      </c>
      <c r="BI26">
        <v>5346</v>
      </c>
      <c r="BJ26">
        <v>7</v>
      </c>
      <c r="BK26">
        <v>3402</v>
      </c>
      <c r="BL26">
        <v>9</v>
      </c>
      <c r="BM26">
        <v>4374</v>
      </c>
      <c r="BN26">
        <v>10</v>
      </c>
      <c r="BO26">
        <v>4860</v>
      </c>
      <c r="BP26">
        <v>32</v>
      </c>
      <c r="BQ26">
        <v>15552</v>
      </c>
      <c r="BR26">
        <v>26</v>
      </c>
      <c r="BS26">
        <v>12636</v>
      </c>
      <c r="BT26">
        <v>30</v>
      </c>
      <c r="BU26">
        <v>14580</v>
      </c>
      <c r="BV26">
        <v>33</v>
      </c>
      <c r="BW26">
        <v>16038</v>
      </c>
      <c r="BX26">
        <v>38</v>
      </c>
      <c r="BY26">
        <v>18468</v>
      </c>
      <c r="BZ26">
        <v>54</v>
      </c>
      <c r="CA26">
        <v>26244</v>
      </c>
      <c r="CB26">
        <v>45</v>
      </c>
      <c r="CC26">
        <v>21870</v>
      </c>
      <c r="CD26">
        <v>41</v>
      </c>
      <c r="CE26">
        <v>19926</v>
      </c>
      <c r="CF26">
        <v>116</v>
      </c>
      <c r="CG26">
        <v>56376</v>
      </c>
      <c r="CH26">
        <v>152</v>
      </c>
      <c r="CI26">
        <v>73872</v>
      </c>
      <c r="CJ26">
        <v>123</v>
      </c>
      <c r="CK26">
        <v>59778</v>
      </c>
      <c r="CL26">
        <v>77</v>
      </c>
      <c r="CM26">
        <v>37422</v>
      </c>
      <c r="CN26">
        <v>38</v>
      </c>
      <c r="CO26">
        <v>18468</v>
      </c>
      <c r="CP26">
        <v>28</v>
      </c>
      <c r="CQ26">
        <v>13608</v>
      </c>
      <c r="CR26">
        <v>49</v>
      </c>
      <c r="CS26">
        <v>23814</v>
      </c>
      <c r="CT26">
        <v>30</v>
      </c>
      <c r="CU26">
        <v>14580</v>
      </c>
    </row>
    <row r="27" spans="2:99" x14ac:dyDescent="0.2">
      <c r="C27" s="116" t="s">
        <v>193</v>
      </c>
      <c r="D27">
        <v>8</v>
      </c>
      <c r="E27">
        <v>3417.6</v>
      </c>
      <c r="F27">
        <v>9</v>
      </c>
      <c r="G27">
        <v>3844.7999999999997</v>
      </c>
      <c r="H27">
        <v>7</v>
      </c>
      <c r="I27">
        <v>2990.4</v>
      </c>
      <c r="J27">
        <v>11</v>
      </c>
      <c r="K27">
        <v>4699.2</v>
      </c>
      <c r="L27">
        <v>14</v>
      </c>
      <c r="M27">
        <v>5980.8</v>
      </c>
      <c r="N27">
        <v>12</v>
      </c>
      <c r="O27">
        <v>5126.3999999999996</v>
      </c>
      <c r="P27">
        <v>10</v>
      </c>
      <c r="Q27">
        <v>4272</v>
      </c>
      <c r="R27">
        <v>10</v>
      </c>
      <c r="S27">
        <v>4272</v>
      </c>
      <c r="T27">
        <v>19</v>
      </c>
      <c r="U27">
        <v>8116.8</v>
      </c>
      <c r="V27">
        <v>21</v>
      </c>
      <c r="W27">
        <v>8971.1999999999989</v>
      </c>
      <c r="X27">
        <v>11</v>
      </c>
      <c r="Y27">
        <v>4699.2</v>
      </c>
      <c r="Z27">
        <v>12</v>
      </c>
      <c r="AA27">
        <v>5126.3999999999996</v>
      </c>
      <c r="AB27">
        <v>19</v>
      </c>
      <c r="AC27">
        <v>8116.8</v>
      </c>
      <c r="AD27">
        <v>20</v>
      </c>
      <c r="AE27">
        <v>8544</v>
      </c>
      <c r="AF27">
        <v>27</v>
      </c>
      <c r="AG27">
        <v>11534.4</v>
      </c>
      <c r="AH27">
        <v>16</v>
      </c>
      <c r="AI27">
        <v>6835.2</v>
      </c>
      <c r="AJ27">
        <v>10</v>
      </c>
      <c r="AK27">
        <v>4272</v>
      </c>
      <c r="AL27">
        <v>11</v>
      </c>
      <c r="AM27">
        <v>4699.2</v>
      </c>
      <c r="AN27">
        <v>11</v>
      </c>
      <c r="AO27">
        <v>4699.2</v>
      </c>
      <c r="AP27">
        <v>13</v>
      </c>
      <c r="AQ27">
        <v>5553.5999999999995</v>
      </c>
      <c r="AR27">
        <v>24</v>
      </c>
      <c r="AS27">
        <v>10252.799999999999</v>
      </c>
      <c r="AT27">
        <v>17</v>
      </c>
      <c r="AU27">
        <v>7262.4</v>
      </c>
      <c r="AV27">
        <v>22</v>
      </c>
      <c r="AW27">
        <v>9398.4</v>
      </c>
      <c r="AX27">
        <v>26</v>
      </c>
      <c r="AY27">
        <v>11107.199999999999</v>
      </c>
      <c r="AZ27">
        <v>11</v>
      </c>
      <c r="BA27">
        <v>4699.2</v>
      </c>
      <c r="BB27">
        <v>14</v>
      </c>
      <c r="BC27">
        <v>5980.8</v>
      </c>
      <c r="BD27">
        <v>10</v>
      </c>
      <c r="BE27">
        <v>4272</v>
      </c>
      <c r="BF27">
        <v>13</v>
      </c>
      <c r="BG27">
        <v>5553.5999999999995</v>
      </c>
      <c r="BH27">
        <v>11</v>
      </c>
      <c r="BI27">
        <v>4699.2</v>
      </c>
      <c r="BJ27">
        <v>7</v>
      </c>
      <c r="BK27">
        <v>2990.4</v>
      </c>
      <c r="BL27">
        <v>10</v>
      </c>
      <c r="BM27">
        <v>4272</v>
      </c>
      <c r="BN27">
        <v>10</v>
      </c>
      <c r="BO27">
        <v>4272</v>
      </c>
      <c r="BP27">
        <v>29</v>
      </c>
      <c r="BQ27">
        <v>12388.8</v>
      </c>
      <c r="BR27">
        <v>27</v>
      </c>
      <c r="BS27">
        <v>11534.4</v>
      </c>
      <c r="BT27">
        <v>30</v>
      </c>
      <c r="BU27">
        <v>12816</v>
      </c>
      <c r="BV27">
        <v>34</v>
      </c>
      <c r="BW27">
        <v>14524.8</v>
      </c>
      <c r="BX27">
        <v>41</v>
      </c>
      <c r="BY27">
        <v>17515.2</v>
      </c>
      <c r="BZ27">
        <v>47</v>
      </c>
      <c r="CA27">
        <v>20078.399999999998</v>
      </c>
      <c r="CB27">
        <v>43</v>
      </c>
      <c r="CC27">
        <v>18369.599999999999</v>
      </c>
      <c r="CD27">
        <v>45</v>
      </c>
      <c r="CE27">
        <v>19224</v>
      </c>
      <c r="CF27">
        <v>109</v>
      </c>
      <c r="CG27">
        <v>46564.799999999996</v>
      </c>
      <c r="CH27">
        <v>159</v>
      </c>
      <c r="CI27">
        <v>67924.800000000003</v>
      </c>
      <c r="CJ27">
        <v>130</v>
      </c>
      <c r="CK27">
        <v>55536</v>
      </c>
      <c r="CL27">
        <v>82</v>
      </c>
      <c r="CM27">
        <v>35030.400000000001</v>
      </c>
      <c r="CN27">
        <v>33</v>
      </c>
      <c r="CO27">
        <v>14097.6</v>
      </c>
      <c r="CP27">
        <v>29</v>
      </c>
      <c r="CQ27">
        <v>12388.8</v>
      </c>
      <c r="CR27">
        <v>49</v>
      </c>
      <c r="CS27">
        <v>20932.8</v>
      </c>
      <c r="CT27">
        <v>32</v>
      </c>
      <c r="CU27">
        <v>13670.4</v>
      </c>
    </row>
    <row r="28" spans="2:99" x14ac:dyDescent="0.2">
      <c r="C28" s="116" t="s">
        <v>194</v>
      </c>
      <c r="D28">
        <v>9</v>
      </c>
      <c r="E28">
        <v>6642</v>
      </c>
      <c r="F28">
        <v>9</v>
      </c>
      <c r="G28">
        <v>6642</v>
      </c>
      <c r="H28">
        <v>7</v>
      </c>
      <c r="I28">
        <v>5166</v>
      </c>
      <c r="J28">
        <v>11</v>
      </c>
      <c r="K28">
        <v>8118</v>
      </c>
      <c r="L28">
        <v>14</v>
      </c>
      <c r="M28">
        <v>10332</v>
      </c>
      <c r="N28">
        <v>12</v>
      </c>
      <c r="O28">
        <v>8856</v>
      </c>
      <c r="P28">
        <v>10</v>
      </c>
      <c r="Q28">
        <v>7380</v>
      </c>
      <c r="R28">
        <v>9</v>
      </c>
      <c r="S28">
        <v>6642</v>
      </c>
      <c r="T28">
        <v>19</v>
      </c>
      <c r="U28">
        <v>14022</v>
      </c>
      <c r="V28">
        <v>18</v>
      </c>
      <c r="W28">
        <v>13284</v>
      </c>
      <c r="X28">
        <v>11</v>
      </c>
      <c r="Y28">
        <v>8118</v>
      </c>
      <c r="Z28">
        <v>12</v>
      </c>
      <c r="AA28">
        <v>8856</v>
      </c>
      <c r="AB28">
        <v>18</v>
      </c>
      <c r="AC28">
        <v>13284</v>
      </c>
      <c r="AD28">
        <v>20</v>
      </c>
      <c r="AE28">
        <v>14760</v>
      </c>
      <c r="AF28">
        <v>23</v>
      </c>
      <c r="AG28">
        <v>16974</v>
      </c>
      <c r="AH28">
        <v>16</v>
      </c>
      <c r="AI28">
        <v>11808</v>
      </c>
      <c r="AJ28">
        <v>10</v>
      </c>
      <c r="AK28">
        <v>7380</v>
      </c>
      <c r="AL28">
        <v>12</v>
      </c>
      <c r="AM28">
        <v>8856</v>
      </c>
      <c r="AN28">
        <v>11</v>
      </c>
      <c r="AO28">
        <v>8118</v>
      </c>
      <c r="AP28">
        <v>11</v>
      </c>
      <c r="AQ28">
        <v>8118</v>
      </c>
      <c r="AR28">
        <v>26</v>
      </c>
      <c r="AS28">
        <v>19188</v>
      </c>
      <c r="AT28">
        <v>17</v>
      </c>
      <c r="AU28">
        <v>12546</v>
      </c>
      <c r="AV28">
        <v>20</v>
      </c>
      <c r="AW28">
        <v>14760</v>
      </c>
      <c r="AX28">
        <v>22</v>
      </c>
      <c r="AY28">
        <v>16236</v>
      </c>
      <c r="AZ28">
        <v>9</v>
      </c>
      <c r="BA28">
        <v>6642</v>
      </c>
      <c r="BB28">
        <v>14</v>
      </c>
      <c r="BC28">
        <v>10332</v>
      </c>
      <c r="BD28">
        <v>11</v>
      </c>
      <c r="BE28">
        <v>8118</v>
      </c>
      <c r="BF28">
        <v>12</v>
      </c>
      <c r="BG28">
        <v>8856</v>
      </c>
      <c r="BH28">
        <v>11</v>
      </c>
      <c r="BI28">
        <v>8118</v>
      </c>
      <c r="BJ28">
        <v>7</v>
      </c>
      <c r="BK28">
        <v>5166</v>
      </c>
      <c r="BL28">
        <v>10</v>
      </c>
      <c r="BM28">
        <v>7380</v>
      </c>
      <c r="BN28">
        <v>10</v>
      </c>
      <c r="BO28">
        <v>7380</v>
      </c>
      <c r="BP28">
        <v>32</v>
      </c>
      <c r="BQ28">
        <v>23616</v>
      </c>
      <c r="BR28">
        <v>28</v>
      </c>
      <c r="BS28">
        <v>20664</v>
      </c>
      <c r="BT28">
        <v>27</v>
      </c>
      <c r="BU28">
        <v>19926</v>
      </c>
      <c r="BV28">
        <v>35</v>
      </c>
      <c r="BW28">
        <v>25830</v>
      </c>
      <c r="BX28">
        <v>39</v>
      </c>
      <c r="BY28">
        <v>28782</v>
      </c>
      <c r="BZ28">
        <v>49</v>
      </c>
      <c r="CA28">
        <v>36162</v>
      </c>
      <c r="CB28">
        <v>49</v>
      </c>
      <c r="CC28">
        <v>36162</v>
      </c>
      <c r="CD28">
        <v>46</v>
      </c>
      <c r="CE28">
        <v>33948</v>
      </c>
      <c r="CF28">
        <v>106</v>
      </c>
      <c r="CG28">
        <v>78228</v>
      </c>
      <c r="CH28">
        <v>133</v>
      </c>
      <c r="CI28">
        <v>98154</v>
      </c>
      <c r="CJ28">
        <v>125</v>
      </c>
      <c r="CK28">
        <v>92250</v>
      </c>
      <c r="CL28">
        <v>77</v>
      </c>
      <c r="CM28">
        <v>56826</v>
      </c>
      <c r="CN28">
        <v>34</v>
      </c>
      <c r="CO28">
        <v>25092</v>
      </c>
      <c r="CP28">
        <v>27</v>
      </c>
      <c r="CQ28">
        <v>19926</v>
      </c>
      <c r="CR28">
        <v>44</v>
      </c>
      <c r="CS28">
        <v>32472</v>
      </c>
      <c r="CT28">
        <v>31</v>
      </c>
      <c r="CU28">
        <v>22878</v>
      </c>
    </row>
    <row r="29" spans="2:99" x14ac:dyDescent="0.2">
      <c r="C29" s="116" t="s">
        <v>195</v>
      </c>
      <c r="D29">
        <v>9</v>
      </c>
      <c r="E29">
        <v>3045.6</v>
      </c>
      <c r="F29">
        <v>10</v>
      </c>
      <c r="G29">
        <v>3384</v>
      </c>
      <c r="H29">
        <v>6</v>
      </c>
      <c r="I29">
        <v>2030.3999999999999</v>
      </c>
      <c r="J29">
        <v>12</v>
      </c>
      <c r="K29">
        <v>4060.7999999999997</v>
      </c>
      <c r="L29">
        <v>13</v>
      </c>
      <c r="M29">
        <v>4399.2</v>
      </c>
      <c r="N29">
        <v>13</v>
      </c>
      <c r="O29">
        <v>4399.2</v>
      </c>
      <c r="P29">
        <v>11</v>
      </c>
      <c r="Q29">
        <v>3722.3999999999996</v>
      </c>
      <c r="R29">
        <v>10</v>
      </c>
      <c r="S29">
        <v>3384</v>
      </c>
      <c r="T29">
        <v>20</v>
      </c>
      <c r="U29">
        <v>6768</v>
      </c>
      <c r="V29">
        <v>20</v>
      </c>
      <c r="W29">
        <v>6768</v>
      </c>
      <c r="X29">
        <v>11</v>
      </c>
      <c r="Y29">
        <v>3722.3999999999996</v>
      </c>
      <c r="Z29">
        <v>11</v>
      </c>
      <c r="AA29">
        <v>3722.3999999999996</v>
      </c>
      <c r="AB29">
        <v>18</v>
      </c>
      <c r="AC29">
        <v>6091.2</v>
      </c>
      <c r="AD29">
        <v>18</v>
      </c>
      <c r="AE29">
        <v>6091.2</v>
      </c>
      <c r="AF29">
        <v>25</v>
      </c>
      <c r="AG29">
        <v>8460</v>
      </c>
      <c r="AH29">
        <v>19</v>
      </c>
      <c r="AI29">
        <v>6429.5999999999995</v>
      </c>
      <c r="AJ29">
        <v>12</v>
      </c>
      <c r="AK29">
        <v>4060.7999999999997</v>
      </c>
      <c r="AL29">
        <v>12</v>
      </c>
      <c r="AM29">
        <v>4060.7999999999997</v>
      </c>
      <c r="AN29">
        <v>11</v>
      </c>
      <c r="AO29">
        <v>3722.3999999999996</v>
      </c>
      <c r="AP29">
        <v>12</v>
      </c>
      <c r="AQ29">
        <v>4060.7999999999997</v>
      </c>
      <c r="AR29">
        <v>24</v>
      </c>
      <c r="AS29">
        <v>8121.5999999999995</v>
      </c>
      <c r="AT29">
        <v>16</v>
      </c>
      <c r="AU29">
        <v>5414.4</v>
      </c>
      <c r="AV29">
        <v>24</v>
      </c>
      <c r="AW29">
        <v>8121.5999999999995</v>
      </c>
      <c r="AX29">
        <v>25</v>
      </c>
      <c r="AY29">
        <v>8460</v>
      </c>
      <c r="AZ29">
        <v>10</v>
      </c>
      <c r="BA29">
        <v>3384</v>
      </c>
      <c r="BB29">
        <v>14</v>
      </c>
      <c r="BC29">
        <v>4737.5999999999995</v>
      </c>
      <c r="BD29">
        <v>11</v>
      </c>
      <c r="BE29">
        <v>3722.3999999999996</v>
      </c>
      <c r="BF29">
        <v>14</v>
      </c>
      <c r="BG29">
        <v>4737.5999999999995</v>
      </c>
      <c r="BH29">
        <v>10</v>
      </c>
      <c r="BI29">
        <v>3384</v>
      </c>
      <c r="BJ29">
        <v>7</v>
      </c>
      <c r="BK29">
        <v>2368.7999999999997</v>
      </c>
      <c r="BL29">
        <v>10</v>
      </c>
      <c r="BM29">
        <v>3384</v>
      </c>
      <c r="BN29">
        <v>10</v>
      </c>
      <c r="BO29">
        <v>3384</v>
      </c>
      <c r="BP29">
        <v>34</v>
      </c>
      <c r="BQ29">
        <v>11505.599999999999</v>
      </c>
      <c r="BR29">
        <v>30</v>
      </c>
      <c r="BS29">
        <v>10152</v>
      </c>
      <c r="BT29">
        <v>32</v>
      </c>
      <c r="BU29">
        <v>10828.8</v>
      </c>
      <c r="BV29">
        <v>35</v>
      </c>
      <c r="BW29">
        <v>11844</v>
      </c>
      <c r="BX29">
        <v>38</v>
      </c>
      <c r="BY29">
        <v>12859.199999999999</v>
      </c>
      <c r="BZ29">
        <v>50</v>
      </c>
      <c r="CA29">
        <v>16920</v>
      </c>
      <c r="CB29">
        <v>47</v>
      </c>
      <c r="CC29">
        <v>15904.8</v>
      </c>
      <c r="CD29">
        <v>40</v>
      </c>
      <c r="CE29">
        <v>13536</v>
      </c>
      <c r="CF29">
        <v>121</v>
      </c>
      <c r="CG29">
        <v>40946.399999999994</v>
      </c>
      <c r="CH29">
        <v>164</v>
      </c>
      <c r="CI29">
        <v>55497.599999999999</v>
      </c>
      <c r="CJ29">
        <v>131</v>
      </c>
      <c r="CK29">
        <v>44330.399999999994</v>
      </c>
      <c r="CL29">
        <v>81</v>
      </c>
      <c r="CM29">
        <v>27410.399999999998</v>
      </c>
      <c r="CN29">
        <v>40</v>
      </c>
      <c r="CO29">
        <v>13536</v>
      </c>
      <c r="CP29">
        <v>31</v>
      </c>
      <c r="CQ29">
        <v>10490.4</v>
      </c>
      <c r="CR29">
        <v>49</v>
      </c>
      <c r="CS29">
        <v>16581.599999999999</v>
      </c>
      <c r="CT29">
        <v>32</v>
      </c>
      <c r="CU29">
        <v>10828.8</v>
      </c>
    </row>
    <row r="30" spans="2:99" x14ac:dyDescent="0.2">
      <c r="C30" s="116" t="s">
        <v>196</v>
      </c>
      <c r="D30">
        <v>8</v>
      </c>
      <c r="E30">
        <v>1113.5999999999999</v>
      </c>
      <c r="F30">
        <v>9</v>
      </c>
      <c r="G30">
        <v>1252.8</v>
      </c>
      <c r="H30">
        <v>6</v>
      </c>
      <c r="I30">
        <v>835.19999999999993</v>
      </c>
      <c r="J30">
        <v>10</v>
      </c>
      <c r="K30">
        <v>1392</v>
      </c>
      <c r="L30">
        <v>13</v>
      </c>
      <c r="M30">
        <v>1809.6</v>
      </c>
      <c r="N30">
        <v>12</v>
      </c>
      <c r="O30">
        <v>1670.3999999999999</v>
      </c>
      <c r="P30">
        <v>10</v>
      </c>
      <c r="Q30">
        <v>1392</v>
      </c>
      <c r="R30">
        <v>9</v>
      </c>
      <c r="S30">
        <v>1252.8</v>
      </c>
      <c r="T30">
        <v>19</v>
      </c>
      <c r="U30">
        <v>2644.7999999999997</v>
      </c>
      <c r="V30">
        <v>20</v>
      </c>
      <c r="W30">
        <v>2784</v>
      </c>
      <c r="X30">
        <v>12</v>
      </c>
      <c r="Y30">
        <v>1670.3999999999999</v>
      </c>
      <c r="Z30">
        <v>11</v>
      </c>
      <c r="AA30">
        <v>1531.1999999999998</v>
      </c>
      <c r="AB30">
        <v>20</v>
      </c>
      <c r="AC30">
        <v>2784</v>
      </c>
      <c r="AD30">
        <v>22</v>
      </c>
      <c r="AE30">
        <v>3062.3999999999996</v>
      </c>
      <c r="AF30">
        <v>23</v>
      </c>
      <c r="AG30">
        <v>3201.6</v>
      </c>
      <c r="AH30">
        <v>18</v>
      </c>
      <c r="AI30">
        <v>2505.6</v>
      </c>
      <c r="AJ30">
        <v>12</v>
      </c>
      <c r="AK30">
        <v>1670.3999999999999</v>
      </c>
      <c r="AL30">
        <v>11</v>
      </c>
      <c r="AM30">
        <v>1531.1999999999998</v>
      </c>
      <c r="AN30">
        <v>11</v>
      </c>
      <c r="AO30">
        <v>1531.1999999999998</v>
      </c>
      <c r="AP30">
        <v>12</v>
      </c>
      <c r="AQ30">
        <v>1670.3999999999999</v>
      </c>
      <c r="AR30">
        <v>26</v>
      </c>
      <c r="AS30">
        <v>3619.2</v>
      </c>
      <c r="AT30">
        <v>16</v>
      </c>
      <c r="AU30">
        <v>2227.1999999999998</v>
      </c>
      <c r="AV30">
        <v>24</v>
      </c>
      <c r="AW30">
        <v>3340.7999999999997</v>
      </c>
      <c r="AX30">
        <v>25</v>
      </c>
      <c r="AY30">
        <v>3479.9999999999995</v>
      </c>
      <c r="AZ30">
        <v>10</v>
      </c>
      <c r="BA30">
        <v>1392</v>
      </c>
      <c r="BB30">
        <v>15</v>
      </c>
      <c r="BC30">
        <v>2088</v>
      </c>
      <c r="BD30">
        <v>10</v>
      </c>
      <c r="BE30">
        <v>1392</v>
      </c>
      <c r="BF30">
        <v>14</v>
      </c>
      <c r="BG30">
        <v>1948.7999999999997</v>
      </c>
      <c r="BH30">
        <v>11</v>
      </c>
      <c r="BI30">
        <v>1531.1999999999998</v>
      </c>
      <c r="BJ30">
        <v>8</v>
      </c>
      <c r="BK30">
        <v>1113.5999999999999</v>
      </c>
      <c r="BL30">
        <v>10</v>
      </c>
      <c r="BM30">
        <v>1392</v>
      </c>
      <c r="BN30">
        <v>10</v>
      </c>
      <c r="BO30">
        <v>1392</v>
      </c>
      <c r="BP30">
        <v>29</v>
      </c>
      <c r="BQ30">
        <v>4036.7999999999997</v>
      </c>
      <c r="BR30">
        <v>27</v>
      </c>
      <c r="BS30">
        <v>3758.3999999999996</v>
      </c>
      <c r="BT30">
        <v>30</v>
      </c>
      <c r="BU30">
        <v>4176</v>
      </c>
      <c r="BV30">
        <v>32</v>
      </c>
      <c r="BW30">
        <v>4454.3999999999996</v>
      </c>
      <c r="BX30">
        <v>42</v>
      </c>
      <c r="BY30">
        <v>5846.4</v>
      </c>
      <c r="BZ30">
        <v>51</v>
      </c>
      <c r="CA30">
        <v>7099.2</v>
      </c>
      <c r="CB30">
        <v>49</v>
      </c>
      <c r="CC30">
        <v>6820.7999999999993</v>
      </c>
      <c r="CD30">
        <v>47</v>
      </c>
      <c r="CE30">
        <v>6542.4</v>
      </c>
      <c r="CF30">
        <v>128</v>
      </c>
      <c r="CG30">
        <v>17817.599999999999</v>
      </c>
      <c r="CH30">
        <v>151</v>
      </c>
      <c r="CI30">
        <v>21019.199999999997</v>
      </c>
      <c r="CJ30">
        <v>123</v>
      </c>
      <c r="CK30">
        <v>17121.599999999999</v>
      </c>
      <c r="CL30">
        <v>88</v>
      </c>
      <c r="CM30">
        <v>12249.599999999999</v>
      </c>
      <c r="CN30">
        <v>37</v>
      </c>
      <c r="CO30">
        <v>5150.3999999999996</v>
      </c>
      <c r="CP30">
        <v>29</v>
      </c>
      <c r="CQ30">
        <v>4036.7999999999997</v>
      </c>
      <c r="CR30">
        <v>50</v>
      </c>
      <c r="CS30">
        <v>6959.9999999999991</v>
      </c>
      <c r="CT30">
        <v>33</v>
      </c>
      <c r="CU30">
        <v>4593.5999999999995</v>
      </c>
    </row>
    <row r="31" spans="2:99" x14ac:dyDescent="0.2">
      <c r="C31" s="116" t="s">
        <v>197</v>
      </c>
      <c r="D31">
        <v>8</v>
      </c>
      <c r="E31">
        <v>2726.4</v>
      </c>
      <c r="F31">
        <v>10</v>
      </c>
      <c r="G31">
        <v>3408</v>
      </c>
      <c r="H31">
        <v>7</v>
      </c>
      <c r="I31">
        <v>2385.6</v>
      </c>
      <c r="J31">
        <v>12</v>
      </c>
      <c r="K31">
        <v>4089.6000000000004</v>
      </c>
      <c r="L31">
        <v>12</v>
      </c>
      <c r="M31">
        <v>4089.6000000000004</v>
      </c>
      <c r="N31">
        <v>12</v>
      </c>
      <c r="O31">
        <v>4089.6000000000004</v>
      </c>
      <c r="P31">
        <v>10</v>
      </c>
      <c r="Q31">
        <v>3408</v>
      </c>
      <c r="R31">
        <v>10</v>
      </c>
      <c r="S31">
        <v>3408</v>
      </c>
      <c r="T31">
        <v>22</v>
      </c>
      <c r="U31">
        <v>7497.6</v>
      </c>
      <c r="V31">
        <v>22</v>
      </c>
      <c r="W31">
        <v>7497.6</v>
      </c>
      <c r="X31">
        <v>12</v>
      </c>
      <c r="Y31">
        <v>4089.6000000000004</v>
      </c>
      <c r="Z31">
        <v>12</v>
      </c>
      <c r="AA31">
        <v>4089.6000000000004</v>
      </c>
      <c r="AB31">
        <v>19</v>
      </c>
      <c r="AC31">
        <v>6475.2</v>
      </c>
      <c r="AD31">
        <v>20</v>
      </c>
      <c r="AE31">
        <v>6816</v>
      </c>
      <c r="AF31">
        <v>22</v>
      </c>
      <c r="AG31">
        <v>7497.6</v>
      </c>
      <c r="AH31">
        <v>16</v>
      </c>
      <c r="AI31">
        <v>5452.8</v>
      </c>
      <c r="AJ31">
        <v>11</v>
      </c>
      <c r="AK31">
        <v>3748.8</v>
      </c>
      <c r="AL31">
        <v>12</v>
      </c>
      <c r="AM31">
        <v>4089.6000000000004</v>
      </c>
      <c r="AN31">
        <v>11</v>
      </c>
      <c r="AO31">
        <v>3748.8</v>
      </c>
      <c r="AP31">
        <v>11</v>
      </c>
      <c r="AQ31">
        <v>3748.8</v>
      </c>
      <c r="AR31">
        <v>27</v>
      </c>
      <c r="AS31">
        <v>9201.6</v>
      </c>
      <c r="AT31">
        <v>17</v>
      </c>
      <c r="AU31">
        <v>5793.6</v>
      </c>
      <c r="AV31">
        <v>20</v>
      </c>
      <c r="AW31">
        <v>6816</v>
      </c>
      <c r="AX31">
        <v>24</v>
      </c>
      <c r="AY31">
        <v>8179.2000000000007</v>
      </c>
      <c r="AZ31">
        <v>11</v>
      </c>
      <c r="BA31">
        <v>3748.8</v>
      </c>
      <c r="BB31">
        <v>15</v>
      </c>
      <c r="BC31">
        <v>5112</v>
      </c>
      <c r="BD31">
        <v>10</v>
      </c>
      <c r="BE31">
        <v>3408</v>
      </c>
      <c r="BF31">
        <v>14</v>
      </c>
      <c r="BG31">
        <v>4771.2</v>
      </c>
      <c r="BH31">
        <v>10</v>
      </c>
      <c r="BI31">
        <v>3408</v>
      </c>
      <c r="BJ31">
        <v>7</v>
      </c>
      <c r="BK31">
        <v>2385.6</v>
      </c>
      <c r="BL31">
        <v>9</v>
      </c>
      <c r="BM31">
        <v>3067.2000000000003</v>
      </c>
      <c r="BN31">
        <v>10</v>
      </c>
      <c r="BO31">
        <v>3408</v>
      </c>
      <c r="BP31">
        <v>32</v>
      </c>
      <c r="BQ31">
        <v>10905.6</v>
      </c>
      <c r="BR31">
        <v>25</v>
      </c>
      <c r="BS31">
        <v>8520</v>
      </c>
      <c r="BT31">
        <v>29</v>
      </c>
      <c r="BU31">
        <v>9883.2000000000007</v>
      </c>
      <c r="BV31">
        <v>31</v>
      </c>
      <c r="BW31">
        <v>10564.800000000001</v>
      </c>
      <c r="BX31">
        <v>39</v>
      </c>
      <c r="BY31">
        <v>13291.2</v>
      </c>
      <c r="BZ31">
        <v>52</v>
      </c>
      <c r="CA31">
        <v>17721.600000000002</v>
      </c>
      <c r="CB31">
        <v>45</v>
      </c>
      <c r="CC31">
        <v>15336</v>
      </c>
      <c r="CD31">
        <v>45</v>
      </c>
      <c r="CE31">
        <v>15336</v>
      </c>
      <c r="CF31">
        <v>105</v>
      </c>
      <c r="CG31">
        <v>35784</v>
      </c>
      <c r="CH31">
        <v>139</v>
      </c>
      <c r="CI31">
        <v>47371.200000000004</v>
      </c>
      <c r="CJ31">
        <v>124</v>
      </c>
      <c r="CK31">
        <v>42259.200000000004</v>
      </c>
      <c r="CL31">
        <v>91</v>
      </c>
      <c r="CM31">
        <v>31012.799999999999</v>
      </c>
      <c r="CN31">
        <v>34</v>
      </c>
      <c r="CO31">
        <v>11587.2</v>
      </c>
      <c r="CP31">
        <v>29</v>
      </c>
      <c r="CQ31">
        <v>9883.2000000000007</v>
      </c>
      <c r="CR31">
        <v>46</v>
      </c>
      <c r="CS31">
        <v>15676.800000000001</v>
      </c>
      <c r="CT31">
        <v>34</v>
      </c>
      <c r="CU31">
        <v>11587.2</v>
      </c>
    </row>
    <row r="32" spans="2:99" x14ac:dyDescent="0.2">
      <c r="C32" s="116" t="s">
        <v>198</v>
      </c>
      <c r="D32">
        <v>8</v>
      </c>
      <c r="E32">
        <v>6720</v>
      </c>
      <c r="F32">
        <v>9</v>
      </c>
      <c r="G32">
        <v>7560</v>
      </c>
      <c r="H32">
        <v>7</v>
      </c>
      <c r="I32">
        <v>5880</v>
      </c>
      <c r="J32">
        <v>10</v>
      </c>
      <c r="K32">
        <v>8400</v>
      </c>
      <c r="L32">
        <v>13</v>
      </c>
      <c r="M32">
        <v>10920</v>
      </c>
      <c r="N32">
        <v>12</v>
      </c>
      <c r="O32">
        <v>10080</v>
      </c>
      <c r="P32">
        <v>9</v>
      </c>
      <c r="Q32">
        <v>7560</v>
      </c>
      <c r="R32">
        <v>10</v>
      </c>
      <c r="S32">
        <v>8400</v>
      </c>
      <c r="T32">
        <v>20</v>
      </c>
      <c r="U32">
        <v>16800</v>
      </c>
      <c r="V32">
        <v>20</v>
      </c>
      <c r="W32">
        <v>16800</v>
      </c>
      <c r="X32">
        <v>10</v>
      </c>
      <c r="Y32">
        <v>8400</v>
      </c>
      <c r="Z32">
        <v>12</v>
      </c>
      <c r="AA32">
        <v>10080</v>
      </c>
      <c r="AB32">
        <v>16</v>
      </c>
      <c r="AC32">
        <v>13440</v>
      </c>
      <c r="AD32">
        <v>18</v>
      </c>
      <c r="AE32">
        <v>15120</v>
      </c>
      <c r="AF32">
        <v>25</v>
      </c>
      <c r="AG32">
        <v>21000</v>
      </c>
      <c r="AH32">
        <v>18</v>
      </c>
      <c r="AI32">
        <v>15120</v>
      </c>
      <c r="AJ32">
        <v>10</v>
      </c>
      <c r="AK32">
        <v>8400</v>
      </c>
      <c r="AL32">
        <v>13</v>
      </c>
      <c r="AM32">
        <v>10920</v>
      </c>
      <c r="AN32">
        <v>11</v>
      </c>
      <c r="AO32">
        <v>9240</v>
      </c>
      <c r="AP32">
        <v>11</v>
      </c>
      <c r="AQ32">
        <v>9240</v>
      </c>
      <c r="AR32">
        <v>23</v>
      </c>
      <c r="AS32">
        <v>19320</v>
      </c>
      <c r="AT32">
        <v>15</v>
      </c>
      <c r="AU32">
        <v>12600</v>
      </c>
      <c r="AV32">
        <v>22</v>
      </c>
      <c r="AW32">
        <v>18480</v>
      </c>
      <c r="AX32">
        <v>21</v>
      </c>
      <c r="AY32">
        <v>17640</v>
      </c>
      <c r="AZ32">
        <v>11</v>
      </c>
      <c r="BA32">
        <v>9240</v>
      </c>
      <c r="BB32">
        <v>15</v>
      </c>
      <c r="BC32">
        <v>12600</v>
      </c>
      <c r="BD32">
        <v>10</v>
      </c>
      <c r="BE32">
        <v>8400</v>
      </c>
      <c r="BF32">
        <v>13</v>
      </c>
      <c r="BG32">
        <v>10920</v>
      </c>
      <c r="BH32">
        <v>11</v>
      </c>
      <c r="BI32">
        <v>9240</v>
      </c>
      <c r="BJ32">
        <v>6</v>
      </c>
      <c r="BK32">
        <v>5040</v>
      </c>
      <c r="BL32">
        <v>9</v>
      </c>
      <c r="BM32">
        <v>7560</v>
      </c>
      <c r="BN32">
        <v>10</v>
      </c>
      <c r="BO32">
        <v>8400</v>
      </c>
      <c r="BP32">
        <v>28</v>
      </c>
      <c r="BQ32">
        <v>23520</v>
      </c>
      <c r="BR32">
        <v>26</v>
      </c>
      <c r="BS32">
        <v>21840</v>
      </c>
      <c r="BT32">
        <v>30</v>
      </c>
      <c r="BU32">
        <v>25200</v>
      </c>
      <c r="BV32">
        <v>31</v>
      </c>
      <c r="BW32">
        <v>26040</v>
      </c>
      <c r="BX32">
        <v>36</v>
      </c>
      <c r="BY32">
        <v>30240</v>
      </c>
      <c r="BZ32">
        <v>52</v>
      </c>
      <c r="CA32">
        <v>43680</v>
      </c>
      <c r="CB32">
        <v>41</v>
      </c>
      <c r="CC32">
        <v>34440</v>
      </c>
      <c r="CD32">
        <v>45</v>
      </c>
      <c r="CE32">
        <v>37800</v>
      </c>
      <c r="CF32">
        <v>110</v>
      </c>
      <c r="CG32">
        <v>92400</v>
      </c>
      <c r="CH32">
        <v>130</v>
      </c>
      <c r="CI32">
        <v>109200</v>
      </c>
      <c r="CJ32">
        <v>105</v>
      </c>
      <c r="CK32">
        <v>88200</v>
      </c>
      <c r="CL32">
        <v>75</v>
      </c>
      <c r="CM32">
        <v>63000</v>
      </c>
      <c r="CN32">
        <v>31</v>
      </c>
      <c r="CO32">
        <v>26040</v>
      </c>
      <c r="CP32">
        <v>29</v>
      </c>
      <c r="CQ32">
        <v>24360</v>
      </c>
      <c r="CR32">
        <v>49</v>
      </c>
      <c r="CS32">
        <v>41160</v>
      </c>
      <c r="CT32">
        <v>32</v>
      </c>
      <c r="CU32">
        <v>26880</v>
      </c>
    </row>
    <row r="33" spans="2:99" x14ac:dyDescent="0.2">
      <c r="C33" s="116" t="s">
        <v>199</v>
      </c>
      <c r="D33">
        <v>9</v>
      </c>
      <c r="E33">
        <v>4266</v>
      </c>
      <c r="F33">
        <v>10</v>
      </c>
      <c r="G33">
        <v>4740</v>
      </c>
      <c r="H33">
        <v>7</v>
      </c>
      <c r="I33">
        <v>3318</v>
      </c>
      <c r="J33">
        <v>12</v>
      </c>
      <c r="K33">
        <v>5688</v>
      </c>
      <c r="L33">
        <v>15</v>
      </c>
      <c r="M33">
        <v>7110</v>
      </c>
      <c r="N33">
        <v>13</v>
      </c>
      <c r="O33">
        <v>6162</v>
      </c>
      <c r="P33">
        <v>10</v>
      </c>
      <c r="Q33">
        <v>4740</v>
      </c>
      <c r="R33">
        <v>10</v>
      </c>
      <c r="S33">
        <v>4740</v>
      </c>
      <c r="T33">
        <v>18</v>
      </c>
      <c r="U33">
        <v>8532</v>
      </c>
      <c r="V33">
        <v>22</v>
      </c>
      <c r="W33">
        <v>10428</v>
      </c>
      <c r="X33">
        <v>11</v>
      </c>
      <c r="Y33">
        <v>5214</v>
      </c>
      <c r="Z33">
        <v>11</v>
      </c>
      <c r="AA33">
        <v>5214</v>
      </c>
      <c r="AB33">
        <v>19</v>
      </c>
      <c r="AC33">
        <v>9006</v>
      </c>
      <c r="AD33">
        <v>20</v>
      </c>
      <c r="AE33">
        <v>9480</v>
      </c>
      <c r="AF33">
        <v>23</v>
      </c>
      <c r="AG33">
        <v>10902</v>
      </c>
      <c r="AH33">
        <v>17</v>
      </c>
      <c r="AI33">
        <v>8058</v>
      </c>
      <c r="AJ33">
        <v>11</v>
      </c>
      <c r="AK33">
        <v>5214</v>
      </c>
      <c r="AL33">
        <v>12</v>
      </c>
      <c r="AM33">
        <v>5688</v>
      </c>
      <c r="AN33">
        <v>10</v>
      </c>
      <c r="AO33">
        <v>4740</v>
      </c>
      <c r="AP33">
        <v>11</v>
      </c>
      <c r="AQ33">
        <v>5214</v>
      </c>
      <c r="AR33">
        <v>25</v>
      </c>
      <c r="AS33">
        <v>11850</v>
      </c>
      <c r="AT33">
        <v>17</v>
      </c>
      <c r="AU33">
        <v>8058</v>
      </c>
      <c r="AV33">
        <v>22</v>
      </c>
      <c r="AW33">
        <v>10428</v>
      </c>
      <c r="AX33">
        <v>24</v>
      </c>
      <c r="AY33">
        <v>11376</v>
      </c>
      <c r="AZ33">
        <v>9</v>
      </c>
      <c r="BA33">
        <v>4266</v>
      </c>
      <c r="BB33">
        <v>15</v>
      </c>
      <c r="BC33">
        <v>7110</v>
      </c>
      <c r="BD33">
        <v>11</v>
      </c>
      <c r="BE33">
        <v>5214</v>
      </c>
      <c r="BF33">
        <v>13</v>
      </c>
      <c r="BG33">
        <v>6162</v>
      </c>
      <c r="BH33">
        <v>11</v>
      </c>
      <c r="BI33">
        <v>5214</v>
      </c>
      <c r="BJ33">
        <v>8</v>
      </c>
      <c r="BK33">
        <v>3792</v>
      </c>
      <c r="BL33">
        <v>9</v>
      </c>
      <c r="BM33">
        <v>4266</v>
      </c>
      <c r="BN33">
        <v>9</v>
      </c>
      <c r="BO33">
        <v>4266</v>
      </c>
      <c r="BP33">
        <v>32</v>
      </c>
      <c r="BQ33">
        <v>15168</v>
      </c>
      <c r="BR33">
        <v>29</v>
      </c>
      <c r="BS33">
        <v>13746</v>
      </c>
      <c r="BT33">
        <v>33</v>
      </c>
      <c r="BU33">
        <v>15642</v>
      </c>
      <c r="BV33">
        <v>31</v>
      </c>
      <c r="BW33">
        <v>14694</v>
      </c>
      <c r="BX33">
        <v>38</v>
      </c>
      <c r="BY33">
        <v>18012</v>
      </c>
      <c r="BZ33">
        <v>52</v>
      </c>
      <c r="CA33">
        <v>24648</v>
      </c>
      <c r="CB33">
        <v>44</v>
      </c>
      <c r="CC33">
        <v>20856</v>
      </c>
      <c r="CD33">
        <v>46</v>
      </c>
      <c r="CE33">
        <v>21804</v>
      </c>
      <c r="CF33">
        <v>113</v>
      </c>
      <c r="CG33">
        <v>53562</v>
      </c>
      <c r="CH33">
        <v>161</v>
      </c>
      <c r="CI33">
        <v>76314</v>
      </c>
      <c r="CJ33">
        <v>127</v>
      </c>
      <c r="CK33">
        <v>60198</v>
      </c>
      <c r="CL33">
        <v>77</v>
      </c>
      <c r="CM33">
        <v>36498</v>
      </c>
      <c r="CN33">
        <v>33</v>
      </c>
      <c r="CO33">
        <v>15642</v>
      </c>
      <c r="CP33">
        <v>27</v>
      </c>
      <c r="CQ33">
        <v>12798</v>
      </c>
      <c r="CR33">
        <v>52</v>
      </c>
      <c r="CS33">
        <v>24648</v>
      </c>
      <c r="CT33">
        <v>33</v>
      </c>
      <c r="CU33">
        <v>15642</v>
      </c>
    </row>
    <row r="34" spans="2:99" x14ac:dyDescent="0.2">
      <c r="C34" s="116" t="s">
        <v>200</v>
      </c>
      <c r="D34">
        <v>8</v>
      </c>
      <c r="E34">
        <v>4387.2</v>
      </c>
      <c r="F34">
        <v>9</v>
      </c>
      <c r="G34">
        <v>4935.5999999999995</v>
      </c>
      <c r="H34">
        <v>6</v>
      </c>
      <c r="I34">
        <v>3290.3999999999996</v>
      </c>
      <c r="J34">
        <v>11</v>
      </c>
      <c r="K34">
        <v>6032.4</v>
      </c>
      <c r="L34">
        <v>14</v>
      </c>
      <c r="M34">
        <v>7677.5999999999995</v>
      </c>
      <c r="N34">
        <v>13</v>
      </c>
      <c r="O34">
        <v>7129.2</v>
      </c>
      <c r="P34">
        <v>11</v>
      </c>
      <c r="Q34">
        <v>6032.4</v>
      </c>
      <c r="R34">
        <v>9</v>
      </c>
      <c r="S34">
        <v>4935.5999999999995</v>
      </c>
      <c r="T34">
        <v>18</v>
      </c>
      <c r="U34">
        <v>9871.1999999999989</v>
      </c>
      <c r="V34">
        <v>20</v>
      </c>
      <c r="W34">
        <v>10968</v>
      </c>
      <c r="X34">
        <v>11</v>
      </c>
      <c r="Y34">
        <v>6032.4</v>
      </c>
      <c r="Z34">
        <v>12</v>
      </c>
      <c r="AA34">
        <v>6580.7999999999993</v>
      </c>
      <c r="AB34">
        <v>19</v>
      </c>
      <c r="AC34">
        <v>10419.6</v>
      </c>
      <c r="AD34">
        <v>18</v>
      </c>
      <c r="AE34">
        <v>9871.1999999999989</v>
      </c>
      <c r="AF34">
        <v>26</v>
      </c>
      <c r="AG34">
        <v>14258.4</v>
      </c>
      <c r="AH34">
        <v>19</v>
      </c>
      <c r="AI34">
        <v>10419.6</v>
      </c>
      <c r="AJ34">
        <v>10</v>
      </c>
      <c r="AK34">
        <v>5484</v>
      </c>
      <c r="AL34">
        <v>12</v>
      </c>
      <c r="AM34">
        <v>6580.7999999999993</v>
      </c>
      <c r="AN34">
        <v>11</v>
      </c>
      <c r="AO34">
        <v>6032.4</v>
      </c>
      <c r="AP34">
        <v>13</v>
      </c>
      <c r="AQ34">
        <v>7129.2</v>
      </c>
      <c r="AR34">
        <v>26</v>
      </c>
      <c r="AS34">
        <v>14258.4</v>
      </c>
      <c r="AT34">
        <v>16</v>
      </c>
      <c r="AU34">
        <v>8774.4</v>
      </c>
      <c r="AV34">
        <v>22</v>
      </c>
      <c r="AW34">
        <v>12064.8</v>
      </c>
      <c r="AX34">
        <v>24</v>
      </c>
      <c r="AY34">
        <v>13161.599999999999</v>
      </c>
      <c r="AZ34">
        <v>11</v>
      </c>
      <c r="BA34">
        <v>6032.4</v>
      </c>
      <c r="BB34">
        <v>15</v>
      </c>
      <c r="BC34">
        <v>8226</v>
      </c>
      <c r="BD34">
        <v>11</v>
      </c>
      <c r="BE34">
        <v>6032.4</v>
      </c>
      <c r="BF34">
        <v>14</v>
      </c>
      <c r="BG34">
        <v>7677.5999999999995</v>
      </c>
      <c r="BH34">
        <v>11</v>
      </c>
      <c r="BI34">
        <v>6032.4</v>
      </c>
      <c r="BJ34">
        <v>7</v>
      </c>
      <c r="BK34">
        <v>3838.7999999999997</v>
      </c>
      <c r="BL34">
        <v>9</v>
      </c>
      <c r="BM34">
        <v>4935.5999999999995</v>
      </c>
      <c r="BN34">
        <v>10</v>
      </c>
      <c r="BO34">
        <v>5484</v>
      </c>
      <c r="BP34">
        <v>29</v>
      </c>
      <c r="BQ34">
        <v>15903.599999999999</v>
      </c>
      <c r="BR34">
        <v>29</v>
      </c>
      <c r="BS34">
        <v>15903.599999999999</v>
      </c>
      <c r="BT34">
        <v>31</v>
      </c>
      <c r="BU34">
        <v>17000.399999999998</v>
      </c>
      <c r="BV34">
        <v>36</v>
      </c>
      <c r="BW34">
        <v>19742.399999999998</v>
      </c>
      <c r="BX34">
        <v>42</v>
      </c>
      <c r="BY34">
        <v>23032.799999999999</v>
      </c>
      <c r="BZ34">
        <v>48</v>
      </c>
      <c r="CA34">
        <v>26323.199999999997</v>
      </c>
      <c r="CB34">
        <v>50</v>
      </c>
      <c r="CC34">
        <v>27420</v>
      </c>
      <c r="CD34">
        <v>47</v>
      </c>
      <c r="CE34">
        <v>25774.799999999999</v>
      </c>
      <c r="CF34">
        <v>118</v>
      </c>
      <c r="CG34">
        <v>64711.199999999997</v>
      </c>
      <c r="CH34">
        <v>144</v>
      </c>
      <c r="CI34">
        <v>78969.599999999991</v>
      </c>
      <c r="CJ34">
        <v>128</v>
      </c>
      <c r="CK34">
        <v>70195.199999999997</v>
      </c>
      <c r="CL34">
        <v>83</v>
      </c>
      <c r="CM34">
        <v>45517.2</v>
      </c>
      <c r="CN34">
        <v>33</v>
      </c>
      <c r="CO34">
        <v>18097.2</v>
      </c>
      <c r="CP34">
        <v>30</v>
      </c>
      <c r="CQ34">
        <v>16452</v>
      </c>
      <c r="CR34">
        <v>50</v>
      </c>
      <c r="CS34">
        <v>27420</v>
      </c>
      <c r="CT34">
        <v>33</v>
      </c>
      <c r="CU34">
        <v>18097.2</v>
      </c>
    </row>
    <row r="35" spans="2:99" x14ac:dyDescent="0.2">
      <c r="C35" s="116" t="s">
        <v>201</v>
      </c>
      <c r="D35">
        <v>8</v>
      </c>
      <c r="E35">
        <v>4022.3999999999992</v>
      </c>
      <c r="F35">
        <v>9</v>
      </c>
      <c r="G35">
        <v>4525.1999999999989</v>
      </c>
      <c r="H35">
        <v>7</v>
      </c>
      <c r="I35">
        <v>3519.5999999999995</v>
      </c>
      <c r="J35">
        <v>11</v>
      </c>
      <c r="K35">
        <v>5530.7999999999993</v>
      </c>
      <c r="L35">
        <v>13</v>
      </c>
      <c r="M35">
        <v>6536.3999999999987</v>
      </c>
      <c r="N35">
        <v>11</v>
      </c>
      <c r="O35">
        <v>5530.7999999999993</v>
      </c>
      <c r="P35">
        <v>10</v>
      </c>
      <c r="Q35">
        <v>5027.9999999999991</v>
      </c>
      <c r="R35">
        <v>9</v>
      </c>
      <c r="S35">
        <v>4525.1999999999989</v>
      </c>
      <c r="T35">
        <v>21</v>
      </c>
      <c r="U35">
        <v>10558.799999999997</v>
      </c>
      <c r="V35">
        <v>20</v>
      </c>
      <c r="W35">
        <v>10055.999999999998</v>
      </c>
      <c r="X35">
        <v>11</v>
      </c>
      <c r="Y35">
        <v>5530.7999999999993</v>
      </c>
      <c r="Z35">
        <v>12</v>
      </c>
      <c r="AA35">
        <v>6033.5999999999985</v>
      </c>
      <c r="AB35">
        <v>19</v>
      </c>
      <c r="AC35">
        <v>9553.1999999999989</v>
      </c>
      <c r="AD35">
        <v>21</v>
      </c>
      <c r="AE35">
        <v>10558.799999999997</v>
      </c>
      <c r="AF35">
        <v>26</v>
      </c>
      <c r="AG35">
        <v>13072.799999999997</v>
      </c>
      <c r="AH35">
        <v>16</v>
      </c>
      <c r="AI35">
        <v>8044.7999999999984</v>
      </c>
      <c r="AJ35">
        <v>10</v>
      </c>
      <c r="AK35">
        <v>5027.9999999999991</v>
      </c>
      <c r="AL35">
        <v>13</v>
      </c>
      <c r="AM35">
        <v>6536.3999999999987</v>
      </c>
      <c r="AN35">
        <v>11</v>
      </c>
      <c r="AO35">
        <v>5530.7999999999993</v>
      </c>
      <c r="AP35">
        <v>13</v>
      </c>
      <c r="AQ35">
        <v>6536.3999999999987</v>
      </c>
      <c r="AR35">
        <v>25</v>
      </c>
      <c r="AS35">
        <v>12569.999999999998</v>
      </c>
      <c r="AT35">
        <v>16</v>
      </c>
      <c r="AU35">
        <v>8044.7999999999984</v>
      </c>
      <c r="AV35">
        <v>23</v>
      </c>
      <c r="AW35">
        <v>11564.399999999998</v>
      </c>
      <c r="AX35">
        <v>22</v>
      </c>
      <c r="AY35">
        <v>11061.599999999999</v>
      </c>
      <c r="AZ35">
        <v>10</v>
      </c>
      <c r="BA35">
        <v>5027.9999999999991</v>
      </c>
      <c r="BB35">
        <v>14</v>
      </c>
      <c r="BC35">
        <v>7039.1999999999989</v>
      </c>
      <c r="BD35">
        <v>10</v>
      </c>
      <c r="BE35">
        <v>5027.9999999999991</v>
      </c>
      <c r="BF35">
        <v>13</v>
      </c>
      <c r="BG35">
        <v>6536.3999999999987</v>
      </c>
      <c r="BH35">
        <v>12</v>
      </c>
      <c r="BI35">
        <v>6033.5999999999985</v>
      </c>
      <c r="BJ35">
        <v>7</v>
      </c>
      <c r="BK35">
        <v>3519.5999999999995</v>
      </c>
      <c r="BL35">
        <v>10</v>
      </c>
      <c r="BM35">
        <v>5027.9999999999991</v>
      </c>
      <c r="BN35">
        <v>10</v>
      </c>
      <c r="BO35">
        <v>5027.9999999999991</v>
      </c>
      <c r="BP35">
        <v>29</v>
      </c>
      <c r="BQ35">
        <v>14581.199999999997</v>
      </c>
      <c r="BR35">
        <v>29</v>
      </c>
      <c r="BS35">
        <v>14581.199999999997</v>
      </c>
      <c r="BT35">
        <v>31</v>
      </c>
      <c r="BU35">
        <v>15586.799999999997</v>
      </c>
      <c r="BV35">
        <v>34</v>
      </c>
      <c r="BW35">
        <v>17095.199999999997</v>
      </c>
      <c r="BX35">
        <v>42</v>
      </c>
      <c r="BY35">
        <v>21117.599999999995</v>
      </c>
      <c r="BZ35">
        <v>51</v>
      </c>
      <c r="CA35">
        <v>25642.799999999996</v>
      </c>
      <c r="CB35">
        <v>47</v>
      </c>
      <c r="CC35">
        <v>23631.599999999995</v>
      </c>
      <c r="CD35">
        <v>40</v>
      </c>
      <c r="CE35">
        <v>20111.999999999996</v>
      </c>
      <c r="CF35">
        <v>109</v>
      </c>
      <c r="CG35">
        <v>54805.19999999999</v>
      </c>
      <c r="CH35">
        <v>135</v>
      </c>
      <c r="CI35">
        <v>67877.999999999985</v>
      </c>
      <c r="CJ35">
        <v>117</v>
      </c>
      <c r="CK35">
        <v>58827.599999999991</v>
      </c>
      <c r="CL35">
        <v>87</v>
      </c>
      <c r="CM35">
        <v>43743.599999999991</v>
      </c>
      <c r="CN35">
        <v>33</v>
      </c>
      <c r="CO35">
        <v>16592.399999999998</v>
      </c>
      <c r="CP35">
        <v>26</v>
      </c>
      <c r="CQ35">
        <v>13072.799999999997</v>
      </c>
      <c r="CR35">
        <v>44</v>
      </c>
      <c r="CS35">
        <v>22123.199999999997</v>
      </c>
      <c r="CT35">
        <v>34</v>
      </c>
      <c r="CU35">
        <v>17095.199999999997</v>
      </c>
    </row>
    <row r="36" spans="2:99" x14ac:dyDescent="0.2">
      <c r="C36" s="116" t="s">
        <v>202</v>
      </c>
      <c r="D36">
        <v>8</v>
      </c>
      <c r="E36">
        <v>6086.4</v>
      </c>
      <c r="F36">
        <v>9</v>
      </c>
      <c r="G36">
        <v>6847.2</v>
      </c>
      <c r="H36">
        <v>6</v>
      </c>
      <c r="I36">
        <v>4564.7999999999993</v>
      </c>
      <c r="J36">
        <v>11</v>
      </c>
      <c r="K36">
        <v>8368.7999999999993</v>
      </c>
      <c r="L36">
        <v>12</v>
      </c>
      <c r="M36">
        <v>9129.5999999999985</v>
      </c>
      <c r="N36">
        <v>12</v>
      </c>
      <c r="O36">
        <v>9129.5999999999985</v>
      </c>
      <c r="P36">
        <v>9</v>
      </c>
      <c r="Q36">
        <v>6847.2</v>
      </c>
      <c r="R36">
        <v>10</v>
      </c>
      <c r="S36">
        <v>7608</v>
      </c>
      <c r="T36">
        <v>19</v>
      </c>
      <c r="U36">
        <v>14455.199999999999</v>
      </c>
      <c r="V36">
        <v>18</v>
      </c>
      <c r="W36">
        <v>13694.4</v>
      </c>
      <c r="X36">
        <v>9</v>
      </c>
      <c r="Y36">
        <v>6847.2</v>
      </c>
      <c r="Z36">
        <v>10</v>
      </c>
      <c r="AA36">
        <v>7608</v>
      </c>
      <c r="AB36">
        <v>17</v>
      </c>
      <c r="AC36">
        <v>12933.599999999999</v>
      </c>
      <c r="AD36">
        <v>19</v>
      </c>
      <c r="AE36">
        <v>14455.199999999999</v>
      </c>
      <c r="AF36">
        <v>25</v>
      </c>
      <c r="AG36">
        <v>19020</v>
      </c>
      <c r="AH36">
        <v>17</v>
      </c>
      <c r="AI36">
        <v>12933.599999999999</v>
      </c>
      <c r="AJ36">
        <v>10</v>
      </c>
      <c r="AK36">
        <v>7608</v>
      </c>
      <c r="AL36">
        <v>11</v>
      </c>
      <c r="AM36">
        <v>8368.7999999999993</v>
      </c>
      <c r="AN36">
        <v>11</v>
      </c>
      <c r="AO36">
        <v>8368.7999999999993</v>
      </c>
      <c r="AP36">
        <v>13</v>
      </c>
      <c r="AQ36">
        <v>9890.4</v>
      </c>
      <c r="AR36">
        <v>25</v>
      </c>
      <c r="AS36">
        <v>19020</v>
      </c>
      <c r="AT36">
        <v>16</v>
      </c>
      <c r="AU36">
        <v>12172.8</v>
      </c>
      <c r="AV36">
        <v>22</v>
      </c>
      <c r="AW36">
        <v>16737.599999999999</v>
      </c>
      <c r="AX36">
        <v>21</v>
      </c>
      <c r="AY36">
        <v>15976.8</v>
      </c>
      <c r="AZ36">
        <v>9</v>
      </c>
      <c r="BA36">
        <v>6847.2</v>
      </c>
      <c r="BB36">
        <v>14</v>
      </c>
      <c r="BC36">
        <v>10651.199999999999</v>
      </c>
      <c r="BD36">
        <v>10</v>
      </c>
      <c r="BE36">
        <v>7608</v>
      </c>
      <c r="BF36">
        <v>12</v>
      </c>
      <c r="BG36">
        <v>9129.5999999999985</v>
      </c>
      <c r="BH36">
        <v>10</v>
      </c>
      <c r="BI36">
        <v>7608</v>
      </c>
      <c r="BJ36">
        <v>7</v>
      </c>
      <c r="BK36">
        <v>5325.5999999999995</v>
      </c>
      <c r="BL36">
        <v>10</v>
      </c>
      <c r="BM36">
        <v>7608</v>
      </c>
      <c r="BN36">
        <v>11</v>
      </c>
      <c r="BO36">
        <v>8368.7999999999993</v>
      </c>
      <c r="BP36">
        <v>28</v>
      </c>
      <c r="BQ36">
        <v>21302.399999999998</v>
      </c>
      <c r="BR36">
        <v>28</v>
      </c>
      <c r="BS36">
        <v>21302.399999999998</v>
      </c>
      <c r="BT36">
        <v>29</v>
      </c>
      <c r="BU36">
        <v>22063.199999999997</v>
      </c>
      <c r="BV36">
        <v>30</v>
      </c>
      <c r="BW36">
        <v>22824</v>
      </c>
      <c r="BX36">
        <v>38</v>
      </c>
      <c r="BY36">
        <v>28910.399999999998</v>
      </c>
      <c r="BZ36">
        <v>44</v>
      </c>
      <c r="CA36">
        <v>33475.199999999997</v>
      </c>
      <c r="CB36">
        <v>49</v>
      </c>
      <c r="CC36">
        <v>37279.199999999997</v>
      </c>
      <c r="CD36">
        <v>39</v>
      </c>
      <c r="CE36">
        <v>29671.199999999997</v>
      </c>
      <c r="CF36">
        <v>112</v>
      </c>
      <c r="CG36">
        <v>85209.599999999991</v>
      </c>
      <c r="CH36">
        <v>128</v>
      </c>
      <c r="CI36">
        <v>97382.399999999994</v>
      </c>
      <c r="CJ36">
        <v>120</v>
      </c>
      <c r="CK36">
        <v>91296</v>
      </c>
      <c r="CL36">
        <v>79</v>
      </c>
      <c r="CM36">
        <v>60103.199999999997</v>
      </c>
      <c r="CN36">
        <v>32</v>
      </c>
      <c r="CO36">
        <v>24345.599999999999</v>
      </c>
      <c r="CP36">
        <v>29</v>
      </c>
      <c r="CQ36">
        <v>22063.199999999997</v>
      </c>
      <c r="CR36">
        <v>52</v>
      </c>
      <c r="CS36">
        <v>39561.599999999999</v>
      </c>
      <c r="CT36">
        <v>33</v>
      </c>
      <c r="CU36">
        <v>25106.399999999998</v>
      </c>
    </row>
    <row r="37" spans="2:99" x14ac:dyDescent="0.2">
      <c r="B37" s="116" t="s">
        <v>128</v>
      </c>
      <c r="C37" s="116" t="s">
        <v>203</v>
      </c>
      <c r="D37">
        <v>31</v>
      </c>
      <c r="E37">
        <v>26672.399999999998</v>
      </c>
      <c r="F37">
        <v>37</v>
      </c>
      <c r="G37">
        <v>31834.799999999999</v>
      </c>
      <c r="H37">
        <v>28</v>
      </c>
      <c r="I37">
        <v>24091.200000000001</v>
      </c>
      <c r="J37">
        <v>39</v>
      </c>
      <c r="K37">
        <v>33555.599999999999</v>
      </c>
      <c r="L37">
        <v>20</v>
      </c>
      <c r="M37">
        <v>17208</v>
      </c>
      <c r="N37">
        <v>37</v>
      </c>
      <c r="O37">
        <v>31834.799999999999</v>
      </c>
      <c r="P37">
        <v>23</v>
      </c>
      <c r="Q37">
        <v>19789.2</v>
      </c>
      <c r="R37">
        <v>27</v>
      </c>
      <c r="S37">
        <v>23230.799999999999</v>
      </c>
      <c r="T37">
        <v>6</v>
      </c>
      <c r="U37">
        <v>5162.3999999999996</v>
      </c>
      <c r="V37">
        <v>5</v>
      </c>
      <c r="W37">
        <v>4302</v>
      </c>
      <c r="X37">
        <v>8</v>
      </c>
      <c r="Y37">
        <v>6883.2</v>
      </c>
      <c r="Z37">
        <v>8</v>
      </c>
      <c r="AA37">
        <v>6883.2</v>
      </c>
      <c r="AB37">
        <v>10</v>
      </c>
      <c r="AC37">
        <v>8604</v>
      </c>
      <c r="AD37">
        <v>11</v>
      </c>
      <c r="AE37">
        <v>9464.4</v>
      </c>
      <c r="AF37">
        <v>15</v>
      </c>
      <c r="AG37">
        <v>12906</v>
      </c>
      <c r="AH37">
        <v>17</v>
      </c>
      <c r="AI37">
        <v>14626.8</v>
      </c>
      <c r="AJ37">
        <v>7</v>
      </c>
      <c r="AK37">
        <v>6022.8</v>
      </c>
      <c r="AL37">
        <v>7</v>
      </c>
      <c r="AM37">
        <v>6022.8</v>
      </c>
      <c r="AN37">
        <v>7</v>
      </c>
      <c r="AO37">
        <v>6022.8</v>
      </c>
      <c r="AP37">
        <v>11</v>
      </c>
      <c r="AQ37">
        <v>9464.4</v>
      </c>
      <c r="AR37">
        <v>13</v>
      </c>
      <c r="AS37">
        <v>11185.199999999999</v>
      </c>
      <c r="AT37">
        <v>24</v>
      </c>
      <c r="AU37">
        <v>20649.599999999999</v>
      </c>
      <c r="AV37">
        <v>15</v>
      </c>
      <c r="AW37">
        <v>12906</v>
      </c>
      <c r="AX37">
        <v>16</v>
      </c>
      <c r="AY37">
        <v>13766.4</v>
      </c>
      <c r="AZ37">
        <v>10</v>
      </c>
      <c r="BA37">
        <v>8604</v>
      </c>
      <c r="BB37">
        <v>7</v>
      </c>
      <c r="BC37">
        <v>6022.8</v>
      </c>
      <c r="BD37">
        <v>14</v>
      </c>
      <c r="BE37">
        <v>12045.6</v>
      </c>
      <c r="BF37">
        <v>11</v>
      </c>
      <c r="BG37">
        <v>9464.4</v>
      </c>
      <c r="BH37">
        <v>4</v>
      </c>
      <c r="BI37">
        <v>3441.6</v>
      </c>
      <c r="BJ37">
        <v>7</v>
      </c>
      <c r="BK37">
        <v>6022.8</v>
      </c>
      <c r="BL37">
        <v>8</v>
      </c>
      <c r="BM37">
        <v>6883.2</v>
      </c>
      <c r="BN37">
        <v>6</v>
      </c>
      <c r="BO37">
        <v>5162.3999999999996</v>
      </c>
      <c r="BP37">
        <v>50</v>
      </c>
      <c r="BQ37">
        <v>43020</v>
      </c>
      <c r="BR37">
        <v>37</v>
      </c>
      <c r="BS37">
        <v>31834.799999999999</v>
      </c>
      <c r="BT37">
        <v>38</v>
      </c>
      <c r="BU37">
        <v>32695.200000000001</v>
      </c>
      <c r="BV37">
        <v>40</v>
      </c>
      <c r="BW37">
        <v>34416</v>
      </c>
      <c r="BX37">
        <v>13</v>
      </c>
      <c r="BY37">
        <v>11185.199999999999</v>
      </c>
      <c r="BZ37">
        <v>13</v>
      </c>
      <c r="CA37">
        <v>11185.199999999999</v>
      </c>
      <c r="CB37">
        <v>11</v>
      </c>
      <c r="CC37">
        <v>9464.4</v>
      </c>
      <c r="CD37">
        <v>14</v>
      </c>
      <c r="CE37">
        <v>12045.6</v>
      </c>
      <c r="CF37">
        <v>7</v>
      </c>
      <c r="CG37">
        <v>6022.8</v>
      </c>
      <c r="CH37">
        <v>4</v>
      </c>
      <c r="CI37">
        <v>3441.6</v>
      </c>
      <c r="CJ37">
        <v>6</v>
      </c>
      <c r="CK37">
        <v>5162.3999999999996</v>
      </c>
      <c r="CL37">
        <v>4</v>
      </c>
      <c r="CM37">
        <v>3441.6</v>
      </c>
      <c r="CN37">
        <v>23</v>
      </c>
      <c r="CO37">
        <v>19789.2</v>
      </c>
      <c r="CP37">
        <v>16</v>
      </c>
      <c r="CQ37">
        <v>13766.4</v>
      </c>
      <c r="CR37">
        <v>25</v>
      </c>
      <c r="CS37">
        <v>21510</v>
      </c>
      <c r="CT37">
        <v>26</v>
      </c>
      <c r="CU37">
        <v>22370.399999999998</v>
      </c>
    </row>
    <row r="38" spans="2:99" x14ac:dyDescent="0.2">
      <c r="C38" s="116" t="s">
        <v>204</v>
      </c>
      <c r="D38">
        <v>30</v>
      </c>
      <c r="E38">
        <v>37260</v>
      </c>
      <c r="F38">
        <v>35</v>
      </c>
      <c r="G38">
        <v>43470</v>
      </c>
      <c r="H38">
        <v>24</v>
      </c>
      <c r="I38">
        <v>29808</v>
      </c>
      <c r="J38">
        <v>34</v>
      </c>
      <c r="K38">
        <v>42228</v>
      </c>
      <c r="L38">
        <v>19</v>
      </c>
      <c r="M38">
        <v>23598</v>
      </c>
      <c r="N38">
        <v>33</v>
      </c>
      <c r="O38">
        <v>40986</v>
      </c>
      <c r="P38">
        <v>21</v>
      </c>
      <c r="Q38">
        <v>26082</v>
      </c>
      <c r="R38">
        <v>27</v>
      </c>
      <c r="S38">
        <v>33534</v>
      </c>
      <c r="T38">
        <v>5</v>
      </c>
      <c r="U38">
        <v>6210</v>
      </c>
      <c r="V38">
        <v>6</v>
      </c>
      <c r="W38">
        <v>7452</v>
      </c>
      <c r="X38">
        <v>8</v>
      </c>
      <c r="Y38">
        <v>9936</v>
      </c>
      <c r="Z38">
        <v>8</v>
      </c>
      <c r="AA38">
        <v>9936</v>
      </c>
      <c r="AB38">
        <v>9</v>
      </c>
      <c r="AC38">
        <v>11178</v>
      </c>
      <c r="AD38">
        <v>13</v>
      </c>
      <c r="AE38">
        <v>16146</v>
      </c>
      <c r="AF38">
        <v>13</v>
      </c>
      <c r="AG38">
        <v>16146</v>
      </c>
      <c r="AH38">
        <v>15</v>
      </c>
      <c r="AI38">
        <v>18630</v>
      </c>
      <c r="AJ38">
        <v>8</v>
      </c>
      <c r="AK38">
        <v>9936</v>
      </c>
      <c r="AL38">
        <v>7</v>
      </c>
      <c r="AM38">
        <v>8694</v>
      </c>
      <c r="AN38">
        <v>8</v>
      </c>
      <c r="AO38">
        <v>9936</v>
      </c>
      <c r="AP38">
        <v>10</v>
      </c>
      <c r="AQ38">
        <v>12420</v>
      </c>
      <c r="AR38">
        <v>13</v>
      </c>
      <c r="AS38">
        <v>16146</v>
      </c>
      <c r="AT38">
        <v>21</v>
      </c>
      <c r="AU38">
        <v>26082</v>
      </c>
      <c r="AV38">
        <v>13</v>
      </c>
      <c r="AW38">
        <v>16146</v>
      </c>
      <c r="AX38">
        <v>17</v>
      </c>
      <c r="AY38">
        <v>21114</v>
      </c>
      <c r="AZ38">
        <v>9</v>
      </c>
      <c r="BA38">
        <v>11178</v>
      </c>
      <c r="BB38">
        <v>8</v>
      </c>
      <c r="BC38">
        <v>9936</v>
      </c>
      <c r="BD38">
        <v>14</v>
      </c>
      <c r="BE38">
        <v>17388</v>
      </c>
      <c r="BF38">
        <v>12</v>
      </c>
      <c r="BG38">
        <v>14904</v>
      </c>
      <c r="BH38">
        <v>5</v>
      </c>
      <c r="BI38">
        <v>6210</v>
      </c>
      <c r="BJ38">
        <v>7</v>
      </c>
      <c r="BK38">
        <v>8694</v>
      </c>
      <c r="BL38">
        <v>8</v>
      </c>
      <c r="BM38">
        <v>9936</v>
      </c>
      <c r="BN38">
        <v>6</v>
      </c>
      <c r="BO38">
        <v>7452</v>
      </c>
      <c r="BP38">
        <v>49</v>
      </c>
      <c r="BQ38">
        <v>60858</v>
      </c>
      <c r="BR38">
        <v>35</v>
      </c>
      <c r="BS38">
        <v>43470</v>
      </c>
      <c r="BT38">
        <v>36</v>
      </c>
      <c r="BU38">
        <v>44712</v>
      </c>
      <c r="BV38">
        <v>38</v>
      </c>
      <c r="BW38">
        <v>47196</v>
      </c>
      <c r="BX38">
        <v>13</v>
      </c>
      <c r="BY38">
        <v>16146</v>
      </c>
      <c r="BZ38">
        <v>11</v>
      </c>
      <c r="CA38">
        <v>13662</v>
      </c>
      <c r="CB38">
        <v>11</v>
      </c>
      <c r="CC38">
        <v>13662</v>
      </c>
      <c r="CD38">
        <v>13</v>
      </c>
      <c r="CE38">
        <v>16146</v>
      </c>
      <c r="CF38">
        <v>6</v>
      </c>
      <c r="CG38">
        <v>7452</v>
      </c>
      <c r="CH38">
        <v>4</v>
      </c>
      <c r="CI38">
        <v>4968</v>
      </c>
      <c r="CJ38">
        <v>7</v>
      </c>
      <c r="CK38">
        <v>8694</v>
      </c>
      <c r="CL38">
        <v>5</v>
      </c>
      <c r="CM38">
        <v>6210</v>
      </c>
      <c r="CN38">
        <v>25</v>
      </c>
      <c r="CO38">
        <v>31050</v>
      </c>
      <c r="CP38">
        <v>16</v>
      </c>
      <c r="CQ38">
        <v>19872</v>
      </c>
      <c r="CR38">
        <v>22</v>
      </c>
      <c r="CS38">
        <v>27324</v>
      </c>
      <c r="CT38">
        <v>24</v>
      </c>
      <c r="CU38">
        <v>29808</v>
      </c>
    </row>
    <row r="39" spans="2:99" x14ac:dyDescent="0.2">
      <c r="C39" s="116" t="s">
        <v>205</v>
      </c>
      <c r="D39">
        <v>29</v>
      </c>
      <c r="E39">
        <v>41272.800000000003</v>
      </c>
      <c r="F39">
        <v>36</v>
      </c>
      <c r="G39">
        <v>51235.200000000004</v>
      </c>
      <c r="H39">
        <v>26</v>
      </c>
      <c r="I39">
        <v>37003.200000000004</v>
      </c>
      <c r="J39">
        <v>35</v>
      </c>
      <c r="K39">
        <v>49812</v>
      </c>
      <c r="L39">
        <v>18</v>
      </c>
      <c r="M39">
        <v>25617.600000000002</v>
      </c>
      <c r="N39">
        <v>33</v>
      </c>
      <c r="O39">
        <v>46965.599999999999</v>
      </c>
      <c r="P39">
        <v>20</v>
      </c>
      <c r="Q39">
        <v>28464</v>
      </c>
      <c r="R39">
        <v>23</v>
      </c>
      <c r="S39">
        <v>32733.600000000002</v>
      </c>
      <c r="T39">
        <v>5</v>
      </c>
      <c r="U39">
        <v>7116</v>
      </c>
      <c r="V39">
        <v>6</v>
      </c>
      <c r="W39">
        <v>8539.2000000000007</v>
      </c>
      <c r="X39">
        <v>8</v>
      </c>
      <c r="Y39">
        <v>11385.6</v>
      </c>
      <c r="Z39">
        <v>8</v>
      </c>
      <c r="AA39">
        <v>11385.6</v>
      </c>
      <c r="AB39">
        <v>9</v>
      </c>
      <c r="AC39">
        <v>12808.800000000001</v>
      </c>
      <c r="AD39">
        <v>12</v>
      </c>
      <c r="AE39">
        <v>17078.400000000001</v>
      </c>
      <c r="AF39">
        <v>13</v>
      </c>
      <c r="AG39">
        <v>18501.600000000002</v>
      </c>
      <c r="AH39">
        <v>13</v>
      </c>
      <c r="AI39">
        <v>18501.600000000002</v>
      </c>
      <c r="AJ39">
        <v>7</v>
      </c>
      <c r="AK39">
        <v>9962.4</v>
      </c>
      <c r="AL39">
        <v>6</v>
      </c>
      <c r="AM39">
        <v>8539.2000000000007</v>
      </c>
      <c r="AN39">
        <v>7</v>
      </c>
      <c r="AO39">
        <v>9962.4</v>
      </c>
      <c r="AP39">
        <v>11</v>
      </c>
      <c r="AQ39">
        <v>15655.2</v>
      </c>
      <c r="AR39">
        <v>14</v>
      </c>
      <c r="AS39">
        <v>19924.8</v>
      </c>
      <c r="AT39">
        <v>23</v>
      </c>
      <c r="AU39">
        <v>32733.600000000002</v>
      </c>
      <c r="AV39">
        <v>14</v>
      </c>
      <c r="AW39">
        <v>19924.8</v>
      </c>
      <c r="AX39">
        <v>17</v>
      </c>
      <c r="AY39">
        <v>24194.400000000001</v>
      </c>
      <c r="AZ39">
        <v>9</v>
      </c>
      <c r="BA39">
        <v>12808.800000000001</v>
      </c>
      <c r="BB39">
        <v>8</v>
      </c>
      <c r="BC39">
        <v>11385.6</v>
      </c>
      <c r="BD39">
        <v>13</v>
      </c>
      <c r="BE39">
        <v>18501.600000000002</v>
      </c>
      <c r="BF39">
        <v>12</v>
      </c>
      <c r="BG39">
        <v>17078.400000000001</v>
      </c>
      <c r="BH39">
        <v>4</v>
      </c>
      <c r="BI39">
        <v>5692.8</v>
      </c>
      <c r="BJ39">
        <v>8</v>
      </c>
      <c r="BK39">
        <v>11385.6</v>
      </c>
      <c r="BL39">
        <v>8</v>
      </c>
      <c r="BM39">
        <v>11385.6</v>
      </c>
      <c r="BN39">
        <v>6</v>
      </c>
      <c r="BO39">
        <v>8539.2000000000007</v>
      </c>
      <c r="BP39">
        <v>49</v>
      </c>
      <c r="BQ39">
        <v>69736.800000000003</v>
      </c>
      <c r="BR39">
        <v>34</v>
      </c>
      <c r="BS39">
        <v>48388.800000000003</v>
      </c>
      <c r="BT39">
        <v>40</v>
      </c>
      <c r="BU39">
        <v>56928</v>
      </c>
      <c r="BV39">
        <v>33</v>
      </c>
      <c r="BW39">
        <v>46965.599999999999</v>
      </c>
      <c r="BX39">
        <v>12</v>
      </c>
      <c r="BY39">
        <v>17078.400000000001</v>
      </c>
      <c r="BZ39">
        <v>11</v>
      </c>
      <c r="CA39">
        <v>15655.2</v>
      </c>
      <c r="CB39">
        <v>11</v>
      </c>
      <c r="CC39">
        <v>15655.2</v>
      </c>
      <c r="CD39">
        <v>14</v>
      </c>
      <c r="CE39">
        <v>19924.8</v>
      </c>
      <c r="CF39">
        <v>6</v>
      </c>
      <c r="CG39">
        <v>8539.2000000000007</v>
      </c>
      <c r="CH39">
        <v>4</v>
      </c>
      <c r="CI39">
        <v>5692.8</v>
      </c>
      <c r="CJ39">
        <v>6</v>
      </c>
      <c r="CK39">
        <v>8539.2000000000007</v>
      </c>
      <c r="CL39">
        <v>4</v>
      </c>
      <c r="CM39">
        <v>5692.8</v>
      </c>
      <c r="CN39">
        <v>24</v>
      </c>
      <c r="CO39">
        <v>34156.800000000003</v>
      </c>
      <c r="CP39">
        <v>16</v>
      </c>
      <c r="CQ39">
        <v>22771.200000000001</v>
      </c>
      <c r="CR39">
        <v>25</v>
      </c>
      <c r="CS39">
        <v>35580</v>
      </c>
      <c r="CT39">
        <v>25</v>
      </c>
      <c r="CU39">
        <v>35580</v>
      </c>
    </row>
    <row r="40" spans="2:99" x14ac:dyDescent="0.2">
      <c r="C40" s="116" t="s">
        <v>206</v>
      </c>
      <c r="D40">
        <v>32</v>
      </c>
      <c r="E40">
        <v>23193.599999999999</v>
      </c>
      <c r="F40">
        <v>34</v>
      </c>
      <c r="G40">
        <v>24643.199999999997</v>
      </c>
      <c r="H40">
        <v>26</v>
      </c>
      <c r="I40">
        <v>18844.8</v>
      </c>
      <c r="J40">
        <v>37</v>
      </c>
      <c r="K40">
        <v>26817.599999999999</v>
      </c>
      <c r="L40">
        <v>18</v>
      </c>
      <c r="M40">
        <v>13046.4</v>
      </c>
      <c r="N40">
        <v>40</v>
      </c>
      <c r="O40">
        <v>28992</v>
      </c>
      <c r="P40">
        <v>21</v>
      </c>
      <c r="Q40">
        <v>15220.8</v>
      </c>
      <c r="R40">
        <v>24</v>
      </c>
      <c r="S40">
        <v>17395.199999999997</v>
      </c>
      <c r="T40">
        <v>6</v>
      </c>
      <c r="U40">
        <v>4348.7999999999993</v>
      </c>
      <c r="V40">
        <v>5</v>
      </c>
      <c r="W40">
        <v>3624</v>
      </c>
      <c r="X40">
        <v>9</v>
      </c>
      <c r="Y40">
        <v>6523.2</v>
      </c>
      <c r="Z40">
        <v>8</v>
      </c>
      <c r="AA40">
        <v>5798.4</v>
      </c>
      <c r="AB40">
        <v>9</v>
      </c>
      <c r="AC40">
        <v>6523.2</v>
      </c>
      <c r="AD40">
        <v>12</v>
      </c>
      <c r="AE40">
        <v>8697.5999999999985</v>
      </c>
      <c r="AF40">
        <v>13</v>
      </c>
      <c r="AG40">
        <v>9422.4</v>
      </c>
      <c r="AH40">
        <v>14</v>
      </c>
      <c r="AI40">
        <v>10147.199999999999</v>
      </c>
      <c r="AJ40">
        <v>8</v>
      </c>
      <c r="AK40">
        <v>5798.4</v>
      </c>
      <c r="AL40">
        <v>7</v>
      </c>
      <c r="AM40">
        <v>5073.5999999999995</v>
      </c>
      <c r="AN40">
        <v>7</v>
      </c>
      <c r="AO40">
        <v>5073.5999999999995</v>
      </c>
      <c r="AP40">
        <v>12</v>
      </c>
      <c r="AQ40">
        <v>8697.5999999999985</v>
      </c>
      <c r="AR40">
        <v>14</v>
      </c>
      <c r="AS40">
        <v>10147.199999999999</v>
      </c>
      <c r="AT40">
        <v>24</v>
      </c>
      <c r="AU40">
        <v>17395.199999999997</v>
      </c>
      <c r="AV40">
        <v>15</v>
      </c>
      <c r="AW40">
        <v>10872</v>
      </c>
      <c r="AX40">
        <v>17</v>
      </c>
      <c r="AY40">
        <v>12321.599999999999</v>
      </c>
      <c r="AZ40">
        <v>9</v>
      </c>
      <c r="BA40">
        <v>6523.2</v>
      </c>
      <c r="BB40">
        <v>8</v>
      </c>
      <c r="BC40">
        <v>5798.4</v>
      </c>
      <c r="BD40">
        <v>14</v>
      </c>
      <c r="BE40">
        <v>10147.199999999999</v>
      </c>
      <c r="BF40">
        <v>12</v>
      </c>
      <c r="BG40">
        <v>8697.5999999999985</v>
      </c>
      <c r="BH40">
        <v>5</v>
      </c>
      <c r="BI40">
        <v>3624</v>
      </c>
      <c r="BJ40">
        <v>7</v>
      </c>
      <c r="BK40">
        <v>5073.5999999999995</v>
      </c>
      <c r="BL40">
        <v>7</v>
      </c>
      <c r="BM40">
        <v>5073.5999999999995</v>
      </c>
      <c r="BN40">
        <v>6</v>
      </c>
      <c r="BO40">
        <v>4348.7999999999993</v>
      </c>
      <c r="BP40">
        <v>58</v>
      </c>
      <c r="BQ40">
        <v>42038.399999999994</v>
      </c>
      <c r="BR40">
        <v>37</v>
      </c>
      <c r="BS40">
        <v>26817.599999999999</v>
      </c>
      <c r="BT40">
        <v>38</v>
      </c>
      <c r="BU40">
        <v>27542.399999999998</v>
      </c>
      <c r="BV40">
        <v>39</v>
      </c>
      <c r="BW40">
        <v>28267.199999999997</v>
      </c>
      <c r="BX40">
        <v>13</v>
      </c>
      <c r="BY40">
        <v>9422.4</v>
      </c>
      <c r="BZ40">
        <v>12</v>
      </c>
      <c r="CA40">
        <v>8697.5999999999985</v>
      </c>
      <c r="CB40">
        <v>11</v>
      </c>
      <c r="CC40">
        <v>7972.7999999999993</v>
      </c>
      <c r="CD40">
        <v>15</v>
      </c>
      <c r="CE40">
        <v>10872</v>
      </c>
      <c r="CF40">
        <v>7</v>
      </c>
      <c r="CG40">
        <v>5073.5999999999995</v>
      </c>
      <c r="CH40">
        <v>4</v>
      </c>
      <c r="CI40">
        <v>2899.2</v>
      </c>
      <c r="CJ40">
        <v>6</v>
      </c>
      <c r="CK40">
        <v>4348.7999999999993</v>
      </c>
      <c r="CL40">
        <v>4</v>
      </c>
      <c r="CM40">
        <v>2899.2</v>
      </c>
      <c r="CN40">
        <v>23</v>
      </c>
      <c r="CO40">
        <v>16670.399999999998</v>
      </c>
      <c r="CP40">
        <v>17</v>
      </c>
      <c r="CQ40">
        <v>12321.599999999999</v>
      </c>
      <c r="CR40">
        <v>25</v>
      </c>
      <c r="CS40">
        <v>18120</v>
      </c>
      <c r="CT40">
        <v>25</v>
      </c>
      <c r="CU40">
        <v>18120</v>
      </c>
    </row>
    <row r="41" spans="2:99" x14ac:dyDescent="0.2">
      <c r="C41" s="116" t="s">
        <v>207</v>
      </c>
      <c r="D41">
        <v>32</v>
      </c>
      <c r="E41">
        <v>21120</v>
      </c>
      <c r="F41">
        <v>37</v>
      </c>
      <c r="G41">
        <v>24420</v>
      </c>
      <c r="H41">
        <v>28</v>
      </c>
      <c r="I41">
        <v>18480</v>
      </c>
      <c r="J41">
        <v>42</v>
      </c>
      <c r="K41">
        <v>27720</v>
      </c>
      <c r="L41">
        <v>18</v>
      </c>
      <c r="M41">
        <v>11880</v>
      </c>
      <c r="N41">
        <v>42</v>
      </c>
      <c r="O41">
        <v>27720</v>
      </c>
      <c r="P41">
        <v>24</v>
      </c>
      <c r="Q41">
        <v>15840</v>
      </c>
      <c r="R41">
        <v>24</v>
      </c>
      <c r="S41">
        <v>15840</v>
      </c>
      <c r="T41">
        <v>6</v>
      </c>
      <c r="U41">
        <v>3960</v>
      </c>
      <c r="V41">
        <v>6</v>
      </c>
      <c r="W41">
        <v>3960</v>
      </c>
      <c r="X41">
        <v>8</v>
      </c>
      <c r="Y41">
        <v>5280</v>
      </c>
      <c r="Z41">
        <v>8</v>
      </c>
      <c r="AA41">
        <v>5280</v>
      </c>
      <c r="AB41">
        <v>10</v>
      </c>
      <c r="AC41">
        <v>6600</v>
      </c>
      <c r="AD41">
        <v>12</v>
      </c>
      <c r="AE41">
        <v>7920</v>
      </c>
      <c r="AF41">
        <v>13</v>
      </c>
      <c r="AG41">
        <v>8580</v>
      </c>
      <c r="AH41">
        <v>15</v>
      </c>
      <c r="AI41">
        <v>9900</v>
      </c>
      <c r="AJ41">
        <v>7</v>
      </c>
      <c r="AK41">
        <v>4620</v>
      </c>
      <c r="AL41">
        <v>7</v>
      </c>
      <c r="AM41">
        <v>4620</v>
      </c>
      <c r="AN41">
        <v>7</v>
      </c>
      <c r="AO41">
        <v>4620</v>
      </c>
      <c r="AP41">
        <v>10</v>
      </c>
      <c r="AQ41">
        <v>6600</v>
      </c>
      <c r="AR41">
        <v>13</v>
      </c>
      <c r="AS41">
        <v>8580</v>
      </c>
      <c r="AT41">
        <v>21</v>
      </c>
      <c r="AU41">
        <v>13860</v>
      </c>
      <c r="AV41">
        <v>13</v>
      </c>
      <c r="AW41">
        <v>8580</v>
      </c>
      <c r="AX41">
        <v>17</v>
      </c>
      <c r="AY41">
        <v>11220</v>
      </c>
      <c r="AZ41">
        <v>9</v>
      </c>
      <c r="BA41">
        <v>5940</v>
      </c>
      <c r="BB41">
        <v>7</v>
      </c>
      <c r="BC41">
        <v>4620</v>
      </c>
      <c r="BD41">
        <v>13</v>
      </c>
      <c r="BE41">
        <v>8580</v>
      </c>
      <c r="BF41">
        <v>11</v>
      </c>
      <c r="BG41">
        <v>7260</v>
      </c>
      <c r="BH41">
        <v>5</v>
      </c>
      <c r="BI41">
        <v>3300</v>
      </c>
      <c r="BJ41">
        <v>7</v>
      </c>
      <c r="BK41">
        <v>4620</v>
      </c>
      <c r="BL41">
        <v>8</v>
      </c>
      <c r="BM41">
        <v>5280</v>
      </c>
      <c r="BN41">
        <v>6</v>
      </c>
      <c r="BO41">
        <v>3960</v>
      </c>
      <c r="BP41">
        <v>49</v>
      </c>
      <c r="BQ41">
        <v>32340</v>
      </c>
      <c r="BR41">
        <v>40</v>
      </c>
      <c r="BS41">
        <v>26400</v>
      </c>
      <c r="BT41">
        <v>43</v>
      </c>
      <c r="BU41">
        <v>28380</v>
      </c>
      <c r="BV41">
        <v>39</v>
      </c>
      <c r="BW41">
        <v>25740</v>
      </c>
      <c r="BX41">
        <v>14</v>
      </c>
      <c r="BY41">
        <v>9240</v>
      </c>
      <c r="BZ41">
        <v>13</v>
      </c>
      <c r="CA41">
        <v>8580</v>
      </c>
      <c r="CB41">
        <v>12</v>
      </c>
      <c r="CC41">
        <v>7920</v>
      </c>
      <c r="CD41">
        <v>15</v>
      </c>
      <c r="CE41">
        <v>9900</v>
      </c>
      <c r="CF41">
        <v>6</v>
      </c>
      <c r="CG41">
        <v>3960</v>
      </c>
      <c r="CH41">
        <v>4</v>
      </c>
      <c r="CI41">
        <v>2640</v>
      </c>
      <c r="CJ41">
        <v>6</v>
      </c>
      <c r="CK41">
        <v>3960</v>
      </c>
      <c r="CL41">
        <v>5</v>
      </c>
      <c r="CM41">
        <v>3300</v>
      </c>
      <c r="CN41">
        <v>23</v>
      </c>
      <c r="CO41">
        <v>15180</v>
      </c>
      <c r="CP41">
        <v>17</v>
      </c>
      <c r="CQ41">
        <v>11220</v>
      </c>
      <c r="CR41">
        <v>27</v>
      </c>
      <c r="CS41">
        <v>17820</v>
      </c>
      <c r="CT41">
        <v>25</v>
      </c>
      <c r="CU41">
        <v>16500</v>
      </c>
    </row>
    <row r="42" spans="2:99" x14ac:dyDescent="0.2">
      <c r="C42" s="116" t="s">
        <v>208</v>
      </c>
      <c r="D42">
        <v>30</v>
      </c>
      <c r="E42">
        <v>25380</v>
      </c>
      <c r="F42">
        <v>35</v>
      </c>
      <c r="G42">
        <v>29610</v>
      </c>
      <c r="H42">
        <v>29</v>
      </c>
      <c r="I42">
        <v>24534</v>
      </c>
      <c r="J42">
        <v>41</v>
      </c>
      <c r="K42">
        <v>34686</v>
      </c>
      <c r="L42">
        <v>20</v>
      </c>
      <c r="M42">
        <v>16920</v>
      </c>
      <c r="N42">
        <v>36</v>
      </c>
      <c r="O42">
        <v>30456</v>
      </c>
      <c r="P42">
        <v>22</v>
      </c>
      <c r="Q42">
        <v>18612</v>
      </c>
      <c r="R42">
        <v>26</v>
      </c>
      <c r="S42">
        <v>21996</v>
      </c>
      <c r="T42">
        <v>6</v>
      </c>
      <c r="U42">
        <v>5076</v>
      </c>
      <c r="V42">
        <v>6</v>
      </c>
      <c r="W42">
        <v>5076</v>
      </c>
      <c r="X42">
        <v>8</v>
      </c>
      <c r="Y42">
        <v>6768</v>
      </c>
      <c r="Z42">
        <v>9</v>
      </c>
      <c r="AA42">
        <v>7614</v>
      </c>
      <c r="AB42">
        <v>9</v>
      </c>
      <c r="AC42">
        <v>7614</v>
      </c>
      <c r="AD42">
        <v>12</v>
      </c>
      <c r="AE42">
        <v>10152</v>
      </c>
      <c r="AF42">
        <v>13</v>
      </c>
      <c r="AG42">
        <v>10998</v>
      </c>
      <c r="AH42">
        <v>14</v>
      </c>
      <c r="AI42">
        <v>11844</v>
      </c>
      <c r="AJ42">
        <v>8</v>
      </c>
      <c r="AK42">
        <v>6768</v>
      </c>
      <c r="AL42">
        <v>7</v>
      </c>
      <c r="AM42">
        <v>5922</v>
      </c>
      <c r="AN42">
        <v>7</v>
      </c>
      <c r="AO42">
        <v>5922</v>
      </c>
      <c r="AP42">
        <v>11</v>
      </c>
      <c r="AQ42">
        <v>9306</v>
      </c>
      <c r="AR42">
        <v>14</v>
      </c>
      <c r="AS42">
        <v>11844</v>
      </c>
      <c r="AT42">
        <v>22</v>
      </c>
      <c r="AU42">
        <v>18612</v>
      </c>
      <c r="AV42">
        <v>13</v>
      </c>
      <c r="AW42">
        <v>10998</v>
      </c>
      <c r="AX42">
        <v>17</v>
      </c>
      <c r="AY42">
        <v>14382</v>
      </c>
      <c r="AZ42">
        <v>9</v>
      </c>
      <c r="BA42">
        <v>7614</v>
      </c>
      <c r="BB42">
        <v>8</v>
      </c>
      <c r="BC42">
        <v>6768</v>
      </c>
      <c r="BD42">
        <v>14</v>
      </c>
      <c r="BE42">
        <v>11844</v>
      </c>
      <c r="BF42">
        <v>12</v>
      </c>
      <c r="BG42">
        <v>10152</v>
      </c>
      <c r="BH42">
        <v>5</v>
      </c>
      <c r="BI42">
        <v>4230</v>
      </c>
      <c r="BJ42">
        <v>8</v>
      </c>
      <c r="BK42">
        <v>6768</v>
      </c>
      <c r="BL42">
        <v>8</v>
      </c>
      <c r="BM42">
        <v>6768</v>
      </c>
      <c r="BN42">
        <v>7</v>
      </c>
      <c r="BO42">
        <v>5922</v>
      </c>
      <c r="BP42">
        <v>48</v>
      </c>
      <c r="BQ42">
        <v>40608</v>
      </c>
      <c r="BR42">
        <v>35</v>
      </c>
      <c r="BS42">
        <v>29610</v>
      </c>
      <c r="BT42">
        <v>36</v>
      </c>
      <c r="BU42">
        <v>30456</v>
      </c>
      <c r="BV42">
        <v>40</v>
      </c>
      <c r="BW42">
        <v>33840</v>
      </c>
      <c r="BX42">
        <v>14</v>
      </c>
      <c r="BY42">
        <v>11844</v>
      </c>
      <c r="BZ42">
        <v>12</v>
      </c>
      <c r="CA42">
        <v>10152</v>
      </c>
      <c r="CB42">
        <v>10</v>
      </c>
      <c r="CC42">
        <v>8460</v>
      </c>
      <c r="CD42">
        <v>15</v>
      </c>
      <c r="CE42">
        <v>12690</v>
      </c>
      <c r="CF42">
        <v>6</v>
      </c>
      <c r="CG42">
        <v>5076</v>
      </c>
      <c r="CH42">
        <v>4</v>
      </c>
      <c r="CI42">
        <v>3384</v>
      </c>
      <c r="CJ42">
        <v>7</v>
      </c>
      <c r="CK42">
        <v>5922</v>
      </c>
      <c r="CL42">
        <v>5</v>
      </c>
      <c r="CM42">
        <v>4230</v>
      </c>
      <c r="CN42">
        <v>26</v>
      </c>
      <c r="CO42">
        <v>21996</v>
      </c>
      <c r="CP42">
        <v>16</v>
      </c>
      <c r="CQ42">
        <v>13536</v>
      </c>
      <c r="CR42">
        <v>25</v>
      </c>
      <c r="CS42">
        <v>21150</v>
      </c>
      <c r="CT42">
        <v>28</v>
      </c>
      <c r="CU42">
        <v>23688</v>
      </c>
    </row>
    <row r="43" spans="2:99" x14ac:dyDescent="0.2">
      <c r="C43" s="116" t="s">
        <v>209</v>
      </c>
      <c r="D43">
        <v>30</v>
      </c>
      <c r="E43">
        <v>30672</v>
      </c>
      <c r="F43">
        <v>37</v>
      </c>
      <c r="G43">
        <v>37828.799999999996</v>
      </c>
      <c r="H43">
        <v>28</v>
      </c>
      <c r="I43">
        <v>28627.200000000001</v>
      </c>
      <c r="J43">
        <v>37</v>
      </c>
      <c r="K43">
        <v>37828.799999999996</v>
      </c>
      <c r="L43">
        <v>19</v>
      </c>
      <c r="M43">
        <v>19425.599999999999</v>
      </c>
      <c r="N43">
        <v>38</v>
      </c>
      <c r="O43">
        <v>38851.199999999997</v>
      </c>
      <c r="P43">
        <v>20</v>
      </c>
      <c r="Q43">
        <v>20448</v>
      </c>
      <c r="R43">
        <v>24</v>
      </c>
      <c r="S43">
        <v>24537.599999999999</v>
      </c>
      <c r="T43">
        <v>5</v>
      </c>
      <c r="U43">
        <v>5112</v>
      </c>
      <c r="V43">
        <v>6</v>
      </c>
      <c r="W43">
        <v>6134.4</v>
      </c>
      <c r="X43">
        <v>8</v>
      </c>
      <c r="Y43">
        <v>8179.2</v>
      </c>
      <c r="Z43">
        <v>8</v>
      </c>
      <c r="AA43">
        <v>8179.2</v>
      </c>
      <c r="AB43">
        <v>11</v>
      </c>
      <c r="AC43">
        <v>11246.4</v>
      </c>
      <c r="AD43">
        <v>13</v>
      </c>
      <c r="AE43">
        <v>13291.199999999999</v>
      </c>
      <c r="AF43">
        <v>14</v>
      </c>
      <c r="AG43">
        <v>14313.6</v>
      </c>
      <c r="AH43">
        <v>14</v>
      </c>
      <c r="AI43">
        <v>14313.6</v>
      </c>
      <c r="AJ43">
        <v>8</v>
      </c>
      <c r="AK43">
        <v>8179.2</v>
      </c>
      <c r="AL43">
        <v>7</v>
      </c>
      <c r="AM43">
        <v>7156.8</v>
      </c>
      <c r="AN43">
        <v>7</v>
      </c>
      <c r="AO43">
        <v>7156.8</v>
      </c>
      <c r="AP43">
        <v>10</v>
      </c>
      <c r="AQ43">
        <v>10224</v>
      </c>
      <c r="AR43">
        <v>12</v>
      </c>
      <c r="AS43">
        <v>12268.8</v>
      </c>
      <c r="AT43">
        <v>22</v>
      </c>
      <c r="AU43">
        <v>22492.799999999999</v>
      </c>
      <c r="AV43">
        <v>12</v>
      </c>
      <c r="AW43">
        <v>12268.8</v>
      </c>
      <c r="AX43">
        <v>18</v>
      </c>
      <c r="AY43">
        <v>18403.2</v>
      </c>
      <c r="AZ43">
        <v>9</v>
      </c>
      <c r="BA43">
        <v>9201.6</v>
      </c>
      <c r="BB43">
        <v>8</v>
      </c>
      <c r="BC43">
        <v>8179.2</v>
      </c>
      <c r="BD43">
        <v>13</v>
      </c>
      <c r="BE43">
        <v>13291.199999999999</v>
      </c>
      <c r="BF43">
        <v>11</v>
      </c>
      <c r="BG43">
        <v>11246.4</v>
      </c>
      <c r="BH43">
        <v>5</v>
      </c>
      <c r="BI43">
        <v>5112</v>
      </c>
      <c r="BJ43">
        <v>7</v>
      </c>
      <c r="BK43">
        <v>7156.8</v>
      </c>
      <c r="BL43">
        <v>7</v>
      </c>
      <c r="BM43">
        <v>7156.8</v>
      </c>
      <c r="BN43">
        <v>6</v>
      </c>
      <c r="BO43">
        <v>6134.4</v>
      </c>
      <c r="BP43">
        <v>52</v>
      </c>
      <c r="BQ43">
        <v>53164.799999999996</v>
      </c>
      <c r="BR43">
        <v>39</v>
      </c>
      <c r="BS43">
        <v>39873.599999999999</v>
      </c>
      <c r="BT43">
        <v>38</v>
      </c>
      <c r="BU43">
        <v>38851.199999999997</v>
      </c>
      <c r="BV43">
        <v>41</v>
      </c>
      <c r="BW43">
        <v>41918.400000000001</v>
      </c>
      <c r="BX43">
        <v>13</v>
      </c>
      <c r="BY43">
        <v>13291.199999999999</v>
      </c>
      <c r="BZ43">
        <v>11</v>
      </c>
      <c r="CA43">
        <v>11246.4</v>
      </c>
      <c r="CB43">
        <v>11</v>
      </c>
      <c r="CC43">
        <v>11246.4</v>
      </c>
      <c r="CD43">
        <v>13</v>
      </c>
      <c r="CE43">
        <v>13291.199999999999</v>
      </c>
      <c r="CF43">
        <v>6</v>
      </c>
      <c r="CG43">
        <v>6134.4</v>
      </c>
      <c r="CH43">
        <v>4</v>
      </c>
      <c r="CI43">
        <v>4089.6</v>
      </c>
      <c r="CJ43">
        <v>7</v>
      </c>
      <c r="CK43">
        <v>7156.8</v>
      </c>
      <c r="CL43">
        <v>5</v>
      </c>
      <c r="CM43">
        <v>5112</v>
      </c>
      <c r="CN43">
        <v>24</v>
      </c>
      <c r="CO43">
        <v>24537.599999999999</v>
      </c>
      <c r="CP43">
        <v>16</v>
      </c>
      <c r="CQ43">
        <v>16358.4</v>
      </c>
      <c r="CR43">
        <v>27</v>
      </c>
      <c r="CS43">
        <v>27604.799999999999</v>
      </c>
      <c r="CT43">
        <v>24</v>
      </c>
      <c r="CU43">
        <v>24537.599999999999</v>
      </c>
    </row>
    <row r="44" spans="2:99" x14ac:dyDescent="0.2">
      <c r="C44" s="116" t="s">
        <v>210</v>
      </c>
      <c r="D44">
        <v>28</v>
      </c>
      <c r="E44">
        <v>28627.200000000001</v>
      </c>
      <c r="F44">
        <v>35</v>
      </c>
      <c r="G44">
        <v>35784</v>
      </c>
      <c r="H44">
        <v>27</v>
      </c>
      <c r="I44">
        <v>27604.799999999999</v>
      </c>
      <c r="J44">
        <v>37</v>
      </c>
      <c r="K44">
        <v>37828.799999999996</v>
      </c>
      <c r="L44">
        <v>19</v>
      </c>
      <c r="M44">
        <v>19425.599999999999</v>
      </c>
      <c r="N44">
        <v>38</v>
      </c>
      <c r="O44">
        <v>38851.199999999997</v>
      </c>
      <c r="P44">
        <v>23</v>
      </c>
      <c r="Q44">
        <v>23515.200000000001</v>
      </c>
      <c r="R44">
        <v>24</v>
      </c>
      <c r="S44">
        <v>24537.599999999999</v>
      </c>
      <c r="T44">
        <v>6</v>
      </c>
      <c r="U44">
        <v>6134.4</v>
      </c>
      <c r="V44">
        <v>6</v>
      </c>
      <c r="W44">
        <v>6134.4</v>
      </c>
      <c r="X44">
        <v>8</v>
      </c>
      <c r="Y44">
        <v>8179.2</v>
      </c>
      <c r="Z44">
        <v>8</v>
      </c>
      <c r="AA44">
        <v>8179.2</v>
      </c>
      <c r="AB44">
        <v>10</v>
      </c>
      <c r="AC44">
        <v>10224</v>
      </c>
      <c r="AD44">
        <v>12</v>
      </c>
      <c r="AE44">
        <v>12268.8</v>
      </c>
      <c r="AF44">
        <v>14</v>
      </c>
      <c r="AG44">
        <v>14313.6</v>
      </c>
      <c r="AH44">
        <v>15</v>
      </c>
      <c r="AI44">
        <v>15336</v>
      </c>
      <c r="AJ44">
        <v>8</v>
      </c>
      <c r="AK44">
        <v>8179.2</v>
      </c>
      <c r="AL44">
        <v>6</v>
      </c>
      <c r="AM44">
        <v>6134.4</v>
      </c>
      <c r="AN44">
        <v>7</v>
      </c>
      <c r="AO44">
        <v>7156.8</v>
      </c>
      <c r="AP44">
        <v>10</v>
      </c>
      <c r="AQ44">
        <v>10224</v>
      </c>
      <c r="AR44">
        <v>13</v>
      </c>
      <c r="AS44">
        <v>13291.199999999999</v>
      </c>
      <c r="AT44">
        <v>20</v>
      </c>
      <c r="AU44">
        <v>20448</v>
      </c>
      <c r="AV44">
        <v>14</v>
      </c>
      <c r="AW44">
        <v>14313.6</v>
      </c>
      <c r="AX44">
        <v>18</v>
      </c>
      <c r="AY44">
        <v>18403.2</v>
      </c>
      <c r="AZ44">
        <v>8</v>
      </c>
      <c r="BA44">
        <v>8179.2</v>
      </c>
      <c r="BB44">
        <v>8</v>
      </c>
      <c r="BC44">
        <v>8179.2</v>
      </c>
      <c r="BD44">
        <v>14</v>
      </c>
      <c r="BE44">
        <v>14313.6</v>
      </c>
      <c r="BF44">
        <v>11</v>
      </c>
      <c r="BG44">
        <v>11246.4</v>
      </c>
      <c r="BH44">
        <v>4</v>
      </c>
      <c r="BI44">
        <v>4089.6</v>
      </c>
      <c r="BJ44">
        <v>8</v>
      </c>
      <c r="BK44">
        <v>8179.2</v>
      </c>
      <c r="BL44">
        <v>7</v>
      </c>
      <c r="BM44">
        <v>7156.8</v>
      </c>
      <c r="BN44">
        <v>5</v>
      </c>
      <c r="BO44">
        <v>5112</v>
      </c>
      <c r="BP44">
        <v>54</v>
      </c>
      <c r="BQ44">
        <v>55209.599999999999</v>
      </c>
      <c r="BR44">
        <v>40</v>
      </c>
      <c r="BS44">
        <v>40896</v>
      </c>
      <c r="BT44">
        <v>38</v>
      </c>
      <c r="BU44">
        <v>38851.199999999997</v>
      </c>
      <c r="BV44">
        <v>36</v>
      </c>
      <c r="BW44">
        <v>36806.400000000001</v>
      </c>
      <c r="BX44">
        <v>13</v>
      </c>
      <c r="BY44">
        <v>13291.199999999999</v>
      </c>
      <c r="BZ44">
        <v>11</v>
      </c>
      <c r="CA44">
        <v>11246.4</v>
      </c>
      <c r="CB44">
        <v>11</v>
      </c>
      <c r="CC44">
        <v>11246.4</v>
      </c>
      <c r="CD44">
        <v>13</v>
      </c>
      <c r="CE44">
        <v>13291.199999999999</v>
      </c>
      <c r="CF44">
        <v>6</v>
      </c>
      <c r="CG44">
        <v>6134.4</v>
      </c>
      <c r="CH44">
        <v>4</v>
      </c>
      <c r="CI44">
        <v>4089.6</v>
      </c>
      <c r="CJ44">
        <v>6</v>
      </c>
      <c r="CK44">
        <v>6134.4</v>
      </c>
      <c r="CL44">
        <v>5</v>
      </c>
      <c r="CM44">
        <v>5112</v>
      </c>
      <c r="CN44">
        <v>22</v>
      </c>
      <c r="CO44">
        <v>22492.799999999999</v>
      </c>
      <c r="CP44">
        <v>17</v>
      </c>
      <c r="CQ44">
        <v>17380.8</v>
      </c>
      <c r="CR44">
        <v>23</v>
      </c>
      <c r="CS44">
        <v>23515.200000000001</v>
      </c>
      <c r="CT44">
        <v>24</v>
      </c>
      <c r="CU44">
        <v>24537.599999999999</v>
      </c>
    </row>
    <row r="45" spans="2:99" x14ac:dyDescent="0.2">
      <c r="C45" s="116" t="s">
        <v>211</v>
      </c>
      <c r="D45">
        <v>28</v>
      </c>
      <c r="E45">
        <v>34977.599999999999</v>
      </c>
      <c r="F45">
        <v>36</v>
      </c>
      <c r="G45">
        <v>44971.200000000004</v>
      </c>
      <c r="H45">
        <v>24</v>
      </c>
      <c r="I45">
        <v>29980.800000000003</v>
      </c>
      <c r="J45">
        <v>32</v>
      </c>
      <c r="K45">
        <v>39974.400000000001</v>
      </c>
      <c r="L45">
        <v>18</v>
      </c>
      <c r="M45">
        <v>22485.600000000002</v>
      </c>
      <c r="N45">
        <v>38</v>
      </c>
      <c r="O45">
        <v>47469.599999999999</v>
      </c>
      <c r="P45">
        <v>19</v>
      </c>
      <c r="Q45">
        <v>23734.799999999999</v>
      </c>
      <c r="R45">
        <v>25</v>
      </c>
      <c r="S45">
        <v>31230</v>
      </c>
      <c r="T45">
        <v>6</v>
      </c>
      <c r="U45">
        <v>7495.2000000000007</v>
      </c>
      <c r="V45">
        <v>6</v>
      </c>
      <c r="W45">
        <v>7495.2000000000007</v>
      </c>
      <c r="X45">
        <v>7</v>
      </c>
      <c r="Y45">
        <v>8744.4</v>
      </c>
      <c r="Z45">
        <v>8</v>
      </c>
      <c r="AA45">
        <v>9993.6</v>
      </c>
      <c r="AB45">
        <v>9</v>
      </c>
      <c r="AC45">
        <v>11242.800000000001</v>
      </c>
      <c r="AD45">
        <v>11</v>
      </c>
      <c r="AE45">
        <v>13741.2</v>
      </c>
      <c r="AF45">
        <v>12</v>
      </c>
      <c r="AG45">
        <v>14990.400000000001</v>
      </c>
      <c r="AH45">
        <v>15</v>
      </c>
      <c r="AI45">
        <v>18738</v>
      </c>
      <c r="AJ45">
        <v>7</v>
      </c>
      <c r="AK45">
        <v>8744.4</v>
      </c>
      <c r="AL45">
        <v>6</v>
      </c>
      <c r="AM45">
        <v>7495.2000000000007</v>
      </c>
      <c r="AN45">
        <v>7</v>
      </c>
      <c r="AO45">
        <v>8744.4</v>
      </c>
      <c r="AP45">
        <v>11</v>
      </c>
      <c r="AQ45">
        <v>13741.2</v>
      </c>
      <c r="AR45">
        <v>14</v>
      </c>
      <c r="AS45">
        <v>17488.8</v>
      </c>
      <c r="AT45">
        <v>21</v>
      </c>
      <c r="AU45">
        <v>26233.200000000001</v>
      </c>
      <c r="AV45">
        <v>13</v>
      </c>
      <c r="AW45">
        <v>16239.6</v>
      </c>
      <c r="AX45">
        <v>18</v>
      </c>
      <c r="AY45">
        <v>22485.600000000002</v>
      </c>
      <c r="AZ45">
        <v>8</v>
      </c>
      <c r="BA45">
        <v>9993.6</v>
      </c>
      <c r="BB45">
        <v>7</v>
      </c>
      <c r="BC45">
        <v>8744.4</v>
      </c>
      <c r="BD45">
        <v>14</v>
      </c>
      <c r="BE45">
        <v>17488.8</v>
      </c>
      <c r="BF45">
        <v>12</v>
      </c>
      <c r="BG45">
        <v>14990.400000000001</v>
      </c>
      <c r="BH45">
        <v>5</v>
      </c>
      <c r="BI45">
        <v>6246</v>
      </c>
      <c r="BJ45">
        <v>8</v>
      </c>
      <c r="BK45">
        <v>9993.6</v>
      </c>
      <c r="BL45">
        <v>7</v>
      </c>
      <c r="BM45">
        <v>8744.4</v>
      </c>
      <c r="BN45">
        <v>6</v>
      </c>
      <c r="BO45">
        <v>7495.2000000000007</v>
      </c>
      <c r="BP45">
        <v>45</v>
      </c>
      <c r="BQ45">
        <v>56214</v>
      </c>
      <c r="BR45">
        <v>32</v>
      </c>
      <c r="BS45">
        <v>39974.400000000001</v>
      </c>
      <c r="BT45">
        <v>40</v>
      </c>
      <c r="BU45">
        <v>49968</v>
      </c>
      <c r="BV45">
        <v>37</v>
      </c>
      <c r="BW45">
        <v>46220.4</v>
      </c>
      <c r="BX45">
        <v>13</v>
      </c>
      <c r="BY45">
        <v>16239.6</v>
      </c>
      <c r="BZ45">
        <v>12</v>
      </c>
      <c r="CA45">
        <v>14990.400000000001</v>
      </c>
      <c r="CB45">
        <v>10</v>
      </c>
      <c r="CC45">
        <v>12492</v>
      </c>
      <c r="CD45">
        <v>15</v>
      </c>
      <c r="CE45">
        <v>18738</v>
      </c>
      <c r="CF45">
        <v>7</v>
      </c>
      <c r="CG45">
        <v>8744.4</v>
      </c>
      <c r="CH45">
        <v>4</v>
      </c>
      <c r="CI45">
        <v>4996.8</v>
      </c>
      <c r="CJ45">
        <v>6</v>
      </c>
      <c r="CK45">
        <v>7495.2000000000007</v>
      </c>
      <c r="CL45">
        <v>5</v>
      </c>
      <c r="CM45">
        <v>6246</v>
      </c>
      <c r="CN45">
        <v>22</v>
      </c>
      <c r="CO45">
        <v>27482.400000000001</v>
      </c>
      <c r="CP45">
        <v>18</v>
      </c>
      <c r="CQ45">
        <v>22485.600000000002</v>
      </c>
      <c r="CR45">
        <v>26</v>
      </c>
      <c r="CS45">
        <v>32479.200000000001</v>
      </c>
      <c r="CT45">
        <v>26</v>
      </c>
      <c r="CU45">
        <v>32479.200000000001</v>
      </c>
    </row>
    <row r="46" spans="2:99" x14ac:dyDescent="0.2">
      <c r="C46" s="116" t="s">
        <v>212</v>
      </c>
      <c r="D46">
        <v>30</v>
      </c>
      <c r="E46">
        <v>36360</v>
      </c>
      <c r="F46">
        <v>35</v>
      </c>
      <c r="G46">
        <v>42420</v>
      </c>
      <c r="H46">
        <v>26</v>
      </c>
      <c r="I46">
        <v>31512</v>
      </c>
      <c r="J46">
        <v>37</v>
      </c>
      <c r="K46">
        <v>44844</v>
      </c>
      <c r="L46">
        <v>19</v>
      </c>
      <c r="M46">
        <v>23028</v>
      </c>
      <c r="N46">
        <v>34</v>
      </c>
      <c r="O46">
        <v>41208</v>
      </c>
      <c r="P46">
        <v>21</v>
      </c>
      <c r="Q46">
        <v>25452</v>
      </c>
      <c r="R46">
        <v>25</v>
      </c>
      <c r="S46">
        <v>30300</v>
      </c>
      <c r="T46">
        <v>6</v>
      </c>
      <c r="U46">
        <v>7272</v>
      </c>
      <c r="V46">
        <v>6</v>
      </c>
      <c r="W46">
        <v>7272</v>
      </c>
      <c r="X46">
        <v>8</v>
      </c>
      <c r="Y46">
        <v>9696</v>
      </c>
      <c r="Z46">
        <v>8</v>
      </c>
      <c r="AA46">
        <v>9696</v>
      </c>
      <c r="AB46">
        <v>9</v>
      </c>
      <c r="AC46">
        <v>10908</v>
      </c>
      <c r="AD46">
        <v>11</v>
      </c>
      <c r="AE46">
        <v>13332</v>
      </c>
      <c r="AF46">
        <v>14</v>
      </c>
      <c r="AG46">
        <v>16968</v>
      </c>
      <c r="AH46">
        <v>16</v>
      </c>
      <c r="AI46">
        <v>19392</v>
      </c>
      <c r="AJ46">
        <v>7</v>
      </c>
      <c r="AK46">
        <v>8484</v>
      </c>
      <c r="AL46">
        <v>6</v>
      </c>
      <c r="AM46">
        <v>7272</v>
      </c>
      <c r="AN46">
        <v>7</v>
      </c>
      <c r="AO46">
        <v>8484</v>
      </c>
      <c r="AP46">
        <v>10</v>
      </c>
      <c r="AQ46">
        <v>12120</v>
      </c>
      <c r="AR46">
        <v>12</v>
      </c>
      <c r="AS46">
        <v>14544</v>
      </c>
      <c r="AT46">
        <v>23</v>
      </c>
      <c r="AU46">
        <v>27876</v>
      </c>
      <c r="AV46">
        <v>14</v>
      </c>
      <c r="AW46">
        <v>16968</v>
      </c>
      <c r="AX46">
        <v>16</v>
      </c>
      <c r="AY46">
        <v>19392</v>
      </c>
      <c r="AZ46">
        <v>9</v>
      </c>
      <c r="BA46">
        <v>10908</v>
      </c>
      <c r="BB46">
        <v>7</v>
      </c>
      <c r="BC46">
        <v>8484</v>
      </c>
      <c r="BD46">
        <v>13</v>
      </c>
      <c r="BE46">
        <v>15756</v>
      </c>
      <c r="BF46">
        <v>11</v>
      </c>
      <c r="BG46">
        <v>13332</v>
      </c>
      <c r="BH46">
        <v>5</v>
      </c>
      <c r="BI46">
        <v>6060</v>
      </c>
      <c r="BJ46">
        <v>7</v>
      </c>
      <c r="BK46">
        <v>8484</v>
      </c>
      <c r="BL46">
        <v>7</v>
      </c>
      <c r="BM46">
        <v>8484</v>
      </c>
      <c r="BN46">
        <v>6</v>
      </c>
      <c r="BO46">
        <v>7272</v>
      </c>
      <c r="BP46">
        <v>51</v>
      </c>
      <c r="BQ46">
        <v>61812</v>
      </c>
      <c r="BR46">
        <v>38</v>
      </c>
      <c r="BS46">
        <v>46056</v>
      </c>
      <c r="BT46">
        <v>34</v>
      </c>
      <c r="BU46">
        <v>41208</v>
      </c>
      <c r="BV46">
        <v>37</v>
      </c>
      <c r="BW46">
        <v>44844</v>
      </c>
      <c r="BX46">
        <v>12</v>
      </c>
      <c r="BY46">
        <v>14544</v>
      </c>
      <c r="BZ46">
        <v>13</v>
      </c>
      <c r="CA46">
        <v>15756</v>
      </c>
      <c r="CB46">
        <v>11</v>
      </c>
      <c r="CC46">
        <v>13332</v>
      </c>
      <c r="CD46">
        <v>13</v>
      </c>
      <c r="CE46">
        <v>15756</v>
      </c>
      <c r="CF46">
        <v>7</v>
      </c>
      <c r="CG46">
        <v>8484</v>
      </c>
      <c r="CH46">
        <v>4</v>
      </c>
      <c r="CI46">
        <v>4848</v>
      </c>
      <c r="CJ46">
        <v>7</v>
      </c>
      <c r="CK46">
        <v>8484</v>
      </c>
      <c r="CL46">
        <v>5</v>
      </c>
      <c r="CM46">
        <v>6060</v>
      </c>
      <c r="CN46">
        <v>24</v>
      </c>
      <c r="CO46">
        <v>29088</v>
      </c>
      <c r="CP46">
        <v>15</v>
      </c>
      <c r="CQ46">
        <v>18180</v>
      </c>
      <c r="CR46">
        <v>27</v>
      </c>
      <c r="CS46">
        <v>32724</v>
      </c>
      <c r="CT46">
        <v>26</v>
      </c>
      <c r="CU46">
        <v>31512</v>
      </c>
    </row>
    <row r="47" spans="2:99" x14ac:dyDescent="0.2">
      <c r="C47" s="116" t="s">
        <v>213</v>
      </c>
      <c r="D47">
        <v>27</v>
      </c>
      <c r="E47">
        <v>41245.199999999997</v>
      </c>
      <c r="F47">
        <v>34</v>
      </c>
      <c r="G47">
        <v>51938.399999999994</v>
      </c>
      <c r="H47">
        <v>25</v>
      </c>
      <c r="I47">
        <v>38190</v>
      </c>
      <c r="J47">
        <v>34</v>
      </c>
      <c r="K47">
        <v>51938.399999999994</v>
      </c>
      <c r="L47">
        <v>20</v>
      </c>
      <c r="M47">
        <v>30552</v>
      </c>
      <c r="N47">
        <v>36</v>
      </c>
      <c r="O47">
        <v>54993.599999999999</v>
      </c>
      <c r="P47">
        <v>21</v>
      </c>
      <c r="Q47">
        <v>32079.599999999999</v>
      </c>
      <c r="R47">
        <v>22</v>
      </c>
      <c r="S47">
        <v>33607.199999999997</v>
      </c>
      <c r="T47">
        <v>5</v>
      </c>
      <c r="U47">
        <v>7638</v>
      </c>
      <c r="V47">
        <v>5</v>
      </c>
      <c r="W47">
        <v>7638</v>
      </c>
      <c r="X47">
        <v>8</v>
      </c>
      <c r="Y47">
        <v>12220.8</v>
      </c>
      <c r="Z47">
        <v>8</v>
      </c>
      <c r="AA47">
        <v>12220.8</v>
      </c>
      <c r="AB47">
        <v>9</v>
      </c>
      <c r="AC47">
        <v>13748.4</v>
      </c>
      <c r="AD47">
        <v>12</v>
      </c>
      <c r="AE47">
        <v>18331.199999999997</v>
      </c>
      <c r="AF47">
        <v>12</v>
      </c>
      <c r="AG47">
        <v>18331.199999999997</v>
      </c>
      <c r="AH47">
        <v>16</v>
      </c>
      <c r="AI47">
        <v>24441.599999999999</v>
      </c>
      <c r="AJ47">
        <v>8</v>
      </c>
      <c r="AK47">
        <v>12220.8</v>
      </c>
      <c r="AL47">
        <v>7</v>
      </c>
      <c r="AM47">
        <v>10693.199999999999</v>
      </c>
      <c r="AN47">
        <v>7</v>
      </c>
      <c r="AO47">
        <v>10693.199999999999</v>
      </c>
      <c r="AP47">
        <v>11</v>
      </c>
      <c r="AQ47">
        <v>16803.599999999999</v>
      </c>
      <c r="AR47">
        <v>13</v>
      </c>
      <c r="AS47">
        <v>19858.8</v>
      </c>
      <c r="AT47">
        <v>23</v>
      </c>
      <c r="AU47">
        <v>35134.799999999996</v>
      </c>
      <c r="AV47">
        <v>13</v>
      </c>
      <c r="AW47">
        <v>19858.8</v>
      </c>
      <c r="AX47">
        <v>17</v>
      </c>
      <c r="AY47">
        <v>25969.199999999997</v>
      </c>
      <c r="AZ47">
        <v>8</v>
      </c>
      <c r="BA47">
        <v>12220.8</v>
      </c>
      <c r="BB47">
        <v>8</v>
      </c>
      <c r="BC47">
        <v>12220.8</v>
      </c>
      <c r="BD47">
        <v>14</v>
      </c>
      <c r="BE47">
        <v>21386.399999999998</v>
      </c>
      <c r="BF47">
        <v>11</v>
      </c>
      <c r="BG47">
        <v>16803.599999999999</v>
      </c>
      <c r="BH47">
        <v>4</v>
      </c>
      <c r="BI47">
        <v>6110.4</v>
      </c>
      <c r="BJ47">
        <v>7</v>
      </c>
      <c r="BK47">
        <v>10693.199999999999</v>
      </c>
      <c r="BL47">
        <v>8</v>
      </c>
      <c r="BM47">
        <v>12220.8</v>
      </c>
      <c r="BN47">
        <v>5</v>
      </c>
      <c r="BO47">
        <v>7638</v>
      </c>
      <c r="BP47">
        <v>48</v>
      </c>
      <c r="BQ47">
        <v>73324.799999999988</v>
      </c>
      <c r="BR47">
        <v>31</v>
      </c>
      <c r="BS47">
        <v>47355.6</v>
      </c>
      <c r="BT47">
        <v>39</v>
      </c>
      <c r="BU47">
        <v>59576.399999999994</v>
      </c>
      <c r="BV47">
        <v>37</v>
      </c>
      <c r="BW47">
        <v>56521.2</v>
      </c>
      <c r="BX47">
        <v>13</v>
      </c>
      <c r="BY47">
        <v>19858.8</v>
      </c>
      <c r="BZ47">
        <v>12</v>
      </c>
      <c r="CA47">
        <v>18331.199999999997</v>
      </c>
      <c r="CB47">
        <v>11</v>
      </c>
      <c r="CC47">
        <v>16803.599999999999</v>
      </c>
      <c r="CD47">
        <v>15</v>
      </c>
      <c r="CE47">
        <v>22914</v>
      </c>
      <c r="CF47">
        <v>6</v>
      </c>
      <c r="CG47">
        <v>9165.5999999999985</v>
      </c>
      <c r="CH47">
        <v>4</v>
      </c>
      <c r="CI47">
        <v>6110.4</v>
      </c>
      <c r="CJ47">
        <v>6</v>
      </c>
      <c r="CK47">
        <v>9165.5999999999985</v>
      </c>
      <c r="CL47">
        <v>5</v>
      </c>
      <c r="CM47">
        <v>7638</v>
      </c>
      <c r="CN47">
        <v>21</v>
      </c>
      <c r="CO47">
        <v>32079.599999999999</v>
      </c>
      <c r="CP47">
        <v>16</v>
      </c>
      <c r="CQ47">
        <v>24441.599999999999</v>
      </c>
      <c r="CR47">
        <v>22</v>
      </c>
      <c r="CS47">
        <v>33607.199999999997</v>
      </c>
      <c r="CT47">
        <v>26</v>
      </c>
      <c r="CU47">
        <v>39717.599999999999</v>
      </c>
    </row>
    <row r="48" spans="2:99" x14ac:dyDescent="0.2">
      <c r="C48" s="116" t="s">
        <v>214</v>
      </c>
      <c r="D48">
        <v>29</v>
      </c>
      <c r="E48">
        <v>25160.400000000001</v>
      </c>
      <c r="F48">
        <v>40</v>
      </c>
      <c r="G48">
        <v>34704</v>
      </c>
      <c r="H48">
        <v>25</v>
      </c>
      <c r="I48">
        <v>21690</v>
      </c>
      <c r="J48">
        <v>36</v>
      </c>
      <c r="K48">
        <v>31233.600000000002</v>
      </c>
      <c r="L48">
        <v>18</v>
      </c>
      <c r="M48">
        <v>15616.800000000001</v>
      </c>
      <c r="N48">
        <v>36</v>
      </c>
      <c r="O48">
        <v>31233.600000000002</v>
      </c>
      <c r="P48">
        <v>21</v>
      </c>
      <c r="Q48">
        <v>18219.600000000002</v>
      </c>
      <c r="R48">
        <v>24</v>
      </c>
      <c r="S48">
        <v>20822.400000000001</v>
      </c>
      <c r="T48">
        <v>5</v>
      </c>
      <c r="U48">
        <v>4338</v>
      </c>
      <c r="V48">
        <v>6</v>
      </c>
      <c r="W48">
        <v>5205.6000000000004</v>
      </c>
      <c r="X48">
        <v>8</v>
      </c>
      <c r="Y48">
        <v>6940.8</v>
      </c>
      <c r="Z48">
        <v>9</v>
      </c>
      <c r="AA48">
        <v>7808.4000000000005</v>
      </c>
      <c r="AB48">
        <v>10</v>
      </c>
      <c r="AC48">
        <v>8676</v>
      </c>
      <c r="AD48">
        <v>12</v>
      </c>
      <c r="AE48">
        <v>10411.200000000001</v>
      </c>
      <c r="AF48">
        <v>15</v>
      </c>
      <c r="AG48">
        <v>13014</v>
      </c>
      <c r="AH48">
        <v>16</v>
      </c>
      <c r="AI48">
        <v>13881.6</v>
      </c>
      <c r="AJ48">
        <v>8</v>
      </c>
      <c r="AK48">
        <v>6940.8</v>
      </c>
      <c r="AL48">
        <v>6</v>
      </c>
      <c r="AM48">
        <v>5205.6000000000004</v>
      </c>
      <c r="AN48">
        <v>7</v>
      </c>
      <c r="AO48">
        <v>6073.2</v>
      </c>
      <c r="AP48">
        <v>11</v>
      </c>
      <c r="AQ48">
        <v>9543.6</v>
      </c>
      <c r="AR48">
        <v>12</v>
      </c>
      <c r="AS48">
        <v>10411.200000000001</v>
      </c>
      <c r="AT48">
        <v>22</v>
      </c>
      <c r="AU48">
        <v>19087.2</v>
      </c>
      <c r="AV48">
        <v>14</v>
      </c>
      <c r="AW48">
        <v>12146.4</v>
      </c>
      <c r="AX48">
        <v>17</v>
      </c>
      <c r="AY48">
        <v>14749.2</v>
      </c>
      <c r="AZ48">
        <v>8</v>
      </c>
      <c r="BA48">
        <v>6940.8</v>
      </c>
      <c r="BB48">
        <v>8</v>
      </c>
      <c r="BC48">
        <v>6940.8</v>
      </c>
      <c r="BD48">
        <v>13</v>
      </c>
      <c r="BE48">
        <v>11278.800000000001</v>
      </c>
      <c r="BF48">
        <v>11</v>
      </c>
      <c r="BG48">
        <v>9543.6</v>
      </c>
      <c r="BH48">
        <v>5</v>
      </c>
      <c r="BI48">
        <v>4338</v>
      </c>
      <c r="BJ48">
        <v>7</v>
      </c>
      <c r="BK48">
        <v>6073.2</v>
      </c>
      <c r="BL48">
        <v>8</v>
      </c>
      <c r="BM48">
        <v>6940.8</v>
      </c>
      <c r="BN48">
        <v>6</v>
      </c>
      <c r="BO48">
        <v>5205.6000000000004</v>
      </c>
      <c r="BP48">
        <v>53</v>
      </c>
      <c r="BQ48">
        <v>45982.8</v>
      </c>
      <c r="BR48">
        <v>40</v>
      </c>
      <c r="BS48">
        <v>34704</v>
      </c>
      <c r="BT48">
        <v>37</v>
      </c>
      <c r="BU48">
        <v>32101.200000000001</v>
      </c>
      <c r="BV48">
        <v>40</v>
      </c>
      <c r="BW48">
        <v>34704</v>
      </c>
      <c r="BX48">
        <v>14</v>
      </c>
      <c r="BY48">
        <v>12146.4</v>
      </c>
      <c r="BZ48">
        <v>12</v>
      </c>
      <c r="CA48">
        <v>10411.200000000001</v>
      </c>
      <c r="CB48">
        <v>10</v>
      </c>
      <c r="CC48">
        <v>8676</v>
      </c>
      <c r="CD48">
        <v>15</v>
      </c>
      <c r="CE48">
        <v>13014</v>
      </c>
      <c r="CF48">
        <v>7</v>
      </c>
      <c r="CG48">
        <v>6073.2</v>
      </c>
      <c r="CH48">
        <v>4</v>
      </c>
      <c r="CI48">
        <v>3470.4</v>
      </c>
      <c r="CJ48">
        <v>6</v>
      </c>
      <c r="CK48">
        <v>5205.6000000000004</v>
      </c>
      <c r="CL48">
        <v>4</v>
      </c>
      <c r="CM48">
        <v>3470.4</v>
      </c>
      <c r="CN48">
        <v>26</v>
      </c>
      <c r="CO48">
        <v>22557.600000000002</v>
      </c>
      <c r="CP48">
        <v>18</v>
      </c>
      <c r="CQ48">
        <v>15616.800000000001</v>
      </c>
      <c r="CR48">
        <v>26</v>
      </c>
      <c r="CS48">
        <v>22557.600000000002</v>
      </c>
      <c r="CT48">
        <v>26</v>
      </c>
      <c r="CU48">
        <v>22557.600000000002</v>
      </c>
    </row>
    <row r="49" spans="2:99" x14ac:dyDescent="0.2">
      <c r="B49" s="116" t="s">
        <v>129</v>
      </c>
      <c r="C49" s="116" t="s">
        <v>215</v>
      </c>
      <c r="D49">
        <v>2.8087130141966696</v>
      </c>
      <c r="E49">
        <v>2767.1440615865586</v>
      </c>
      <c r="F49">
        <v>6.0349716907404636</v>
      </c>
      <c r="G49">
        <v>5945.6541097175041</v>
      </c>
      <c r="H49">
        <v>6.3805508072047408</v>
      </c>
      <c r="I49">
        <v>6286.1186552581103</v>
      </c>
      <c r="J49">
        <v>7.4566594000741206</v>
      </c>
      <c r="K49">
        <v>7346.300840953023</v>
      </c>
      <c r="L49">
        <v>21.761481229870476</v>
      </c>
      <c r="M49">
        <v>21439.411307668393</v>
      </c>
      <c r="N49">
        <v>12.181207747790229</v>
      </c>
      <c r="O49">
        <v>12000.925873122933</v>
      </c>
      <c r="P49">
        <v>19</v>
      </c>
      <c r="Q49">
        <v>18718.8</v>
      </c>
      <c r="R49">
        <v>14</v>
      </c>
      <c r="S49">
        <v>13792.8</v>
      </c>
      <c r="T49">
        <v>2.383689921660078</v>
      </c>
      <c r="U49">
        <v>2348.4113108195088</v>
      </c>
      <c r="V49">
        <v>1.6086963396314671</v>
      </c>
      <c r="W49">
        <v>1584.8876338049213</v>
      </c>
      <c r="X49">
        <v>1.5619425323249978</v>
      </c>
      <c r="Y49">
        <v>1538.8257828465878</v>
      </c>
      <c r="Z49">
        <v>1.3071762164130896</v>
      </c>
      <c r="AA49">
        <v>1287.8300084101757</v>
      </c>
      <c r="AB49">
        <v>14.407774534268869</v>
      </c>
      <c r="AC49">
        <v>14194.539471161688</v>
      </c>
      <c r="AD49">
        <v>13.36020306559786</v>
      </c>
      <c r="AE49">
        <v>13162.47206022701</v>
      </c>
      <c r="AF49">
        <v>13.890808929424798</v>
      </c>
      <c r="AG49">
        <v>13685.224957269311</v>
      </c>
      <c r="AH49">
        <v>13.122640205011507</v>
      </c>
      <c r="AI49">
        <v>12928.425129977335</v>
      </c>
      <c r="AJ49">
        <v>12.559356482918993</v>
      </c>
      <c r="AK49">
        <v>12373.478006971791</v>
      </c>
      <c r="AL49">
        <v>13.738010805795074</v>
      </c>
      <c r="AM49">
        <v>13534.688245869307</v>
      </c>
      <c r="AN49">
        <v>10.083018371495061</v>
      </c>
      <c r="AO49">
        <v>9933.7896995969331</v>
      </c>
      <c r="AP49">
        <v>11.949031511674342</v>
      </c>
      <c r="AQ49">
        <v>11772.185845301561</v>
      </c>
      <c r="AR49">
        <v>1.6085288760092273</v>
      </c>
      <c r="AS49">
        <v>1584.7226486442908</v>
      </c>
      <c r="AT49">
        <v>2.1503369591561188</v>
      </c>
      <c r="AU49">
        <v>2118.5119721606079</v>
      </c>
      <c r="AV49">
        <v>2.477364283116064</v>
      </c>
      <c r="AW49">
        <v>2440.6992917259463</v>
      </c>
      <c r="AX49">
        <v>3.3272844301430307</v>
      </c>
      <c r="AY49">
        <v>3278.0406205769136</v>
      </c>
      <c r="AZ49">
        <v>11.609784560238793</v>
      </c>
      <c r="BA49">
        <v>11437.959748747258</v>
      </c>
      <c r="BB49">
        <v>9.1277324047512334</v>
      </c>
      <c r="BC49">
        <v>8992.641965160914</v>
      </c>
      <c r="BD49">
        <v>8.7012473961174255</v>
      </c>
      <c r="BE49">
        <v>8572.4689346548876</v>
      </c>
      <c r="BF49">
        <v>4.6003771319946214</v>
      </c>
      <c r="BG49">
        <v>4532.2915504411003</v>
      </c>
      <c r="BH49">
        <v>2.3816869151242175</v>
      </c>
      <c r="BI49">
        <v>2346.437948780379</v>
      </c>
      <c r="BJ49">
        <v>3.0690617210939348</v>
      </c>
      <c r="BK49">
        <v>3023.6396076217443</v>
      </c>
      <c r="BL49">
        <v>3.0117035234007341</v>
      </c>
      <c r="BM49">
        <v>2967.1303112544028</v>
      </c>
      <c r="BN49">
        <v>4.2310322094903814</v>
      </c>
      <c r="BO49">
        <v>4168.4129327899236</v>
      </c>
      <c r="BP49">
        <v>2.9428077794710599</v>
      </c>
      <c r="BQ49">
        <v>2899.254224334888</v>
      </c>
      <c r="BR49">
        <v>2.9199658423675294</v>
      </c>
      <c r="BS49">
        <v>2876.7503479004899</v>
      </c>
      <c r="BT49">
        <v>3.378903512298657</v>
      </c>
      <c r="BU49">
        <v>3328.8957403166369</v>
      </c>
      <c r="BV49">
        <v>2.7571219743142912</v>
      </c>
      <c r="BW49">
        <v>2716.3165690944393</v>
      </c>
      <c r="BX49">
        <v>9.9575262597286187</v>
      </c>
      <c r="BY49">
        <v>9810.1548710846346</v>
      </c>
      <c r="BZ49">
        <v>10.815029299857544</v>
      </c>
      <c r="CA49">
        <v>10654.966866219651</v>
      </c>
      <c r="CB49">
        <v>13.766423859379133</v>
      </c>
      <c r="CC49">
        <v>13562.68078626032</v>
      </c>
      <c r="CD49">
        <v>13.629361977881585</v>
      </c>
      <c r="CE49">
        <v>13427.647420608937</v>
      </c>
      <c r="CF49">
        <v>21.402931258895848</v>
      </c>
      <c r="CG49">
        <v>21086.167876264186</v>
      </c>
      <c r="CH49">
        <v>22.195221721861028</v>
      </c>
      <c r="CI49">
        <v>21866.732440377484</v>
      </c>
      <c r="CJ49">
        <v>18.753474015494049</v>
      </c>
      <c r="CK49">
        <v>18475.922600064736</v>
      </c>
      <c r="CL49">
        <v>23.539459442439995</v>
      </c>
      <c r="CM49">
        <v>23191.075442691883</v>
      </c>
      <c r="CN49">
        <v>2.8576060282791191</v>
      </c>
      <c r="CO49">
        <v>2815.3134590605878</v>
      </c>
      <c r="CP49">
        <v>2.4553988532833837</v>
      </c>
      <c r="CQ49">
        <v>2419.0589502547896</v>
      </c>
      <c r="CR49">
        <v>1.8756790305586983</v>
      </c>
      <c r="CS49">
        <v>1847.9189809064294</v>
      </c>
      <c r="CT49">
        <v>2.2892193897547357</v>
      </c>
      <c r="CU49">
        <v>2255.3389427863654</v>
      </c>
    </row>
    <row r="50" spans="2:99" x14ac:dyDescent="0.2">
      <c r="C50" s="116" t="s">
        <v>216</v>
      </c>
      <c r="D50">
        <v>19</v>
      </c>
      <c r="E50">
        <v>5358</v>
      </c>
      <c r="F50">
        <v>16</v>
      </c>
      <c r="G50">
        <v>4512</v>
      </c>
      <c r="H50">
        <v>20</v>
      </c>
      <c r="I50">
        <v>5640</v>
      </c>
      <c r="J50">
        <v>14</v>
      </c>
      <c r="K50">
        <v>3948</v>
      </c>
      <c r="L50">
        <v>29</v>
      </c>
      <c r="M50">
        <v>8178</v>
      </c>
      <c r="N50">
        <v>15</v>
      </c>
      <c r="O50">
        <v>4230</v>
      </c>
      <c r="P50">
        <v>18</v>
      </c>
      <c r="Q50">
        <v>5076</v>
      </c>
      <c r="R50">
        <v>18</v>
      </c>
      <c r="S50">
        <v>5076</v>
      </c>
      <c r="T50">
        <v>5</v>
      </c>
      <c r="U50">
        <v>1410</v>
      </c>
      <c r="V50">
        <v>3</v>
      </c>
      <c r="W50">
        <v>846</v>
      </c>
      <c r="X50">
        <v>5</v>
      </c>
      <c r="Y50">
        <v>1410</v>
      </c>
      <c r="Z50">
        <v>4</v>
      </c>
      <c r="AA50">
        <v>1128</v>
      </c>
      <c r="AB50">
        <v>61</v>
      </c>
      <c r="AC50">
        <v>17202</v>
      </c>
      <c r="AD50">
        <v>75</v>
      </c>
      <c r="AE50">
        <v>21150</v>
      </c>
      <c r="AF50">
        <v>65</v>
      </c>
      <c r="AG50">
        <v>18330</v>
      </c>
      <c r="AH50">
        <v>72</v>
      </c>
      <c r="AI50">
        <v>20304</v>
      </c>
      <c r="AJ50">
        <v>42</v>
      </c>
      <c r="AK50">
        <v>11844</v>
      </c>
      <c r="AL50">
        <v>35</v>
      </c>
      <c r="AM50">
        <v>9870</v>
      </c>
      <c r="AN50">
        <v>35</v>
      </c>
      <c r="AO50">
        <v>9870</v>
      </c>
      <c r="AP50">
        <v>26</v>
      </c>
      <c r="AQ50">
        <v>7332</v>
      </c>
      <c r="AR50">
        <v>4</v>
      </c>
      <c r="AS50">
        <v>1128</v>
      </c>
      <c r="AT50">
        <v>4</v>
      </c>
      <c r="AU50">
        <v>1128</v>
      </c>
      <c r="AV50">
        <v>5</v>
      </c>
      <c r="AW50">
        <v>1410</v>
      </c>
      <c r="AX50">
        <v>6</v>
      </c>
      <c r="AY50">
        <v>1692</v>
      </c>
      <c r="AZ50">
        <v>32</v>
      </c>
      <c r="BA50">
        <v>9024</v>
      </c>
      <c r="BB50">
        <v>26</v>
      </c>
      <c r="BC50">
        <v>7332</v>
      </c>
      <c r="BD50">
        <v>28</v>
      </c>
      <c r="BE50">
        <v>7896</v>
      </c>
      <c r="BF50">
        <v>18</v>
      </c>
      <c r="BG50">
        <v>5076</v>
      </c>
      <c r="BH50">
        <v>7</v>
      </c>
      <c r="BI50">
        <v>1974</v>
      </c>
      <c r="BJ50">
        <v>11</v>
      </c>
      <c r="BK50">
        <v>3102</v>
      </c>
      <c r="BL50">
        <v>7</v>
      </c>
      <c r="BM50">
        <v>1974</v>
      </c>
      <c r="BN50">
        <v>12</v>
      </c>
      <c r="BO50">
        <v>3384</v>
      </c>
      <c r="BP50">
        <v>6</v>
      </c>
      <c r="BQ50">
        <v>1692</v>
      </c>
      <c r="BR50">
        <v>5</v>
      </c>
      <c r="BS50">
        <v>1410</v>
      </c>
      <c r="BT50">
        <v>5</v>
      </c>
      <c r="BU50">
        <v>1410</v>
      </c>
      <c r="BV50">
        <v>5</v>
      </c>
      <c r="BW50">
        <v>1410</v>
      </c>
      <c r="BX50">
        <v>19</v>
      </c>
      <c r="BY50">
        <v>5358</v>
      </c>
      <c r="BZ50">
        <v>16</v>
      </c>
      <c r="CA50">
        <v>4512</v>
      </c>
      <c r="CB50">
        <v>17</v>
      </c>
      <c r="CC50">
        <v>4794</v>
      </c>
      <c r="CD50">
        <v>14</v>
      </c>
      <c r="CE50">
        <v>3948</v>
      </c>
      <c r="CF50">
        <v>37</v>
      </c>
      <c r="CG50">
        <v>10434</v>
      </c>
      <c r="CH50">
        <v>38</v>
      </c>
      <c r="CI50">
        <v>10716</v>
      </c>
      <c r="CJ50">
        <v>42</v>
      </c>
      <c r="CK50">
        <v>11844</v>
      </c>
      <c r="CL50">
        <v>45</v>
      </c>
      <c r="CM50">
        <v>12690</v>
      </c>
      <c r="CN50">
        <v>6</v>
      </c>
      <c r="CO50">
        <v>1692</v>
      </c>
      <c r="CP50">
        <v>5</v>
      </c>
      <c r="CQ50">
        <v>1410</v>
      </c>
      <c r="CR50">
        <v>4</v>
      </c>
      <c r="CS50">
        <v>1128</v>
      </c>
      <c r="CT50">
        <v>7</v>
      </c>
      <c r="CU50">
        <v>1974</v>
      </c>
    </row>
    <row r="51" spans="2:99" x14ac:dyDescent="0.2">
      <c r="C51" s="116" t="s">
        <v>217</v>
      </c>
      <c r="D51">
        <v>18</v>
      </c>
      <c r="E51">
        <v>15379.199999999999</v>
      </c>
      <c r="F51">
        <v>13</v>
      </c>
      <c r="G51">
        <v>11107.199999999999</v>
      </c>
      <c r="H51">
        <v>18</v>
      </c>
      <c r="I51">
        <v>15379.199999999999</v>
      </c>
      <c r="J51">
        <v>13</v>
      </c>
      <c r="K51">
        <v>11107.199999999999</v>
      </c>
      <c r="L51">
        <v>24</v>
      </c>
      <c r="M51">
        <v>20505.599999999999</v>
      </c>
      <c r="N51">
        <v>14</v>
      </c>
      <c r="O51">
        <v>11961.6</v>
      </c>
      <c r="P51">
        <v>17</v>
      </c>
      <c r="Q51">
        <v>14524.8</v>
      </c>
      <c r="R51">
        <v>17</v>
      </c>
      <c r="S51">
        <v>14524.8</v>
      </c>
      <c r="T51">
        <v>5</v>
      </c>
      <c r="U51">
        <v>4272</v>
      </c>
      <c r="V51">
        <v>3</v>
      </c>
      <c r="W51">
        <v>2563.1999999999998</v>
      </c>
      <c r="X51">
        <v>5</v>
      </c>
      <c r="Y51">
        <v>4272</v>
      </c>
      <c r="Z51">
        <v>5</v>
      </c>
      <c r="AA51">
        <v>4272</v>
      </c>
      <c r="AB51">
        <v>54</v>
      </c>
      <c r="AC51">
        <v>46137.599999999999</v>
      </c>
      <c r="AD51">
        <v>65</v>
      </c>
      <c r="AE51">
        <v>55536</v>
      </c>
      <c r="AF51">
        <v>54</v>
      </c>
      <c r="AG51">
        <v>46137.599999999999</v>
      </c>
      <c r="AH51">
        <v>62</v>
      </c>
      <c r="AI51">
        <v>52972.799999999996</v>
      </c>
      <c r="AJ51">
        <v>38</v>
      </c>
      <c r="AK51">
        <v>32467.200000000001</v>
      </c>
      <c r="AL51">
        <v>31</v>
      </c>
      <c r="AM51">
        <v>26486.399999999998</v>
      </c>
      <c r="AN51">
        <v>32</v>
      </c>
      <c r="AO51">
        <v>27340.799999999999</v>
      </c>
      <c r="AP51">
        <v>25</v>
      </c>
      <c r="AQ51">
        <v>21360</v>
      </c>
      <c r="AR51">
        <v>4</v>
      </c>
      <c r="AS51">
        <v>3417.6</v>
      </c>
      <c r="AT51">
        <v>4</v>
      </c>
      <c r="AU51">
        <v>3417.6</v>
      </c>
      <c r="AV51">
        <v>6</v>
      </c>
      <c r="AW51">
        <v>5126.3999999999996</v>
      </c>
      <c r="AX51">
        <v>6</v>
      </c>
      <c r="AY51">
        <v>5126.3999999999996</v>
      </c>
      <c r="AZ51">
        <v>24</v>
      </c>
      <c r="BA51">
        <v>20505.599999999999</v>
      </c>
      <c r="BB51">
        <v>24</v>
      </c>
      <c r="BC51">
        <v>20505.599999999999</v>
      </c>
      <c r="BD51">
        <v>27</v>
      </c>
      <c r="BE51">
        <v>23068.799999999999</v>
      </c>
      <c r="BF51">
        <v>16</v>
      </c>
      <c r="BG51">
        <v>13670.4</v>
      </c>
      <c r="BH51">
        <v>7</v>
      </c>
      <c r="BI51">
        <v>5980.8</v>
      </c>
      <c r="BJ51">
        <v>10</v>
      </c>
      <c r="BK51">
        <v>8544</v>
      </c>
      <c r="BL51">
        <v>7</v>
      </c>
      <c r="BM51">
        <v>5980.8</v>
      </c>
      <c r="BN51">
        <v>13</v>
      </c>
      <c r="BO51">
        <v>11107.199999999999</v>
      </c>
      <c r="BP51">
        <v>5</v>
      </c>
      <c r="BQ51">
        <v>4272</v>
      </c>
      <c r="BR51">
        <v>5</v>
      </c>
      <c r="BS51">
        <v>4272</v>
      </c>
      <c r="BT51">
        <v>5</v>
      </c>
      <c r="BU51">
        <v>4272</v>
      </c>
      <c r="BV51">
        <v>6</v>
      </c>
      <c r="BW51">
        <v>5126.3999999999996</v>
      </c>
      <c r="BX51">
        <v>16</v>
      </c>
      <c r="BY51">
        <v>13670.4</v>
      </c>
      <c r="BZ51">
        <v>13</v>
      </c>
      <c r="CA51">
        <v>11107.199999999999</v>
      </c>
      <c r="CB51">
        <v>18</v>
      </c>
      <c r="CC51">
        <v>15379.199999999999</v>
      </c>
      <c r="CD51">
        <v>14</v>
      </c>
      <c r="CE51">
        <v>11961.6</v>
      </c>
      <c r="CF51">
        <v>39</v>
      </c>
      <c r="CG51">
        <v>33321.599999999999</v>
      </c>
      <c r="CH51">
        <v>35</v>
      </c>
      <c r="CI51">
        <v>29904</v>
      </c>
      <c r="CJ51">
        <v>34</v>
      </c>
      <c r="CK51">
        <v>29049.599999999999</v>
      </c>
      <c r="CL51">
        <v>42</v>
      </c>
      <c r="CM51">
        <v>35884.799999999996</v>
      </c>
      <c r="CN51">
        <v>7</v>
      </c>
      <c r="CO51">
        <v>5980.8</v>
      </c>
      <c r="CP51">
        <v>5</v>
      </c>
      <c r="CQ51">
        <v>4272</v>
      </c>
      <c r="CR51">
        <v>4</v>
      </c>
      <c r="CS51">
        <v>3417.6</v>
      </c>
      <c r="CT51">
        <v>6</v>
      </c>
      <c r="CU51">
        <v>5126.3999999999996</v>
      </c>
    </row>
    <row r="52" spans="2:99" x14ac:dyDescent="0.2">
      <c r="C52" s="116" t="s">
        <v>218</v>
      </c>
      <c r="D52">
        <v>20</v>
      </c>
      <c r="E52">
        <v>10800</v>
      </c>
      <c r="F52">
        <v>14</v>
      </c>
      <c r="G52">
        <v>7560</v>
      </c>
      <c r="H52">
        <v>19</v>
      </c>
      <c r="I52">
        <v>10260</v>
      </c>
      <c r="J52">
        <v>12</v>
      </c>
      <c r="K52">
        <v>6480</v>
      </c>
      <c r="L52">
        <v>28</v>
      </c>
      <c r="M52">
        <v>15120</v>
      </c>
      <c r="N52">
        <v>16</v>
      </c>
      <c r="O52">
        <v>8640</v>
      </c>
      <c r="P52">
        <v>17</v>
      </c>
      <c r="Q52">
        <v>9180</v>
      </c>
      <c r="R52">
        <v>17</v>
      </c>
      <c r="S52">
        <v>9180</v>
      </c>
      <c r="T52">
        <v>5</v>
      </c>
      <c r="U52">
        <v>2700</v>
      </c>
      <c r="V52">
        <v>3</v>
      </c>
      <c r="W52">
        <v>1620</v>
      </c>
      <c r="X52">
        <v>5</v>
      </c>
      <c r="Y52">
        <v>2700</v>
      </c>
      <c r="Z52">
        <v>4</v>
      </c>
      <c r="AA52">
        <v>2160</v>
      </c>
      <c r="AB52">
        <v>58</v>
      </c>
      <c r="AC52">
        <v>31320</v>
      </c>
      <c r="AD52">
        <v>69</v>
      </c>
      <c r="AE52">
        <v>37260</v>
      </c>
      <c r="AF52">
        <v>63</v>
      </c>
      <c r="AG52">
        <v>34020</v>
      </c>
      <c r="AH52">
        <v>65</v>
      </c>
      <c r="AI52">
        <v>35100</v>
      </c>
      <c r="AJ52">
        <v>35</v>
      </c>
      <c r="AK52">
        <v>18900</v>
      </c>
      <c r="AL52">
        <v>37</v>
      </c>
      <c r="AM52">
        <v>19980</v>
      </c>
      <c r="AN52">
        <v>34</v>
      </c>
      <c r="AO52">
        <v>18360</v>
      </c>
      <c r="AP52">
        <v>26</v>
      </c>
      <c r="AQ52">
        <v>14040</v>
      </c>
      <c r="AR52">
        <v>4</v>
      </c>
      <c r="AS52">
        <v>2160</v>
      </c>
      <c r="AT52">
        <v>4</v>
      </c>
      <c r="AU52">
        <v>2160</v>
      </c>
      <c r="AV52">
        <v>5</v>
      </c>
      <c r="AW52">
        <v>2700</v>
      </c>
      <c r="AX52">
        <v>6</v>
      </c>
      <c r="AY52">
        <v>3240</v>
      </c>
      <c r="AZ52">
        <v>29</v>
      </c>
      <c r="BA52">
        <v>15660</v>
      </c>
      <c r="BB52">
        <v>24</v>
      </c>
      <c r="BC52">
        <v>12960</v>
      </c>
      <c r="BD52">
        <v>27</v>
      </c>
      <c r="BE52">
        <v>14580</v>
      </c>
      <c r="BF52">
        <v>16</v>
      </c>
      <c r="BG52">
        <v>8640</v>
      </c>
      <c r="BH52">
        <v>7</v>
      </c>
      <c r="BI52">
        <v>3780</v>
      </c>
      <c r="BJ52">
        <v>10</v>
      </c>
      <c r="BK52">
        <v>5400</v>
      </c>
      <c r="BL52">
        <v>6</v>
      </c>
      <c r="BM52">
        <v>3240</v>
      </c>
      <c r="BN52">
        <v>13</v>
      </c>
      <c r="BO52">
        <v>7020</v>
      </c>
      <c r="BP52">
        <v>6</v>
      </c>
      <c r="BQ52">
        <v>3240</v>
      </c>
      <c r="BR52">
        <v>5</v>
      </c>
      <c r="BS52">
        <v>2700</v>
      </c>
      <c r="BT52">
        <v>5</v>
      </c>
      <c r="BU52">
        <v>2700</v>
      </c>
      <c r="BV52">
        <v>5</v>
      </c>
      <c r="BW52">
        <v>2700</v>
      </c>
      <c r="BX52">
        <v>16</v>
      </c>
      <c r="BY52">
        <v>8640</v>
      </c>
      <c r="BZ52">
        <v>16</v>
      </c>
      <c r="CA52">
        <v>8640</v>
      </c>
      <c r="CB52">
        <v>16</v>
      </c>
      <c r="CC52">
        <v>8640</v>
      </c>
      <c r="CD52">
        <v>14</v>
      </c>
      <c r="CE52">
        <v>7560</v>
      </c>
      <c r="CF52">
        <v>41</v>
      </c>
      <c r="CG52">
        <v>22140</v>
      </c>
      <c r="CH52">
        <v>37</v>
      </c>
      <c r="CI52">
        <v>19980</v>
      </c>
      <c r="CJ52">
        <v>36</v>
      </c>
      <c r="CK52">
        <v>19440</v>
      </c>
      <c r="CL52">
        <v>45</v>
      </c>
      <c r="CM52">
        <v>24300</v>
      </c>
      <c r="CN52">
        <v>6</v>
      </c>
      <c r="CO52">
        <v>3240</v>
      </c>
      <c r="CP52">
        <v>5</v>
      </c>
      <c r="CQ52">
        <v>2700</v>
      </c>
      <c r="CR52">
        <v>4</v>
      </c>
      <c r="CS52">
        <v>2160</v>
      </c>
      <c r="CT52">
        <v>8</v>
      </c>
      <c r="CU52">
        <v>4320</v>
      </c>
    </row>
    <row r="53" spans="2:99" x14ac:dyDescent="0.2">
      <c r="C53" s="116" t="s">
        <v>219</v>
      </c>
      <c r="D53">
        <v>20</v>
      </c>
      <c r="E53">
        <v>8136</v>
      </c>
      <c r="F53">
        <v>15</v>
      </c>
      <c r="G53">
        <v>6102</v>
      </c>
      <c r="H53">
        <v>17</v>
      </c>
      <c r="I53">
        <v>6915.6</v>
      </c>
      <c r="J53">
        <v>14</v>
      </c>
      <c r="K53">
        <v>5695.2</v>
      </c>
      <c r="L53">
        <v>27</v>
      </c>
      <c r="M53">
        <v>10983.6</v>
      </c>
      <c r="N53">
        <v>15</v>
      </c>
      <c r="O53">
        <v>6102</v>
      </c>
      <c r="P53">
        <v>18</v>
      </c>
      <c r="Q53">
        <v>7322.4000000000005</v>
      </c>
      <c r="R53">
        <v>16</v>
      </c>
      <c r="S53">
        <v>6508.8</v>
      </c>
      <c r="T53">
        <v>5</v>
      </c>
      <c r="U53">
        <v>2034</v>
      </c>
      <c r="V53">
        <v>4</v>
      </c>
      <c r="W53">
        <v>1627.2</v>
      </c>
      <c r="X53">
        <v>5</v>
      </c>
      <c r="Y53">
        <v>2034</v>
      </c>
      <c r="Z53">
        <v>5</v>
      </c>
      <c r="AA53">
        <v>2034</v>
      </c>
      <c r="AB53">
        <v>60</v>
      </c>
      <c r="AC53">
        <v>24408</v>
      </c>
      <c r="AD53">
        <v>73</v>
      </c>
      <c r="AE53">
        <v>29696.400000000001</v>
      </c>
      <c r="AF53">
        <v>57</v>
      </c>
      <c r="AG53">
        <v>23187.600000000002</v>
      </c>
      <c r="AH53">
        <v>65</v>
      </c>
      <c r="AI53">
        <v>26442</v>
      </c>
      <c r="AJ53">
        <v>37</v>
      </c>
      <c r="AK53">
        <v>15051.6</v>
      </c>
      <c r="AL53">
        <v>38</v>
      </c>
      <c r="AM53">
        <v>15458.4</v>
      </c>
      <c r="AN53">
        <v>30</v>
      </c>
      <c r="AO53">
        <v>12204</v>
      </c>
      <c r="AP53">
        <v>25</v>
      </c>
      <c r="AQ53">
        <v>10170</v>
      </c>
      <c r="AR53">
        <v>3</v>
      </c>
      <c r="AS53">
        <v>1220.4000000000001</v>
      </c>
      <c r="AT53">
        <v>4</v>
      </c>
      <c r="AU53">
        <v>1627.2</v>
      </c>
      <c r="AV53">
        <v>6</v>
      </c>
      <c r="AW53">
        <v>2440.8000000000002</v>
      </c>
      <c r="AX53">
        <v>6</v>
      </c>
      <c r="AY53">
        <v>2440.8000000000002</v>
      </c>
      <c r="AZ53">
        <v>27</v>
      </c>
      <c r="BA53">
        <v>10983.6</v>
      </c>
      <c r="BB53">
        <v>23</v>
      </c>
      <c r="BC53">
        <v>9356.4</v>
      </c>
      <c r="BD53">
        <v>26</v>
      </c>
      <c r="BE53">
        <v>10576.800000000001</v>
      </c>
      <c r="BF53">
        <v>16</v>
      </c>
      <c r="BG53">
        <v>6508.8</v>
      </c>
      <c r="BH53">
        <v>8</v>
      </c>
      <c r="BI53">
        <v>3254.4</v>
      </c>
      <c r="BJ53">
        <v>10</v>
      </c>
      <c r="BK53">
        <v>4068</v>
      </c>
      <c r="BL53">
        <v>7</v>
      </c>
      <c r="BM53">
        <v>2847.6</v>
      </c>
      <c r="BN53">
        <v>13</v>
      </c>
      <c r="BO53">
        <v>5288.4000000000005</v>
      </c>
      <c r="BP53">
        <v>6</v>
      </c>
      <c r="BQ53">
        <v>2440.8000000000002</v>
      </c>
      <c r="BR53">
        <v>5</v>
      </c>
      <c r="BS53">
        <v>2034</v>
      </c>
      <c r="BT53">
        <v>5</v>
      </c>
      <c r="BU53">
        <v>2034</v>
      </c>
      <c r="BV53">
        <v>6</v>
      </c>
      <c r="BW53">
        <v>2440.8000000000002</v>
      </c>
      <c r="BX53">
        <v>16</v>
      </c>
      <c r="BY53">
        <v>6508.8</v>
      </c>
      <c r="BZ53">
        <v>15</v>
      </c>
      <c r="CA53">
        <v>6102</v>
      </c>
      <c r="CB53">
        <v>18</v>
      </c>
      <c r="CC53">
        <v>7322.4000000000005</v>
      </c>
      <c r="CD53">
        <v>14</v>
      </c>
      <c r="CE53">
        <v>5695.2</v>
      </c>
      <c r="CF53">
        <v>38</v>
      </c>
      <c r="CG53">
        <v>15458.4</v>
      </c>
      <c r="CH53">
        <v>34</v>
      </c>
      <c r="CI53">
        <v>13831.2</v>
      </c>
      <c r="CJ53">
        <v>37</v>
      </c>
      <c r="CK53">
        <v>15051.6</v>
      </c>
      <c r="CL53">
        <v>44</v>
      </c>
      <c r="CM53">
        <v>17899.2</v>
      </c>
      <c r="CN53">
        <v>7</v>
      </c>
      <c r="CO53">
        <v>2847.6</v>
      </c>
      <c r="CP53">
        <v>5</v>
      </c>
      <c r="CQ53">
        <v>2034</v>
      </c>
      <c r="CR53">
        <v>4</v>
      </c>
      <c r="CS53">
        <v>1627.2</v>
      </c>
      <c r="CT53">
        <v>7</v>
      </c>
      <c r="CU53">
        <v>2847.6</v>
      </c>
    </row>
    <row r="54" spans="2:99" x14ac:dyDescent="0.2">
      <c r="C54" s="116" t="s">
        <v>220</v>
      </c>
      <c r="D54">
        <v>17</v>
      </c>
      <c r="E54">
        <v>5691.6</v>
      </c>
      <c r="F54">
        <v>14</v>
      </c>
      <c r="G54">
        <v>4687.2</v>
      </c>
      <c r="H54">
        <v>18</v>
      </c>
      <c r="I54">
        <v>6026.4000000000005</v>
      </c>
      <c r="J54">
        <v>12</v>
      </c>
      <c r="K54">
        <v>4017.6000000000004</v>
      </c>
      <c r="L54">
        <v>24</v>
      </c>
      <c r="M54">
        <v>8035.2000000000007</v>
      </c>
      <c r="N54">
        <v>17</v>
      </c>
      <c r="O54">
        <v>5691.6</v>
      </c>
      <c r="P54">
        <v>19</v>
      </c>
      <c r="Q54">
        <v>6361.2</v>
      </c>
      <c r="R54">
        <v>18</v>
      </c>
      <c r="S54">
        <v>6026.4000000000005</v>
      </c>
      <c r="T54">
        <v>5</v>
      </c>
      <c r="U54">
        <v>1674</v>
      </c>
      <c r="V54">
        <v>3</v>
      </c>
      <c r="W54">
        <v>1004.4000000000001</v>
      </c>
      <c r="X54">
        <v>6</v>
      </c>
      <c r="Y54">
        <v>2008.8000000000002</v>
      </c>
      <c r="Z54">
        <v>5</v>
      </c>
      <c r="AA54">
        <v>1674</v>
      </c>
      <c r="AB54">
        <v>61</v>
      </c>
      <c r="AC54">
        <v>20422.8</v>
      </c>
      <c r="AD54">
        <v>65</v>
      </c>
      <c r="AE54">
        <v>21762</v>
      </c>
      <c r="AF54">
        <v>65</v>
      </c>
      <c r="AG54">
        <v>21762</v>
      </c>
      <c r="AH54">
        <v>69</v>
      </c>
      <c r="AI54">
        <v>23101.200000000001</v>
      </c>
      <c r="AJ54">
        <v>38</v>
      </c>
      <c r="AK54">
        <v>12722.4</v>
      </c>
      <c r="AL54">
        <v>38</v>
      </c>
      <c r="AM54">
        <v>12722.4</v>
      </c>
      <c r="AN54">
        <v>31</v>
      </c>
      <c r="AO54">
        <v>10378.800000000001</v>
      </c>
      <c r="AP54">
        <v>26</v>
      </c>
      <c r="AQ54">
        <v>8704.8000000000011</v>
      </c>
      <c r="AR54">
        <v>3</v>
      </c>
      <c r="AS54">
        <v>1004.4000000000001</v>
      </c>
      <c r="AT54">
        <v>4</v>
      </c>
      <c r="AU54">
        <v>1339.2</v>
      </c>
      <c r="AV54">
        <v>6</v>
      </c>
      <c r="AW54">
        <v>2008.8000000000002</v>
      </c>
      <c r="AX54">
        <v>6</v>
      </c>
      <c r="AY54">
        <v>2008.8000000000002</v>
      </c>
      <c r="AZ54">
        <v>31</v>
      </c>
      <c r="BA54">
        <v>10378.800000000001</v>
      </c>
      <c r="BB54">
        <v>26</v>
      </c>
      <c r="BC54">
        <v>8704.8000000000011</v>
      </c>
      <c r="BD54">
        <v>25</v>
      </c>
      <c r="BE54">
        <v>8370</v>
      </c>
      <c r="BF54">
        <v>16</v>
      </c>
      <c r="BG54">
        <v>5356.8</v>
      </c>
      <c r="BH54">
        <v>8</v>
      </c>
      <c r="BI54">
        <v>2678.4</v>
      </c>
      <c r="BJ54">
        <v>9</v>
      </c>
      <c r="BK54">
        <v>3013.2000000000003</v>
      </c>
      <c r="BL54">
        <v>6</v>
      </c>
      <c r="BM54">
        <v>2008.8000000000002</v>
      </c>
      <c r="BN54">
        <v>14</v>
      </c>
      <c r="BO54">
        <v>4687.2</v>
      </c>
      <c r="BP54">
        <v>6</v>
      </c>
      <c r="BQ54">
        <v>2008.8000000000002</v>
      </c>
      <c r="BR54">
        <v>5</v>
      </c>
      <c r="BS54">
        <v>1674</v>
      </c>
      <c r="BT54">
        <v>5</v>
      </c>
      <c r="BU54">
        <v>1674</v>
      </c>
      <c r="BV54">
        <v>5</v>
      </c>
      <c r="BW54">
        <v>1674</v>
      </c>
      <c r="BX54">
        <v>16</v>
      </c>
      <c r="BY54">
        <v>5356.8</v>
      </c>
      <c r="BZ54">
        <v>14</v>
      </c>
      <c r="CA54">
        <v>4687.2</v>
      </c>
      <c r="CB54">
        <v>19</v>
      </c>
      <c r="CC54">
        <v>6361.2</v>
      </c>
      <c r="CD54">
        <v>15</v>
      </c>
      <c r="CE54">
        <v>5022</v>
      </c>
      <c r="CF54">
        <v>44</v>
      </c>
      <c r="CG54">
        <v>14731.2</v>
      </c>
      <c r="CH54">
        <v>39</v>
      </c>
      <c r="CI54">
        <v>13057.2</v>
      </c>
      <c r="CJ54">
        <v>35</v>
      </c>
      <c r="CK54">
        <v>11718</v>
      </c>
      <c r="CL54">
        <v>46</v>
      </c>
      <c r="CM54">
        <v>15400.800000000001</v>
      </c>
      <c r="CN54">
        <v>7</v>
      </c>
      <c r="CO54">
        <v>2343.6</v>
      </c>
      <c r="CP54">
        <v>5</v>
      </c>
      <c r="CQ54">
        <v>1674</v>
      </c>
      <c r="CR54">
        <v>4</v>
      </c>
      <c r="CS54">
        <v>1339.2</v>
      </c>
      <c r="CT54">
        <v>8</v>
      </c>
      <c r="CU54">
        <v>2678.4</v>
      </c>
    </row>
    <row r="55" spans="2:99" x14ac:dyDescent="0.2">
      <c r="C55" s="116" t="s">
        <v>221</v>
      </c>
      <c r="D55">
        <v>18</v>
      </c>
      <c r="E55">
        <v>11944.800000000001</v>
      </c>
      <c r="F55">
        <v>13</v>
      </c>
      <c r="G55">
        <v>8626.8000000000011</v>
      </c>
      <c r="H55">
        <v>17</v>
      </c>
      <c r="I55">
        <v>11281.2</v>
      </c>
      <c r="J55">
        <v>12</v>
      </c>
      <c r="K55">
        <v>7963.2000000000007</v>
      </c>
      <c r="L55">
        <v>23</v>
      </c>
      <c r="M55">
        <v>15262.800000000001</v>
      </c>
      <c r="N55">
        <v>14</v>
      </c>
      <c r="O55">
        <v>9290.4</v>
      </c>
      <c r="P55">
        <v>19</v>
      </c>
      <c r="Q55">
        <v>12608.4</v>
      </c>
      <c r="R55">
        <v>17</v>
      </c>
      <c r="S55">
        <v>11281.2</v>
      </c>
      <c r="T55">
        <v>5</v>
      </c>
      <c r="U55">
        <v>3318</v>
      </c>
      <c r="V55">
        <v>3</v>
      </c>
      <c r="W55">
        <v>1990.8000000000002</v>
      </c>
      <c r="X55">
        <v>5</v>
      </c>
      <c r="Y55">
        <v>3318</v>
      </c>
      <c r="Z55">
        <v>5</v>
      </c>
      <c r="AA55">
        <v>3318</v>
      </c>
      <c r="AB55">
        <v>62</v>
      </c>
      <c r="AC55">
        <v>41143.200000000004</v>
      </c>
      <c r="AD55">
        <v>71</v>
      </c>
      <c r="AE55">
        <v>47115.6</v>
      </c>
      <c r="AF55">
        <v>54</v>
      </c>
      <c r="AG55">
        <v>35834.400000000001</v>
      </c>
      <c r="AH55">
        <v>63</v>
      </c>
      <c r="AI55">
        <v>41806.800000000003</v>
      </c>
      <c r="AJ55">
        <v>34</v>
      </c>
      <c r="AK55">
        <v>22562.400000000001</v>
      </c>
      <c r="AL55">
        <v>37</v>
      </c>
      <c r="AM55">
        <v>24553.200000000001</v>
      </c>
      <c r="AN55">
        <v>32</v>
      </c>
      <c r="AO55">
        <v>21235.200000000001</v>
      </c>
      <c r="AP55">
        <v>26</v>
      </c>
      <c r="AQ55">
        <v>17253.600000000002</v>
      </c>
      <c r="AR55">
        <v>3</v>
      </c>
      <c r="AS55">
        <v>1990.8000000000002</v>
      </c>
      <c r="AT55">
        <v>4</v>
      </c>
      <c r="AU55">
        <v>2654.4</v>
      </c>
      <c r="AV55">
        <v>5</v>
      </c>
      <c r="AW55">
        <v>3318</v>
      </c>
      <c r="AX55">
        <v>5</v>
      </c>
      <c r="AY55">
        <v>3318</v>
      </c>
      <c r="AZ55">
        <v>26</v>
      </c>
      <c r="BA55">
        <v>17253.600000000002</v>
      </c>
      <c r="BB55">
        <v>25</v>
      </c>
      <c r="BC55">
        <v>16590</v>
      </c>
      <c r="BD55">
        <v>24</v>
      </c>
      <c r="BE55">
        <v>15926.400000000001</v>
      </c>
      <c r="BF55">
        <v>15</v>
      </c>
      <c r="BG55">
        <v>9954</v>
      </c>
      <c r="BH55">
        <v>7</v>
      </c>
      <c r="BI55">
        <v>4645.2</v>
      </c>
      <c r="BJ55">
        <v>9</v>
      </c>
      <c r="BK55">
        <v>5972.4000000000005</v>
      </c>
      <c r="BL55">
        <v>7</v>
      </c>
      <c r="BM55">
        <v>4645.2</v>
      </c>
      <c r="BN55">
        <v>12</v>
      </c>
      <c r="BO55">
        <v>7963.2000000000007</v>
      </c>
      <c r="BP55">
        <v>6</v>
      </c>
      <c r="BQ55">
        <v>3981.6000000000004</v>
      </c>
      <c r="BR55">
        <v>5</v>
      </c>
      <c r="BS55">
        <v>3318</v>
      </c>
      <c r="BT55">
        <v>5</v>
      </c>
      <c r="BU55">
        <v>3318</v>
      </c>
      <c r="BV55">
        <v>5</v>
      </c>
      <c r="BW55">
        <v>3318</v>
      </c>
      <c r="BX55">
        <v>16</v>
      </c>
      <c r="BY55">
        <v>10617.6</v>
      </c>
      <c r="BZ55">
        <v>14</v>
      </c>
      <c r="CA55">
        <v>9290.4</v>
      </c>
      <c r="CB55">
        <v>17</v>
      </c>
      <c r="CC55">
        <v>11281.2</v>
      </c>
      <c r="CD55">
        <v>14</v>
      </c>
      <c r="CE55">
        <v>9290.4</v>
      </c>
      <c r="CF55">
        <v>35</v>
      </c>
      <c r="CG55">
        <v>23226</v>
      </c>
      <c r="CH55">
        <v>37</v>
      </c>
      <c r="CI55">
        <v>24553.200000000001</v>
      </c>
      <c r="CJ55">
        <v>39</v>
      </c>
      <c r="CK55">
        <v>25880.400000000001</v>
      </c>
      <c r="CL55">
        <v>47</v>
      </c>
      <c r="CM55">
        <v>31189.200000000001</v>
      </c>
      <c r="CN55">
        <v>7</v>
      </c>
      <c r="CO55">
        <v>4645.2</v>
      </c>
      <c r="CP55">
        <v>5</v>
      </c>
      <c r="CQ55">
        <v>3318</v>
      </c>
      <c r="CR55">
        <v>4</v>
      </c>
      <c r="CS55">
        <v>2654.4</v>
      </c>
      <c r="CT55">
        <v>8</v>
      </c>
      <c r="CU55">
        <v>5308.8</v>
      </c>
    </row>
    <row r="56" spans="2:99" x14ac:dyDescent="0.2">
      <c r="C56" s="116" t="s">
        <v>222</v>
      </c>
      <c r="D56">
        <v>2.5130590127022829</v>
      </c>
      <c r="E56">
        <v>2892.0283118177872</v>
      </c>
      <c r="F56">
        <v>5.6039022842590027</v>
      </c>
      <c r="G56">
        <v>6448.9707487252599</v>
      </c>
      <c r="H56">
        <v>6.3805508072047408</v>
      </c>
      <c r="I56">
        <v>7342.7378689312154</v>
      </c>
      <c r="J56">
        <v>7.4566594000741206</v>
      </c>
      <c r="K56">
        <v>8581.1236376052984</v>
      </c>
      <c r="L56">
        <v>22.631940479065292</v>
      </c>
      <c r="M56">
        <v>26044.837103308339</v>
      </c>
      <c r="N56">
        <v>13.05129401548953</v>
      </c>
      <c r="O56">
        <v>15019.42915302535</v>
      </c>
      <c r="P56">
        <v>17</v>
      </c>
      <c r="Q56">
        <v>19563.599999999999</v>
      </c>
      <c r="R56">
        <v>17</v>
      </c>
      <c r="S56">
        <v>19563.599999999999</v>
      </c>
      <c r="T56">
        <v>2.383689921660078</v>
      </c>
      <c r="U56">
        <v>2743.1503618464176</v>
      </c>
      <c r="V56">
        <v>1.5887160353445335</v>
      </c>
      <c r="W56">
        <v>1828.2944134744891</v>
      </c>
      <c r="X56">
        <v>1.5619425323249978</v>
      </c>
      <c r="Y56">
        <v>1797.4834661996074</v>
      </c>
      <c r="Z56">
        <v>1.3071762164130896</v>
      </c>
      <c r="AA56">
        <v>1504.2983898481834</v>
      </c>
      <c r="AB56">
        <v>14.155006559983452</v>
      </c>
      <c r="AC56">
        <v>16289.581549228955</v>
      </c>
      <c r="AD56">
        <v>12.187635409529564</v>
      </c>
      <c r="AE56">
        <v>14025.530829286621</v>
      </c>
      <c r="AF56">
        <v>13.882238689577441</v>
      </c>
      <c r="AG56">
        <v>15975.680283965719</v>
      </c>
      <c r="AH56">
        <v>12.113206343087542</v>
      </c>
      <c r="AI56">
        <v>13939.877859625143</v>
      </c>
      <c r="AJ56">
        <v>14.51797720431319</v>
      </c>
      <c r="AK56">
        <v>16707.288166723618</v>
      </c>
      <c r="AL56">
        <v>12.252820448411825</v>
      </c>
      <c r="AM56">
        <v>14100.545772032327</v>
      </c>
      <c r="AN56">
        <v>10.083018371495061</v>
      </c>
      <c r="AO56">
        <v>11603.537541916516</v>
      </c>
      <c r="AP56">
        <v>10.953278885701479</v>
      </c>
      <c r="AQ56">
        <v>12605.033341665261</v>
      </c>
      <c r="AR56">
        <v>1.6085288760092273</v>
      </c>
      <c r="AS56">
        <v>1851.0950305114188</v>
      </c>
      <c r="AT56">
        <v>2.1503369591561188</v>
      </c>
      <c r="AU56">
        <v>2474.6077725968612</v>
      </c>
      <c r="AV56">
        <v>2.477364283116064</v>
      </c>
      <c r="AW56">
        <v>2850.9508170099666</v>
      </c>
      <c r="AX56">
        <v>3.3029167746253325</v>
      </c>
      <c r="AY56">
        <v>3800.9966242388323</v>
      </c>
      <c r="AZ56">
        <v>9.9512439087761084</v>
      </c>
      <c r="BA56">
        <v>11451.891490219545</v>
      </c>
      <c r="BB56">
        <v>8.0324045161810851</v>
      </c>
      <c r="BC56">
        <v>9243.6911172211931</v>
      </c>
      <c r="BD56">
        <v>8.0567105519605793</v>
      </c>
      <c r="BE56">
        <v>9271.662503196234</v>
      </c>
      <c r="BF56">
        <v>4.2717787654235773</v>
      </c>
      <c r="BG56">
        <v>4915.9630032494524</v>
      </c>
      <c r="BH56">
        <v>2.08397605073369</v>
      </c>
      <c r="BI56">
        <v>2398.2396391843304</v>
      </c>
      <c r="BJ56">
        <v>3.5617749161704806</v>
      </c>
      <c r="BK56">
        <v>4098.8905735289891</v>
      </c>
      <c r="BL56">
        <v>2.5814601629149148</v>
      </c>
      <c r="BM56">
        <v>2970.7443554824836</v>
      </c>
      <c r="BN56">
        <v>4.2466156828377022</v>
      </c>
      <c r="BO56">
        <v>4887.0053278096275</v>
      </c>
      <c r="BP56">
        <v>3.5313693353652718</v>
      </c>
      <c r="BQ56">
        <v>4063.8998311383548</v>
      </c>
      <c r="BR56">
        <v>2.9199658423675294</v>
      </c>
      <c r="BS56">
        <v>3360.2966913965529</v>
      </c>
      <c r="BT56">
        <v>3.378903512298657</v>
      </c>
      <c r="BU56">
        <v>3888.4421619532945</v>
      </c>
      <c r="BV56">
        <v>3.2594034402364254</v>
      </c>
      <c r="BW56">
        <v>3750.9214790240781</v>
      </c>
      <c r="BX56">
        <v>10.621361343710527</v>
      </c>
      <c r="BY56">
        <v>12223.062634342074</v>
      </c>
      <c r="BZ56">
        <v>10.815029299857544</v>
      </c>
      <c r="CA56">
        <v>12445.935718276061</v>
      </c>
      <c r="CB56">
        <v>16.519708631254961</v>
      </c>
      <c r="CC56">
        <v>19010.880692848208</v>
      </c>
      <c r="CD56">
        <v>14.566113036850627</v>
      </c>
      <c r="CE56">
        <v>16762.682882807701</v>
      </c>
      <c r="CF56">
        <v>18.023521060122818</v>
      </c>
      <c r="CG56">
        <v>20741.468035989339</v>
      </c>
      <c r="CH56">
        <v>24.932407847310014</v>
      </c>
      <c r="CI56">
        <v>28692.214950684363</v>
      </c>
      <c r="CJ56">
        <v>16.498099991734424</v>
      </c>
      <c r="CK56">
        <v>18986.013470487975</v>
      </c>
      <c r="CL56">
        <v>26.534478721132309</v>
      </c>
      <c r="CM56">
        <v>30535.878112279061</v>
      </c>
      <c r="CN56">
        <v>3.3101335842545185</v>
      </c>
      <c r="CO56">
        <v>3809.3017287600996</v>
      </c>
      <c r="CP56">
        <v>2.4372160247749743</v>
      </c>
      <c r="CQ56">
        <v>2804.7482013110402</v>
      </c>
      <c r="CR56">
        <v>1.8438130300082014</v>
      </c>
      <c r="CS56">
        <v>2121.8600349334379</v>
      </c>
      <c r="CT56">
        <v>2.6707559547138584</v>
      </c>
      <c r="CU56">
        <v>3073.5059526847081</v>
      </c>
    </row>
    <row r="57" spans="2:99" x14ac:dyDescent="0.2">
      <c r="C57" s="116" t="s">
        <v>223</v>
      </c>
      <c r="D57">
        <v>17</v>
      </c>
      <c r="E57">
        <v>23990.400000000001</v>
      </c>
      <c r="F57">
        <v>12</v>
      </c>
      <c r="G57">
        <v>16934.400000000001</v>
      </c>
      <c r="H57">
        <v>15</v>
      </c>
      <c r="I57">
        <v>21168</v>
      </c>
      <c r="J57">
        <v>11</v>
      </c>
      <c r="K57">
        <v>15523.2</v>
      </c>
      <c r="L57">
        <v>24</v>
      </c>
      <c r="M57">
        <v>33868.800000000003</v>
      </c>
      <c r="N57">
        <v>13</v>
      </c>
      <c r="O57">
        <v>18345.600000000002</v>
      </c>
      <c r="P57">
        <v>18</v>
      </c>
      <c r="Q57">
        <v>25401.600000000002</v>
      </c>
      <c r="R57">
        <v>16</v>
      </c>
      <c r="S57">
        <v>22579.200000000001</v>
      </c>
      <c r="T57">
        <v>5</v>
      </c>
      <c r="U57">
        <v>7056</v>
      </c>
      <c r="V57">
        <v>3</v>
      </c>
      <c r="W57">
        <v>4233.6000000000004</v>
      </c>
      <c r="X57">
        <v>5</v>
      </c>
      <c r="Y57">
        <v>7056</v>
      </c>
      <c r="Z57">
        <v>4</v>
      </c>
      <c r="AA57">
        <v>5644.8</v>
      </c>
      <c r="AB57">
        <v>53</v>
      </c>
      <c r="AC57">
        <v>74793.600000000006</v>
      </c>
      <c r="AD57">
        <v>64</v>
      </c>
      <c r="AE57">
        <v>90316.800000000003</v>
      </c>
      <c r="AF57">
        <v>52</v>
      </c>
      <c r="AG57">
        <v>73382.400000000009</v>
      </c>
      <c r="AH57">
        <v>60</v>
      </c>
      <c r="AI57">
        <v>84672</v>
      </c>
      <c r="AJ57">
        <v>35</v>
      </c>
      <c r="AK57">
        <v>49392</v>
      </c>
      <c r="AL57">
        <v>32</v>
      </c>
      <c r="AM57">
        <v>45158.400000000001</v>
      </c>
      <c r="AN57">
        <v>29</v>
      </c>
      <c r="AO57">
        <v>40924.800000000003</v>
      </c>
      <c r="AP57">
        <v>21</v>
      </c>
      <c r="AQ57">
        <v>29635.200000000001</v>
      </c>
      <c r="AR57">
        <v>3</v>
      </c>
      <c r="AS57">
        <v>4233.6000000000004</v>
      </c>
      <c r="AT57">
        <v>4</v>
      </c>
      <c r="AU57">
        <v>5644.8</v>
      </c>
      <c r="AV57">
        <v>5</v>
      </c>
      <c r="AW57">
        <v>7056</v>
      </c>
      <c r="AX57">
        <v>5</v>
      </c>
      <c r="AY57">
        <v>7056</v>
      </c>
      <c r="AZ57">
        <v>24</v>
      </c>
      <c r="BA57">
        <v>33868.800000000003</v>
      </c>
      <c r="BB57">
        <v>20</v>
      </c>
      <c r="BC57">
        <v>28224</v>
      </c>
      <c r="BD57">
        <v>25</v>
      </c>
      <c r="BE57">
        <v>35280</v>
      </c>
      <c r="BF57">
        <v>15</v>
      </c>
      <c r="BG57">
        <v>21168</v>
      </c>
      <c r="BH57">
        <v>7</v>
      </c>
      <c r="BI57">
        <v>9878.4</v>
      </c>
      <c r="BJ57">
        <v>8</v>
      </c>
      <c r="BK57">
        <v>11289.6</v>
      </c>
      <c r="BL57">
        <v>7</v>
      </c>
      <c r="BM57">
        <v>9878.4</v>
      </c>
      <c r="BN57">
        <v>12</v>
      </c>
      <c r="BO57">
        <v>16934.400000000001</v>
      </c>
      <c r="BP57">
        <v>5</v>
      </c>
      <c r="BQ57">
        <v>7056</v>
      </c>
      <c r="BR57">
        <v>5</v>
      </c>
      <c r="BS57">
        <v>7056</v>
      </c>
      <c r="BT57">
        <v>5</v>
      </c>
      <c r="BU57">
        <v>7056</v>
      </c>
      <c r="BV57">
        <v>5</v>
      </c>
      <c r="BW57">
        <v>7056</v>
      </c>
      <c r="BX57">
        <v>16</v>
      </c>
      <c r="BY57">
        <v>22579.200000000001</v>
      </c>
      <c r="BZ57">
        <v>14</v>
      </c>
      <c r="CA57">
        <v>19756.8</v>
      </c>
      <c r="CB57">
        <v>16</v>
      </c>
      <c r="CC57">
        <v>22579.200000000001</v>
      </c>
      <c r="CD57">
        <v>13</v>
      </c>
      <c r="CE57">
        <v>18345.600000000002</v>
      </c>
      <c r="CF57">
        <v>36</v>
      </c>
      <c r="CG57">
        <v>50803.200000000004</v>
      </c>
      <c r="CH57">
        <v>31</v>
      </c>
      <c r="CI57">
        <v>43747.200000000004</v>
      </c>
      <c r="CJ57">
        <v>30</v>
      </c>
      <c r="CK57">
        <v>42336</v>
      </c>
      <c r="CL57">
        <v>36</v>
      </c>
      <c r="CM57">
        <v>50803.200000000004</v>
      </c>
      <c r="CN57">
        <v>6</v>
      </c>
      <c r="CO57">
        <v>8467.2000000000007</v>
      </c>
      <c r="CP57">
        <v>4</v>
      </c>
      <c r="CQ57">
        <v>5644.8</v>
      </c>
      <c r="CR57">
        <v>3</v>
      </c>
      <c r="CS57">
        <v>4233.6000000000004</v>
      </c>
      <c r="CT57">
        <v>7</v>
      </c>
      <c r="CU57">
        <v>9878.4</v>
      </c>
    </row>
    <row r="58" spans="2:99" x14ac:dyDescent="0.2">
      <c r="C58" s="116" t="s">
        <v>224</v>
      </c>
      <c r="D58">
        <v>2.5130590127022829</v>
      </c>
      <c r="E58">
        <v>2958.3730697531278</v>
      </c>
      <c r="F58">
        <v>5.6039022842590027</v>
      </c>
      <c r="G58">
        <v>6596.9137690296984</v>
      </c>
      <c r="H58">
        <v>6.8059208610183912</v>
      </c>
      <c r="I58">
        <v>8011.9300375908506</v>
      </c>
      <c r="J58">
        <v>7.4566594000741206</v>
      </c>
      <c r="K58">
        <v>8777.979445767256</v>
      </c>
      <c r="L58">
        <v>19.150103482286017</v>
      </c>
      <c r="M58">
        <v>22543.501819347101</v>
      </c>
      <c r="N58">
        <v>13.05129401548953</v>
      </c>
      <c r="O58">
        <v>15363.983315034275</v>
      </c>
      <c r="P58">
        <v>16</v>
      </c>
      <c r="Q58">
        <v>18835.2</v>
      </c>
      <c r="R58">
        <v>15</v>
      </c>
      <c r="S58">
        <v>17658</v>
      </c>
      <c r="T58">
        <v>2.9526937074464712</v>
      </c>
      <c r="U58">
        <v>3475.9110324059861</v>
      </c>
      <c r="V58">
        <v>1.5887160353445335</v>
      </c>
      <c r="W58">
        <v>1870.2365168075848</v>
      </c>
      <c r="X58">
        <v>1.5619425323249978</v>
      </c>
      <c r="Y58">
        <v>1838.7187490529875</v>
      </c>
      <c r="Z58">
        <v>1.3071762164130896</v>
      </c>
      <c r="AA58">
        <v>1538.8078419614892</v>
      </c>
      <c r="AB58">
        <v>13.396702637127193</v>
      </c>
      <c r="AC58">
        <v>15770.598344426133</v>
      </c>
      <c r="AD58">
        <v>12.374887557539866</v>
      </c>
      <c r="AE58">
        <v>14567.71763273593</v>
      </c>
      <c r="AF58">
        <v>13.383383650718477</v>
      </c>
      <c r="AG58">
        <v>15754.919233625791</v>
      </c>
      <c r="AH58">
        <v>11.911319570702751</v>
      </c>
      <c r="AI58">
        <v>14022.00539863128</v>
      </c>
      <c r="AJ58">
        <v>12.94668356065308</v>
      </c>
      <c r="AK58">
        <v>15240.835887600806</v>
      </c>
      <c r="AL58">
        <v>12.624118037757638</v>
      </c>
      <c r="AM58">
        <v>14861.111754048292</v>
      </c>
      <c r="AN58">
        <v>11.16334176844096</v>
      </c>
      <c r="AO58">
        <v>13141.485929808698</v>
      </c>
      <c r="AP58">
        <v>10.455402572715048</v>
      </c>
      <c r="AQ58">
        <v>12308.099908600156</v>
      </c>
      <c r="AR58">
        <v>1.6282389327015743</v>
      </c>
      <c r="AS58">
        <v>1916.7628715762933</v>
      </c>
      <c r="AT58">
        <v>2.1503369591561188</v>
      </c>
      <c r="AU58">
        <v>2531.3766683185831</v>
      </c>
      <c r="AV58">
        <v>2.477364283116064</v>
      </c>
      <c r="AW58">
        <v>2916.3532340842307</v>
      </c>
      <c r="AX58">
        <v>3.3272844301430307</v>
      </c>
      <c r="AY58">
        <v>3916.8792311643761</v>
      </c>
      <c r="AZ58">
        <v>11.19514939737312</v>
      </c>
      <c r="BA58">
        <v>13178.929870587637</v>
      </c>
      <c r="BB58">
        <v>8.3975138123711339</v>
      </c>
      <c r="BC58">
        <v>9885.5532599232993</v>
      </c>
      <c r="BD58">
        <v>8.0567105519605793</v>
      </c>
      <c r="BE58">
        <v>9484.3596617679941</v>
      </c>
      <c r="BF58">
        <v>4.6003771319946214</v>
      </c>
      <c r="BG58">
        <v>5415.5639597840682</v>
      </c>
      <c r="BH58">
        <v>2.08397605073369</v>
      </c>
      <c r="BI58">
        <v>2453.2566069237</v>
      </c>
      <c r="BJ58">
        <v>2.8797612003718278</v>
      </c>
      <c r="BK58">
        <v>3390.0548850777159</v>
      </c>
      <c r="BL58">
        <v>3.0117035234007341</v>
      </c>
      <c r="BM58">
        <v>3545.3773877473445</v>
      </c>
      <c r="BN58">
        <v>3.6196622249889061</v>
      </c>
      <c r="BO58">
        <v>4261.0663712569403</v>
      </c>
      <c r="BP58">
        <v>2.9428077794710599</v>
      </c>
      <c r="BQ58">
        <v>3464.2733179933316</v>
      </c>
      <c r="BR58">
        <v>2.9199658423675294</v>
      </c>
      <c r="BS58">
        <v>3437.3837896350556</v>
      </c>
      <c r="BT58">
        <v>3.378903512298657</v>
      </c>
      <c r="BU58">
        <v>3977.6452146779793</v>
      </c>
      <c r="BV58">
        <v>3.2594034402364254</v>
      </c>
      <c r="BW58">
        <v>3836.9697298463202</v>
      </c>
      <c r="BX58">
        <v>10.621361343710527</v>
      </c>
      <c r="BY58">
        <v>12503.466573816033</v>
      </c>
      <c r="BZ58">
        <v>10.787866114206809</v>
      </c>
      <c r="CA58">
        <v>12699.475989644256</v>
      </c>
      <c r="CB58">
        <v>16.519708631254961</v>
      </c>
      <c r="CC58">
        <v>19447.001000713342</v>
      </c>
      <c r="CD58">
        <v>13.51903758809981</v>
      </c>
      <c r="CE58">
        <v>15914.611048711096</v>
      </c>
      <c r="CF58">
        <v>18.023521060122818</v>
      </c>
      <c r="CG58">
        <v>21217.28899197658</v>
      </c>
      <c r="CH58">
        <v>22.896875813441959</v>
      </c>
      <c r="CI58">
        <v>26954.202207583876</v>
      </c>
      <c r="CJ58">
        <v>18.253531591502096</v>
      </c>
      <c r="CK58">
        <v>21488.057389516267</v>
      </c>
      <c r="CL58">
        <v>25.781155387759902</v>
      </c>
      <c r="CM58">
        <v>30349.576122470957</v>
      </c>
      <c r="CN58">
        <v>2.8734327718820887</v>
      </c>
      <c r="CO58">
        <v>3382.6050590595951</v>
      </c>
      <c r="CP58">
        <v>2.4190331962665659</v>
      </c>
      <c r="CQ58">
        <v>2847.6858786450016</v>
      </c>
      <c r="CR58">
        <v>1.8438130300082014</v>
      </c>
      <c r="CS58">
        <v>2170.5366989256549</v>
      </c>
      <c r="CT58">
        <v>2.6707559547138584</v>
      </c>
      <c r="CU58">
        <v>3144.0139098891541</v>
      </c>
    </row>
    <row r="59" spans="2:99" x14ac:dyDescent="0.2">
      <c r="C59" s="116" t="s">
        <v>225</v>
      </c>
      <c r="D59">
        <v>20</v>
      </c>
      <c r="E59">
        <v>6071.9999999999991</v>
      </c>
      <c r="F59">
        <v>16</v>
      </c>
      <c r="G59">
        <v>4857.5999999999995</v>
      </c>
      <c r="H59">
        <v>19</v>
      </c>
      <c r="I59">
        <v>5768.4</v>
      </c>
      <c r="J59">
        <v>14</v>
      </c>
      <c r="K59">
        <v>4250.3999999999996</v>
      </c>
      <c r="L59">
        <v>25</v>
      </c>
      <c r="M59">
        <v>7589.9999999999991</v>
      </c>
      <c r="N59">
        <v>16</v>
      </c>
      <c r="O59">
        <v>4857.5999999999995</v>
      </c>
      <c r="P59">
        <v>19</v>
      </c>
      <c r="Q59">
        <v>5768.4</v>
      </c>
      <c r="R59">
        <v>17</v>
      </c>
      <c r="S59">
        <v>5161.2</v>
      </c>
      <c r="T59">
        <v>5</v>
      </c>
      <c r="U59">
        <v>1517.9999999999998</v>
      </c>
      <c r="V59">
        <v>3</v>
      </c>
      <c r="W59">
        <v>910.8</v>
      </c>
      <c r="X59">
        <v>5</v>
      </c>
      <c r="Y59">
        <v>1517.9999999999998</v>
      </c>
      <c r="Z59">
        <v>4</v>
      </c>
      <c r="AA59">
        <v>1214.3999999999999</v>
      </c>
      <c r="AB59">
        <v>58</v>
      </c>
      <c r="AC59">
        <v>17608.8</v>
      </c>
      <c r="AD59">
        <v>71</v>
      </c>
      <c r="AE59">
        <v>21555.599999999999</v>
      </c>
      <c r="AF59">
        <v>60</v>
      </c>
      <c r="AG59">
        <v>18215.999999999996</v>
      </c>
      <c r="AH59">
        <v>78</v>
      </c>
      <c r="AI59">
        <v>23680.799999999996</v>
      </c>
      <c r="AJ59">
        <v>39</v>
      </c>
      <c r="AK59">
        <v>11840.399999999998</v>
      </c>
      <c r="AL59">
        <v>39</v>
      </c>
      <c r="AM59">
        <v>11840.399999999998</v>
      </c>
      <c r="AN59">
        <v>35</v>
      </c>
      <c r="AO59">
        <v>10625.999999999998</v>
      </c>
      <c r="AP59">
        <v>27</v>
      </c>
      <c r="AQ59">
        <v>8197.1999999999989</v>
      </c>
      <c r="AR59">
        <v>3</v>
      </c>
      <c r="AS59">
        <v>910.8</v>
      </c>
      <c r="AT59">
        <v>4</v>
      </c>
      <c r="AU59">
        <v>1214.3999999999999</v>
      </c>
      <c r="AV59">
        <v>5</v>
      </c>
      <c r="AW59">
        <v>1517.9999999999998</v>
      </c>
      <c r="AX59">
        <v>6</v>
      </c>
      <c r="AY59">
        <v>1821.6</v>
      </c>
      <c r="AZ59">
        <v>28</v>
      </c>
      <c r="BA59">
        <v>8500.7999999999993</v>
      </c>
      <c r="BB59">
        <v>25</v>
      </c>
      <c r="BC59">
        <v>7589.9999999999991</v>
      </c>
      <c r="BD59">
        <v>27</v>
      </c>
      <c r="BE59">
        <v>8197.1999999999989</v>
      </c>
      <c r="BF59">
        <v>16</v>
      </c>
      <c r="BG59">
        <v>4857.5999999999995</v>
      </c>
      <c r="BH59">
        <v>7</v>
      </c>
      <c r="BI59">
        <v>2125.1999999999998</v>
      </c>
      <c r="BJ59">
        <v>9</v>
      </c>
      <c r="BK59">
        <v>2732.3999999999996</v>
      </c>
      <c r="BL59">
        <v>7</v>
      </c>
      <c r="BM59">
        <v>2125.1999999999998</v>
      </c>
      <c r="BN59">
        <v>14</v>
      </c>
      <c r="BO59">
        <v>4250.3999999999996</v>
      </c>
      <c r="BP59">
        <v>6</v>
      </c>
      <c r="BQ59">
        <v>1821.6</v>
      </c>
      <c r="BR59">
        <v>6</v>
      </c>
      <c r="BS59">
        <v>1821.6</v>
      </c>
      <c r="BT59">
        <v>5</v>
      </c>
      <c r="BU59">
        <v>1517.9999999999998</v>
      </c>
      <c r="BV59">
        <v>6</v>
      </c>
      <c r="BW59">
        <v>1821.6</v>
      </c>
      <c r="BX59">
        <v>16</v>
      </c>
      <c r="BY59">
        <v>4857.5999999999995</v>
      </c>
      <c r="BZ59">
        <v>15</v>
      </c>
      <c r="CA59">
        <v>4553.9999999999991</v>
      </c>
      <c r="CB59">
        <v>17</v>
      </c>
      <c r="CC59">
        <v>5161.2</v>
      </c>
      <c r="CD59">
        <v>16</v>
      </c>
      <c r="CE59">
        <v>4857.5999999999995</v>
      </c>
      <c r="CF59">
        <v>36</v>
      </c>
      <c r="CG59">
        <v>10929.599999999999</v>
      </c>
      <c r="CH59">
        <v>37</v>
      </c>
      <c r="CI59">
        <v>11233.199999999999</v>
      </c>
      <c r="CJ59">
        <v>40</v>
      </c>
      <c r="CK59">
        <v>12143.999999999998</v>
      </c>
      <c r="CL59">
        <v>48</v>
      </c>
      <c r="CM59">
        <v>14572.8</v>
      </c>
      <c r="CN59">
        <v>7</v>
      </c>
      <c r="CO59">
        <v>2125.1999999999998</v>
      </c>
      <c r="CP59">
        <v>5</v>
      </c>
      <c r="CQ59">
        <v>1517.9999999999998</v>
      </c>
      <c r="CR59">
        <v>4</v>
      </c>
      <c r="CS59">
        <v>1214.3999999999999</v>
      </c>
      <c r="CT59">
        <v>7</v>
      </c>
      <c r="CU59">
        <v>2125.1999999999998</v>
      </c>
    </row>
    <row r="60" spans="2:99" x14ac:dyDescent="0.2">
      <c r="C60" s="116" t="s">
        <v>226</v>
      </c>
      <c r="D60">
        <v>19</v>
      </c>
      <c r="E60">
        <v>12380.4</v>
      </c>
      <c r="F60">
        <v>15</v>
      </c>
      <c r="G60">
        <v>9774</v>
      </c>
      <c r="H60">
        <v>17</v>
      </c>
      <c r="I60">
        <v>11077.2</v>
      </c>
      <c r="J60">
        <v>13</v>
      </c>
      <c r="K60">
        <v>8470.8000000000011</v>
      </c>
      <c r="L60">
        <v>26</v>
      </c>
      <c r="M60">
        <v>16941.600000000002</v>
      </c>
      <c r="N60">
        <v>15</v>
      </c>
      <c r="O60">
        <v>9774</v>
      </c>
      <c r="P60">
        <v>20</v>
      </c>
      <c r="Q60">
        <v>13032</v>
      </c>
      <c r="R60">
        <v>16</v>
      </c>
      <c r="S60">
        <v>10425.6</v>
      </c>
      <c r="T60">
        <v>5</v>
      </c>
      <c r="U60">
        <v>3258</v>
      </c>
      <c r="V60">
        <v>3</v>
      </c>
      <c r="W60">
        <v>1954.8000000000002</v>
      </c>
      <c r="X60">
        <v>5</v>
      </c>
      <c r="Y60">
        <v>3258</v>
      </c>
      <c r="Z60">
        <v>4</v>
      </c>
      <c r="AA60">
        <v>2606.4</v>
      </c>
      <c r="AB60">
        <v>63</v>
      </c>
      <c r="AC60">
        <v>41050.800000000003</v>
      </c>
      <c r="AD60">
        <v>64</v>
      </c>
      <c r="AE60">
        <v>41702.400000000001</v>
      </c>
      <c r="AF60">
        <v>64</v>
      </c>
      <c r="AG60">
        <v>41702.400000000001</v>
      </c>
      <c r="AH60">
        <v>64</v>
      </c>
      <c r="AI60">
        <v>41702.400000000001</v>
      </c>
      <c r="AJ60">
        <v>38</v>
      </c>
      <c r="AK60">
        <v>24760.799999999999</v>
      </c>
      <c r="AL60">
        <v>33</v>
      </c>
      <c r="AM60">
        <v>21502.799999999999</v>
      </c>
      <c r="AN60">
        <v>33</v>
      </c>
      <c r="AO60">
        <v>21502.799999999999</v>
      </c>
      <c r="AP60">
        <v>23</v>
      </c>
      <c r="AQ60">
        <v>14986.800000000001</v>
      </c>
      <c r="AR60">
        <v>4</v>
      </c>
      <c r="AS60">
        <v>2606.4</v>
      </c>
      <c r="AT60">
        <v>4</v>
      </c>
      <c r="AU60">
        <v>2606.4</v>
      </c>
      <c r="AV60">
        <v>6</v>
      </c>
      <c r="AW60">
        <v>3909.6000000000004</v>
      </c>
      <c r="AX60">
        <v>6</v>
      </c>
      <c r="AY60">
        <v>3909.6000000000004</v>
      </c>
      <c r="AZ60">
        <v>29</v>
      </c>
      <c r="BA60">
        <v>18896.400000000001</v>
      </c>
      <c r="BB60">
        <v>26</v>
      </c>
      <c r="BC60">
        <v>16941.600000000002</v>
      </c>
      <c r="BD60">
        <v>24</v>
      </c>
      <c r="BE60">
        <v>15638.400000000001</v>
      </c>
      <c r="BF60">
        <v>16</v>
      </c>
      <c r="BG60">
        <v>10425.6</v>
      </c>
      <c r="BH60">
        <v>7</v>
      </c>
      <c r="BI60">
        <v>4561.2</v>
      </c>
      <c r="BJ60">
        <v>9</v>
      </c>
      <c r="BK60">
        <v>5864.4000000000005</v>
      </c>
      <c r="BL60">
        <v>7</v>
      </c>
      <c r="BM60">
        <v>4561.2</v>
      </c>
      <c r="BN60">
        <v>12</v>
      </c>
      <c r="BO60">
        <v>7819.2000000000007</v>
      </c>
      <c r="BP60">
        <v>6</v>
      </c>
      <c r="BQ60">
        <v>3909.6000000000004</v>
      </c>
      <c r="BR60">
        <v>5</v>
      </c>
      <c r="BS60">
        <v>3258</v>
      </c>
      <c r="BT60">
        <v>5</v>
      </c>
      <c r="BU60">
        <v>3258</v>
      </c>
      <c r="BV60">
        <v>5</v>
      </c>
      <c r="BW60">
        <v>3258</v>
      </c>
      <c r="BX60">
        <v>17</v>
      </c>
      <c r="BY60">
        <v>11077.2</v>
      </c>
      <c r="BZ60">
        <v>15</v>
      </c>
      <c r="CA60">
        <v>9774</v>
      </c>
      <c r="CB60">
        <v>16</v>
      </c>
      <c r="CC60">
        <v>10425.6</v>
      </c>
      <c r="CD60">
        <v>14</v>
      </c>
      <c r="CE60">
        <v>9122.4</v>
      </c>
      <c r="CF60">
        <v>41</v>
      </c>
      <c r="CG60">
        <v>26715.600000000002</v>
      </c>
      <c r="CH60">
        <v>35</v>
      </c>
      <c r="CI60">
        <v>22806</v>
      </c>
      <c r="CJ60">
        <v>37</v>
      </c>
      <c r="CK60">
        <v>24109.200000000001</v>
      </c>
      <c r="CL60">
        <v>41</v>
      </c>
      <c r="CM60">
        <v>26715.600000000002</v>
      </c>
      <c r="CN60">
        <v>7</v>
      </c>
      <c r="CO60">
        <v>4561.2</v>
      </c>
      <c r="CP60">
        <v>5</v>
      </c>
      <c r="CQ60">
        <v>3258</v>
      </c>
      <c r="CR60">
        <v>4</v>
      </c>
      <c r="CS60">
        <v>2606.4</v>
      </c>
      <c r="CT60">
        <v>7</v>
      </c>
      <c r="CU60">
        <v>4561.2</v>
      </c>
    </row>
    <row r="61" spans="2:99" x14ac:dyDescent="0.2">
      <c r="C61" s="116" t="s">
        <v>227</v>
      </c>
      <c r="D61">
        <v>19</v>
      </c>
      <c r="E61">
        <v>18080.399999999998</v>
      </c>
      <c r="F61">
        <v>15</v>
      </c>
      <c r="G61">
        <v>14273.999999999998</v>
      </c>
      <c r="H61">
        <v>18</v>
      </c>
      <c r="I61">
        <v>17128.8</v>
      </c>
      <c r="J61">
        <v>12</v>
      </c>
      <c r="K61">
        <v>11419.199999999999</v>
      </c>
      <c r="L61">
        <v>25</v>
      </c>
      <c r="M61">
        <v>23789.999999999996</v>
      </c>
      <c r="N61">
        <v>15</v>
      </c>
      <c r="O61">
        <v>14273.999999999998</v>
      </c>
      <c r="P61">
        <v>18</v>
      </c>
      <c r="Q61">
        <v>17128.8</v>
      </c>
      <c r="R61">
        <v>15</v>
      </c>
      <c r="S61">
        <v>14273.999999999998</v>
      </c>
      <c r="T61">
        <v>5</v>
      </c>
      <c r="U61">
        <v>4758</v>
      </c>
      <c r="V61">
        <v>3</v>
      </c>
      <c r="W61">
        <v>2854.7999999999997</v>
      </c>
      <c r="X61">
        <v>5</v>
      </c>
      <c r="Y61">
        <v>4758</v>
      </c>
      <c r="Z61">
        <v>4</v>
      </c>
      <c r="AA61">
        <v>3806.3999999999996</v>
      </c>
      <c r="AB61">
        <v>62</v>
      </c>
      <c r="AC61">
        <v>58999.199999999997</v>
      </c>
      <c r="AD61">
        <v>69</v>
      </c>
      <c r="AE61">
        <v>65660.399999999994</v>
      </c>
      <c r="AF61">
        <v>53</v>
      </c>
      <c r="AG61">
        <v>50434.799999999996</v>
      </c>
      <c r="AH61">
        <v>58</v>
      </c>
      <c r="AI61">
        <v>55192.799999999996</v>
      </c>
      <c r="AJ61">
        <v>33</v>
      </c>
      <c r="AK61">
        <v>31402.799999999996</v>
      </c>
      <c r="AL61">
        <v>32</v>
      </c>
      <c r="AM61">
        <v>30451.199999999997</v>
      </c>
      <c r="AN61">
        <v>30</v>
      </c>
      <c r="AO61">
        <v>28547.999999999996</v>
      </c>
      <c r="AP61">
        <v>24</v>
      </c>
      <c r="AQ61">
        <v>22838.399999999998</v>
      </c>
      <c r="AR61">
        <v>4</v>
      </c>
      <c r="AS61">
        <v>3806.3999999999996</v>
      </c>
      <c r="AT61">
        <v>4</v>
      </c>
      <c r="AU61">
        <v>3806.3999999999996</v>
      </c>
      <c r="AV61">
        <v>5</v>
      </c>
      <c r="AW61">
        <v>4758</v>
      </c>
      <c r="AX61">
        <v>6</v>
      </c>
      <c r="AY61">
        <v>5709.5999999999995</v>
      </c>
      <c r="AZ61">
        <v>27</v>
      </c>
      <c r="BA61">
        <v>25693.199999999997</v>
      </c>
      <c r="BB61">
        <v>22</v>
      </c>
      <c r="BC61">
        <v>20935.199999999997</v>
      </c>
      <c r="BD61">
        <v>26</v>
      </c>
      <c r="BE61">
        <v>24741.599999999999</v>
      </c>
      <c r="BF61">
        <v>16</v>
      </c>
      <c r="BG61">
        <v>15225.599999999999</v>
      </c>
      <c r="BH61">
        <v>7</v>
      </c>
      <c r="BI61">
        <v>6661.1999999999989</v>
      </c>
      <c r="BJ61">
        <v>9</v>
      </c>
      <c r="BK61">
        <v>8564.4</v>
      </c>
      <c r="BL61">
        <v>6</v>
      </c>
      <c r="BM61">
        <v>5709.5999999999995</v>
      </c>
      <c r="BN61">
        <v>12</v>
      </c>
      <c r="BO61">
        <v>11419.199999999999</v>
      </c>
      <c r="BP61">
        <v>6</v>
      </c>
      <c r="BQ61">
        <v>5709.5999999999995</v>
      </c>
      <c r="BR61">
        <v>5</v>
      </c>
      <c r="BS61">
        <v>4758</v>
      </c>
      <c r="BT61">
        <v>5</v>
      </c>
      <c r="BU61">
        <v>4758</v>
      </c>
      <c r="BV61">
        <v>5</v>
      </c>
      <c r="BW61">
        <v>4758</v>
      </c>
      <c r="BX61">
        <v>18</v>
      </c>
      <c r="BY61">
        <v>17128.8</v>
      </c>
      <c r="BZ61">
        <v>13</v>
      </c>
      <c r="CA61">
        <v>12370.8</v>
      </c>
      <c r="CB61">
        <v>15</v>
      </c>
      <c r="CC61">
        <v>14273.999999999998</v>
      </c>
      <c r="CD61">
        <v>14</v>
      </c>
      <c r="CE61">
        <v>13322.399999999998</v>
      </c>
      <c r="CF61">
        <v>38</v>
      </c>
      <c r="CG61">
        <v>36160.799999999996</v>
      </c>
      <c r="CH61">
        <v>34</v>
      </c>
      <c r="CI61">
        <v>32354.399999999998</v>
      </c>
      <c r="CJ61">
        <v>34</v>
      </c>
      <c r="CK61">
        <v>32354.399999999998</v>
      </c>
      <c r="CL61">
        <v>45</v>
      </c>
      <c r="CM61">
        <v>42821.999999999993</v>
      </c>
      <c r="CN61">
        <v>6</v>
      </c>
      <c r="CO61">
        <v>5709.5999999999995</v>
      </c>
      <c r="CP61">
        <v>5</v>
      </c>
      <c r="CQ61">
        <v>4758</v>
      </c>
      <c r="CR61">
        <v>4</v>
      </c>
      <c r="CS61">
        <v>3806.3999999999996</v>
      </c>
      <c r="CT61">
        <v>7</v>
      </c>
      <c r="CU61">
        <v>6661.1999999999989</v>
      </c>
    </row>
    <row r="62" spans="2:99" x14ac:dyDescent="0.2">
      <c r="C62" s="116" t="s">
        <v>228</v>
      </c>
      <c r="D62">
        <v>15</v>
      </c>
      <c r="E62">
        <v>25578</v>
      </c>
      <c r="F62">
        <v>13</v>
      </c>
      <c r="G62">
        <v>22167.600000000002</v>
      </c>
      <c r="H62">
        <v>16</v>
      </c>
      <c r="I62">
        <v>27283.200000000001</v>
      </c>
      <c r="J62">
        <v>11</v>
      </c>
      <c r="K62">
        <v>18757.2</v>
      </c>
      <c r="L62">
        <v>21</v>
      </c>
      <c r="M62">
        <v>35809.200000000004</v>
      </c>
      <c r="N62">
        <v>15</v>
      </c>
      <c r="O62">
        <v>25578</v>
      </c>
      <c r="P62">
        <v>18</v>
      </c>
      <c r="Q62">
        <v>30693.600000000002</v>
      </c>
      <c r="R62">
        <v>15</v>
      </c>
      <c r="S62">
        <v>25578</v>
      </c>
      <c r="T62">
        <v>4</v>
      </c>
      <c r="U62">
        <v>6820.8</v>
      </c>
      <c r="V62">
        <v>3</v>
      </c>
      <c r="W62">
        <v>5115.6000000000004</v>
      </c>
      <c r="X62">
        <v>5</v>
      </c>
      <c r="Y62">
        <v>8526</v>
      </c>
      <c r="Z62">
        <v>4</v>
      </c>
      <c r="AA62">
        <v>6820.8</v>
      </c>
      <c r="AB62">
        <v>54</v>
      </c>
      <c r="AC62">
        <v>92080.8</v>
      </c>
      <c r="AD62">
        <v>53</v>
      </c>
      <c r="AE62">
        <v>90375.6</v>
      </c>
      <c r="AF62">
        <v>47</v>
      </c>
      <c r="AG62">
        <v>80144.400000000009</v>
      </c>
      <c r="AH62">
        <v>50</v>
      </c>
      <c r="AI62">
        <v>85260</v>
      </c>
      <c r="AJ62">
        <v>34</v>
      </c>
      <c r="AK62">
        <v>57976.800000000003</v>
      </c>
      <c r="AL62">
        <v>30</v>
      </c>
      <c r="AM62">
        <v>51156</v>
      </c>
      <c r="AN62">
        <v>27</v>
      </c>
      <c r="AO62">
        <v>46040.4</v>
      </c>
      <c r="AP62">
        <v>22</v>
      </c>
      <c r="AQ62">
        <v>37514.400000000001</v>
      </c>
      <c r="AR62">
        <v>3</v>
      </c>
      <c r="AS62">
        <v>5115.6000000000004</v>
      </c>
      <c r="AT62">
        <v>4</v>
      </c>
      <c r="AU62">
        <v>6820.8</v>
      </c>
      <c r="AV62">
        <v>5</v>
      </c>
      <c r="AW62">
        <v>8526</v>
      </c>
      <c r="AX62">
        <v>6</v>
      </c>
      <c r="AY62">
        <v>10231.200000000001</v>
      </c>
      <c r="AZ62">
        <v>25</v>
      </c>
      <c r="BA62">
        <v>42630</v>
      </c>
      <c r="BB62">
        <v>22</v>
      </c>
      <c r="BC62">
        <v>37514.400000000001</v>
      </c>
      <c r="BD62">
        <v>25</v>
      </c>
      <c r="BE62">
        <v>42630</v>
      </c>
      <c r="BF62">
        <v>13</v>
      </c>
      <c r="BG62">
        <v>22167.600000000002</v>
      </c>
      <c r="BH62">
        <v>7</v>
      </c>
      <c r="BI62">
        <v>11936.4</v>
      </c>
      <c r="BJ62">
        <v>8</v>
      </c>
      <c r="BK62">
        <v>13641.6</v>
      </c>
      <c r="BL62">
        <v>6</v>
      </c>
      <c r="BM62">
        <v>10231.200000000001</v>
      </c>
      <c r="BN62">
        <v>11</v>
      </c>
      <c r="BO62">
        <v>18757.2</v>
      </c>
      <c r="BP62">
        <v>6</v>
      </c>
      <c r="BQ62">
        <v>10231.200000000001</v>
      </c>
      <c r="BR62">
        <v>5</v>
      </c>
      <c r="BS62">
        <v>8526</v>
      </c>
      <c r="BT62">
        <v>4</v>
      </c>
      <c r="BU62">
        <v>6820.8</v>
      </c>
      <c r="BV62">
        <v>5</v>
      </c>
      <c r="BW62">
        <v>8526</v>
      </c>
      <c r="BX62">
        <v>15</v>
      </c>
      <c r="BY62">
        <v>25578</v>
      </c>
      <c r="BZ62">
        <v>12</v>
      </c>
      <c r="CA62">
        <v>20462.400000000001</v>
      </c>
      <c r="CB62">
        <v>15</v>
      </c>
      <c r="CC62">
        <v>25578</v>
      </c>
      <c r="CD62">
        <v>14</v>
      </c>
      <c r="CE62">
        <v>23872.799999999999</v>
      </c>
      <c r="CF62">
        <v>33</v>
      </c>
      <c r="CG62">
        <v>56271.6</v>
      </c>
      <c r="CH62">
        <v>29</v>
      </c>
      <c r="CI62">
        <v>49450.8</v>
      </c>
      <c r="CJ62">
        <v>27</v>
      </c>
      <c r="CK62">
        <v>46040.4</v>
      </c>
      <c r="CL62">
        <v>39</v>
      </c>
      <c r="CM62">
        <v>66502.8</v>
      </c>
      <c r="CN62">
        <v>6</v>
      </c>
      <c r="CO62">
        <v>10231.200000000001</v>
      </c>
      <c r="CP62">
        <v>4</v>
      </c>
      <c r="CQ62">
        <v>6820.8</v>
      </c>
      <c r="CR62">
        <v>4</v>
      </c>
      <c r="CS62">
        <v>6820.8</v>
      </c>
      <c r="CT62">
        <v>7</v>
      </c>
      <c r="CU62">
        <v>11936.4</v>
      </c>
    </row>
    <row r="63" spans="2:99" x14ac:dyDescent="0.2">
      <c r="C63" s="116" t="s">
        <v>229</v>
      </c>
      <c r="D63">
        <v>18</v>
      </c>
      <c r="E63">
        <v>14320.800000000001</v>
      </c>
      <c r="F63">
        <v>14</v>
      </c>
      <c r="G63">
        <v>11138.4</v>
      </c>
      <c r="H63">
        <v>16</v>
      </c>
      <c r="I63">
        <v>12729.6</v>
      </c>
      <c r="J63">
        <v>11</v>
      </c>
      <c r="K63">
        <v>8751.6</v>
      </c>
      <c r="L63">
        <v>23</v>
      </c>
      <c r="M63">
        <v>18298.8</v>
      </c>
      <c r="N63">
        <v>17</v>
      </c>
      <c r="O63">
        <v>13525.2</v>
      </c>
      <c r="P63">
        <v>17</v>
      </c>
      <c r="Q63">
        <v>13525.2</v>
      </c>
      <c r="R63">
        <v>15</v>
      </c>
      <c r="S63">
        <v>11934</v>
      </c>
      <c r="T63">
        <v>5</v>
      </c>
      <c r="U63">
        <v>3978</v>
      </c>
      <c r="V63">
        <v>3</v>
      </c>
      <c r="W63">
        <v>2386.8000000000002</v>
      </c>
      <c r="X63">
        <v>5</v>
      </c>
      <c r="Y63">
        <v>3978</v>
      </c>
      <c r="Z63">
        <v>5</v>
      </c>
      <c r="AA63">
        <v>3978</v>
      </c>
      <c r="AB63">
        <v>58</v>
      </c>
      <c r="AC63">
        <v>46144.800000000003</v>
      </c>
      <c r="AD63">
        <v>71</v>
      </c>
      <c r="AE63">
        <v>56487.6</v>
      </c>
      <c r="AF63">
        <v>57</v>
      </c>
      <c r="AG63">
        <v>45349.200000000004</v>
      </c>
      <c r="AH63">
        <v>59</v>
      </c>
      <c r="AI63">
        <v>46940.4</v>
      </c>
      <c r="AJ63">
        <v>36</v>
      </c>
      <c r="AK63">
        <v>28641.600000000002</v>
      </c>
      <c r="AL63">
        <v>35</v>
      </c>
      <c r="AM63">
        <v>27846</v>
      </c>
      <c r="AN63">
        <v>29</v>
      </c>
      <c r="AO63">
        <v>23072.400000000001</v>
      </c>
      <c r="AP63">
        <v>25</v>
      </c>
      <c r="AQ63">
        <v>19890</v>
      </c>
      <c r="AR63">
        <v>4</v>
      </c>
      <c r="AS63">
        <v>3182.4</v>
      </c>
      <c r="AT63">
        <v>4</v>
      </c>
      <c r="AU63">
        <v>3182.4</v>
      </c>
      <c r="AV63">
        <v>6</v>
      </c>
      <c r="AW63">
        <v>4773.6000000000004</v>
      </c>
      <c r="AX63">
        <v>6</v>
      </c>
      <c r="AY63">
        <v>4773.6000000000004</v>
      </c>
      <c r="AZ63">
        <v>27</v>
      </c>
      <c r="BA63">
        <v>21481.200000000001</v>
      </c>
      <c r="BB63">
        <v>22</v>
      </c>
      <c r="BC63">
        <v>17503.2</v>
      </c>
      <c r="BD63">
        <v>26</v>
      </c>
      <c r="BE63">
        <v>20685.600000000002</v>
      </c>
      <c r="BF63">
        <v>17</v>
      </c>
      <c r="BG63">
        <v>13525.2</v>
      </c>
      <c r="BH63">
        <v>7</v>
      </c>
      <c r="BI63">
        <v>5569.2</v>
      </c>
      <c r="BJ63">
        <v>9</v>
      </c>
      <c r="BK63">
        <v>7160.4000000000005</v>
      </c>
      <c r="BL63">
        <v>6</v>
      </c>
      <c r="BM63">
        <v>4773.6000000000004</v>
      </c>
      <c r="BN63">
        <v>12</v>
      </c>
      <c r="BO63">
        <v>9547.2000000000007</v>
      </c>
      <c r="BP63">
        <v>5</v>
      </c>
      <c r="BQ63">
        <v>3978</v>
      </c>
      <c r="BR63">
        <v>5</v>
      </c>
      <c r="BS63">
        <v>3978</v>
      </c>
      <c r="BT63">
        <v>5</v>
      </c>
      <c r="BU63">
        <v>3978</v>
      </c>
      <c r="BV63">
        <v>5</v>
      </c>
      <c r="BW63">
        <v>3978</v>
      </c>
      <c r="BX63">
        <v>16</v>
      </c>
      <c r="BY63">
        <v>12729.6</v>
      </c>
      <c r="BZ63">
        <v>14</v>
      </c>
      <c r="CA63">
        <v>11138.4</v>
      </c>
      <c r="CB63">
        <v>19</v>
      </c>
      <c r="CC63">
        <v>15116.4</v>
      </c>
      <c r="CD63">
        <v>15</v>
      </c>
      <c r="CE63">
        <v>11934</v>
      </c>
      <c r="CF63">
        <v>35</v>
      </c>
      <c r="CG63">
        <v>27846</v>
      </c>
      <c r="CH63">
        <v>36</v>
      </c>
      <c r="CI63">
        <v>28641.600000000002</v>
      </c>
      <c r="CJ63">
        <v>35</v>
      </c>
      <c r="CK63">
        <v>27846</v>
      </c>
      <c r="CL63">
        <v>44</v>
      </c>
      <c r="CM63">
        <v>35006.400000000001</v>
      </c>
      <c r="CN63">
        <v>7</v>
      </c>
      <c r="CO63">
        <v>5569.2</v>
      </c>
      <c r="CP63">
        <v>5</v>
      </c>
      <c r="CQ63">
        <v>3978</v>
      </c>
      <c r="CR63">
        <v>4</v>
      </c>
      <c r="CS63">
        <v>3182.4</v>
      </c>
      <c r="CT63">
        <v>7</v>
      </c>
      <c r="CU63">
        <v>5569.2</v>
      </c>
    </row>
    <row r="64" spans="2:99" x14ac:dyDescent="0.2">
      <c r="C64" s="116" t="s">
        <v>230</v>
      </c>
      <c r="D64">
        <v>18</v>
      </c>
      <c r="E64">
        <v>18165.599999999999</v>
      </c>
      <c r="F64">
        <v>15</v>
      </c>
      <c r="G64">
        <v>15137.999999999996</v>
      </c>
      <c r="H64">
        <v>16</v>
      </c>
      <c r="I64">
        <v>16147.199999999997</v>
      </c>
      <c r="J64">
        <v>13</v>
      </c>
      <c r="K64">
        <v>13119.599999999999</v>
      </c>
      <c r="L64">
        <v>24</v>
      </c>
      <c r="M64">
        <v>24220.799999999996</v>
      </c>
      <c r="N64">
        <v>16</v>
      </c>
      <c r="O64">
        <v>16147.199999999997</v>
      </c>
      <c r="P64">
        <v>18</v>
      </c>
      <c r="Q64">
        <v>18165.599999999999</v>
      </c>
      <c r="R64">
        <v>17</v>
      </c>
      <c r="S64">
        <v>17156.399999999998</v>
      </c>
      <c r="T64">
        <v>4</v>
      </c>
      <c r="U64">
        <v>4036.7999999999993</v>
      </c>
      <c r="V64">
        <v>3</v>
      </c>
      <c r="W64">
        <v>3027.5999999999995</v>
      </c>
      <c r="X64">
        <v>5</v>
      </c>
      <c r="Y64">
        <v>5045.9999999999991</v>
      </c>
      <c r="Z64">
        <v>4</v>
      </c>
      <c r="AA64">
        <v>4036.7999999999993</v>
      </c>
      <c r="AB64">
        <v>60</v>
      </c>
      <c r="AC64">
        <v>60551.999999999985</v>
      </c>
      <c r="AD64">
        <v>63</v>
      </c>
      <c r="AE64">
        <v>63579.599999999991</v>
      </c>
      <c r="AF64">
        <v>53</v>
      </c>
      <c r="AG64">
        <v>53487.599999999991</v>
      </c>
      <c r="AH64">
        <v>57</v>
      </c>
      <c r="AI64">
        <v>57524.399999999987</v>
      </c>
      <c r="AJ64">
        <v>34</v>
      </c>
      <c r="AK64">
        <v>34312.799999999996</v>
      </c>
      <c r="AL64">
        <v>31</v>
      </c>
      <c r="AM64">
        <v>31285.199999999993</v>
      </c>
      <c r="AN64">
        <v>29</v>
      </c>
      <c r="AO64">
        <v>29266.799999999996</v>
      </c>
      <c r="AP64">
        <v>25</v>
      </c>
      <c r="AQ64">
        <v>25229.999999999996</v>
      </c>
      <c r="AR64">
        <v>3</v>
      </c>
      <c r="AS64">
        <v>3027.5999999999995</v>
      </c>
      <c r="AT64">
        <v>4</v>
      </c>
      <c r="AU64">
        <v>4036.7999999999993</v>
      </c>
      <c r="AV64">
        <v>5</v>
      </c>
      <c r="AW64">
        <v>5045.9999999999991</v>
      </c>
      <c r="AX64">
        <v>6</v>
      </c>
      <c r="AY64">
        <v>6055.1999999999989</v>
      </c>
      <c r="AZ64">
        <v>25</v>
      </c>
      <c r="BA64">
        <v>25229.999999999996</v>
      </c>
      <c r="BB64">
        <v>22</v>
      </c>
      <c r="BC64">
        <v>22202.399999999994</v>
      </c>
      <c r="BD64">
        <v>24</v>
      </c>
      <c r="BE64">
        <v>24220.799999999996</v>
      </c>
      <c r="BF64">
        <v>15</v>
      </c>
      <c r="BG64">
        <v>15137.999999999996</v>
      </c>
      <c r="BH64">
        <v>7</v>
      </c>
      <c r="BI64">
        <v>7064.3999999999987</v>
      </c>
      <c r="BJ64">
        <v>9</v>
      </c>
      <c r="BK64">
        <v>9082.7999999999993</v>
      </c>
      <c r="BL64">
        <v>7</v>
      </c>
      <c r="BM64">
        <v>7064.3999999999987</v>
      </c>
      <c r="BN64">
        <v>12</v>
      </c>
      <c r="BO64">
        <v>12110.399999999998</v>
      </c>
      <c r="BP64">
        <v>6</v>
      </c>
      <c r="BQ64">
        <v>6055.1999999999989</v>
      </c>
      <c r="BR64">
        <v>5</v>
      </c>
      <c r="BS64">
        <v>5045.9999999999991</v>
      </c>
      <c r="BT64">
        <v>5</v>
      </c>
      <c r="BU64">
        <v>5045.9999999999991</v>
      </c>
      <c r="BV64">
        <v>5</v>
      </c>
      <c r="BW64">
        <v>5045.9999999999991</v>
      </c>
      <c r="BX64">
        <v>17</v>
      </c>
      <c r="BY64">
        <v>17156.399999999998</v>
      </c>
      <c r="BZ64">
        <v>14</v>
      </c>
      <c r="CA64">
        <v>14128.799999999997</v>
      </c>
      <c r="CB64">
        <v>15</v>
      </c>
      <c r="CC64">
        <v>15137.999999999996</v>
      </c>
      <c r="CD64">
        <v>13</v>
      </c>
      <c r="CE64">
        <v>13119.599999999999</v>
      </c>
      <c r="CF64">
        <v>37</v>
      </c>
      <c r="CG64">
        <v>37340.399999999994</v>
      </c>
      <c r="CH64">
        <v>34</v>
      </c>
      <c r="CI64">
        <v>34312.799999999996</v>
      </c>
      <c r="CJ64">
        <v>34</v>
      </c>
      <c r="CK64">
        <v>34312.799999999996</v>
      </c>
      <c r="CL64">
        <v>39</v>
      </c>
      <c r="CM64">
        <v>39358.799999999996</v>
      </c>
      <c r="CN64">
        <v>6</v>
      </c>
      <c r="CO64">
        <v>6055.1999999999989</v>
      </c>
      <c r="CP64">
        <v>5</v>
      </c>
      <c r="CQ64">
        <v>5045.9999999999991</v>
      </c>
      <c r="CR64">
        <v>4</v>
      </c>
      <c r="CS64">
        <v>4036.7999999999993</v>
      </c>
      <c r="CT64">
        <v>7</v>
      </c>
      <c r="CU64">
        <v>7064.3999999999987</v>
      </c>
    </row>
    <row r="65" spans="2:99" x14ac:dyDescent="0.2">
      <c r="C65" s="116" t="s">
        <v>231</v>
      </c>
      <c r="D65">
        <v>16</v>
      </c>
      <c r="E65">
        <v>16416</v>
      </c>
      <c r="F65">
        <v>12</v>
      </c>
      <c r="G65">
        <v>12312</v>
      </c>
      <c r="H65">
        <v>15</v>
      </c>
      <c r="I65">
        <v>15390</v>
      </c>
      <c r="J65">
        <v>11</v>
      </c>
      <c r="K65">
        <v>11286</v>
      </c>
      <c r="L65">
        <v>26</v>
      </c>
      <c r="M65">
        <v>26676</v>
      </c>
      <c r="N65">
        <v>14</v>
      </c>
      <c r="O65">
        <v>14364</v>
      </c>
      <c r="P65">
        <v>17</v>
      </c>
      <c r="Q65">
        <v>17442</v>
      </c>
      <c r="R65">
        <v>16</v>
      </c>
      <c r="S65">
        <v>16416</v>
      </c>
      <c r="T65">
        <v>4</v>
      </c>
      <c r="U65">
        <v>4104</v>
      </c>
      <c r="V65">
        <v>3</v>
      </c>
      <c r="W65">
        <v>3078</v>
      </c>
      <c r="X65">
        <v>5</v>
      </c>
      <c r="Y65">
        <v>5130</v>
      </c>
      <c r="Z65">
        <v>4</v>
      </c>
      <c r="AA65">
        <v>4104</v>
      </c>
      <c r="AB65">
        <v>56</v>
      </c>
      <c r="AC65">
        <v>57456</v>
      </c>
      <c r="AD65">
        <v>60</v>
      </c>
      <c r="AE65">
        <v>61560</v>
      </c>
      <c r="AF65">
        <v>51</v>
      </c>
      <c r="AG65">
        <v>52326</v>
      </c>
      <c r="AH65">
        <v>61</v>
      </c>
      <c r="AI65">
        <v>62586</v>
      </c>
      <c r="AJ65">
        <v>33</v>
      </c>
      <c r="AK65">
        <v>33858</v>
      </c>
      <c r="AL65">
        <v>34</v>
      </c>
      <c r="AM65">
        <v>34884</v>
      </c>
      <c r="AN65">
        <v>29</v>
      </c>
      <c r="AO65">
        <v>29754</v>
      </c>
      <c r="AP65">
        <v>26</v>
      </c>
      <c r="AQ65">
        <v>26676</v>
      </c>
      <c r="AR65">
        <v>3</v>
      </c>
      <c r="AS65">
        <v>3078</v>
      </c>
      <c r="AT65">
        <v>4</v>
      </c>
      <c r="AU65">
        <v>4104</v>
      </c>
      <c r="AV65">
        <v>5</v>
      </c>
      <c r="AW65">
        <v>5130</v>
      </c>
      <c r="AX65">
        <v>6</v>
      </c>
      <c r="AY65">
        <v>6156</v>
      </c>
      <c r="AZ65">
        <v>26</v>
      </c>
      <c r="BA65">
        <v>26676</v>
      </c>
      <c r="BB65">
        <v>24</v>
      </c>
      <c r="BC65">
        <v>24624</v>
      </c>
      <c r="BD65">
        <v>27</v>
      </c>
      <c r="BE65">
        <v>27702</v>
      </c>
      <c r="BF65">
        <v>14</v>
      </c>
      <c r="BG65">
        <v>14364</v>
      </c>
      <c r="BH65">
        <v>7</v>
      </c>
      <c r="BI65">
        <v>7182</v>
      </c>
      <c r="BJ65">
        <v>10</v>
      </c>
      <c r="BK65">
        <v>10260</v>
      </c>
      <c r="BL65">
        <v>7</v>
      </c>
      <c r="BM65">
        <v>7182</v>
      </c>
      <c r="BN65">
        <v>11</v>
      </c>
      <c r="BO65">
        <v>11286</v>
      </c>
      <c r="BP65">
        <v>5</v>
      </c>
      <c r="BQ65">
        <v>5130</v>
      </c>
      <c r="BR65">
        <v>5</v>
      </c>
      <c r="BS65">
        <v>5130</v>
      </c>
      <c r="BT65">
        <v>5</v>
      </c>
      <c r="BU65">
        <v>5130</v>
      </c>
      <c r="BV65">
        <v>5</v>
      </c>
      <c r="BW65">
        <v>5130</v>
      </c>
      <c r="BX65">
        <v>15</v>
      </c>
      <c r="BY65">
        <v>15390</v>
      </c>
      <c r="BZ65">
        <v>14</v>
      </c>
      <c r="CA65">
        <v>14364</v>
      </c>
      <c r="CB65">
        <v>17</v>
      </c>
      <c r="CC65">
        <v>17442</v>
      </c>
      <c r="CD65">
        <v>15</v>
      </c>
      <c r="CE65">
        <v>15390</v>
      </c>
      <c r="CF65">
        <v>34</v>
      </c>
      <c r="CG65">
        <v>34884</v>
      </c>
      <c r="CH65">
        <v>32</v>
      </c>
      <c r="CI65">
        <v>32832</v>
      </c>
      <c r="CJ65">
        <v>35</v>
      </c>
      <c r="CK65">
        <v>35910</v>
      </c>
      <c r="CL65">
        <v>38</v>
      </c>
      <c r="CM65">
        <v>38988</v>
      </c>
      <c r="CN65">
        <v>7</v>
      </c>
      <c r="CO65">
        <v>7182</v>
      </c>
      <c r="CP65">
        <v>5</v>
      </c>
      <c r="CQ65">
        <v>5130</v>
      </c>
      <c r="CR65">
        <v>4</v>
      </c>
      <c r="CS65">
        <v>4104</v>
      </c>
      <c r="CT65">
        <v>7</v>
      </c>
      <c r="CU65">
        <v>7182</v>
      </c>
    </row>
    <row r="66" spans="2:99" x14ac:dyDescent="0.2">
      <c r="C66" s="116" t="s">
        <v>232</v>
      </c>
      <c r="D66">
        <v>18</v>
      </c>
      <c r="E66">
        <v>21427.199999999997</v>
      </c>
      <c r="F66">
        <v>12</v>
      </c>
      <c r="G66">
        <v>14284.8</v>
      </c>
      <c r="H66">
        <v>15</v>
      </c>
      <c r="I66">
        <v>17855.999999999996</v>
      </c>
      <c r="J66">
        <v>13</v>
      </c>
      <c r="K66">
        <v>15475.199999999999</v>
      </c>
      <c r="L66">
        <v>26</v>
      </c>
      <c r="M66">
        <v>30950.399999999998</v>
      </c>
      <c r="N66">
        <v>15</v>
      </c>
      <c r="O66">
        <v>17855.999999999996</v>
      </c>
      <c r="P66">
        <v>18</v>
      </c>
      <c r="Q66">
        <v>21427.199999999997</v>
      </c>
      <c r="R66">
        <v>14</v>
      </c>
      <c r="S66">
        <v>16665.599999999999</v>
      </c>
      <c r="T66">
        <v>5</v>
      </c>
      <c r="U66">
        <v>5951.9999999999991</v>
      </c>
      <c r="V66">
        <v>3</v>
      </c>
      <c r="W66">
        <v>3571.2</v>
      </c>
      <c r="X66">
        <v>5</v>
      </c>
      <c r="Y66">
        <v>5951.9999999999991</v>
      </c>
      <c r="Z66">
        <v>4</v>
      </c>
      <c r="AA66">
        <v>4761.5999999999995</v>
      </c>
      <c r="AB66">
        <v>49</v>
      </c>
      <c r="AC66">
        <v>58329.599999999991</v>
      </c>
      <c r="AD66">
        <v>63</v>
      </c>
      <c r="AE66">
        <v>74995.199999999997</v>
      </c>
      <c r="AF66">
        <v>49</v>
      </c>
      <c r="AG66">
        <v>58329.599999999991</v>
      </c>
      <c r="AH66">
        <v>56</v>
      </c>
      <c r="AI66">
        <v>66662.399999999994</v>
      </c>
      <c r="AJ66">
        <v>32</v>
      </c>
      <c r="AK66">
        <v>38092.799999999996</v>
      </c>
      <c r="AL66">
        <v>35</v>
      </c>
      <c r="AM66">
        <v>41663.999999999993</v>
      </c>
      <c r="AN66">
        <v>27</v>
      </c>
      <c r="AO66">
        <v>32140.799999999996</v>
      </c>
      <c r="AP66">
        <v>25</v>
      </c>
      <c r="AQ66">
        <v>29759.999999999996</v>
      </c>
      <c r="AR66">
        <v>4</v>
      </c>
      <c r="AS66">
        <v>4761.5999999999995</v>
      </c>
      <c r="AT66">
        <v>4</v>
      </c>
      <c r="AU66">
        <v>4761.5999999999995</v>
      </c>
      <c r="AV66">
        <v>5</v>
      </c>
      <c r="AW66">
        <v>5951.9999999999991</v>
      </c>
      <c r="AX66">
        <v>6</v>
      </c>
      <c r="AY66">
        <v>7142.4</v>
      </c>
      <c r="AZ66">
        <v>27</v>
      </c>
      <c r="BA66">
        <v>32140.799999999996</v>
      </c>
      <c r="BB66">
        <v>24</v>
      </c>
      <c r="BC66">
        <v>28569.599999999999</v>
      </c>
      <c r="BD66">
        <v>26</v>
      </c>
      <c r="BE66">
        <v>30950.399999999998</v>
      </c>
      <c r="BF66">
        <v>15</v>
      </c>
      <c r="BG66">
        <v>17855.999999999996</v>
      </c>
      <c r="BH66">
        <v>7</v>
      </c>
      <c r="BI66">
        <v>8332.7999999999993</v>
      </c>
      <c r="BJ66">
        <v>9</v>
      </c>
      <c r="BK66">
        <v>10713.599999999999</v>
      </c>
      <c r="BL66">
        <v>7</v>
      </c>
      <c r="BM66">
        <v>8332.7999999999993</v>
      </c>
      <c r="BN66">
        <v>12</v>
      </c>
      <c r="BO66">
        <v>14284.8</v>
      </c>
      <c r="BP66">
        <v>6</v>
      </c>
      <c r="BQ66">
        <v>7142.4</v>
      </c>
      <c r="BR66">
        <v>4</v>
      </c>
      <c r="BS66">
        <v>4761.5999999999995</v>
      </c>
      <c r="BT66">
        <v>5</v>
      </c>
      <c r="BU66">
        <v>5951.9999999999991</v>
      </c>
      <c r="BV66">
        <v>6</v>
      </c>
      <c r="BW66">
        <v>7142.4</v>
      </c>
      <c r="BX66">
        <v>14</v>
      </c>
      <c r="BY66">
        <v>16665.599999999999</v>
      </c>
      <c r="BZ66">
        <v>14</v>
      </c>
      <c r="CA66">
        <v>16665.599999999999</v>
      </c>
      <c r="CB66">
        <v>17</v>
      </c>
      <c r="CC66">
        <v>20236.8</v>
      </c>
      <c r="CD66">
        <v>13</v>
      </c>
      <c r="CE66">
        <v>15475.199999999999</v>
      </c>
      <c r="CF66">
        <v>35</v>
      </c>
      <c r="CG66">
        <v>41663.999999999993</v>
      </c>
      <c r="CH66">
        <v>29</v>
      </c>
      <c r="CI66">
        <v>34521.599999999999</v>
      </c>
      <c r="CJ66">
        <v>30</v>
      </c>
      <c r="CK66">
        <v>35711.999999999993</v>
      </c>
      <c r="CL66">
        <v>41</v>
      </c>
      <c r="CM66">
        <v>48806.399999999994</v>
      </c>
      <c r="CN66">
        <v>6</v>
      </c>
      <c r="CO66">
        <v>7142.4</v>
      </c>
      <c r="CP66">
        <v>4</v>
      </c>
      <c r="CQ66">
        <v>4761.5999999999995</v>
      </c>
      <c r="CR66">
        <v>4</v>
      </c>
      <c r="CS66">
        <v>4761.5999999999995</v>
      </c>
      <c r="CT66">
        <v>7</v>
      </c>
      <c r="CU66">
        <v>8332.7999999999993</v>
      </c>
    </row>
    <row r="67" spans="2:99" x14ac:dyDescent="0.2">
      <c r="C67" s="116" t="s">
        <v>233</v>
      </c>
      <c r="D67">
        <v>18</v>
      </c>
      <c r="E67">
        <v>20217.600000000002</v>
      </c>
      <c r="F67">
        <v>14</v>
      </c>
      <c r="G67">
        <v>15724.800000000001</v>
      </c>
      <c r="H67">
        <v>17</v>
      </c>
      <c r="I67">
        <v>19094.400000000001</v>
      </c>
      <c r="J67">
        <v>12</v>
      </c>
      <c r="K67">
        <v>13478.400000000001</v>
      </c>
      <c r="L67">
        <v>23</v>
      </c>
      <c r="M67">
        <v>25833.600000000002</v>
      </c>
      <c r="N67">
        <v>14</v>
      </c>
      <c r="O67">
        <v>15724.800000000001</v>
      </c>
      <c r="P67">
        <v>18</v>
      </c>
      <c r="Q67">
        <v>20217.600000000002</v>
      </c>
      <c r="R67">
        <v>17</v>
      </c>
      <c r="S67">
        <v>19094.400000000001</v>
      </c>
      <c r="T67">
        <v>5</v>
      </c>
      <c r="U67">
        <v>5616</v>
      </c>
      <c r="V67">
        <v>3</v>
      </c>
      <c r="W67">
        <v>3369.6000000000004</v>
      </c>
      <c r="X67">
        <v>4</v>
      </c>
      <c r="Y67">
        <v>4492.8</v>
      </c>
      <c r="Z67">
        <v>5</v>
      </c>
      <c r="AA67">
        <v>5616</v>
      </c>
      <c r="AB67">
        <v>54</v>
      </c>
      <c r="AC67">
        <v>60652.800000000003</v>
      </c>
      <c r="AD67">
        <v>57</v>
      </c>
      <c r="AE67">
        <v>64022.400000000001</v>
      </c>
      <c r="AF67">
        <v>49</v>
      </c>
      <c r="AG67">
        <v>55036.800000000003</v>
      </c>
      <c r="AH67">
        <v>55</v>
      </c>
      <c r="AI67">
        <v>61776</v>
      </c>
      <c r="AJ67">
        <v>32</v>
      </c>
      <c r="AK67">
        <v>35942.400000000001</v>
      </c>
      <c r="AL67">
        <v>36</v>
      </c>
      <c r="AM67">
        <v>40435.200000000004</v>
      </c>
      <c r="AN67">
        <v>31</v>
      </c>
      <c r="AO67">
        <v>34819.200000000004</v>
      </c>
      <c r="AP67">
        <v>24</v>
      </c>
      <c r="AQ67">
        <v>26956.800000000003</v>
      </c>
      <c r="AR67">
        <v>3</v>
      </c>
      <c r="AS67">
        <v>3369.6000000000004</v>
      </c>
      <c r="AT67">
        <v>4</v>
      </c>
      <c r="AU67">
        <v>4492.8</v>
      </c>
      <c r="AV67">
        <v>5</v>
      </c>
      <c r="AW67">
        <v>5616</v>
      </c>
      <c r="AX67">
        <v>6</v>
      </c>
      <c r="AY67">
        <v>6739.2000000000007</v>
      </c>
      <c r="AZ67">
        <v>25</v>
      </c>
      <c r="BA67">
        <v>28080</v>
      </c>
      <c r="BB67">
        <v>23</v>
      </c>
      <c r="BC67">
        <v>25833.600000000002</v>
      </c>
      <c r="BD67">
        <v>25</v>
      </c>
      <c r="BE67">
        <v>28080</v>
      </c>
      <c r="BF67">
        <v>15</v>
      </c>
      <c r="BG67">
        <v>16848</v>
      </c>
      <c r="BH67">
        <v>7</v>
      </c>
      <c r="BI67">
        <v>7862.4000000000005</v>
      </c>
      <c r="BJ67">
        <v>9</v>
      </c>
      <c r="BK67">
        <v>10108.800000000001</v>
      </c>
      <c r="BL67">
        <v>6</v>
      </c>
      <c r="BM67">
        <v>6739.2000000000007</v>
      </c>
      <c r="BN67">
        <v>12</v>
      </c>
      <c r="BO67">
        <v>13478.400000000001</v>
      </c>
      <c r="BP67">
        <v>6</v>
      </c>
      <c r="BQ67">
        <v>6739.2000000000007</v>
      </c>
      <c r="BR67">
        <v>5</v>
      </c>
      <c r="BS67">
        <v>5616</v>
      </c>
      <c r="BT67">
        <v>5</v>
      </c>
      <c r="BU67">
        <v>5616</v>
      </c>
      <c r="BV67">
        <v>5</v>
      </c>
      <c r="BW67">
        <v>5616</v>
      </c>
      <c r="BX67">
        <v>16</v>
      </c>
      <c r="BY67">
        <v>17971.2</v>
      </c>
      <c r="BZ67">
        <v>14</v>
      </c>
      <c r="CA67">
        <v>15724.800000000001</v>
      </c>
      <c r="CB67">
        <v>16</v>
      </c>
      <c r="CC67">
        <v>17971.2</v>
      </c>
      <c r="CD67">
        <v>13</v>
      </c>
      <c r="CE67">
        <v>14601.6</v>
      </c>
      <c r="CF67">
        <v>33</v>
      </c>
      <c r="CG67">
        <v>37065.599999999999</v>
      </c>
      <c r="CH67">
        <v>34</v>
      </c>
      <c r="CI67">
        <v>38188.800000000003</v>
      </c>
      <c r="CJ67">
        <v>34</v>
      </c>
      <c r="CK67">
        <v>38188.800000000003</v>
      </c>
      <c r="CL67">
        <v>38</v>
      </c>
      <c r="CM67">
        <v>42681.599999999999</v>
      </c>
      <c r="CN67">
        <v>6</v>
      </c>
      <c r="CO67">
        <v>6739.2000000000007</v>
      </c>
      <c r="CP67">
        <v>4</v>
      </c>
      <c r="CQ67">
        <v>4492.8</v>
      </c>
      <c r="CR67">
        <v>4</v>
      </c>
      <c r="CS67">
        <v>4492.8</v>
      </c>
      <c r="CT67">
        <v>6</v>
      </c>
      <c r="CU67">
        <v>6739.2000000000007</v>
      </c>
    </row>
    <row r="68" spans="2:99" x14ac:dyDescent="0.2">
      <c r="C68" s="116" t="s">
        <v>234</v>
      </c>
      <c r="D68">
        <v>17</v>
      </c>
      <c r="E68">
        <v>17564.400000000001</v>
      </c>
      <c r="F68">
        <v>15</v>
      </c>
      <c r="G68">
        <v>15498</v>
      </c>
      <c r="H68">
        <v>17</v>
      </c>
      <c r="I68">
        <v>17564.400000000001</v>
      </c>
      <c r="J68">
        <v>11</v>
      </c>
      <c r="K68">
        <v>11365.2</v>
      </c>
      <c r="L68">
        <v>23</v>
      </c>
      <c r="M68">
        <v>23763.600000000002</v>
      </c>
      <c r="N68">
        <v>15</v>
      </c>
      <c r="O68">
        <v>15498</v>
      </c>
      <c r="P68">
        <v>19</v>
      </c>
      <c r="Q68">
        <v>19630.8</v>
      </c>
      <c r="R68">
        <v>14</v>
      </c>
      <c r="S68">
        <v>14464.800000000001</v>
      </c>
      <c r="T68">
        <v>4</v>
      </c>
      <c r="U68">
        <v>4132.8</v>
      </c>
      <c r="V68">
        <v>3</v>
      </c>
      <c r="W68">
        <v>3099.6000000000004</v>
      </c>
      <c r="X68">
        <v>5</v>
      </c>
      <c r="Y68">
        <v>5166</v>
      </c>
      <c r="Z68">
        <v>4</v>
      </c>
      <c r="AA68">
        <v>4132.8</v>
      </c>
      <c r="AB68">
        <v>61</v>
      </c>
      <c r="AC68">
        <v>63025.200000000004</v>
      </c>
      <c r="AD68">
        <v>69</v>
      </c>
      <c r="AE68">
        <v>71290.8</v>
      </c>
      <c r="AF68">
        <v>58</v>
      </c>
      <c r="AG68">
        <v>59925.600000000006</v>
      </c>
      <c r="AH68">
        <v>59</v>
      </c>
      <c r="AI68">
        <v>60958.8</v>
      </c>
      <c r="AJ68">
        <v>31</v>
      </c>
      <c r="AK68">
        <v>32029.200000000001</v>
      </c>
      <c r="AL68">
        <v>33</v>
      </c>
      <c r="AM68">
        <v>34095.599999999999</v>
      </c>
      <c r="AN68">
        <v>32</v>
      </c>
      <c r="AO68">
        <v>33062.400000000001</v>
      </c>
      <c r="AP68">
        <v>25</v>
      </c>
      <c r="AQ68">
        <v>25830</v>
      </c>
      <c r="AR68">
        <v>4</v>
      </c>
      <c r="AS68">
        <v>4132.8</v>
      </c>
      <c r="AT68">
        <v>4</v>
      </c>
      <c r="AU68">
        <v>4132.8</v>
      </c>
      <c r="AV68">
        <v>5</v>
      </c>
      <c r="AW68">
        <v>5166</v>
      </c>
      <c r="AX68">
        <v>6</v>
      </c>
      <c r="AY68">
        <v>6199.2000000000007</v>
      </c>
      <c r="AZ68">
        <v>25</v>
      </c>
      <c r="BA68">
        <v>25830</v>
      </c>
      <c r="BB68">
        <v>23</v>
      </c>
      <c r="BC68">
        <v>23763.600000000002</v>
      </c>
      <c r="BD68">
        <v>24</v>
      </c>
      <c r="BE68">
        <v>24796.800000000003</v>
      </c>
      <c r="BF68">
        <v>14</v>
      </c>
      <c r="BG68">
        <v>14464.800000000001</v>
      </c>
      <c r="BH68">
        <v>7</v>
      </c>
      <c r="BI68">
        <v>7232.4000000000005</v>
      </c>
      <c r="BJ68">
        <v>9</v>
      </c>
      <c r="BK68">
        <v>9298.8000000000011</v>
      </c>
      <c r="BL68">
        <v>6</v>
      </c>
      <c r="BM68">
        <v>6199.2000000000007</v>
      </c>
      <c r="BN68">
        <v>12</v>
      </c>
      <c r="BO68">
        <v>12398.400000000001</v>
      </c>
      <c r="BP68">
        <v>6</v>
      </c>
      <c r="BQ68">
        <v>6199.2000000000007</v>
      </c>
      <c r="BR68">
        <v>5</v>
      </c>
      <c r="BS68">
        <v>5166</v>
      </c>
      <c r="BT68">
        <v>4</v>
      </c>
      <c r="BU68">
        <v>4132.8</v>
      </c>
      <c r="BV68">
        <v>6</v>
      </c>
      <c r="BW68">
        <v>6199.2000000000007</v>
      </c>
      <c r="BX68">
        <v>16</v>
      </c>
      <c r="BY68">
        <v>16531.2</v>
      </c>
      <c r="BZ68">
        <v>14</v>
      </c>
      <c r="CA68">
        <v>14464.800000000001</v>
      </c>
      <c r="CB68">
        <v>15</v>
      </c>
      <c r="CC68">
        <v>15498</v>
      </c>
      <c r="CD68">
        <v>13</v>
      </c>
      <c r="CE68">
        <v>13431.6</v>
      </c>
      <c r="CF68">
        <v>32</v>
      </c>
      <c r="CG68">
        <v>33062.400000000001</v>
      </c>
      <c r="CH68">
        <v>30</v>
      </c>
      <c r="CI68">
        <v>30996</v>
      </c>
      <c r="CJ68">
        <v>32</v>
      </c>
      <c r="CK68">
        <v>33062.400000000001</v>
      </c>
      <c r="CL68">
        <v>40</v>
      </c>
      <c r="CM68">
        <v>41328</v>
      </c>
      <c r="CN68">
        <v>7</v>
      </c>
      <c r="CO68">
        <v>7232.4000000000005</v>
      </c>
      <c r="CP68">
        <v>5</v>
      </c>
      <c r="CQ68">
        <v>5166</v>
      </c>
      <c r="CR68">
        <v>4</v>
      </c>
      <c r="CS68">
        <v>4132.8</v>
      </c>
      <c r="CT68">
        <v>6</v>
      </c>
      <c r="CU68">
        <v>6199.2000000000007</v>
      </c>
    </row>
    <row r="69" spans="2:99" x14ac:dyDescent="0.2">
      <c r="C69" s="116" t="s">
        <v>235</v>
      </c>
      <c r="D69">
        <v>16</v>
      </c>
      <c r="E69">
        <v>12134.4</v>
      </c>
      <c r="F69">
        <v>15</v>
      </c>
      <c r="G69">
        <v>11376</v>
      </c>
      <c r="H69">
        <v>17</v>
      </c>
      <c r="I69">
        <v>12892.8</v>
      </c>
      <c r="J69">
        <v>13</v>
      </c>
      <c r="K69">
        <v>9859.1999999999989</v>
      </c>
      <c r="L69">
        <v>25</v>
      </c>
      <c r="M69">
        <v>18960</v>
      </c>
      <c r="N69">
        <v>17</v>
      </c>
      <c r="O69">
        <v>12892.8</v>
      </c>
      <c r="P69">
        <v>19</v>
      </c>
      <c r="Q69">
        <v>14409.6</v>
      </c>
      <c r="R69">
        <v>16</v>
      </c>
      <c r="S69">
        <v>12134.4</v>
      </c>
      <c r="T69">
        <v>5</v>
      </c>
      <c r="U69">
        <v>3792</v>
      </c>
      <c r="V69">
        <v>3</v>
      </c>
      <c r="W69">
        <v>2275.1999999999998</v>
      </c>
      <c r="X69">
        <v>5</v>
      </c>
      <c r="Y69">
        <v>3792</v>
      </c>
      <c r="Z69">
        <v>4</v>
      </c>
      <c r="AA69">
        <v>3033.6</v>
      </c>
      <c r="AB69">
        <v>64</v>
      </c>
      <c r="AC69">
        <v>48537.599999999999</v>
      </c>
      <c r="AD69">
        <v>62</v>
      </c>
      <c r="AE69">
        <v>47020.799999999996</v>
      </c>
      <c r="AF69">
        <v>56</v>
      </c>
      <c r="AG69">
        <v>42470.400000000001</v>
      </c>
      <c r="AH69">
        <v>70</v>
      </c>
      <c r="AI69">
        <v>53088</v>
      </c>
      <c r="AJ69">
        <v>39</v>
      </c>
      <c r="AK69">
        <v>29577.599999999999</v>
      </c>
      <c r="AL69">
        <v>33</v>
      </c>
      <c r="AM69">
        <v>25027.200000000001</v>
      </c>
      <c r="AN69">
        <v>33</v>
      </c>
      <c r="AO69">
        <v>25027.200000000001</v>
      </c>
      <c r="AP69">
        <v>23</v>
      </c>
      <c r="AQ69">
        <v>17443.2</v>
      </c>
      <c r="AR69">
        <v>3</v>
      </c>
      <c r="AS69">
        <v>2275.1999999999998</v>
      </c>
      <c r="AT69">
        <v>4</v>
      </c>
      <c r="AU69">
        <v>3033.6</v>
      </c>
      <c r="AV69">
        <v>6</v>
      </c>
      <c r="AW69">
        <v>4550.3999999999996</v>
      </c>
      <c r="AX69">
        <v>6</v>
      </c>
      <c r="AY69">
        <v>4550.3999999999996</v>
      </c>
      <c r="AZ69">
        <v>29</v>
      </c>
      <c r="BA69">
        <v>21993.599999999999</v>
      </c>
      <c r="BB69">
        <v>25</v>
      </c>
      <c r="BC69">
        <v>18960</v>
      </c>
      <c r="BD69">
        <v>27</v>
      </c>
      <c r="BE69">
        <v>20476.8</v>
      </c>
      <c r="BF69">
        <v>17</v>
      </c>
      <c r="BG69">
        <v>12892.8</v>
      </c>
      <c r="BH69">
        <v>8</v>
      </c>
      <c r="BI69">
        <v>6067.2</v>
      </c>
      <c r="BJ69">
        <v>9</v>
      </c>
      <c r="BK69">
        <v>6825.5999999999995</v>
      </c>
      <c r="BL69">
        <v>7</v>
      </c>
      <c r="BM69">
        <v>5308.8</v>
      </c>
      <c r="BN69">
        <v>13</v>
      </c>
      <c r="BO69">
        <v>9859.1999999999989</v>
      </c>
      <c r="BP69">
        <v>6</v>
      </c>
      <c r="BQ69">
        <v>4550.3999999999996</v>
      </c>
      <c r="BR69">
        <v>5</v>
      </c>
      <c r="BS69">
        <v>3792</v>
      </c>
      <c r="BT69">
        <v>5</v>
      </c>
      <c r="BU69">
        <v>3792</v>
      </c>
      <c r="BV69">
        <v>6</v>
      </c>
      <c r="BW69">
        <v>4550.3999999999996</v>
      </c>
      <c r="BX69">
        <v>16</v>
      </c>
      <c r="BY69">
        <v>12134.4</v>
      </c>
      <c r="BZ69">
        <v>15</v>
      </c>
      <c r="CA69">
        <v>11376</v>
      </c>
      <c r="CB69">
        <v>16</v>
      </c>
      <c r="CC69">
        <v>12134.4</v>
      </c>
      <c r="CD69">
        <v>14</v>
      </c>
      <c r="CE69">
        <v>10617.6</v>
      </c>
      <c r="CF69">
        <v>39</v>
      </c>
      <c r="CG69">
        <v>29577.599999999999</v>
      </c>
      <c r="CH69">
        <v>31</v>
      </c>
      <c r="CI69">
        <v>23510.399999999998</v>
      </c>
      <c r="CJ69">
        <v>34</v>
      </c>
      <c r="CK69">
        <v>25785.599999999999</v>
      </c>
      <c r="CL69">
        <v>48</v>
      </c>
      <c r="CM69">
        <v>36403.199999999997</v>
      </c>
      <c r="CN69">
        <v>6</v>
      </c>
      <c r="CO69">
        <v>4550.3999999999996</v>
      </c>
      <c r="CP69">
        <v>5</v>
      </c>
      <c r="CQ69">
        <v>3792</v>
      </c>
      <c r="CR69">
        <v>4</v>
      </c>
      <c r="CS69">
        <v>3033.6</v>
      </c>
      <c r="CT69">
        <v>7</v>
      </c>
      <c r="CU69">
        <v>5308.8</v>
      </c>
    </row>
    <row r="70" spans="2:99" x14ac:dyDescent="0.2">
      <c r="C70" s="116" t="s">
        <v>236</v>
      </c>
      <c r="D70">
        <v>17</v>
      </c>
      <c r="E70">
        <v>9098.4</v>
      </c>
      <c r="F70">
        <v>13</v>
      </c>
      <c r="G70">
        <v>6957.5999999999995</v>
      </c>
      <c r="H70">
        <v>18</v>
      </c>
      <c r="I70">
        <v>9633.5999999999985</v>
      </c>
      <c r="J70">
        <v>13</v>
      </c>
      <c r="K70">
        <v>6957.5999999999995</v>
      </c>
      <c r="L70">
        <v>25</v>
      </c>
      <c r="M70">
        <v>13379.999999999998</v>
      </c>
      <c r="N70">
        <v>17</v>
      </c>
      <c r="O70">
        <v>9098.4</v>
      </c>
      <c r="P70">
        <v>20</v>
      </c>
      <c r="Q70">
        <v>10703.999999999998</v>
      </c>
      <c r="R70">
        <v>17</v>
      </c>
      <c r="S70">
        <v>9098.4</v>
      </c>
      <c r="T70">
        <v>5</v>
      </c>
      <c r="U70">
        <v>2675.9999999999995</v>
      </c>
      <c r="V70">
        <v>3</v>
      </c>
      <c r="W70">
        <v>1605.6</v>
      </c>
      <c r="X70">
        <v>6</v>
      </c>
      <c r="Y70">
        <v>3211.2</v>
      </c>
      <c r="Z70">
        <v>5</v>
      </c>
      <c r="AA70">
        <v>2675.9999999999995</v>
      </c>
      <c r="AB70">
        <v>67</v>
      </c>
      <c r="AC70">
        <v>35858.399999999994</v>
      </c>
      <c r="AD70">
        <v>68</v>
      </c>
      <c r="AE70">
        <v>36393.599999999999</v>
      </c>
      <c r="AF70">
        <v>63</v>
      </c>
      <c r="AG70">
        <v>33717.599999999999</v>
      </c>
      <c r="AH70">
        <v>74</v>
      </c>
      <c r="AI70">
        <v>39604.799999999996</v>
      </c>
      <c r="AJ70">
        <v>34</v>
      </c>
      <c r="AK70">
        <v>18196.8</v>
      </c>
      <c r="AL70">
        <v>36</v>
      </c>
      <c r="AM70">
        <v>19267.199999999997</v>
      </c>
      <c r="AN70">
        <v>30</v>
      </c>
      <c r="AO70">
        <v>16055.999999999998</v>
      </c>
      <c r="AP70">
        <v>26</v>
      </c>
      <c r="AQ70">
        <v>13915.199999999999</v>
      </c>
      <c r="AR70">
        <v>4</v>
      </c>
      <c r="AS70">
        <v>2140.7999999999997</v>
      </c>
      <c r="AT70">
        <v>4</v>
      </c>
      <c r="AU70">
        <v>2140.7999999999997</v>
      </c>
      <c r="AV70">
        <v>5</v>
      </c>
      <c r="AW70">
        <v>2675.9999999999995</v>
      </c>
      <c r="AX70">
        <v>6</v>
      </c>
      <c r="AY70">
        <v>3211.2</v>
      </c>
      <c r="AZ70">
        <v>28</v>
      </c>
      <c r="BA70">
        <v>14985.599999999999</v>
      </c>
      <c r="BB70">
        <v>23</v>
      </c>
      <c r="BC70">
        <v>12309.599999999999</v>
      </c>
      <c r="BD70">
        <v>25</v>
      </c>
      <c r="BE70">
        <v>13379.999999999998</v>
      </c>
      <c r="BF70">
        <v>18</v>
      </c>
      <c r="BG70">
        <v>9633.5999999999985</v>
      </c>
      <c r="BH70">
        <v>7</v>
      </c>
      <c r="BI70">
        <v>3746.3999999999996</v>
      </c>
      <c r="BJ70">
        <v>9</v>
      </c>
      <c r="BK70">
        <v>4816.7999999999993</v>
      </c>
      <c r="BL70">
        <v>7</v>
      </c>
      <c r="BM70">
        <v>3746.3999999999996</v>
      </c>
      <c r="BN70">
        <v>12</v>
      </c>
      <c r="BO70">
        <v>6422.4</v>
      </c>
      <c r="BP70">
        <v>5</v>
      </c>
      <c r="BQ70">
        <v>2675.9999999999995</v>
      </c>
      <c r="BR70">
        <v>5</v>
      </c>
      <c r="BS70">
        <v>2675.9999999999995</v>
      </c>
      <c r="BT70">
        <v>4</v>
      </c>
      <c r="BU70">
        <v>2140.7999999999997</v>
      </c>
      <c r="BV70">
        <v>5</v>
      </c>
      <c r="BW70">
        <v>2675.9999999999995</v>
      </c>
      <c r="BX70">
        <v>16</v>
      </c>
      <c r="BY70">
        <v>8563.1999999999989</v>
      </c>
      <c r="BZ70">
        <v>16</v>
      </c>
      <c r="CA70">
        <v>8563.1999999999989</v>
      </c>
      <c r="CB70">
        <v>18</v>
      </c>
      <c r="CC70">
        <v>9633.5999999999985</v>
      </c>
      <c r="CD70">
        <v>15</v>
      </c>
      <c r="CE70">
        <v>8027.9999999999991</v>
      </c>
      <c r="CF70">
        <v>39</v>
      </c>
      <c r="CG70">
        <v>20872.799999999996</v>
      </c>
      <c r="CH70">
        <v>33</v>
      </c>
      <c r="CI70">
        <v>17661.599999999999</v>
      </c>
      <c r="CJ70">
        <v>40</v>
      </c>
      <c r="CK70">
        <v>21407.999999999996</v>
      </c>
      <c r="CL70">
        <v>47</v>
      </c>
      <c r="CM70">
        <v>25154.399999999998</v>
      </c>
      <c r="CN70">
        <v>7</v>
      </c>
      <c r="CO70">
        <v>3746.3999999999996</v>
      </c>
      <c r="CP70">
        <v>5</v>
      </c>
      <c r="CQ70">
        <v>2675.9999999999995</v>
      </c>
      <c r="CR70">
        <v>4</v>
      </c>
      <c r="CS70">
        <v>2140.7999999999997</v>
      </c>
      <c r="CT70">
        <v>7</v>
      </c>
      <c r="CU70">
        <v>3746.3999999999996</v>
      </c>
    </row>
    <row r="71" spans="2:99" x14ac:dyDescent="0.2">
      <c r="B71" s="116" t="s">
        <v>130</v>
      </c>
      <c r="C71" s="116" t="s">
        <v>237</v>
      </c>
      <c r="D71">
        <v>2.9565400149438625</v>
      </c>
      <c r="E71">
        <v>1667.4885684283386</v>
      </c>
      <c r="F71">
        <v>10.345665755555082</v>
      </c>
      <c r="G71">
        <v>5834.9554861330662</v>
      </c>
      <c r="H71">
        <v>10.634251345341236</v>
      </c>
      <c r="I71">
        <v>5997.7177587724573</v>
      </c>
      <c r="J71">
        <v>8.6994359667531409</v>
      </c>
      <c r="K71">
        <v>4906.4818852487715</v>
      </c>
      <c r="L71">
        <v>4.3522962459740953</v>
      </c>
      <c r="M71">
        <v>2454.6950827293899</v>
      </c>
      <c r="N71">
        <v>3.0701408295733801</v>
      </c>
      <c r="O71">
        <v>1731.5594278793865</v>
      </c>
      <c r="P71">
        <v>2</v>
      </c>
      <c r="Q71">
        <v>1128</v>
      </c>
      <c r="R71">
        <v>3.7834526543352616</v>
      </c>
      <c r="S71">
        <v>2133.8672970450875</v>
      </c>
      <c r="T71">
        <v>2.9489825088612269</v>
      </c>
      <c r="U71">
        <v>1663.2261349977321</v>
      </c>
      <c r="V71">
        <v>3.3772351135584033</v>
      </c>
      <c r="W71">
        <v>1904.7606040469395</v>
      </c>
      <c r="X71">
        <v>1.5501221860269774</v>
      </c>
      <c r="Y71">
        <v>874.26891291921527</v>
      </c>
      <c r="Z71">
        <v>2.1155080556597565</v>
      </c>
      <c r="AA71">
        <v>1193.1465433921028</v>
      </c>
      <c r="AB71">
        <v>4.297055562852119</v>
      </c>
      <c r="AC71">
        <v>2423.5393374485952</v>
      </c>
      <c r="AD71">
        <v>6.4229066652010465</v>
      </c>
      <c r="AE71">
        <v>3622.5193591733901</v>
      </c>
      <c r="AF71">
        <v>6.5313612604708453</v>
      </c>
      <c r="AG71">
        <v>3683.6877509055566</v>
      </c>
      <c r="AH71">
        <v>5.2490560820046026</v>
      </c>
      <c r="AI71">
        <v>2960.4676302505959</v>
      </c>
      <c r="AJ71">
        <v>7.878453551024303</v>
      </c>
      <c r="AK71">
        <v>4443.4478027777068</v>
      </c>
      <c r="AL71">
        <v>5.5694638401871925</v>
      </c>
      <c r="AM71">
        <v>3141.1776058655764</v>
      </c>
      <c r="AN71">
        <v>8.6425871755671935</v>
      </c>
      <c r="AO71">
        <v>4874.419167019897</v>
      </c>
      <c r="AP71">
        <v>7.9660210077828939</v>
      </c>
      <c r="AQ71">
        <v>4492.8358483895518</v>
      </c>
      <c r="AR71">
        <v>5.3723377002379227</v>
      </c>
      <c r="AS71">
        <v>3029.9984629341884</v>
      </c>
      <c r="AT71">
        <v>4.8382581581012669</v>
      </c>
      <c r="AU71">
        <v>2728.7776011691144</v>
      </c>
      <c r="AV71">
        <v>4.7596177803292798</v>
      </c>
      <c r="AW71">
        <v>2684.424428105714</v>
      </c>
      <c r="AX71">
        <v>5.4155132208106638</v>
      </c>
      <c r="AY71">
        <v>3054.3494565372143</v>
      </c>
      <c r="AZ71">
        <v>9.9512439087761084</v>
      </c>
      <c r="BA71">
        <v>5612.5015645497251</v>
      </c>
      <c r="BB71">
        <v>10.588169589511431</v>
      </c>
      <c r="BC71">
        <v>5971.7276484844469</v>
      </c>
      <c r="BD71">
        <v>11.123477078717853</v>
      </c>
      <c r="BE71">
        <v>6273.6410723968693</v>
      </c>
      <c r="BF71">
        <v>11.829541196557598</v>
      </c>
      <c r="BG71">
        <v>6671.8612348584847</v>
      </c>
      <c r="BH71">
        <v>2.9771086439052716</v>
      </c>
      <c r="BI71">
        <v>1679.0892751625731</v>
      </c>
      <c r="BJ71">
        <v>3.0690617210939348</v>
      </c>
      <c r="BK71">
        <v>1730.9508106969793</v>
      </c>
      <c r="BL71">
        <v>3.0117035234007341</v>
      </c>
      <c r="BM71">
        <v>1698.6007871980141</v>
      </c>
      <c r="BN71">
        <v>2.5078138313951852</v>
      </c>
      <c r="BO71">
        <v>1414.4070009068844</v>
      </c>
      <c r="BP71">
        <v>1.9253421641472175</v>
      </c>
      <c r="BQ71">
        <v>1085.8929805790306</v>
      </c>
      <c r="BR71">
        <v>3.0903181602404892</v>
      </c>
      <c r="BS71">
        <v>1742.939442375636</v>
      </c>
      <c r="BT71">
        <v>2.7031228098389253</v>
      </c>
      <c r="BU71">
        <v>1524.5612647491539</v>
      </c>
      <c r="BV71">
        <v>2.6815174682516387</v>
      </c>
      <c r="BW71">
        <v>1512.3758520939243</v>
      </c>
      <c r="BX71">
        <v>2.6553403359276317</v>
      </c>
      <c r="BY71">
        <v>1497.6119494631844</v>
      </c>
      <c r="BZ71">
        <v>2.5333865570219904</v>
      </c>
      <c r="CA71">
        <v>1428.8300181604027</v>
      </c>
      <c r="CB71">
        <v>3.6710463625011025</v>
      </c>
      <c r="CC71">
        <v>2070.4701484506218</v>
      </c>
      <c r="CD71">
        <v>3.9676530154397311</v>
      </c>
      <c r="CE71">
        <v>2237.7563007080084</v>
      </c>
      <c r="CF71">
        <v>2.8161751656441902</v>
      </c>
      <c r="CG71">
        <v>1588.3227934233232</v>
      </c>
      <c r="CH71">
        <v>4.2099245494855797</v>
      </c>
      <c r="CI71">
        <v>2374.3974459098667</v>
      </c>
      <c r="CJ71">
        <v>1.9997696959678088</v>
      </c>
      <c r="CK71">
        <v>1127.8701085258442</v>
      </c>
      <c r="CL71">
        <v>2.32742898844988</v>
      </c>
      <c r="CM71">
        <v>1312.6699494857323</v>
      </c>
      <c r="CN71">
        <v>8.2404564691750029</v>
      </c>
      <c r="CO71">
        <v>4647.617448614702</v>
      </c>
      <c r="CP71">
        <v>5.6749067067088594</v>
      </c>
      <c r="CQ71">
        <v>3200.6473825837966</v>
      </c>
      <c r="CR71">
        <v>5.5263520894756359</v>
      </c>
      <c r="CS71">
        <v>3116.8625784642586</v>
      </c>
      <c r="CT71">
        <v>6.8676581692642076</v>
      </c>
      <c r="CU71">
        <v>3873.3592074650132</v>
      </c>
    </row>
    <row r="72" spans="2:99" x14ac:dyDescent="0.2">
      <c r="C72" s="116" t="s">
        <v>238</v>
      </c>
      <c r="D72">
        <v>2.9565400149438625</v>
      </c>
      <c r="E72">
        <v>219.96657711182334</v>
      </c>
      <c r="F72">
        <v>10.345665755555082</v>
      </c>
      <c r="G72">
        <v>769.717532213298</v>
      </c>
      <c r="H72">
        <v>11.484991452968535</v>
      </c>
      <c r="I72">
        <v>854.48336410085892</v>
      </c>
      <c r="J72">
        <v>10.56360081677167</v>
      </c>
      <c r="K72">
        <v>785.93190076781218</v>
      </c>
      <c r="L72">
        <v>4.3522962459740953</v>
      </c>
      <c r="M72">
        <v>323.81084070047262</v>
      </c>
      <c r="N72">
        <v>3.1537557434780115</v>
      </c>
      <c r="O72">
        <v>234.63942731476402</v>
      </c>
      <c r="P72">
        <v>3</v>
      </c>
      <c r="Q72">
        <v>223.2</v>
      </c>
      <c r="R72">
        <v>3.7834526543352616</v>
      </c>
      <c r="S72">
        <v>281.48887748254344</v>
      </c>
      <c r="T72">
        <v>3.0028198981184797</v>
      </c>
      <c r="U72">
        <v>223.40980042001488</v>
      </c>
      <c r="V72">
        <v>3.4371760264192042</v>
      </c>
      <c r="W72">
        <v>255.72589636558877</v>
      </c>
      <c r="X72">
        <v>1.5227978078299793</v>
      </c>
      <c r="Y72">
        <v>113.29615690255045</v>
      </c>
      <c r="Z72">
        <v>2.4725780571404439</v>
      </c>
      <c r="AA72">
        <v>183.95980745124899</v>
      </c>
      <c r="AB72">
        <v>5.055359485708375</v>
      </c>
      <c r="AC72">
        <v>376.11874573670303</v>
      </c>
      <c r="AD72">
        <v>6.0680242763830341</v>
      </c>
      <c r="AE72">
        <v>451.46100616289766</v>
      </c>
      <c r="AF72">
        <v>7.275358698835614</v>
      </c>
      <c r="AG72">
        <v>541.28668719336963</v>
      </c>
      <c r="AH72">
        <v>5.8547163991589803</v>
      </c>
      <c r="AI72">
        <v>435.59090009742806</v>
      </c>
      <c r="AJ72">
        <v>7.8674608846624237</v>
      </c>
      <c r="AK72">
        <v>585.3390898188843</v>
      </c>
      <c r="AL72">
        <v>5.9407614295330058</v>
      </c>
      <c r="AM72">
        <v>441.99265035725557</v>
      </c>
      <c r="AN72">
        <v>9.3628027735311274</v>
      </c>
      <c r="AO72">
        <v>696.59252635071584</v>
      </c>
      <c r="AP72">
        <v>7.4681446947964627</v>
      </c>
      <c r="AQ72">
        <v>555.62996529285681</v>
      </c>
      <c r="AR72">
        <v>5.3723377002379227</v>
      </c>
      <c r="AS72">
        <v>399.70192489770142</v>
      </c>
      <c r="AT72">
        <v>5.3758423978902972</v>
      </c>
      <c r="AU72">
        <v>399.96267440303808</v>
      </c>
      <c r="AV72">
        <v>5.2267108862757148</v>
      </c>
      <c r="AW72">
        <v>388.86728993891313</v>
      </c>
      <c r="AX72">
        <v>5.3667779097752684</v>
      </c>
      <c r="AY72">
        <v>399.28827648727992</v>
      </c>
      <c r="AZ72">
        <v>9.9512439087761084</v>
      </c>
      <c r="BA72">
        <v>740.37254681294235</v>
      </c>
      <c r="BB72">
        <v>11.318388181891528</v>
      </c>
      <c r="BC72">
        <v>842.08808073272962</v>
      </c>
      <c r="BD72">
        <v>11.923931616901656</v>
      </c>
      <c r="BE72">
        <v>887.14051229748316</v>
      </c>
      <c r="BF72">
        <v>12.486737929699686</v>
      </c>
      <c r="BG72">
        <v>929.01330196965648</v>
      </c>
      <c r="BH72">
        <v>3.2748195082957992</v>
      </c>
      <c r="BI72">
        <v>243.64657141720744</v>
      </c>
      <c r="BJ72">
        <v>3.0690617210939348</v>
      </c>
      <c r="BK72">
        <v>228.33819204938874</v>
      </c>
      <c r="BL72">
        <v>3.4419468838865535</v>
      </c>
      <c r="BM72">
        <v>256.08084816115957</v>
      </c>
      <c r="BN72">
        <v>2.8212905603195835</v>
      </c>
      <c r="BO72">
        <v>209.90401768777699</v>
      </c>
      <c r="BP72">
        <v>2.5139037200414296</v>
      </c>
      <c r="BQ72">
        <v>187.03443677108234</v>
      </c>
      <c r="BR72">
        <v>3.0903181602404892</v>
      </c>
      <c r="BS72">
        <v>229.91967112189238</v>
      </c>
      <c r="BT72">
        <v>2.7031228098389253</v>
      </c>
      <c r="BU72">
        <v>201.11233705201602</v>
      </c>
      <c r="BV72">
        <v>2.1981371288451679</v>
      </c>
      <c r="BW72">
        <v>163.54140238608048</v>
      </c>
      <c r="BX72">
        <v>3.3191754199095391</v>
      </c>
      <c r="BY72">
        <v>246.94665124126968</v>
      </c>
      <c r="BZ72">
        <v>2.5605497426727264</v>
      </c>
      <c r="CA72">
        <v>190.50490085485083</v>
      </c>
      <c r="CB72">
        <v>3.6710463625011025</v>
      </c>
      <c r="CC72">
        <v>273.12584937008199</v>
      </c>
      <c r="CD72">
        <v>4.0044278120336552</v>
      </c>
      <c r="CE72">
        <v>297.92942921530391</v>
      </c>
      <c r="CF72">
        <v>3.3794101987730287</v>
      </c>
      <c r="CG72">
        <v>251.42811878871331</v>
      </c>
      <c r="CH72">
        <v>4.2099245494855797</v>
      </c>
      <c r="CI72">
        <v>313.21838648172707</v>
      </c>
      <c r="CJ72">
        <v>2.4997121199597614</v>
      </c>
      <c r="CK72">
        <v>185.97858172500622</v>
      </c>
      <c r="CL72">
        <v>2.9092862355623499</v>
      </c>
      <c r="CM72">
        <v>216.45089592583881</v>
      </c>
      <c r="CN72">
        <v>8.2404564691750029</v>
      </c>
      <c r="CO72">
        <v>613.08996130662013</v>
      </c>
      <c r="CP72">
        <v>6.5479692769717612</v>
      </c>
      <c r="CQ72">
        <v>487.16891420669896</v>
      </c>
      <c r="CR72">
        <v>5.9514560963583767</v>
      </c>
      <c r="CS72">
        <v>442.78833356906318</v>
      </c>
      <c r="CT72">
        <v>7.2491947342233303</v>
      </c>
      <c r="CU72">
        <v>539.3400882262157</v>
      </c>
    </row>
    <row r="73" spans="2:99" x14ac:dyDescent="0.2">
      <c r="C73" s="116" t="s">
        <v>239</v>
      </c>
      <c r="D73">
        <v>2.6608860134494763</v>
      </c>
      <c r="E73">
        <v>1487.967458720947</v>
      </c>
      <c r="F73">
        <v>10.345665755555082</v>
      </c>
      <c r="G73">
        <v>5785.2962905064014</v>
      </c>
      <c r="H73">
        <v>9.3581411839002868</v>
      </c>
      <c r="I73">
        <v>5233.0725500370399</v>
      </c>
      <c r="J73">
        <v>9.942212533432162</v>
      </c>
      <c r="K73">
        <v>5559.6852486952639</v>
      </c>
      <c r="L73">
        <v>4.3522962459740953</v>
      </c>
      <c r="M73">
        <v>2433.8040607487137</v>
      </c>
      <c r="N73">
        <v>3.111948286525696</v>
      </c>
      <c r="O73">
        <v>1740.2014818251689</v>
      </c>
      <c r="P73">
        <v>3</v>
      </c>
      <c r="Q73">
        <v>1677.6</v>
      </c>
      <c r="R73">
        <v>2.7834526543352616</v>
      </c>
      <c r="S73">
        <v>1556.5067243042781</v>
      </c>
      <c r="T73">
        <v>2.922063814232601</v>
      </c>
      <c r="U73">
        <v>1634.0180849188703</v>
      </c>
      <c r="V73">
        <v>3.4171957221322709</v>
      </c>
      <c r="W73">
        <v>1910.8958478163656</v>
      </c>
      <c r="X73">
        <v>1.4954734296329815</v>
      </c>
      <c r="Y73">
        <v>836.26874185076315</v>
      </c>
      <c r="Z73">
        <v>2.1155080556597565</v>
      </c>
      <c r="AA73">
        <v>1182.9921047249356</v>
      </c>
      <c r="AB73">
        <v>4.297055562852119</v>
      </c>
      <c r="AC73">
        <v>2402.9134707469047</v>
      </c>
      <c r="AD73">
        <v>5.4768349715482376</v>
      </c>
      <c r="AE73">
        <v>3062.6461160897743</v>
      </c>
      <c r="AF73">
        <v>6.9873651000930286</v>
      </c>
      <c r="AG73">
        <v>3907.334563972021</v>
      </c>
      <c r="AH73">
        <v>5.6528296267741878</v>
      </c>
      <c r="AI73">
        <v>3161.0623272921252</v>
      </c>
      <c r="AJ73">
        <v>7.5021191396520956</v>
      </c>
      <c r="AK73">
        <v>4195.1850228934518</v>
      </c>
      <c r="AL73">
        <v>5.1981662508413802</v>
      </c>
      <c r="AM73">
        <v>2906.8145674704992</v>
      </c>
      <c r="AN73">
        <v>8.2824793765852291</v>
      </c>
      <c r="AO73">
        <v>4631.5624673864595</v>
      </c>
      <c r="AP73">
        <v>6.9702683818100324</v>
      </c>
      <c r="AQ73">
        <v>3897.7740791081696</v>
      </c>
      <c r="AR73">
        <v>4.9018615972093356</v>
      </c>
      <c r="AS73">
        <v>2741.1210051594603</v>
      </c>
      <c r="AT73">
        <v>5.3758423978902972</v>
      </c>
      <c r="AU73">
        <v>3006.1710689002539</v>
      </c>
      <c r="AV73">
        <v>4.3457367069018042</v>
      </c>
      <c r="AW73">
        <v>2430.1359664994889</v>
      </c>
      <c r="AX73">
        <v>5.4155132208106638</v>
      </c>
      <c r="AY73">
        <v>3028.3549930773229</v>
      </c>
      <c r="AZ73">
        <v>9.5366087459104367</v>
      </c>
      <c r="BA73">
        <v>5332.8716107131158</v>
      </c>
      <c r="BB73">
        <v>11.318388181891528</v>
      </c>
      <c r="BC73">
        <v>6329.242671313742</v>
      </c>
      <c r="BD73">
        <v>10.957126350666387</v>
      </c>
      <c r="BE73">
        <v>6127.2250552926425</v>
      </c>
      <c r="BF73">
        <v>12.486737929699686</v>
      </c>
      <c r="BG73">
        <v>6982.5838502880633</v>
      </c>
      <c r="BH73">
        <v>3.2748195082957992</v>
      </c>
      <c r="BI73">
        <v>1831.2790690390107</v>
      </c>
      <c r="BJ73">
        <v>3.4100685789932608</v>
      </c>
      <c r="BK73">
        <v>1906.9103493730313</v>
      </c>
      <c r="BL73">
        <v>3.0117035234007341</v>
      </c>
      <c r="BM73">
        <v>1684.1446102856903</v>
      </c>
      <c r="BN73">
        <v>2.5078138313951852</v>
      </c>
      <c r="BO73">
        <v>1402.3694945161874</v>
      </c>
      <c r="BP73">
        <v>2.5139037200414296</v>
      </c>
      <c r="BQ73">
        <v>1405.7749602471672</v>
      </c>
      <c r="BR73">
        <v>2.506324991766983</v>
      </c>
      <c r="BS73">
        <v>1401.5369353960966</v>
      </c>
      <c r="BT73">
        <v>3.378903512298657</v>
      </c>
      <c r="BU73">
        <v>1889.4828440774088</v>
      </c>
      <c r="BV73">
        <v>2.2170382553608308</v>
      </c>
      <c r="BW73">
        <v>1239.7677923977765</v>
      </c>
      <c r="BX73">
        <v>2.6553403359276317</v>
      </c>
      <c r="BY73">
        <v>1484.8663158507316</v>
      </c>
      <c r="BZ73">
        <v>2.5333865570219904</v>
      </c>
      <c r="CA73">
        <v>1416.6697626866969</v>
      </c>
      <c r="CB73">
        <v>2.7532847718758267</v>
      </c>
      <c r="CC73">
        <v>1539.6368444329621</v>
      </c>
      <c r="CD73">
        <v>3.9676530154397311</v>
      </c>
      <c r="CE73">
        <v>2218.7115662338974</v>
      </c>
      <c r="CF73">
        <v>3.3794101987730287</v>
      </c>
      <c r="CG73">
        <v>1889.7661831538774</v>
      </c>
      <c r="CH73">
        <v>4.2099245494855797</v>
      </c>
      <c r="CI73">
        <v>2354.1898080723358</v>
      </c>
      <c r="CJ73">
        <v>2.4997121199597614</v>
      </c>
      <c r="CK73">
        <v>1397.8390174814983</v>
      </c>
      <c r="CL73">
        <v>2.9092862355623499</v>
      </c>
      <c r="CM73">
        <v>1626.8728629264658</v>
      </c>
      <c r="CN73">
        <v>8.2404564691750029</v>
      </c>
      <c r="CO73">
        <v>4608.0632575626614</v>
      </c>
      <c r="CP73">
        <v>5.6749067067088594</v>
      </c>
      <c r="CQ73">
        <v>3173.407830391594</v>
      </c>
      <c r="CR73">
        <v>5.6538160916776237</v>
      </c>
      <c r="CS73">
        <v>3161.6139584661269</v>
      </c>
      <c r="CT73">
        <v>6.4861216043050849</v>
      </c>
      <c r="CU73">
        <v>3627.039201127403</v>
      </c>
    </row>
    <row r="74" spans="2:99" x14ac:dyDescent="0.2">
      <c r="C74" s="116" t="s">
        <v>240</v>
      </c>
      <c r="D74">
        <v>2.8087130141966696</v>
      </c>
      <c r="E74">
        <v>1132.4730873240972</v>
      </c>
      <c r="F74">
        <v>10.345665755555082</v>
      </c>
      <c r="G74">
        <v>4171.3724326398087</v>
      </c>
      <c r="H74">
        <v>9.3581411839002868</v>
      </c>
      <c r="I74">
        <v>3773.2025253485954</v>
      </c>
      <c r="J74">
        <v>9.942212533432162</v>
      </c>
      <c r="K74">
        <v>4008.7000934798475</v>
      </c>
      <c r="L74">
        <v>4.3522962459740953</v>
      </c>
      <c r="M74">
        <v>1754.8458463767552</v>
      </c>
      <c r="N74">
        <v>3.111948286525696</v>
      </c>
      <c r="O74">
        <v>1254.7375491271605</v>
      </c>
      <c r="P74">
        <v>3</v>
      </c>
      <c r="Q74">
        <v>1209.5999999999999</v>
      </c>
      <c r="R74">
        <v>3.7461453850812014</v>
      </c>
      <c r="S74">
        <v>1510.4458192647403</v>
      </c>
      <c r="T74">
        <v>3.0297385927471052</v>
      </c>
      <c r="U74">
        <v>1221.5906005956328</v>
      </c>
      <c r="V74">
        <v>3.3772351135584033</v>
      </c>
      <c r="W74">
        <v>1361.7011977867483</v>
      </c>
      <c r="X74">
        <v>1.5364599969284782</v>
      </c>
      <c r="Y74">
        <v>619.50067076156245</v>
      </c>
      <c r="Z74">
        <v>2.1558759854963099</v>
      </c>
      <c r="AA74">
        <v>869.24919735211211</v>
      </c>
      <c r="AB74">
        <v>5.055359485708375</v>
      </c>
      <c r="AC74">
        <v>2038.3209446376168</v>
      </c>
      <c r="AD74">
        <v>6.5030823531827595</v>
      </c>
      <c r="AE74">
        <v>2622.0428048032886</v>
      </c>
      <c r="AF74">
        <v>7.520501098341418</v>
      </c>
      <c r="AG74">
        <v>3032.2660428512595</v>
      </c>
      <c r="AH74">
        <v>5.4509428543893952</v>
      </c>
      <c r="AI74">
        <v>2197.8201588898041</v>
      </c>
      <c r="AJ74">
        <v>7.1037993955561287</v>
      </c>
      <c r="AK74">
        <v>2864.2519162882309</v>
      </c>
      <c r="AL74">
        <v>5.1981662508413802</v>
      </c>
      <c r="AM74">
        <v>2095.9006323392446</v>
      </c>
      <c r="AN74">
        <v>9.3628027735311274</v>
      </c>
      <c r="AO74">
        <v>3775.0820782877504</v>
      </c>
      <c r="AP74">
        <v>6.9702683818100324</v>
      </c>
      <c r="AQ74">
        <v>2810.4122115458049</v>
      </c>
      <c r="AR74">
        <v>4.9018615972093356</v>
      </c>
      <c r="AS74">
        <v>1976.430595994804</v>
      </c>
      <c r="AT74">
        <v>5.9134266376793265</v>
      </c>
      <c r="AU74">
        <v>2384.2936203123045</v>
      </c>
      <c r="AV74">
        <v>4.7596177803292798</v>
      </c>
      <c r="AW74">
        <v>1919.0778890287656</v>
      </c>
      <c r="AX74">
        <v>5.9010189352010256</v>
      </c>
      <c r="AY74">
        <v>2379.2908346730533</v>
      </c>
      <c r="AZ74">
        <v>9.5366087459104367</v>
      </c>
      <c r="BA74">
        <v>3845.160646351088</v>
      </c>
      <c r="BB74">
        <v>10.223060293321382</v>
      </c>
      <c r="BC74">
        <v>4121.937910267181</v>
      </c>
      <c r="BD74">
        <v>11.445745500796276</v>
      </c>
      <c r="BE74">
        <v>4614.9245859210587</v>
      </c>
      <c r="BF74">
        <v>11.500942829986553</v>
      </c>
      <c r="BG74">
        <v>4637.1801490505777</v>
      </c>
      <c r="BH74">
        <v>3.5725303726863262</v>
      </c>
      <c r="BI74">
        <v>1440.4442462671268</v>
      </c>
      <c r="BJ74">
        <v>3.4100685789932608</v>
      </c>
      <c r="BK74">
        <v>1374.9396510500826</v>
      </c>
      <c r="BL74">
        <v>3.4419468838865535</v>
      </c>
      <c r="BM74">
        <v>1387.7929835830582</v>
      </c>
      <c r="BN74">
        <v>2.5078138313951852</v>
      </c>
      <c r="BO74">
        <v>1011.1505368185386</v>
      </c>
      <c r="BP74">
        <v>2.4872941372973325</v>
      </c>
      <c r="BQ74">
        <v>1002.8769961582844</v>
      </c>
      <c r="BR74">
        <v>2.506324991766983</v>
      </c>
      <c r="BS74">
        <v>1010.5502366804475</v>
      </c>
      <c r="BT74">
        <v>3.378903512298657</v>
      </c>
      <c r="BU74">
        <v>1362.3738961588185</v>
      </c>
      <c r="BV74">
        <v>2.7004185947673021</v>
      </c>
      <c r="BW74">
        <v>1088.8087774101762</v>
      </c>
      <c r="BX74">
        <v>2.6553403359276317</v>
      </c>
      <c r="BY74">
        <v>1070.633223446021</v>
      </c>
      <c r="BZ74">
        <v>2.5333865570219904</v>
      </c>
      <c r="CA74">
        <v>1021.4614597912665</v>
      </c>
      <c r="CB74">
        <v>2.7532847718758267</v>
      </c>
      <c r="CC74">
        <v>1110.1244200203332</v>
      </c>
      <c r="CD74">
        <v>3.1044515496585356</v>
      </c>
      <c r="CE74">
        <v>1251.7148648223215</v>
      </c>
      <c r="CF74">
        <v>3.3794101987730287</v>
      </c>
      <c r="CG74">
        <v>1362.5781921452851</v>
      </c>
      <c r="CH74">
        <v>4.2099245494855797</v>
      </c>
      <c r="CI74">
        <v>1697.4415783525858</v>
      </c>
      <c r="CJ74">
        <v>2.4997121199597614</v>
      </c>
      <c r="CK74">
        <v>1007.8839267677757</v>
      </c>
      <c r="CL74">
        <v>2.32742898844988</v>
      </c>
      <c r="CM74">
        <v>938.41936814299163</v>
      </c>
      <c r="CN74">
        <v>7.7879289131996048</v>
      </c>
      <c r="CO74">
        <v>3140.0929378020805</v>
      </c>
      <c r="CP74">
        <v>5.6749067067088594</v>
      </c>
      <c r="CQ74">
        <v>2288.1223841450119</v>
      </c>
      <c r="CR74">
        <v>5.9514560963583767</v>
      </c>
      <c r="CS74">
        <v>2399.6270980516974</v>
      </c>
      <c r="CT74">
        <v>6.1045850393459622</v>
      </c>
      <c r="CU74">
        <v>2461.368687864292</v>
      </c>
    </row>
    <row r="75" spans="2:99" x14ac:dyDescent="0.2">
      <c r="C75" s="116" t="s">
        <v>241</v>
      </c>
      <c r="D75">
        <v>2.6608860134494763</v>
      </c>
      <c r="E75">
        <v>1711.4818838507031</v>
      </c>
      <c r="F75">
        <v>9.4835269425921584</v>
      </c>
      <c r="G75">
        <v>6099.8045294752756</v>
      </c>
      <c r="H75">
        <v>10.208881291527584</v>
      </c>
      <c r="I75">
        <v>6566.3524467105417</v>
      </c>
      <c r="J75">
        <v>9.942212533432162</v>
      </c>
      <c r="K75">
        <v>6394.8311015035661</v>
      </c>
      <c r="L75">
        <v>4.3522962459740953</v>
      </c>
      <c r="M75">
        <v>2799.3969454105377</v>
      </c>
      <c r="N75">
        <v>3.111948286525696</v>
      </c>
      <c r="O75">
        <v>2001.6051378933275</v>
      </c>
      <c r="P75">
        <v>3</v>
      </c>
      <c r="Q75">
        <v>1929.6</v>
      </c>
      <c r="R75">
        <v>3.7461453850812014</v>
      </c>
      <c r="S75">
        <v>2409.5207116842284</v>
      </c>
      <c r="T75">
        <v>2.895145119603975</v>
      </c>
      <c r="U75">
        <v>1862.1573409292766</v>
      </c>
      <c r="V75">
        <v>3.3572548092714696</v>
      </c>
      <c r="W75">
        <v>2159.3862933234091</v>
      </c>
      <c r="X75">
        <v>1.5364599969284782</v>
      </c>
      <c r="Y75">
        <v>988.25107002439711</v>
      </c>
      <c r="Z75">
        <v>2.1424200088841254</v>
      </c>
      <c r="AA75">
        <v>1378.0045497142694</v>
      </c>
      <c r="AB75">
        <v>4.297055562852119</v>
      </c>
      <c r="AC75">
        <v>2763.8661380264825</v>
      </c>
      <c r="AD75">
        <v>6.2160326099881518</v>
      </c>
      <c r="AE75">
        <v>3998.152174744379</v>
      </c>
      <c r="AF75">
        <v>7.4776498991046374</v>
      </c>
      <c r="AG75">
        <v>4809.6244151041019</v>
      </c>
      <c r="AH75">
        <v>5.2490560820046026</v>
      </c>
      <c r="AI75">
        <v>3376.1928719453599</v>
      </c>
      <c r="AJ75">
        <v>6.7164723178220411</v>
      </c>
      <c r="AK75">
        <v>4320.034994823136</v>
      </c>
      <c r="AL75">
        <v>4.8268686614955678</v>
      </c>
      <c r="AM75">
        <v>3104.6419230739489</v>
      </c>
      <c r="AN75">
        <v>8.6425871755671935</v>
      </c>
      <c r="AO75">
        <v>5558.9120713248185</v>
      </c>
      <c r="AP75">
        <v>7.4681446947964627</v>
      </c>
      <c r="AQ75">
        <v>4803.5106676930845</v>
      </c>
      <c r="AR75">
        <v>4.8821515405169897</v>
      </c>
      <c r="AS75">
        <v>3140.1998708605274</v>
      </c>
      <c r="AT75">
        <v>5.3758423978902972</v>
      </c>
      <c r="AU75">
        <v>3457.7418303230388</v>
      </c>
      <c r="AV75">
        <v>4.7773551245022663</v>
      </c>
      <c r="AW75">
        <v>3072.7948160798574</v>
      </c>
      <c r="AX75">
        <v>5.4155132208106638</v>
      </c>
      <c r="AY75">
        <v>3483.2581036254187</v>
      </c>
      <c r="AZ75">
        <v>10.365879071641778</v>
      </c>
      <c r="BA75">
        <v>6667.3334188799909</v>
      </c>
      <c r="BB75">
        <v>11.683497478081579</v>
      </c>
      <c r="BC75">
        <v>7514.825577902071</v>
      </c>
      <c r="BD75">
        <v>9.3457842402742717</v>
      </c>
      <c r="BE75">
        <v>6011.2084233444111</v>
      </c>
      <c r="BF75">
        <v>12.815336296270731</v>
      </c>
      <c r="BG75">
        <v>8242.8243057613327</v>
      </c>
      <c r="BH75">
        <v>3.2748195082957992</v>
      </c>
      <c r="BI75">
        <v>2106.363907735858</v>
      </c>
      <c r="BJ75">
        <v>3.0690617210939348</v>
      </c>
      <c r="BK75">
        <v>1974.0204990076186</v>
      </c>
      <c r="BL75">
        <v>3.4419468838865535</v>
      </c>
      <c r="BM75">
        <v>2213.8602357158311</v>
      </c>
      <c r="BN75">
        <v>2.5078138313951852</v>
      </c>
      <c r="BO75">
        <v>1613.025856353383</v>
      </c>
      <c r="BP75">
        <v>1.9253421641472175</v>
      </c>
      <c r="BQ75">
        <v>1238.3800799794901</v>
      </c>
      <c r="BR75">
        <v>3.1187102132193161</v>
      </c>
      <c r="BS75">
        <v>2005.954409142664</v>
      </c>
      <c r="BT75">
        <v>2.7031228098389253</v>
      </c>
      <c r="BU75">
        <v>1738.6485912883966</v>
      </c>
      <c r="BV75">
        <v>2.1981371288451679</v>
      </c>
      <c r="BW75">
        <v>1413.8418012732118</v>
      </c>
      <c r="BX75">
        <v>2.6553403359276317</v>
      </c>
      <c r="BY75">
        <v>1707.9149040686525</v>
      </c>
      <c r="BZ75">
        <v>2.5605497426727264</v>
      </c>
      <c r="CA75">
        <v>1646.9455944870974</v>
      </c>
      <c r="CB75">
        <v>2.7532847718758267</v>
      </c>
      <c r="CC75">
        <v>1770.9127652705315</v>
      </c>
      <c r="CD75">
        <v>3.0676767530646107</v>
      </c>
      <c r="CE75">
        <v>1973.1296875711573</v>
      </c>
      <c r="CF75">
        <v>3.9426452319018668</v>
      </c>
      <c r="CG75">
        <v>2535.9094131592806</v>
      </c>
      <c r="CH75">
        <v>4.2099245494855797</v>
      </c>
      <c r="CI75">
        <v>2707.8234702291247</v>
      </c>
      <c r="CJ75">
        <v>1.9997696959678088</v>
      </c>
      <c r="CK75">
        <v>1286.2518684464944</v>
      </c>
      <c r="CL75">
        <v>2.9092862355623499</v>
      </c>
      <c r="CM75">
        <v>1871.2529067137032</v>
      </c>
      <c r="CN75">
        <v>6.882873801248806</v>
      </c>
      <c r="CO75">
        <v>4427.0644289632319</v>
      </c>
      <c r="CP75">
        <v>5.238375421577409</v>
      </c>
      <c r="CQ75">
        <v>3369.3230711585893</v>
      </c>
      <c r="CR75">
        <v>5.1012480825928943</v>
      </c>
      <c r="CS75">
        <v>3281.1227667237495</v>
      </c>
      <c r="CT75">
        <v>6.4861216043050849</v>
      </c>
      <c r="CU75">
        <v>4171.8734158890302</v>
      </c>
    </row>
    <row r="76" spans="2:99" x14ac:dyDescent="0.2">
      <c r="C76" s="116" t="s">
        <v>242</v>
      </c>
      <c r="D76">
        <v>2.9565400149438625</v>
      </c>
      <c r="E76">
        <v>2302.5533636382802</v>
      </c>
      <c r="F76">
        <v>9.0524575361106958</v>
      </c>
      <c r="G76">
        <v>7050.0539291230098</v>
      </c>
      <c r="H76">
        <v>10.208881291527584</v>
      </c>
      <c r="I76">
        <v>7950.6767498416821</v>
      </c>
      <c r="J76">
        <v>8.6994359667531409</v>
      </c>
      <c r="K76">
        <v>6775.1207309073461</v>
      </c>
      <c r="L76">
        <v>4.3522962459740953</v>
      </c>
      <c r="M76">
        <v>3389.5683163646254</v>
      </c>
      <c r="N76">
        <v>3.111948286525696</v>
      </c>
      <c r="O76">
        <v>2423.5853255462121</v>
      </c>
      <c r="P76">
        <v>2</v>
      </c>
      <c r="Q76">
        <v>1557.6</v>
      </c>
      <c r="R76">
        <v>2.8207599235893217</v>
      </c>
      <c r="S76">
        <v>2196.8078284913636</v>
      </c>
      <c r="T76">
        <v>2.9759012034898533</v>
      </c>
      <c r="U76">
        <v>2317.6318572778978</v>
      </c>
      <c r="V76">
        <v>3.3572548092714696</v>
      </c>
      <c r="W76">
        <v>2614.6300454606203</v>
      </c>
      <c r="X76">
        <v>1.5227978078299793</v>
      </c>
      <c r="Y76">
        <v>1185.9549327379877</v>
      </c>
      <c r="Z76">
        <v>2.1693319621084943</v>
      </c>
      <c r="AA76">
        <v>1689.4757320900953</v>
      </c>
      <c r="AB76">
        <v>4.8025915114229569</v>
      </c>
      <c r="AC76">
        <v>3740.2582690961985</v>
      </c>
      <c r="AD76">
        <v>5.4179692499404597</v>
      </c>
      <c r="AE76">
        <v>4219.5144518536299</v>
      </c>
      <c r="AF76">
        <v>7.4690796592572806</v>
      </c>
      <c r="AG76">
        <v>5816.9192386295699</v>
      </c>
      <c r="AH76">
        <v>5.6528296267741878</v>
      </c>
      <c r="AI76">
        <v>4402.4237133317374</v>
      </c>
      <c r="AJ76">
        <v>7.8674608846624237</v>
      </c>
      <c r="AK76">
        <v>6127.1785369750951</v>
      </c>
      <c r="AL76">
        <v>5.1981662508413802</v>
      </c>
      <c r="AM76">
        <v>4048.3318761552669</v>
      </c>
      <c r="AN76">
        <v>9.0026949745491613</v>
      </c>
      <c r="AO76">
        <v>7011.2988461788864</v>
      </c>
      <c r="AP76">
        <v>6.4723920688236012</v>
      </c>
      <c r="AQ76">
        <v>5040.69894319982</v>
      </c>
      <c r="AR76">
        <v>4.9018615972093356</v>
      </c>
      <c r="AS76">
        <v>3817.5698119066301</v>
      </c>
      <c r="AT76">
        <v>4.8382581581012669</v>
      </c>
      <c r="AU76">
        <v>3768.0354535292663</v>
      </c>
      <c r="AV76">
        <v>4.7596177803292798</v>
      </c>
      <c r="AW76">
        <v>3706.7903273204429</v>
      </c>
      <c r="AX76">
        <v>5.9010189352010256</v>
      </c>
      <c r="AY76">
        <v>4595.7135467345588</v>
      </c>
      <c r="AZ76">
        <v>8.2927032573134216</v>
      </c>
      <c r="BA76">
        <v>6458.3572967956925</v>
      </c>
      <c r="BB76">
        <v>10.588169589511431</v>
      </c>
      <c r="BC76">
        <v>8246.0664763115019</v>
      </c>
      <c r="BD76">
        <v>9.6680526623526948</v>
      </c>
      <c r="BE76">
        <v>7529.4794134402782</v>
      </c>
      <c r="BF76">
        <v>11.500942829986553</v>
      </c>
      <c r="BG76">
        <v>8956.9342759935262</v>
      </c>
      <c r="BH76">
        <v>3.2748195082957992</v>
      </c>
      <c r="BI76">
        <v>2550.4294330607681</v>
      </c>
      <c r="BJ76">
        <v>2.7280548631946089</v>
      </c>
      <c r="BK76">
        <v>2124.6091274559612</v>
      </c>
      <c r="BL76">
        <v>3.0117035234007341</v>
      </c>
      <c r="BM76">
        <v>2345.5147040244915</v>
      </c>
      <c r="BN76">
        <v>2.5078138313951852</v>
      </c>
      <c r="BO76">
        <v>1953.0854118905702</v>
      </c>
      <c r="BP76">
        <v>1.9253421641472175</v>
      </c>
      <c r="BQ76">
        <v>1499.456477437853</v>
      </c>
      <c r="BR76">
        <v>3.0619261072616628</v>
      </c>
      <c r="BS76">
        <v>2384.628052335383</v>
      </c>
      <c r="BT76">
        <v>2.7031228098389253</v>
      </c>
      <c r="BU76">
        <v>2105.1920443025547</v>
      </c>
      <c r="BV76">
        <v>2.1981371288451679</v>
      </c>
      <c r="BW76">
        <v>1711.9091959446166</v>
      </c>
      <c r="BX76">
        <v>2.6553403359276317</v>
      </c>
      <c r="BY76">
        <v>2067.9790536204396</v>
      </c>
      <c r="BZ76">
        <v>2.5333865570219904</v>
      </c>
      <c r="CA76">
        <v>1973.0014506087261</v>
      </c>
      <c r="CB76">
        <v>2.7532847718758267</v>
      </c>
      <c r="CC76">
        <v>2144.2581803368935</v>
      </c>
      <c r="CD76">
        <v>3.1044515496585356</v>
      </c>
      <c r="CE76">
        <v>2417.7468668740676</v>
      </c>
      <c r="CF76">
        <v>3.3794101987730287</v>
      </c>
      <c r="CG76">
        <v>2631.8846628044348</v>
      </c>
      <c r="CH76">
        <v>4.2099245494855797</v>
      </c>
      <c r="CI76">
        <v>3278.6892391393694</v>
      </c>
      <c r="CJ76">
        <v>2.4997121199597614</v>
      </c>
      <c r="CK76">
        <v>1946.7757990246621</v>
      </c>
      <c r="CL76">
        <v>2.32742898844988</v>
      </c>
      <c r="CM76">
        <v>1812.6016962047665</v>
      </c>
      <c r="CN76">
        <v>7.3354013572242058</v>
      </c>
      <c r="CO76">
        <v>5712.8105770062111</v>
      </c>
      <c r="CP76">
        <v>5.6749067067088594</v>
      </c>
      <c r="CQ76">
        <v>4419.6173431848592</v>
      </c>
      <c r="CR76">
        <v>5.1012480825928943</v>
      </c>
      <c r="CS76">
        <v>3972.8520067233458</v>
      </c>
      <c r="CT76">
        <v>6.1045850393459622</v>
      </c>
      <c r="CU76">
        <v>4754.2508286426355</v>
      </c>
    </row>
    <row r="77" spans="2:99" x14ac:dyDescent="0.2">
      <c r="C77" s="116" t="s">
        <v>243</v>
      </c>
      <c r="D77">
        <v>2.9565400149438625</v>
      </c>
      <c r="E77">
        <v>823.10074016037129</v>
      </c>
      <c r="F77">
        <v>10.776735162036543</v>
      </c>
      <c r="G77">
        <v>3000.2430691109735</v>
      </c>
      <c r="H77">
        <v>10.208881291527584</v>
      </c>
      <c r="I77">
        <v>2842.1525515612793</v>
      </c>
      <c r="J77">
        <v>9.3208242500926506</v>
      </c>
      <c r="K77">
        <v>2594.9174712257936</v>
      </c>
      <c r="L77">
        <v>4.3522962459740953</v>
      </c>
      <c r="M77">
        <v>1211.6792748791879</v>
      </c>
      <c r="N77">
        <v>3.111948286525696</v>
      </c>
      <c r="O77">
        <v>866.36640296875373</v>
      </c>
      <c r="P77">
        <v>3</v>
      </c>
      <c r="Q77">
        <v>835.19999999999993</v>
      </c>
      <c r="R77">
        <v>3.8580671928433814</v>
      </c>
      <c r="S77">
        <v>1074.0859064875972</v>
      </c>
      <c r="T77">
        <v>3.0028198981184797</v>
      </c>
      <c r="U77">
        <v>835.9850596361847</v>
      </c>
      <c r="V77">
        <v>3.3572548092714696</v>
      </c>
      <c r="W77">
        <v>934.65973890117709</v>
      </c>
      <c r="X77">
        <v>1.5091356187314804</v>
      </c>
      <c r="Y77">
        <v>420.14335625484409</v>
      </c>
      <c r="Z77">
        <v>2.4725780571404439</v>
      </c>
      <c r="AA77">
        <v>688.36573110789948</v>
      </c>
      <c r="AB77">
        <v>4.297055562852119</v>
      </c>
      <c r="AC77">
        <v>1196.3002686980299</v>
      </c>
      <c r="AD77">
        <v>6.4719614332075279</v>
      </c>
      <c r="AE77">
        <v>1801.7940630049757</v>
      </c>
      <c r="AF77">
        <v>7.0302162993298101</v>
      </c>
      <c r="AG77">
        <v>1957.212217733419</v>
      </c>
      <c r="AH77">
        <v>6.2584899439285637</v>
      </c>
      <c r="AI77">
        <v>1742.363600389712</v>
      </c>
      <c r="AJ77">
        <v>8.2657806287583906</v>
      </c>
      <c r="AK77">
        <v>2301.1933270463355</v>
      </c>
      <c r="AL77">
        <v>5.9407614295330058</v>
      </c>
      <c r="AM77">
        <v>1653.9079819819888</v>
      </c>
      <c r="AN77">
        <v>9.3628027735311274</v>
      </c>
      <c r="AO77">
        <v>2606.6042921510657</v>
      </c>
      <c r="AP77">
        <v>7.9660210077828939</v>
      </c>
      <c r="AQ77">
        <v>2217.7402485667576</v>
      </c>
      <c r="AR77">
        <v>4.8821515405169897</v>
      </c>
      <c r="AS77">
        <v>1359.1909888799298</v>
      </c>
      <c r="AT77">
        <v>5.9134266376793265</v>
      </c>
      <c r="AU77">
        <v>1646.2979759299244</v>
      </c>
      <c r="AV77">
        <v>4.7596177803292798</v>
      </c>
      <c r="AW77">
        <v>1325.0775900436713</v>
      </c>
      <c r="AX77">
        <v>5.9253865907187224</v>
      </c>
      <c r="AY77">
        <v>1649.6276268560921</v>
      </c>
      <c r="AZ77">
        <v>10.78051423450745</v>
      </c>
      <c r="BA77">
        <v>3001.2951628868736</v>
      </c>
      <c r="BB77">
        <v>10.588169589511431</v>
      </c>
      <c r="BC77">
        <v>2947.7464137199822</v>
      </c>
      <c r="BD77">
        <v>10.634857928587966</v>
      </c>
      <c r="BE77">
        <v>2960.7444473188893</v>
      </c>
      <c r="BF77">
        <v>12.158139563128643</v>
      </c>
      <c r="BG77">
        <v>3384.8260543750139</v>
      </c>
      <c r="BH77">
        <v>3.5725303726863262</v>
      </c>
      <c r="BI77">
        <v>994.59245575587317</v>
      </c>
      <c r="BJ77">
        <v>3.4100685789932608</v>
      </c>
      <c r="BK77">
        <v>949.36309239172374</v>
      </c>
      <c r="BL77">
        <v>3.4419468838865535</v>
      </c>
      <c r="BM77">
        <v>958.23801247401639</v>
      </c>
      <c r="BN77">
        <v>2.8212905603195835</v>
      </c>
      <c r="BO77">
        <v>785.44729199297194</v>
      </c>
      <c r="BP77">
        <v>2.5139037200414296</v>
      </c>
      <c r="BQ77">
        <v>699.870795659534</v>
      </c>
      <c r="BR77">
        <v>3.1187102132193161</v>
      </c>
      <c r="BS77">
        <v>868.24892336025755</v>
      </c>
      <c r="BT77">
        <v>3.378903512298657</v>
      </c>
      <c r="BU77">
        <v>940.68673782394603</v>
      </c>
      <c r="BV77">
        <v>2.2170382553608308</v>
      </c>
      <c r="BW77">
        <v>617.22345029245525</v>
      </c>
      <c r="BX77">
        <v>2.6553403359276317</v>
      </c>
      <c r="BY77">
        <v>739.24674952225257</v>
      </c>
      <c r="BZ77">
        <v>2.5605497426727264</v>
      </c>
      <c r="CA77">
        <v>712.85704836008699</v>
      </c>
      <c r="CB77">
        <v>2.7532847718758267</v>
      </c>
      <c r="CC77">
        <v>766.51448049023008</v>
      </c>
      <c r="CD77">
        <v>3.1044515496585356</v>
      </c>
      <c r="CE77">
        <v>864.27931142493628</v>
      </c>
      <c r="CF77">
        <v>3.3794101987730287</v>
      </c>
      <c r="CG77">
        <v>940.82779933841107</v>
      </c>
      <c r="CH77">
        <v>4.2099245494855797</v>
      </c>
      <c r="CI77">
        <v>1172.0429945767853</v>
      </c>
      <c r="CJ77">
        <v>2.4997121199597614</v>
      </c>
      <c r="CK77">
        <v>695.91985419679747</v>
      </c>
      <c r="CL77">
        <v>2.9092862355623499</v>
      </c>
      <c r="CM77">
        <v>809.94528798055819</v>
      </c>
      <c r="CN77">
        <v>8.2404564691750029</v>
      </c>
      <c r="CO77">
        <v>2294.1430810183206</v>
      </c>
      <c r="CP77">
        <v>6.5479692769717612</v>
      </c>
      <c r="CQ77">
        <v>1822.9546467089381</v>
      </c>
      <c r="CR77">
        <v>5.1012480825928943</v>
      </c>
      <c r="CS77">
        <v>1420.1874661938616</v>
      </c>
      <c r="CT77">
        <v>6.1045850393459622</v>
      </c>
      <c r="CU77">
        <v>1699.5164749539158</v>
      </c>
    </row>
    <row r="78" spans="2:99" x14ac:dyDescent="0.2">
      <c r="C78" s="116" t="s">
        <v>244</v>
      </c>
      <c r="D78">
        <v>2.9565400149438625</v>
      </c>
      <c r="E78">
        <v>1632.0100882490121</v>
      </c>
      <c r="F78">
        <v>9.4835269425921584</v>
      </c>
      <c r="G78">
        <v>5234.9068723108712</v>
      </c>
      <c r="H78">
        <v>9.7835112377139364</v>
      </c>
      <c r="I78">
        <v>5400.4982032180933</v>
      </c>
      <c r="J78">
        <v>8.6994359667531409</v>
      </c>
      <c r="K78">
        <v>4802.0886536477337</v>
      </c>
      <c r="L78">
        <v>3.4818369967792759</v>
      </c>
      <c r="M78">
        <v>1921.9740222221603</v>
      </c>
      <c r="N78">
        <v>3.0701408295733801</v>
      </c>
      <c r="O78">
        <v>1694.7177379245059</v>
      </c>
      <c r="P78">
        <v>3</v>
      </c>
      <c r="Q78">
        <v>1656</v>
      </c>
      <c r="R78">
        <v>2.8207599235893217</v>
      </c>
      <c r="S78">
        <v>1557.0594778213056</v>
      </c>
      <c r="T78">
        <v>3.0028198981184797</v>
      </c>
      <c r="U78">
        <v>1657.5565837614008</v>
      </c>
      <c r="V78">
        <v>3.4171957221322709</v>
      </c>
      <c r="W78">
        <v>1886.2920386170135</v>
      </c>
      <c r="X78">
        <v>1.5501221860269774</v>
      </c>
      <c r="Y78">
        <v>855.66744668689148</v>
      </c>
      <c r="Z78">
        <v>2.4187541506917056</v>
      </c>
      <c r="AA78">
        <v>1335.1522911818215</v>
      </c>
      <c r="AB78">
        <v>4.297055562852119</v>
      </c>
      <c r="AC78">
        <v>2371.9746706943697</v>
      </c>
      <c r="AD78">
        <v>6.0778352299843306</v>
      </c>
      <c r="AE78">
        <v>3354.9650469513504</v>
      </c>
      <c r="AF78">
        <v>7.4862201389519925</v>
      </c>
      <c r="AG78">
        <v>4132.3935167014997</v>
      </c>
      <c r="AH78">
        <v>5.6528296267741878</v>
      </c>
      <c r="AI78">
        <v>3120.3619539793517</v>
      </c>
      <c r="AJ78">
        <v>6.7054796514601618</v>
      </c>
      <c r="AK78">
        <v>3701.4247676060095</v>
      </c>
      <c r="AL78">
        <v>4.8268686614955678</v>
      </c>
      <c r="AM78">
        <v>2664.4315011455533</v>
      </c>
      <c r="AN78">
        <v>8.6425871755671935</v>
      </c>
      <c r="AO78">
        <v>4770.7081209130911</v>
      </c>
      <c r="AP78">
        <v>6.9702683818100324</v>
      </c>
      <c r="AQ78">
        <v>3847.588146759138</v>
      </c>
      <c r="AR78">
        <v>4.9018615972093356</v>
      </c>
      <c r="AS78">
        <v>2705.8276016595532</v>
      </c>
      <c r="AT78">
        <v>5.9134266376793265</v>
      </c>
      <c r="AU78">
        <v>3264.2115039989881</v>
      </c>
      <c r="AV78">
        <v>4.292524674382844</v>
      </c>
      <c r="AW78">
        <v>2369.4736202593299</v>
      </c>
      <c r="AX78">
        <v>5.3911455652929652</v>
      </c>
      <c r="AY78">
        <v>2975.912352041717</v>
      </c>
      <c r="AZ78">
        <v>10.365879071641778</v>
      </c>
      <c r="BA78">
        <v>5721.9652475462617</v>
      </c>
      <c r="BB78">
        <v>11.318388181891528</v>
      </c>
      <c r="BC78">
        <v>6247.7502764041237</v>
      </c>
      <c r="BD78">
        <v>9.4993387584756253</v>
      </c>
      <c r="BE78">
        <v>5243.6349946785449</v>
      </c>
      <c r="BF78">
        <v>13.143934662841776</v>
      </c>
      <c r="BG78">
        <v>7255.4519338886603</v>
      </c>
      <c r="BH78">
        <v>3.5725303726863262</v>
      </c>
      <c r="BI78">
        <v>1972.0367657228521</v>
      </c>
      <c r="BJ78">
        <v>3.4100685789932608</v>
      </c>
      <c r="BK78">
        <v>1882.3578556042798</v>
      </c>
      <c r="BL78">
        <v>3.0117035234007341</v>
      </c>
      <c r="BM78">
        <v>1662.4603449172052</v>
      </c>
      <c r="BN78">
        <v>2.8212905603195835</v>
      </c>
      <c r="BO78">
        <v>1557.3523892964101</v>
      </c>
      <c r="BP78">
        <v>2.5139037200414296</v>
      </c>
      <c r="BQ78">
        <v>1387.6748534628691</v>
      </c>
      <c r="BR78">
        <v>2.506324991766983</v>
      </c>
      <c r="BS78">
        <v>1383.4913954553747</v>
      </c>
      <c r="BT78">
        <v>2.7031228098389253</v>
      </c>
      <c r="BU78">
        <v>1492.1237910310867</v>
      </c>
      <c r="BV78">
        <v>2.6815174682516387</v>
      </c>
      <c r="BW78">
        <v>1480.1976424749046</v>
      </c>
      <c r="BX78">
        <v>2.6553403359276317</v>
      </c>
      <c r="BY78">
        <v>1465.7478654320528</v>
      </c>
      <c r="BZ78">
        <v>2.5605497426727264</v>
      </c>
      <c r="CA78">
        <v>1413.4234579553449</v>
      </c>
      <c r="CB78">
        <v>2.7532847718758267</v>
      </c>
      <c r="CC78">
        <v>1519.8131940754563</v>
      </c>
      <c r="CD78">
        <v>4.0044278120336552</v>
      </c>
      <c r="CE78">
        <v>2210.4441522425777</v>
      </c>
      <c r="CF78">
        <v>3.9426452319018668</v>
      </c>
      <c r="CG78">
        <v>2176.3401680098304</v>
      </c>
      <c r="CH78">
        <v>4.2099245494855797</v>
      </c>
      <c r="CI78">
        <v>2323.8783513160402</v>
      </c>
      <c r="CJ78">
        <v>2.4997121199597614</v>
      </c>
      <c r="CK78">
        <v>1379.8410902177882</v>
      </c>
      <c r="CL78">
        <v>2.32742898844988</v>
      </c>
      <c r="CM78">
        <v>1284.7408016243337</v>
      </c>
      <c r="CN78">
        <v>8.2404564691750029</v>
      </c>
      <c r="CO78">
        <v>4548.7319709846015</v>
      </c>
      <c r="CP78">
        <v>5.6749067067088594</v>
      </c>
      <c r="CQ78">
        <v>3132.5485021032905</v>
      </c>
      <c r="CR78">
        <v>5.1012480825928943</v>
      </c>
      <c r="CS78">
        <v>2815.8889415912777</v>
      </c>
      <c r="CT78">
        <v>6.1045850393459622</v>
      </c>
      <c r="CU78">
        <v>3369.7309417189713</v>
      </c>
    </row>
    <row r="79" spans="2:99" x14ac:dyDescent="0.2">
      <c r="C79" s="116" t="s">
        <v>245</v>
      </c>
      <c r="D79">
        <v>2.5130590127022829</v>
      </c>
      <c r="E79">
        <v>1902.8882844181685</v>
      </c>
      <c r="F79">
        <v>9.9145963490736193</v>
      </c>
      <c r="G79">
        <v>7507.3323555185434</v>
      </c>
      <c r="H79">
        <v>10.208881291527584</v>
      </c>
      <c r="I79">
        <v>7730.1649139446863</v>
      </c>
      <c r="J79">
        <v>9.3208242500926506</v>
      </c>
      <c r="K79">
        <v>7057.7281221701542</v>
      </c>
      <c r="L79">
        <v>4.3522962459740953</v>
      </c>
      <c r="M79">
        <v>3295.5587174515845</v>
      </c>
      <c r="N79">
        <v>3.1537557434780115</v>
      </c>
      <c r="O79">
        <v>2388.0238489615499</v>
      </c>
      <c r="P79">
        <v>3</v>
      </c>
      <c r="Q79">
        <v>2271.6</v>
      </c>
      <c r="R79">
        <v>3.7834526543352616</v>
      </c>
      <c r="S79">
        <v>2864.8303498626597</v>
      </c>
      <c r="T79">
        <v>2.9489825088612269</v>
      </c>
      <c r="U79">
        <v>2232.9695557097207</v>
      </c>
      <c r="V79">
        <v>2.8543232032058694</v>
      </c>
      <c r="W79">
        <v>2161.2935294674839</v>
      </c>
      <c r="X79">
        <v>1.5227978078299793</v>
      </c>
      <c r="Y79">
        <v>1153.0625000888601</v>
      </c>
      <c r="Z79">
        <v>2.128964032271941</v>
      </c>
      <c r="AA79">
        <v>1612.0515652363135</v>
      </c>
      <c r="AB79">
        <v>4.8025915114229569</v>
      </c>
      <c r="AC79">
        <v>3636.5222924494628</v>
      </c>
      <c r="AD79">
        <v>6.2062216563868553</v>
      </c>
      <c r="AE79">
        <v>4699.3510382161267</v>
      </c>
      <c r="AF79">
        <v>7.0045055797877405</v>
      </c>
      <c r="AG79">
        <v>5303.8116250152761</v>
      </c>
      <c r="AH79">
        <v>4.8452825372350175</v>
      </c>
      <c r="AI79">
        <v>3668.8479371943549</v>
      </c>
      <c r="AJ79">
        <v>7.8564682183005443</v>
      </c>
      <c r="AK79">
        <v>5948.9177348971716</v>
      </c>
      <c r="AL79">
        <v>4.8268686614955678</v>
      </c>
      <c r="AM79">
        <v>3654.9049504844438</v>
      </c>
      <c r="AN79">
        <v>8.6425871755671935</v>
      </c>
      <c r="AO79">
        <v>6544.1670093394787</v>
      </c>
      <c r="AP79">
        <v>6.9702683818100324</v>
      </c>
      <c r="AQ79">
        <v>5277.8872187065563</v>
      </c>
      <c r="AR79">
        <v>4.9018615972093356</v>
      </c>
      <c r="AS79">
        <v>3711.6896014069084</v>
      </c>
      <c r="AT79">
        <v>4.8382581581012669</v>
      </c>
      <c r="AU79">
        <v>3663.5290773142788</v>
      </c>
      <c r="AV79">
        <v>4.7418804361562925</v>
      </c>
      <c r="AW79">
        <v>3590.5518662575446</v>
      </c>
      <c r="AX79">
        <v>5.9010189352010256</v>
      </c>
      <c r="AY79">
        <v>4468.2515377342161</v>
      </c>
      <c r="AZ79">
        <v>9.9512439087761084</v>
      </c>
      <c r="BA79">
        <v>7535.0818877252686</v>
      </c>
      <c r="BB79">
        <v>10.588169589511431</v>
      </c>
      <c r="BC79">
        <v>8017.3620131780544</v>
      </c>
      <c r="BD79">
        <v>9.0235158181958486</v>
      </c>
      <c r="BE79">
        <v>6832.6061775378957</v>
      </c>
      <c r="BF79">
        <v>12.158139563128643</v>
      </c>
      <c r="BG79">
        <v>9206.1432772010066</v>
      </c>
      <c r="BH79">
        <v>3.2748195082957992</v>
      </c>
      <c r="BI79">
        <v>2479.6933316815789</v>
      </c>
      <c r="BJ79">
        <v>2.7280548631946089</v>
      </c>
      <c r="BK79">
        <v>2065.6831424109578</v>
      </c>
      <c r="BL79">
        <v>3.4419468838865535</v>
      </c>
      <c r="BM79">
        <v>2606.2421804788983</v>
      </c>
      <c r="BN79">
        <v>2.5078138313951852</v>
      </c>
      <c r="BO79">
        <v>1898.9166331324341</v>
      </c>
      <c r="BP79">
        <v>1.9253421641472175</v>
      </c>
      <c r="BQ79">
        <v>1457.869086692273</v>
      </c>
      <c r="BR79">
        <v>3.0903181602404892</v>
      </c>
      <c r="BS79">
        <v>2339.9889109340984</v>
      </c>
      <c r="BT79">
        <v>2.7031228098389253</v>
      </c>
      <c r="BU79">
        <v>2046.8045916100341</v>
      </c>
      <c r="BV79">
        <v>2.2170382553608308</v>
      </c>
      <c r="BW79">
        <v>1678.7413669592208</v>
      </c>
      <c r="BX79">
        <v>2.6553403359276317</v>
      </c>
      <c r="BY79">
        <v>2010.6237023644026</v>
      </c>
      <c r="BZ79">
        <v>2.5333865570219904</v>
      </c>
      <c r="CA79">
        <v>1918.280300977051</v>
      </c>
      <c r="CB79">
        <v>2.7532847718758267</v>
      </c>
      <c r="CC79">
        <v>2084.7872292643756</v>
      </c>
      <c r="CD79">
        <v>3.1044515496585356</v>
      </c>
      <c r="CE79">
        <v>2350.6907134014432</v>
      </c>
      <c r="CF79">
        <v>3.3794101987730287</v>
      </c>
      <c r="CG79">
        <v>2558.8894025109371</v>
      </c>
      <c r="CH79">
        <v>4.2099245494855797</v>
      </c>
      <c r="CI79">
        <v>3187.7548688704805</v>
      </c>
      <c r="CJ79">
        <v>2.4997121199597614</v>
      </c>
      <c r="CK79">
        <v>1892.7820172335312</v>
      </c>
      <c r="CL79">
        <v>2.9092862355623499</v>
      </c>
      <c r="CM79">
        <v>2202.9115375678111</v>
      </c>
      <c r="CN79">
        <v>7.7879289131996048</v>
      </c>
      <c r="CO79">
        <v>5897.0197730747404</v>
      </c>
      <c r="CP79">
        <v>6.1114379918403108</v>
      </c>
      <c r="CQ79">
        <v>4627.5808474214828</v>
      </c>
      <c r="CR79">
        <v>5.1012480825928943</v>
      </c>
      <c r="CS79">
        <v>3862.6650481393394</v>
      </c>
      <c r="CT79">
        <v>6.1045850393459622</v>
      </c>
      <c r="CU79">
        <v>4622.391791792762</v>
      </c>
    </row>
    <row r="80" spans="2:99" x14ac:dyDescent="0.2">
      <c r="C80" s="116" t="s">
        <v>246</v>
      </c>
      <c r="D80">
        <v>2.9565400149438625</v>
      </c>
      <c r="E80">
        <v>2380.6060200327979</v>
      </c>
      <c r="F80">
        <v>8.621388129629235</v>
      </c>
      <c r="G80">
        <v>6941.9417219774596</v>
      </c>
      <c r="H80">
        <v>9.3581411839002868</v>
      </c>
      <c r="I80">
        <v>7535.1752812765108</v>
      </c>
      <c r="J80">
        <v>8.0780476834136312</v>
      </c>
      <c r="K80">
        <v>6504.4439946846551</v>
      </c>
      <c r="L80">
        <v>4.3522962459740953</v>
      </c>
      <c r="M80">
        <v>3504.4689372583412</v>
      </c>
      <c r="N80">
        <v>3.111948286525696</v>
      </c>
      <c r="O80">
        <v>2505.7407603104903</v>
      </c>
      <c r="P80">
        <v>3</v>
      </c>
      <c r="Q80">
        <v>2415.6</v>
      </c>
      <c r="R80">
        <v>3.7461453850812014</v>
      </c>
      <c r="S80">
        <v>3016.3962640673831</v>
      </c>
      <c r="T80">
        <v>2.922063814232601</v>
      </c>
      <c r="U80">
        <v>2352.8457832200902</v>
      </c>
      <c r="V80">
        <v>3.3772351135584033</v>
      </c>
      <c r="W80">
        <v>2719.349713437226</v>
      </c>
      <c r="X80">
        <v>1.5364599969284782</v>
      </c>
      <c r="Y80">
        <v>1237.1575895268106</v>
      </c>
      <c r="Z80">
        <v>2.128964032271941</v>
      </c>
      <c r="AA80">
        <v>1714.2418387853668</v>
      </c>
      <c r="AB80">
        <v>4.549823537137538</v>
      </c>
      <c r="AC80">
        <v>3663.5179121031451</v>
      </c>
      <c r="AD80">
        <v>6.0385914155791447</v>
      </c>
      <c r="AE80">
        <v>4862.2738078243265</v>
      </c>
      <c r="AF80">
        <v>6.9702246203983158</v>
      </c>
      <c r="AG80">
        <v>5612.4248643447236</v>
      </c>
      <c r="AH80">
        <v>4.8452825372350175</v>
      </c>
      <c r="AI80">
        <v>3901.4214989816355</v>
      </c>
      <c r="AJ80">
        <v>7.4801338069283361</v>
      </c>
      <c r="AK80">
        <v>6023.0037413386954</v>
      </c>
      <c r="AL80">
        <v>5.5694638401871925</v>
      </c>
      <c r="AM80">
        <v>4484.5322841187271</v>
      </c>
      <c r="AN80">
        <v>9.3628027735311274</v>
      </c>
      <c r="AO80">
        <v>7538.9287932472635</v>
      </c>
      <c r="AP80">
        <v>7.4681446947964627</v>
      </c>
      <c r="AQ80">
        <v>6013.3501082501116</v>
      </c>
      <c r="AR80">
        <v>4.9018615972093356</v>
      </c>
      <c r="AS80">
        <v>3946.9789580729566</v>
      </c>
      <c r="AT80">
        <v>4.8382581581012669</v>
      </c>
      <c r="AU80">
        <v>3895.7654689031397</v>
      </c>
      <c r="AV80">
        <v>4.3102620185558314</v>
      </c>
      <c r="AW80">
        <v>3470.6229773411551</v>
      </c>
      <c r="AX80">
        <v>5.3911455652929652</v>
      </c>
      <c r="AY80">
        <v>4340.9504091738954</v>
      </c>
      <c r="AZ80">
        <v>8.7073384201790951</v>
      </c>
      <c r="BA80">
        <v>7011.1488959282069</v>
      </c>
      <c r="BB80">
        <v>11.318388181891528</v>
      </c>
      <c r="BC80">
        <v>9113.566164059057</v>
      </c>
      <c r="BD80">
        <v>9.8216071805540484</v>
      </c>
      <c r="BE80">
        <v>7908.3581017821189</v>
      </c>
      <c r="BF80">
        <v>11.172344463415509</v>
      </c>
      <c r="BG80">
        <v>8995.9717619421681</v>
      </c>
      <c r="BH80">
        <v>3.2748195082957992</v>
      </c>
      <c r="BI80">
        <v>2636.8846680797774</v>
      </c>
      <c r="BJ80">
        <v>3.0690617210939348</v>
      </c>
      <c r="BK80">
        <v>2471.2084978248363</v>
      </c>
      <c r="BL80">
        <v>3.0117035234007341</v>
      </c>
      <c r="BM80">
        <v>2425.0236770422707</v>
      </c>
      <c r="BN80">
        <v>2.8212905603195835</v>
      </c>
      <c r="BO80">
        <v>2271.7031591693285</v>
      </c>
      <c r="BP80">
        <v>1.8987325814031204</v>
      </c>
      <c r="BQ80">
        <v>1528.8594745457924</v>
      </c>
      <c r="BR80">
        <v>2.506324991766983</v>
      </c>
      <c r="BS80">
        <v>2018.0928833707744</v>
      </c>
      <c r="BT80">
        <v>2.7031228098389253</v>
      </c>
      <c r="BU80">
        <v>2176.5544864823023</v>
      </c>
      <c r="BV80">
        <v>2.2170382553608308</v>
      </c>
      <c r="BW80">
        <v>1785.1592032165408</v>
      </c>
      <c r="BX80">
        <v>2.6553403359276317</v>
      </c>
      <c r="BY80">
        <v>2138.0800384889289</v>
      </c>
      <c r="BZ80">
        <v>2.5605497426727264</v>
      </c>
      <c r="CA80">
        <v>2061.7546528000789</v>
      </c>
      <c r="CB80">
        <v>2.7532847718758267</v>
      </c>
      <c r="CC80">
        <v>2216.9448983144152</v>
      </c>
      <c r="CD80">
        <v>4.0044278120336552</v>
      </c>
      <c r="CE80">
        <v>3224.3652742494987</v>
      </c>
      <c r="CF80">
        <v>3.3794101987730287</v>
      </c>
      <c r="CG80">
        <v>2721.1010920520425</v>
      </c>
      <c r="CH80">
        <v>4.2099245494855797</v>
      </c>
      <c r="CI80">
        <v>3389.8312472457883</v>
      </c>
      <c r="CJ80">
        <v>1.9997696959678088</v>
      </c>
      <c r="CK80">
        <v>1610.2145591932795</v>
      </c>
      <c r="CL80">
        <v>2.32742898844988</v>
      </c>
      <c r="CM80">
        <v>1874.0458214998432</v>
      </c>
      <c r="CN80">
        <v>7.3354013572242058</v>
      </c>
      <c r="CO80">
        <v>5906.4651728369299</v>
      </c>
      <c r="CP80">
        <v>6.1114379918403108</v>
      </c>
      <c r="CQ80">
        <v>4920.9298710298181</v>
      </c>
      <c r="CR80">
        <v>5.1012480825928943</v>
      </c>
      <c r="CS80">
        <v>4107.5249561037981</v>
      </c>
      <c r="CT80">
        <v>5.7230484743868395</v>
      </c>
      <c r="CU80">
        <v>4608.1986315762824</v>
      </c>
    </row>
    <row r="81" spans="2:99" x14ac:dyDescent="0.2">
      <c r="C81" s="116" t="s">
        <v>247</v>
      </c>
      <c r="D81">
        <v>2.6608860134494763</v>
      </c>
      <c r="E81">
        <v>2005.2436997355253</v>
      </c>
      <c r="F81">
        <v>10.345665755555082</v>
      </c>
      <c r="G81">
        <v>7796.4937133863095</v>
      </c>
      <c r="H81">
        <v>9.7835112377139364</v>
      </c>
      <c r="I81">
        <v>7372.8540687412224</v>
      </c>
      <c r="J81">
        <v>8.6994359667531409</v>
      </c>
      <c r="K81">
        <v>6555.8949445451672</v>
      </c>
      <c r="L81">
        <v>4.3522962459740953</v>
      </c>
      <c r="M81">
        <v>3279.8904509660783</v>
      </c>
      <c r="N81">
        <v>3.111948286525696</v>
      </c>
      <c r="O81">
        <v>2345.1642287257646</v>
      </c>
      <c r="P81">
        <v>3</v>
      </c>
      <c r="Q81">
        <v>2260.8000000000002</v>
      </c>
      <c r="R81">
        <v>3.7461453850812014</v>
      </c>
      <c r="S81">
        <v>2823.0951621971935</v>
      </c>
      <c r="T81">
        <v>2.9759012034898533</v>
      </c>
      <c r="U81">
        <v>2242.6391469499536</v>
      </c>
      <c r="V81">
        <v>2.8743035074928041</v>
      </c>
      <c r="W81">
        <v>2166.0751232465773</v>
      </c>
      <c r="X81">
        <v>1.5364599969284782</v>
      </c>
      <c r="Y81">
        <v>1157.8762536853012</v>
      </c>
      <c r="Z81">
        <v>2.4322101273038901</v>
      </c>
      <c r="AA81">
        <v>1832.9135519362117</v>
      </c>
      <c r="AB81">
        <v>4.297055562852119</v>
      </c>
      <c r="AC81">
        <v>3238.2610721653568</v>
      </c>
      <c r="AD81">
        <v>6.2160326099881518</v>
      </c>
      <c r="AE81">
        <v>4684.4021748870709</v>
      </c>
      <c r="AF81">
        <v>7.2410777394461894</v>
      </c>
      <c r="AG81">
        <v>5456.876184446648</v>
      </c>
      <c r="AH81">
        <v>4.8452825372350175</v>
      </c>
      <c r="AI81">
        <v>3651.4049200603095</v>
      </c>
      <c r="AJ81">
        <v>7.4801338069283361</v>
      </c>
      <c r="AK81">
        <v>5637.0288369011942</v>
      </c>
      <c r="AL81">
        <v>5.1981662508413802</v>
      </c>
      <c r="AM81">
        <v>3917.3380866340644</v>
      </c>
      <c r="AN81">
        <v>9.3628027735311274</v>
      </c>
      <c r="AO81">
        <v>7055.8081701330575</v>
      </c>
      <c r="AP81">
        <v>7.9660210077828939</v>
      </c>
      <c r="AQ81">
        <v>6003.193431465189</v>
      </c>
      <c r="AR81">
        <v>5.3526276435455769</v>
      </c>
      <c r="AS81">
        <v>4033.740192175947</v>
      </c>
      <c r="AT81">
        <v>4.8382581581012669</v>
      </c>
      <c r="AU81">
        <v>3646.1113479451146</v>
      </c>
      <c r="AV81">
        <v>4.7596177803292798</v>
      </c>
      <c r="AW81">
        <v>3586.8479592561453</v>
      </c>
      <c r="AX81">
        <v>5.3667779097752684</v>
      </c>
      <c r="AY81">
        <v>4044.4038328066422</v>
      </c>
      <c r="AZ81">
        <v>8.2927032573134216</v>
      </c>
      <c r="BA81">
        <v>6249.381174711395</v>
      </c>
      <c r="BB81">
        <v>9.4928417009412804</v>
      </c>
      <c r="BC81">
        <v>7153.8055058293494</v>
      </c>
      <c r="BD81">
        <v>9.5121349683257375</v>
      </c>
      <c r="BE81">
        <v>7168.3449121302756</v>
      </c>
      <c r="BF81">
        <v>12.815336296270731</v>
      </c>
      <c r="BG81">
        <v>9657.6374328696238</v>
      </c>
      <c r="BH81">
        <v>3.2748195082957992</v>
      </c>
      <c r="BI81">
        <v>2467.9039814517141</v>
      </c>
      <c r="BJ81">
        <v>3.0690617210939348</v>
      </c>
      <c r="BK81">
        <v>2312.8449130163895</v>
      </c>
      <c r="BL81">
        <v>3.0117035234007341</v>
      </c>
      <c r="BM81">
        <v>2269.6197752347935</v>
      </c>
      <c r="BN81">
        <v>2.8212905603195835</v>
      </c>
      <c r="BO81">
        <v>2126.1245662568381</v>
      </c>
      <c r="BP81">
        <v>1.9253421641472175</v>
      </c>
      <c r="BQ81">
        <v>1450.9378549013431</v>
      </c>
      <c r="BR81">
        <v>2.506324991766983</v>
      </c>
      <c r="BS81">
        <v>1888.7665137955985</v>
      </c>
      <c r="BT81">
        <v>3.378903512298657</v>
      </c>
      <c r="BU81">
        <v>2546.341686868268</v>
      </c>
      <c r="BV81">
        <v>2.1981371288451679</v>
      </c>
      <c r="BW81">
        <v>1656.5161402977185</v>
      </c>
      <c r="BX81">
        <v>2.6553403359276317</v>
      </c>
      <c r="BY81">
        <v>2001.0644771550633</v>
      </c>
      <c r="BZ81">
        <v>2.5333865570219904</v>
      </c>
      <c r="CA81">
        <v>1909.160109371772</v>
      </c>
      <c r="CB81">
        <v>2.7532847718758267</v>
      </c>
      <c r="CC81">
        <v>2074.8754040856229</v>
      </c>
      <c r="CD81">
        <v>3.1412263462524606</v>
      </c>
      <c r="CE81">
        <v>2367.2281745358541</v>
      </c>
      <c r="CF81">
        <v>3.9426452319018668</v>
      </c>
      <c r="CG81">
        <v>2971.1774467612468</v>
      </c>
      <c r="CH81">
        <v>4.2099245494855797</v>
      </c>
      <c r="CI81">
        <v>3172.5991404923329</v>
      </c>
      <c r="CJ81">
        <v>1.9997696959678088</v>
      </c>
      <c r="CK81">
        <v>1507.0264428813407</v>
      </c>
      <c r="CL81">
        <v>2.9092862355623499</v>
      </c>
      <c r="CM81">
        <v>2192.4381071197868</v>
      </c>
      <c r="CN81">
        <v>6.882873801248806</v>
      </c>
      <c r="CO81">
        <v>5186.9336966211004</v>
      </c>
      <c r="CP81">
        <v>5.238375421577409</v>
      </c>
      <c r="CQ81">
        <v>3947.6397177007357</v>
      </c>
      <c r="CR81">
        <v>5.5263520894756359</v>
      </c>
      <c r="CS81">
        <v>4164.6589346288392</v>
      </c>
      <c r="CT81">
        <v>6.4861216043050849</v>
      </c>
      <c r="CU81">
        <v>4887.9412410043124</v>
      </c>
    </row>
    <row r="82" spans="2:99" x14ac:dyDescent="0.2">
      <c r="C82" s="116" t="s">
        <v>248</v>
      </c>
      <c r="D82">
        <v>2.6608860134494763</v>
      </c>
      <c r="E82">
        <v>1353.8588036430933</v>
      </c>
      <c r="F82">
        <v>9.4835269425921584</v>
      </c>
      <c r="G82">
        <v>4825.2185083908889</v>
      </c>
      <c r="H82">
        <v>9.7835112377139364</v>
      </c>
      <c r="I82">
        <v>4977.8505177488496</v>
      </c>
      <c r="J82">
        <v>8.6994359667531409</v>
      </c>
      <c r="K82">
        <v>4426.2730198839972</v>
      </c>
      <c r="L82">
        <v>4.3522962459740953</v>
      </c>
      <c r="M82">
        <v>2214.4483299516191</v>
      </c>
      <c r="N82">
        <v>3.0701408295733801</v>
      </c>
      <c r="O82">
        <v>1562.0876540869356</v>
      </c>
      <c r="P82">
        <v>3</v>
      </c>
      <c r="Q82">
        <v>1526.3999999999996</v>
      </c>
      <c r="R82">
        <v>3.7088381158271413</v>
      </c>
      <c r="S82">
        <v>1887.056833332849</v>
      </c>
      <c r="T82">
        <v>3.0297385927471052</v>
      </c>
      <c r="U82">
        <v>1541.5309959897268</v>
      </c>
      <c r="V82">
        <v>3.4171957221322709</v>
      </c>
      <c r="W82">
        <v>1738.6691834208991</v>
      </c>
      <c r="X82">
        <v>1.4954734296329815</v>
      </c>
      <c r="Y82">
        <v>760.89688099726084</v>
      </c>
      <c r="Z82">
        <v>2.1558759854963099</v>
      </c>
      <c r="AA82">
        <v>1096.9097014205222</v>
      </c>
      <c r="AB82">
        <v>4.8025915114229569</v>
      </c>
      <c r="AC82">
        <v>2443.5585610120002</v>
      </c>
      <c r="AD82">
        <v>6.6592135812178306</v>
      </c>
      <c r="AE82">
        <v>3388.2078701236314</v>
      </c>
      <c r="AF82">
        <v>7.7399327783051524</v>
      </c>
      <c r="AG82">
        <v>3938.0777976016607</v>
      </c>
      <c r="AH82">
        <v>5.6528296267741878</v>
      </c>
      <c r="AI82">
        <v>2876.1597141027059</v>
      </c>
      <c r="AJ82">
        <v>7.1037993955561287</v>
      </c>
      <c r="AK82">
        <v>3614.4131324589575</v>
      </c>
      <c r="AL82">
        <v>4.8268686614955678</v>
      </c>
      <c r="AM82">
        <v>2455.9107749689442</v>
      </c>
      <c r="AN82">
        <v>8.6425871755671935</v>
      </c>
      <c r="AO82">
        <v>4397.3483549285875</v>
      </c>
      <c r="AP82">
        <v>7.9660210077828939</v>
      </c>
      <c r="AQ82">
        <v>4053.1114887599356</v>
      </c>
      <c r="AR82">
        <v>4.8821515405169897</v>
      </c>
      <c r="AS82">
        <v>2484.0387038150438</v>
      </c>
      <c r="AT82">
        <v>5.3758423978902972</v>
      </c>
      <c r="AU82">
        <v>2735.2286120465828</v>
      </c>
      <c r="AV82">
        <v>4.3279993627288169</v>
      </c>
      <c r="AW82">
        <v>2202.0860757564215</v>
      </c>
      <c r="AX82">
        <v>5.3667779097752684</v>
      </c>
      <c r="AY82">
        <v>2730.6166004936558</v>
      </c>
      <c r="AZ82">
        <v>10.365879071641778</v>
      </c>
      <c r="BA82">
        <v>5274.159271651336</v>
      </c>
      <c r="BB82">
        <v>10.953278885701479</v>
      </c>
      <c r="BC82">
        <v>5573.0282970449116</v>
      </c>
      <c r="BD82">
        <v>11.123477078717853</v>
      </c>
      <c r="BE82">
        <v>5659.625137651642</v>
      </c>
      <c r="BF82">
        <v>11.829541196557598</v>
      </c>
      <c r="BG82">
        <v>6018.8705608085047</v>
      </c>
      <c r="BH82">
        <v>3.2748195082957992</v>
      </c>
      <c r="BI82">
        <v>1666.2281658209022</v>
      </c>
      <c r="BJ82">
        <v>3.0690617210939348</v>
      </c>
      <c r="BK82">
        <v>1561.5386036925938</v>
      </c>
      <c r="BL82">
        <v>3.0117035234007341</v>
      </c>
      <c r="BM82">
        <v>1532.3547527062933</v>
      </c>
      <c r="BN82">
        <v>2.5078138313951852</v>
      </c>
      <c r="BO82">
        <v>1275.97567741387</v>
      </c>
      <c r="BP82">
        <v>1.9253421641472175</v>
      </c>
      <c r="BQ82">
        <v>979.61409311810405</v>
      </c>
      <c r="BR82">
        <v>2.506324991766983</v>
      </c>
      <c r="BS82">
        <v>1275.2181558110408</v>
      </c>
      <c r="BT82">
        <v>2.7031228098389253</v>
      </c>
      <c r="BU82">
        <v>1375.3488856460449</v>
      </c>
      <c r="BV82">
        <v>2.1981371288451679</v>
      </c>
      <c r="BW82">
        <v>1118.4121711564212</v>
      </c>
      <c r="BX82">
        <v>3.3191754199095391</v>
      </c>
      <c r="BY82">
        <v>1688.7964536499733</v>
      </c>
      <c r="BZ82">
        <v>2.5333865570219904</v>
      </c>
      <c r="CA82">
        <v>1288.9870802127884</v>
      </c>
      <c r="CB82">
        <v>2.7532847718758267</v>
      </c>
      <c r="CC82">
        <v>1400.8712919304203</v>
      </c>
      <c r="CD82">
        <v>4.0044278120336552</v>
      </c>
      <c r="CE82">
        <v>2037.4528707627233</v>
      </c>
      <c r="CF82">
        <v>3.3794101987730287</v>
      </c>
      <c r="CG82">
        <v>1719.4439091357167</v>
      </c>
      <c r="CH82">
        <v>4.2099245494855797</v>
      </c>
      <c r="CI82">
        <v>2142.0096107782624</v>
      </c>
      <c r="CJ82">
        <v>2.4997121199597614</v>
      </c>
      <c r="CK82">
        <v>1271.8535266355264</v>
      </c>
      <c r="CL82">
        <v>2.9092862355623499</v>
      </c>
      <c r="CM82">
        <v>1480.2448366541232</v>
      </c>
      <c r="CN82">
        <v>8.2404564691750029</v>
      </c>
      <c r="CO82">
        <v>4192.7442515162402</v>
      </c>
      <c r="CP82">
        <v>5.6749067067088594</v>
      </c>
      <c r="CQ82">
        <v>2887.392532373467</v>
      </c>
      <c r="CR82">
        <v>5.1012480825928943</v>
      </c>
      <c r="CS82">
        <v>2595.5150244232641</v>
      </c>
      <c r="CT82">
        <v>6.4861216043050849</v>
      </c>
      <c r="CU82">
        <v>3300.1386722704265</v>
      </c>
    </row>
    <row r="83" spans="2:99" x14ac:dyDescent="0.2">
      <c r="C83" s="116" t="s">
        <v>249</v>
      </c>
      <c r="D83">
        <v>2.8087130141966696</v>
      </c>
      <c r="E83">
        <v>2416.6166774148146</v>
      </c>
      <c r="F83">
        <v>9.4835269425921584</v>
      </c>
      <c r="G83">
        <v>8159.6265814062926</v>
      </c>
      <c r="H83">
        <v>8.9327711300866373</v>
      </c>
      <c r="I83">
        <v>7685.7562803265428</v>
      </c>
      <c r="J83">
        <v>9.3208242500926506</v>
      </c>
      <c r="K83">
        <v>8019.6371847797163</v>
      </c>
      <c r="L83">
        <v>4.3522962459740953</v>
      </c>
      <c r="M83">
        <v>3744.7156900361115</v>
      </c>
      <c r="N83">
        <v>3.0701408295733801</v>
      </c>
      <c r="O83">
        <v>2641.5491697649363</v>
      </c>
      <c r="P83">
        <v>3</v>
      </c>
      <c r="Q83">
        <v>2581.1999999999998</v>
      </c>
      <c r="R83">
        <v>3.7461453850812014</v>
      </c>
      <c r="S83">
        <v>3223.1834893238656</v>
      </c>
      <c r="T83">
        <v>2.895145119603975</v>
      </c>
      <c r="U83">
        <v>2490.9828609072601</v>
      </c>
      <c r="V83">
        <v>3.3772351135584033</v>
      </c>
      <c r="W83">
        <v>2905.7730917056501</v>
      </c>
      <c r="X83">
        <v>1.5091356187314804</v>
      </c>
      <c r="Y83">
        <v>1298.4602863565658</v>
      </c>
      <c r="Z83">
        <v>2.1558759854963099</v>
      </c>
      <c r="AA83">
        <v>1854.915697921025</v>
      </c>
      <c r="AB83">
        <v>4.0442875885667</v>
      </c>
      <c r="AC83">
        <v>3479.7050412027884</v>
      </c>
      <c r="AD83">
        <v>5.4474021107443491</v>
      </c>
      <c r="AE83">
        <v>4686.9447760844378</v>
      </c>
      <c r="AF83">
        <v>6.2690783812703286</v>
      </c>
      <c r="AG83">
        <v>5393.9150392449901</v>
      </c>
      <c r="AH83">
        <v>4.8452825372350175</v>
      </c>
      <c r="AI83">
        <v>4168.8810950370089</v>
      </c>
      <c r="AJ83">
        <v>7.4911264732902163</v>
      </c>
      <c r="AK83">
        <v>6445.3652176189016</v>
      </c>
      <c r="AL83">
        <v>4.8268686614955678</v>
      </c>
      <c r="AM83">
        <v>4153.0377963507863</v>
      </c>
      <c r="AN83">
        <v>8.6425871755671935</v>
      </c>
      <c r="AO83">
        <v>7436.082005858013</v>
      </c>
      <c r="AP83">
        <v>7.4681446947964627</v>
      </c>
      <c r="AQ83">
        <v>6425.5916954028762</v>
      </c>
      <c r="AR83">
        <v>4.9018615972093356</v>
      </c>
      <c r="AS83">
        <v>4217.5617182389124</v>
      </c>
      <c r="AT83">
        <v>5.3758423978902972</v>
      </c>
      <c r="AU83">
        <v>4625.3747991448117</v>
      </c>
      <c r="AV83">
        <v>4.3279993627288169</v>
      </c>
      <c r="AW83">
        <v>3723.8106516918738</v>
      </c>
      <c r="AX83">
        <v>5.3667779097752684</v>
      </c>
      <c r="AY83">
        <v>4617.5757135706408</v>
      </c>
      <c r="AZ83">
        <v>9.121973583044765</v>
      </c>
      <c r="BA83">
        <v>7848.5460708517157</v>
      </c>
      <c r="BB83">
        <v>9.4928417009412804</v>
      </c>
      <c r="BC83">
        <v>8167.6409994898777</v>
      </c>
      <c r="BD83">
        <v>9.1770703363972004</v>
      </c>
      <c r="BE83">
        <v>7895.9513174361509</v>
      </c>
      <c r="BF83">
        <v>11.500942829986553</v>
      </c>
      <c r="BG83">
        <v>9895.4112109204289</v>
      </c>
      <c r="BH83">
        <v>2.9771086439052716</v>
      </c>
      <c r="BI83">
        <v>2561.5042772160955</v>
      </c>
      <c r="BJ83">
        <v>2.7280548631946089</v>
      </c>
      <c r="BK83">
        <v>2347.2184042926415</v>
      </c>
      <c r="BL83">
        <v>3.0117035234007341</v>
      </c>
      <c r="BM83">
        <v>2591.2697115339915</v>
      </c>
      <c r="BN83">
        <v>2.8212905603195835</v>
      </c>
      <c r="BO83">
        <v>2427.4383980989696</v>
      </c>
      <c r="BP83">
        <v>1.9253421641472175</v>
      </c>
      <c r="BQ83">
        <v>1656.5643980322659</v>
      </c>
      <c r="BR83">
        <v>2.506324991766983</v>
      </c>
      <c r="BS83">
        <v>2156.442022916312</v>
      </c>
      <c r="BT83">
        <v>3.378903512298657</v>
      </c>
      <c r="BU83">
        <v>2907.2085819817644</v>
      </c>
      <c r="BV83">
        <v>2.2170382553608308</v>
      </c>
      <c r="BW83">
        <v>1907.5397149124587</v>
      </c>
      <c r="BX83">
        <v>2.6553403359276317</v>
      </c>
      <c r="BY83">
        <v>2284.6548250321343</v>
      </c>
      <c r="BZ83">
        <v>2.5333865570219904</v>
      </c>
      <c r="CA83">
        <v>2179.7257936617207</v>
      </c>
      <c r="CB83">
        <v>2.7532847718758267</v>
      </c>
      <c r="CC83">
        <v>2368.9262177219612</v>
      </c>
      <c r="CD83">
        <v>4.0044278120336552</v>
      </c>
      <c r="CE83">
        <v>3445.4096894737568</v>
      </c>
      <c r="CF83">
        <v>3.3794101987730287</v>
      </c>
      <c r="CG83">
        <v>2907.6445350243139</v>
      </c>
      <c r="CH83">
        <v>4.2099245494855797</v>
      </c>
      <c r="CI83">
        <v>3622.2190823773926</v>
      </c>
      <c r="CJ83">
        <v>2.4997121199597614</v>
      </c>
      <c r="CK83">
        <v>2150.7523080133788</v>
      </c>
      <c r="CL83">
        <v>2.9092862355623499</v>
      </c>
      <c r="CM83">
        <v>2503.1498770778458</v>
      </c>
      <c r="CN83">
        <v>6.882873801248806</v>
      </c>
      <c r="CO83">
        <v>5922.0246185944725</v>
      </c>
      <c r="CP83">
        <v>6.1114379918403108</v>
      </c>
      <c r="CQ83">
        <v>5258.2812481794035</v>
      </c>
      <c r="CR83">
        <v>5.1012480825928943</v>
      </c>
      <c r="CS83">
        <v>4389.1138502629265</v>
      </c>
      <c r="CT83">
        <v>6.1045850393459622</v>
      </c>
      <c r="CU83">
        <v>5252.3849678532661</v>
      </c>
    </row>
    <row r="84" spans="2:99" x14ac:dyDescent="0.2">
      <c r="C84" s="116" t="s">
        <v>250</v>
      </c>
      <c r="D84">
        <v>2.6608860134494763</v>
      </c>
      <c r="E84">
        <v>2078.6841537067307</v>
      </c>
      <c r="F84">
        <v>9.0524575361106958</v>
      </c>
      <c r="G84">
        <v>7071.7798272096752</v>
      </c>
      <c r="H84">
        <v>9.7835112377139364</v>
      </c>
      <c r="I84">
        <v>7642.8789789021266</v>
      </c>
      <c r="J84">
        <v>9.3208242500926506</v>
      </c>
      <c r="K84">
        <v>7281.4279041723776</v>
      </c>
      <c r="L84">
        <v>4.3522962459740953</v>
      </c>
      <c r="M84">
        <v>3400.0138273549628</v>
      </c>
      <c r="N84">
        <v>3.0701408295733801</v>
      </c>
      <c r="O84">
        <v>2398.3940160627244</v>
      </c>
      <c r="P84">
        <v>2</v>
      </c>
      <c r="Q84">
        <v>1562.3999999999999</v>
      </c>
      <c r="R84">
        <v>3.7088381158271413</v>
      </c>
      <c r="S84">
        <v>2897.3443360841625</v>
      </c>
      <c r="T84">
        <v>2.9759012034898533</v>
      </c>
      <c r="U84">
        <v>2324.7740201662732</v>
      </c>
      <c r="V84">
        <v>2.8743035074928041</v>
      </c>
      <c r="W84">
        <v>2245.4059000533784</v>
      </c>
      <c r="X84">
        <v>1.5091356187314804</v>
      </c>
      <c r="Y84">
        <v>1178.9367453530324</v>
      </c>
      <c r="Z84">
        <v>2.128964032271941</v>
      </c>
      <c r="AA84">
        <v>1663.14670201084</v>
      </c>
      <c r="AB84">
        <v>4.297055562852119</v>
      </c>
      <c r="AC84">
        <v>3356.859805700075</v>
      </c>
      <c r="AD84">
        <v>5.8415283139675456</v>
      </c>
      <c r="AE84">
        <v>4563.4019188714465</v>
      </c>
      <c r="AF84">
        <v>7.2667884589882572</v>
      </c>
      <c r="AG84">
        <v>5676.8151441616264</v>
      </c>
      <c r="AH84">
        <v>5.4509428543893952</v>
      </c>
      <c r="AI84">
        <v>4258.2765578489953</v>
      </c>
      <c r="AJ84">
        <v>7.1037993955561287</v>
      </c>
      <c r="AK84">
        <v>5549.4880878084468</v>
      </c>
      <c r="AL84">
        <v>5.1981662508413802</v>
      </c>
      <c r="AM84">
        <v>4060.8074751572858</v>
      </c>
      <c r="AN84">
        <v>9.0026949745491613</v>
      </c>
      <c r="AO84">
        <v>7032.9053141178047</v>
      </c>
      <c r="AP84">
        <v>6.9702683818100324</v>
      </c>
      <c r="AQ84">
        <v>5445.1736598699972</v>
      </c>
      <c r="AR84">
        <v>4.8821515405169897</v>
      </c>
      <c r="AS84">
        <v>3813.9367834518721</v>
      </c>
      <c r="AT84">
        <v>4.8382581581012669</v>
      </c>
      <c r="AU84">
        <v>3779.6472731087092</v>
      </c>
      <c r="AV84">
        <v>4.3102620185558314</v>
      </c>
      <c r="AW84">
        <v>3367.176688895815</v>
      </c>
      <c r="AX84">
        <v>5.3667779097752684</v>
      </c>
      <c r="AY84">
        <v>4192.5269031164389</v>
      </c>
      <c r="AZ84">
        <v>8.7073384201790951</v>
      </c>
      <c r="BA84">
        <v>6802.1727738439085</v>
      </c>
      <c r="BB84">
        <v>9.8579509971313311</v>
      </c>
      <c r="BC84">
        <v>7701.0313189589951</v>
      </c>
      <c r="BD84">
        <v>10.634857928587966</v>
      </c>
      <c r="BE84">
        <v>8307.951013812919</v>
      </c>
      <c r="BF84">
        <v>12.486737929699686</v>
      </c>
      <c r="BG84">
        <v>9754.6396706813939</v>
      </c>
      <c r="BH84">
        <v>3.2748195082957992</v>
      </c>
      <c r="BI84">
        <v>2558.2889998806781</v>
      </c>
      <c r="BJ84">
        <v>2.7280548631946089</v>
      </c>
      <c r="BK84">
        <v>2131.1564591276283</v>
      </c>
      <c r="BL84">
        <v>3.0117035234007341</v>
      </c>
      <c r="BM84">
        <v>2352.7427924806534</v>
      </c>
      <c r="BN84">
        <v>2.8212905603195835</v>
      </c>
      <c r="BO84">
        <v>2203.9921857216586</v>
      </c>
      <c r="BP84">
        <v>2.4872941372973325</v>
      </c>
      <c r="BQ84">
        <v>1943.0741800566759</v>
      </c>
      <c r="BR84">
        <v>2.506324991766983</v>
      </c>
      <c r="BS84">
        <v>1957.9410835683668</v>
      </c>
      <c r="BT84">
        <v>2.7031228098389253</v>
      </c>
      <c r="BU84">
        <v>2111.6795390461684</v>
      </c>
      <c r="BV84">
        <v>2.1792360023295045</v>
      </c>
      <c r="BW84">
        <v>1702.4191650198088</v>
      </c>
      <c r="BX84">
        <v>2.6553403359276317</v>
      </c>
      <c r="BY84">
        <v>2074.3518704266658</v>
      </c>
      <c r="BZ84">
        <v>2.5333865570219904</v>
      </c>
      <c r="CA84">
        <v>1979.0815783455787</v>
      </c>
      <c r="CB84">
        <v>2.7532847718758267</v>
      </c>
      <c r="CC84">
        <v>2150.8660637893954</v>
      </c>
      <c r="CD84">
        <v>3.1412263462524606</v>
      </c>
      <c r="CE84">
        <v>2453.9260216924222</v>
      </c>
      <c r="CF84">
        <v>3.3794101987730287</v>
      </c>
      <c r="CG84">
        <v>2639.9952472814898</v>
      </c>
      <c r="CH84">
        <v>4.2099245494855797</v>
      </c>
      <c r="CI84">
        <v>3288.7930580581346</v>
      </c>
      <c r="CJ84">
        <v>2.4997121199597614</v>
      </c>
      <c r="CK84">
        <v>1952.7751081125655</v>
      </c>
      <c r="CL84">
        <v>2.9092862355623499</v>
      </c>
      <c r="CM84">
        <v>2272.7344072213077</v>
      </c>
      <c r="CN84">
        <v>8.1454960075571883</v>
      </c>
      <c r="CO84">
        <v>6363.2614811036747</v>
      </c>
      <c r="CP84">
        <v>5.6749067067088594</v>
      </c>
      <c r="CQ84">
        <v>4433.2371192809605</v>
      </c>
      <c r="CR84">
        <v>5.1012480825928943</v>
      </c>
      <c r="CS84">
        <v>3985.0950021215685</v>
      </c>
      <c r="CT84">
        <v>6.1045850393459622</v>
      </c>
      <c r="CU84">
        <v>4768.901832737065</v>
      </c>
    </row>
    <row r="85" spans="2:99" x14ac:dyDescent="0.2">
      <c r="C85" s="116" t="s">
        <v>251</v>
      </c>
      <c r="D85">
        <v>3.2521940164382483</v>
      </c>
      <c r="E85">
        <v>487.82910246573726</v>
      </c>
      <c r="F85">
        <v>11.207804568518005</v>
      </c>
      <c r="G85">
        <v>1681.1706852777008</v>
      </c>
      <c r="H85">
        <v>9.7835112377139364</v>
      </c>
      <c r="I85">
        <v>1467.5266856570904</v>
      </c>
      <c r="J85">
        <v>9.3208242500926506</v>
      </c>
      <c r="K85">
        <v>1398.1236375138976</v>
      </c>
      <c r="L85">
        <v>4.3522962459740953</v>
      </c>
      <c r="M85">
        <v>652.8444368961143</v>
      </c>
      <c r="N85">
        <v>3.1537557434780115</v>
      </c>
      <c r="O85">
        <v>473.06336152170172</v>
      </c>
      <c r="P85">
        <v>3</v>
      </c>
      <c r="Q85">
        <v>450</v>
      </c>
      <c r="R85">
        <v>3.7461453850812014</v>
      </c>
      <c r="S85">
        <v>561.92180776218026</v>
      </c>
      <c r="T85">
        <v>3.0028198981184797</v>
      </c>
      <c r="U85">
        <v>450.42298471777195</v>
      </c>
      <c r="V85">
        <v>2.9142641160666707</v>
      </c>
      <c r="W85">
        <v>437.1396174100006</v>
      </c>
      <c r="X85">
        <v>1.5637843751254765</v>
      </c>
      <c r="Y85">
        <v>234.56765626882148</v>
      </c>
      <c r="Z85">
        <v>2.4322101273038901</v>
      </c>
      <c r="AA85">
        <v>364.83151909558353</v>
      </c>
      <c r="AB85">
        <v>4.549823537137538</v>
      </c>
      <c r="AC85">
        <v>682.47353057063071</v>
      </c>
      <c r="AD85">
        <v>6.2847092851972262</v>
      </c>
      <c r="AE85">
        <v>942.70639277958389</v>
      </c>
      <c r="AF85">
        <v>7.5290713381887748</v>
      </c>
      <c r="AG85">
        <v>1129.3607007283163</v>
      </c>
      <c r="AH85">
        <v>5.4509428543893952</v>
      </c>
      <c r="AI85">
        <v>817.64142815840933</v>
      </c>
      <c r="AJ85">
        <v>8.2657806287583906</v>
      </c>
      <c r="AK85">
        <v>1239.8670943137586</v>
      </c>
      <c r="AL85">
        <v>5.1981662508413802</v>
      </c>
      <c r="AM85">
        <v>779.72493762620707</v>
      </c>
      <c r="AN85">
        <v>8.6425871755671935</v>
      </c>
      <c r="AO85">
        <v>1296.3880763350789</v>
      </c>
      <c r="AP85">
        <v>7.9660210077828939</v>
      </c>
      <c r="AQ85">
        <v>1194.9031511674341</v>
      </c>
      <c r="AR85">
        <v>4.8821515405169897</v>
      </c>
      <c r="AS85">
        <v>732.3227310775485</v>
      </c>
      <c r="AT85">
        <v>5.9134266376793265</v>
      </c>
      <c r="AU85">
        <v>887.01399565189899</v>
      </c>
      <c r="AV85">
        <v>4.7773551245022663</v>
      </c>
      <c r="AW85">
        <v>716.6032686753399</v>
      </c>
      <c r="AX85">
        <v>5.3667779097752684</v>
      </c>
      <c r="AY85">
        <v>805.01668646629025</v>
      </c>
      <c r="AZ85">
        <v>9.9512439087761084</v>
      </c>
      <c r="BA85">
        <v>1492.6865863164162</v>
      </c>
      <c r="BB85">
        <v>11.683497478081579</v>
      </c>
      <c r="BC85">
        <v>1752.5246217122369</v>
      </c>
      <c r="BD85">
        <v>10.312589506509541</v>
      </c>
      <c r="BE85">
        <v>1546.8884259764311</v>
      </c>
      <c r="BF85">
        <v>11.829541196557598</v>
      </c>
      <c r="BG85">
        <v>1774.4311794836397</v>
      </c>
      <c r="BH85">
        <v>2.9771086439052716</v>
      </c>
      <c r="BI85">
        <v>446.56629658579072</v>
      </c>
      <c r="BJ85">
        <v>3.0690617210939348</v>
      </c>
      <c r="BK85">
        <v>460.35925816409025</v>
      </c>
      <c r="BL85">
        <v>3.4419468838865535</v>
      </c>
      <c r="BM85">
        <v>516.29203258298298</v>
      </c>
      <c r="BN85">
        <v>2.8212905603195835</v>
      </c>
      <c r="BO85">
        <v>423.19358404793752</v>
      </c>
      <c r="BP85">
        <v>2.5139037200414296</v>
      </c>
      <c r="BQ85">
        <v>377.08555800621446</v>
      </c>
      <c r="BR85">
        <v>2.506324991766983</v>
      </c>
      <c r="BS85">
        <v>375.94874876504747</v>
      </c>
      <c r="BT85">
        <v>2.7031228098389253</v>
      </c>
      <c r="BU85">
        <v>405.4684214758388</v>
      </c>
      <c r="BV85">
        <v>2.1981371288451679</v>
      </c>
      <c r="BW85">
        <v>329.72056932677521</v>
      </c>
      <c r="BX85">
        <v>3.3191754199095391</v>
      </c>
      <c r="BY85">
        <v>497.87631298643089</v>
      </c>
      <c r="BZ85">
        <v>2.5333865570219904</v>
      </c>
      <c r="CA85">
        <v>380.00798355329857</v>
      </c>
      <c r="CB85">
        <v>2.7532847718758267</v>
      </c>
      <c r="CC85">
        <v>412.99271578137399</v>
      </c>
      <c r="CD85">
        <v>3.1412263462524606</v>
      </c>
      <c r="CE85">
        <v>471.1839519378691</v>
      </c>
      <c r="CF85">
        <v>3.3794101987730287</v>
      </c>
      <c r="CG85">
        <v>506.91152981595428</v>
      </c>
      <c r="CH85">
        <v>4.2099245494855797</v>
      </c>
      <c r="CI85">
        <v>631.48868242283697</v>
      </c>
      <c r="CJ85">
        <v>2.4997121199597614</v>
      </c>
      <c r="CK85">
        <v>374.95681799396419</v>
      </c>
      <c r="CL85">
        <v>2.9092862355623499</v>
      </c>
      <c r="CM85">
        <v>436.3929353343525</v>
      </c>
      <c r="CN85">
        <v>8.6929840251504036</v>
      </c>
      <c r="CO85">
        <v>1303.9476037725606</v>
      </c>
      <c r="CP85">
        <v>6.1114379918403108</v>
      </c>
      <c r="CQ85">
        <v>916.71569877604657</v>
      </c>
      <c r="CR85">
        <v>5.9514560963583767</v>
      </c>
      <c r="CS85">
        <v>892.71841445375651</v>
      </c>
      <c r="CT85">
        <v>6.4861216043050849</v>
      </c>
      <c r="CU85">
        <v>972.91824064576269</v>
      </c>
    </row>
    <row r="86" spans="2:99" x14ac:dyDescent="0.2">
      <c r="C86" s="116" t="s">
        <v>252</v>
      </c>
      <c r="D86">
        <v>3.1043670156910554</v>
      </c>
      <c r="E86">
        <v>1676.35818847317</v>
      </c>
      <c r="F86">
        <v>9.9145963490736193</v>
      </c>
      <c r="G86">
        <v>5353.8820284997546</v>
      </c>
      <c r="H86">
        <v>11.059621399154885</v>
      </c>
      <c r="I86">
        <v>5972.195555543638</v>
      </c>
      <c r="J86">
        <v>9.3208242500926506</v>
      </c>
      <c r="K86">
        <v>5033.2450950500315</v>
      </c>
      <c r="L86">
        <v>4.3522962459740953</v>
      </c>
      <c r="M86">
        <v>2350.2399728260116</v>
      </c>
      <c r="N86">
        <v>3.111948286525696</v>
      </c>
      <c r="O86">
        <v>1680.4520747238757</v>
      </c>
      <c r="P86">
        <v>3</v>
      </c>
      <c r="Q86">
        <v>1620</v>
      </c>
      <c r="R86">
        <v>3.8207599235893217</v>
      </c>
      <c r="S86">
        <v>2063.2103587382339</v>
      </c>
      <c r="T86">
        <v>2.9759012034898533</v>
      </c>
      <c r="U86">
        <v>1606.9866498845208</v>
      </c>
      <c r="V86">
        <v>3.3372745049845358</v>
      </c>
      <c r="W86">
        <v>1802.1282326916494</v>
      </c>
      <c r="X86">
        <v>1.4954734296329815</v>
      </c>
      <c r="Y86">
        <v>807.55565200181002</v>
      </c>
      <c r="Z86">
        <v>2.4456661039160745</v>
      </c>
      <c r="AA86">
        <v>1320.6596961146802</v>
      </c>
      <c r="AB86">
        <v>4.8025915114229569</v>
      </c>
      <c r="AC86">
        <v>2593.3994161683968</v>
      </c>
      <c r="AD86">
        <v>6.0189695083765526</v>
      </c>
      <c r="AE86">
        <v>3250.2435345233384</v>
      </c>
      <c r="AF86">
        <v>6.9959353399403854</v>
      </c>
      <c r="AG86">
        <v>3777.8050835678082</v>
      </c>
      <c r="AH86">
        <v>5.2490560820046026</v>
      </c>
      <c r="AI86">
        <v>2834.4902842824854</v>
      </c>
      <c r="AJ86">
        <v>7.1037993955561287</v>
      </c>
      <c r="AK86">
        <v>3836.0516736003096</v>
      </c>
      <c r="AL86">
        <v>5.1981662508413802</v>
      </c>
      <c r="AM86">
        <v>2807.0097754543453</v>
      </c>
      <c r="AN86">
        <v>9.0026949745491613</v>
      </c>
      <c r="AO86">
        <v>4861.455286256547</v>
      </c>
      <c r="AP86">
        <v>6.9702683818100324</v>
      </c>
      <c r="AQ86">
        <v>3763.9449261774175</v>
      </c>
      <c r="AR86">
        <v>5.3723377002379227</v>
      </c>
      <c r="AS86">
        <v>2901.0623581284781</v>
      </c>
      <c r="AT86">
        <v>5.3758423978902972</v>
      </c>
      <c r="AU86">
        <v>2902.9548948607603</v>
      </c>
      <c r="AV86">
        <v>5.2444482304487012</v>
      </c>
      <c r="AW86">
        <v>2832.0020444422985</v>
      </c>
      <c r="AX86">
        <v>5.9253865907187224</v>
      </c>
      <c r="AY86">
        <v>3199.7087589881103</v>
      </c>
      <c r="AZ86">
        <v>8.7073384201790951</v>
      </c>
      <c r="BA86">
        <v>4701.962746896711</v>
      </c>
      <c r="BB86">
        <v>11.683497478081579</v>
      </c>
      <c r="BC86">
        <v>6309.0886381640521</v>
      </c>
      <c r="BD86">
        <v>10.312589506509541</v>
      </c>
      <c r="BE86">
        <v>5568.7983335151521</v>
      </c>
      <c r="BF86">
        <v>10.843746096844464</v>
      </c>
      <c r="BG86">
        <v>5855.6228922960108</v>
      </c>
      <c r="BH86">
        <v>3.2748195082957992</v>
      </c>
      <c r="BI86">
        <v>1768.4025344797315</v>
      </c>
      <c r="BJ86">
        <v>3.0690617210939348</v>
      </c>
      <c r="BK86">
        <v>1657.2933293907247</v>
      </c>
      <c r="BL86">
        <v>3.0117035234007341</v>
      </c>
      <c r="BM86">
        <v>1626.3199026363964</v>
      </c>
      <c r="BN86">
        <v>2.8212905603195835</v>
      </c>
      <c r="BO86">
        <v>1523.496902572575</v>
      </c>
      <c r="BP86">
        <v>2.5139037200414296</v>
      </c>
      <c r="BQ86">
        <v>1357.5080088223719</v>
      </c>
      <c r="BR86">
        <v>2.506324991766983</v>
      </c>
      <c r="BS86">
        <v>1353.4154955541708</v>
      </c>
      <c r="BT86">
        <v>3.378903512298657</v>
      </c>
      <c r="BU86">
        <v>1824.6078966412747</v>
      </c>
      <c r="BV86">
        <v>2.1981371288451679</v>
      </c>
      <c r="BW86">
        <v>1186.9940495763906</v>
      </c>
      <c r="BX86">
        <v>2.6553403359276317</v>
      </c>
      <c r="BY86">
        <v>1433.8837814009212</v>
      </c>
      <c r="BZ86">
        <v>2.5605497426727264</v>
      </c>
      <c r="CA86">
        <v>1382.6968610432723</v>
      </c>
      <c r="CB86">
        <v>3.6710463625011025</v>
      </c>
      <c r="CC86">
        <v>1982.3650357505953</v>
      </c>
      <c r="CD86">
        <v>3.0676767530646107</v>
      </c>
      <c r="CE86">
        <v>1656.5454466548897</v>
      </c>
      <c r="CF86">
        <v>3.3794101987730287</v>
      </c>
      <c r="CG86">
        <v>1824.8815073374356</v>
      </c>
      <c r="CH86">
        <v>3.5082704579046502</v>
      </c>
      <c r="CI86">
        <v>1894.4660472685111</v>
      </c>
      <c r="CJ86">
        <v>2.4997121199597614</v>
      </c>
      <c r="CK86">
        <v>1349.8445447782713</v>
      </c>
      <c r="CL86">
        <v>2.9092862355623499</v>
      </c>
      <c r="CM86">
        <v>1571.014567203669</v>
      </c>
      <c r="CN86">
        <v>8.2404564691750029</v>
      </c>
      <c r="CO86">
        <v>4449.8464933545019</v>
      </c>
      <c r="CP86">
        <v>5.238375421577409</v>
      </c>
      <c r="CQ86">
        <v>2828.7227276518011</v>
      </c>
      <c r="CR86">
        <v>5.9514560963583767</v>
      </c>
      <c r="CS86">
        <v>3213.7862920335233</v>
      </c>
      <c r="CT86">
        <v>5.7230484743868395</v>
      </c>
      <c r="CU86">
        <v>3090.4461761688935</v>
      </c>
    </row>
    <row r="87" spans="2:99" x14ac:dyDescent="0.2">
      <c r="B87" s="116" t="s">
        <v>131</v>
      </c>
      <c r="C87" s="116" t="s">
        <v>253</v>
      </c>
      <c r="D87">
        <v>1.182616005977545</v>
      </c>
      <c r="E87">
        <v>2311.7777684849048</v>
      </c>
      <c r="F87">
        <v>4.3106940648146175</v>
      </c>
      <c r="G87">
        <v>8426.5447578996136</v>
      </c>
      <c r="H87">
        <v>3.4029604305091956</v>
      </c>
      <c r="I87">
        <v>6652.1070495593758</v>
      </c>
      <c r="J87">
        <v>3.8070406269062498</v>
      </c>
      <c r="K87">
        <v>7442.0030174763369</v>
      </c>
      <c r="L87">
        <v>3.4818369967792759</v>
      </c>
      <c r="M87">
        <v>6806.2949613041283</v>
      </c>
      <c r="N87">
        <v>3.4803450707972079</v>
      </c>
      <c r="O87">
        <v>6803.3785443943816</v>
      </c>
      <c r="P87">
        <v>3</v>
      </c>
      <c r="Q87">
        <v>5864.4</v>
      </c>
      <c r="R87">
        <v>5.4476872310487208</v>
      </c>
      <c r="S87">
        <v>10649.138999254039</v>
      </c>
      <c r="T87">
        <v>25.605170360387699</v>
      </c>
      <c r="U87">
        <v>50052.987020485874</v>
      </c>
      <c r="V87">
        <v>15.191273702294918</v>
      </c>
      <c r="W87">
        <v>29695.901833246106</v>
      </c>
      <c r="X87">
        <v>16.580231535241019</v>
      </c>
      <c r="Y87">
        <v>32411.036605089143</v>
      </c>
      <c r="Z87">
        <v>10.916859421150184</v>
      </c>
      <c r="AA87">
        <v>21340.276796464379</v>
      </c>
      <c r="AB87">
        <v>4.0442875885667</v>
      </c>
      <c r="AC87">
        <v>7905.7733781301849</v>
      </c>
      <c r="AD87">
        <v>3.8521194202346369</v>
      </c>
      <c r="AE87">
        <v>7530.1230426746679</v>
      </c>
      <c r="AF87">
        <v>4.7948294281679766</v>
      </c>
      <c r="AG87">
        <v>9372.9325661827606</v>
      </c>
      <c r="AH87">
        <v>4.037735447695848</v>
      </c>
      <c r="AI87">
        <v>7892.9652531558431</v>
      </c>
      <c r="AJ87">
        <v>6.1972332437453979</v>
      </c>
      <c r="AK87">
        <v>12114.351544873503</v>
      </c>
      <c r="AL87">
        <v>5.9407614295330058</v>
      </c>
      <c r="AM87">
        <v>11613.000442451119</v>
      </c>
      <c r="AN87">
        <v>4.3212935877835967</v>
      </c>
      <c r="AO87">
        <v>8447.2647053993751</v>
      </c>
      <c r="AP87">
        <v>5.4766394428507397</v>
      </c>
      <c r="AQ87">
        <v>10705.734782884625</v>
      </c>
      <c r="AR87">
        <v>8.4685698545145627</v>
      </c>
      <c r="AS87">
        <v>16554.360351605068</v>
      </c>
      <c r="AT87">
        <v>10.214100555991564</v>
      </c>
      <c r="AU87">
        <v>19966.523766852308</v>
      </c>
      <c r="AV87">
        <v>8.2657771536519373</v>
      </c>
      <c r="AW87">
        <v>16157.941179958807</v>
      </c>
      <c r="AX87">
        <v>10.465511608855863</v>
      </c>
      <c r="AY87">
        <v>20457.982092991439</v>
      </c>
      <c r="AZ87">
        <v>2.9024461400596984</v>
      </c>
      <c r="BA87">
        <v>5673.7017145886985</v>
      </c>
      <c r="BB87">
        <v>2.9208743695203947</v>
      </c>
      <c r="BC87">
        <v>5709.7252175384674</v>
      </c>
      <c r="BD87">
        <v>2.5781473766273852</v>
      </c>
      <c r="BE87">
        <v>5039.7624918312122</v>
      </c>
      <c r="BF87">
        <v>1.9715901994262661</v>
      </c>
      <c r="BG87">
        <v>3854.0645218384648</v>
      </c>
      <c r="BH87">
        <v>4.1679521014673799</v>
      </c>
      <c r="BI87">
        <v>8147.512767948434</v>
      </c>
      <c r="BJ87">
        <v>5.4561097263892178</v>
      </c>
      <c r="BK87">
        <v>10665.603293145643</v>
      </c>
      <c r="BL87">
        <v>6.8838937677731069</v>
      </c>
      <c r="BM87">
        <v>13456.63553724287</v>
      </c>
      <c r="BN87">
        <v>6.2695345784879626</v>
      </c>
      <c r="BO87">
        <v>12255.686194028269</v>
      </c>
      <c r="BP87">
        <v>4.3061979704681619</v>
      </c>
      <c r="BQ87">
        <v>8417.7557926711634</v>
      </c>
      <c r="BR87">
        <v>4.4002647620816342</v>
      </c>
      <c r="BS87">
        <v>8601.6375569171778</v>
      </c>
      <c r="BT87">
        <v>3.378903512298657</v>
      </c>
      <c r="BU87">
        <v>6605.0805858414142</v>
      </c>
      <c r="BV87">
        <v>3.6860804000959071</v>
      </c>
      <c r="BW87">
        <v>7205.5499661074791</v>
      </c>
      <c r="BX87">
        <v>2.6553403359276317</v>
      </c>
      <c r="BY87">
        <v>5190.6592886713343</v>
      </c>
      <c r="BZ87">
        <v>4.1679845570685119</v>
      </c>
      <c r="CA87">
        <v>8147.5762121575272</v>
      </c>
      <c r="CB87">
        <v>2.7532847718758267</v>
      </c>
      <c r="CC87">
        <v>5382.121072062866</v>
      </c>
      <c r="CD87">
        <v>3.7837790324701066</v>
      </c>
      <c r="CE87">
        <v>7396.5312526725638</v>
      </c>
      <c r="CF87">
        <v>7.3220554306748955</v>
      </c>
      <c r="CG87">
        <v>14313.153955883285</v>
      </c>
      <c r="CH87">
        <v>7.2942618793082401</v>
      </c>
      <c r="CI87">
        <v>14258.823121671747</v>
      </c>
      <c r="CJ87">
        <v>9.1642394838078367</v>
      </c>
      <c r="CK87">
        <v>17914.255342947559</v>
      </c>
      <c r="CL87">
        <v>5.8185724711246998</v>
      </c>
      <c r="CM87">
        <v>11374.145466554563</v>
      </c>
      <c r="CN87">
        <v>3.6202204478031947</v>
      </c>
      <c r="CO87">
        <v>7076.8069313656852</v>
      </c>
      <c r="CP87">
        <v>3.9287815661830567</v>
      </c>
      <c r="CQ87">
        <v>7679.982205574639</v>
      </c>
      <c r="CR87">
        <v>5.1012480825928943</v>
      </c>
      <c r="CS87">
        <v>9971.9197518525889</v>
      </c>
      <c r="CT87">
        <v>4.5784387795094714</v>
      </c>
      <c r="CU87">
        <v>8949.9321261851146</v>
      </c>
    </row>
    <row r="88" spans="2:99" x14ac:dyDescent="0.2">
      <c r="C88" s="116" t="s">
        <v>254</v>
      </c>
      <c r="D88">
        <v>1.3211492413469419</v>
      </c>
      <c r="E88">
        <v>2500.1428243249525</v>
      </c>
      <c r="F88">
        <v>3.8796246583331557</v>
      </c>
      <c r="G88">
        <v>7341.8017034296636</v>
      </c>
      <c r="H88">
        <v>2.977590376695546</v>
      </c>
      <c r="I88">
        <v>5634.7920288586511</v>
      </c>
      <c r="J88">
        <v>4.4284289102457599</v>
      </c>
      <c r="K88">
        <v>8380.3588697490759</v>
      </c>
      <c r="L88">
        <v>4.3522962459740953</v>
      </c>
      <c r="M88">
        <v>8236.285415881377</v>
      </c>
      <c r="N88">
        <v>3.4803450707972079</v>
      </c>
      <c r="O88">
        <v>6586.2050119766354</v>
      </c>
      <c r="P88">
        <v>3</v>
      </c>
      <c r="Q88">
        <v>5677.2</v>
      </c>
      <c r="R88">
        <v>4.4476872310487208</v>
      </c>
      <c r="S88">
        <v>8416.8033160365994</v>
      </c>
      <c r="T88">
        <v>31.129984851894633</v>
      </c>
      <c r="U88">
        <v>58910.383333725396</v>
      </c>
      <c r="V88">
        <v>17.586049906901312</v>
      </c>
      <c r="W88">
        <v>33279.840843820042</v>
      </c>
      <c r="X88">
        <v>16.851633474410519</v>
      </c>
      <c r="Y88">
        <v>31890.031186974466</v>
      </c>
      <c r="Z88">
        <v>11.826597706246032</v>
      </c>
      <c r="AA88">
        <v>22380.653499299988</v>
      </c>
      <c r="AB88">
        <v>4.297055562852119</v>
      </c>
      <c r="AC88">
        <v>8131.747947141349</v>
      </c>
      <c r="AD88">
        <v>4.4531196786707294</v>
      </c>
      <c r="AE88">
        <v>8427.0836799164881</v>
      </c>
      <c r="AF88">
        <v>4.7862591883206198</v>
      </c>
      <c r="AG88">
        <v>9057.5168879779394</v>
      </c>
      <c r="AH88">
        <v>4.4415089924654323</v>
      </c>
      <c r="AI88">
        <v>8405.111617341583</v>
      </c>
      <c r="AJ88">
        <v>6.5845603214794863</v>
      </c>
      <c r="AK88">
        <v>12460.621952367779</v>
      </c>
      <c r="AL88">
        <v>5.9407614295330058</v>
      </c>
      <c r="AM88">
        <v>11242.296929248259</v>
      </c>
      <c r="AN88">
        <v>3.9611857888016311</v>
      </c>
      <c r="AO88">
        <v>7496.147986728206</v>
      </c>
      <c r="AP88">
        <v>5.4766394428507397</v>
      </c>
      <c r="AQ88">
        <v>10363.992481650739</v>
      </c>
      <c r="AR88">
        <v>9.8799981636003249</v>
      </c>
      <c r="AS88">
        <v>18696.908524797254</v>
      </c>
      <c r="AT88">
        <v>9.6765163162025338</v>
      </c>
      <c r="AU88">
        <v>18311.839476781675</v>
      </c>
      <c r="AV88">
        <v>9.1822260213718199</v>
      </c>
      <c r="AW88">
        <v>17376.444522844031</v>
      </c>
      <c r="AX88">
        <v>10.441143953338164</v>
      </c>
      <c r="AY88">
        <v>19758.820817297139</v>
      </c>
      <c r="AZ88">
        <v>2.9024461400596984</v>
      </c>
      <c r="BA88">
        <v>5492.5890754489728</v>
      </c>
      <c r="BB88">
        <v>3.6510929619004928</v>
      </c>
      <c r="BC88">
        <v>6909.3283211004918</v>
      </c>
      <c r="BD88">
        <v>2.9004157987058083</v>
      </c>
      <c r="BE88">
        <v>5488.746857470871</v>
      </c>
      <c r="BF88">
        <v>1.9715901994262661</v>
      </c>
      <c r="BG88">
        <v>3731.0372933942658</v>
      </c>
      <c r="BH88">
        <v>5.0610846946389625</v>
      </c>
      <c r="BI88">
        <v>9577.5966761347718</v>
      </c>
      <c r="BJ88">
        <v>5.4561097263892178</v>
      </c>
      <c r="BK88">
        <v>10325.142046218954</v>
      </c>
      <c r="BL88">
        <v>6.0234070468014682</v>
      </c>
      <c r="BM88">
        <v>11398.695495367097</v>
      </c>
      <c r="BN88">
        <v>5.9560578495635648</v>
      </c>
      <c r="BO88">
        <v>11271.24387451409</v>
      </c>
      <c r="BP88">
        <v>3.71763641457395</v>
      </c>
      <c r="BQ88">
        <v>7035.2551509397426</v>
      </c>
      <c r="BR88">
        <v>4.4002647620816342</v>
      </c>
      <c r="BS88">
        <v>8327.0610357632831</v>
      </c>
      <c r="BT88">
        <v>3.378903512298657</v>
      </c>
      <c r="BU88">
        <v>6394.2370066739777</v>
      </c>
      <c r="BV88">
        <v>3.7238826531272333</v>
      </c>
      <c r="BW88">
        <v>7047.0755327779762</v>
      </c>
      <c r="BX88">
        <v>2.6553403359276317</v>
      </c>
      <c r="BY88">
        <v>5024.9660517094499</v>
      </c>
      <c r="BZ88">
        <v>4.9581203714410371</v>
      </c>
      <c r="CA88">
        <v>9382.7469909150186</v>
      </c>
      <c r="CB88">
        <v>2.7532847718758267</v>
      </c>
      <c r="CC88">
        <v>5210.3161022978138</v>
      </c>
      <c r="CD88">
        <v>3.7837790324701066</v>
      </c>
      <c r="CE88">
        <v>7160.4234410464296</v>
      </c>
      <c r="CF88">
        <v>6.1955853644172194</v>
      </c>
      <c r="CG88">
        <v>11724.525743623146</v>
      </c>
      <c r="CH88">
        <v>8.0306310913265371</v>
      </c>
      <c r="CI88">
        <v>15197.166277226337</v>
      </c>
      <c r="CJ88">
        <v>9.6877927437930342</v>
      </c>
      <c r="CK88">
        <v>18333.178988353935</v>
      </c>
      <c r="CL88">
        <v>5.8185724711246998</v>
      </c>
      <c r="CM88">
        <v>11011.066544356381</v>
      </c>
      <c r="CN88">
        <v>3.6202204478031947</v>
      </c>
      <c r="CO88">
        <v>6850.9051754227648</v>
      </c>
      <c r="CP88">
        <v>4.3653128513145072</v>
      </c>
      <c r="CQ88">
        <v>8260.918039827573</v>
      </c>
      <c r="CR88">
        <v>5.1012480825928943</v>
      </c>
      <c r="CS88">
        <v>9653.6018714987931</v>
      </c>
      <c r="CT88">
        <v>4.5784387795094714</v>
      </c>
      <c r="CU88">
        <v>8664.2375463437238</v>
      </c>
    </row>
    <row r="89" spans="2:99" x14ac:dyDescent="0.2">
      <c r="C89" s="116" t="s">
        <v>255</v>
      </c>
      <c r="D89">
        <v>1.3211492413469419</v>
      </c>
      <c r="E89">
        <v>3167.587421053428</v>
      </c>
      <c r="F89">
        <v>3.8796246583331557</v>
      </c>
      <c r="G89">
        <v>9301.7880808195732</v>
      </c>
      <c r="H89">
        <v>2.977590376695546</v>
      </c>
      <c r="I89">
        <v>7139.070687165241</v>
      </c>
      <c r="J89">
        <v>4.4284289102457599</v>
      </c>
      <c r="K89">
        <v>10617.601155205233</v>
      </c>
      <c r="L89">
        <v>4.3522962459740953</v>
      </c>
      <c r="M89">
        <v>10435.06547934749</v>
      </c>
      <c r="N89">
        <v>3.4803450707972079</v>
      </c>
      <c r="O89">
        <v>8344.4753417433858</v>
      </c>
      <c r="P89">
        <v>3</v>
      </c>
      <c r="Q89">
        <v>7192.7999999999993</v>
      </c>
      <c r="R89">
        <v>4.522301769556841</v>
      </c>
      <c r="S89">
        <v>10842.670722689481</v>
      </c>
      <c r="T89">
        <v>26.743177931960485</v>
      </c>
      <c r="U89">
        <v>64119.443409668456</v>
      </c>
      <c r="V89">
        <v>14.225371098737586</v>
      </c>
      <c r="W89">
        <v>34106.749746333233</v>
      </c>
      <c r="X89">
        <v>15.072937759310017</v>
      </c>
      <c r="Y89">
        <v>36138.875571721699</v>
      </c>
      <c r="Z89">
        <v>10.916859421150184</v>
      </c>
      <c r="AA89">
        <v>26174.262148149679</v>
      </c>
      <c r="AB89">
        <v>4.297055562852119</v>
      </c>
      <c r="AC89">
        <v>10302.62041749424</v>
      </c>
      <c r="AD89">
        <v>4.0589934754475312</v>
      </c>
      <c r="AE89">
        <v>9731.842756733</v>
      </c>
      <c r="AF89">
        <v>4.0594022296505647</v>
      </c>
      <c r="AG89">
        <v>9732.8227858101945</v>
      </c>
      <c r="AH89">
        <v>4.037735447695848</v>
      </c>
      <c r="AI89">
        <v>9680.874509395564</v>
      </c>
      <c r="AJ89">
        <v>6.9718873992135739</v>
      </c>
      <c r="AK89">
        <v>16715.797228354466</v>
      </c>
      <c r="AL89">
        <v>5.5694638401871925</v>
      </c>
      <c r="AM89">
        <v>13353.346503232813</v>
      </c>
      <c r="AN89">
        <v>4.3212935877835967</v>
      </c>
      <c r="AO89">
        <v>10360.733506069952</v>
      </c>
      <c r="AP89">
        <v>4.4808868168778773</v>
      </c>
      <c r="AQ89">
        <v>10743.374232146398</v>
      </c>
      <c r="AR89">
        <v>8.9390459575431507</v>
      </c>
      <c r="AS89">
        <v>21432.256587805456</v>
      </c>
      <c r="AT89">
        <v>8.6013478366244751</v>
      </c>
      <c r="AU89">
        <v>20622.591573090842</v>
      </c>
      <c r="AV89">
        <v>8.7151329154253858</v>
      </c>
      <c r="AW89">
        <v>20895.402678023904</v>
      </c>
      <c r="AX89">
        <v>8.4260181292236265</v>
      </c>
      <c r="AY89">
        <v>20202.221066626567</v>
      </c>
      <c r="AZ89">
        <v>2.9024461400596984</v>
      </c>
      <c r="BA89">
        <v>6958.9048654071321</v>
      </c>
      <c r="BB89">
        <v>2.9208743695203947</v>
      </c>
      <c r="BC89">
        <v>7003.0883883620982</v>
      </c>
      <c r="BD89">
        <v>2.9004157987058083</v>
      </c>
      <c r="BE89">
        <v>6954.0369189770454</v>
      </c>
      <c r="BF89">
        <v>1.9715901994262661</v>
      </c>
      <c r="BG89">
        <v>4727.0846621444152</v>
      </c>
      <c r="BH89">
        <v>4.4656629658579075</v>
      </c>
      <c r="BI89">
        <v>10706.873526940919</v>
      </c>
      <c r="BJ89">
        <v>5.1151028684898918</v>
      </c>
      <c r="BK89">
        <v>12263.970637491364</v>
      </c>
      <c r="BL89">
        <v>6.0234070468014682</v>
      </c>
      <c r="BM89">
        <v>14441.7207354112</v>
      </c>
      <c r="BN89">
        <v>5.9560578495635648</v>
      </c>
      <c r="BO89">
        <v>14280.244300113602</v>
      </c>
      <c r="BP89">
        <v>4.2795883877240648</v>
      </c>
      <c r="BQ89">
        <v>10260.741118407217</v>
      </c>
      <c r="BR89">
        <v>4.4002647620816342</v>
      </c>
      <c r="BS89">
        <v>10550.074793566926</v>
      </c>
      <c r="BT89">
        <v>3.378903512298657</v>
      </c>
      <c r="BU89">
        <v>8101.2590610872594</v>
      </c>
      <c r="BV89">
        <v>3.6860804000959071</v>
      </c>
      <c r="BW89">
        <v>8837.7463672699469</v>
      </c>
      <c r="BX89">
        <v>1.9915052519457235</v>
      </c>
      <c r="BY89">
        <v>4774.8329920650667</v>
      </c>
      <c r="BZ89">
        <v>4.9581203714410371</v>
      </c>
      <c r="CA89">
        <v>11887.58940256703</v>
      </c>
      <c r="CB89">
        <v>2.7532847718758267</v>
      </c>
      <c r="CC89">
        <v>6601.2755690494814</v>
      </c>
      <c r="CD89">
        <v>4.6469804982513017</v>
      </c>
      <c r="CE89">
        <v>11141.60044260732</v>
      </c>
      <c r="CF89">
        <v>6.7588203975460575</v>
      </c>
      <c r="CG89">
        <v>16204.947785156426</v>
      </c>
      <c r="CH89">
        <v>7.2942618793082401</v>
      </c>
      <c r="CI89">
        <v>17488.722281829436</v>
      </c>
      <c r="CJ89">
        <v>9.1642394838078367</v>
      </c>
      <c r="CK89">
        <v>21972.180586377668</v>
      </c>
      <c r="CL89">
        <v>5.8185724711246998</v>
      </c>
      <c r="CM89">
        <v>13950.60935676858</v>
      </c>
      <c r="CN89">
        <v>3.6202204478031947</v>
      </c>
      <c r="CO89">
        <v>8679.8405456529399</v>
      </c>
      <c r="CP89">
        <v>3.9287815661830567</v>
      </c>
      <c r="CQ89">
        <v>9419.6466830804966</v>
      </c>
      <c r="CR89">
        <v>4.6761440757101536</v>
      </c>
      <c r="CS89">
        <v>11211.523035922664</v>
      </c>
      <c r="CT89">
        <v>4.1969022145503487</v>
      </c>
      <c r="CU89">
        <v>10062.492749605915</v>
      </c>
    </row>
    <row r="90" spans="2:99" x14ac:dyDescent="0.2">
      <c r="C90" s="116" t="s">
        <v>256</v>
      </c>
      <c r="D90">
        <v>1.4616850191799562</v>
      </c>
      <c r="E90">
        <v>3211.6143241421996</v>
      </c>
      <c r="F90">
        <v>4.3106940648146175</v>
      </c>
      <c r="G90">
        <v>9471.4569992106772</v>
      </c>
      <c r="H90">
        <v>3.4029604305091956</v>
      </c>
      <c r="I90">
        <v>7476.9846579148043</v>
      </c>
      <c r="J90">
        <v>3.8163007359496839</v>
      </c>
      <c r="K90">
        <v>8385.1759770286444</v>
      </c>
      <c r="L90">
        <v>4.3522962459740953</v>
      </c>
      <c r="M90">
        <v>9562.865311654281</v>
      </c>
      <c r="N90">
        <v>3.4803450707972079</v>
      </c>
      <c r="O90">
        <v>7647.0141895556244</v>
      </c>
      <c r="P90">
        <v>3</v>
      </c>
      <c r="Q90">
        <v>6591.5999999999995</v>
      </c>
      <c r="R90">
        <v>5.4476872310487208</v>
      </c>
      <c r="S90">
        <v>11969.658384060249</v>
      </c>
      <c r="T90">
        <v>24.46716278881491</v>
      </c>
      <c r="U90">
        <v>53759.250079584119</v>
      </c>
      <c r="V90">
        <v>16.15717630585225</v>
      </c>
      <c r="W90">
        <v>35500.547779218563</v>
      </c>
      <c r="X90">
        <v>13.864370300745515</v>
      </c>
      <c r="Y90">
        <v>30462.794424798041</v>
      </c>
      <c r="Z90">
        <v>10.007121136054336</v>
      </c>
      <c r="AA90">
        <v>21987.646560138583</v>
      </c>
      <c r="AB90">
        <v>4.0442875885667</v>
      </c>
      <c r="AC90">
        <v>8886.1086895987519</v>
      </c>
      <c r="AD90">
        <v>4.0491825218462365</v>
      </c>
      <c r="AE90">
        <v>8896.8638370005501</v>
      </c>
      <c r="AF90">
        <v>4.0508319898032088</v>
      </c>
      <c r="AG90">
        <v>8900.48804799561</v>
      </c>
      <c r="AH90">
        <v>3.8358486753110554</v>
      </c>
      <c r="AI90">
        <v>8428.1267093934512</v>
      </c>
      <c r="AJ90">
        <v>6.5845603214794863</v>
      </c>
      <c r="AK90">
        <v>14467.595938354727</v>
      </c>
      <c r="AL90">
        <v>5.9407614295330058</v>
      </c>
      <c r="AM90">
        <v>13053.041012969919</v>
      </c>
      <c r="AN90">
        <v>4.3212935877835967</v>
      </c>
      <c r="AO90">
        <v>9494.7462710781183</v>
      </c>
      <c r="AP90">
        <v>4.9787631298643094</v>
      </c>
      <c r="AQ90">
        <v>10939.338348937859</v>
      </c>
      <c r="AR90">
        <v>8.9390459575431507</v>
      </c>
      <c r="AS90">
        <v>19640.87177791381</v>
      </c>
      <c r="AT90">
        <v>8.6013478366244751</v>
      </c>
      <c r="AU90">
        <v>18898.881466631294</v>
      </c>
      <c r="AV90">
        <v>8.7151329154253858</v>
      </c>
      <c r="AW90">
        <v>19148.890041772655</v>
      </c>
      <c r="AX90">
        <v>8.3772828181882293</v>
      </c>
      <c r="AY90">
        <v>18406.565808123174</v>
      </c>
      <c r="AZ90">
        <v>2.9024461400596984</v>
      </c>
      <c r="BA90">
        <v>6377.2546589391686</v>
      </c>
      <c r="BB90">
        <v>2.9208743695203947</v>
      </c>
      <c r="BC90">
        <v>6417.7451647102107</v>
      </c>
      <c r="BD90">
        <v>2.9004157987058083</v>
      </c>
      <c r="BE90">
        <v>6372.7935929164014</v>
      </c>
      <c r="BF90">
        <v>1.9715901994262661</v>
      </c>
      <c r="BG90">
        <v>4331.9779861793913</v>
      </c>
      <c r="BH90">
        <v>4.1679521014673799</v>
      </c>
      <c r="BI90">
        <v>9157.8243573441268</v>
      </c>
      <c r="BJ90">
        <v>5.7971165842885437</v>
      </c>
      <c r="BK90">
        <v>12737.424558998788</v>
      </c>
      <c r="BL90">
        <v>6.0234070468014682</v>
      </c>
      <c r="BM90">
        <v>13234.629963232184</v>
      </c>
      <c r="BN90">
        <v>5.6425811206391669</v>
      </c>
      <c r="BO90">
        <v>12397.879238268377</v>
      </c>
      <c r="BP90">
        <v>3.71763641457395</v>
      </c>
      <c r="BQ90">
        <v>8168.3907301018826</v>
      </c>
      <c r="BR90">
        <v>4.4002647620816342</v>
      </c>
      <c r="BS90">
        <v>9668.2617352457655</v>
      </c>
      <c r="BT90">
        <v>3.378903512298657</v>
      </c>
      <c r="BU90">
        <v>7424.1267972226087</v>
      </c>
      <c r="BV90">
        <v>3.2216011872050996</v>
      </c>
      <c r="BW90">
        <v>7078.5021285270441</v>
      </c>
      <c r="BX90">
        <v>2.6553403359276317</v>
      </c>
      <c r="BY90">
        <v>5834.3137861001924</v>
      </c>
      <c r="BZ90">
        <v>4.1679845570685119</v>
      </c>
      <c r="CA90">
        <v>9157.895668790934</v>
      </c>
      <c r="CB90">
        <v>2.7532847718758267</v>
      </c>
      <c r="CC90">
        <v>6049.5173007655658</v>
      </c>
      <c r="CD90">
        <v>4.683755294845227</v>
      </c>
      <c r="CE90">
        <v>10291.147133833932</v>
      </c>
      <c r="CF90">
        <v>6.1955853644172194</v>
      </c>
      <c r="CG90">
        <v>13612.940162697514</v>
      </c>
      <c r="CH90">
        <v>7.328976999745608</v>
      </c>
      <c r="CI90">
        <v>16103.228263841049</v>
      </c>
      <c r="CJ90">
        <v>8.1879654718171775</v>
      </c>
      <c r="CK90">
        <v>17990.597734676699</v>
      </c>
      <c r="CL90">
        <v>5.8185724711246998</v>
      </c>
      <c r="CM90">
        <v>12784.567433555188</v>
      </c>
      <c r="CN90">
        <v>3.6202204478031947</v>
      </c>
      <c r="CO90">
        <v>7954.3483679131787</v>
      </c>
      <c r="CP90">
        <v>4.3653128513145072</v>
      </c>
      <c r="CQ90">
        <v>9591.4653969082337</v>
      </c>
      <c r="CR90">
        <v>5.1012480825928943</v>
      </c>
      <c r="CS90">
        <v>11208.462287073107</v>
      </c>
      <c r="CT90">
        <v>4.1969022145503487</v>
      </c>
      <c r="CU90">
        <v>9221.433545810025</v>
      </c>
    </row>
    <row r="91" spans="2:99" x14ac:dyDescent="0.2">
      <c r="C91" s="116" t="s">
        <v>257</v>
      </c>
      <c r="D91">
        <v>1.182616005977545</v>
      </c>
      <c r="E91">
        <v>2716.232442529225</v>
      </c>
      <c r="F91">
        <v>3.8796246583331557</v>
      </c>
      <c r="G91">
        <v>8910.7219152595917</v>
      </c>
      <c r="H91">
        <v>2.977590376695546</v>
      </c>
      <c r="I91">
        <v>6838.9295771943298</v>
      </c>
      <c r="J91">
        <v>3.8070406269062498</v>
      </c>
      <c r="K91">
        <v>8744.010911878273</v>
      </c>
      <c r="L91">
        <v>4.3522962459740953</v>
      </c>
      <c r="M91">
        <v>9996.3540177533014</v>
      </c>
      <c r="N91">
        <v>3.4803450707972079</v>
      </c>
      <c r="O91">
        <v>7993.6565586070265</v>
      </c>
      <c r="P91">
        <v>3</v>
      </c>
      <c r="Q91">
        <v>6890.4</v>
      </c>
      <c r="R91">
        <v>5.4476872310487208</v>
      </c>
      <c r="S91">
        <v>12512.248032272701</v>
      </c>
      <c r="T91">
        <v>28.450189289319667</v>
      </c>
      <c r="U91">
        <v>65344.394759709401</v>
      </c>
      <c r="V91">
        <v>14.70832240051625</v>
      </c>
      <c r="W91">
        <v>33782.074889505719</v>
      </c>
      <c r="X91">
        <v>15.059275570211517</v>
      </c>
      <c r="Y91">
        <v>34588.144129661807</v>
      </c>
      <c r="Z91">
        <v>10.613613326118234</v>
      </c>
      <c r="AA91">
        <v>24377.347087428356</v>
      </c>
      <c r="AB91">
        <v>4.0442875885667</v>
      </c>
      <c r="AC91">
        <v>9288.9197334199962</v>
      </c>
      <c r="AD91">
        <v>3.861930373835933</v>
      </c>
      <c r="AE91">
        <v>8870.081682626369</v>
      </c>
      <c r="AF91">
        <v>4.7776889484732656</v>
      </c>
      <c r="AG91">
        <v>10973.395976853395</v>
      </c>
      <c r="AH91">
        <v>4.2396222200806406</v>
      </c>
      <c r="AI91">
        <v>9737.5643150812139</v>
      </c>
      <c r="AJ91">
        <v>6.5845603214794863</v>
      </c>
      <c r="AK91">
        <v>15123.418146374082</v>
      </c>
      <c r="AL91">
        <v>5.1981662508413802</v>
      </c>
      <c r="AM91">
        <v>11939.148244932481</v>
      </c>
      <c r="AN91">
        <v>4.6814013867655637</v>
      </c>
      <c r="AO91">
        <v>10752.242705123146</v>
      </c>
      <c r="AP91">
        <v>4.9787631298643094</v>
      </c>
      <c r="AQ91">
        <v>11435.223156672344</v>
      </c>
      <c r="AR91">
        <v>8.4685698545145627</v>
      </c>
      <c r="AS91">
        <v>19450.611241849045</v>
      </c>
      <c r="AT91">
        <v>9.1389320764135054</v>
      </c>
      <c r="AU91">
        <v>20990.299193106537</v>
      </c>
      <c r="AV91">
        <v>7.7986840477055015</v>
      </c>
      <c r="AW91">
        <v>17912.017520769994</v>
      </c>
      <c r="AX91">
        <v>8.3772828181882293</v>
      </c>
      <c r="AY91">
        <v>19240.943176814722</v>
      </c>
      <c r="AZ91">
        <v>3.3170813029253692</v>
      </c>
      <c r="BA91">
        <v>7618.6723365589869</v>
      </c>
      <c r="BB91">
        <v>3.285983665710444</v>
      </c>
      <c r="BC91">
        <v>7547.2472834037471</v>
      </c>
      <c r="BD91">
        <v>2.5781473766273852</v>
      </c>
      <c r="BE91">
        <v>5921.4888946377778</v>
      </c>
      <c r="BF91">
        <v>2.3001885659973107</v>
      </c>
      <c r="BG91">
        <v>5283.0730983826224</v>
      </c>
      <c r="BH91">
        <v>4.4656629658579075</v>
      </c>
      <c r="BI91">
        <v>10256.73469998244</v>
      </c>
      <c r="BJ91">
        <v>6.4791303000871956</v>
      </c>
      <c r="BK91">
        <v>14881.266473240268</v>
      </c>
      <c r="BL91">
        <v>6.4536504072872871</v>
      </c>
      <c r="BM91">
        <v>14822.744255457439</v>
      </c>
      <c r="BN91">
        <v>5.3291043917147691</v>
      </c>
      <c r="BO91">
        <v>12239.886966890481</v>
      </c>
      <c r="BP91">
        <v>4.3061979704681619</v>
      </c>
      <c r="BQ91">
        <v>9890.4754985712734</v>
      </c>
      <c r="BR91">
        <v>5.012649983533966</v>
      </c>
      <c r="BS91">
        <v>11513.054482180811</v>
      </c>
      <c r="BT91">
        <v>3.378903512298657</v>
      </c>
      <c r="BU91">
        <v>7760.6655870475543</v>
      </c>
      <c r="BV91">
        <v>3.7049815266115709</v>
      </c>
      <c r="BW91">
        <v>8509.6015703214543</v>
      </c>
      <c r="BX91">
        <v>1.9915052519457235</v>
      </c>
      <c r="BY91">
        <v>4574.0892626689374</v>
      </c>
      <c r="BZ91">
        <v>4.1679845570685119</v>
      </c>
      <c r="CA91">
        <v>9573.0269306749578</v>
      </c>
      <c r="CB91">
        <v>2.7532847718758267</v>
      </c>
      <c r="CC91">
        <v>6323.7444640443982</v>
      </c>
      <c r="CD91">
        <v>4.683755294845227</v>
      </c>
      <c r="CE91">
        <v>10757.649161200516</v>
      </c>
      <c r="CF91">
        <v>6.7588203975460575</v>
      </c>
      <c r="CG91">
        <v>15523.658689083783</v>
      </c>
      <c r="CH91">
        <v>7.2942618793082401</v>
      </c>
      <c r="CI91">
        <v>16753.460684395162</v>
      </c>
      <c r="CJ91">
        <v>8.6879078958091291</v>
      </c>
      <c r="CK91">
        <v>19954.386855094406</v>
      </c>
      <c r="CL91">
        <v>6.6290511665837508</v>
      </c>
      <c r="CM91">
        <v>15225.604719409557</v>
      </c>
      <c r="CN91">
        <v>3.6202204478031947</v>
      </c>
      <c r="CO91">
        <v>8314.9223245143767</v>
      </c>
      <c r="CP91">
        <v>4.3653128513145072</v>
      </c>
      <c r="CQ91">
        <v>10026.250556899158</v>
      </c>
      <c r="CR91">
        <v>5.1012480825928943</v>
      </c>
      <c r="CS91">
        <v>11716.546596099359</v>
      </c>
      <c r="CT91">
        <v>4.1969022145503487</v>
      </c>
      <c r="CU91">
        <v>9639.4450063792392</v>
      </c>
    </row>
    <row r="92" spans="2:99" x14ac:dyDescent="0.2">
      <c r="C92" s="116" t="s">
        <v>258</v>
      </c>
      <c r="D92">
        <v>1.4762674650083136</v>
      </c>
      <c r="E92">
        <v>2097.4808142838119</v>
      </c>
      <c r="F92">
        <v>4.2370493679582752</v>
      </c>
      <c r="G92">
        <v>6019.9997419951169</v>
      </c>
      <c r="H92">
        <v>3.8283304843228447</v>
      </c>
      <c r="I92">
        <v>5439.2919521258973</v>
      </c>
      <c r="J92">
        <v>4.4469491283326281</v>
      </c>
      <c r="K92">
        <v>6318.2253215349974</v>
      </c>
      <c r="L92">
        <v>4.3522962459740953</v>
      </c>
      <c r="M92">
        <v>6183.7425062799939</v>
      </c>
      <c r="N92">
        <v>3.4803450707972079</v>
      </c>
      <c r="O92">
        <v>4944.8742765886727</v>
      </c>
      <c r="P92">
        <v>3</v>
      </c>
      <c r="Q92">
        <v>4262.3999999999996</v>
      </c>
      <c r="R92">
        <v>5.4849945003027809</v>
      </c>
      <c r="S92">
        <v>7793.0801860301908</v>
      </c>
      <c r="T92">
        <v>28.450189289319667</v>
      </c>
      <c r="U92">
        <v>40422.02894226538</v>
      </c>
      <c r="V92">
        <v>17.62601051547518</v>
      </c>
      <c r="W92">
        <v>25043.035740387135</v>
      </c>
      <c r="X92">
        <v>17.76147461560852</v>
      </c>
      <c r="Y92">
        <v>25235.503133856586</v>
      </c>
      <c r="Z92">
        <v>11.220105516182134</v>
      </c>
      <c r="AA92">
        <v>15941.525917391575</v>
      </c>
      <c r="AB92">
        <v>4.549823537137538</v>
      </c>
      <c r="AC92">
        <v>6464.3892815650133</v>
      </c>
      <c r="AD92">
        <v>4.8570568354952233</v>
      </c>
      <c r="AE92">
        <v>6900.906351871613</v>
      </c>
      <c r="AF92">
        <v>5.2851142271795846</v>
      </c>
      <c r="AG92">
        <v>7509.0902939767539</v>
      </c>
      <c r="AH92">
        <v>4.8452825372350175</v>
      </c>
      <c r="AI92">
        <v>6884.1774289035129</v>
      </c>
      <c r="AJ92">
        <v>7.7465415546817482</v>
      </c>
      <c r="AK92">
        <v>11006.286240891828</v>
      </c>
      <c r="AL92">
        <v>6.6833566082246323</v>
      </c>
      <c r="AM92">
        <v>9495.7130689655569</v>
      </c>
      <c r="AN92">
        <v>4.3212935877835967</v>
      </c>
      <c r="AO92">
        <v>6139.693929522934</v>
      </c>
      <c r="AP92">
        <v>5.9745157558371709</v>
      </c>
      <c r="AQ92">
        <v>8488.5919858934521</v>
      </c>
      <c r="AR92">
        <v>9.4095220605717369</v>
      </c>
      <c r="AS92">
        <v>13369.048943660324</v>
      </c>
      <c r="AT92">
        <v>10.751684795780594</v>
      </c>
      <c r="AU92">
        <v>15275.993757845068</v>
      </c>
      <c r="AV92">
        <v>9.6138444389722828</v>
      </c>
      <c r="AW92">
        <v>13659.350178891818</v>
      </c>
      <c r="AX92">
        <v>9.4457648690397438</v>
      </c>
      <c r="AY92">
        <v>13420.542725931668</v>
      </c>
      <c r="AZ92">
        <v>3.3170813029253692</v>
      </c>
      <c r="BA92">
        <v>4712.9091151963639</v>
      </c>
      <c r="BB92">
        <v>3.285983665710444</v>
      </c>
      <c r="BC92">
        <v>4668.7255922413988</v>
      </c>
      <c r="BD92">
        <v>3.2226842207842319</v>
      </c>
      <c r="BE92">
        <v>4578.7897408902363</v>
      </c>
      <c r="BF92">
        <v>2.3001885659973107</v>
      </c>
      <c r="BG92">
        <v>3268.1079145689791</v>
      </c>
      <c r="BH92">
        <v>4.4656629658579075</v>
      </c>
      <c r="BI92">
        <v>6344.813941890915</v>
      </c>
      <c r="BJ92">
        <v>6.8201371579865215</v>
      </c>
      <c r="BK92">
        <v>9690.0508740672503</v>
      </c>
      <c r="BL92">
        <v>6.4536504072872871</v>
      </c>
      <c r="BM92">
        <v>9169.3464986737781</v>
      </c>
      <c r="BN92">
        <v>6.8964880363367591</v>
      </c>
      <c r="BO92">
        <v>9798.5302020272666</v>
      </c>
      <c r="BP92">
        <v>3.71763641457395</v>
      </c>
      <c r="BQ92">
        <v>5282.0178178266679</v>
      </c>
      <c r="BR92">
        <v>5.0410420365127928</v>
      </c>
      <c r="BS92">
        <v>7162.3125254773759</v>
      </c>
      <c r="BT92">
        <v>3.378903512298657</v>
      </c>
      <c r="BU92">
        <v>4800.7461102739317</v>
      </c>
      <c r="BV92">
        <v>3.7049815266115709</v>
      </c>
      <c r="BW92">
        <v>5264.0377530097194</v>
      </c>
      <c r="BX92">
        <v>2.6553403359276317</v>
      </c>
      <c r="BY92">
        <v>3772.707549285979</v>
      </c>
      <c r="BZ92">
        <v>4.9852835570917735</v>
      </c>
      <c r="CA92">
        <v>7083.0908779159918</v>
      </c>
      <c r="CB92">
        <v>2.7532847718758267</v>
      </c>
      <c r="CC92">
        <v>3911.8670038811742</v>
      </c>
      <c r="CD92">
        <v>4.683755294845227</v>
      </c>
      <c r="CE92">
        <v>6654.679522916098</v>
      </c>
      <c r="CF92">
        <v>7.3220554306748955</v>
      </c>
      <c r="CG92">
        <v>10403.176355902891</v>
      </c>
      <c r="CH92">
        <v>8.0306310913265371</v>
      </c>
      <c r="CI92">
        <v>11409.920654556743</v>
      </c>
      <c r="CJ92">
        <v>10.187735167784986</v>
      </c>
      <c r="CK92">
        <v>14474.734126388907</v>
      </c>
      <c r="CL92">
        <v>6.9822869653496404</v>
      </c>
      <c r="CM92">
        <v>9920.4333203687693</v>
      </c>
      <c r="CN92">
        <v>4.525275559753994</v>
      </c>
      <c r="CO92">
        <v>6429.5115152984745</v>
      </c>
      <c r="CP92">
        <v>4.3653128513145072</v>
      </c>
      <c r="CQ92">
        <v>6202.2364991476516</v>
      </c>
      <c r="CR92">
        <v>5.5263520894756359</v>
      </c>
      <c r="CS92">
        <v>7851.841048726983</v>
      </c>
      <c r="CT92">
        <v>4.1969022145503487</v>
      </c>
      <c r="CU92">
        <v>5962.9586664331355</v>
      </c>
    </row>
    <row r="93" spans="2:99" x14ac:dyDescent="0.2">
      <c r="C93" s="116" t="s">
        <v>259</v>
      </c>
      <c r="D93">
        <v>1.4689762420941352</v>
      </c>
      <c r="E93">
        <v>2603.6134914876452</v>
      </c>
      <c r="F93">
        <v>4.3106940648146175</v>
      </c>
      <c r="G93">
        <v>7640.2741604774274</v>
      </c>
      <c r="H93">
        <v>2.977590376695546</v>
      </c>
      <c r="I93">
        <v>5277.4811836551853</v>
      </c>
      <c r="J93">
        <v>5.0498171935852705</v>
      </c>
      <c r="K93">
        <v>8950.2959939105331</v>
      </c>
      <c r="L93">
        <v>3.4818369967792759</v>
      </c>
      <c r="M93">
        <v>6171.2078930915886</v>
      </c>
      <c r="N93">
        <v>3.4803450707972079</v>
      </c>
      <c r="O93">
        <v>6168.5636034809704</v>
      </c>
      <c r="P93">
        <v>3</v>
      </c>
      <c r="Q93">
        <v>5317.2</v>
      </c>
      <c r="R93">
        <v>5.4476872310487208</v>
      </c>
      <c r="S93">
        <v>9655.4808483107518</v>
      </c>
      <c r="T93">
        <v>27.881185503533274</v>
      </c>
      <c r="U93">
        <v>49416.613186462368</v>
      </c>
      <c r="V93">
        <v>17.123078909409582</v>
      </c>
      <c r="W93">
        <v>30348.945059037542</v>
      </c>
      <c r="X93">
        <v>15.982778900508018</v>
      </c>
      <c r="Y93">
        <v>28327.877323260411</v>
      </c>
      <c r="Z93">
        <v>11.523351611214084</v>
      </c>
      <c r="AA93">
        <v>20423.988395715842</v>
      </c>
      <c r="AB93">
        <v>4.8025915114229569</v>
      </c>
      <c r="AC93">
        <v>8512.1131948460479</v>
      </c>
      <c r="AD93">
        <v>4.2462456234578356</v>
      </c>
      <c r="AE93">
        <v>7526.0457430166671</v>
      </c>
      <c r="AF93">
        <v>4.2959743893090128</v>
      </c>
      <c r="AG93">
        <v>7614.1850076112933</v>
      </c>
      <c r="AH93">
        <v>4.6433957648502249</v>
      </c>
      <c r="AI93">
        <v>8229.954653620538</v>
      </c>
      <c r="AJ93">
        <v>6.1972332437453979</v>
      </c>
      <c r="AK93">
        <v>10983.976201214342</v>
      </c>
      <c r="AL93">
        <v>5.5694638401871925</v>
      </c>
      <c r="AM93">
        <v>9871.3177103477792</v>
      </c>
      <c r="AN93">
        <v>4.6814013867655637</v>
      </c>
      <c r="AO93">
        <v>8297.3158179032853</v>
      </c>
      <c r="AP93">
        <v>4.9787631298643094</v>
      </c>
      <c r="AQ93">
        <v>8824.3597713715008</v>
      </c>
      <c r="AR93">
        <v>9.8799981636003249</v>
      </c>
      <c r="AS93">
        <v>17511.308745165214</v>
      </c>
      <c r="AT93">
        <v>9.1389320764135054</v>
      </c>
      <c r="AU93">
        <v>16197.843212235295</v>
      </c>
      <c r="AV93">
        <v>9.6315817831452701</v>
      </c>
      <c r="AW93">
        <v>17071.015552446675</v>
      </c>
      <c r="AX93">
        <v>9.4457648690397438</v>
      </c>
      <c r="AY93">
        <v>16741.673653886042</v>
      </c>
      <c r="AZ93">
        <v>3.3170813029253692</v>
      </c>
      <c r="BA93">
        <v>5879.1949013049243</v>
      </c>
      <c r="BB93">
        <v>3.285983665710444</v>
      </c>
      <c r="BC93">
        <v>5824.0774491051907</v>
      </c>
      <c r="BD93">
        <v>3.2226842207842319</v>
      </c>
      <c r="BE93">
        <v>5711.8855129179719</v>
      </c>
      <c r="BF93">
        <v>1.9715901994262661</v>
      </c>
      <c r="BG93">
        <v>3494.4464694631138</v>
      </c>
      <c r="BH93">
        <v>4.763373830248435</v>
      </c>
      <c r="BI93">
        <v>8442.6037767323251</v>
      </c>
      <c r="BJ93">
        <v>5.7971165842885437</v>
      </c>
      <c r="BK93">
        <v>10274.809433993014</v>
      </c>
      <c r="BL93">
        <v>6.0234070468014682</v>
      </c>
      <c r="BM93">
        <v>10675.886649750921</v>
      </c>
      <c r="BN93">
        <v>6.2695345784879626</v>
      </c>
      <c r="BO93">
        <v>11112.123086912065</v>
      </c>
      <c r="BP93">
        <v>4.3061979704681619</v>
      </c>
      <c r="BQ93">
        <v>7632.3052828577693</v>
      </c>
      <c r="BR93">
        <v>4.98425793055514</v>
      </c>
      <c r="BS93">
        <v>8834.0987561159291</v>
      </c>
      <c r="BT93">
        <v>3.378903512298657</v>
      </c>
      <c r="BU93">
        <v>5988.7685851981396</v>
      </c>
      <c r="BV93">
        <v>3.1837989341737729</v>
      </c>
      <c r="BW93">
        <v>5642.9652309295943</v>
      </c>
      <c r="BX93">
        <v>2.6553403359276317</v>
      </c>
      <c r="BY93">
        <v>4706.3252113981343</v>
      </c>
      <c r="BZ93">
        <v>4.1408213714177773</v>
      </c>
      <c r="CA93">
        <v>7339.1917987008683</v>
      </c>
      <c r="CB93">
        <v>3.6710463625011025</v>
      </c>
      <c r="CC93">
        <v>6506.5625728969535</v>
      </c>
      <c r="CD93">
        <v>3.7837790324701066</v>
      </c>
      <c r="CE93">
        <v>6706.3699571500165</v>
      </c>
      <c r="CF93">
        <v>7.3220554306748955</v>
      </c>
      <c r="CG93">
        <v>12977.611045328184</v>
      </c>
      <c r="CH93">
        <v>8.7322851829074679</v>
      </c>
      <c r="CI93">
        <v>15477.102258185196</v>
      </c>
      <c r="CJ93">
        <v>10.164124331791744</v>
      </c>
      <c r="CK93">
        <v>18014.893965667685</v>
      </c>
      <c r="CL93">
        <v>5.8185724711246998</v>
      </c>
      <c r="CM93">
        <v>10312.837847821416</v>
      </c>
      <c r="CN93">
        <v>4.0727480037785941</v>
      </c>
      <c r="CO93">
        <v>7218.5385618971795</v>
      </c>
      <c r="CP93">
        <v>4.3653128513145072</v>
      </c>
      <c r="CQ93">
        <v>7737.0804976698319</v>
      </c>
      <c r="CR93">
        <v>5.5263520894756359</v>
      </c>
      <c r="CS93">
        <v>9794.906443386617</v>
      </c>
      <c r="CT93">
        <v>4.5784387795094714</v>
      </c>
      <c r="CU93">
        <v>8114.8248928025869</v>
      </c>
    </row>
    <row r="94" spans="2:99" x14ac:dyDescent="0.2">
      <c r="C94" s="116" t="s">
        <v>260</v>
      </c>
      <c r="D94">
        <v>1.4689762420941352</v>
      </c>
      <c r="E94">
        <v>3518.4918950638726</v>
      </c>
      <c r="F94">
        <v>3.8796246583331557</v>
      </c>
      <c r="G94">
        <v>9292.4769816395747</v>
      </c>
      <c r="H94">
        <v>2.977590376695546</v>
      </c>
      <c r="I94">
        <v>7131.9244702611713</v>
      </c>
      <c r="J94">
        <v>4.4237988557240433</v>
      </c>
      <c r="K94">
        <v>10595.883019230228</v>
      </c>
      <c r="L94">
        <v>3.4818369967792759</v>
      </c>
      <c r="M94">
        <v>8339.695974685721</v>
      </c>
      <c r="N94">
        <v>3.4803450707972079</v>
      </c>
      <c r="O94">
        <v>8336.1225135734712</v>
      </c>
      <c r="P94">
        <v>3</v>
      </c>
      <c r="Q94">
        <v>7185.5999999999995</v>
      </c>
      <c r="R94">
        <v>5.4849945003027809</v>
      </c>
      <c r="S94">
        <v>13137.65882712522</v>
      </c>
      <c r="T94">
        <v>23.329155217242128</v>
      </c>
      <c r="U94">
        <v>55877.992576338343</v>
      </c>
      <c r="V94">
        <v>15.654244699786648</v>
      </c>
      <c r="W94">
        <v>37495.046904928975</v>
      </c>
      <c r="X94">
        <v>13.592968361576013</v>
      </c>
      <c r="Y94">
        <v>32557.877819646863</v>
      </c>
      <c r="Z94">
        <v>9.7038750410223855</v>
      </c>
      <c r="AA94">
        <v>23242.721498256815</v>
      </c>
      <c r="AB94">
        <v>4.0442875885667</v>
      </c>
      <c r="AC94">
        <v>9686.8776321349596</v>
      </c>
      <c r="AD94">
        <v>4.0491825218462365</v>
      </c>
      <c r="AE94">
        <v>9698.6019763261047</v>
      </c>
      <c r="AF94">
        <v>4.7862591883206198</v>
      </c>
      <c r="AG94">
        <v>11464.048007865547</v>
      </c>
      <c r="AH94">
        <v>4.037735447695848</v>
      </c>
      <c r="AI94">
        <v>9671.1839443210938</v>
      </c>
      <c r="AJ94">
        <v>6.5845603214794863</v>
      </c>
      <c r="AK94">
        <v>15771.338882007665</v>
      </c>
      <c r="AL94">
        <v>5.5694638401871925</v>
      </c>
      <c r="AM94">
        <v>13339.979790016363</v>
      </c>
      <c r="AN94">
        <v>4.3212935877835967</v>
      </c>
      <c r="AO94">
        <v>10350.36240145927</v>
      </c>
      <c r="AP94">
        <v>4.4808868168778773</v>
      </c>
      <c r="AQ94">
        <v>10732.62010378589</v>
      </c>
      <c r="AR94">
        <v>9.4095220605717369</v>
      </c>
      <c r="AS94">
        <v>22537.687239481424</v>
      </c>
      <c r="AT94">
        <v>9.1389320764135054</v>
      </c>
      <c r="AU94">
        <v>21889.570109425626</v>
      </c>
      <c r="AV94">
        <v>8.24803980947895</v>
      </c>
      <c r="AW94">
        <v>19755.704951663978</v>
      </c>
      <c r="AX94">
        <v>8.4016504737059279</v>
      </c>
      <c r="AY94">
        <v>20123.633214620437</v>
      </c>
      <c r="AZ94">
        <v>2.9024461400596984</v>
      </c>
      <c r="BA94">
        <v>6951.9389946709889</v>
      </c>
      <c r="BB94">
        <v>2.9208743695203947</v>
      </c>
      <c r="BC94">
        <v>6996.0782898752486</v>
      </c>
      <c r="BD94">
        <v>2.9004157987058083</v>
      </c>
      <c r="BE94">
        <v>6947.0759210601518</v>
      </c>
      <c r="BF94">
        <v>1.9715901994262661</v>
      </c>
      <c r="BG94">
        <v>4722.3528456657923</v>
      </c>
      <c r="BH94">
        <v>4.4656629658579075</v>
      </c>
      <c r="BI94">
        <v>10696.155935822859</v>
      </c>
      <c r="BJ94">
        <v>5.1151028684898918</v>
      </c>
      <c r="BK94">
        <v>12251.694390606988</v>
      </c>
      <c r="BL94">
        <v>6.4536504072872871</v>
      </c>
      <c r="BM94">
        <v>15457.783455534509</v>
      </c>
      <c r="BN94">
        <v>5.9560578495635648</v>
      </c>
      <c r="BO94">
        <v>14265.949761274649</v>
      </c>
      <c r="BP94">
        <v>3.6910268318298534</v>
      </c>
      <c r="BQ94">
        <v>8840.7474675988633</v>
      </c>
      <c r="BR94">
        <v>4.4002647620816342</v>
      </c>
      <c r="BS94">
        <v>10539.51415813793</v>
      </c>
      <c r="BT94">
        <v>3.378903512298657</v>
      </c>
      <c r="BU94">
        <v>8093.1496926577429</v>
      </c>
      <c r="BV94">
        <v>3.2027000606894362</v>
      </c>
      <c r="BW94">
        <v>7671.1071853633375</v>
      </c>
      <c r="BX94">
        <v>2.6553403359276317</v>
      </c>
      <c r="BY94">
        <v>6360.0711726138634</v>
      </c>
      <c r="BZ94">
        <v>4.9309571857903016</v>
      </c>
      <c r="CA94">
        <v>11810.62865140493</v>
      </c>
      <c r="CB94">
        <v>2.7532847718758267</v>
      </c>
      <c r="CC94">
        <v>6594.6676855969799</v>
      </c>
      <c r="CD94">
        <v>3.7837790324701066</v>
      </c>
      <c r="CE94">
        <v>9062.9075385723991</v>
      </c>
      <c r="CF94">
        <v>5.6323503312883805</v>
      </c>
      <c r="CG94">
        <v>13490.605513501929</v>
      </c>
      <c r="CH94">
        <v>7.2942618793082401</v>
      </c>
      <c r="CI94">
        <v>17471.216053319094</v>
      </c>
      <c r="CJ94">
        <v>9.1642394838078367</v>
      </c>
      <c r="CK94">
        <v>21950.186411616527</v>
      </c>
      <c r="CL94">
        <v>6.4004297182371701</v>
      </c>
      <c r="CM94">
        <v>15330.309261121669</v>
      </c>
      <c r="CN94">
        <v>3.6202204478031947</v>
      </c>
      <c r="CO94">
        <v>8671.1520165782113</v>
      </c>
      <c r="CP94">
        <v>4.3653128513145072</v>
      </c>
      <c r="CQ94">
        <v>10455.797341468508</v>
      </c>
      <c r="CR94">
        <v>5.1012480825928943</v>
      </c>
      <c r="CS94">
        <v>12218.5094074265</v>
      </c>
      <c r="CT94">
        <v>3.8153656495912265</v>
      </c>
      <c r="CU94">
        <v>9138.5638039009045</v>
      </c>
    </row>
    <row r="95" spans="2:99" x14ac:dyDescent="0.2">
      <c r="B95" s="116" t="s">
        <v>132</v>
      </c>
      <c r="C95" s="116" t="s">
        <v>261</v>
      </c>
      <c r="D95">
        <v>1.6260970082191242</v>
      </c>
      <c r="E95">
        <v>2817.7008958420984</v>
      </c>
      <c r="F95">
        <v>4.7417634712960792</v>
      </c>
      <c r="G95">
        <v>8216.5277430618462</v>
      </c>
      <c r="H95">
        <v>5.9551807533910921</v>
      </c>
      <c r="I95">
        <v>10319.137209476085</v>
      </c>
      <c r="J95">
        <v>5.5924945500555907</v>
      </c>
      <c r="K95">
        <v>9690.6745563363274</v>
      </c>
      <c r="L95">
        <v>8.7045924919481905</v>
      </c>
      <c r="M95">
        <v>15083.317870047824</v>
      </c>
      <c r="N95">
        <v>13.921380283188832</v>
      </c>
      <c r="O95">
        <v>24122.967754709607</v>
      </c>
      <c r="P95">
        <v>9</v>
      </c>
      <c r="Q95">
        <v>15595.199999999999</v>
      </c>
      <c r="R95">
        <v>11</v>
      </c>
      <c r="S95">
        <v>19060.8</v>
      </c>
      <c r="T95">
        <v>19.346128716737372</v>
      </c>
      <c r="U95">
        <v>33522.971840362516</v>
      </c>
      <c r="V95">
        <v>15.454441656917313</v>
      </c>
      <c r="W95">
        <v>26779.456503106318</v>
      </c>
      <c r="X95">
        <v>10.156694790461017</v>
      </c>
      <c r="Y95">
        <v>17599.520732910849</v>
      </c>
      <c r="Z95">
        <v>12.73633599134188</v>
      </c>
      <c r="AA95">
        <v>22069.523005797208</v>
      </c>
      <c r="AB95">
        <v>10.616254919987588</v>
      </c>
      <c r="AC95">
        <v>18395.846525354493</v>
      </c>
      <c r="AD95">
        <v>8.808129821328496</v>
      </c>
      <c r="AE95">
        <v>15262.727354398017</v>
      </c>
      <c r="AF95">
        <v>9.2159628591198075</v>
      </c>
      <c r="AG95">
        <v>15969.420442282802</v>
      </c>
      <c r="AH95">
        <v>10.699998936393996</v>
      </c>
      <c r="AI95">
        <v>18540.958156983517</v>
      </c>
      <c r="AJ95">
        <v>5.035252010543136</v>
      </c>
      <c r="AK95">
        <v>8725.084683869145</v>
      </c>
      <c r="AL95">
        <v>8.1685469656078826</v>
      </c>
      <c r="AM95">
        <v>14154.458182005339</v>
      </c>
      <c r="AN95">
        <v>5.4016169847294959</v>
      </c>
      <c r="AO95">
        <v>9359.9219111392704</v>
      </c>
      <c r="AP95">
        <v>6.4723920688236012</v>
      </c>
      <c r="AQ95">
        <v>11215.360976857535</v>
      </c>
      <c r="AR95">
        <v>8.9390459575431507</v>
      </c>
      <c r="AS95">
        <v>15489.578835230772</v>
      </c>
      <c r="AT95">
        <v>9.1389320764135054</v>
      </c>
      <c r="AU95">
        <v>15835.941502009322</v>
      </c>
      <c r="AV95">
        <v>9.8030330674263393</v>
      </c>
      <c r="AW95">
        <v>16986.695699236359</v>
      </c>
      <c r="AX95">
        <v>8.6678472884370077</v>
      </c>
      <c r="AY95">
        <v>15019.645781403646</v>
      </c>
      <c r="AZ95">
        <v>4.5609867915223825</v>
      </c>
      <c r="BA95">
        <v>7903.277912349984</v>
      </c>
      <c r="BB95">
        <v>4.0162022580905425</v>
      </c>
      <c r="BC95">
        <v>6959.2752728192918</v>
      </c>
      <c r="BD95">
        <v>4.8316631553507436</v>
      </c>
      <c r="BE95">
        <v>8372.305915591769</v>
      </c>
      <c r="BF95">
        <v>3.9431803988525322</v>
      </c>
      <c r="BG95">
        <v>6832.7429951316681</v>
      </c>
      <c r="BH95">
        <v>16.076386677088468</v>
      </c>
      <c r="BI95">
        <v>27857.162834058898</v>
      </c>
      <c r="BJ95">
        <v>14.322288031771695</v>
      </c>
      <c r="BK95">
        <v>24817.660701453991</v>
      </c>
      <c r="BL95">
        <v>14.628274256517852</v>
      </c>
      <c r="BM95">
        <v>25347.873631694132</v>
      </c>
      <c r="BN95">
        <v>14.419929530522316</v>
      </c>
      <c r="BO95">
        <v>24986.853890489067</v>
      </c>
      <c r="BP95">
        <v>16.479723565037933</v>
      </c>
      <c r="BQ95">
        <v>28556.06499349773</v>
      </c>
      <c r="BR95">
        <v>14.015836043364141</v>
      </c>
      <c r="BS95">
        <v>24286.640695941383</v>
      </c>
      <c r="BT95">
        <v>18.24607896641275</v>
      </c>
      <c r="BU95">
        <v>31616.805633000011</v>
      </c>
      <c r="BV95">
        <v>17.579851307274698</v>
      </c>
      <c r="BW95">
        <v>30462.366345245595</v>
      </c>
      <c r="BX95">
        <v>17.259712183529604</v>
      </c>
      <c r="BY95">
        <v>29907.629271620099</v>
      </c>
      <c r="BZ95">
        <v>12.642173029960404</v>
      </c>
      <c r="CA95">
        <v>21906.357426315386</v>
      </c>
      <c r="CB95">
        <v>12.848662268753859</v>
      </c>
      <c r="CC95">
        <v>22264.161979296685</v>
      </c>
      <c r="CD95">
        <v>11.699691410876564</v>
      </c>
      <c r="CE95">
        <v>20273.225276766909</v>
      </c>
      <c r="CF95">
        <v>12.391170728834439</v>
      </c>
      <c r="CG95">
        <v>21471.420638924315</v>
      </c>
      <c r="CH95">
        <v>7.6066979632445477</v>
      </c>
      <c r="CI95">
        <v>13180.886230710152</v>
      </c>
      <c r="CJ95">
        <v>9.7114035797862748</v>
      </c>
      <c r="CK95">
        <v>16827.920123053656</v>
      </c>
      <c r="CL95">
        <v>10.930673344717622</v>
      </c>
      <c r="CM95">
        <v>18940.670771726695</v>
      </c>
      <c r="CN95">
        <v>14.933409347188181</v>
      </c>
      <c r="CO95">
        <v>25876.611716807682</v>
      </c>
      <c r="CP95">
        <v>16.58818883499513</v>
      </c>
      <c r="CQ95">
        <v>28744.01361327956</v>
      </c>
      <c r="CR95">
        <v>12.753120206482237</v>
      </c>
      <c r="CS95">
        <v>22098.606693792419</v>
      </c>
      <c r="CT95">
        <v>10.301487253896312</v>
      </c>
      <c r="CU95">
        <v>17850.417113551528</v>
      </c>
    </row>
    <row r="96" spans="2:99" x14ac:dyDescent="0.2">
      <c r="C96" s="116" t="s">
        <v>262</v>
      </c>
      <c r="D96">
        <v>2.0695780104607038</v>
      </c>
      <c r="E96">
        <v>1703.6766182112513</v>
      </c>
      <c r="F96">
        <v>5.172832877777541</v>
      </c>
      <c r="G96">
        <v>4258.2760249864714</v>
      </c>
      <c r="H96">
        <v>5.1044406457637921</v>
      </c>
      <c r="I96">
        <v>4201.9755395927532</v>
      </c>
      <c r="J96">
        <v>5.5924945500555907</v>
      </c>
      <c r="K96">
        <v>4603.7415136057616</v>
      </c>
      <c r="L96">
        <v>9.5750517411430085</v>
      </c>
      <c r="M96">
        <v>7882.182593308924</v>
      </c>
      <c r="N96">
        <v>14.791466550888135</v>
      </c>
      <c r="O96">
        <v>12176.335264691112</v>
      </c>
      <c r="P96">
        <v>9</v>
      </c>
      <c r="Q96">
        <v>7408.7999999999993</v>
      </c>
      <c r="R96">
        <v>12</v>
      </c>
      <c r="S96">
        <v>9878.4</v>
      </c>
      <c r="T96">
        <v>21.622143859882947</v>
      </c>
      <c r="U96">
        <v>17799.34882545564</v>
      </c>
      <c r="V96">
        <v>18.835100769367976</v>
      </c>
      <c r="W96">
        <v>15505.054953343717</v>
      </c>
      <c r="X96">
        <v>11.351600059927021</v>
      </c>
      <c r="Y96">
        <v>9344.6371693319234</v>
      </c>
      <c r="Z96">
        <v>14.555812561533578</v>
      </c>
      <c r="AA96">
        <v>11982.344900654442</v>
      </c>
      <c r="AB96">
        <v>11.374558842843843</v>
      </c>
      <c r="AC96">
        <v>9363.5368394290508</v>
      </c>
      <c r="AD96">
        <v>10.187571532609686</v>
      </c>
      <c r="AE96">
        <v>8386.4088856442922</v>
      </c>
      <c r="AF96">
        <v>11.405103974977333</v>
      </c>
      <c r="AG96">
        <v>9388.6815922013393</v>
      </c>
      <c r="AH96">
        <v>11.507546025933166</v>
      </c>
      <c r="AI96">
        <v>9473.0118885481825</v>
      </c>
      <c r="AJ96">
        <v>5.4225790882772236</v>
      </c>
      <c r="AK96">
        <v>4463.8671054698098</v>
      </c>
      <c r="AL96">
        <v>9.6537373229911356</v>
      </c>
      <c r="AM96">
        <v>7946.9565642863026</v>
      </c>
      <c r="AN96">
        <v>5.7617247837114629</v>
      </c>
      <c r="AO96">
        <v>4743.0518419512755</v>
      </c>
      <c r="AP96">
        <v>7.4681446947964627</v>
      </c>
      <c r="AQ96">
        <v>6147.7767127564475</v>
      </c>
      <c r="AR96">
        <v>10.350474266628911</v>
      </c>
      <c r="AS96">
        <v>8520.5104162889183</v>
      </c>
      <c r="AT96">
        <v>10.214100555991564</v>
      </c>
      <c r="AU96">
        <v>8408.2475776922547</v>
      </c>
      <c r="AV96">
        <v>12.173973285504486</v>
      </c>
      <c r="AW96">
        <v>10021.614808627291</v>
      </c>
      <c r="AX96">
        <v>9.1777206583450663</v>
      </c>
      <c r="AY96">
        <v>7555.0996459496582</v>
      </c>
      <c r="AZ96">
        <v>4.9756219543880542</v>
      </c>
      <c r="BA96">
        <v>4095.9319928522459</v>
      </c>
      <c r="BB96">
        <v>4.3813115542805914</v>
      </c>
      <c r="BC96">
        <v>3606.6956714837825</v>
      </c>
      <c r="BD96">
        <v>4.8572555750509698</v>
      </c>
      <c r="BE96">
        <v>3998.4927893819581</v>
      </c>
      <c r="BF96">
        <v>3.9431803988525322</v>
      </c>
      <c r="BG96">
        <v>3246.0261043354044</v>
      </c>
      <c r="BH96">
        <v>18.458073592212688</v>
      </c>
      <c r="BI96">
        <v>15194.686181109484</v>
      </c>
      <c r="BJ96">
        <v>16.368329179167652</v>
      </c>
      <c r="BK96">
        <v>13474.40858029081</v>
      </c>
      <c r="BL96">
        <v>16.349247698461127</v>
      </c>
      <c r="BM96">
        <v>13458.7007053732</v>
      </c>
      <c r="BN96">
        <v>18.181650277615095</v>
      </c>
      <c r="BO96">
        <v>14967.134508532745</v>
      </c>
      <c r="BP96">
        <v>18.245408232720571</v>
      </c>
      <c r="BQ96">
        <v>15019.620057175573</v>
      </c>
      <c r="BR96">
        <v>19.271774559625694</v>
      </c>
      <c r="BS96">
        <v>15864.524817483871</v>
      </c>
      <c r="BT96">
        <v>17.570298263953013</v>
      </c>
      <c r="BU96">
        <v>14463.869530886119</v>
      </c>
      <c r="BV96">
        <v>18.082132773196832</v>
      </c>
      <c r="BW96">
        <v>14885.211698895631</v>
      </c>
      <c r="BX96">
        <v>17.923547267511509</v>
      </c>
      <c r="BY96">
        <v>14754.664110615473</v>
      </c>
      <c r="BZ96">
        <v>16.592852101823027</v>
      </c>
      <c r="CA96">
        <v>13659.235850220715</v>
      </c>
      <c r="CB96">
        <v>15.601947040629685</v>
      </c>
      <c r="CC96">
        <v>12843.522803846356</v>
      </c>
      <c r="CD96">
        <v>14.399620198001926</v>
      </c>
      <c r="CE96">
        <v>11853.767346995184</v>
      </c>
      <c r="CF96">
        <v>12.954405761963276</v>
      </c>
      <c r="CG96">
        <v>10664.066823248168</v>
      </c>
      <c r="CH96">
        <v>9.0794363872811434</v>
      </c>
      <c r="CI96">
        <v>7474.1920340098368</v>
      </c>
      <c r="CJ96">
        <v>11.758394947740571</v>
      </c>
      <c r="CK96">
        <v>9679.5107209800371</v>
      </c>
      <c r="CL96">
        <v>13.868537261323297</v>
      </c>
      <c r="CM96">
        <v>11416.579873521338</v>
      </c>
      <c r="CN96">
        <v>14.933409347188181</v>
      </c>
      <c r="CO96">
        <v>12293.182574605309</v>
      </c>
      <c r="CP96">
        <v>19.643907830915282</v>
      </c>
      <c r="CQ96">
        <v>16170.864926409458</v>
      </c>
      <c r="CR96">
        <v>12.753120206482237</v>
      </c>
      <c r="CS96">
        <v>10498.368553976175</v>
      </c>
      <c r="CT96">
        <v>11.446096948773679</v>
      </c>
      <c r="CU96">
        <v>9422.427008230492</v>
      </c>
    </row>
    <row r="97" spans="2:99" x14ac:dyDescent="0.2">
      <c r="C97" s="116" t="s">
        <v>263</v>
      </c>
      <c r="D97">
        <v>1.9217510097135106</v>
      </c>
      <c r="E97">
        <v>3514.4982465640683</v>
      </c>
      <c r="F97">
        <v>5.6039022842590027</v>
      </c>
      <c r="G97">
        <v>10248.416497452863</v>
      </c>
      <c r="H97">
        <v>5.1044406457637921</v>
      </c>
      <c r="I97">
        <v>9335.0010529728224</v>
      </c>
      <c r="J97">
        <v>5.5924945500555907</v>
      </c>
      <c r="K97">
        <v>10227.554033141663</v>
      </c>
      <c r="L97">
        <v>9.5750517411430085</v>
      </c>
      <c r="M97">
        <v>17510.854624202333</v>
      </c>
      <c r="N97">
        <v>12.181207747790229</v>
      </c>
      <c r="O97">
        <v>22276.99272915877</v>
      </c>
      <c r="P97">
        <v>9</v>
      </c>
      <c r="Q97">
        <v>16459.2</v>
      </c>
      <c r="R97">
        <v>12</v>
      </c>
      <c r="S97">
        <v>21945.599999999999</v>
      </c>
      <c r="T97">
        <v>21.053140074096554</v>
      </c>
      <c r="U97">
        <v>38501.982567507774</v>
      </c>
      <c r="V97">
        <v>15.454441656917313</v>
      </c>
      <c r="W97">
        <v>28263.082902170379</v>
      </c>
      <c r="X97">
        <v>10.156694790461017</v>
      </c>
      <c r="Y97">
        <v>18574.563432795108</v>
      </c>
      <c r="Z97">
        <v>11.523351611214084</v>
      </c>
      <c r="AA97">
        <v>21073.905426588317</v>
      </c>
      <c r="AB97">
        <v>11.374558842843843</v>
      </c>
      <c r="AC97">
        <v>20801.793211792821</v>
      </c>
      <c r="AD97">
        <v>8.207129562892403</v>
      </c>
      <c r="AE97">
        <v>15009.198544617626</v>
      </c>
      <c r="AF97">
        <v>8.9708204596140035</v>
      </c>
      <c r="AG97">
        <v>16405.836456542089</v>
      </c>
      <c r="AH97">
        <v>11.507546025933166</v>
      </c>
      <c r="AI97">
        <v>21045.000172226573</v>
      </c>
      <c r="AJ97">
        <v>5.4225790882772236</v>
      </c>
      <c r="AK97">
        <v>9916.8126366413853</v>
      </c>
      <c r="AL97">
        <v>8.5398445549536959</v>
      </c>
      <c r="AM97">
        <v>15617.667722099319</v>
      </c>
      <c r="AN97">
        <v>5.0415091857475307</v>
      </c>
      <c r="AO97">
        <v>9219.9119988950843</v>
      </c>
      <c r="AP97">
        <v>5.4766394428507397</v>
      </c>
      <c r="AQ97">
        <v>10015.678213085432</v>
      </c>
      <c r="AR97">
        <v>9.4095220605717369</v>
      </c>
      <c r="AS97">
        <v>17208.133944373592</v>
      </c>
      <c r="AT97">
        <v>9.1389320764135054</v>
      </c>
      <c r="AU97">
        <v>16713.278981345018</v>
      </c>
      <c r="AV97">
        <v>9.8030330674263393</v>
      </c>
      <c r="AW97">
        <v>17927.78687370929</v>
      </c>
      <c r="AX97">
        <v>7.6481005486208895</v>
      </c>
      <c r="AY97">
        <v>13986.846283317882</v>
      </c>
      <c r="AZ97">
        <v>4.5609867915223825</v>
      </c>
      <c r="BA97">
        <v>8341.1326443361322</v>
      </c>
      <c r="BB97">
        <v>3.6510929619004928</v>
      </c>
      <c r="BC97">
        <v>6677.1188087236214</v>
      </c>
      <c r="BD97">
        <v>5.1283391577289414</v>
      </c>
      <c r="BE97">
        <v>9378.7066516546874</v>
      </c>
      <c r="BF97">
        <v>3.6145820322814881</v>
      </c>
      <c r="BG97">
        <v>6610.3476206363857</v>
      </c>
      <c r="BH97">
        <v>16.076386677088468</v>
      </c>
      <c r="BI97">
        <v>29400.495955059389</v>
      </c>
      <c r="BJ97">
        <v>14.663294889671022</v>
      </c>
      <c r="BK97">
        <v>26816.233694230363</v>
      </c>
      <c r="BL97">
        <v>15.05851761700367</v>
      </c>
      <c r="BM97">
        <v>27539.017017976312</v>
      </c>
      <c r="BN97">
        <v>15.046882988371113</v>
      </c>
      <c r="BO97">
        <v>27517.739609133092</v>
      </c>
      <c r="BP97">
        <v>18.245408232720571</v>
      </c>
      <c r="BQ97">
        <v>33367.202575999378</v>
      </c>
      <c r="BR97">
        <v>16.935801885731667</v>
      </c>
      <c r="BS97">
        <v>30972.194488626072</v>
      </c>
      <c r="BT97">
        <v>16.894517561493284</v>
      </c>
      <c r="BU97">
        <v>30896.693716458918</v>
      </c>
      <c r="BV97">
        <v>18.584414239118967</v>
      </c>
      <c r="BW97">
        <v>33987.176760500763</v>
      </c>
      <c r="BX97">
        <v>15.26820693158388</v>
      </c>
      <c r="BY97">
        <v>27922.496836480597</v>
      </c>
      <c r="BZ97">
        <v>15.012580473077978</v>
      </c>
      <c r="CA97">
        <v>27455.007169165005</v>
      </c>
      <c r="CB97">
        <v>13.766423859379133</v>
      </c>
      <c r="CC97">
        <v>25176.035954032559</v>
      </c>
      <c r="CD97">
        <v>12.599667673251686</v>
      </c>
      <c r="CE97">
        <v>23042.272240842682</v>
      </c>
      <c r="CF97">
        <v>11.264700662576761</v>
      </c>
      <c r="CG97">
        <v>20600.88457172038</v>
      </c>
      <c r="CH97">
        <v>9.0447212668437746</v>
      </c>
      <c r="CI97">
        <v>16540.986252803894</v>
      </c>
      <c r="CJ97">
        <v>10.758510099756665</v>
      </c>
      <c r="CK97">
        <v>19675.163270434987</v>
      </c>
      <c r="CL97">
        <v>11.512530591830091</v>
      </c>
      <c r="CM97">
        <v>21054.115946338869</v>
      </c>
      <c r="CN97">
        <v>13.575826679261981</v>
      </c>
      <c r="CO97">
        <v>24827.471831034309</v>
      </c>
      <c r="CP97">
        <v>14.842063694469324</v>
      </c>
      <c r="CQ97">
        <v>27143.1660844455</v>
      </c>
      <c r="CR97">
        <v>11.477808185834013</v>
      </c>
      <c r="CS97">
        <v>20990.61561025324</v>
      </c>
      <c r="CT97">
        <v>11.446096948773679</v>
      </c>
      <c r="CU97">
        <v>20932.622099917302</v>
      </c>
    </row>
    <row r="98" spans="2:99" x14ac:dyDescent="0.2">
      <c r="C98" s="116" t="s">
        <v>264</v>
      </c>
      <c r="D98">
        <v>1.7739240089663173</v>
      </c>
      <c r="E98">
        <v>2241.5303777298382</v>
      </c>
      <c r="F98">
        <v>5.172832877777541</v>
      </c>
      <c r="G98">
        <v>6536.3916243597005</v>
      </c>
      <c r="H98">
        <v>5.9551807533910921</v>
      </c>
      <c r="I98">
        <v>7524.9663999849836</v>
      </c>
      <c r="J98">
        <v>4.971106266716081</v>
      </c>
      <c r="K98">
        <v>6281.4898786224394</v>
      </c>
      <c r="L98">
        <v>10.445510990337828</v>
      </c>
      <c r="M98">
        <v>13198.947687390879</v>
      </c>
      <c r="N98">
        <v>13.05129401548953</v>
      </c>
      <c r="O98">
        <v>16491.615117972568</v>
      </c>
      <c r="P98">
        <v>11</v>
      </c>
      <c r="Q98">
        <v>13899.599999999999</v>
      </c>
      <c r="R98">
        <v>12</v>
      </c>
      <c r="S98">
        <v>15163.199999999999</v>
      </c>
      <c r="T98">
        <v>20.484136288310157</v>
      </c>
      <c r="U98">
        <v>25883.754613908714</v>
      </c>
      <c r="V98">
        <v>16.903295562253312</v>
      </c>
      <c r="W98">
        <v>21359.004272463284</v>
      </c>
      <c r="X98">
        <v>10.156694790461017</v>
      </c>
      <c r="Y98">
        <v>12833.99953722654</v>
      </c>
      <c r="Z98">
        <v>12.73633599134188</v>
      </c>
      <c r="AA98">
        <v>16093.634158659599</v>
      </c>
      <c r="AB98">
        <v>10.616254919987588</v>
      </c>
      <c r="AC98">
        <v>13414.699716896315</v>
      </c>
      <c r="AD98">
        <v>9.5767603205722995</v>
      </c>
      <c r="AE98">
        <v>12101.194341075157</v>
      </c>
      <c r="AF98">
        <v>11.422244454672043</v>
      </c>
      <c r="AG98">
        <v>14433.148092923593</v>
      </c>
      <c r="AH98">
        <v>11.911319570702751</v>
      </c>
      <c r="AI98">
        <v>15051.143409539996</v>
      </c>
      <c r="AJ98">
        <v>6.1972332437453979</v>
      </c>
      <c r="AK98">
        <v>7830.8239267966837</v>
      </c>
      <c r="AL98">
        <v>9.2824397336453224</v>
      </c>
      <c r="AM98">
        <v>11729.290847434229</v>
      </c>
      <c r="AN98">
        <v>5.4016169847294959</v>
      </c>
      <c r="AO98">
        <v>6825.4832219041909</v>
      </c>
      <c r="AP98">
        <v>6.9702683818100324</v>
      </c>
      <c r="AQ98">
        <v>8807.6311272551557</v>
      </c>
      <c r="AR98">
        <v>10.350474266628911</v>
      </c>
      <c r="AS98">
        <v>13078.859283312291</v>
      </c>
      <c r="AT98">
        <v>8.6013478366244751</v>
      </c>
      <c r="AU98">
        <v>10868.663126358686</v>
      </c>
      <c r="AV98">
        <v>10.790431311838168</v>
      </c>
      <c r="AW98">
        <v>13634.789005638708</v>
      </c>
      <c r="AX98">
        <v>8.157973918528949</v>
      </c>
      <c r="AY98">
        <v>10308.41584345318</v>
      </c>
      <c r="AZ98">
        <v>5.390257117253725</v>
      </c>
      <c r="BA98">
        <v>6811.1288933618061</v>
      </c>
      <c r="BB98">
        <v>4.0162022580905425</v>
      </c>
      <c r="BC98">
        <v>5074.8731733232089</v>
      </c>
      <c r="BD98">
        <v>4.7932745258004061</v>
      </c>
      <c r="BE98">
        <v>6056.7816908013929</v>
      </c>
      <c r="BF98">
        <v>3.6145820322814881</v>
      </c>
      <c r="BG98">
        <v>4567.3858559908876</v>
      </c>
      <c r="BH98">
        <v>17.267230134650575</v>
      </c>
      <c r="BI98">
        <v>21818.871998144466</v>
      </c>
      <c r="BJ98">
        <v>14.663294889671022</v>
      </c>
      <c r="BK98">
        <v>18528.539422588303</v>
      </c>
      <c r="BL98">
        <v>15.488760977489489</v>
      </c>
      <c r="BM98">
        <v>19571.598371155716</v>
      </c>
      <c r="BN98">
        <v>15.046882988371113</v>
      </c>
      <c r="BO98">
        <v>19013.241344105736</v>
      </c>
      <c r="BP98">
        <v>17.656846676826358</v>
      </c>
      <c r="BQ98">
        <v>22311.191460837785</v>
      </c>
      <c r="BR98">
        <v>15.183822380311154</v>
      </c>
      <c r="BS98">
        <v>19186.277959761173</v>
      </c>
      <c r="BT98">
        <v>17.570298263953013</v>
      </c>
      <c r="BU98">
        <v>22201.828886331026</v>
      </c>
      <c r="BV98">
        <v>19.086695705041098</v>
      </c>
      <c r="BW98">
        <v>24117.948692889931</v>
      </c>
      <c r="BX98">
        <v>16.595877099547696</v>
      </c>
      <c r="BY98">
        <v>20970.550302988468</v>
      </c>
      <c r="BZ98">
        <v>15.802716287450503</v>
      </c>
      <c r="CA98">
        <v>19968.312300822454</v>
      </c>
      <c r="CB98">
        <v>16.519708631254961</v>
      </c>
      <c r="CC98">
        <v>20874.303826453768</v>
      </c>
      <c r="CD98">
        <v>13.499643935626805</v>
      </c>
      <c r="CE98">
        <v>17058.150077058031</v>
      </c>
      <c r="CF98">
        <v>10.701465629447924</v>
      </c>
      <c r="CG98">
        <v>13522.371969370395</v>
      </c>
      <c r="CH98">
        <v>8.3777822957002126</v>
      </c>
      <c r="CI98">
        <v>10586.165708846787</v>
      </c>
      <c r="CJ98">
        <v>11.234841687755376</v>
      </c>
      <c r="CK98">
        <v>14196.345956647692</v>
      </c>
      <c r="CL98">
        <v>12.094387838942561</v>
      </c>
      <c r="CM98">
        <v>15282.46847328782</v>
      </c>
      <c r="CN98">
        <v>13.123299123286582</v>
      </c>
      <c r="CO98">
        <v>16582.600772184924</v>
      </c>
      <c r="CP98">
        <v>17.461251405258029</v>
      </c>
      <c r="CQ98">
        <v>22064.037275684044</v>
      </c>
      <c r="CR98">
        <v>14.4535362340132</v>
      </c>
      <c r="CS98">
        <v>18263.488385299079</v>
      </c>
      <c r="CT98">
        <v>11.827633513732803</v>
      </c>
      <c r="CU98">
        <v>14945.397707952769</v>
      </c>
    </row>
    <row r="99" spans="2:99" x14ac:dyDescent="0.2">
      <c r="C99" s="116" t="s">
        <v>265</v>
      </c>
      <c r="D99">
        <v>1.3304430067247381</v>
      </c>
      <c r="E99">
        <v>7292.9563856623236</v>
      </c>
      <c r="F99">
        <v>3.8796246583331557</v>
      </c>
      <c r="G99">
        <v>21266.550527119023</v>
      </c>
      <c r="H99">
        <v>3.8283304843228447</v>
      </c>
      <c r="I99">
        <v>20985.376382864102</v>
      </c>
      <c r="J99">
        <v>4.3497179833765705</v>
      </c>
      <c r="K99">
        <v>23843.414097677007</v>
      </c>
      <c r="L99">
        <v>6.9636739935585519</v>
      </c>
      <c r="M99">
        <v>38172.075363090553</v>
      </c>
      <c r="N99">
        <v>10.441035212391624</v>
      </c>
      <c r="O99">
        <v>57233.57862024592</v>
      </c>
      <c r="P99">
        <v>7</v>
      </c>
      <c r="Q99">
        <v>38371.199999999997</v>
      </c>
      <c r="R99">
        <v>9</v>
      </c>
      <c r="S99">
        <v>49334.399999999994</v>
      </c>
      <c r="T99">
        <v>14.225094644659833</v>
      </c>
      <c r="U99">
        <v>77976.278804167334</v>
      </c>
      <c r="V99">
        <v>10.624928639130653</v>
      </c>
      <c r="W99">
        <v>58241.608828258584</v>
      </c>
      <c r="X99">
        <v>6.8707052994295115</v>
      </c>
      <c r="Y99">
        <v>37662.458169352809</v>
      </c>
      <c r="Z99">
        <v>7.8843984708306882</v>
      </c>
      <c r="AA99">
        <v>43219.118657705498</v>
      </c>
      <c r="AB99">
        <v>5.560895434279213</v>
      </c>
      <c r="AC99">
        <v>30482.60441254493</v>
      </c>
      <c r="AD99">
        <v>5.4090023259248339</v>
      </c>
      <c r="AE99">
        <v>29649.987149789566</v>
      </c>
      <c r="AF99">
        <v>5.242263027942804</v>
      </c>
      <c r="AG99">
        <v>28735.98901397127</v>
      </c>
      <c r="AH99">
        <v>6.0566031715437711</v>
      </c>
      <c r="AI99">
        <v>33199.875945134336</v>
      </c>
      <c r="AJ99">
        <v>3.8732707773408741</v>
      </c>
      <c r="AK99">
        <v>21231.721093071734</v>
      </c>
      <c r="AL99">
        <v>6.312059018878819</v>
      </c>
      <c r="AM99">
        <v>34600.182717886128</v>
      </c>
      <c r="AN99">
        <v>3.6010779898196641</v>
      </c>
      <c r="AO99">
        <v>19739.669108995469</v>
      </c>
      <c r="AP99">
        <v>4.4808868168778773</v>
      </c>
      <c r="AQ99">
        <v>24562.42917539777</v>
      </c>
      <c r="AR99">
        <v>6.586665442400216</v>
      </c>
      <c r="AS99">
        <v>36105.465289061023</v>
      </c>
      <c r="AT99">
        <v>6.9885951172573852</v>
      </c>
      <c r="AU99">
        <v>38308.682994758077</v>
      </c>
      <c r="AV99">
        <v>7.7395498577377522</v>
      </c>
      <c r="AW99">
        <v>42425.11650017526</v>
      </c>
      <c r="AX99">
        <v>6.6283538088047722</v>
      </c>
      <c r="AY99">
        <v>36333.984238344237</v>
      </c>
      <c r="AZ99">
        <v>4.1463516286567108</v>
      </c>
      <c r="BA99">
        <v>22728.641087644624</v>
      </c>
      <c r="BB99">
        <v>2.9208743695203947</v>
      </c>
      <c r="BC99">
        <v>16011.064943962994</v>
      </c>
      <c r="BD99">
        <v>3.7496920004644592</v>
      </c>
      <c r="BE99">
        <v>20554.311669745977</v>
      </c>
      <c r="BF99">
        <v>2.6287869325683553</v>
      </c>
      <c r="BG99">
        <v>14409.958449566695</v>
      </c>
      <c r="BH99">
        <v>9.2290367961063442</v>
      </c>
      <c r="BI99">
        <v>50589.888101536533</v>
      </c>
      <c r="BJ99">
        <v>9.8891988790804568</v>
      </c>
      <c r="BK99">
        <v>54208.632575567426</v>
      </c>
      <c r="BL99">
        <v>8.6048672097163834</v>
      </c>
      <c r="BM99">
        <v>47168.44009678132</v>
      </c>
      <c r="BN99">
        <v>9.717778596656343</v>
      </c>
      <c r="BO99">
        <v>53268.975155431406</v>
      </c>
      <c r="BP99">
        <v>10.594108006095814</v>
      </c>
      <c r="BQ99">
        <v>58072.66244621481</v>
      </c>
      <c r="BR99">
        <v>9.9278838640496012</v>
      </c>
      <c r="BS99">
        <v>54420.688189174289</v>
      </c>
      <c r="BT99">
        <v>10.13671053689597</v>
      </c>
      <c r="BU99">
        <v>55565.392479048947</v>
      </c>
      <c r="BV99">
        <v>13.25637832913289</v>
      </c>
      <c r="BW99">
        <v>72666.163448974839</v>
      </c>
      <c r="BX99">
        <v>10.621361343710527</v>
      </c>
      <c r="BY99">
        <v>58222.054341683615</v>
      </c>
      <c r="BZ99">
        <v>9.4816297724703027</v>
      </c>
      <c r="CA99">
        <v>51974.501760773208</v>
      </c>
      <c r="CB99">
        <v>11.013139087503307</v>
      </c>
      <c r="CC99">
        <v>60369.623222058122</v>
      </c>
      <c r="CD99">
        <v>8.0997863613760828</v>
      </c>
      <c r="CE99">
        <v>44399.788918519131</v>
      </c>
      <c r="CF99">
        <v>8.4485254969325716</v>
      </c>
      <c r="CG99">
        <v>46311.437363985577</v>
      </c>
      <c r="CH99">
        <v>6.064529298333218</v>
      </c>
      <c r="CI99">
        <v>33243.323801743361</v>
      </c>
      <c r="CJ99">
        <v>8.6879078958091291</v>
      </c>
      <c r="CK99">
        <v>47623.635921667315</v>
      </c>
      <c r="CL99">
        <v>8.4603559510511293</v>
      </c>
      <c r="CM99">
        <v>46376.287181281863</v>
      </c>
      <c r="CN99">
        <v>9.050551119507988</v>
      </c>
      <c r="CO99">
        <v>49611.50101669498</v>
      </c>
      <c r="CP99">
        <v>10.476750843154818</v>
      </c>
      <c r="CQ99">
        <v>57429.357421837442</v>
      </c>
      <c r="CR99">
        <v>8.0769761307720831</v>
      </c>
      <c r="CS99">
        <v>44274.752358440244</v>
      </c>
      <c r="CT99">
        <v>7.630731299182453</v>
      </c>
      <c r="CU99">
        <v>41828.61668959853</v>
      </c>
    </row>
    <row r="100" spans="2:99" x14ac:dyDescent="0.2">
      <c r="C100" s="116" t="s">
        <v>266</v>
      </c>
      <c r="D100">
        <v>1.9217510097135106</v>
      </c>
      <c r="E100">
        <v>3117.8488381591992</v>
      </c>
      <c r="F100">
        <v>4.7417634712960792</v>
      </c>
      <c r="G100">
        <v>7693.0370558307586</v>
      </c>
      <c r="H100">
        <v>5.5298106995774425</v>
      </c>
      <c r="I100">
        <v>8971.5648789944426</v>
      </c>
      <c r="J100">
        <v>5.5924945500555907</v>
      </c>
      <c r="K100">
        <v>9073.2631580101897</v>
      </c>
      <c r="L100">
        <v>8.7045924919481905</v>
      </c>
      <c r="M100">
        <v>14122.330858936743</v>
      </c>
      <c r="N100">
        <v>13.05129401548953</v>
      </c>
      <c r="O100">
        <v>21174.41941073021</v>
      </c>
      <c r="P100">
        <v>9</v>
      </c>
      <c r="Q100">
        <v>14601.599999999999</v>
      </c>
      <c r="R100">
        <v>13</v>
      </c>
      <c r="S100">
        <v>21091.199999999997</v>
      </c>
      <c r="T100">
        <v>22.191147645669339</v>
      </c>
      <c r="U100">
        <v>36002.917940333929</v>
      </c>
      <c r="V100">
        <v>18.35214946758931</v>
      </c>
      <c r="W100">
        <v>29774.527296216893</v>
      </c>
      <c r="X100">
        <v>9.8579684730945178</v>
      </c>
      <c r="Y100">
        <v>15993.568050748545</v>
      </c>
      <c r="Z100">
        <v>12.129843801277982</v>
      </c>
      <c r="AA100">
        <v>19679.458583193395</v>
      </c>
      <c r="AB100">
        <v>11.374558842843843</v>
      </c>
      <c r="AC100">
        <v>18454.084266629849</v>
      </c>
      <c r="AD100">
        <v>9.5767603205722995</v>
      </c>
      <c r="AE100">
        <v>15537.335944096498</v>
      </c>
      <c r="AF100">
        <v>10.669676776459919</v>
      </c>
      <c r="AG100">
        <v>17310.48360212857</v>
      </c>
      <c r="AH100">
        <v>12.113206343087542</v>
      </c>
      <c r="AI100">
        <v>19652.465971025227</v>
      </c>
      <c r="AJ100">
        <v>5.8099061660113112</v>
      </c>
      <c r="AK100">
        <v>9425.9917637367507</v>
      </c>
      <c r="AL100">
        <v>8.5398445549536959</v>
      </c>
      <c r="AM100">
        <v>13855.043805956875</v>
      </c>
      <c r="AN100">
        <v>5.0415091857475307</v>
      </c>
      <c r="AO100">
        <v>8179.3445029567929</v>
      </c>
      <c r="AP100">
        <v>6.9702683818100324</v>
      </c>
      <c r="AQ100">
        <v>11308.563422648596</v>
      </c>
      <c r="AR100">
        <v>10.820950369657499</v>
      </c>
      <c r="AS100">
        <v>17555.909879732324</v>
      </c>
      <c r="AT100">
        <v>9.1389320764135054</v>
      </c>
      <c r="AU100">
        <v>14827.00340077327</v>
      </c>
      <c r="AV100">
        <v>10.341075550064721</v>
      </c>
      <c r="AW100">
        <v>16777.360972425002</v>
      </c>
      <c r="AX100">
        <v>9.1777206583450663</v>
      </c>
      <c r="AY100">
        <v>14889.933996099035</v>
      </c>
      <c r="AZ100">
        <v>4.5609867915223825</v>
      </c>
      <c r="BA100">
        <v>7399.7449705659128</v>
      </c>
      <c r="BB100">
        <v>3.285983665710444</v>
      </c>
      <c r="BC100">
        <v>5331.1798992486238</v>
      </c>
      <c r="BD100">
        <v>4.5117579090979243</v>
      </c>
      <c r="BE100">
        <v>7319.8760317204715</v>
      </c>
      <c r="BF100">
        <v>3.9431803988525322</v>
      </c>
      <c r="BG100">
        <v>6397.4158790983474</v>
      </c>
      <c r="BH100">
        <v>14.885543219526358</v>
      </c>
      <c r="BI100">
        <v>24150.305319359562</v>
      </c>
      <c r="BJ100">
        <v>15.345308605469674</v>
      </c>
      <c r="BK100">
        <v>24896.228681513996</v>
      </c>
      <c r="BL100">
        <v>13.337544175060394</v>
      </c>
      <c r="BM100">
        <v>21638.831669617983</v>
      </c>
      <c r="BN100">
        <v>14.106452801597916</v>
      </c>
      <c r="BO100">
        <v>22886.309025312457</v>
      </c>
      <c r="BP100">
        <v>18.245408232720571</v>
      </c>
      <c r="BQ100">
        <v>29601.350316765853</v>
      </c>
      <c r="BR100">
        <v>16.351808717258166</v>
      </c>
      <c r="BS100">
        <v>26529.174462879648</v>
      </c>
      <c r="BT100">
        <v>16.218736859033552</v>
      </c>
      <c r="BU100">
        <v>26313.278680096031</v>
      </c>
      <c r="BV100">
        <v>16.073006909508294</v>
      </c>
      <c r="BW100">
        <v>26076.846409986254</v>
      </c>
      <c r="BX100">
        <v>13.940536763620065</v>
      </c>
      <c r="BY100">
        <v>22617.126845297193</v>
      </c>
      <c r="BZ100">
        <v>13.432308844332928</v>
      </c>
      <c r="CA100">
        <v>21792.577869045741</v>
      </c>
      <c r="CB100">
        <v>12.848662268753859</v>
      </c>
      <c r="CC100">
        <v>20845.669664826259</v>
      </c>
      <c r="CD100">
        <v>11.699691410876564</v>
      </c>
      <c r="CE100">
        <v>18981.579345006136</v>
      </c>
      <c r="CF100">
        <v>11.264700662576761</v>
      </c>
      <c r="CG100">
        <v>18275.850354964536</v>
      </c>
      <c r="CH100">
        <v>9.0794363872811434</v>
      </c>
      <c r="CI100">
        <v>14730.477594724925</v>
      </c>
      <c r="CJ100">
        <v>10.258567675764715</v>
      </c>
      <c r="CK100">
        <v>16643.500197160673</v>
      </c>
      <c r="CL100">
        <v>12.065810157899239</v>
      </c>
      <c r="CM100">
        <v>19575.570400175726</v>
      </c>
      <c r="CN100">
        <v>13.123299123286582</v>
      </c>
      <c r="CO100">
        <v>21291.240497620151</v>
      </c>
      <c r="CP100">
        <v>15.715126264732227</v>
      </c>
      <c r="CQ100">
        <v>25496.220851901562</v>
      </c>
      <c r="CR100">
        <v>11.902912192716753</v>
      </c>
      <c r="CS100">
        <v>19311.28474146366</v>
      </c>
      <c r="CT100">
        <v>12.209170078691924</v>
      </c>
      <c r="CU100">
        <v>19808.157535669776</v>
      </c>
    </row>
    <row r="101" spans="2:99" x14ac:dyDescent="0.2">
      <c r="C101" s="116" t="s">
        <v>267</v>
      </c>
      <c r="D101">
        <v>1.9217510097135106</v>
      </c>
      <c r="E101">
        <v>2287.6524019629628</v>
      </c>
      <c r="F101">
        <v>5.6039022842590027</v>
      </c>
      <c r="G101">
        <v>6670.8852791819163</v>
      </c>
      <c r="H101">
        <v>6.3805508072047408</v>
      </c>
      <c r="I101">
        <v>7595.4076808965228</v>
      </c>
      <c r="J101">
        <v>5.5924945500555907</v>
      </c>
      <c r="K101">
        <v>6657.3055123861741</v>
      </c>
      <c r="L101">
        <v>9.5750517411430085</v>
      </c>
      <c r="M101">
        <v>11398.141592656635</v>
      </c>
      <c r="N101">
        <v>13.921380283188832</v>
      </c>
      <c r="O101">
        <v>16572.011089107982</v>
      </c>
      <c r="P101">
        <v>11</v>
      </c>
      <c r="Q101">
        <v>13094.399999999998</v>
      </c>
      <c r="R101">
        <v>11</v>
      </c>
      <c r="S101">
        <v>13094.399999999998</v>
      </c>
      <c r="T101">
        <v>20.484136288310157</v>
      </c>
      <c r="U101">
        <v>24384.315837604408</v>
      </c>
      <c r="V101">
        <v>16.903295562253312</v>
      </c>
      <c r="W101">
        <v>20121.683037306342</v>
      </c>
      <c r="X101">
        <v>9.8579684730945178</v>
      </c>
      <c r="Y101">
        <v>11734.925670371713</v>
      </c>
      <c r="Z101">
        <v>13.03958208637383</v>
      </c>
      <c r="AA101">
        <v>15522.318515619405</v>
      </c>
      <c r="AB101">
        <v>12.638398714270938</v>
      </c>
      <c r="AC101">
        <v>15044.749829468123</v>
      </c>
      <c r="AD101">
        <v>9.0051929229400951</v>
      </c>
      <c r="AE101">
        <v>10719.781655467888</v>
      </c>
      <c r="AF101">
        <v>10.678247016307274</v>
      </c>
      <c r="AG101">
        <v>12711.385248212178</v>
      </c>
      <c r="AH101">
        <v>10.90188570877879</v>
      </c>
      <c r="AI101">
        <v>12977.604747730271</v>
      </c>
      <c r="AJ101">
        <v>5.4225790882772236</v>
      </c>
      <c r="AK101">
        <v>6455.0381466852059</v>
      </c>
      <c r="AL101">
        <v>8.9111421442995091</v>
      </c>
      <c r="AM101">
        <v>10607.823608574134</v>
      </c>
      <c r="AN101">
        <v>5.0415091857475307</v>
      </c>
      <c r="AO101">
        <v>6001.4125347138597</v>
      </c>
      <c r="AP101">
        <v>6.9702683818100324</v>
      </c>
      <c r="AQ101">
        <v>8297.4074817066612</v>
      </c>
      <c r="AR101">
        <v>10.350474266628911</v>
      </c>
      <c r="AS101">
        <v>12321.204566995055</v>
      </c>
      <c r="AT101">
        <v>9.6765163162025338</v>
      </c>
      <c r="AU101">
        <v>11518.925022807494</v>
      </c>
      <c r="AV101">
        <v>10.465236959275623</v>
      </c>
      <c r="AW101">
        <v>12457.818076321701</v>
      </c>
      <c r="AX101">
        <v>8.6678472884370077</v>
      </c>
      <c r="AY101">
        <v>10318.205412155412</v>
      </c>
      <c r="AZ101">
        <v>5.390257117253725</v>
      </c>
      <c r="BA101">
        <v>6416.5620723788334</v>
      </c>
      <c r="BB101">
        <v>3.285983665710444</v>
      </c>
      <c r="BC101">
        <v>3911.634955661712</v>
      </c>
      <c r="BD101">
        <v>4.8188669455006305</v>
      </c>
      <c r="BE101">
        <v>5736.3792119239497</v>
      </c>
      <c r="BF101">
        <v>3.6145820322814881</v>
      </c>
      <c r="BG101">
        <v>4302.7984512278827</v>
      </c>
      <c r="BH101">
        <v>15.480964948307413</v>
      </c>
      <c r="BI101">
        <v>18428.540674465141</v>
      </c>
      <c r="BJ101">
        <v>15.686315463369001</v>
      </c>
      <c r="BK101">
        <v>18672.989927594455</v>
      </c>
      <c r="BL101">
        <v>14.198030896032032</v>
      </c>
      <c r="BM101">
        <v>16901.335978636529</v>
      </c>
      <c r="BN101">
        <v>15.673836446219907</v>
      </c>
      <c r="BO101">
        <v>18658.134905580177</v>
      </c>
      <c r="BP101">
        <v>20.011092900403206</v>
      </c>
      <c r="BQ101">
        <v>23821.204988639973</v>
      </c>
      <c r="BR101">
        <v>17.519795054205179</v>
      </c>
      <c r="BS101">
        <v>20855.564032525843</v>
      </c>
      <c r="BT101">
        <v>16.218736859033552</v>
      </c>
      <c r="BU101">
        <v>19306.784356993539</v>
      </c>
      <c r="BV101">
        <v>17.579851307274698</v>
      </c>
      <c r="BW101">
        <v>20927.054996179799</v>
      </c>
      <c r="BX101">
        <v>15.26820693158388</v>
      </c>
      <c r="BY101">
        <v>18175.273531357449</v>
      </c>
      <c r="BZ101">
        <v>15.802716287450503</v>
      </c>
      <c r="CA101">
        <v>18811.553468581078</v>
      </c>
      <c r="CB101">
        <v>13.766423859379133</v>
      </c>
      <c r="CC101">
        <v>16387.550962204918</v>
      </c>
      <c r="CD101">
        <v>12.599667673251686</v>
      </c>
      <c r="CE101">
        <v>14998.644398238805</v>
      </c>
      <c r="CF101">
        <v>12.391170728834439</v>
      </c>
      <c r="CG101">
        <v>14750.449635604515</v>
      </c>
      <c r="CH101">
        <v>9.0100061464064076</v>
      </c>
      <c r="CI101">
        <v>10725.511316682187</v>
      </c>
      <c r="CJ101">
        <v>10.734899263763424</v>
      </c>
      <c r="CK101">
        <v>12778.824083583979</v>
      </c>
      <c r="CL101">
        <v>12.64766740501171</v>
      </c>
      <c r="CM101">
        <v>15055.783278925937</v>
      </c>
      <c r="CN101">
        <v>13.575826679261981</v>
      </c>
      <c r="CO101">
        <v>16160.664078993461</v>
      </c>
      <c r="CP101">
        <v>16.58818883499513</v>
      </c>
      <c r="CQ101">
        <v>19746.579989178201</v>
      </c>
      <c r="CR101">
        <v>12.753120206482237</v>
      </c>
      <c r="CS101">
        <v>15181.314293796453</v>
      </c>
      <c r="CT101">
        <v>12.209170078691924</v>
      </c>
      <c r="CU101">
        <v>14533.796061674866</v>
      </c>
    </row>
    <row r="102" spans="2:99" x14ac:dyDescent="0.2">
      <c r="C102" s="116" t="s">
        <v>268</v>
      </c>
      <c r="D102">
        <v>1.7739240089663173</v>
      </c>
      <c r="E102">
        <v>3439.9934381874823</v>
      </c>
      <c r="F102">
        <v>4.7417634712960792</v>
      </c>
      <c r="G102">
        <v>9195.2277235373567</v>
      </c>
      <c r="H102">
        <v>5.5298106995774425</v>
      </c>
      <c r="I102">
        <v>10723.408908620575</v>
      </c>
      <c r="J102">
        <v>5.5924945500555907</v>
      </c>
      <c r="K102">
        <v>10844.965431467801</v>
      </c>
      <c r="L102">
        <v>8.7045924919481905</v>
      </c>
      <c r="M102">
        <v>16879.94576038593</v>
      </c>
      <c r="N102">
        <v>14.791466550888135</v>
      </c>
      <c r="O102">
        <v>28683.611935482269</v>
      </c>
      <c r="P102">
        <v>9</v>
      </c>
      <c r="Q102">
        <v>17452.8</v>
      </c>
      <c r="R102">
        <v>11</v>
      </c>
      <c r="S102">
        <v>21331.199999999997</v>
      </c>
      <c r="T102">
        <v>18.208121145164586</v>
      </c>
      <c r="U102">
        <v>35309.188524703161</v>
      </c>
      <c r="V102">
        <v>16.420344260474643</v>
      </c>
      <c r="W102">
        <v>31842.331589912425</v>
      </c>
      <c r="X102">
        <v>10.455421107827517</v>
      </c>
      <c r="Y102">
        <v>20275.15261229912</v>
      </c>
      <c r="Z102">
        <v>13.64607427643773</v>
      </c>
      <c r="AA102">
        <v>26462.467236868044</v>
      </c>
      <c r="AB102">
        <v>10.616254919987588</v>
      </c>
      <c r="AC102">
        <v>20587.041540839928</v>
      </c>
      <c r="AD102">
        <v>8.207129562892403</v>
      </c>
      <c r="AE102">
        <v>15915.265648360946</v>
      </c>
      <c r="AF102">
        <v>9.1902521395777388</v>
      </c>
      <c r="AG102">
        <v>17821.736949069149</v>
      </c>
      <c r="AH102">
        <v>10.699998936393996</v>
      </c>
      <c r="AI102">
        <v>20749.437937455234</v>
      </c>
      <c r="AJ102">
        <v>5.035252010543136</v>
      </c>
      <c r="AK102">
        <v>9764.3606988452484</v>
      </c>
      <c r="AL102">
        <v>9.2824397336453224</v>
      </c>
      <c r="AM102">
        <v>18000.507131485007</v>
      </c>
      <c r="AN102">
        <v>5.0415091857475307</v>
      </c>
      <c r="AO102">
        <v>9776.4946130016106</v>
      </c>
      <c r="AP102">
        <v>6.9702683818100324</v>
      </c>
      <c r="AQ102">
        <v>13516.744446006014</v>
      </c>
      <c r="AR102">
        <v>8.9390459575431507</v>
      </c>
      <c r="AS102">
        <v>17334.597920867676</v>
      </c>
      <c r="AT102">
        <v>8.0637635968354449</v>
      </c>
      <c r="AU102">
        <v>15637.250366983293</v>
      </c>
      <c r="AV102">
        <v>9.3182026173069179</v>
      </c>
      <c r="AW102">
        <v>18069.858515481574</v>
      </c>
      <c r="AX102">
        <v>8.157973918528949</v>
      </c>
      <c r="AY102">
        <v>15819.943022811336</v>
      </c>
      <c r="AZ102">
        <v>4.5609867915223825</v>
      </c>
      <c r="BA102">
        <v>8844.6655861202034</v>
      </c>
      <c r="BB102">
        <v>3.285983665710444</v>
      </c>
      <c r="BC102">
        <v>6372.1795245456924</v>
      </c>
      <c r="BD102">
        <v>4.4965985234222083</v>
      </c>
      <c r="BE102">
        <v>8719.803856620345</v>
      </c>
      <c r="BF102">
        <v>3.9431803988525322</v>
      </c>
      <c r="BG102">
        <v>7646.6154294548296</v>
      </c>
      <c r="BH102">
        <v>16.076386677088468</v>
      </c>
      <c r="BI102">
        <v>31175.329044209953</v>
      </c>
      <c r="BJ102">
        <v>13.640274315973043</v>
      </c>
      <c r="BK102">
        <v>26451.219953534921</v>
      </c>
      <c r="BL102">
        <v>12.907300814574574</v>
      </c>
      <c r="BM102">
        <v>25029.837739623013</v>
      </c>
      <c r="BN102">
        <v>15.360359717295509</v>
      </c>
      <c r="BO102">
        <v>29786.809563779447</v>
      </c>
      <c r="BP102">
        <v>15.302600453249509</v>
      </c>
      <c r="BQ102">
        <v>29674.802798941444</v>
      </c>
      <c r="BR102">
        <v>15.183822380311154</v>
      </c>
      <c r="BS102">
        <v>29444.468359899387</v>
      </c>
      <c r="BT102">
        <v>16.894517561493284</v>
      </c>
      <c r="BU102">
        <v>32761.848455247775</v>
      </c>
      <c r="BV102">
        <v>15.570725443586159</v>
      </c>
      <c r="BW102">
        <v>30194.750780202277</v>
      </c>
      <c r="BX102">
        <v>15.932042015565788</v>
      </c>
      <c r="BY102">
        <v>30895.415876585172</v>
      </c>
      <c r="BZ102">
        <v>13.432308844332928</v>
      </c>
      <c r="CA102">
        <v>26047.93331093041</v>
      </c>
      <c r="CB102">
        <v>12.848662268753859</v>
      </c>
      <c r="CC102">
        <v>24916.125871567481</v>
      </c>
      <c r="CD102">
        <v>10.799715148501445</v>
      </c>
      <c r="CE102">
        <v>20942.807615974001</v>
      </c>
      <c r="CF102">
        <v>10.138230596319085</v>
      </c>
      <c r="CG102">
        <v>19660.056772381966</v>
      </c>
      <c r="CH102">
        <v>8.3430671752628456</v>
      </c>
      <c r="CI102">
        <v>16178.875866269709</v>
      </c>
      <c r="CJ102">
        <v>10.71128842777018</v>
      </c>
      <c r="CK102">
        <v>20771.33051913193</v>
      </c>
      <c r="CL102">
        <v>12.037232476855916</v>
      </c>
      <c r="CM102">
        <v>23342.601219118991</v>
      </c>
      <c r="CN102">
        <v>12.670771567311185</v>
      </c>
      <c r="CO102">
        <v>24571.160223329847</v>
      </c>
      <c r="CP102">
        <v>16.151657549863678</v>
      </c>
      <c r="CQ102">
        <v>31321.294320695641</v>
      </c>
      <c r="CR102">
        <v>12.753120206482237</v>
      </c>
      <c r="CS102">
        <v>24730.85070441035</v>
      </c>
      <c r="CT102">
        <v>10.683023818855434</v>
      </c>
      <c r="CU102">
        <v>20716.519789524456</v>
      </c>
    </row>
    <row r="103" spans="2:99" x14ac:dyDescent="0.2">
      <c r="C103" s="116" t="s">
        <v>269</v>
      </c>
      <c r="D103">
        <v>1.6260970082191242</v>
      </c>
      <c r="E103">
        <v>3297.7247326683837</v>
      </c>
      <c r="F103">
        <v>5.172832877777541</v>
      </c>
      <c r="G103">
        <v>10490.505076132853</v>
      </c>
      <c r="H103">
        <v>5.1044406457637921</v>
      </c>
      <c r="I103">
        <v>10351.805629608971</v>
      </c>
      <c r="J103">
        <v>4.971106266716081</v>
      </c>
      <c r="K103">
        <v>10081.403508900212</v>
      </c>
      <c r="L103">
        <v>7.8341332427533708</v>
      </c>
      <c r="M103">
        <v>15887.622216303836</v>
      </c>
      <c r="N103">
        <v>13.05129401548953</v>
      </c>
      <c r="O103">
        <v>26468.024263412768</v>
      </c>
      <c r="P103">
        <v>8</v>
      </c>
      <c r="Q103">
        <v>16224</v>
      </c>
      <c r="R103">
        <v>10</v>
      </c>
      <c r="S103">
        <v>20280</v>
      </c>
      <c r="T103">
        <v>18.777124930950979</v>
      </c>
      <c r="U103">
        <v>38080.009359968586</v>
      </c>
      <c r="V103">
        <v>17.869198165810644</v>
      </c>
      <c r="W103">
        <v>36238.733880263986</v>
      </c>
      <c r="X103">
        <v>10.754147425194018</v>
      </c>
      <c r="Y103">
        <v>21809.410978293468</v>
      </c>
      <c r="Z103">
        <v>12.129843801277982</v>
      </c>
      <c r="AA103">
        <v>24599.323228991747</v>
      </c>
      <c r="AB103">
        <v>9.3524150485604931</v>
      </c>
      <c r="AC103">
        <v>18966.697718480678</v>
      </c>
      <c r="AD103">
        <v>7.8031924060679092</v>
      </c>
      <c r="AE103">
        <v>15824.874199505721</v>
      </c>
      <c r="AF103">
        <v>9.1902521395777388</v>
      </c>
      <c r="AG103">
        <v>18637.831339063654</v>
      </c>
      <c r="AH103">
        <v>9.6905650744700349</v>
      </c>
      <c r="AI103">
        <v>19652.465971025231</v>
      </c>
      <c r="AJ103">
        <v>5.4225790882772236</v>
      </c>
      <c r="AK103">
        <v>10996.990391026209</v>
      </c>
      <c r="AL103">
        <v>9.2824397336453224</v>
      </c>
      <c r="AM103">
        <v>18824.787779832714</v>
      </c>
      <c r="AN103">
        <v>5.0415091857475307</v>
      </c>
      <c r="AO103">
        <v>10224.180628695993</v>
      </c>
      <c r="AP103">
        <v>5.9745157558371709</v>
      </c>
      <c r="AQ103">
        <v>12116.317952837782</v>
      </c>
      <c r="AR103">
        <v>9.4095220605717369</v>
      </c>
      <c r="AS103">
        <v>19082.510738839483</v>
      </c>
      <c r="AT103">
        <v>9.1389320764135054</v>
      </c>
      <c r="AU103">
        <v>18533.754250966587</v>
      </c>
      <c r="AV103">
        <v>10.341075550064721</v>
      </c>
      <c r="AW103">
        <v>20971.701215531255</v>
      </c>
      <c r="AX103">
        <v>7.6481005486208895</v>
      </c>
      <c r="AY103">
        <v>15510.347912603163</v>
      </c>
      <c r="AZ103">
        <v>4.9756219543880542</v>
      </c>
      <c r="BA103">
        <v>10090.561323498974</v>
      </c>
      <c r="BB103">
        <v>3.6510929619004928</v>
      </c>
      <c r="BC103">
        <v>7404.4165267341996</v>
      </c>
      <c r="BD103">
        <v>4.4710061037219822</v>
      </c>
      <c r="BE103">
        <v>9067.2003783481796</v>
      </c>
      <c r="BF103">
        <v>3.9431803988525322</v>
      </c>
      <c r="BG103">
        <v>7996.7698488729357</v>
      </c>
      <c r="BH103">
        <v>15.183254083916886</v>
      </c>
      <c r="BI103">
        <v>30791.639282183445</v>
      </c>
      <c r="BJ103">
        <v>13.640274315973043</v>
      </c>
      <c r="BK103">
        <v>27662.476312793333</v>
      </c>
      <c r="BL103">
        <v>14.198030896032032</v>
      </c>
      <c r="BM103">
        <v>28793.606657152959</v>
      </c>
      <c r="BN103">
        <v>12.852545885900325</v>
      </c>
      <c r="BO103">
        <v>26064.963056605859</v>
      </c>
      <c r="BP103">
        <v>17.068285120932146</v>
      </c>
      <c r="BQ103">
        <v>34614.482225250395</v>
      </c>
      <c r="BR103">
        <v>16.351808717258166</v>
      </c>
      <c r="BS103">
        <v>33161.468078599559</v>
      </c>
      <c r="BT103">
        <v>16.894517561493284</v>
      </c>
      <c r="BU103">
        <v>34262.081614708382</v>
      </c>
      <c r="BV103">
        <v>17.20707450044808</v>
      </c>
      <c r="BW103">
        <v>34895.947086908709</v>
      </c>
      <c r="BX103">
        <v>14.604371847601971</v>
      </c>
      <c r="BY103">
        <v>29617.666106936798</v>
      </c>
      <c r="BZ103">
        <v>13.432308844332928</v>
      </c>
      <c r="CA103">
        <v>27240.722336307179</v>
      </c>
      <c r="CB103">
        <v>12.848662268753859</v>
      </c>
      <c r="CC103">
        <v>26057.087081032827</v>
      </c>
      <c r="CD103">
        <v>11.699691410876564</v>
      </c>
      <c r="CE103">
        <v>23726.974181257672</v>
      </c>
      <c r="CF103">
        <v>11.8279356957056</v>
      </c>
      <c r="CG103">
        <v>23987.053590890955</v>
      </c>
      <c r="CH103">
        <v>8.3083520548254786</v>
      </c>
      <c r="CI103">
        <v>16849.337967186071</v>
      </c>
      <c r="CJ103">
        <v>10.71128842777018</v>
      </c>
      <c r="CK103">
        <v>21722.492931517925</v>
      </c>
      <c r="CL103">
        <v>10.291660735518507</v>
      </c>
      <c r="CM103">
        <v>20871.487971631534</v>
      </c>
      <c r="CN103">
        <v>13.575826679261981</v>
      </c>
      <c r="CO103">
        <v>27531.776505543297</v>
      </c>
      <c r="CP103">
        <v>17.024720120126581</v>
      </c>
      <c r="CQ103">
        <v>34526.132403616706</v>
      </c>
      <c r="CR103">
        <v>10.627600172068529</v>
      </c>
      <c r="CS103">
        <v>21552.773148954977</v>
      </c>
      <c r="CT103">
        <v>11.064560383814557</v>
      </c>
      <c r="CU103">
        <v>22438.928458375922</v>
      </c>
    </row>
    <row r="104" spans="2:99" x14ac:dyDescent="0.2">
      <c r="C104" s="116" t="s">
        <v>270</v>
      </c>
      <c r="D104">
        <v>1.9217510097135106</v>
      </c>
      <c r="E104">
        <v>3982.6367925302798</v>
      </c>
      <c r="F104">
        <v>4.7417634712960792</v>
      </c>
      <c r="G104">
        <v>9826.8306179139945</v>
      </c>
      <c r="H104">
        <v>4.6790705919501434</v>
      </c>
      <c r="I104">
        <v>9696.9058947574777</v>
      </c>
      <c r="J104">
        <v>5.5924945500555907</v>
      </c>
      <c r="K104">
        <v>11589.885705535207</v>
      </c>
      <c r="L104">
        <v>8.7045924919481905</v>
      </c>
      <c r="M104">
        <v>18039.39748031343</v>
      </c>
      <c r="N104">
        <v>14.791466550888135</v>
      </c>
      <c r="O104">
        <v>30653.835280060572</v>
      </c>
      <c r="P104">
        <v>9</v>
      </c>
      <c r="Q104">
        <v>18651.600000000002</v>
      </c>
      <c r="R104">
        <v>12</v>
      </c>
      <c r="S104">
        <v>24868.800000000003</v>
      </c>
      <c r="T104">
        <v>20.484136288310157</v>
      </c>
      <c r="U104">
        <v>42451.324043893976</v>
      </c>
      <c r="V104">
        <v>17.386246864031978</v>
      </c>
      <c r="W104">
        <v>36031.258001019873</v>
      </c>
      <c r="X104">
        <v>9.8579684730945178</v>
      </c>
      <c r="Y104">
        <v>20429.653863641081</v>
      </c>
      <c r="Z104">
        <v>13.34282818140578</v>
      </c>
      <c r="AA104">
        <v>27651.677123145339</v>
      </c>
      <c r="AB104">
        <v>9.8579509971313311</v>
      </c>
      <c r="AC104">
        <v>20429.617646454972</v>
      </c>
      <c r="AD104">
        <v>8.1973186092911074</v>
      </c>
      <c r="AE104">
        <v>16988.123085894891</v>
      </c>
      <c r="AF104">
        <v>8.4548249410603251</v>
      </c>
      <c r="AG104">
        <v>17521.779207853418</v>
      </c>
      <c r="AH104">
        <v>10.90188570877879</v>
      </c>
      <c r="AI104">
        <v>22593.067942873167</v>
      </c>
      <c r="AJ104">
        <v>5.035252010543136</v>
      </c>
      <c r="AK104">
        <v>10435.056266649595</v>
      </c>
      <c r="AL104">
        <v>8.5398445549536959</v>
      </c>
      <c r="AM104">
        <v>17697.973855686039</v>
      </c>
      <c r="AN104">
        <v>4.3212935877835967</v>
      </c>
      <c r="AO104">
        <v>8955.4488313227266</v>
      </c>
      <c r="AP104">
        <v>6.4723920688236012</v>
      </c>
      <c r="AQ104">
        <v>13413.385323430031</v>
      </c>
      <c r="AR104">
        <v>9.8799981636003249</v>
      </c>
      <c r="AS104">
        <v>20475.308194245314</v>
      </c>
      <c r="AT104">
        <v>8.0637635968354449</v>
      </c>
      <c r="AU104">
        <v>16711.343678081776</v>
      </c>
      <c r="AV104">
        <v>10.234651485026802</v>
      </c>
      <c r="AW104">
        <v>21210.291737569547</v>
      </c>
      <c r="AX104">
        <v>7.6481005486208895</v>
      </c>
      <c r="AY104">
        <v>15849.923576961932</v>
      </c>
      <c r="AZ104">
        <v>4.9756219543880542</v>
      </c>
      <c r="BA104">
        <v>10311.478938273804</v>
      </c>
      <c r="BB104">
        <v>3.6510929619004928</v>
      </c>
      <c r="BC104">
        <v>7566.525054242582</v>
      </c>
      <c r="BD104">
        <v>4.4965985234222083</v>
      </c>
      <c r="BE104">
        <v>9318.7507799401847</v>
      </c>
      <c r="BF104">
        <v>3.9431803988525322</v>
      </c>
      <c r="BG104">
        <v>8171.8470585819878</v>
      </c>
      <c r="BH104">
        <v>14.587832355135832</v>
      </c>
      <c r="BI104">
        <v>30231.8237727835</v>
      </c>
      <c r="BJ104">
        <v>14.322288031771695</v>
      </c>
      <c r="BK104">
        <v>29681.50971704366</v>
      </c>
      <c r="BL104">
        <v>14.628274256517852</v>
      </c>
      <c r="BM104">
        <v>30315.635569207596</v>
      </c>
      <c r="BN104">
        <v>15.046882988371113</v>
      </c>
      <c r="BO104">
        <v>31183.160305100297</v>
      </c>
      <c r="BP104">
        <v>17.656846676826358</v>
      </c>
      <c r="BQ104">
        <v>36592.049053054943</v>
      </c>
      <c r="BR104">
        <v>16.351808717258166</v>
      </c>
      <c r="BS104">
        <v>33887.488385645825</v>
      </c>
      <c r="BT104">
        <v>15.542956156573823</v>
      </c>
      <c r="BU104">
        <v>32211.222338883592</v>
      </c>
      <c r="BV104">
        <v>16.575288375430429</v>
      </c>
      <c r="BW104">
        <v>34350.627629242023</v>
      </c>
      <c r="BX104">
        <v>13.940536763620065</v>
      </c>
      <c r="BY104">
        <v>28890.368388926225</v>
      </c>
      <c r="BZ104">
        <v>13.432308844332928</v>
      </c>
      <c r="CA104">
        <v>27837.11684899556</v>
      </c>
      <c r="CB104">
        <v>12.848662268753859</v>
      </c>
      <c r="CC104">
        <v>26627.567685765498</v>
      </c>
      <c r="CD104">
        <v>11.699691410876564</v>
      </c>
      <c r="CE104">
        <v>24246.440479900593</v>
      </c>
      <c r="CF104">
        <v>10.138230596319085</v>
      </c>
      <c r="CG104">
        <v>21010.469087811671</v>
      </c>
      <c r="CH104">
        <v>8.2736369343881098</v>
      </c>
      <c r="CI104">
        <v>17146.285182825919</v>
      </c>
      <c r="CJ104">
        <v>10.234956839771471</v>
      </c>
      <c r="CK104">
        <v>21210.924554742396</v>
      </c>
      <c r="CL104">
        <v>12.64766740501171</v>
      </c>
      <c r="CM104">
        <v>26211.025930146268</v>
      </c>
      <c r="CN104">
        <v>14.02835423523738</v>
      </c>
      <c r="CO104">
        <v>29072.361317105948</v>
      </c>
      <c r="CP104">
        <v>15.715126264732227</v>
      </c>
      <c r="CQ104">
        <v>32568.027671031068</v>
      </c>
      <c r="CR104">
        <v>11.477808185834013</v>
      </c>
      <c r="CS104">
        <v>23786.609684322408</v>
      </c>
      <c r="CT104">
        <v>10.683023818855434</v>
      </c>
      <c r="CU104">
        <v>22139.498562196</v>
      </c>
    </row>
    <row r="105" spans="2:99" x14ac:dyDescent="0.2">
      <c r="C105" s="116" t="s">
        <v>271</v>
      </c>
      <c r="D105">
        <v>1.9217510097135106</v>
      </c>
      <c r="E105">
        <v>3839.6585174075944</v>
      </c>
      <c r="F105">
        <v>5.172832877777541</v>
      </c>
      <c r="G105">
        <v>10335.320089799527</v>
      </c>
      <c r="H105">
        <v>4.6790705919501434</v>
      </c>
      <c r="I105">
        <v>9348.7830427163863</v>
      </c>
      <c r="J105">
        <v>4.971106266716081</v>
      </c>
      <c r="K105">
        <v>9932.2703208987296</v>
      </c>
      <c r="L105">
        <v>9.5750517411430085</v>
      </c>
      <c r="M105">
        <v>19130.95337880373</v>
      </c>
      <c r="N105">
        <v>13.05129401548953</v>
      </c>
      <c r="O105">
        <v>26076.48544294808</v>
      </c>
      <c r="P105">
        <v>9</v>
      </c>
      <c r="Q105">
        <v>17982</v>
      </c>
      <c r="R105">
        <v>12</v>
      </c>
      <c r="S105">
        <v>23976</v>
      </c>
      <c r="T105">
        <v>21.622143859882947</v>
      </c>
      <c r="U105">
        <v>43201.043432046128</v>
      </c>
      <c r="V105">
        <v>16.420344260474643</v>
      </c>
      <c r="W105">
        <v>32807.847832428335</v>
      </c>
      <c r="X105">
        <v>9.5592421557280165</v>
      </c>
      <c r="Y105">
        <v>19099.365827144578</v>
      </c>
      <c r="Z105">
        <v>12.433089896309932</v>
      </c>
      <c r="AA105">
        <v>24841.313612827245</v>
      </c>
      <c r="AB105">
        <v>10.869022894273007</v>
      </c>
      <c r="AC105">
        <v>21716.307742757468</v>
      </c>
      <c r="AD105">
        <v>9.1826341173490995</v>
      </c>
      <c r="AE105">
        <v>18346.902966463502</v>
      </c>
      <c r="AF105">
        <v>10.170821737600953</v>
      </c>
      <c r="AG105">
        <v>20321.301831726705</v>
      </c>
      <c r="AH105">
        <v>10.09433861923962</v>
      </c>
      <c r="AI105">
        <v>20168.48856124076</v>
      </c>
      <c r="AJ105">
        <v>5.4225790882772236</v>
      </c>
      <c r="AK105">
        <v>10834.313018377892</v>
      </c>
      <c r="AL105">
        <v>7.7972493762620703</v>
      </c>
      <c r="AM105">
        <v>15578.904253771616</v>
      </c>
      <c r="AN105">
        <v>4.3212935877835967</v>
      </c>
      <c r="AO105">
        <v>8633.9445883916269</v>
      </c>
      <c r="AP105">
        <v>6.4723920688236012</v>
      </c>
      <c r="AQ105">
        <v>12931.839353509555</v>
      </c>
      <c r="AR105">
        <v>9.4095220605717369</v>
      </c>
      <c r="AS105">
        <v>18800.225077022329</v>
      </c>
      <c r="AT105">
        <v>8.0637635968354449</v>
      </c>
      <c r="AU105">
        <v>16111.399666477218</v>
      </c>
      <c r="AV105">
        <v>9.7852957232533537</v>
      </c>
      <c r="AW105">
        <v>19551.0208550602</v>
      </c>
      <c r="AX105">
        <v>9.1777206583450663</v>
      </c>
      <c r="AY105">
        <v>18337.085875373443</v>
      </c>
      <c r="AZ105">
        <v>4.9756219543880542</v>
      </c>
      <c r="BA105">
        <v>9941.2926648673329</v>
      </c>
      <c r="BB105">
        <v>3.285983665710444</v>
      </c>
      <c r="BC105">
        <v>6565.395364089467</v>
      </c>
      <c r="BD105">
        <v>4.1894894870195012</v>
      </c>
      <c r="BE105">
        <v>8370.5999950649639</v>
      </c>
      <c r="BF105">
        <v>3.285983665710444</v>
      </c>
      <c r="BG105">
        <v>6565.395364089467</v>
      </c>
      <c r="BH105">
        <v>14.587832355135832</v>
      </c>
      <c r="BI105">
        <v>29146.489045561393</v>
      </c>
      <c r="BJ105">
        <v>15.686315463369001</v>
      </c>
      <c r="BK105">
        <v>31341.258295811262</v>
      </c>
      <c r="BL105">
        <v>13.767787535546214</v>
      </c>
      <c r="BM105">
        <v>27508.039496021334</v>
      </c>
      <c r="BN105">
        <v>14.106452801597916</v>
      </c>
      <c r="BO105">
        <v>28184.692697592636</v>
      </c>
      <c r="BP105">
        <v>16.479723565037933</v>
      </c>
      <c r="BQ105">
        <v>32926.487682945786</v>
      </c>
      <c r="BR105">
        <v>16.351808717258166</v>
      </c>
      <c r="BS105">
        <v>32670.913817081815</v>
      </c>
      <c r="BT105">
        <v>16.218736859033552</v>
      </c>
      <c r="BU105">
        <v>32405.036244349038</v>
      </c>
      <c r="BV105">
        <v>19.178398111105288</v>
      </c>
      <c r="BW105">
        <v>38318.439425988363</v>
      </c>
      <c r="BX105">
        <v>15.932042015565788</v>
      </c>
      <c r="BY105">
        <v>31832.219947100442</v>
      </c>
      <c r="BZ105">
        <v>14.222444658705452</v>
      </c>
      <c r="CA105">
        <v>28416.444428093495</v>
      </c>
      <c r="CB105">
        <v>13.766423859379133</v>
      </c>
      <c r="CC105">
        <v>27505.314871039507</v>
      </c>
      <c r="CD105">
        <v>12.599667673251686</v>
      </c>
      <c r="CE105">
        <v>25174.136011156868</v>
      </c>
      <c r="CF105">
        <v>11.264700662576761</v>
      </c>
      <c r="CG105">
        <v>22506.871923828367</v>
      </c>
      <c r="CH105">
        <v>7.5719828428071807</v>
      </c>
      <c r="CI105">
        <v>15128.821719928746</v>
      </c>
      <c r="CJ105">
        <v>11.211230851762133</v>
      </c>
      <c r="CK105">
        <v>22400.039241820741</v>
      </c>
      <c r="CL105">
        <v>12.065810157899239</v>
      </c>
      <c r="CM105">
        <v>24107.48869548268</v>
      </c>
      <c r="CN105">
        <v>13.123299123286582</v>
      </c>
      <c r="CO105">
        <v>26220.351648326592</v>
      </c>
      <c r="CP105">
        <v>14.405532409337875</v>
      </c>
      <c r="CQ105">
        <v>28782.253753857072</v>
      </c>
      <c r="CR105">
        <v>10.627600172068529</v>
      </c>
      <c r="CS105">
        <v>21233.94514379292</v>
      </c>
      <c r="CT105">
        <v>10.683023818855434</v>
      </c>
      <c r="CU105">
        <v>21344.681590073156</v>
      </c>
    </row>
    <row r="107" spans="2:99" x14ac:dyDescent="0.2">
      <c r="B107" s="119" t="s">
        <v>276</v>
      </c>
    </row>
    <row r="108" spans="2:99" x14ac:dyDescent="0.2">
      <c r="C108" s="116" t="s">
        <v>277</v>
      </c>
      <c r="D108" s="116" t="s">
        <v>92</v>
      </c>
      <c r="E108" s="116" t="s">
        <v>93</v>
      </c>
      <c r="F108" s="116" t="s">
        <v>94</v>
      </c>
      <c r="G108" s="116" t="s">
        <v>95</v>
      </c>
      <c r="H108" s="116" t="s">
        <v>96</v>
      </c>
      <c r="I108" s="116" t="s">
        <v>97</v>
      </c>
      <c r="J108" s="116" t="s">
        <v>98</v>
      </c>
      <c r="K108" s="116" t="s">
        <v>99</v>
      </c>
      <c r="L108" s="116" t="s">
        <v>100</v>
      </c>
      <c r="M108" s="116" t="s">
        <v>101</v>
      </c>
      <c r="N108" s="116" t="s">
        <v>102</v>
      </c>
      <c r="O108" s="116" t="s">
        <v>103</v>
      </c>
    </row>
    <row r="109" spans="2:99" x14ac:dyDescent="0.2">
      <c r="C109" s="116" t="s">
        <v>126</v>
      </c>
      <c r="D109">
        <f>SUM(D$6:D$19)+SUM(F$6:F$19)+SUM(H$6:H$19)+SUM(J$6:J$19)</f>
        <v>315</v>
      </c>
      <c r="E109">
        <f>SUM(L$6:L$19)+SUM(N$6:N$19)+SUM(P$6:P$19)+SUM(R$6:R$19)</f>
        <v>1996</v>
      </c>
      <c r="F109">
        <f>SUM(T$6:T$19)+SUM(V$6:V$19)+SUM(X$6:X$19)+SUM(Z$6:Z$19)</f>
        <v>4750</v>
      </c>
      <c r="G109">
        <f>SUM(AB$6:AB$19)+SUM(AD$6:AD$19)+SUM(AF$6:AF$19)+SUM(AH$6:AH$19)</f>
        <v>405</v>
      </c>
      <c r="H109">
        <f>SUM(AJ$6:AJ$19)+SUM(AL$6:AL$19)+SUM(AN$6:AN$19)+SUM(AP$6:AP$19)</f>
        <v>394</v>
      </c>
      <c r="I109">
        <f>SUM(AR$6:AR$19)+SUM(AT$6:AT$19)+SUM(AV$6:AV$19)+SUM(AX$6:AX$19)</f>
        <v>1925</v>
      </c>
      <c r="J109">
        <f>SUM(AZ$6:AZ$19)+SUM(BB$6:BB$19)+SUM(BD$6:BD$19)+SUM(BF$6:BF$19)</f>
        <v>1402</v>
      </c>
      <c r="K109">
        <f>SUM(BH$6:BH$19)+SUM(BJ$6:BJ$19)+SUM(BL$6:BL$19)+SUM(BN$6:BN$19)</f>
        <v>4182</v>
      </c>
      <c r="L109">
        <f>SUM(BP$6:BP$19)+SUM(BR$6:BR$19)+SUM(BT$6:BT$19)+SUM(BV$6:BV$19)</f>
        <v>4072</v>
      </c>
      <c r="M109">
        <f>SUM(BX$6:BX$19)+SUM(BZ$6:BZ$19)+SUM(CB$6:CB$19)+SUM(CD$6:CD$19)</f>
        <v>533</v>
      </c>
      <c r="N109">
        <f>SUM(CF$6:CF$19)+SUM(CH$6:CH$19)+SUM(CJ$6:CJ$19)+SUM(CL$6:CL$19)</f>
        <v>1044</v>
      </c>
      <c r="O109">
        <f>SUM(CN$6:CN$19)+SUM(CP$6:CP$19)+SUM(CR$6:CR$19)+SUM(CT$6:CT$19)</f>
        <v>837</v>
      </c>
    </row>
    <row r="110" spans="2:99" x14ac:dyDescent="0.2">
      <c r="C110" s="116" t="s">
        <v>127</v>
      </c>
      <c r="D110">
        <f>SUM(D$20:D$36)+SUM(F$20:F$36)+SUM(H$20:H$36)+SUM(J$20:J$36)</f>
        <v>604</v>
      </c>
      <c r="E110">
        <f>SUM(L$20:L$36)+SUM(N$20:N$36)+SUM(P$20:P$36)+SUM(R$20:R$36)</f>
        <v>770</v>
      </c>
      <c r="F110">
        <f>SUM(T$20:T$36)+SUM(V$20:V$36)+SUM(X$20:X$36)+SUM(Z$20:Z$36)</f>
        <v>1064</v>
      </c>
      <c r="G110">
        <f>SUM(AB$20:AB$36)+SUM(AD$20:AD$36)+SUM(AF$20:AF$36)+SUM(AH$20:AH$36)</f>
        <v>1354</v>
      </c>
      <c r="H110">
        <f>SUM(AJ$20:AJ$36)+SUM(AL$20:AL$36)+SUM(AN$20:AN$36)+SUM(AP$20:AP$36)</f>
        <v>775</v>
      </c>
      <c r="I110">
        <f>SUM(AR$20:AR$36)+SUM(AT$20:AT$36)+SUM(AV$20:AV$36)+SUM(AX$20:AX$36)</f>
        <v>1504</v>
      </c>
      <c r="J110">
        <f>SUM(AZ$20:AZ$36)+SUM(BB$20:BB$36)+SUM(BD$20:BD$36)+SUM(BF$20:BF$36)</f>
        <v>820</v>
      </c>
      <c r="K110">
        <f>SUM(BH$20:BH$36)+SUM(BJ$20:BJ$36)+SUM(BL$20:BL$36)+SUM(BN$20:BN$36)</f>
        <v>642</v>
      </c>
      <c r="L110">
        <f>SUM(BP$20:BP$36)+SUM(BR$20:BR$36)+SUM(BT$20:BT$36)+SUM(BV$20:BV$36)</f>
        <v>2064</v>
      </c>
      <c r="M110">
        <f>SUM(BX$20:BX$36)+SUM(BZ$20:BZ$36)+SUM(CB$20:CB$36)+SUM(CD$20:CD$36)</f>
        <v>3071</v>
      </c>
      <c r="N110">
        <f>SUM(CF$20:CF$36)+SUM(CH$20:CH$36)+SUM(CJ$20:CJ$36)+SUM(CL$20:CL$36)</f>
        <v>7994</v>
      </c>
      <c r="O110">
        <f>SUM(CN$20:CN$36)+SUM(CP$20:CP$36)+SUM(CR$20:CR$36)+SUM(CT$20:CT$36)</f>
        <v>2485</v>
      </c>
    </row>
    <row r="111" spans="2:99" x14ac:dyDescent="0.2">
      <c r="C111" s="116" t="s">
        <v>128</v>
      </c>
      <c r="D111">
        <f>SUM(D$37:D$48)+SUM(F$37:F$48)+SUM(H$37:H$48)+SUM(J$37:J$48)</f>
        <v>1544</v>
      </c>
      <c r="E111">
        <f>SUM(L$37:L$48)+SUM(N$37:N$48)+SUM(P$37:P$48)+SUM(R$37:R$48)</f>
        <v>1218</v>
      </c>
      <c r="F111">
        <f>SUM(T$37:T$48)+SUM(V$37:V$48)+SUM(X$37:X$48)+SUM(Z$37:Z$48)</f>
        <v>330</v>
      </c>
      <c r="G111">
        <f>SUM(AB$37:AB$48)+SUM(AD$37:AD$48)+SUM(AF$37:AF$48)+SUM(AH$37:AH$48)</f>
        <v>598</v>
      </c>
      <c r="H111">
        <f>SUM(AJ$37:AJ$48)+SUM(AL$37:AL$48)+SUM(AN$37:AN$48)+SUM(AP$37:AP$48)</f>
        <v>383</v>
      </c>
      <c r="I111">
        <f>SUM(AR$37:AR$48)+SUM(AT$37:AT$48)+SUM(AV$37:AV$48)+SUM(AX$37:AX$48)</f>
        <v>791</v>
      </c>
      <c r="J111">
        <f>SUM(AZ$37:AZ$48)+SUM(BB$37:BB$48)+SUM(BD$37:BD$48)+SUM(BF$37:BF$48)</f>
        <v>497</v>
      </c>
      <c r="K111">
        <f>SUM(BH$37:BH$48)+SUM(BJ$37:BJ$48)+SUM(BL$37:BL$48)+SUM(BN$37:BN$48)</f>
        <v>306</v>
      </c>
      <c r="L111">
        <f>SUM(BP$37:BP$48)+SUM(BR$37:BR$48)+SUM(BT$37:BT$48)+SUM(BV$37:BV$48)</f>
        <v>1958</v>
      </c>
      <c r="M111">
        <f>SUM(BX$37:BX$48)+SUM(BZ$37:BZ$48)+SUM(CB$37:CB$48)+SUM(CD$37:CD$48)</f>
        <v>600</v>
      </c>
      <c r="N111">
        <f>SUM(CF$37:CF$48)+SUM(CH$37:CH$48)+SUM(CJ$37:CJ$48)+SUM(CL$37:CL$48)</f>
        <v>257</v>
      </c>
      <c r="O111">
        <f>SUM(CN$37:CN$48)+SUM(CP$37:CP$48)+SUM(CR$37:CR$48)+SUM(CT$37:CT$48)</f>
        <v>1086</v>
      </c>
    </row>
    <row r="112" spans="2:99" x14ac:dyDescent="0.2">
      <c r="C112" s="116" t="s">
        <v>129</v>
      </c>
      <c r="D112">
        <f>SUM(D$49:D$70)+SUM(F$49:F$70)+SUM(H$49:H$70)+SUM(J$49:J$70)</f>
        <v>1233.01460797451</v>
      </c>
      <c r="E112">
        <f>SUM(L$49:L$70)+SUM(N$49:N$70)+SUM(P$49:P$70)+SUM(R$49:R$70)</f>
        <v>1615.827320969991</v>
      </c>
      <c r="F112">
        <f>SUM(T$49:T$70)+SUM(V$49:V$70)+SUM(X$49:X$70)+SUM(Z$49:Z$70)</f>
        <v>349.11355820730137</v>
      </c>
      <c r="G112">
        <f>SUM(AB$49:AB$70)+SUM(AD$49:AD$70)+SUM(AF$49:AF$70)+SUM(AH$49:AH$70)</f>
        <v>4792.1858071525694</v>
      </c>
      <c r="H112">
        <f>SUM(AJ$49:AJ$70)+SUM(AL$49:AL$70)+SUM(AN$49:AN$70)+SUM(AP$49:AP$70)</f>
        <v>2530.3260580213719</v>
      </c>
      <c r="I112">
        <f>SUM(AR$49:AR$70)+SUM(AT$49:AT$70)+SUM(AV$49:AV$70)+SUM(AX$49:AX$70)</f>
        <v>383.68588604644799</v>
      </c>
      <c r="J112">
        <f>SUM(AZ$49:AZ$70)+SUM(BB$49:BB$70)+SUM(BD$49:BD$70)+SUM(BF$49:BF$70)</f>
        <v>1845.6010301291431</v>
      </c>
      <c r="K112">
        <f>SUM(BH$49:BH$70)+SUM(BJ$49:BJ$70)+SUM(BL$49:BL$70)+SUM(BN$49:BN$70)</f>
        <v>707.76241418126119</v>
      </c>
      <c r="L112">
        <f>SUM(BP$49:BP$70)+SUM(BR$49:BR$70)+SUM(BT$49:BT$70)+SUM(BV$49:BV$70)</f>
        <v>434.58952181309309</v>
      </c>
      <c r="M112">
        <f>SUM(BX$49:BX$70)+SUM(BZ$49:BZ$70)+SUM(CB$49:CB$70)+SUM(CD$49:CD$70)</f>
        <v>1315.1385273857927</v>
      </c>
      <c r="N112">
        <f>SUM(CF$49:CF$70)+SUM(CH$49:CH$70)+SUM(CJ$49:CJ$70)+SUM(CL$49:CL$70)</f>
        <v>3081.8346779118174</v>
      </c>
      <c r="O112">
        <f>SUM(CN$49:CN$70)+SUM(CP$49:CP$70)+SUM(CR$49:CR$70)+SUM(CT$49:CT$70)</f>
        <v>452.54685684849824</v>
      </c>
    </row>
    <row r="113" spans="2:15" x14ac:dyDescent="0.2">
      <c r="C113" s="116" t="s">
        <v>130</v>
      </c>
      <c r="D113">
        <f>SUM(D$71:D$86)+SUM(F$71:F$86)+SUM(H$71:H$86)+SUM(J$71:J$86)</f>
        <v>511.56274007756747</v>
      </c>
      <c r="E113">
        <f>SUM(L$71:L$86)+SUM(N$71:N$86)+SUM(P$71:P$86)+SUM(R$71:R$86)</f>
        <v>220.82254447999108</v>
      </c>
      <c r="F113">
        <f>SUM(T$71:T$86)+SUM(V$71:V$86)+SUM(X$71:X$86)+SUM(Z$71:Z$86)</f>
        <v>160.09405545401987</v>
      </c>
      <c r="G113">
        <f>SUM(AB$71:AB$86)+SUM(AD$71:AD$86)+SUM(AF$71:AF$86)+SUM(AH$71:AH$86)</f>
        <v>370.91174208982454</v>
      </c>
      <c r="H113">
        <f>SUM(AJ$71:AJ$86)+SUM(AL$71:AL$86)+SUM(AN$71:AN$86)+SUM(AP$71:AP$86)</f>
        <v>463.93339975192293</v>
      </c>
      <c r="I113">
        <f>SUM(AR$71:AR$86)+SUM(AT$71:AT$86)+SUM(AV$71:AV$86)+SUM(AX$71:AX$86)</f>
        <v>328.39569060007193</v>
      </c>
      <c r="J113">
        <f>SUM(AZ$71:AZ$86)+SUM(BB$71:BB$86)+SUM(BD$71:BD$86)+SUM(BF$71:BF$86)</f>
        <v>682.35723630366283</v>
      </c>
      <c r="K113">
        <f>SUM(BH$71:BH$86)+SUM(BJ$71:BJ$86)+SUM(BL$71:BL$86)+SUM(BN$71:BN$86)</f>
        <v>195.21712807020495</v>
      </c>
      <c r="L113">
        <f>SUM(BP$71:BP$86)+SUM(BR$71:BR$86)+SUM(BT$71:BT$86)+SUM(BV$71:BV$86)</f>
        <v>163.08717914187005</v>
      </c>
      <c r="M113">
        <f>SUM(BX$71:BX$86)+SUM(BZ$71:BZ$86)+SUM(CB$71:CB$86)+SUM(CD$71:CD$86)</f>
        <v>187.91423960950164</v>
      </c>
      <c r="N113">
        <f>SUM(CF$71:CF$86)+SUM(CH$71:CH$86)+SUM(CJ$71:CJ$86)+SUM(CL$71:CL$86)</f>
        <v>203.48908970363806</v>
      </c>
      <c r="O113">
        <f>SUM(CN$71:CN$86)+SUM(CP$71:CP$86)+SUM(CR$71:CR$86)+SUM(CT$71:CT$86)</f>
        <v>405.54735154313244</v>
      </c>
    </row>
    <row r="114" spans="2:15" x14ac:dyDescent="0.2">
      <c r="C114" s="116" t="s">
        <v>131</v>
      </c>
      <c r="D114">
        <f>SUM(D$87:D$94)+SUM(F$87:F$94)+SUM(H$87:H$94)+SUM(J$87:J$94)</f>
        <v>103.30107387547488</v>
      </c>
      <c r="E114">
        <f>SUM(L$87:L$94)+SUM(N$87:N$94)+SUM(P$87:P$94)+SUM(R$87:R$94)</f>
        <v>125.78047971199197</v>
      </c>
      <c r="F114">
        <f>SUM(T$87:T$94)+SUM(V$87:V$94)+SUM(X$87:X$94)+SUM(Z$87:Z$94)</f>
        <v>555.82179646819498</v>
      </c>
      <c r="G114">
        <f>SUM(AB$87:AB$94)+SUM(AD$87:AD$94)+SUM(AF$87:AF$94)+SUM(AH$87:AH$94)</f>
        <v>138.50673110162069</v>
      </c>
      <c r="H114">
        <f>SUM(AJ$87:AJ$94)+SUM(AL$87:AL$94)+SUM(AN$87:AN$94)+SUM(AP$87:AP$94)</f>
        <v>175.61964956166875</v>
      </c>
      <c r="I114">
        <f>SUM(AR$87:AR$94)+SUM(AT$87:AT$94)+SUM(AV$87:AV$94)+SUM(AX$87:AX$94)</f>
        <v>292.20690426767976</v>
      </c>
      <c r="J114">
        <f>SUM(AZ$87:AZ$94)+SUM(BB$87:BB$94)+SUM(BD$87:BD$94)+SUM(BF$87:BF$94)</f>
        <v>89.289260764386682</v>
      </c>
      <c r="K114">
        <f>SUM(BH$87:BH$94)+SUM(BJ$87:BJ$94)+SUM(BL$87:BL$94)+SUM(BN$87:BN$94)</f>
        <v>180.67282983886096</v>
      </c>
      <c r="L114">
        <f>SUM(BP$87:BP$94)+SUM(BR$87:BR$94)+SUM(BT$87:BT$94)+SUM(BV$87:BV$94)</f>
        <v>124.22672692269008</v>
      </c>
      <c r="M114">
        <f>SUM(BX$87:BX$94)+SUM(BZ$87:BZ$94)+SUM(CB$87:CB$94)+SUM(CD$87:CD$94)</f>
        <v>113.16971132614398</v>
      </c>
      <c r="N114">
        <f>SUM(CF$87:CF$94)+SUM(CH$87:CH$94)+SUM(CJ$87:CJ$94)+SUM(CL$87:CL$94)</f>
        <v>238.31977429799235</v>
      </c>
      <c r="O114">
        <f>SUM(CN$87:CN$94)+SUM(CP$87:CP$94)+SUM(CR$87:CR$94)+SUM(CT$87:CT$94)</f>
        <v>139.94216600455184</v>
      </c>
    </row>
    <row r="115" spans="2:15" x14ac:dyDescent="0.2">
      <c r="C115" s="116" t="s">
        <v>132</v>
      </c>
      <c r="D115">
        <f>SUM(D$95:D$105)+SUM(F$95:F$105)+SUM(H$95:H$105)+SUM(J$95:J$105)</f>
        <v>190.81545867583981</v>
      </c>
      <c r="E115">
        <f>SUM(L$95:L$105)+SUM(N$95:N$105)+SUM(P$95:P$105)+SUM(R$95:R$105)</f>
        <v>470.4064744001966</v>
      </c>
      <c r="F115">
        <f>SUM(T$95:T$105)+SUM(V$95:V$105)+SUM(X$95:X$105)+SUM(Z$95:Z$105)</f>
        <v>644.31384311531428</v>
      </c>
      <c r="G115">
        <f>SUM(AB$95:AB$105)+SUM(AD$95:AD$105)+SUM(AF$95:AF$105)+SUM(AH$95:AH$105)</f>
        <v>429.10730952761537</v>
      </c>
      <c r="H115">
        <f>SUM(AJ$95:AJ$105)+SUM(AL$95:AL$105)+SUM(AN$95:AN$105)+SUM(AP$95:AP$105)</f>
        <v>277.12325564531773</v>
      </c>
      <c r="I115">
        <f>SUM(AR$95:AR$105)+SUM(AT$95:AT$105)+SUM(AV$95:AV$105)+SUM(AX$95:AX$105)</f>
        <v>402.22629211314234</v>
      </c>
      <c r="J115">
        <f>SUM(AZ$95:AZ$105)+SUM(BB$95:BB$105)+SUM(BD$95:BD$105)+SUM(BF$95:BF$105)</f>
        <v>183.26724583014965</v>
      </c>
      <c r="K115">
        <f>SUM(BH$95:BH$105)+SUM(BJ$95:BJ$105)+SUM(BL$95:BL$105)+SUM(BN$95:BN$105)</f>
        <v>638.86240093701497</v>
      </c>
      <c r="L115">
        <f>SUM(BP$95:BP$105)+SUM(BR$95:BR$105)+SUM(BT$95:BT$105)+SUM(BV$95:BV$105)</f>
        <v>726.61134514968876</v>
      </c>
      <c r="M115">
        <f>SUM(BX$95:BX$105)+SUM(BZ$95:BZ$105)+SUM(CB$95:CB$105)+SUM(CD$95:CD$105)</f>
        <v>600.64670113977286</v>
      </c>
      <c r="N115">
        <f>SUM(CF$95:CF$105)+SUM(CH$95:CH$105)+SUM(CJ$95:CJ$105)+SUM(CL$95:CL$105)</f>
        <v>458.18050899797197</v>
      </c>
      <c r="O115">
        <f>SUM(CN$95:CN$105)+SUM(CP$95:CP$105)+SUM(CR$95:CR$105)+SUM(CT$95:CT$105)</f>
        <v>570.16712713801849</v>
      </c>
    </row>
    <row r="116" spans="2:15" x14ac:dyDescent="0.2">
      <c r="C116" s="116" t="s">
        <v>278</v>
      </c>
      <c r="D116">
        <f t="shared" ref="D116:O116" si="0">SUM(D$109:D$115)</f>
        <v>4501.6938806033922</v>
      </c>
      <c r="E116">
        <f t="shared" si="0"/>
        <v>6416.8368195621697</v>
      </c>
      <c r="F116">
        <f t="shared" si="0"/>
        <v>7853.3432532448314</v>
      </c>
      <c r="G116">
        <f t="shared" si="0"/>
        <v>8087.7115898716302</v>
      </c>
      <c r="H116">
        <f t="shared" si="0"/>
        <v>4999.0023629802809</v>
      </c>
      <c r="I116">
        <f t="shared" si="0"/>
        <v>5626.514773027342</v>
      </c>
      <c r="J116">
        <f t="shared" si="0"/>
        <v>5519.514773027342</v>
      </c>
      <c r="K116">
        <f t="shared" si="0"/>
        <v>6852.514773027342</v>
      </c>
      <c r="L116">
        <f t="shared" si="0"/>
        <v>9542.5147730273438</v>
      </c>
      <c r="M116">
        <f t="shared" si="0"/>
        <v>6420.8691794612105</v>
      </c>
      <c r="N116">
        <f t="shared" si="0"/>
        <v>13276.82405091142</v>
      </c>
      <c r="O116">
        <f t="shared" si="0"/>
        <v>5976.2035015342008</v>
      </c>
    </row>
    <row r="118" spans="2:15" x14ac:dyDescent="0.2">
      <c r="B118" s="118" t="s">
        <v>279</v>
      </c>
    </row>
    <row r="119" spans="2:15" x14ac:dyDescent="0.2">
      <c r="C119" s="116" t="s">
        <v>277</v>
      </c>
      <c r="D119" s="116" t="s">
        <v>92</v>
      </c>
      <c r="E119" s="116" t="s">
        <v>93</v>
      </c>
      <c r="F119" s="116" t="s">
        <v>94</v>
      </c>
      <c r="G119" s="116" t="s">
        <v>95</v>
      </c>
      <c r="H119" s="116" t="s">
        <v>96</v>
      </c>
      <c r="I119" s="116" t="s">
        <v>97</v>
      </c>
      <c r="J119" s="116" t="s">
        <v>98</v>
      </c>
      <c r="K119" s="116" t="s">
        <v>99</v>
      </c>
      <c r="L119" s="116" t="s">
        <v>100</v>
      </c>
      <c r="M119" s="116" t="s">
        <v>101</v>
      </c>
      <c r="N119" s="116" t="s">
        <v>102</v>
      </c>
      <c r="O119" s="116" t="s">
        <v>103</v>
      </c>
    </row>
    <row r="120" spans="2:15" x14ac:dyDescent="0.2">
      <c r="C120" s="116" t="s">
        <v>126</v>
      </c>
      <c r="D120">
        <f>D109*pricing!D24*2000</f>
        <v>2247054.4193792916</v>
      </c>
      <c r="E120">
        <f>E109*pricing!E24*2000</f>
        <v>6566151.4951679967</v>
      </c>
      <c r="F120">
        <f>F109*pricing!F24*2000</f>
        <v>10633645.486941099</v>
      </c>
      <c r="G120">
        <f>G109*pricing!G24*2000</f>
        <v>2628720.6480175843</v>
      </c>
      <c r="H120">
        <f>H109*pricing!H24*2000</f>
        <v>2556593.8969315696</v>
      </c>
      <c r="I120">
        <f>I109*pricing!I24*2000</f>
        <v>6645553.188761076</v>
      </c>
      <c r="J120">
        <f>J109*pricing!J24*2000</f>
        <v>5564753.0321076429</v>
      </c>
      <c r="K120">
        <f>K109*pricing!K24*2000</f>
        <v>10522854.26669972</v>
      </c>
      <c r="L120">
        <f>L109*pricing!L24*2000</f>
        <v>8855939.9909391198</v>
      </c>
      <c r="M120">
        <f>M109*pricing!M24*2000</f>
        <v>3175317.7980546602</v>
      </c>
      <c r="N120">
        <f>N109*pricing!N24*2000</f>
        <v>4229594.5597125487</v>
      </c>
      <c r="O120">
        <f>O109*pricing!O24*2000</f>
        <v>4256309.9518717229</v>
      </c>
    </row>
    <row r="121" spans="2:15" x14ac:dyDescent="0.2">
      <c r="C121" s="116" t="s">
        <v>127</v>
      </c>
      <c r="D121">
        <f>D110*pricing!D25*2000</f>
        <v>4112652.5268167141</v>
      </c>
      <c r="E121">
        <f>E110*pricing!E25*2000</f>
        <v>4999599.1659086207</v>
      </c>
      <c r="F121">
        <f>F110*pricing!F25*2000</f>
        <v>5943433.8758413419</v>
      </c>
      <c r="G121">
        <f>G110*pricing!G25*2000</f>
        <v>6799161.9924232345</v>
      </c>
      <c r="H121">
        <f>H110*pricing!H25*2000</f>
        <v>5065056.5543239806</v>
      </c>
      <c r="I121">
        <f>I110*pricing!I25*2000</f>
        <v>7483258.8211485501</v>
      </c>
      <c r="J121">
        <f>J110*pricing!J25*2000</f>
        <v>5281808.3175015366</v>
      </c>
      <c r="K121">
        <f>K110*pricing!K25*2000</f>
        <v>4432567.7393129617</v>
      </c>
      <c r="L121">
        <f>L110*pricing!L25*2000</f>
        <v>9175201.1797108985</v>
      </c>
      <c r="M121">
        <f>M110*pricing!M25*2000</f>
        <v>11564628.331989104</v>
      </c>
      <c r="N121">
        <f>N110*pricing!N25*2000</f>
        <v>18880202.296378423</v>
      </c>
      <c r="O121">
        <f>O110*pricing!O25*2000</f>
        <v>9836450.1736450866</v>
      </c>
    </row>
    <row r="122" spans="2:15" x14ac:dyDescent="0.2">
      <c r="C122" s="116" t="s">
        <v>128</v>
      </c>
      <c r="D122">
        <f>D111*pricing!D26*2000</f>
        <v>4900140.0434613721</v>
      </c>
      <c r="E122">
        <f>E111*pricing!E26*2000</f>
        <v>4115759.4813017305</v>
      </c>
      <c r="F122">
        <f>F111*pricing!F26*2000</f>
        <v>2172546.7999369046</v>
      </c>
      <c r="G122">
        <f>G111*pricing!G26*2000</f>
        <v>3030571.7619175776</v>
      </c>
      <c r="H122">
        <f>H111*pricing!H26*2000</f>
        <v>2192987.1042559124</v>
      </c>
      <c r="I122">
        <f>I111*pricing!I26*2000</f>
        <v>3312558.8311346122</v>
      </c>
      <c r="J122">
        <f>J111*pricing!J26*2000</f>
        <v>2690054.9018548839</v>
      </c>
      <c r="K122">
        <f>K111*pricing!K26*2000</f>
        <v>2143142.1143114171</v>
      </c>
      <c r="L122">
        <f>L111*pricing!L26*2000</f>
        <v>5569066.5346144149</v>
      </c>
      <c r="M122">
        <f>M111*pricing!M26*2000</f>
        <v>2972633.41499682</v>
      </c>
      <c r="N122">
        <f>N111*pricing!N26*2000</f>
        <v>1812336.8015386825</v>
      </c>
      <c r="O122">
        <f>O111*pricing!O26*2000</f>
        <v>4421059.1785110934</v>
      </c>
    </row>
    <row r="123" spans="2:15" x14ac:dyDescent="0.2">
      <c r="C123" s="116" t="s">
        <v>129</v>
      </c>
      <c r="D123">
        <f>D112*pricing!D27*2000</f>
        <v>4984353.9204920093</v>
      </c>
      <c r="E123">
        <f>E112*pricing!E27*2000</f>
        <v>5618085.8106040666</v>
      </c>
      <c r="F123">
        <f>F112*pricing!F27*2000</f>
        <v>2420992.6020874307</v>
      </c>
      <c r="G123">
        <f>G112*pricing!G27*2000</f>
        <v>11063341.861254293</v>
      </c>
      <c r="H123">
        <f>H112*pricing!H27*2000</f>
        <v>6822141.968927728</v>
      </c>
      <c r="I123">
        <f>I112*pricing!I27*2000</f>
        <v>2594658.116518137</v>
      </c>
      <c r="J123">
        <f>J112*pricing!J27*2000</f>
        <v>6170221.3670253269</v>
      </c>
      <c r="K123">
        <f>K112*pricing!K27*2000</f>
        <v>3432741.6079215687</v>
      </c>
      <c r="L123">
        <f>L112*pricing!L27*2000</f>
        <v>2913889.5876538819</v>
      </c>
      <c r="M123">
        <f>M112*pricing!M27*2000</f>
        <v>5565495.7791103479</v>
      </c>
      <c r="N123">
        <f>N112*pricing!N27*2000</f>
        <v>7456845.1293629538</v>
      </c>
      <c r="O123">
        <f>O112*pricing!O27*2000</f>
        <v>2858277.581339146</v>
      </c>
    </row>
    <row r="124" spans="2:15" x14ac:dyDescent="0.2">
      <c r="C124" s="116" t="s">
        <v>130</v>
      </c>
      <c r="D124">
        <f>D113*pricing!D28*2000</f>
        <v>1732515.7722537906</v>
      </c>
      <c r="E124">
        <f>E113*pricing!E28*2000</f>
        <v>1546200.891362637</v>
      </c>
      <c r="F124">
        <f>F113*pricing!F28*2000</f>
        <v>990225.61720837455</v>
      </c>
      <c r="G124">
        <f>G113*pricing!G28*2000</f>
        <v>1105405.1056353035</v>
      </c>
      <c r="H124">
        <f>H113*pricing!H28*2000</f>
        <v>1524060.8317259175</v>
      </c>
      <c r="I124">
        <f>I113*pricing!I28*2000</f>
        <v>1422910.8193126246</v>
      </c>
      <c r="J124">
        <f>J113*pricing!J28*2000</f>
        <v>1991939.7415920869</v>
      </c>
      <c r="K124">
        <f>K113*pricing!K28*2000</f>
        <v>978926.57899370778</v>
      </c>
      <c r="L124">
        <f>L113*pricing!L28*2000</f>
        <v>1089256.2823305661</v>
      </c>
      <c r="M124">
        <f>M113*pricing!M28*2000</f>
        <v>1315012.5076284732</v>
      </c>
      <c r="N124">
        <f>N113*pricing!N28*2000</f>
        <v>1230368.3778699702</v>
      </c>
      <c r="O124">
        <f>O113*pricing!O28*2000</f>
        <v>1698271.3414432923</v>
      </c>
    </row>
    <row r="125" spans="2:15" x14ac:dyDescent="0.2">
      <c r="C125" s="116" t="s">
        <v>131</v>
      </c>
      <c r="D125">
        <f>D114*pricing!D29*2000</f>
        <v>522890.48010995967</v>
      </c>
      <c r="E125">
        <f>E114*pricing!E29*2000</f>
        <v>883459.31449180713</v>
      </c>
      <c r="F125">
        <f>F114*pricing!F29*2000</f>
        <v>1209588.9285883321</v>
      </c>
      <c r="G125">
        <f>G114*pricing!G29*2000</f>
        <v>478464.93109943951</v>
      </c>
      <c r="H125">
        <f>H114*pricing!H29*2000</f>
        <v>703351.62981727847</v>
      </c>
      <c r="I125">
        <f>I114*pricing!I29*2000</f>
        <v>1054912.4811988398</v>
      </c>
      <c r="J125">
        <f>J114*pricing!J29*2000</f>
        <v>466274.04207173403</v>
      </c>
      <c r="K125">
        <f>K114*pricing!K29*2000</f>
        <v>629170.95564559707</v>
      </c>
      <c r="L125">
        <f>L114*pricing!L29*2000</f>
        <v>759109.2211735528</v>
      </c>
      <c r="M125">
        <f>M114*pricing!M29*2000</f>
        <v>799012.91406169976</v>
      </c>
      <c r="N125">
        <f>N114*pricing!N29*2000</f>
        <v>955544.02002681431</v>
      </c>
      <c r="O125">
        <f>O114*pricing!O29*2000</f>
        <v>689189.52478490665</v>
      </c>
    </row>
    <row r="126" spans="2:15" x14ac:dyDescent="0.2">
      <c r="C126" s="116" t="s">
        <v>132</v>
      </c>
      <c r="D126">
        <f>D115*pricing!D30*2000</f>
        <v>1070308.6819708911</v>
      </c>
      <c r="E126">
        <f>E115*pricing!E30*2000</f>
        <v>2418127.7952443729</v>
      </c>
      <c r="F126">
        <f>F115*pricing!F30*2000</f>
        <v>2086674.8715825884</v>
      </c>
      <c r="G126">
        <f>G115*pricing!G30*2000</f>
        <v>1119785.7350012497</v>
      </c>
      <c r="H126">
        <f>H115*pricing!H30*2000</f>
        <v>1187038.5584674811</v>
      </c>
      <c r="I126">
        <f>I115*pricing!I30*2000</f>
        <v>1840995.4099991559</v>
      </c>
      <c r="J126">
        <f>J115*pricing!J30*2000</f>
        <v>1023087.3569949991</v>
      </c>
      <c r="K126">
        <f>K115*pricing!K30*2000</f>
        <v>1909711.9653520607</v>
      </c>
      <c r="L126">
        <f>L115*pricing!L30*2000</f>
        <v>2656988.990746188</v>
      </c>
      <c r="M126">
        <f>M115*pricing!M30*2000</f>
        <v>2601439.9783435776</v>
      </c>
      <c r="N126">
        <f>N115*pricing!N30*2000</f>
        <v>2128088.6404191465</v>
      </c>
      <c r="O126">
        <f>O115*pricing!O30*2000</f>
        <v>1817542.1754473706</v>
      </c>
    </row>
    <row r="127" spans="2:15" x14ac:dyDescent="0.2">
      <c r="C127" s="116" t="s">
        <v>278</v>
      </c>
      <c r="D127">
        <f t="shared" ref="D127:O127" si="1">SUM(D$120:D$126)</f>
        <v>19569915.844484027</v>
      </c>
      <c r="E127">
        <f t="shared" si="1"/>
        <v>26147383.954081234</v>
      </c>
      <c r="F127">
        <f t="shared" si="1"/>
        <v>25457108.182186071</v>
      </c>
      <c r="G127">
        <f t="shared" si="1"/>
        <v>26225452.035348684</v>
      </c>
      <c r="H127">
        <f t="shared" si="1"/>
        <v>20051230.544449866</v>
      </c>
      <c r="I127">
        <f t="shared" si="1"/>
        <v>24354847.668072995</v>
      </c>
      <c r="J127">
        <f t="shared" si="1"/>
        <v>23188138.75914821</v>
      </c>
      <c r="K127">
        <f t="shared" si="1"/>
        <v>24049115.228237037</v>
      </c>
      <c r="L127">
        <f t="shared" si="1"/>
        <v>31019451.787168626</v>
      </c>
      <c r="M127">
        <f t="shared" si="1"/>
        <v>27993540.724184684</v>
      </c>
      <c r="N127">
        <f t="shared" si="1"/>
        <v>36692979.825308546</v>
      </c>
      <c r="O127">
        <f t="shared" si="1"/>
        <v>25577099.927042622</v>
      </c>
    </row>
    <row r="129" spans="2:15" x14ac:dyDescent="0.2">
      <c r="B129" s="118" t="s">
        <v>280</v>
      </c>
    </row>
    <row r="130" spans="2:15" x14ac:dyDescent="0.2">
      <c r="C130" s="120" t="s">
        <v>277</v>
      </c>
      <c r="D130" s="120" t="s">
        <v>92</v>
      </c>
      <c r="E130" s="120" t="s">
        <v>93</v>
      </c>
      <c r="F130" s="120" t="s">
        <v>94</v>
      </c>
      <c r="G130" s="120" t="s">
        <v>95</v>
      </c>
      <c r="H130" s="120" t="s">
        <v>96</v>
      </c>
      <c r="I130" s="120" t="s">
        <v>97</v>
      </c>
      <c r="J130" s="120" t="s">
        <v>98</v>
      </c>
      <c r="K130" s="120" t="s">
        <v>99</v>
      </c>
      <c r="L130" s="120" t="s">
        <v>100</v>
      </c>
      <c r="M130" s="120" t="s">
        <v>101</v>
      </c>
      <c r="N130" s="120" t="s">
        <v>102</v>
      </c>
      <c r="O130" s="120" t="s">
        <v>103</v>
      </c>
    </row>
    <row r="131" spans="2:15" x14ac:dyDescent="0.2">
      <c r="C131" s="120" t="s">
        <v>126</v>
      </c>
      <c r="D131" s="121">
        <f>SUM(E$6:E$19)+SUM(G$6:G$19)+SUM(I$6:I$19)+SUM(K$6:K$19)</f>
        <v>159100.79999999999</v>
      </c>
      <c r="E131" s="121">
        <f>SUM(M$6:M$19)+SUM(O$6:O$19)+SUM(Q$6:Q$19)+SUM(S$6:S$19)</f>
        <v>1003025.9999999999</v>
      </c>
      <c r="F131" s="121">
        <f>SUM(U$6:U$19)+SUM(W$6:W$19)+SUM(Y$6:Y$19)+SUM(AA$6:AA$19)</f>
        <v>2376505.2000000002</v>
      </c>
      <c r="G131" s="121">
        <f>SUM(AC$6:AC$19)+SUM(AE$6:AE$19)+SUM(AG$6:AG$19)+SUM(AI$6:AI$19)</f>
        <v>204400.8</v>
      </c>
      <c r="H131" s="121">
        <f>SUM(AK$6:AK$19)+SUM(AM$6:AM$19)+SUM(AO$6:AO$19)+SUM(AQ$6:AQ$19)</f>
        <v>198330</v>
      </c>
      <c r="I131" s="121">
        <f>SUM(AS$6:AS$19)+SUM(AU$6:AU$19)+SUM(AW$6:AW$19)+SUM(AY$6:AY$19)</f>
        <v>965352</v>
      </c>
      <c r="J131" s="121">
        <f>SUM(BA$6:BA$19)+SUM(BC$6:BC$19)+SUM(BE$6:BE$19)+SUM(BG$6:BG$19)</f>
        <v>704871.6</v>
      </c>
      <c r="K131" s="121">
        <f>SUM(BI$6:BI$19)+SUM(BK$6:BK$19)+SUM(BM$6:BM$19)+SUM(BO$6:BO$19)</f>
        <v>2090134.7999999998</v>
      </c>
      <c r="L131" s="121">
        <f>SUM(BQ$6:BQ$19)+SUM(BS$6:BS$19)+SUM(BU$6:BU$19)+SUM(BW$6:BW$19)</f>
        <v>2027374.7999999998</v>
      </c>
      <c r="M131" s="121">
        <f>SUM(BY$6:BY$19)+SUM(CA$6:CA$19)+SUM(CC$6:CC$19)+SUM(CE$6:CE$19)</f>
        <v>266869.19999999995</v>
      </c>
      <c r="N131" s="121">
        <f>SUM(CG$6:CG$19)+SUM(CI$6:CI$19)+SUM(CK$6:CK$19)+SUM(CM$6:CM$19)</f>
        <v>525616.80000000005</v>
      </c>
      <c r="O131" s="121">
        <f>SUM(CO$6:CO$19)+SUM(CQ$6:CQ$19)+SUM(CS$6:CS$19)+SUM(CU$6:CU$19)</f>
        <v>423445.2</v>
      </c>
    </row>
    <row r="132" spans="2:15" x14ac:dyDescent="0.2">
      <c r="C132" s="120" t="s">
        <v>127</v>
      </c>
      <c r="D132" s="121">
        <f>SUM(E$20:E$36)+SUM(G$20:G$36)+SUM(I$20:I$36)+SUM(K$20:K$36)</f>
        <v>258825.59999999998</v>
      </c>
      <c r="E132" s="121">
        <f>SUM(M$20:M$36)+SUM(O$20:O$36)+SUM(Q$20:Q$36)+SUM(S$20:S$36)</f>
        <v>330157.2</v>
      </c>
      <c r="F132" s="121">
        <f>SUM(U$20:U$36)+SUM(W$20:W$36)+SUM(Y$20:Y$36)+SUM(AA$20:AA$36)</f>
        <v>453907.20000000001</v>
      </c>
      <c r="G132" s="121">
        <f>SUM(AC$20:AC$36)+SUM(AE$20:AE$36)+SUM(AG$20:AG$36)+SUM(AI$20:AI$36)</f>
        <v>581352</v>
      </c>
      <c r="H132" s="121">
        <f>SUM(AK$20:AK$36)+SUM(AM$20:AM$36)+SUM(AO$20:AO$36)+SUM(AQ$20:AQ$36)</f>
        <v>332240.40000000002</v>
      </c>
      <c r="I132" s="121">
        <f>SUM(AS$20:AS$36)+SUM(AU$20:AU$36)+SUM(AW$20:AW$36)+SUM(AY$20:AY$36)</f>
        <v>638448</v>
      </c>
      <c r="J132" s="121">
        <f>SUM(BA$20:BA$36)+SUM(BC$20:BC$36)+SUM(BE$20:BE$36)+SUM(BG$20:BG$36)</f>
        <v>350353.19999999995</v>
      </c>
      <c r="K132" s="121">
        <f>SUM(BI$20:BI$36)+SUM(BK$20:BK$36)+SUM(BM$20:BM$36)+SUM(BO$20:BO$36)</f>
        <v>274916.39999999997</v>
      </c>
      <c r="L132" s="121">
        <f>SUM(BQ$20:BQ$36)+SUM(BS$20:BS$36)+SUM(BU$20:BU$36)+SUM(BW$20:BW$36)</f>
        <v>882819.6</v>
      </c>
      <c r="M132" s="121">
        <f>SUM(BY$20:BY$36)+SUM(CA$20:CA$36)+SUM(CC$20:CC$36)+SUM(CE$20:CE$36)</f>
        <v>1308777.6000000001</v>
      </c>
      <c r="N132" s="121">
        <f>SUM(CG$20:CG$36)+SUM(CI$20:CI$36)+SUM(CK$20:CK$36)+SUM(CM$20:CM$36)</f>
        <v>3365277.5999999996</v>
      </c>
      <c r="O132" s="121">
        <f>SUM(CO$20:CO$36)+SUM(CQ$20:CQ$36)+SUM(CS$20:CS$36)+SUM(CU$20:CU$36)</f>
        <v>1056860.3999999999</v>
      </c>
    </row>
    <row r="133" spans="2:15" x14ac:dyDescent="0.2">
      <c r="C133" s="120" t="s">
        <v>128</v>
      </c>
      <c r="D133" s="121">
        <f>SUM(E$37:E$48)+SUM(G$37:G$48)+SUM(I$37:I$48)+SUM(K$37:K$48)</f>
        <v>1613634</v>
      </c>
      <c r="E133" s="121">
        <f>SUM(M$37:M$48)+SUM(O$37:O$48)+SUM(Q$37:Q$48)+SUM(S$37:S$48)</f>
        <v>1275586.7999999998</v>
      </c>
      <c r="F133" s="121">
        <f>SUM(U$37:U$48)+SUM(W$37:W$48)+SUM(Y$37:Y$48)+SUM(AA$37:AA$48)</f>
        <v>346406.40000000002</v>
      </c>
      <c r="G133" s="121">
        <f>SUM(AC$37:AC$48)+SUM(AE$37:AE$48)+SUM(AG$37:AG$48)+SUM(AI$37:AI$48)</f>
        <v>628444.80000000005</v>
      </c>
      <c r="H133" s="121">
        <f>SUM(AK$37:AK$48)+SUM(AM$37:AM$48)+SUM(AO$37:AO$48)+SUM(AQ$37:AQ$48)</f>
        <v>403329.6</v>
      </c>
      <c r="I133" s="121">
        <f>SUM(AS$37:AS$48)+SUM(AU$37:AU$48)+SUM(AW$37:AW$48)+SUM(AY$37:AY$48)</f>
        <v>833917.2</v>
      </c>
      <c r="J133" s="121">
        <f>SUM(BA$37:BA$48)+SUM(BC$37:BC$48)+SUM(BE$37:BE$48)+SUM(BG$37:BG$48)</f>
        <v>524131.2</v>
      </c>
      <c r="K133" s="121">
        <f>SUM(BI$37:BI$48)+SUM(BK$37:BK$48)+SUM(BM$37:BM$48)+SUM(BO$37:BO$48)</f>
        <v>321870</v>
      </c>
      <c r="L133" s="121">
        <f>SUM(BQ$37:BQ$48)+SUM(BS$37:BS$48)+SUM(BU$37:BU$48)+SUM(BW$37:BW$48)</f>
        <v>2048398.8</v>
      </c>
      <c r="M133" s="121">
        <f>SUM(BY$37:BY$48)+SUM(CA$37:CA$48)+SUM(CC$37:CC$48)+SUM(CE$37:CE$48)</f>
        <v>629714.39999999991</v>
      </c>
      <c r="N133" s="121">
        <f>SUM(CG$37:CG$48)+SUM(CI$37:CI$48)+SUM(CK$37:CK$48)+SUM(CM$37:CM$48)</f>
        <v>271170</v>
      </c>
      <c r="O133" s="121">
        <f>SUM(CO$37:CO$48)+SUM(CQ$37:CQ$48)+SUM(CS$37:CS$48)+SUM(CU$37:CU$48)</f>
        <v>1140430.7999999998</v>
      </c>
    </row>
    <row r="134" spans="2:15" x14ac:dyDescent="0.2">
      <c r="C134" s="120" t="s">
        <v>129</v>
      </c>
      <c r="D134" s="121">
        <f>SUM(E$49:E$70)+SUM(G$49:G$70)+SUM(I$49:I$70)+SUM(K$49:K$70)</f>
        <v>1006903.6745567357</v>
      </c>
      <c r="E134" s="121">
        <f>SUM(M$49:M$70)+SUM(O$49:O$70)+SUM(Q$49:Q$70)+SUM(S$49:S$70)</f>
        <v>1362761.6885715062</v>
      </c>
      <c r="F134" s="121">
        <f>SUM(U$49:U$70)+SUM(W$49:W$70)+SUM(Y$49:Y$70)+SUM(AA$49:AA$70)</f>
        <v>288242.45550747792</v>
      </c>
      <c r="G134" s="121">
        <f>SUM(AC$49:AC$70)+SUM(AE$49:AE$70)+SUM(AG$49:AG$70)+SUM(AI$49:AI$70)</f>
        <v>3850690.5727501609</v>
      </c>
      <c r="H134" s="121">
        <f>SUM(AK$49:AK$70)+SUM(AM$49:AM$70)+SUM(AO$49:AO$70)+SUM(AQ$49:AQ$70)</f>
        <v>2069400.4801001353</v>
      </c>
      <c r="I134" s="121">
        <f>SUM(AS$49:AS$70)+SUM(AU$49:AU$70)+SUM(AW$49:AW$70)+SUM(AY$49:AY$70)</f>
        <v>320609.79678260832</v>
      </c>
      <c r="J134" s="121">
        <f>SUM(BA$49:BA$70)+SUM(BC$49:BC$70)+SUM(BE$49:BE$70)+SUM(BG$49:BG$70)</f>
        <v>1511585.3770649536</v>
      </c>
      <c r="K134" s="121">
        <f>SUM(BI$49:BI$70)+SUM(BK$49:BK$70)+SUM(BM$49:BM$70)+SUM(BO$49:BO$70)</f>
        <v>582066.65594745753</v>
      </c>
      <c r="L134" s="121">
        <f>SUM(BQ$49:BQ$70)+SUM(BS$49:BS$70)+SUM(BU$49:BU$70)+SUM(BW$49:BW$70)</f>
        <v>364461.04909731139</v>
      </c>
      <c r="M134" s="121">
        <f>SUM(BY$49:BY$70)+SUM(CA$49:CA$70)+SUM(CC$49:CC$70)+SUM(CE$49:CE$70)</f>
        <v>1105220.9664853325</v>
      </c>
      <c r="N134" s="121">
        <f>SUM(CG$49:CG$70)+SUM(CI$49:CI$70)+SUM(CK$49:CK$70)+SUM(CM$49:CM$70)</f>
        <v>2527087.797640387</v>
      </c>
      <c r="O134" s="121">
        <f>SUM(CO$49:CO$70)+SUM(CQ$49:CQ$70)+SUM(CS$49:CS$70)+SUM(CU$49:CU$70)</f>
        <v>373655.08779721684</v>
      </c>
    </row>
    <row r="135" spans="2:15" x14ac:dyDescent="0.2">
      <c r="C135" s="120" t="s">
        <v>130</v>
      </c>
      <c r="D135" s="121">
        <f>SUM(E$71:E$86)+SUM(G$71:G$86)+SUM(I$71:I$86)+SUM(K$71:K$86)</f>
        <v>283670.0116805603</v>
      </c>
      <c r="E135" s="121">
        <f>SUM(M$71:M$86)+SUM(O$71:O$86)+SUM(Q$71:Q$86)+SUM(S$71:S$86)</f>
        <v>123635.4636007596</v>
      </c>
      <c r="F135" s="121">
        <f>SUM(U$71:U$86)+SUM(W$71:W$86)+SUM(Y$71:Y$86)+SUM(AA$71:AA$86)</f>
        <v>89564.494595784752</v>
      </c>
      <c r="G135" s="121">
        <f>SUM(AC$71:AC$86)+SUM(AE$71:AE$86)+SUM(AG$71:AG$86)+SUM(AI$71:AI$86)</f>
        <v>206361.43347659425</v>
      </c>
      <c r="H135" s="121">
        <f>SUM(AK$71:AK$86)+SUM(AM$71:AM$86)+SUM(AO$71:AO$86)+SUM(AQ$71:AQ$86)</f>
        <v>259134.2641665336</v>
      </c>
      <c r="I135" s="121">
        <f>SUM(AS$71:AS$86)+SUM(AU$71:AU$86)+SUM(AW$71:AW$86)+SUM(AY$71:AY$86)</f>
        <v>183153.67759817699</v>
      </c>
      <c r="J135" s="121">
        <f>SUM(BA$71:BA$86)+SUM(BC$71:BC$86)+SUM(BE$71:BE$86)+SUM(BG$71:BG$86)</f>
        <v>379060.35453295382</v>
      </c>
      <c r="K135" s="121">
        <f>SUM(BI$71:BI$86)+SUM(BK$71:BK$86)+SUM(BM$71:BM$86)+SUM(BO$71:BO$86)</f>
        <v>108806.28662183858</v>
      </c>
      <c r="L135" s="121">
        <f>SUM(BQ$71:BQ$86)+SUM(BS$71:BS$86)+SUM(BU$71:BU$86)+SUM(BW$71:BW$86)</f>
        <v>90892.921006027085</v>
      </c>
      <c r="M135" s="121">
        <f>SUM(BY$71:BY$86)+SUM(CA$71:CA$86)+SUM(CC$71:CC$86)+SUM(CE$71:CE$86)</f>
        <v>104679.66528790515</v>
      </c>
      <c r="N135" s="121">
        <f>SUM(CG$71:CG$86)+SUM(CI$71:CI$86)+SUM(CK$71:CK$86)+SUM(CM$71:CM$86)</f>
        <v>114322.39644224473</v>
      </c>
      <c r="O135" s="121">
        <f>SUM(CO$71:CO$86)+SUM(CQ$71:CQ$86)+SUM(CS$71:CS$86)+SUM(CU$71:CU$86)</f>
        <v>224749.96766291576</v>
      </c>
    </row>
    <row r="136" spans="2:15" x14ac:dyDescent="0.2">
      <c r="C136" s="120" t="s">
        <v>131</v>
      </c>
      <c r="D136" s="121">
        <f>SUM(E$87:E$94)+SUM(G$87:G$94)+SUM(I$87:I$94)+SUM(K$87:K$94)</f>
        <v>209556.14119484925</v>
      </c>
      <c r="E136" s="121">
        <f>SUM(M$87:M$94)+SUM(O$87:O$94)+SUM(Q$87:Q$94)+SUM(S$87:S$94)</f>
        <v>256514.14091569727</v>
      </c>
      <c r="F136" s="121">
        <f>SUM(U$87:U$94)+SUM(W$87:W$94)+SUM(Y$87:Y$94)+SUM(AA$87:AA$94)</f>
        <v>1124635.7982025708</v>
      </c>
      <c r="G136" s="121">
        <f>SUM(AC$87:AC$94)+SUM(AE$87:AE$94)+SUM(AG$87:AG$94)+SUM(AI$87:AI$94)</f>
        <v>280314.5373499823</v>
      </c>
      <c r="H136" s="121">
        <f>SUM(AK$87:AK$94)+SUM(AM$87:AM$94)+SUM(AO$87:AO$94)+SUM(AQ$87:AQ$94)</f>
        <v>356122.97202322981</v>
      </c>
      <c r="I136" s="121">
        <f>SUM(AS$87:AS$94)+SUM(AU$87:AU$94)+SUM(AW$87:AW$94)+SUM(AY$87:AY$94)</f>
        <v>591675.74515090929</v>
      </c>
      <c r="J136" s="121">
        <f>SUM(BA$87:BA$94)+SUM(BC$87:BC$94)+SUM(BE$87:BE$94)+SUM(BG$87:BG$94)</f>
        <v>181167.90609079081</v>
      </c>
      <c r="K136" s="121">
        <f>SUM(BI$87:BI$94)+SUM(BK$87:BK$94)+SUM(BM$87:BM$94)+SUM(BO$87:BO$94)</f>
        <v>366699.06360525789</v>
      </c>
      <c r="L136" s="121">
        <f>SUM(BQ$87:BQ$94)+SUM(BS$87:BS$94)+SUM(BU$87:BU$94)+SUM(BW$87:BW$94)</f>
        <v>253148.32306268896</v>
      </c>
      <c r="M136" s="121">
        <f>SUM(BY$87:BY$94)+SUM(CA$87:CA$94)+SUM(CC$87:CC$94)+SUM(CE$87:CE$94)</f>
        <v>230371.09206823472</v>
      </c>
      <c r="N136" s="121">
        <f>SUM(CG$87:CG$94)+SUM(CI$87:CI$94)+SUM(CK$87:CK$94)+SUM(CM$87:CM$94)</f>
        <v>482924.24680728139</v>
      </c>
      <c r="O136" s="121">
        <f>SUM(CO$87:CO$94)+SUM(CQ$87:CQ$94)+SUM(CS$87:CS$94)+SUM(CU$87:CU$94)</f>
        <v>283950.60143866617</v>
      </c>
    </row>
    <row r="137" spans="2:15" x14ac:dyDescent="0.2">
      <c r="C137" s="120" t="s">
        <v>132</v>
      </c>
      <c r="D137" s="121">
        <f>SUM(E$95:E$105)+SUM(G$95:G$105)+SUM(I$95:I$105)+SUM(K$95:K$105)</f>
        <v>364154.14584136842</v>
      </c>
      <c r="E137" s="121">
        <f>SUM(M$95:M$105)+SUM(O$95:O$105)+SUM(Q$95:Q$105)+SUM(S$95:S$105)</f>
        <v>899000.04633396072</v>
      </c>
      <c r="F137" s="121">
        <f>SUM(U$95:U$105)+SUM(W$95:W$105)+SUM(Y$95:Y$105)+SUM(AA$95:AA$105)</f>
        <v>1208630.0653806082</v>
      </c>
      <c r="G137" s="121">
        <f>SUM(AC$95:AC$105)+SUM(AE$95:AE$105)+SUM(AG$95:AG$105)+SUM(AI$95:AI$105)</f>
        <v>783759.89370571997</v>
      </c>
      <c r="H137" s="121">
        <f>SUM(AK$95:AK$105)+SUM(AM$95:AM$105)+SUM(AO$95:AO$105)+SUM(AQ$95:AQ$105)</f>
        <v>522685.65416764631</v>
      </c>
      <c r="I137" s="121">
        <f>SUM(AS$95:AS$105)+SUM(AU$95:AU$105)+SUM(AW$95:AW$105)+SUM(AY$95:AY$105)</f>
        <v>763410.28056247102</v>
      </c>
      <c r="J137" s="121">
        <f>SUM(BA$95:BA$105)+SUM(BC$95:BC$105)+SUM(BE$95:BE$105)+SUM(BG$95:BG$105)</f>
        <v>352005.28930886538</v>
      </c>
      <c r="K137" s="121">
        <f>SUM(BI$95:BI$105)+SUM(BK$95:BK$105)+SUM(BM$95:BM$105)+SUM(BO$95:BO$105)</f>
        <v>1185127.3210657975</v>
      </c>
      <c r="L137" s="121">
        <f>SUM(BQ$95:BQ$105)+SUM(BS$95:BS$105)+SUM(BU$95:BU$105)+SUM(BW$95:BW$105)</f>
        <v>1358723.8970979603</v>
      </c>
      <c r="M137" s="121">
        <f>SUM(BY$95:BY$105)+SUM(CA$95:CA$105)+SUM(CC$95:CC$105)+SUM(CE$95:CE$105)</f>
        <v>1127479.978142682</v>
      </c>
      <c r="N137" s="121">
        <f>SUM(CG$95:CG$105)+SUM(CI$95:CI$105)+SUM(CK$95:CK$105)+SUM(CM$95:CM$105)</f>
        <v>870309.56367084151</v>
      </c>
      <c r="O137" s="121">
        <f>SUM(CO$95:CO$105)+SUM(CQ$95:CQ$105)+SUM(CS$95:CS$105)+SUM(CU$95:CU$105)</f>
        <v>1065914.5424294495</v>
      </c>
    </row>
    <row r="138" spans="2:15" x14ac:dyDescent="0.2">
      <c r="C138" s="120" t="s">
        <v>278</v>
      </c>
      <c r="D138">
        <f t="shared" ref="D138:O138" si="2">SUM(D$131:D$137)</f>
        <v>3895844.3732735133</v>
      </c>
      <c r="E138">
        <f t="shared" si="2"/>
        <v>5250681.3394219242</v>
      </c>
      <c r="F138">
        <f t="shared" si="2"/>
        <v>5887891.6136864424</v>
      </c>
      <c r="G138">
        <f t="shared" si="2"/>
        <v>6535324.0372824576</v>
      </c>
      <c r="H138">
        <f t="shared" si="2"/>
        <v>4141243.3704575449</v>
      </c>
      <c r="I138">
        <f t="shared" si="2"/>
        <v>4296566.7000941653</v>
      </c>
      <c r="J138">
        <f t="shared" si="2"/>
        <v>4003174.9269975638</v>
      </c>
      <c r="K138">
        <f t="shared" si="2"/>
        <v>4929620.5272403508</v>
      </c>
      <c r="L138">
        <f t="shared" si="2"/>
        <v>7025819.3902639877</v>
      </c>
      <c r="M138">
        <f t="shared" si="2"/>
        <v>4773112.9019841552</v>
      </c>
      <c r="N138">
        <f t="shared" si="2"/>
        <v>8156708.4045607541</v>
      </c>
      <c r="O138">
        <f t="shared" si="2"/>
        <v>4569006.5993282478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sheetData>
    <row r="1" spans="1:99" x14ac:dyDescent="0.2">
      <c r="A1" s="117"/>
    </row>
    <row r="2" spans="1:99" x14ac:dyDescent="0.2">
      <c r="B2" s="1" t="s">
        <v>272</v>
      </c>
    </row>
    <row r="3" spans="1:99" x14ac:dyDescent="0.2">
      <c r="B3" s="118" t="s">
        <v>273</v>
      </c>
    </row>
    <row r="4" spans="1:99" x14ac:dyDescent="0.2">
      <c r="A4" s="117"/>
      <c r="B4" s="117"/>
      <c r="C4" s="116" t="s">
        <v>274</v>
      </c>
      <c r="D4" s="116" t="s">
        <v>92</v>
      </c>
      <c r="E4" s="117"/>
      <c r="F4" s="117"/>
      <c r="G4" s="117"/>
      <c r="H4" s="117"/>
      <c r="I4" s="117"/>
      <c r="J4" s="117"/>
      <c r="K4" s="117"/>
      <c r="L4" s="116" t="s">
        <v>93</v>
      </c>
      <c r="M4" s="117"/>
      <c r="N4" s="117"/>
      <c r="O4" s="117"/>
      <c r="P4" s="117"/>
      <c r="Q4" s="117"/>
      <c r="R4" s="117"/>
      <c r="S4" s="117"/>
      <c r="T4" s="116" t="s">
        <v>94</v>
      </c>
      <c r="U4" s="117"/>
      <c r="V4" s="117"/>
      <c r="W4" s="117"/>
      <c r="X4" s="117"/>
      <c r="Y4" s="117"/>
      <c r="Z4" s="117"/>
      <c r="AA4" s="117"/>
      <c r="AB4" s="116" t="s">
        <v>95</v>
      </c>
      <c r="AC4" s="117"/>
      <c r="AD4" s="117"/>
      <c r="AE4" s="117"/>
      <c r="AF4" s="117"/>
      <c r="AG4" s="117"/>
      <c r="AH4" s="117"/>
      <c r="AI4" s="117"/>
      <c r="AJ4" s="116" t="s">
        <v>96</v>
      </c>
      <c r="AK4" s="117"/>
      <c r="AL4" s="117"/>
      <c r="AM4" s="117"/>
      <c r="AN4" s="117"/>
      <c r="AO4" s="117"/>
      <c r="AP4" s="117"/>
      <c r="AQ4" s="117"/>
      <c r="AR4" s="116" t="s">
        <v>97</v>
      </c>
      <c r="AS4" s="117"/>
      <c r="AT4" s="117"/>
      <c r="AU4" s="117"/>
      <c r="AV4" s="117"/>
      <c r="AW4" s="117"/>
      <c r="AX4" s="117"/>
      <c r="AY4" s="117"/>
      <c r="AZ4" s="116" t="s">
        <v>98</v>
      </c>
      <c r="BA4" s="117"/>
      <c r="BB4" s="117"/>
      <c r="BC4" s="117"/>
      <c r="BD4" s="117"/>
      <c r="BE4" s="117"/>
      <c r="BF4" s="117"/>
      <c r="BG4" s="117"/>
      <c r="BH4" s="116" t="s">
        <v>99</v>
      </c>
      <c r="BI4" s="117"/>
      <c r="BJ4" s="117"/>
      <c r="BK4" s="117"/>
      <c r="BL4" s="117"/>
      <c r="BM4" s="117"/>
      <c r="BN4" s="117"/>
      <c r="BO4" s="117"/>
      <c r="BP4" s="116" t="s">
        <v>100</v>
      </c>
      <c r="BQ4" s="117"/>
      <c r="BR4" s="117"/>
      <c r="BS4" s="117"/>
      <c r="BT4" s="117"/>
      <c r="BU4" s="117"/>
      <c r="BV4" s="117"/>
      <c r="BW4" s="117"/>
      <c r="BX4" s="116" t="s">
        <v>101</v>
      </c>
      <c r="BY4" s="117"/>
      <c r="BZ4" s="117"/>
      <c r="CA4" s="117"/>
      <c r="CB4" s="117"/>
      <c r="CC4" s="117"/>
      <c r="CD4" s="117"/>
      <c r="CE4" s="117"/>
      <c r="CF4" s="116" t="s">
        <v>102</v>
      </c>
      <c r="CG4" s="117"/>
      <c r="CH4" s="117"/>
      <c r="CI4" s="117"/>
      <c r="CJ4" s="117"/>
      <c r="CK4" s="117"/>
      <c r="CL4" s="117"/>
      <c r="CM4" s="117"/>
      <c r="CN4" s="116" t="s">
        <v>103</v>
      </c>
      <c r="CO4" s="117"/>
      <c r="CP4" s="117"/>
      <c r="CQ4" s="117"/>
      <c r="CR4" s="117"/>
      <c r="CS4" s="117"/>
      <c r="CT4" s="117"/>
      <c r="CU4" s="117"/>
    </row>
    <row r="5" spans="1:99" x14ac:dyDescent="0.2">
      <c r="B5" s="116" t="s">
        <v>167</v>
      </c>
      <c r="C5" s="116" t="s">
        <v>275</v>
      </c>
      <c r="D5" s="116">
        <v>1</v>
      </c>
      <c r="E5" s="116"/>
      <c r="F5" s="116">
        <v>2</v>
      </c>
      <c r="G5" s="116"/>
      <c r="H5" s="116">
        <v>3</v>
      </c>
      <c r="I5" s="116"/>
      <c r="J5" s="116">
        <v>4</v>
      </c>
      <c r="K5" s="116"/>
      <c r="L5" s="116">
        <v>1</v>
      </c>
      <c r="M5" s="116"/>
      <c r="N5" s="116">
        <v>2</v>
      </c>
      <c r="O5" s="116"/>
      <c r="P5" s="116">
        <v>3</v>
      </c>
      <c r="Q5" s="116"/>
      <c r="R5" s="116">
        <v>4</v>
      </c>
      <c r="S5" s="116"/>
      <c r="T5" s="116">
        <v>1</v>
      </c>
      <c r="U5" s="116"/>
      <c r="V5" s="116">
        <v>2</v>
      </c>
      <c r="W5" s="116"/>
      <c r="X5" s="116">
        <v>3</v>
      </c>
      <c r="Y5" s="116"/>
      <c r="Z5" s="116">
        <v>4</v>
      </c>
      <c r="AA5" s="116"/>
      <c r="AB5" s="116">
        <v>1</v>
      </c>
      <c r="AC5" s="116"/>
      <c r="AD5" s="116">
        <v>2</v>
      </c>
      <c r="AE5" s="116"/>
      <c r="AF5" s="116">
        <v>3</v>
      </c>
      <c r="AG5" s="116"/>
      <c r="AH5" s="116">
        <v>4</v>
      </c>
      <c r="AI5" s="116"/>
      <c r="AJ5" s="116">
        <v>1</v>
      </c>
      <c r="AK5" s="116"/>
      <c r="AL5" s="116">
        <v>2</v>
      </c>
      <c r="AM5" s="116"/>
      <c r="AN5" s="116">
        <v>3</v>
      </c>
      <c r="AO5" s="116"/>
      <c r="AP5" s="116">
        <v>4</v>
      </c>
      <c r="AQ5" s="116"/>
      <c r="AR5" s="116">
        <v>1</v>
      </c>
      <c r="AS5" s="116"/>
      <c r="AT5" s="116">
        <v>2</v>
      </c>
      <c r="AU5" s="116"/>
      <c r="AV5" s="116">
        <v>3</v>
      </c>
      <c r="AW5" s="116"/>
      <c r="AX5" s="116">
        <v>4</v>
      </c>
      <c r="AY5" s="116"/>
      <c r="AZ5" s="116">
        <v>1</v>
      </c>
      <c r="BA5" s="116"/>
      <c r="BB5" s="116">
        <v>2</v>
      </c>
      <c r="BC5" s="116"/>
      <c r="BD5" s="116">
        <v>3</v>
      </c>
      <c r="BE5" s="116"/>
      <c r="BF5" s="116">
        <v>4</v>
      </c>
      <c r="BG5" s="116"/>
      <c r="BH5" s="116">
        <v>1</v>
      </c>
      <c r="BI5" s="116"/>
      <c r="BJ5" s="116">
        <v>2</v>
      </c>
      <c r="BK5" s="116"/>
      <c r="BL5" s="116">
        <v>3</v>
      </c>
      <c r="BM5" s="116"/>
      <c r="BN5" s="116">
        <v>4</v>
      </c>
      <c r="BO5" s="116"/>
      <c r="BP5" s="116">
        <v>1</v>
      </c>
      <c r="BQ5" s="116"/>
      <c r="BR5" s="116">
        <v>2</v>
      </c>
      <c r="BS5" s="116"/>
      <c r="BT5" s="116">
        <v>3</v>
      </c>
      <c r="BU5" s="116"/>
      <c r="BV5" s="116">
        <v>4</v>
      </c>
      <c r="BW5" s="116"/>
      <c r="BX5" s="116">
        <v>1</v>
      </c>
      <c r="BY5" s="116"/>
      <c r="BZ5" s="116">
        <v>2</v>
      </c>
      <c r="CA5" s="116"/>
      <c r="CB5" s="116">
        <v>3</v>
      </c>
      <c r="CC5" s="116"/>
      <c r="CD5" s="116">
        <v>4</v>
      </c>
      <c r="CE5" s="116"/>
      <c r="CF5" s="116">
        <v>1</v>
      </c>
      <c r="CG5" s="116"/>
      <c r="CH5" s="116">
        <v>2</v>
      </c>
      <c r="CI5" s="116"/>
      <c r="CJ5" s="116">
        <v>3</v>
      </c>
      <c r="CK5" s="116"/>
      <c r="CL5" s="116">
        <v>4</v>
      </c>
      <c r="CM5" s="116"/>
      <c r="CN5" s="116">
        <v>1</v>
      </c>
      <c r="CO5" s="116"/>
      <c r="CP5" s="116">
        <v>2</v>
      </c>
      <c r="CQ5" s="116"/>
      <c r="CR5" s="116">
        <v>3</v>
      </c>
      <c r="CS5" s="116"/>
      <c r="CT5" s="116">
        <v>4</v>
      </c>
      <c r="CU5" s="116"/>
    </row>
    <row r="6" spans="1:99" x14ac:dyDescent="0.2">
      <c r="B6" s="116" t="s">
        <v>126</v>
      </c>
      <c r="C6" s="116" t="s">
        <v>172</v>
      </c>
      <c r="D6">
        <v>8</v>
      </c>
      <c r="E6">
        <v>4627.2</v>
      </c>
      <c r="F6">
        <v>8</v>
      </c>
      <c r="G6">
        <v>4627.2</v>
      </c>
      <c r="H6">
        <v>7</v>
      </c>
      <c r="I6">
        <v>4048.7999999999997</v>
      </c>
      <c r="J6">
        <v>8</v>
      </c>
      <c r="K6">
        <v>4627.2</v>
      </c>
      <c r="L6">
        <v>33</v>
      </c>
      <c r="M6">
        <v>19087.2</v>
      </c>
      <c r="N6">
        <v>36</v>
      </c>
      <c r="O6">
        <v>20822.399999999998</v>
      </c>
      <c r="P6">
        <v>26</v>
      </c>
      <c r="Q6">
        <v>15038.4</v>
      </c>
      <c r="R6">
        <v>26</v>
      </c>
      <c r="S6">
        <v>15038.4</v>
      </c>
      <c r="T6">
        <v>10</v>
      </c>
      <c r="U6">
        <v>5784</v>
      </c>
      <c r="V6">
        <v>12</v>
      </c>
      <c r="W6">
        <v>6940.7999999999993</v>
      </c>
      <c r="X6">
        <v>16</v>
      </c>
      <c r="Y6">
        <v>9254.4</v>
      </c>
      <c r="Z6">
        <v>11</v>
      </c>
      <c r="AA6">
        <v>6362.4</v>
      </c>
      <c r="AB6">
        <v>48</v>
      </c>
      <c r="AC6">
        <v>27763.199999999997</v>
      </c>
      <c r="AD6">
        <v>56</v>
      </c>
      <c r="AE6">
        <v>32390.399999999998</v>
      </c>
      <c r="AF6">
        <v>47</v>
      </c>
      <c r="AG6">
        <v>27184.799999999999</v>
      </c>
      <c r="AH6">
        <v>57</v>
      </c>
      <c r="AI6">
        <v>32968.799999999996</v>
      </c>
      <c r="AJ6">
        <v>83</v>
      </c>
      <c r="AK6">
        <v>48007.199999999997</v>
      </c>
      <c r="AL6">
        <v>65</v>
      </c>
      <c r="AM6">
        <v>37596</v>
      </c>
      <c r="AN6">
        <v>63</v>
      </c>
      <c r="AO6">
        <v>36439.199999999997</v>
      </c>
      <c r="AP6">
        <v>77.058518576130624</v>
      </c>
      <c r="AQ6">
        <v>44570.647144433948</v>
      </c>
      <c r="AR6">
        <v>13</v>
      </c>
      <c r="AS6">
        <v>7519.2</v>
      </c>
      <c r="AT6">
        <v>16</v>
      </c>
      <c r="AU6">
        <v>9254.4</v>
      </c>
      <c r="AV6">
        <v>20</v>
      </c>
      <c r="AW6">
        <v>11568</v>
      </c>
      <c r="AX6">
        <v>18</v>
      </c>
      <c r="AY6">
        <v>10411.199999999999</v>
      </c>
      <c r="AZ6">
        <v>16</v>
      </c>
      <c r="BA6">
        <v>9254.4</v>
      </c>
      <c r="BB6">
        <v>13</v>
      </c>
      <c r="BC6">
        <v>7519.2</v>
      </c>
      <c r="BD6">
        <v>21</v>
      </c>
      <c r="BE6">
        <v>12146.4</v>
      </c>
      <c r="BF6">
        <v>13</v>
      </c>
      <c r="BG6">
        <v>7519.2</v>
      </c>
      <c r="BH6">
        <v>9</v>
      </c>
      <c r="BI6">
        <v>5205.5999999999995</v>
      </c>
      <c r="BJ6">
        <v>9</v>
      </c>
      <c r="BK6">
        <v>5205.5999999999995</v>
      </c>
      <c r="BL6">
        <v>10</v>
      </c>
      <c r="BM6">
        <v>5784</v>
      </c>
      <c r="BN6">
        <v>11</v>
      </c>
      <c r="BO6">
        <v>6362.4</v>
      </c>
      <c r="BP6">
        <v>12</v>
      </c>
      <c r="BQ6">
        <v>6940.7999999999993</v>
      </c>
      <c r="BR6">
        <v>13</v>
      </c>
      <c r="BS6">
        <v>7519.2</v>
      </c>
      <c r="BT6">
        <v>14</v>
      </c>
      <c r="BU6">
        <v>8097.5999999999995</v>
      </c>
      <c r="BV6">
        <v>14</v>
      </c>
      <c r="BW6">
        <v>8097.5999999999995</v>
      </c>
      <c r="BX6">
        <v>12</v>
      </c>
      <c r="BY6">
        <v>6940.7999999999993</v>
      </c>
      <c r="BZ6">
        <v>6</v>
      </c>
      <c r="CA6">
        <v>3470.3999999999996</v>
      </c>
      <c r="CB6">
        <v>8</v>
      </c>
      <c r="CC6">
        <v>4627.2</v>
      </c>
      <c r="CD6">
        <v>12</v>
      </c>
      <c r="CE6">
        <v>6940.7999999999993</v>
      </c>
      <c r="CF6">
        <v>33</v>
      </c>
      <c r="CG6">
        <v>19087.2</v>
      </c>
      <c r="CH6">
        <v>37</v>
      </c>
      <c r="CI6">
        <v>21400.799999999999</v>
      </c>
      <c r="CJ6">
        <v>40</v>
      </c>
      <c r="CK6">
        <v>23136</v>
      </c>
      <c r="CL6">
        <v>28</v>
      </c>
      <c r="CM6">
        <v>16195.199999999999</v>
      </c>
      <c r="CN6">
        <v>8</v>
      </c>
      <c r="CO6">
        <v>4627.2</v>
      </c>
      <c r="CP6">
        <v>8</v>
      </c>
      <c r="CQ6">
        <v>4627.2</v>
      </c>
      <c r="CR6">
        <v>8</v>
      </c>
      <c r="CS6">
        <v>4627.2</v>
      </c>
      <c r="CT6">
        <v>10</v>
      </c>
      <c r="CU6">
        <v>5784</v>
      </c>
    </row>
    <row r="7" spans="1:99" x14ac:dyDescent="0.2">
      <c r="C7" s="116" t="s">
        <v>173</v>
      </c>
      <c r="D7">
        <v>9</v>
      </c>
      <c r="E7">
        <v>7095.5999999999995</v>
      </c>
      <c r="F7">
        <v>8</v>
      </c>
      <c r="G7">
        <v>6307.2</v>
      </c>
      <c r="H7">
        <v>7</v>
      </c>
      <c r="I7">
        <v>5518.8</v>
      </c>
      <c r="J7">
        <v>7</v>
      </c>
      <c r="K7">
        <v>5518.8</v>
      </c>
      <c r="L7">
        <v>30</v>
      </c>
      <c r="M7">
        <v>23652</v>
      </c>
      <c r="N7">
        <v>36</v>
      </c>
      <c r="O7">
        <v>28382.399999999998</v>
      </c>
      <c r="P7">
        <v>27</v>
      </c>
      <c r="Q7">
        <v>21286.799999999999</v>
      </c>
      <c r="R7">
        <v>23</v>
      </c>
      <c r="S7">
        <v>18133.2</v>
      </c>
      <c r="T7">
        <v>11</v>
      </c>
      <c r="U7">
        <v>8672.4</v>
      </c>
      <c r="V7">
        <v>12</v>
      </c>
      <c r="W7">
        <v>9460.7999999999993</v>
      </c>
      <c r="X7">
        <v>15</v>
      </c>
      <c r="Y7">
        <v>11826</v>
      </c>
      <c r="Z7">
        <v>11</v>
      </c>
      <c r="AA7">
        <v>8672.4</v>
      </c>
      <c r="AB7">
        <v>46</v>
      </c>
      <c r="AC7">
        <v>36266.400000000001</v>
      </c>
      <c r="AD7">
        <v>59</v>
      </c>
      <c r="AE7">
        <v>46515.6</v>
      </c>
      <c r="AF7">
        <v>46</v>
      </c>
      <c r="AG7">
        <v>36266.400000000001</v>
      </c>
      <c r="AH7">
        <v>51</v>
      </c>
      <c r="AI7">
        <v>40208.400000000001</v>
      </c>
      <c r="AJ7">
        <v>79</v>
      </c>
      <c r="AK7">
        <v>62283.6</v>
      </c>
      <c r="AL7">
        <v>63</v>
      </c>
      <c r="AM7">
        <v>49669.2</v>
      </c>
      <c r="AN7">
        <v>62</v>
      </c>
      <c r="AO7">
        <v>48880.799999999996</v>
      </c>
      <c r="AP7">
        <v>75.107670004583014</v>
      </c>
      <c r="AQ7">
        <v>59214.887031613245</v>
      </c>
      <c r="AR7">
        <v>11</v>
      </c>
      <c r="AS7">
        <v>8672.4</v>
      </c>
      <c r="AT7">
        <v>18</v>
      </c>
      <c r="AU7">
        <v>14191.199999999999</v>
      </c>
      <c r="AV7">
        <v>17</v>
      </c>
      <c r="AW7">
        <v>13402.8</v>
      </c>
      <c r="AX7">
        <v>18</v>
      </c>
      <c r="AY7">
        <v>14191.199999999999</v>
      </c>
      <c r="AZ7">
        <v>16</v>
      </c>
      <c r="BA7">
        <v>12614.4</v>
      </c>
      <c r="BB7">
        <v>14</v>
      </c>
      <c r="BC7">
        <v>11037.6</v>
      </c>
      <c r="BD7">
        <v>20</v>
      </c>
      <c r="BE7">
        <v>15768</v>
      </c>
      <c r="BF7">
        <v>12</v>
      </c>
      <c r="BG7">
        <v>9460.7999999999993</v>
      </c>
      <c r="BH7">
        <v>8</v>
      </c>
      <c r="BI7">
        <v>6307.2</v>
      </c>
      <c r="BJ7">
        <v>9</v>
      </c>
      <c r="BK7">
        <v>7095.5999999999995</v>
      </c>
      <c r="BL7">
        <v>9</v>
      </c>
      <c r="BM7">
        <v>7095.5999999999995</v>
      </c>
      <c r="BN7">
        <v>10</v>
      </c>
      <c r="BO7">
        <v>7884</v>
      </c>
      <c r="BP7">
        <v>13</v>
      </c>
      <c r="BQ7">
        <v>10249.199999999999</v>
      </c>
      <c r="BR7">
        <v>14</v>
      </c>
      <c r="BS7">
        <v>11037.6</v>
      </c>
      <c r="BT7">
        <v>13</v>
      </c>
      <c r="BU7">
        <v>10249.199999999999</v>
      </c>
      <c r="BV7">
        <v>13</v>
      </c>
      <c r="BW7">
        <v>10249.199999999999</v>
      </c>
      <c r="BX7">
        <v>11</v>
      </c>
      <c r="BY7">
        <v>8672.4</v>
      </c>
      <c r="BZ7">
        <v>7</v>
      </c>
      <c r="CA7">
        <v>5518.8</v>
      </c>
      <c r="CB7">
        <v>8</v>
      </c>
      <c r="CC7">
        <v>6307.2</v>
      </c>
      <c r="CD7">
        <v>12</v>
      </c>
      <c r="CE7">
        <v>9460.7999999999993</v>
      </c>
      <c r="CF7">
        <v>27</v>
      </c>
      <c r="CG7">
        <v>21286.799999999999</v>
      </c>
      <c r="CH7">
        <v>37</v>
      </c>
      <c r="CI7">
        <v>29170.799999999999</v>
      </c>
      <c r="CJ7">
        <v>35</v>
      </c>
      <c r="CK7">
        <v>27594</v>
      </c>
      <c r="CL7">
        <v>27</v>
      </c>
      <c r="CM7">
        <v>21286.799999999999</v>
      </c>
      <c r="CN7">
        <v>7</v>
      </c>
      <c r="CO7">
        <v>5518.8</v>
      </c>
      <c r="CP7">
        <v>9</v>
      </c>
      <c r="CQ7">
        <v>7095.5999999999995</v>
      </c>
      <c r="CR7">
        <v>8</v>
      </c>
      <c r="CS7">
        <v>6307.2</v>
      </c>
      <c r="CT7">
        <v>11</v>
      </c>
      <c r="CU7">
        <v>8672.4</v>
      </c>
    </row>
    <row r="8" spans="1:99" x14ac:dyDescent="0.2">
      <c r="C8" s="116" t="s">
        <v>174</v>
      </c>
      <c r="D8">
        <v>9</v>
      </c>
      <c r="E8">
        <v>2786.3999999999996</v>
      </c>
      <c r="F8">
        <v>7</v>
      </c>
      <c r="G8">
        <v>2167.1999999999998</v>
      </c>
      <c r="H8">
        <v>7</v>
      </c>
      <c r="I8">
        <v>2167.1999999999998</v>
      </c>
      <c r="J8">
        <v>7</v>
      </c>
      <c r="K8">
        <v>2167.1999999999998</v>
      </c>
      <c r="L8">
        <v>32</v>
      </c>
      <c r="M8">
        <v>9907.1999999999989</v>
      </c>
      <c r="N8">
        <v>38</v>
      </c>
      <c r="O8">
        <v>11764.8</v>
      </c>
      <c r="P8">
        <v>28</v>
      </c>
      <c r="Q8">
        <v>8668.7999999999993</v>
      </c>
      <c r="R8">
        <v>25</v>
      </c>
      <c r="S8">
        <v>7739.9999999999991</v>
      </c>
      <c r="T8">
        <v>11</v>
      </c>
      <c r="U8">
        <v>3405.5999999999995</v>
      </c>
      <c r="V8">
        <v>11</v>
      </c>
      <c r="W8">
        <v>3405.5999999999995</v>
      </c>
      <c r="X8">
        <v>17</v>
      </c>
      <c r="Y8">
        <v>5263.2</v>
      </c>
      <c r="Z8">
        <v>12</v>
      </c>
      <c r="AA8">
        <v>3715.2</v>
      </c>
      <c r="AB8">
        <v>54</v>
      </c>
      <c r="AC8">
        <v>16718.399999999998</v>
      </c>
      <c r="AD8">
        <v>57</v>
      </c>
      <c r="AE8">
        <v>17647.199999999997</v>
      </c>
      <c r="AF8">
        <v>49</v>
      </c>
      <c r="AG8">
        <v>15170.399999999998</v>
      </c>
      <c r="AH8">
        <v>61</v>
      </c>
      <c r="AI8">
        <v>18885.599999999999</v>
      </c>
      <c r="AJ8">
        <v>93</v>
      </c>
      <c r="AK8">
        <v>28792.799999999996</v>
      </c>
      <c r="AL8">
        <v>80</v>
      </c>
      <c r="AM8">
        <v>24767.999999999996</v>
      </c>
      <c r="AN8">
        <v>73</v>
      </c>
      <c r="AO8">
        <v>22600.799999999999</v>
      </c>
      <c r="AP8">
        <v>84.861912862321077</v>
      </c>
      <c r="AQ8">
        <v>26273.248222174603</v>
      </c>
      <c r="AR8">
        <v>13</v>
      </c>
      <c r="AS8">
        <v>4024.7999999999997</v>
      </c>
      <c r="AT8">
        <v>19</v>
      </c>
      <c r="AU8">
        <v>5882.4</v>
      </c>
      <c r="AV8">
        <v>18</v>
      </c>
      <c r="AW8">
        <v>5572.7999999999993</v>
      </c>
      <c r="AX8">
        <v>18</v>
      </c>
      <c r="AY8">
        <v>5572.7999999999993</v>
      </c>
      <c r="AZ8">
        <v>18</v>
      </c>
      <c r="BA8">
        <v>5572.7999999999993</v>
      </c>
      <c r="BB8">
        <v>15</v>
      </c>
      <c r="BC8">
        <v>4643.9999999999991</v>
      </c>
      <c r="BD8">
        <v>21</v>
      </c>
      <c r="BE8">
        <v>6501.5999999999995</v>
      </c>
      <c r="BF8">
        <v>12</v>
      </c>
      <c r="BG8">
        <v>3715.2</v>
      </c>
      <c r="BH8">
        <v>9</v>
      </c>
      <c r="BI8">
        <v>2786.3999999999996</v>
      </c>
      <c r="BJ8">
        <v>10</v>
      </c>
      <c r="BK8">
        <v>3095.9999999999995</v>
      </c>
      <c r="BL8">
        <v>9</v>
      </c>
      <c r="BM8">
        <v>2786.3999999999996</v>
      </c>
      <c r="BN8">
        <v>9</v>
      </c>
      <c r="BO8">
        <v>2786.3999999999996</v>
      </c>
      <c r="BP8">
        <v>12</v>
      </c>
      <c r="BQ8">
        <v>3715.2</v>
      </c>
      <c r="BR8">
        <v>13</v>
      </c>
      <c r="BS8">
        <v>4024.7999999999997</v>
      </c>
      <c r="BT8">
        <v>12</v>
      </c>
      <c r="BU8">
        <v>3715.2</v>
      </c>
      <c r="BV8">
        <v>15</v>
      </c>
      <c r="BW8">
        <v>4643.9999999999991</v>
      </c>
      <c r="BX8">
        <v>12</v>
      </c>
      <c r="BY8">
        <v>3715.2</v>
      </c>
      <c r="BZ8">
        <v>6</v>
      </c>
      <c r="CA8">
        <v>1857.6</v>
      </c>
      <c r="CB8">
        <v>8</v>
      </c>
      <c r="CC8">
        <v>2476.7999999999997</v>
      </c>
      <c r="CD8">
        <v>11</v>
      </c>
      <c r="CE8">
        <v>3405.5999999999995</v>
      </c>
      <c r="CF8">
        <v>32</v>
      </c>
      <c r="CG8">
        <v>9907.1999999999989</v>
      </c>
      <c r="CH8">
        <v>42</v>
      </c>
      <c r="CI8">
        <v>13003.199999999999</v>
      </c>
      <c r="CJ8">
        <v>38</v>
      </c>
      <c r="CK8">
        <v>11764.8</v>
      </c>
      <c r="CL8">
        <v>33</v>
      </c>
      <c r="CM8">
        <v>10216.799999999999</v>
      </c>
      <c r="CN8">
        <v>8</v>
      </c>
      <c r="CO8">
        <v>2476.7999999999997</v>
      </c>
      <c r="CP8">
        <v>8</v>
      </c>
      <c r="CQ8">
        <v>2476.7999999999997</v>
      </c>
      <c r="CR8">
        <v>8</v>
      </c>
      <c r="CS8">
        <v>2476.7999999999997</v>
      </c>
      <c r="CT8">
        <v>10</v>
      </c>
      <c r="CU8">
        <v>3095.9999999999995</v>
      </c>
    </row>
    <row r="9" spans="1:99" x14ac:dyDescent="0.2">
      <c r="C9" s="116" t="s">
        <v>175</v>
      </c>
      <c r="D9">
        <v>9</v>
      </c>
      <c r="E9">
        <v>6318</v>
      </c>
      <c r="F9">
        <v>7</v>
      </c>
      <c r="G9">
        <v>4914</v>
      </c>
      <c r="H9">
        <v>6</v>
      </c>
      <c r="I9">
        <v>4212</v>
      </c>
      <c r="J9">
        <v>7</v>
      </c>
      <c r="K9">
        <v>4914</v>
      </c>
      <c r="L9">
        <v>32</v>
      </c>
      <c r="M9">
        <v>22464</v>
      </c>
      <c r="N9">
        <v>34</v>
      </c>
      <c r="O9">
        <v>23868</v>
      </c>
      <c r="P9">
        <v>28</v>
      </c>
      <c r="Q9">
        <v>19656</v>
      </c>
      <c r="R9">
        <v>27</v>
      </c>
      <c r="S9">
        <v>18954</v>
      </c>
      <c r="T9">
        <v>12</v>
      </c>
      <c r="U9">
        <v>8424</v>
      </c>
      <c r="V9">
        <v>13</v>
      </c>
      <c r="W9">
        <v>9126</v>
      </c>
      <c r="X9">
        <v>16</v>
      </c>
      <c r="Y9">
        <v>11232</v>
      </c>
      <c r="Z9">
        <v>12</v>
      </c>
      <c r="AA9">
        <v>8424</v>
      </c>
      <c r="AB9">
        <v>46</v>
      </c>
      <c r="AC9">
        <v>32292</v>
      </c>
      <c r="AD9">
        <v>51</v>
      </c>
      <c r="AE9">
        <v>35802</v>
      </c>
      <c r="AF9">
        <v>47</v>
      </c>
      <c r="AG9">
        <v>32994</v>
      </c>
      <c r="AH9">
        <v>53</v>
      </c>
      <c r="AI9">
        <v>37206</v>
      </c>
      <c r="AJ9">
        <v>83</v>
      </c>
      <c r="AK9">
        <v>58266</v>
      </c>
      <c r="AL9">
        <v>69</v>
      </c>
      <c r="AM9">
        <v>48438</v>
      </c>
      <c r="AN9">
        <v>61</v>
      </c>
      <c r="AO9">
        <v>42822</v>
      </c>
      <c r="AP9">
        <v>66.328851432618777</v>
      </c>
      <c r="AQ9">
        <v>46562.853705698384</v>
      </c>
      <c r="AR9">
        <v>12</v>
      </c>
      <c r="AS9">
        <v>8424</v>
      </c>
      <c r="AT9">
        <v>19</v>
      </c>
      <c r="AU9">
        <v>13338</v>
      </c>
      <c r="AV9">
        <v>18</v>
      </c>
      <c r="AW9">
        <v>12636</v>
      </c>
      <c r="AX9">
        <v>16</v>
      </c>
      <c r="AY9">
        <v>11232</v>
      </c>
      <c r="AZ9">
        <v>17</v>
      </c>
      <c r="BA9">
        <v>11934</v>
      </c>
      <c r="BB9">
        <v>14</v>
      </c>
      <c r="BC9">
        <v>9828</v>
      </c>
      <c r="BD9">
        <v>22</v>
      </c>
      <c r="BE9">
        <v>15444</v>
      </c>
      <c r="BF9">
        <v>14</v>
      </c>
      <c r="BG9">
        <v>9828</v>
      </c>
      <c r="BH9">
        <v>10</v>
      </c>
      <c r="BI9">
        <v>7020</v>
      </c>
      <c r="BJ9">
        <v>10</v>
      </c>
      <c r="BK9">
        <v>7020</v>
      </c>
      <c r="BL9">
        <v>9</v>
      </c>
      <c r="BM9">
        <v>6318</v>
      </c>
      <c r="BN9">
        <v>10</v>
      </c>
      <c r="BO9">
        <v>7020</v>
      </c>
      <c r="BP9">
        <v>11</v>
      </c>
      <c r="BQ9">
        <v>7722</v>
      </c>
      <c r="BR9">
        <v>14</v>
      </c>
      <c r="BS9">
        <v>9828</v>
      </c>
      <c r="BT9">
        <v>11</v>
      </c>
      <c r="BU9">
        <v>7722</v>
      </c>
      <c r="BV9">
        <v>12</v>
      </c>
      <c r="BW9">
        <v>8424</v>
      </c>
      <c r="BX9">
        <v>12</v>
      </c>
      <c r="BY9">
        <v>8424</v>
      </c>
      <c r="BZ9">
        <v>7</v>
      </c>
      <c r="CA9">
        <v>4914</v>
      </c>
      <c r="CB9">
        <v>9</v>
      </c>
      <c r="CC9">
        <v>6318</v>
      </c>
      <c r="CD9">
        <v>11</v>
      </c>
      <c r="CE9">
        <v>7722</v>
      </c>
      <c r="CF9">
        <v>28</v>
      </c>
      <c r="CG9">
        <v>19656</v>
      </c>
      <c r="CH9">
        <v>36</v>
      </c>
      <c r="CI9">
        <v>25272</v>
      </c>
      <c r="CJ9">
        <v>34</v>
      </c>
      <c r="CK9">
        <v>23868</v>
      </c>
      <c r="CL9">
        <v>31</v>
      </c>
      <c r="CM9">
        <v>21762</v>
      </c>
      <c r="CN9">
        <v>7</v>
      </c>
      <c r="CO9">
        <v>4914</v>
      </c>
      <c r="CP9">
        <v>8</v>
      </c>
      <c r="CQ9">
        <v>5616</v>
      </c>
      <c r="CR9">
        <v>8</v>
      </c>
      <c r="CS9">
        <v>5616</v>
      </c>
      <c r="CT9">
        <v>11</v>
      </c>
      <c r="CU9">
        <v>7722</v>
      </c>
    </row>
    <row r="10" spans="1:99" x14ac:dyDescent="0.2">
      <c r="C10" s="116" t="s">
        <v>176</v>
      </c>
      <c r="D10">
        <v>9</v>
      </c>
      <c r="E10">
        <v>4903.2</v>
      </c>
      <c r="F10">
        <v>7</v>
      </c>
      <c r="G10">
        <v>3813.5999999999995</v>
      </c>
      <c r="H10">
        <v>6</v>
      </c>
      <c r="I10">
        <v>3268.7999999999997</v>
      </c>
      <c r="J10">
        <v>8</v>
      </c>
      <c r="K10">
        <v>4358.3999999999996</v>
      </c>
      <c r="L10">
        <v>32</v>
      </c>
      <c r="M10">
        <v>17433.599999999999</v>
      </c>
      <c r="N10">
        <v>39</v>
      </c>
      <c r="O10">
        <v>21247.199999999997</v>
      </c>
      <c r="P10">
        <v>24</v>
      </c>
      <c r="Q10">
        <v>13075.199999999999</v>
      </c>
      <c r="R10">
        <v>27</v>
      </c>
      <c r="S10">
        <v>14709.599999999999</v>
      </c>
      <c r="T10">
        <v>11</v>
      </c>
      <c r="U10">
        <v>5992.7999999999993</v>
      </c>
      <c r="V10">
        <v>12</v>
      </c>
      <c r="W10">
        <v>6537.5999999999995</v>
      </c>
      <c r="X10">
        <v>15</v>
      </c>
      <c r="Y10">
        <v>8171.9999999999991</v>
      </c>
      <c r="Z10">
        <v>11</v>
      </c>
      <c r="AA10">
        <v>5992.7999999999993</v>
      </c>
      <c r="AB10">
        <v>56</v>
      </c>
      <c r="AC10">
        <v>30508.799999999996</v>
      </c>
      <c r="AD10">
        <v>60</v>
      </c>
      <c r="AE10">
        <v>32687.999999999996</v>
      </c>
      <c r="AF10">
        <v>45</v>
      </c>
      <c r="AG10">
        <v>24515.999999999996</v>
      </c>
      <c r="AH10">
        <v>54</v>
      </c>
      <c r="AI10">
        <v>29419.199999999997</v>
      </c>
      <c r="AJ10">
        <v>89</v>
      </c>
      <c r="AK10">
        <v>48487.199999999997</v>
      </c>
      <c r="AL10">
        <v>75</v>
      </c>
      <c r="AM10">
        <v>40860</v>
      </c>
      <c r="AN10">
        <v>72</v>
      </c>
      <c r="AO10">
        <v>39225.599999999999</v>
      </c>
      <c r="AP10">
        <v>82.911064290773467</v>
      </c>
      <c r="AQ10">
        <v>45169.947825613381</v>
      </c>
      <c r="AR10">
        <v>13</v>
      </c>
      <c r="AS10">
        <v>7082.4</v>
      </c>
      <c r="AT10">
        <v>17</v>
      </c>
      <c r="AU10">
        <v>9261.5999999999985</v>
      </c>
      <c r="AV10">
        <v>20</v>
      </c>
      <c r="AW10">
        <v>10896</v>
      </c>
      <c r="AX10">
        <v>17</v>
      </c>
      <c r="AY10">
        <v>9261.5999999999985</v>
      </c>
      <c r="AZ10">
        <v>16</v>
      </c>
      <c r="BA10">
        <v>8716.7999999999993</v>
      </c>
      <c r="BB10">
        <v>15</v>
      </c>
      <c r="BC10">
        <v>8171.9999999999991</v>
      </c>
      <c r="BD10">
        <v>19</v>
      </c>
      <c r="BE10">
        <v>10351.199999999999</v>
      </c>
      <c r="BF10">
        <v>13</v>
      </c>
      <c r="BG10">
        <v>7082.4</v>
      </c>
      <c r="BH10">
        <v>9</v>
      </c>
      <c r="BI10">
        <v>4903.2</v>
      </c>
      <c r="BJ10">
        <v>10</v>
      </c>
      <c r="BK10">
        <v>5448</v>
      </c>
      <c r="BL10">
        <v>10</v>
      </c>
      <c r="BM10">
        <v>5448</v>
      </c>
      <c r="BN10">
        <v>11</v>
      </c>
      <c r="BO10">
        <v>5992.7999999999993</v>
      </c>
      <c r="BP10">
        <v>12</v>
      </c>
      <c r="BQ10">
        <v>6537.5999999999995</v>
      </c>
      <c r="BR10">
        <v>13</v>
      </c>
      <c r="BS10">
        <v>7082.4</v>
      </c>
      <c r="BT10">
        <v>13</v>
      </c>
      <c r="BU10">
        <v>7082.4</v>
      </c>
      <c r="BV10">
        <v>14</v>
      </c>
      <c r="BW10">
        <v>7627.1999999999989</v>
      </c>
      <c r="BX10">
        <v>11</v>
      </c>
      <c r="BY10">
        <v>5992.7999999999993</v>
      </c>
      <c r="BZ10">
        <v>7</v>
      </c>
      <c r="CA10">
        <v>3813.5999999999995</v>
      </c>
      <c r="CB10">
        <v>8</v>
      </c>
      <c r="CC10">
        <v>4358.3999999999996</v>
      </c>
      <c r="CD10">
        <v>12</v>
      </c>
      <c r="CE10">
        <v>6537.5999999999995</v>
      </c>
      <c r="CF10">
        <v>31</v>
      </c>
      <c r="CG10">
        <v>16888.8</v>
      </c>
      <c r="CH10">
        <v>42</v>
      </c>
      <c r="CI10">
        <v>22881.599999999999</v>
      </c>
      <c r="CJ10">
        <v>35</v>
      </c>
      <c r="CK10">
        <v>19068</v>
      </c>
      <c r="CL10">
        <v>31</v>
      </c>
      <c r="CM10">
        <v>16888.8</v>
      </c>
      <c r="CN10">
        <v>7</v>
      </c>
      <c r="CO10">
        <v>3813.5999999999995</v>
      </c>
      <c r="CP10">
        <v>8</v>
      </c>
      <c r="CQ10">
        <v>4358.3999999999996</v>
      </c>
      <c r="CR10">
        <v>9</v>
      </c>
      <c r="CS10">
        <v>4903.2</v>
      </c>
      <c r="CT10">
        <v>11</v>
      </c>
      <c r="CU10">
        <v>5992.7999999999993</v>
      </c>
    </row>
    <row r="11" spans="1:99" x14ac:dyDescent="0.2">
      <c r="C11" s="116" t="s">
        <v>177</v>
      </c>
      <c r="D11">
        <v>8</v>
      </c>
      <c r="E11">
        <v>4262.3999999999996</v>
      </c>
      <c r="F11">
        <v>8</v>
      </c>
      <c r="G11">
        <v>4262.3999999999996</v>
      </c>
      <c r="H11">
        <v>7</v>
      </c>
      <c r="I11">
        <v>3729.5999999999995</v>
      </c>
      <c r="J11">
        <v>7</v>
      </c>
      <c r="K11">
        <v>3729.5999999999995</v>
      </c>
      <c r="L11">
        <v>31</v>
      </c>
      <c r="M11">
        <v>16516.8</v>
      </c>
      <c r="N11">
        <v>34</v>
      </c>
      <c r="O11">
        <v>18115.199999999997</v>
      </c>
      <c r="P11">
        <v>25</v>
      </c>
      <c r="Q11">
        <v>13319.999999999998</v>
      </c>
      <c r="R11">
        <v>25</v>
      </c>
      <c r="S11">
        <v>13319.999999999998</v>
      </c>
      <c r="T11">
        <v>11</v>
      </c>
      <c r="U11">
        <v>5860.7999999999993</v>
      </c>
      <c r="V11">
        <v>11</v>
      </c>
      <c r="W11">
        <v>5860.7999999999993</v>
      </c>
      <c r="X11">
        <v>17</v>
      </c>
      <c r="Y11">
        <v>9057.5999999999985</v>
      </c>
      <c r="Z11">
        <v>13</v>
      </c>
      <c r="AA11">
        <v>6926.4</v>
      </c>
      <c r="AB11">
        <v>48</v>
      </c>
      <c r="AC11">
        <v>25574.399999999998</v>
      </c>
      <c r="AD11">
        <v>59</v>
      </c>
      <c r="AE11">
        <v>31435.199999999997</v>
      </c>
      <c r="AF11">
        <v>46</v>
      </c>
      <c r="AG11">
        <v>24508.799999999999</v>
      </c>
      <c r="AH11">
        <v>61</v>
      </c>
      <c r="AI11">
        <v>32500.799999999996</v>
      </c>
      <c r="AJ11">
        <v>96</v>
      </c>
      <c r="AK11">
        <v>51148.799999999996</v>
      </c>
      <c r="AL11">
        <v>72</v>
      </c>
      <c r="AM11">
        <v>38361.599999999999</v>
      </c>
      <c r="AN11">
        <v>69</v>
      </c>
      <c r="AO11">
        <v>36763.199999999997</v>
      </c>
      <c r="AP11">
        <v>83.886488576547265</v>
      </c>
      <c r="AQ11">
        <v>44694.721113584375</v>
      </c>
      <c r="AR11">
        <v>12</v>
      </c>
      <c r="AS11">
        <v>6393.5999999999995</v>
      </c>
      <c r="AT11">
        <v>19</v>
      </c>
      <c r="AU11">
        <v>10123.199999999999</v>
      </c>
      <c r="AV11">
        <v>17</v>
      </c>
      <c r="AW11">
        <v>9057.5999999999985</v>
      </c>
      <c r="AX11">
        <v>19</v>
      </c>
      <c r="AY11">
        <v>10123.199999999999</v>
      </c>
      <c r="AZ11">
        <v>18</v>
      </c>
      <c r="BA11">
        <v>9590.4</v>
      </c>
      <c r="BB11">
        <v>14</v>
      </c>
      <c r="BC11">
        <v>7459.1999999999989</v>
      </c>
      <c r="BD11">
        <v>18</v>
      </c>
      <c r="BE11">
        <v>9590.4</v>
      </c>
      <c r="BF11">
        <v>13</v>
      </c>
      <c r="BG11">
        <v>6926.4</v>
      </c>
      <c r="BH11">
        <v>9</v>
      </c>
      <c r="BI11">
        <v>4795.2</v>
      </c>
      <c r="BJ11">
        <v>9</v>
      </c>
      <c r="BK11">
        <v>4795.2</v>
      </c>
      <c r="BL11">
        <v>9</v>
      </c>
      <c r="BM11">
        <v>4795.2</v>
      </c>
      <c r="BN11">
        <v>10</v>
      </c>
      <c r="BO11">
        <v>5328</v>
      </c>
      <c r="BP11">
        <v>11</v>
      </c>
      <c r="BQ11">
        <v>5860.7999999999993</v>
      </c>
      <c r="BR11">
        <v>14</v>
      </c>
      <c r="BS11">
        <v>7459.1999999999989</v>
      </c>
      <c r="BT11">
        <v>13</v>
      </c>
      <c r="BU11">
        <v>6926.4</v>
      </c>
      <c r="BV11">
        <v>13</v>
      </c>
      <c r="BW11">
        <v>6926.4</v>
      </c>
      <c r="BX11">
        <v>10</v>
      </c>
      <c r="BY11">
        <v>5328</v>
      </c>
      <c r="BZ11">
        <v>7</v>
      </c>
      <c r="CA11">
        <v>3729.5999999999995</v>
      </c>
      <c r="CB11">
        <v>9</v>
      </c>
      <c r="CC11">
        <v>4795.2</v>
      </c>
      <c r="CD11">
        <v>11</v>
      </c>
      <c r="CE11">
        <v>5860.7999999999993</v>
      </c>
      <c r="CF11">
        <v>28</v>
      </c>
      <c r="CG11">
        <v>14918.399999999998</v>
      </c>
      <c r="CH11">
        <v>37</v>
      </c>
      <c r="CI11">
        <v>19713.599999999999</v>
      </c>
      <c r="CJ11">
        <v>34</v>
      </c>
      <c r="CK11">
        <v>18115.199999999997</v>
      </c>
      <c r="CL11">
        <v>29</v>
      </c>
      <c r="CM11">
        <v>15451.199999999999</v>
      </c>
      <c r="CN11">
        <v>8</v>
      </c>
      <c r="CO11">
        <v>4262.3999999999996</v>
      </c>
      <c r="CP11">
        <v>9</v>
      </c>
      <c r="CQ11">
        <v>4795.2</v>
      </c>
      <c r="CR11">
        <v>9</v>
      </c>
      <c r="CS11">
        <v>4795.2</v>
      </c>
      <c r="CT11">
        <v>10</v>
      </c>
      <c r="CU11">
        <v>5328</v>
      </c>
    </row>
    <row r="12" spans="1:99" x14ac:dyDescent="0.2">
      <c r="C12" s="116" t="s">
        <v>178</v>
      </c>
      <c r="D12">
        <v>8</v>
      </c>
      <c r="E12">
        <v>4502.3999999999996</v>
      </c>
      <c r="F12">
        <v>8</v>
      </c>
      <c r="G12">
        <v>4502.3999999999996</v>
      </c>
      <c r="H12">
        <v>6</v>
      </c>
      <c r="I12">
        <v>3376.7999999999997</v>
      </c>
      <c r="J12">
        <v>7</v>
      </c>
      <c r="K12">
        <v>3939.5999999999995</v>
      </c>
      <c r="L12">
        <v>31</v>
      </c>
      <c r="M12">
        <v>17446.8</v>
      </c>
      <c r="N12">
        <v>39</v>
      </c>
      <c r="O12">
        <v>21949.199999999997</v>
      </c>
      <c r="P12">
        <v>26</v>
      </c>
      <c r="Q12">
        <v>14632.8</v>
      </c>
      <c r="R12">
        <v>28</v>
      </c>
      <c r="S12">
        <v>15758.399999999998</v>
      </c>
      <c r="T12">
        <v>12</v>
      </c>
      <c r="U12">
        <v>6753.5999999999995</v>
      </c>
      <c r="V12">
        <v>12</v>
      </c>
      <c r="W12">
        <v>6753.5999999999995</v>
      </c>
      <c r="X12">
        <v>15</v>
      </c>
      <c r="Y12">
        <v>8442</v>
      </c>
      <c r="Z12">
        <v>11</v>
      </c>
      <c r="AA12">
        <v>6190.7999999999993</v>
      </c>
      <c r="AB12">
        <v>47</v>
      </c>
      <c r="AC12">
        <v>26451.599999999999</v>
      </c>
      <c r="AD12">
        <v>53</v>
      </c>
      <c r="AE12">
        <v>29828.399999999998</v>
      </c>
      <c r="AF12">
        <v>47</v>
      </c>
      <c r="AG12">
        <v>26451.599999999999</v>
      </c>
      <c r="AH12">
        <v>58</v>
      </c>
      <c r="AI12">
        <v>32642.399999999998</v>
      </c>
      <c r="AJ12">
        <v>88</v>
      </c>
      <c r="AK12">
        <v>49526.399999999994</v>
      </c>
      <c r="AL12">
        <v>76</v>
      </c>
      <c r="AM12">
        <v>42772.799999999996</v>
      </c>
      <c r="AN12">
        <v>74</v>
      </c>
      <c r="AO12">
        <v>41647.199999999997</v>
      </c>
      <c r="AP12">
        <v>81.935640004999655</v>
      </c>
      <c r="AQ12">
        <v>46113.378194813806</v>
      </c>
      <c r="AR12">
        <v>12</v>
      </c>
      <c r="AS12">
        <v>6753.5999999999995</v>
      </c>
      <c r="AT12">
        <v>18</v>
      </c>
      <c r="AU12">
        <v>10130.4</v>
      </c>
      <c r="AV12">
        <v>19</v>
      </c>
      <c r="AW12">
        <v>10693.199999999999</v>
      </c>
      <c r="AX12">
        <v>16</v>
      </c>
      <c r="AY12">
        <v>9004.7999999999993</v>
      </c>
      <c r="AZ12">
        <v>17</v>
      </c>
      <c r="BA12">
        <v>9567.5999999999985</v>
      </c>
      <c r="BB12">
        <v>13</v>
      </c>
      <c r="BC12">
        <v>7316.4</v>
      </c>
      <c r="BD12">
        <v>20</v>
      </c>
      <c r="BE12">
        <v>11256</v>
      </c>
      <c r="BF12">
        <v>14</v>
      </c>
      <c r="BG12">
        <v>7879.1999999999989</v>
      </c>
      <c r="BH12">
        <v>10</v>
      </c>
      <c r="BI12">
        <v>5628</v>
      </c>
      <c r="BJ12">
        <v>10</v>
      </c>
      <c r="BK12">
        <v>5628</v>
      </c>
      <c r="BL12">
        <v>10</v>
      </c>
      <c r="BM12">
        <v>5628</v>
      </c>
      <c r="BN12">
        <v>11</v>
      </c>
      <c r="BO12">
        <v>6190.7999999999993</v>
      </c>
      <c r="BP12">
        <v>14</v>
      </c>
      <c r="BQ12">
        <v>7879.1999999999989</v>
      </c>
      <c r="BR12">
        <v>14</v>
      </c>
      <c r="BS12">
        <v>7879.1999999999989</v>
      </c>
      <c r="BT12">
        <v>12</v>
      </c>
      <c r="BU12">
        <v>6753.5999999999995</v>
      </c>
      <c r="BV12">
        <v>14</v>
      </c>
      <c r="BW12">
        <v>7879.1999999999989</v>
      </c>
      <c r="BX12">
        <v>12</v>
      </c>
      <c r="BY12">
        <v>6753.5999999999995</v>
      </c>
      <c r="BZ12">
        <v>6</v>
      </c>
      <c r="CA12">
        <v>3376.7999999999997</v>
      </c>
      <c r="CB12">
        <v>8</v>
      </c>
      <c r="CC12">
        <v>4502.3999999999996</v>
      </c>
      <c r="CD12">
        <v>11</v>
      </c>
      <c r="CE12">
        <v>6190.7999999999993</v>
      </c>
      <c r="CF12">
        <v>29</v>
      </c>
      <c r="CG12">
        <v>16321.199999999999</v>
      </c>
      <c r="CH12">
        <v>37</v>
      </c>
      <c r="CI12">
        <v>20823.599999999999</v>
      </c>
      <c r="CJ12">
        <v>35</v>
      </c>
      <c r="CK12">
        <v>19698</v>
      </c>
      <c r="CL12">
        <v>27</v>
      </c>
      <c r="CM12">
        <v>15195.599999999999</v>
      </c>
      <c r="CN12">
        <v>7</v>
      </c>
      <c r="CO12">
        <v>3939.5999999999995</v>
      </c>
      <c r="CP12">
        <v>7</v>
      </c>
      <c r="CQ12">
        <v>3939.5999999999995</v>
      </c>
      <c r="CR12">
        <v>8</v>
      </c>
      <c r="CS12">
        <v>4502.3999999999996</v>
      </c>
      <c r="CT12">
        <v>10</v>
      </c>
      <c r="CU12">
        <v>5628</v>
      </c>
    </row>
    <row r="13" spans="1:99" x14ac:dyDescent="0.2">
      <c r="C13" s="116" t="s">
        <v>179</v>
      </c>
      <c r="D13">
        <v>9</v>
      </c>
      <c r="E13">
        <v>766.80000000000007</v>
      </c>
      <c r="F13">
        <v>8</v>
      </c>
      <c r="G13">
        <v>681.6</v>
      </c>
      <c r="H13">
        <v>7</v>
      </c>
      <c r="I13">
        <v>596.4</v>
      </c>
      <c r="J13">
        <v>7</v>
      </c>
      <c r="K13">
        <v>596.4</v>
      </c>
      <c r="L13">
        <v>30</v>
      </c>
      <c r="M13">
        <v>2556</v>
      </c>
      <c r="N13">
        <v>42</v>
      </c>
      <c r="O13">
        <v>3578.4</v>
      </c>
      <c r="P13">
        <v>29</v>
      </c>
      <c r="Q13">
        <v>2470.8000000000002</v>
      </c>
      <c r="R13">
        <v>29</v>
      </c>
      <c r="S13">
        <v>2470.8000000000002</v>
      </c>
      <c r="T13">
        <v>11</v>
      </c>
      <c r="U13">
        <v>937.2</v>
      </c>
      <c r="V13">
        <v>12</v>
      </c>
      <c r="W13">
        <v>1022.4000000000001</v>
      </c>
      <c r="X13">
        <v>17</v>
      </c>
      <c r="Y13">
        <v>1448.4</v>
      </c>
      <c r="Z13">
        <v>13</v>
      </c>
      <c r="AA13">
        <v>1107.6000000000001</v>
      </c>
      <c r="AB13">
        <v>56</v>
      </c>
      <c r="AC13">
        <v>4771.2</v>
      </c>
      <c r="AD13">
        <v>60</v>
      </c>
      <c r="AE13">
        <v>5112</v>
      </c>
      <c r="AF13">
        <v>47</v>
      </c>
      <c r="AG13">
        <v>4004.4</v>
      </c>
      <c r="AH13">
        <v>64</v>
      </c>
      <c r="AI13">
        <v>5452.8</v>
      </c>
      <c r="AJ13">
        <v>93</v>
      </c>
      <c r="AK13">
        <v>7923.6</v>
      </c>
      <c r="AL13">
        <v>77</v>
      </c>
      <c r="AM13">
        <v>6560.4000000000005</v>
      </c>
      <c r="AN13">
        <v>70</v>
      </c>
      <c r="AO13">
        <v>5964</v>
      </c>
      <c r="AP13">
        <v>80.960215719225857</v>
      </c>
      <c r="AQ13">
        <v>6897.810379278043</v>
      </c>
      <c r="AR13">
        <v>14</v>
      </c>
      <c r="AS13">
        <v>1192.8</v>
      </c>
      <c r="AT13">
        <v>17</v>
      </c>
      <c r="AU13">
        <v>1448.4</v>
      </c>
      <c r="AV13">
        <v>21</v>
      </c>
      <c r="AW13">
        <v>1789.2</v>
      </c>
      <c r="AX13">
        <v>18</v>
      </c>
      <c r="AY13">
        <v>1533.6000000000001</v>
      </c>
      <c r="AZ13">
        <v>19</v>
      </c>
      <c r="BA13">
        <v>1618.8</v>
      </c>
      <c r="BB13">
        <v>15</v>
      </c>
      <c r="BC13">
        <v>1278</v>
      </c>
      <c r="BD13">
        <v>19</v>
      </c>
      <c r="BE13">
        <v>1618.8</v>
      </c>
      <c r="BF13">
        <v>13</v>
      </c>
      <c r="BG13">
        <v>1107.6000000000001</v>
      </c>
      <c r="BH13">
        <v>9</v>
      </c>
      <c r="BI13">
        <v>766.80000000000007</v>
      </c>
      <c r="BJ13">
        <v>9</v>
      </c>
      <c r="BK13">
        <v>766.80000000000007</v>
      </c>
      <c r="BL13">
        <v>9</v>
      </c>
      <c r="BM13">
        <v>766.80000000000007</v>
      </c>
      <c r="BN13">
        <v>10</v>
      </c>
      <c r="BO13">
        <v>852</v>
      </c>
      <c r="BP13">
        <v>14</v>
      </c>
      <c r="BQ13">
        <v>1192.8</v>
      </c>
      <c r="BR13">
        <v>14</v>
      </c>
      <c r="BS13">
        <v>1192.8</v>
      </c>
      <c r="BT13">
        <v>13</v>
      </c>
      <c r="BU13">
        <v>1107.6000000000001</v>
      </c>
      <c r="BV13">
        <v>13</v>
      </c>
      <c r="BW13">
        <v>1107.6000000000001</v>
      </c>
      <c r="BX13">
        <v>10</v>
      </c>
      <c r="BY13">
        <v>852</v>
      </c>
      <c r="BZ13">
        <v>6</v>
      </c>
      <c r="CA13">
        <v>511.20000000000005</v>
      </c>
      <c r="CB13">
        <v>8</v>
      </c>
      <c r="CC13">
        <v>681.6</v>
      </c>
      <c r="CD13">
        <v>13</v>
      </c>
      <c r="CE13">
        <v>1107.6000000000001</v>
      </c>
      <c r="CF13">
        <v>34</v>
      </c>
      <c r="CG13">
        <v>2896.8</v>
      </c>
      <c r="CH13">
        <v>38</v>
      </c>
      <c r="CI13">
        <v>3237.6</v>
      </c>
      <c r="CJ13">
        <v>39</v>
      </c>
      <c r="CK13">
        <v>3322.8</v>
      </c>
      <c r="CL13">
        <v>30</v>
      </c>
      <c r="CM13">
        <v>2556</v>
      </c>
      <c r="CN13">
        <v>7</v>
      </c>
      <c r="CO13">
        <v>596.4</v>
      </c>
      <c r="CP13">
        <v>9</v>
      </c>
      <c r="CQ13">
        <v>766.80000000000007</v>
      </c>
      <c r="CR13">
        <v>8</v>
      </c>
      <c r="CS13">
        <v>681.6</v>
      </c>
      <c r="CT13">
        <v>11</v>
      </c>
      <c r="CU13">
        <v>937.2</v>
      </c>
    </row>
    <row r="14" spans="1:99" x14ac:dyDescent="0.2">
      <c r="C14" s="116" t="s">
        <v>180</v>
      </c>
      <c r="D14">
        <v>8</v>
      </c>
      <c r="E14">
        <v>3907.2</v>
      </c>
      <c r="F14">
        <v>7</v>
      </c>
      <c r="G14">
        <v>3418.7999999999997</v>
      </c>
      <c r="H14">
        <v>7</v>
      </c>
      <c r="I14">
        <v>3418.7999999999997</v>
      </c>
      <c r="J14">
        <v>7</v>
      </c>
      <c r="K14">
        <v>3418.7999999999997</v>
      </c>
      <c r="L14">
        <v>34</v>
      </c>
      <c r="M14">
        <v>16605.599999999999</v>
      </c>
      <c r="N14">
        <v>40</v>
      </c>
      <c r="O14">
        <v>19536</v>
      </c>
      <c r="P14">
        <v>27</v>
      </c>
      <c r="Q14">
        <v>13186.8</v>
      </c>
      <c r="R14">
        <v>25</v>
      </c>
      <c r="S14">
        <v>12210</v>
      </c>
      <c r="T14">
        <v>11</v>
      </c>
      <c r="U14">
        <v>5372.4</v>
      </c>
      <c r="V14">
        <v>13</v>
      </c>
      <c r="W14">
        <v>6349.2</v>
      </c>
      <c r="X14">
        <v>18</v>
      </c>
      <c r="Y14">
        <v>8791.1999999999989</v>
      </c>
      <c r="Z14">
        <v>13</v>
      </c>
      <c r="AA14">
        <v>6349.2</v>
      </c>
      <c r="AB14">
        <v>49</v>
      </c>
      <c r="AC14">
        <v>23931.599999999999</v>
      </c>
      <c r="AD14">
        <v>63</v>
      </c>
      <c r="AE14">
        <v>30769.199999999997</v>
      </c>
      <c r="AF14">
        <v>48</v>
      </c>
      <c r="AG14">
        <v>23443.199999999997</v>
      </c>
      <c r="AH14">
        <v>60</v>
      </c>
      <c r="AI14">
        <v>29304</v>
      </c>
      <c r="AJ14">
        <v>91</v>
      </c>
      <c r="AK14">
        <v>44444.4</v>
      </c>
      <c r="AL14">
        <v>76</v>
      </c>
      <c r="AM14">
        <v>37118.400000000001</v>
      </c>
      <c r="AN14">
        <v>68</v>
      </c>
      <c r="AO14">
        <v>33211.199999999997</v>
      </c>
      <c r="AP14">
        <v>79.009367147678248</v>
      </c>
      <c r="AQ14">
        <v>38588.174914926058</v>
      </c>
      <c r="AR14">
        <v>13</v>
      </c>
      <c r="AS14">
        <v>6349.2</v>
      </c>
      <c r="AT14">
        <v>17</v>
      </c>
      <c r="AU14">
        <v>8302.7999999999993</v>
      </c>
      <c r="AV14">
        <v>17</v>
      </c>
      <c r="AW14">
        <v>8302.7999999999993</v>
      </c>
      <c r="AX14">
        <v>16</v>
      </c>
      <c r="AY14">
        <v>7814.4</v>
      </c>
      <c r="AZ14">
        <v>17</v>
      </c>
      <c r="BA14">
        <v>8302.7999999999993</v>
      </c>
      <c r="BB14">
        <v>13</v>
      </c>
      <c r="BC14">
        <v>6349.2</v>
      </c>
      <c r="BD14">
        <v>20</v>
      </c>
      <c r="BE14">
        <v>9768</v>
      </c>
      <c r="BF14">
        <v>13</v>
      </c>
      <c r="BG14">
        <v>6349.2</v>
      </c>
      <c r="BH14">
        <v>8</v>
      </c>
      <c r="BI14">
        <v>3907.2</v>
      </c>
      <c r="BJ14">
        <v>10</v>
      </c>
      <c r="BK14">
        <v>4884</v>
      </c>
      <c r="BL14">
        <v>10</v>
      </c>
      <c r="BM14">
        <v>4884</v>
      </c>
      <c r="BN14">
        <v>9</v>
      </c>
      <c r="BO14">
        <v>4395.5999999999995</v>
      </c>
      <c r="BP14">
        <v>13</v>
      </c>
      <c r="BQ14">
        <v>6349.2</v>
      </c>
      <c r="BR14">
        <v>14</v>
      </c>
      <c r="BS14">
        <v>6837.5999999999995</v>
      </c>
      <c r="BT14">
        <v>13</v>
      </c>
      <c r="BU14">
        <v>6349.2</v>
      </c>
      <c r="BV14">
        <v>13</v>
      </c>
      <c r="BW14">
        <v>6349.2</v>
      </c>
      <c r="BX14">
        <v>12</v>
      </c>
      <c r="BY14">
        <v>5860.7999999999993</v>
      </c>
      <c r="BZ14">
        <v>6</v>
      </c>
      <c r="CA14">
        <v>2930.3999999999996</v>
      </c>
      <c r="CB14">
        <v>8</v>
      </c>
      <c r="CC14">
        <v>3907.2</v>
      </c>
      <c r="CD14">
        <v>11</v>
      </c>
      <c r="CE14">
        <v>5372.4</v>
      </c>
      <c r="CF14">
        <v>32</v>
      </c>
      <c r="CG14">
        <v>15628.8</v>
      </c>
      <c r="CH14">
        <v>37</v>
      </c>
      <c r="CI14">
        <v>18070.8</v>
      </c>
      <c r="CJ14">
        <v>39</v>
      </c>
      <c r="CK14">
        <v>19047.599999999999</v>
      </c>
      <c r="CL14">
        <v>29</v>
      </c>
      <c r="CM14">
        <v>14163.599999999999</v>
      </c>
      <c r="CN14">
        <v>8</v>
      </c>
      <c r="CO14">
        <v>3907.2</v>
      </c>
      <c r="CP14">
        <v>8</v>
      </c>
      <c r="CQ14">
        <v>3907.2</v>
      </c>
      <c r="CR14">
        <v>8</v>
      </c>
      <c r="CS14">
        <v>3907.2</v>
      </c>
      <c r="CT14">
        <v>10</v>
      </c>
      <c r="CU14">
        <v>4884</v>
      </c>
    </row>
    <row r="15" spans="1:99" x14ac:dyDescent="0.2">
      <c r="C15" s="116" t="s">
        <v>181</v>
      </c>
      <c r="D15">
        <v>9</v>
      </c>
      <c r="E15">
        <v>6868.7999999999993</v>
      </c>
      <c r="F15">
        <v>8</v>
      </c>
      <c r="G15">
        <v>6105.5999999999995</v>
      </c>
      <c r="H15">
        <v>6</v>
      </c>
      <c r="I15">
        <v>4579.2</v>
      </c>
      <c r="J15">
        <v>7</v>
      </c>
      <c r="K15">
        <v>5342.4</v>
      </c>
      <c r="L15">
        <v>32</v>
      </c>
      <c r="M15">
        <v>24422.399999999998</v>
      </c>
      <c r="N15">
        <v>39</v>
      </c>
      <c r="O15">
        <v>29764.799999999996</v>
      </c>
      <c r="P15">
        <v>26</v>
      </c>
      <c r="Q15">
        <v>19843.199999999997</v>
      </c>
      <c r="R15">
        <v>25</v>
      </c>
      <c r="S15">
        <v>19080</v>
      </c>
      <c r="T15">
        <v>11</v>
      </c>
      <c r="U15">
        <v>8395.1999999999989</v>
      </c>
      <c r="V15">
        <v>11</v>
      </c>
      <c r="W15">
        <v>8395.1999999999989</v>
      </c>
      <c r="X15">
        <v>16</v>
      </c>
      <c r="Y15">
        <v>12211.199999999999</v>
      </c>
      <c r="Z15">
        <v>12</v>
      </c>
      <c r="AA15">
        <v>9158.4</v>
      </c>
      <c r="AB15">
        <v>48</v>
      </c>
      <c r="AC15">
        <v>36633.599999999999</v>
      </c>
      <c r="AD15">
        <v>50</v>
      </c>
      <c r="AE15">
        <v>38160</v>
      </c>
      <c r="AF15">
        <v>44</v>
      </c>
      <c r="AG15">
        <v>33580.799999999996</v>
      </c>
      <c r="AH15">
        <v>59</v>
      </c>
      <c r="AI15">
        <v>45028.799999999996</v>
      </c>
      <c r="AJ15">
        <v>91</v>
      </c>
      <c r="AK15">
        <v>69451.199999999997</v>
      </c>
      <c r="AL15">
        <v>67</v>
      </c>
      <c r="AM15">
        <v>51134.399999999994</v>
      </c>
      <c r="AN15">
        <v>63</v>
      </c>
      <c r="AO15">
        <v>48081.599999999999</v>
      </c>
      <c r="AP15">
        <v>67.304275718392574</v>
      </c>
      <c r="AQ15">
        <v>51366.623228277211</v>
      </c>
      <c r="AR15">
        <v>12</v>
      </c>
      <c r="AS15">
        <v>9158.4</v>
      </c>
      <c r="AT15">
        <v>17</v>
      </c>
      <c r="AU15">
        <v>12974.4</v>
      </c>
      <c r="AV15">
        <v>17</v>
      </c>
      <c r="AW15">
        <v>12974.4</v>
      </c>
      <c r="AX15">
        <v>18</v>
      </c>
      <c r="AY15">
        <v>13737.599999999999</v>
      </c>
      <c r="AZ15">
        <v>16</v>
      </c>
      <c r="BA15">
        <v>12211.199999999999</v>
      </c>
      <c r="BB15">
        <v>14</v>
      </c>
      <c r="BC15">
        <v>10684.8</v>
      </c>
      <c r="BD15">
        <v>22</v>
      </c>
      <c r="BE15">
        <v>16790.399999999998</v>
      </c>
      <c r="BF15">
        <v>14</v>
      </c>
      <c r="BG15">
        <v>10684.8</v>
      </c>
      <c r="BH15">
        <v>9</v>
      </c>
      <c r="BI15">
        <v>6868.7999999999993</v>
      </c>
      <c r="BJ15">
        <v>9</v>
      </c>
      <c r="BK15">
        <v>6868.7999999999993</v>
      </c>
      <c r="BL15">
        <v>9</v>
      </c>
      <c r="BM15">
        <v>6868.7999999999993</v>
      </c>
      <c r="BN15">
        <v>11</v>
      </c>
      <c r="BO15">
        <v>8395.1999999999989</v>
      </c>
      <c r="BP15">
        <v>13</v>
      </c>
      <c r="BQ15">
        <v>9921.5999999999985</v>
      </c>
      <c r="BR15">
        <v>14</v>
      </c>
      <c r="BS15">
        <v>10684.8</v>
      </c>
      <c r="BT15">
        <v>12</v>
      </c>
      <c r="BU15">
        <v>9158.4</v>
      </c>
      <c r="BV15">
        <v>13</v>
      </c>
      <c r="BW15">
        <v>9921.5999999999985</v>
      </c>
      <c r="BX15">
        <v>12</v>
      </c>
      <c r="BY15">
        <v>9158.4</v>
      </c>
      <c r="BZ15">
        <v>7</v>
      </c>
      <c r="CA15">
        <v>5342.4</v>
      </c>
      <c r="CB15">
        <v>8</v>
      </c>
      <c r="CC15">
        <v>6105.5999999999995</v>
      </c>
      <c r="CD15">
        <v>11</v>
      </c>
      <c r="CE15">
        <v>8395.1999999999989</v>
      </c>
      <c r="CF15">
        <v>29</v>
      </c>
      <c r="CG15">
        <v>22132.799999999999</v>
      </c>
      <c r="CH15">
        <v>34</v>
      </c>
      <c r="CI15">
        <v>25948.799999999999</v>
      </c>
      <c r="CJ15">
        <v>38</v>
      </c>
      <c r="CK15">
        <v>29001.599999999999</v>
      </c>
      <c r="CL15">
        <v>30</v>
      </c>
      <c r="CM15">
        <v>22895.999999999996</v>
      </c>
      <c r="CN15">
        <v>8</v>
      </c>
      <c r="CO15">
        <v>6105.5999999999995</v>
      </c>
      <c r="CP15">
        <v>7</v>
      </c>
      <c r="CQ15">
        <v>5342.4</v>
      </c>
      <c r="CR15">
        <v>8</v>
      </c>
      <c r="CS15">
        <v>6105.5999999999995</v>
      </c>
      <c r="CT15">
        <v>9</v>
      </c>
      <c r="CU15">
        <v>6868.7999999999993</v>
      </c>
    </row>
    <row r="16" spans="1:99" x14ac:dyDescent="0.2">
      <c r="C16" s="116" t="s">
        <v>182</v>
      </c>
      <c r="D16">
        <v>9</v>
      </c>
      <c r="E16">
        <v>3067.2000000000003</v>
      </c>
      <c r="F16">
        <v>8</v>
      </c>
      <c r="G16">
        <v>2726.4</v>
      </c>
      <c r="H16">
        <v>6</v>
      </c>
      <c r="I16">
        <v>2044.8000000000002</v>
      </c>
      <c r="J16">
        <v>7</v>
      </c>
      <c r="K16">
        <v>2385.6</v>
      </c>
      <c r="L16">
        <v>32</v>
      </c>
      <c r="M16">
        <v>10905.6</v>
      </c>
      <c r="N16">
        <v>42</v>
      </c>
      <c r="O16">
        <v>14313.6</v>
      </c>
      <c r="P16">
        <v>25</v>
      </c>
      <c r="Q16">
        <v>8520</v>
      </c>
      <c r="R16">
        <v>29</v>
      </c>
      <c r="S16">
        <v>9883.2000000000007</v>
      </c>
      <c r="T16">
        <v>12</v>
      </c>
      <c r="U16">
        <v>4089.6000000000004</v>
      </c>
      <c r="V16">
        <v>13</v>
      </c>
      <c r="W16">
        <v>4430.4000000000005</v>
      </c>
      <c r="X16">
        <v>17</v>
      </c>
      <c r="Y16">
        <v>5793.6</v>
      </c>
      <c r="Z16">
        <v>12</v>
      </c>
      <c r="AA16">
        <v>4089.6000000000004</v>
      </c>
      <c r="AB16">
        <v>55</v>
      </c>
      <c r="AC16">
        <v>18744</v>
      </c>
      <c r="AD16">
        <v>60</v>
      </c>
      <c r="AE16">
        <v>20448</v>
      </c>
      <c r="AF16">
        <v>42</v>
      </c>
      <c r="AG16">
        <v>14313.6</v>
      </c>
      <c r="AH16">
        <v>65</v>
      </c>
      <c r="AI16">
        <v>22152</v>
      </c>
      <c r="AJ16">
        <v>91</v>
      </c>
      <c r="AK16">
        <v>31012.799999999999</v>
      </c>
      <c r="AL16">
        <v>74</v>
      </c>
      <c r="AM16">
        <v>25219.200000000001</v>
      </c>
      <c r="AN16">
        <v>73</v>
      </c>
      <c r="AO16">
        <v>24878.400000000001</v>
      </c>
      <c r="AP16">
        <v>73.156821433035404</v>
      </c>
      <c r="AQ16">
        <v>24931.844744378468</v>
      </c>
      <c r="AR16">
        <v>13</v>
      </c>
      <c r="AS16">
        <v>4430.4000000000005</v>
      </c>
      <c r="AT16">
        <v>18</v>
      </c>
      <c r="AU16">
        <v>6134.4000000000005</v>
      </c>
      <c r="AV16">
        <v>18</v>
      </c>
      <c r="AW16">
        <v>6134.4000000000005</v>
      </c>
      <c r="AX16">
        <v>18</v>
      </c>
      <c r="AY16">
        <v>6134.4000000000005</v>
      </c>
      <c r="AZ16">
        <v>17</v>
      </c>
      <c r="BA16">
        <v>5793.6</v>
      </c>
      <c r="BB16">
        <v>14</v>
      </c>
      <c r="BC16">
        <v>4771.2</v>
      </c>
      <c r="BD16">
        <v>23</v>
      </c>
      <c r="BE16">
        <v>7838.4000000000005</v>
      </c>
      <c r="BF16">
        <v>14</v>
      </c>
      <c r="BG16">
        <v>4771.2</v>
      </c>
      <c r="BH16">
        <v>8</v>
      </c>
      <c r="BI16">
        <v>2726.4</v>
      </c>
      <c r="BJ16">
        <v>11</v>
      </c>
      <c r="BK16">
        <v>3748.8</v>
      </c>
      <c r="BL16">
        <v>9</v>
      </c>
      <c r="BM16">
        <v>3067.2000000000003</v>
      </c>
      <c r="BN16">
        <v>11</v>
      </c>
      <c r="BO16">
        <v>3748.8</v>
      </c>
      <c r="BP16">
        <v>13</v>
      </c>
      <c r="BQ16">
        <v>4430.4000000000005</v>
      </c>
      <c r="BR16">
        <v>14</v>
      </c>
      <c r="BS16">
        <v>4771.2</v>
      </c>
      <c r="BT16">
        <v>14</v>
      </c>
      <c r="BU16">
        <v>4771.2</v>
      </c>
      <c r="BV16">
        <v>13</v>
      </c>
      <c r="BW16">
        <v>4430.4000000000005</v>
      </c>
      <c r="BX16">
        <v>10</v>
      </c>
      <c r="BY16">
        <v>3408</v>
      </c>
      <c r="BZ16">
        <v>7</v>
      </c>
      <c r="CA16">
        <v>2385.6</v>
      </c>
      <c r="CB16">
        <v>8</v>
      </c>
      <c r="CC16">
        <v>2726.4</v>
      </c>
      <c r="CD16">
        <v>13</v>
      </c>
      <c r="CE16">
        <v>4430.4000000000005</v>
      </c>
      <c r="CF16">
        <v>33</v>
      </c>
      <c r="CG16">
        <v>11246.4</v>
      </c>
      <c r="CH16">
        <v>37</v>
      </c>
      <c r="CI16">
        <v>12609.6</v>
      </c>
      <c r="CJ16">
        <v>40</v>
      </c>
      <c r="CK16">
        <v>13632</v>
      </c>
      <c r="CL16">
        <v>29</v>
      </c>
      <c r="CM16">
        <v>9883.2000000000007</v>
      </c>
      <c r="CN16">
        <v>8</v>
      </c>
      <c r="CO16">
        <v>2726.4</v>
      </c>
      <c r="CP16">
        <v>8</v>
      </c>
      <c r="CQ16">
        <v>2726.4</v>
      </c>
      <c r="CR16">
        <v>8</v>
      </c>
      <c r="CS16">
        <v>2726.4</v>
      </c>
      <c r="CT16">
        <v>10</v>
      </c>
      <c r="CU16">
        <v>3408</v>
      </c>
    </row>
    <row r="17" spans="2:99" x14ac:dyDescent="0.2">
      <c r="C17" s="116" t="s">
        <v>183</v>
      </c>
      <c r="D17">
        <v>9</v>
      </c>
      <c r="E17">
        <v>3801.6</v>
      </c>
      <c r="F17">
        <v>8</v>
      </c>
      <c r="G17">
        <v>3379.2</v>
      </c>
      <c r="H17">
        <v>7</v>
      </c>
      <c r="I17">
        <v>2956.7999999999997</v>
      </c>
      <c r="J17">
        <v>7</v>
      </c>
      <c r="K17">
        <v>2956.7999999999997</v>
      </c>
      <c r="L17">
        <v>33</v>
      </c>
      <c r="M17">
        <v>13939.199999999999</v>
      </c>
      <c r="N17">
        <v>39</v>
      </c>
      <c r="O17">
        <v>16473.599999999999</v>
      </c>
      <c r="P17">
        <v>26</v>
      </c>
      <c r="Q17">
        <v>10982.4</v>
      </c>
      <c r="R17">
        <v>27</v>
      </c>
      <c r="S17">
        <v>11404.8</v>
      </c>
      <c r="T17">
        <v>11</v>
      </c>
      <c r="U17">
        <v>4646.3999999999996</v>
      </c>
      <c r="V17">
        <v>11</v>
      </c>
      <c r="W17">
        <v>4646.3999999999996</v>
      </c>
      <c r="X17">
        <v>16</v>
      </c>
      <c r="Y17">
        <v>6758.4</v>
      </c>
      <c r="Z17">
        <v>12</v>
      </c>
      <c r="AA17">
        <v>5068.7999999999993</v>
      </c>
      <c r="AB17">
        <v>53</v>
      </c>
      <c r="AC17">
        <v>22387.199999999997</v>
      </c>
      <c r="AD17">
        <v>62</v>
      </c>
      <c r="AE17">
        <v>26188.799999999999</v>
      </c>
      <c r="AF17">
        <v>42</v>
      </c>
      <c r="AG17">
        <v>17740.8</v>
      </c>
      <c r="AH17">
        <v>61</v>
      </c>
      <c r="AI17">
        <v>25766.399999999998</v>
      </c>
      <c r="AJ17">
        <v>83</v>
      </c>
      <c r="AK17">
        <v>35059.199999999997</v>
      </c>
      <c r="AL17">
        <v>80</v>
      </c>
      <c r="AM17">
        <v>33792</v>
      </c>
      <c r="AN17">
        <v>77</v>
      </c>
      <c r="AO17">
        <v>32524.799999999999</v>
      </c>
      <c r="AP17">
        <v>80.960215719225857</v>
      </c>
      <c r="AQ17">
        <v>34197.595119801001</v>
      </c>
      <c r="AR17">
        <v>13</v>
      </c>
      <c r="AS17">
        <v>5491.2</v>
      </c>
      <c r="AT17">
        <v>19</v>
      </c>
      <c r="AU17">
        <v>8025.5999999999995</v>
      </c>
      <c r="AV17">
        <v>17</v>
      </c>
      <c r="AW17">
        <v>7180.7999999999993</v>
      </c>
      <c r="AX17">
        <v>17</v>
      </c>
      <c r="AY17">
        <v>7180.7999999999993</v>
      </c>
      <c r="AZ17">
        <v>16</v>
      </c>
      <c r="BA17">
        <v>6758.4</v>
      </c>
      <c r="BB17">
        <v>14</v>
      </c>
      <c r="BC17">
        <v>5913.5999999999995</v>
      </c>
      <c r="BD17">
        <v>20</v>
      </c>
      <c r="BE17">
        <v>8448</v>
      </c>
      <c r="BF17">
        <v>12</v>
      </c>
      <c r="BG17">
        <v>5068.7999999999993</v>
      </c>
      <c r="BH17">
        <v>9</v>
      </c>
      <c r="BI17">
        <v>3801.6</v>
      </c>
      <c r="BJ17">
        <v>9</v>
      </c>
      <c r="BK17">
        <v>3801.6</v>
      </c>
      <c r="BL17">
        <v>10</v>
      </c>
      <c r="BM17">
        <v>4224</v>
      </c>
      <c r="BN17">
        <v>10</v>
      </c>
      <c r="BO17">
        <v>4224</v>
      </c>
      <c r="BP17">
        <v>12</v>
      </c>
      <c r="BQ17">
        <v>5068.7999999999993</v>
      </c>
      <c r="BR17">
        <v>14</v>
      </c>
      <c r="BS17">
        <v>5913.5999999999995</v>
      </c>
      <c r="BT17">
        <v>13</v>
      </c>
      <c r="BU17">
        <v>5491.2</v>
      </c>
      <c r="BV17">
        <v>13</v>
      </c>
      <c r="BW17">
        <v>5491.2</v>
      </c>
      <c r="BX17">
        <v>11</v>
      </c>
      <c r="BY17">
        <v>4646.3999999999996</v>
      </c>
      <c r="BZ17">
        <v>8</v>
      </c>
      <c r="CA17">
        <v>3379.2</v>
      </c>
      <c r="CB17">
        <v>9</v>
      </c>
      <c r="CC17">
        <v>3801.6</v>
      </c>
      <c r="CD17">
        <v>12</v>
      </c>
      <c r="CE17">
        <v>5068.7999999999993</v>
      </c>
      <c r="CF17">
        <v>31</v>
      </c>
      <c r="CG17">
        <v>13094.4</v>
      </c>
      <c r="CH17">
        <v>38</v>
      </c>
      <c r="CI17">
        <v>16051.199999999999</v>
      </c>
      <c r="CJ17">
        <v>34</v>
      </c>
      <c r="CK17">
        <v>14361.599999999999</v>
      </c>
      <c r="CL17">
        <v>28</v>
      </c>
      <c r="CM17">
        <v>11827.199999999999</v>
      </c>
      <c r="CN17">
        <v>8</v>
      </c>
      <c r="CO17">
        <v>3379.2</v>
      </c>
      <c r="CP17">
        <v>8</v>
      </c>
      <c r="CQ17">
        <v>3379.2</v>
      </c>
      <c r="CR17">
        <v>8</v>
      </c>
      <c r="CS17">
        <v>3379.2</v>
      </c>
      <c r="CT17">
        <v>10</v>
      </c>
      <c r="CU17">
        <v>4224</v>
      </c>
    </row>
    <row r="18" spans="2:99" x14ac:dyDescent="0.2">
      <c r="C18" s="116" t="s">
        <v>184</v>
      </c>
      <c r="D18">
        <v>8</v>
      </c>
      <c r="E18">
        <v>5222.3999999999996</v>
      </c>
      <c r="F18">
        <v>8</v>
      </c>
      <c r="G18">
        <v>5222.3999999999996</v>
      </c>
      <c r="H18">
        <v>6</v>
      </c>
      <c r="I18">
        <v>3916.7999999999997</v>
      </c>
      <c r="J18">
        <v>7</v>
      </c>
      <c r="K18">
        <v>4569.5999999999995</v>
      </c>
      <c r="L18">
        <v>29</v>
      </c>
      <c r="M18">
        <v>18931.199999999997</v>
      </c>
      <c r="N18">
        <v>39</v>
      </c>
      <c r="O18">
        <v>25459.199999999997</v>
      </c>
      <c r="P18">
        <v>24</v>
      </c>
      <c r="Q18">
        <v>15667.199999999999</v>
      </c>
      <c r="R18">
        <v>26</v>
      </c>
      <c r="S18">
        <v>16972.8</v>
      </c>
      <c r="T18">
        <v>11</v>
      </c>
      <c r="U18">
        <v>7180.7999999999993</v>
      </c>
      <c r="V18">
        <v>12</v>
      </c>
      <c r="W18">
        <v>7833.5999999999995</v>
      </c>
      <c r="X18">
        <v>17</v>
      </c>
      <c r="Y18">
        <v>11097.599999999999</v>
      </c>
      <c r="Z18">
        <v>12</v>
      </c>
      <c r="AA18">
        <v>7833.5999999999995</v>
      </c>
      <c r="AB18">
        <v>53</v>
      </c>
      <c r="AC18">
        <v>34598.399999999994</v>
      </c>
      <c r="AD18">
        <v>51</v>
      </c>
      <c r="AE18">
        <v>33292.799999999996</v>
      </c>
      <c r="AF18">
        <v>44</v>
      </c>
      <c r="AG18">
        <v>28723.199999999997</v>
      </c>
      <c r="AH18">
        <v>61</v>
      </c>
      <c r="AI18">
        <v>39820.799999999996</v>
      </c>
      <c r="AJ18">
        <v>83</v>
      </c>
      <c r="AK18">
        <v>54182.399999999994</v>
      </c>
      <c r="AL18">
        <v>74</v>
      </c>
      <c r="AM18">
        <v>48307.199999999997</v>
      </c>
      <c r="AN18">
        <v>66</v>
      </c>
      <c r="AO18">
        <v>43084.799999999996</v>
      </c>
      <c r="AP18">
        <v>79.009367147678248</v>
      </c>
      <c r="AQ18">
        <v>51577.314874004354</v>
      </c>
      <c r="AR18">
        <v>13</v>
      </c>
      <c r="AS18">
        <v>8486.4</v>
      </c>
      <c r="AT18">
        <v>19</v>
      </c>
      <c r="AU18">
        <v>12403.199999999999</v>
      </c>
      <c r="AV18">
        <v>19</v>
      </c>
      <c r="AW18">
        <v>12403.199999999999</v>
      </c>
      <c r="AX18">
        <v>17</v>
      </c>
      <c r="AY18">
        <v>11097.599999999999</v>
      </c>
      <c r="AZ18">
        <v>16</v>
      </c>
      <c r="BA18">
        <v>10444.799999999999</v>
      </c>
      <c r="BB18">
        <v>14</v>
      </c>
      <c r="BC18">
        <v>9139.1999999999989</v>
      </c>
      <c r="BD18">
        <v>19</v>
      </c>
      <c r="BE18">
        <v>12403.199999999999</v>
      </c>
      <c r="BF18">
        <v>14</v>
      </c>
      <c r="BG18">
        <v>9139.1999999999989</v>
      </c>
      <c r="BH18">
        <v>8</v>
      </c>
      <c r="BI18">
        <v>5222.3999999999996</v>
      </c>
      <c r="BJ18">
        <v>10</v>
      </c>
      <c r="BK18">
        <v>6528</v>
      </c>
      <c r="BL18">
        <v>8</v>
      </c>
      <c r="BM18">
        <v>5222.3999999999996</v>
      </c>
      <c r="BN18">
        <v>10</v>
      </c>
      <c r="BO18">
        <v>6528</v>
      </c>
      <c r="BP18">
        <v>13</v>
      </c>
      <c r="BQ18">
        <v>8486.4</v>
      </c>
      <c r="BR18">
        <v>14</v>
      </c>
      <c r="BS18">
        <v>9139.1999999999989</v>
      </c>
      <c r="BT18">
        <v>12</v>
      </c>
      <c r="BU18">
        <v>7833.5999999999995</v>
      </c>
      <c r="BV18">
        <v>12</v>
      </c>
      <c r="BW18">
        <v>7833.5999999999995</v>
      </c>
      <c r="BX18">
        <v>10</v>
      </c>
      <c r="BY18">
        <v>6528</v>
      </c>
      <c r="BZ18">
        <v>7</v>
      </c>
      <c r="CA18">
        <v>4569.5999999999995</v>
      </c>
      <c r="CB18">
        <v>9</v>
      </c>
      <c r="CC18">
        <v>5875.2</v>
      </c>
      <c r="CD18">
        <v>11</v>
      </c>
      <c r="CE18">
        <v>7180.7999999999993</v>
      </c>
      <c r="CF18">
        <v>28</v>
      </c>
      <c r="CG18">
        <v>18278.399999999998</v>
      </c>
      <c r="CH18">
        <v>39</v>
      </c>
      <c r="CI18">
        <v>25459.199999999997</v>
      </c>
      <c r="CJ18">
        <v>36</v>
      </c>
      <c r="CK18">
        <v>23500.799999999999</v>
      </c>
      <c r="CL18">
        <v>30</v>
      </c>
      <c r="CM18">
        <v>19584</v>
      </c>
      <c r="CN18">
        <v>8</v>
      </c>
      <c r="CO18">
        <v>5222.3999999999996</v>
      </c>
      <c r="CP18">
        <v>8</v>
      </c>
      <c r="CQ18">
        <v>5222.3999999999996</v>
      </c>
      <c r="CR18">
        <v>8</v>
      </c>
      <c r="CS18">
        <v>5222.3999999999996</v>
      </c>
      <c r="CT18">
        <v>10</v>
      </c>
      <c r="CU18">
        <v>6528</v>
      </c>
    </row>
    <row r="19" spans="2:99" x14ac:dyDescent="0.2">
      <c r="C19" s="116" t="s">
        <v>185</v>
      </c>
      <c r="D19">
        <v>8</v>
      </c>
      <c r="E19">
        <v>2640</v>
      </c>
      <c r="F19">
        <v>7</v>
      </c>
      <c r="G19">
        <v>2310</v>
      </c>
      <c r="H19">
        <v>6</v>
      </c>
      <c r="I19">
        <v>1980</v>
      </c>
      <c r="J19">
        <v>8</v>
      </c>
      <c r="K19">
        <v>2640</v>
      </c>
      <c r="L19">
        <v>33</v>
      </c>
      <c r="M19">
        <v>10890</v>
      </c>
      <c r="N19">
        <v>41</v>
      </c>
      <c r="O19">
        <v>13530</v>
      </c>
      <c r="P19">
        <v>27</v>
      </c>
      <c r="Q19">
        <v>8910</v>
      </c>
      <c r="R19">
        <v>26</v>
      </c>
      <c r="S19">
        <v>8580</v>
      </c>
      <c r="T19">
        <v>11</v>
      </c>
      <c r="U19">
        <v>3630</v>
      </c>
      <c r="V19">
        <v>12</v>
      </c>
      <c r="W19">
        <v>3960</v>
      </c>
      <c r="X19">
        <v>18</v>
      </c>
      <c r="Y19">
        <v>5940</v>
      </c>
      <c r="Z19">
        <v>14</v>
      </c>
      <c r="AA19">
        <v>4620</v>
      </c>
      <c r="AB19">
        <v>54</v>
      </c>
      <c r="AC19">
        <v>17820</v>
      </c>
      <c r="AD19">
        <v>54</v>
      </c>
      <c r="AE19">
        <v>17820</v>
      </c>
      <c r="AF19">
        <v>44</v>
      </c>
      <c r="AG19">
        <v>14520</v>
      </c>
      <c r="AH19">
        <v>58</v>
      </c>
      <c r="AI19">
        <v>19140</v>
      </c>
      <c r="AJ19">
        <v>90</v>
      </c>
      <c r="AK19">
        <v>29700</v>
      </c>
      <c r="AL19">
        <v>72</v>
      </c>
      <c r="AM19">
        <v>23760</v>
      </c>
      <c r="AN19">
        <v>67</v>
      </c>
      <c r="AO19">
        <v>22110</v>
      </c>
      <c r="AP19">
        <v>78.033942861904436</v>
      </c>
      <c r="AQ19">
        <v>25751.201144428465</v>
      </c>
      <c r="AR19">
        <v>11</v>
      </c>
      <c r="AS19">
        <v>3630</v>
      </c>
      <c r="AT19">
        <v>18</v>
      </c>
      <c r="AU19">
        <v>5940</v>
      </c>
      <c r="AV19">
        <v>20</v>
      </c>
      <c r="AW19">
        <v>6600</v>
      </c>
      <c r="AX19">
        <v>17</v>
      </c>
      <c r="AY19">
        <v>5610</v>
      </c>
      <c r="AZ19">
        <v>16</v>
      </c>
      <c r="BA19">
        <v>5280</v>
      </c>
      <c r="BB19">
        <v>14</v>
      </c>
      <c r="BC19">
        <v>4620</v>
      </c>
      <c r="BD19">
        <v>22</v>
      </c>
      <c r="BE19">
        <v>7260</v>
      </c>
      <c r="BF19">
        <v>14</v>
      </c>
      <c r="BG19">
        <v>4620</v>
      </c>
      <c r="BH19">
        <v>9</v>
      </c>
      <c r="BI19">
        <v>2970</v>
      </c>
      <c r="BJ19">
        <v>9</v>
      </c>
      <c r="BK19">
        <v>2970</v>
      </c>
      <c r="BL19">
        <v>9</v>
      </c>
      <c r="BM19">
        <v>2970</v>
      </c>
      <c r="BN19">
        <v>10</v>
      </c>
      <c r="BO19">
        <v>3300</v>
      </c>
      <c r="BP19">
        <v>13</v>
      </c>
      <c r="BQ19">
        <v>4290</v>
      </c>
      <c r="BR19">
        <v>13</v>
      </c>
      <c r="BS19">
        <v>4290</v>
      </c>
      <c r="BT19">
        <v>13</v>
      </c>
      <c r="BU19">
        <v>4290</v>
      </c>
      <c r="BV19">
        <v>12</v>
      </c>
      <c r="BW19">
        <v>3960</v>
      </c>
      <c r="BX19">
        <v>12</v>
      </c>
      <c r="BY19">
        <v>3960</v>
      </c>
      <c r="BZ19">
        <v>7</v>
      </c>
      <c r="CA19">
        <v>2310</v>
      </c>
      <c r="CB19">
        <v>9</v>
      </c>
      <c r="CC19">
        <v>2970</v>
      </c>
      <c r="CD19">
        <v>11</v>
      </c>
      <c r="CE19">
        <v>3630</v>
      </c>
      <c r="CF19">
        <v>32</v>
      </c>
      <c r="CG19">
        <v>10560</v>
      </c>
      <c r="CH19">
        <v>36</v>
      </c>
      <c r="CI19">
        <v>11880</v>
      </c>
      <c r="CJ19">
        <v>42</v>
      </c>
      <c r="CK19">
        <v>13860</v>
      </c>
      <c r="CL19">
        <v>31</v>
      </c>
      <c r="CM19">
        <v>10230</v>
      </c>
      <c r="CN19">
        <v>8</v>
      </c>
      <c r="CO19">
        <v>2640</v>
      </c>
      <c r="CP19">
        <v>8</v>
      </c>
      <c r="CQ19">
        <v>2640</v>
      </c>
      <c r="CR19">
        <v>8</v>
      </c>
      <c r="CS19">
        <v>2640</v>
      </c>
      <c r="CT19">
        <v>10</v>
      </c>
      <c r="CU19">
        <v>3300</v>
      </c>
    </row>
    <row r="20" spans="2:99" x14ac:dyDescent="0.2">
      <c r="B20" s="116" t="s">
        <v>127</v>
      </c>
      <c r="C20" s="116" t="s">
        <v>186</v>
      </c>
      <c r="D20">
        <v>3</v>
      </c>
      <c r="E20">
        <v>860.40000000000009</v>
      </c>
      <c r="F20">
        <v>3</v>
      </c>
      <c r="G20">
        <v>860.40000000000009</v>
      </c>
      <c r="H20">
        <v>3</v>
      </c>
      <c r="I20">
        <v>860.40000000000009</v>
      </c>
      <c r="J20">
        <v>4</v>
      </c>
      <c r="K20">
        <v>1147.2</v>
      </c>
      <c r="L20">
        <v>5</v>
      </c>
      <c r="M20">
        <v>1434</v>
      </c>
      <c r="N20">
        <v>6</v>
      </c>
      <c r="O20">
        <v>1720.8000000000002</v>
      </c>
      <c r="P20">
        <v>5</v>
      </c>
      <c r="Q20">
        <v>1434</v>
      </c>
      <c r="R20">
        <v>8</v>
      </c>
      <c r="S20">
        <v>2294.4</v>
      </c>
      <c r="T20">
        <v>38</v>
      </c>
      <c r="U20">
        <v>10898.4</v>
      </c>
      <c r="V20">
        <v>45</v>
      </c>
      <c r="W20">
        <v>12906</v>
      </c>
      <c r="X20">
        <v>50</v>
      </c>
      <c r="Y20">
        <v>14340</v>
      </c>
      <c r="Z20">
        <v>69</v>
      </c>
      <c r="AA20">
        <v>19789.2</v>
      </c>
      <c r="AB20">
        <v>5</v>
      </c>
      <c r="AC20">
        <v>1434</v>
      </c>
      <c r="AD20">
        <v>4</v>
      </c>
      <c r="AE20">
        <v>1147.2</v>
      </c>
      <c r="AF20">
        <v>4</v>
      </c>
      <c r="AG20">
        <v>1147.2</v>
      </c>
      <c r="AH20">
        <v>4</v>
      </c>
      <c r="AI20">
        <v>1147.2</v>
      </c>
      <c r="AJ20">
        <v>51</v>
      </c>
      <c r="AK20">
        <v>14626.800000000001</v>
      </c>
      <c r="AL20">
        <v>37</v>
      </c>
      <c r="AM20">
        <v>10611.6</v>
      </c>
      <c r="AN20">
        <v>50</v>
      </c>
      <c r="AO20">
        <v>14340</v>
      </c>
      <c r="AP20">
        <v>54.623760003333103</v>
      </c>
      <c r="AQ20">
        <v>15666.094368955935</v>
      </c>
      <c r="AR20">
        <v>47</v>
      </c>
      <c r="AS20">
        <v>13479.6</v>
      </c>
      <c r="AT20">
        <v>48</v>
      </c>
      <c r="AU20">
        <v>13766.400000000001</v>
      </c>
      <c r="AV20">
        <v>37</v>
      </c>
      <c r="AW20">
        <v>10611.6</v>
      </c>
      <c r="AX20">
        <v>31</v>
      </c>
      <c r="AY20">
        <v>8890.8000000000011</v>
      </c>
      <c r="AZ20">
        <v>9</v>
      </c>
      <c r="BA20">
        <v>2581.2000000000003</v>
      </c>
      <c r="BB20">
        <v>7</v>
      </c>
      <c r="BC20">
        <v>2007.6000000000001</v>
      </c>
      <c r="BD20">
        <v>12</v>
      </c>
      <c r="BE20">
        <v>3441.6000000000004</v>
      </c>
      <c r="BF20">
        <v>7</v>
      </c>
      <c r="BG20">
        <v>2007.6000000000001</v>
      </c>
      <c r="BH20">
        <v>19</v>
      </c>
      <c r="BI20">
        <v>5449.2</v>
      </c>
      <c r="BJ20">
        <v>18</v>
      </c>
      <c r="BK20">
        <v>5162.4000000000005</v>
      </c>
      <c r="BL20">
        <v>21</v>
      </c>
      <c r="BM20">
        <v>6022.8</v>
      </c>
      <c r="BN20">
        <v>14</v>
      </c>
      <c r="BO20">
        <v>4015.2000000000003</v>
      </c>
      <c r="BP20">
        <v>59</v>
      </c>
      <c r="BQ20">
        <v>16921.2</v>
      </c>
      <c r="BR20">
        <v>56</v>
      </c>
      <c r="BS20">
        <v>16060.800000000001</v>
      </c>
      <c r="BT20">
        <v>49</v>
      </c>
      <c r="BU20">
        <v>14053.2</v>
      </c>
      <c r="BV20">
        <v>32</v>
      </c>
      <c r="BW20">
        <v>9177.6</v>
      </c>
      <c r="BX20">
        <v>6</v>
      </c>
      <c r="BY20">
        <v>1720.8000000000002</v>
      </c>
      <c r="BZ20">
        <v>5</v>
      </c>
      <c r="CA20">
        <v>1434</v>
      </c>
      <c r="CB20">
        <v>4</v>
      </c>
      <c r="CC20">
        <v>1147.2</v>
      </c>
      <c r="CD20">
        <v>6</v>
      </c>
      <c r="CE20">
        <v>1720.8000000000002</v>
      </c>
      <c r="CF20">
        <v>4</v>
      </c>
      <c r="CG20">
        <v>1147.2</v>
      </c>
      <c r="CH20">
        <v>5</v>
      </c>
      <c r="CI20">
        <v>1434</v>
      </c>
      <c r="CJ20">
        <v>6</v>
      </c>
      <c r="CK20">
        <v>1720.8000000000002</v>
      </c>
      <c r="CL20">
        <v>4</v>
      </c>
      <c r="CM20">
        <v>1147.2</v>
      </c>
      <c r="CN20">
        <v>35</v>
      </c>
      <c r="CO20">
        <v>10038</v>
      </c>
      <c r="CP20">
        <v>41</v>
      </c>
      <c r="CQ20">
        <v>11758.800000000001</v>
      </c>
      <c r="CR20">
        <v>46</v>
      </c>
      <c r="CS20">
        <v>13192.800000000001</v>
      </c>
      <c r="CT20">
        <v>49</v>
      </c>
      <c r="CU20">
        <v>14053.2</v>
      </c>
    </row>
    <row r="21" spans="2:99" x14ac:dyDescent="0.2">
      <c r="C21" s="116" t="s">
        <v>187</v>
      </c>
      <c r="D21">
        <v>3</v>
      </c>
      <c r="E21">
        <v>187.2</v>
      </c>
      <c r="F21">
        <v>3</v>
      </c>
      <c r="G21">
        <v>187.2</v>
      </c>
      <c r="H21">
        <v>3</v>
      </c>
      <c r="I21">
        <v>187.2</v>
      </c>
      <c r="J21">
        <v>4</v>
      </c>
      <c r="K21">
        <v>249.6</v>
      </c>
      <c r="L21">
        <v>5</v>
      </c>
      <c r="M21">
        <v>312</v>
      </c>
      <c r="N21">
        <v>6</v>
      </c>
      <c r="O21">
        <v>374.4</v>
      </c>
      <c r="P21">
        <v>5</v>
      </c>
      <c r="Q21">
        <v>312</v>
      </c>
      <c r="R21">
        <v>7</v>
      </c>
      <c r="S21">
        <v>436.8</v>
      </c>
      <c r="T21">
        <v>40</v>
      </c>
      <c r="U21">
        <v>2496</v>
      </c>
      <c r="V21">
        <v>55</v>
      </c>
      <c r="W21">
        <v>3432</v>
      </c>
      <c r="X21">
        <v>52</v>
      </c>
      <c r="Y21">
        <v>3244.7999999999997</v>
      </c>
      <c r="Z21">
        <v>68</v>
      </c>
      <c r="AA21">
        <v>4243.2</v>
      </c>
      <c r="AB21">
        <v>4</v>
      </c>
      <c r="AC21">
        <v>249.6</v>
      </c>
      <c r="AD21">
        <v>4</v>
      </c>
      <c r="AE21">
        <v>249.6</v>
      </c>
      <c r="AF21">
        <v>4</v>
      </c>
      <c r="AG21">
        <v>249.6</v>
      </c>
      <c r="AH21">
        <v>4</v>
      </c>
      <c r="AI21">
        <v>249.6</v>
      </c>
      <c r="AJ21">
        <v>57</v>
      </c>
      <c r="AK21">
        <v>3556.7999999999997</v>
      </c>
      <c r="AL21">
        <v>38</v>
      </c>
      <c r="AM21">
        <v>2371.1999999999998</v>
      </c>
      <c r="AN21">
        <v>54</v>
      </c>
      <c r="AO21">
        <v>3369.6</v>
      </c>
      <c r="AP21">
        <v>64.378002861071153</v>
      </c>
      <c r="AQ21">
        <v>4017.1873785308399</v>
      </c>
      <c r="AR21">
        <v>41</v>
      </c>
      <c r="AS21">
        <v>2558.4</v>
      </c>
      <c r="AT21">
        <v>47</v>
      </c>
      <c r="AU21">
        <v>2932.7999999999997</v>
      </c>
      <c r="AV21">
        <v>39</v>
      </c>
      <c r="AW21">
        <v>2433.6</v>
      </c>
      <c r="AX21">
        <v>29</v>
      </c>
      <c r="AY21">
        <v>1809.6</v>
      </c>
      <c r="AZ21">
        <v>9</v>
      </c>
      <c r="BA21">
        <v>561.6</v>
      </c>
      <c r="BB21">
        <v>6</v>
      </c>
      <c r="BC21">
        <v>374.4</v>
      </c>
      <c r="BD21">
        <v>12</v>
      </c>
      <c r="BE21">
        <v>748.8</v>
      </c>
      <c r="BF21">
        <v>7</v>
      </c>
      <c r="BG21">
        <v>436.8</v>
      </c>
      <c r="BH21">
        <v>20</v>
      </c>
      <c r="BI21">
        <v>1248</v>
      </c>
      <c r="BJ21">
        <v>19</v>
      </c>
      <c r="BK21">
        <v>1185.5999999999999</v>
      </c>
      <c r="BL21">
        <v>21</v>
      </c>
      <c r="BM21">
        <v>1310.3999999999999</v>
      </c>
      <c r="BN21">
        <v>13</v>
      </c>
      <c r="BO21">
        <v>811.19999999999993</v>
      </c>
      <c r="BP21">
        <v>54</v>
      </c>
      <c r="BQ21">
        <v>3369.6</v>
      </c>
      <c r="BR21">
        <v>52</v>
      </c>
      <c r="BS21">
        <v>3244.7999999999997</v>
      </c>
      <c r="BT21">
        <v>48</v>
      </c>
      <c r="BU21">
        <v>2995.2</v>
      </c>
      <c r="BV21">
        <v>32</v>
      </c>
      <c r="BW21">
        <v>1996.8</v>
      </c>
      <c r="BX21">
        <v>6</v>
      </c>
      <c r="BY21">
        <v>374.4</v>
      </c>
      <c r="BZ21">
        <v>5</v>
      </c>
      <c r="CA21">
        <v>312</v>
      </c>
      <c r="CB21">
        <v>4</v>
      </c>
      <c r="CC21">
        <v>249.6</v>
      </c>
      <c r="CD21">
        <v>6</v>
      </c>
      <c r="CE21">
        <v>374.4</v>
      </c>
      <c r="CF21">
        <v>5</v>
      </c>
      <c r="CG21">
        <v>312</v>
      </c>
      <c r="CH21">
        <v>4</v>
      </c>
      <c r="CI21">
        <v>249.6</v>
      </c>
      <c r="CJ21">
        <v>5</v>
      </c>
      <c r="CK21">
        <v>312</v>
      </c>
      <c r="CL21">
        <v>4</v>
      </c>
      <c r="CM21">
        <v>249.6</v>
      </c>
      <c r="CN21">
        <v>40</v>
      </c>
      <c r="CO21">
        <v>2496</v>
      </c>
      <c r="CP21">
        <v>39</v>
      </c>
      <c r="CQ21">
        <v>2433.6</v>
      </c>
      <c r="CR21">
        <v>47</v>
      </c>
      <c r="CS21">
        <v>2932.7999999999997</v>
      </c>
      <c r="CT21">
        <v>44</v>
      </c>
      <c r="CU21">
        <v>2745.6</v>
      </c>
    </row>
    <row r="22" spans="2:99" x14ac:dyDescent="0.2">
      <c r="C22" s="116" t="s">
        <v>188</v>
      </c>
      <c r="D22">
        <v>3</v>
      </c>
      <c r="E22">
        <v>561.59999999999991</v>
      </c>
      <c r="F22">
        <v>3</v>
      </c>
      <c r="G22">
        <v>561.59999999999991</v>
      </c>
      <c r="H22">
        <v>3</v>
      </c>
      <c r="I22">
        <v>561.59999999999991</v>
      </c>
      <c r="J22">
        <v>5</v>
      </c>
      <c r="K22">
        <v>936</v>
      </c>
      <c r="L22">
        <v>5</v>
      </c>
      <c r="M22">
        <v>936</v>
      </c>
      <c r="N22">
        <v>5</v>
      </c>
      <c r="O22">
        <v>936</v>
      </c>
      <c r="P22">
        <v>5</v>
      </c>
      <c r="Q22">
        <v>936</v>
      </c>
      <c r="R22">
        <v>8</v>
      </c>
      <c r="S22">
        <v>1497.6</v>
      </c>
      <c r="T22">
        <v>41</v>
      </c>
      <c r="U22">
        <v>7675.2</v>
      </c>
      <c r="V22">
        <v>51</v>
      </c>
      <c r="W22">
        <v>9547.1999999999989</v>
      </c>
      <c r="X22">
        <v>52</v>
      </c>
      <c r="Y22">
        <v>9734.4</v>
      </c>
      <c r="Z22">
        <v>59</v>
      </c>
      <c r="AA22">
        <v>11044.8</v>
      </c>
      <c r="AB22">
        <v>5</v>
      </c>
      <c r="AC22">
        <v>936</v>
      </c>
      <c r="AD22">
        <v>4</v>
      </c>
      <c r="AE22">
        <v>748.8</v>
      </c>
      <c r="AF22">
        <v>4</v>
      </c>
      <c r="AG22">
        <v>748.8</v>
      </c>
      <c r="AH22">
        <v>4</v>
      </c>
      <c r="AI22">
        <v>748.8</v>
      </c>
      <c r="AJ22">
        <v>55</v>
      </c>
      <c r="AK22">
        <v>10296</v>
      </c>
      <c r="AL22">
        <v>36</v>
      </c>
      <c r="AM22">
        <v>6739.2</v>
      </c>
      <c r="AN22">
        <v>57</v>
      </c>
      <c r="AO22">
        <v>10670.4</v>
      </c>
      <c r="AP22">
        <v>56.574608574880713</v>
      </c>
      <c r="AQ22">
        <v>10590.766725217669</v>
      </c>
      <c r="AR22">
        <v>45</v>
      </c>
      <c r="AS22">
        <v>8424</v>
      </c>
      <c r="AT22">
        <v>43</v>
      </c>
      <c r="AU22">
        <v>8049.5999999999995</v>
      </c>
      <c r="AV22">
        <v>35</v>
      </c>
      <c r="AW22">
        <v>6552</v>
      </c>
      <c r="AX22">
        <v>28</v>
      </c>
      <c r="AY22">
        <v>5241.5999999999995</v>
      </c>
      <c r="AZ22">
        <v>8</v>
      </c>
      <c r="BA22">
        <v>1497.6</v>
      </c>
      <c r="BB22">
        <v>6</v>
      </c>
      <c r="BC22">
        <v>1123.1999999999998</v>
      </c>
      <c r="BD22">
        <v>10</v>
      </c>
      <c r="BE22">
        <v>1872</v>
      </c>
      <c r="BF22">
        <v>8</v>
      </c>
      <c r="BG22">
        <v>1497.6</v>
      </c>
      <c r="BH22">
        <v>21</v>
      </c>
      <c r="BI22">
        <v>3931.2</v>
      </c>
      <c r="BJ22">
        <v>18</v>
      </c>
      <c r="BK22">
        <v>3369.6</v>
      </c>
      <c r="BL22">
        <v>20</v>
      </c>
      <c r="BM22">
        <v>3744</v>
      </c>
      <c r="BN22">
        <v>13</v>
      </c>
      <c r="BO22">
        <v>2433.6</v>
      </c>
      <c r="BP22">
        <v>56</v>
      </c>
      <c r="BQ22">
        <v>10483.199999999999</v>
      </c>
      <c r="BR22">
        <v>55</v>
      </c>
      <c r="BS22">
        <v>10296</v>
      </c>
      <c r="BT22">
        <v>45</v>
      </c>
      <c r="BU22">
        <v>8424</v>
      </c>
      <c r="BV22">
        <v>34</v>
      </c>
      <c r="BW22">
        <v>6364.7999999999993</v>
      </c>
      <c r="BX22">
        <v>6</v>
      </c>
      <c r="BY22">
        <v>1123.1999999999998</v>
      </c>
      <c r="BZ22">
        <v>5</v>
      </c>
      <c r="CA22">
        <v>936</v>
      </c>
      <c r="CB22">
        <v>4</v>
      </c>
      <c r="CC22">
        <v>748.8</v>
      </c>
      <c r="CD22">
        <v>6</v>
      </c>
      <c r="CE22">
        <v>1123.1999999999998</v>
      </c>
      <c r="CF22">
        <v>5</v>
      </c>
      <c r="CG22">
        <v>936</v>
      </c>
      <c r="CH22">
        <v>5</v>
      </c>
      <c r="CI22">
        <v>936</v>
      </c>
      <c r="CJ22">
        <v>6</v>
      </c>
      <c r="CK22">
        <v>1123.1999999999998</v>
      </c>
      <c r="CL22">
        <v>4</v>
      </c>
      <c r="CM22">
        <v>748.8</v>
      </c>
      <c r="CN22">
        <v>38</v>
      </c>
      <c r="CO22">
        <v>7113.5999999999995</v>
      </c>
      <c r="CP22">
        <v>42</v>
      </c>
      <c r="CQ22">
        <v>7862.4</v>
      </c>
      <c r="CR22">
        <v>48</v>
      </c>
      <c r="CS22">
        <v>8985.5999999999985</v>
      </c>
      <c r="CT22">
        <v>42</v>
      </c>
      <c r="CU22">
        <v>7862.4</v>
      </c>
    </row>
    <row r="23" spans="2:99" x14ac:dyDescent="0.2">
      <c r="C23" s="116" t="s">
        <v>189</v>
      </c>
      <c r="D23">
        <v>3</v>
      </c>
      <c r="E23">
        <v>882</v>
      </c>
      <c r="F23">
        <v>3</v>
      </c>
      <c r="G23">
        <v>882</v>
      </c>
      <c r="H23">
        <v>3</v>
      </c>
      <c r="I23">
        <v>882</v>
      </c>
      <c r="J23">
        <v>4</v>
      </c>
      <c r="K23">
        <v>1176</v>
      </c>
      <c r="L23">
        <v>5</v>
      </c>
      <c r="M23">
        <v>1470</v>
      </c>
      <c r="N23">
        <v>5</v>
      </c>
      <c r="O23">
        <v>1470</v>
      </c>
      <c r="P23">
        <v>5</v>
      </c>
      <c r="Q23">
        <v>1470</v>
      </c>
      <c r="R23">
        <v>7</v>
      </c>
      <c r="S23">
        <v>2058</v>
      </c>
      <c r="T23">
        <v>39</v>
      </c>
      <c r="U23">
        <v>11466</v>
      </c>
      <c r="V23">
        <v>45</v>
      </c>
      <c r="W23">
        <v>13230</v>
      </c>
      <c r="X23">
        <v>57</v>
      </c>
      <c r="Y23">
        <v>16758</v>
      </c>
      <c r="Z23">
        <v>57</v>
      </c>
      <c r="AA23">
        <v>16758</v>
      </c>
      <c r="AB23">
        <v>5</v>
      </c>
      <c r="AC23">
        <v>1470</v>
      </c>
      <c r="AD23">
        <v>4</v>
      </c>
      <c r="AE23">
        <v>1176</v>
      </c>
      <c r="AF23">
        <v>4</v>
      </c>
      <c r="AG23">
        <v>1176</v>
      </c>
      <c r="AH23">
        <v>5</v>
      </c>
      <c r="AI23">
        <v>1470</v>
      </c>
      <c r="AJ23">
        <v>53</v>
      </c>
      <c r="AK23">
        <v>15582</v>
      </c>
      <c r="AL23">
        <v>39</v>
      </c>
      <c r="AM23">
        <v>11466</v>
      </c>
      <c r="AN23">
        <v>53</v>
      </c>
      <c r="AO23">
        <v>15582</v>
      </c>
      <c r="AP23">
        <v>62.42715428952355</v>
      </c>
      <c r="AQ23">
        <v>18353.583361119923</v>
      </c>
      <c r="AR23">
        <v>43</v>
      </c>
      <c r="AS23">
        <v>12642</v>
      </c>
      <c r="AT23">
        <v>46</v>
      </c>
      <c r="AU23">
        <v>13524</v>
      </c>
      <c r="AV23">
        <v>33</v>
      </c>
      <c r="AW23">
        <v>9702</v>
      </c>
      <c r="AX23">
        <v>27</v>
      </c>
      <c r="AY23">
        <v>7938</v>
      </c>
      <c r="AZ23">
        <v>8</v>
      </c>
      <c r="BA23">
        <v>2352</v>
      </c>
      <c r="BB23">
        <v>6</v>
      </c>
      <c r="BC23">
        <v>1764</v>
      </c>
      <c r="BD23">
        <v>10</v>
      </c>
      <c r="BE23">
        <v>2940</v>
      </c>
      <c r="BF23">
        <v>8</v>
      </c>
      <c r="BG23">
        <v>2352</v>
      </c>
      <c r="BH23">
        <v>21</v>
      </c>
      <c r="BI23">
        <v>6174</v>
      </c>
      <c r="BJ23">
        <v>18</v>
      </c>
      <c r="BK23">
        <v>5292</v>
      </c>
      <c r="BL23">
        <v>21</v>
      </c>
      <c r="BM23">
        <v>6174</v>
      </c>
      <c r="BN23">
        <v>13</v>
      </c>
      <c r="BO23">
        <v>3822</v>
      </c>
      <c r="BP23">
        <v>60</v>
      </c>
      <c r="BQ23">
        <v>17640</v>
      </c>
      <c r="BR23">
        <v>57</v>
      </c>
      <c r="BS23">
        <v>16758</v>
      </c>
      <c r="BT23">
        <v>45</v>
      </c>
      <c r="BU23">
        <v>13230</v>
      </c>
      <c r="BV23">
        <v>34</v>
      </c>
      <c r="BW23">
        <v>9996</v>
      </c>
      <c r="BX23">
        <v>6</v>
      </c>
      <c r="BY23">
        <v>1764</v>
      </c>
      <c r="BZ23">
        <v>5</v>
      </c>
      <c r="CA23">
        <v>1470</v>
      </c>
      <c r="CB23">
        <v>4</v>
      </c>
      <c r="CC23">
        <v>1176</v>
      </c>
      <c r="CD23">
        <v>7</v>
      </c>
      <c r="CE23">
        <v>2058</v>
      </c>
      <c r="CF23">
        <v>5</v>
      </c>
      <c r="CG23">
        <v>1470</v>
      </c>
      <c r="CH23">
        <v>5</v>
      </c>
      <c r="CI23">
        <v>1470</v>
      </c>
      <c r="CJ23">
        <v>6</v>
      </c>
      <c r="CK23">
        <v>1764</v>
      </c>
      <c r="CL23">
        <v>4</v>
      </c>
      <c r="CM23">
        <v>1176</v>
      </c>
      <c r="CN23">
        <v>38</v>
      </c>
      <c r="CO23">
        <v>11172</v>
      </c>
      <c r="CP23">
        <v>42</v>
      </c>
      <c r="CQ23">
        <v>12348</v>
      </c>
      <c r="CR23">
        <v>42</v>
      </c>
      <c r="CS23">
        <v>12348</v>
      </c>
      <c r="CT23">
        <v>43</v>
      </c>
      <c r="CU23">
        <v>12642</v>
      </c>
    </row>
    <row r="24" spans="2:99" x14ac:dyDescent="0.2">
      <c r="C24" s="116" t="s">
        <v>190</v>
      </c>
      <c r="D24">
        <v>3</v>
      </c>
      <c r="E24">
        <v>1101.5999999999999</v>
      </c>
      <c r="F24">
        <v>3</v>
      </c>
      <c r="G24">
        <v>1101.5999999999999</v>
      </c>
      <c r="H24">
        <v>3</v>
      </c>
      <c r="I24">
        <v>1101.5999999999999</v>
      </c>
      <c r="J24">
        <v>5</v>
      </c>
      <c r="K24">
        <v>1836</v>
      </c>
      <c r="L24">
        <v>5</v>
      </c>
      <c r="M24">
        <v>1836</v>
      </c>
      <c r="N24">
        <v>6</v>
      </c>
      <c r="O24">
        <v>2203.1999999999998</v>
      </c>
      <c r="P24">
        <v>5</v>
      </c>
      <c r="Q24">
        <v>1836</v>
      </c>
      <c r="R24">
        <v>7</v>
      </c>
      <c r="S24">
        <v>2570.4</v>
      </c>
      <c r="T24">
        <v>41</v>
      </c>
      <c r="U24">
        <v>15055.199999999999</v>
      </c>
      <c r="V24">
        <v>42</v>
      </c>
      <c r="W24">
        <v>15422.4</v>
      </c>
      <c r="X24">
        <v>52</v>
      </c>
      <c r="Y24">
        <v>19094.399999999998</v>
      </c>
      <c r="Z24">
        <v>60</v>
      </c>
      <c r="AA24">
        <v>22032</v>
      </c>
      <c r="AB24">
        <v>5</v>
      </c>
      <c r="AC24">
        <v>1836</v>
      </c>
      <c r="AD24">
        <v>4</v>
      </c>
      <c r="AE24">
        <v>1468.8</v>
      </c>
      <c r="AF24">
        <v>4</v>
      </c>
      <c r="AG24">
        <v>1468.8</v>
      </c>
      <c r="AH24">
        <v>4</v>
      </c>
      <c r="AI24">
        <v>1468.8</v>
      </c>
      <c r="AJ24">
        <v>56</v>
      </c>
      <c r="AK24">
        <v>20563.2</v>
      </c>
      <c r="AL24">
        <v>40</v>
      </c>
      <c r="AM24">
        <v>14688</v>
      </c>
      <c r="AN24">
        <v>53</v>
      </c>
      <c r="AO24">
        <v>19461.599999999999</v>
      </c>
      <c r="AP24">
        <v>52.672911431785494</v>
      </c>
      <c r="AQ24">
        <v>19341.493077751631</v>
      </c>
      <c r="AR24">
        <v>46</v>
      </c>
      <c r="AS24">
        <v>16891.2</v>
      </c>
      <c r="AT24">
        <v>43</v>
      </c>
      <c r="AU24">
        <v>15789.6</v>
      </c>
      <c r="AV24">
        <v>36</v>
      </c>
      <c r="AW24">
        <v>13219.199999999999</v>
      </c>
      <c r="AX24">
        <v>30</v>
      </c>
      <c r="AY24">
        <v>11016</v>
      </c>
      <c r="AZ24">
        <v>8</v>
      </c>
      <c r="BA24">
        <v>2937.6</v>
      </c>
      <c r="BB24">
        <v>6</v>
      </c>
      <c r="BC24">
        <v>2203.1999999999998</v>
      </c>
      <c r="BD24">
        <v>10</v>
      </c>
      <c r="BE24">
        <v>3672</v>
      </c>
      <c r="BF24">
        <v>7</v>
      </c>
      <c r="BG24">
        <v>2570.4</v>
      </c>
      <c r="BH24">
        <v>21</v>
      </c>
      <c r="BI24">
        <v>7711.2</v>
      </c>
      <c r="BJ24">
        <v>18</v>
      </c>
      <c r="BK24">
        <v>6609.5999999999995</v>
      </c>
      <c r="BL24">
        <v>20</v>
      </c>
      <c r="BM24">
        <v>7344</v>
      </c>
      <c r="BN24">
        <v>12</v>
      </c>
      <c r="BO24">
        <v>4406.3999999999996</v>
      </c>
      <c r="BP24">
        <v>49</v>
      </c>
      <c r="BQ24">
        <v>17992.8</v>
      </c>
      <c r="BR24">
        <v>54</v>
      </c>
      <c r="BS24">
        <v>19828.8</v>
      </c>
      <c r="BT24">
        <v>46</v>
      </c>
      <c r="BU24">
        <v>16891.2</v>
      </c>
      <c r="BV24">
        <v>33</v>
      </c>
      <c r="BW24">
        <v>12117.6</v>
      </c>
      <c r="BX24">
        <v>6</v>
      </c>
      <c r="BY24">
        <v>2203.1999999999998</v>
      </c>
      <c r="BZ24">
        <v>5</v>
      </c>
      <c r="CA24">
        <v>1836</v>
      </c>
      <c r="CB24">
        <v>4</v>
      </c>
      <c r="CC24">
        <v>1468.8</v>
      </c>
      <c r="CD24">
        <v>6</v>
      </c>
      <c r="CE24">
        <v>2203.1999999999998</v>
      </c>
      <c r="CF24">
        <v>5</v>
      </c>
      <c r="CG24">
        <v>1836</v>
      </c>
      <c r="CH24">
        <v>5</v>
      </c>
      <c r="CI24">
        <v>1836</v>
      </c>
      <c r="CJ24">
        <v>6</v>
      </c>
      <c r="CK24">
        <v>2203.1999999999998</v>
      </c>
      <c r="CL24">
        <v>4</v>
      </c>
      <c r="CM24">
        <v>1468.8</v>
      </c>
      <c r="CN24">
        <v>38</v>
      </c>
      <c r="CO24">
        <v>13953.6</v>
      </c>
      <c r="CP24">
        <v>41</v>
      </c>
      <c r="CQ24">
        <v>15055.199999999999</v>
      </c>
      <c r="CR24">
        <v>41</v>
      </c>
      <c r="CS24">
        <v>15055.199999999999</v>
      </c>
      <c r="CT24">
        <v>41</v>
      </c>
      <c r="CU24">
        <v>15055.199999999999</v>
      </c>
    </row>
    <row r="25" spans="2:99" x14ac:dyDescent="0.2">
      <c r="C25" s="116" t="s">
        <v>191</v>
      </c>
      <c r="D25">
        <v>3</v>
      </c>
      <c r="E25">
        <v>1591.1999999999998</v>
      </c>
      <c r="F25">
        <v>3</v>
      </c>
      <c r="G25">
        <v>1591.1999999999998</v>
      </c>
      <c r="H25">
        <v>3</v>
      </c>
      <c r="I25">
        <v>1591.1999999999998</v>
      </c>
      <c r="J25">
        <v>5</v>
      </c>
      <c r="K25">
        <v>2652</v>
      </c>
      <c r="L25">
        <v>5</v>
      </c>
      <c r="M25">
        <v>2652</v>
      </c>
      <c r="N25">
        <v>5</v>
      </c>
      <c r="O25">
        <v>2652</v>
      </c>
      <c r="P25">
        <v>5</v>
      </c>
      <c r="Q25">
        <v>2652</v>
      </c>
      <c r="R25">
        <v>7</v>
      </c>
      <c r="S25">
        <v>3712.7999999999997</v>
      </c>
      <c r="T25">
        <v>33</v>
      </c>
      <c r="U25">
        <v>17503.2</v>
      </c>
      <c r="V25">
        <v>50</v>
      </c>
      <c r="W25">
        <v>26520</v>
      </c>
      <c r="X25">
        <v>52</v>
      </c>
      <c r="Y25">
        <v>27580.799999999999</v>
      </c>
      <c r="Z25">
        <v>56</v>
      </c>
      <c r="AA25">
        <v>29702.399999999998</v>
      </c>
      <c r="AB25">
        <v>4</v>
      </c>
      <c r="AC25">
        <v>2121.6</v>
      </c>
      <c r="AD25">
        <v>5</v>
      </c>
      <c r="AE25">
        <v>2652</v>
      </c>
      <c r="AF25">
        <v>3</v>
      </c>
      <c r="AG25">
        <v>1591.1999999999998</v>
      </c>
      <c r="AH25">
        <v>4</v>
      </c>
      <c r="AI25">
        <v>2121.6</v>
      </c>
      <c r="AJ25">
        <v>47</v>
      </c>
      <c r="AK25">
        <v>24928.799999999999</v>
      </c>
      <c r="AL25">
        <v>40</v>
      </c>
      <c r="AM25">
        <v>21216</v>
      </c>
      <c r="AN25">
        <v>48</v>
      </c>
      <c r="AO25">
        <v>25459.199999999997</v>
      </c>
      <c r="AP25">
        <v>54.623760003333103</v>
      </c>
      <c r="AQ25">
        <v>28972.442305767876</v>
      </c>
      <c r="AR25">
        <v>43</v>
      </c>
      <c r="AS25">
        <v>22807.200000000001</v>
      </c>
      <c r="AT25">
        <v>41</v>
      </c>
      <c r="AU25">
        <v>21746.399999999998</v>
      </c>
      <c r="AV25">
        <v>34</v>
      </c>
      <c r="AW25">
        <v>18033.599999999999</v>
      </c>
      <c r="AX25">
        <v>30</v>
      </c>
      <c r="AY25">
        <v>15912</v>
      </c>
      <c r="AZ25">
        <v>8</v>
      </c>
      <c r="BA25">
        <v>4243.2</v>
      </c>
      <c r="BB25">
        <v>6</v>
      </c>
      <c r="BC25">
        <v>3182.3999999999996</v>
      </c>
      <c r="BD25">
        <v>11</v>
      </c>
      <c r="BE25">
        <v>5834.4</v>
      </c>
      <c r="BF25">
        <v>8</v>
      </c>
      <c r="BG25">
        <v>4243.2</v>
      </c>
      <c r="BH25">
        <v>18</v>
      </c>
      <c r="BI25">
        <v>9547.1999999999989</v>
      </c>
      <c r="BJ25">
        <v>17</v>
      </c>
      <c r="BK25">
        <v>9016.7999999999993</v>
      </c>
      <c r="BL25">
        <v>17</v>
      </c>
      <c r="BM25">
        <v>9016.7999999999993</v>
      </c>
      <c r="BN25">
        <v>13</v>
      </c>
      <c r="BO25">
        <v>6895.2</v>
      </c>
      <c r="BP25">
        <v>51</v>
      </c>
      <c r="BQ25">
        <v>27050.399999999998</v>
      </c>
      <c r="BR25">
        <v>55</v>
      </c>
      <c r="BS25">
        <v>29172</v>
      </c>
      <c r="BT25">
        <v>40</v>
      </c>
      <c r="BU25">
        <v>21216</v>
      </c>
      <c r="BV25">
        <v>29</v>
      </c>
      <c r="BW25">
        <v>15381.599999999999</v>
      </c>
      <c r="BX25">
        <v>7</v>
      </c>
      <c r="BY25">
        <v>3712.7999999999997</v>
      </c>
      <c r="BZ25">
        <v>5</v>
      </c>
      <c r="CA25">
        <v>2652</v>
      </c>
      <c r="CB25">
        <v>4</v>
      </c>
      <c r="CC25">
        <v>2121.6</v>
      </c>
      <c r="CD25">
        <v>6</v>
      </c>
      <c r="CE25">
        <v>3182.3999999999996</v>
      </c>
      <c r="CF25">
        <v>4</v>
      </c>
      <c r="CG25">
        <v>2121.6</v>
      </c>
      <c r="CH25">
        <v>4</v>
      </c>
      <c r="CI25">
        <v>2121.6</v>
      </c>
      <c r="CJ25">
        <v>5</v>
      </c>
      <c r="CK25">
        <v>2652</v>
      </c>
      <c r="CL25">
        <v>4</v>
      </c>
      <c r="CM25">
        <v>2121.6</v>
      </c>
      <c r="CN25">
        <v>33</v>
      </c>
      <c r="CO25">
        <v>17503.2</v>
      </c>
      <c r="CP25">
        <v>41</v>
      </c>
      <c r="CQ25">
        <v>21746.399999999998</v>
      </c>
      <c r="CR25">
        <v>38</v>
      </c>
      <c r="CS25">
        <v>20155.2</v>
      </c>
      <c r="CT25">
        <v>46</v>
      </c>
      <c r="CU25">
        <v>24398.399999999998</v>
      </c>
    </row>
    <row r="26" spans="2:99" x14ac:dyDescent="0.2">
      <c r="C26" s="116" t="s">
        <v>192</v>
      </c>
      <c r="D26">
        <v>3</v>
      </c>
      <c r="E26">
        <v>1458</v>
      </c>
      <c r="F26">
        <v>3</v>
      </c>
      <c r="G26">
        <v>1458</v>
      </c>
      <c r="H26">
        <v>3</v>
      </c>
      <c r="I26">
        <v>1458</v>
      </c>
      <c r="J26">
        <v>5</v>
      </c>
      <c r="K26">
        <v>2430</v>
      </c>
      <c r="L26">
        <v>5</v>
      </c>
      <c r="M26">
        <v>2430</v>
      </c>
      <c r="N26">
        <v>6</v>
      </c>
      <c r="O26">
        <v>2916</v>
      </c>
      <c r="P26">
        <v>5</v>
      </c>
      <c r="Q26">
        <v>2430</v>
      </c>
      <c r="R26">
        <v>7</v>
      </c>
      <c r="S26">
        <v>3402</v>
      </c>
      <c r="T26">
        <v>35</v>
      </c>
      <c r="U26">
        <v>17010</v>
      </c>
      <c r="V26">
        <v>45</v>
      </c>
      <c r="W26">
        <v>21870</v>
      </c>
      <c r="X26">
        <v>55</v>
      </c>
      <c r="Y26">
        <v>26730</v>
      </c>
      <c r="Z26">
        <v>57</v>
      </c>
      <c r="AA26">
        <v>27702</v>
      </c>
      <c r="AB26">
        <v>5</v>
      </c>
      <c r="AC26">
        <v>2430</v>
      </c>
      <c r="AD26">
        <v>5</v>
      </c>
      <c r="AE26">
        <v>2430</v>
      </c>
      <c r="AF26">
        <v>3</v>
      </c>
      <c r="AG26">
        <v>1458</v>
      </c>
      <c r="AH26">
        <v>4</v>
      </c>
      <c r="AI26">
        <v>1944</v>
      </c>
      <c r="AJ26">
        <v>53</v>
      </c>
      <c r="AK26">
        <v>25758</v>
      </c>
      <c r="AL26">
        <v>38</v>
      </c>
      <c r="AM26">
        <v>18468</v>
      </c>
      <c r="AN26">
        <v>48</v>
      </c>
      <c r="AO26">
        <v>23328</v>
      </c>
      <c r="AP26">
        <v>57.550032860654518</v>
      </c>
      <c r="AQ26">
        <v>27969.315970278094</v>
      </c>
      <c r="AR26">
        <v>40</v>
      </c>
      <c r="AS26">
        <v>19440</v>
      </c>
      <c r="AT26">
        <v>47</v>
      </c>
      <c r="AU26">
        <v>22842</v>
      </c>
      <c r="AV26">
        <v>36</v>
      </c>
      <c r="AW26">
        <v>17496</v>
      </c>
      <c r="AX26">
        <v>28</v>
      </c>
      <c r="AY26">
        <v>13608</v>
      </c>
      <c r="AZ26">
        <v>8</v>
      </c>
      <c r="BA26">
        <v>3888</v>
      </c>
      <c r="BB26">
        <v>6</v>
      </c>
      <c r="BC26">
        <v>2916</v>
      </c>
      <c r="BD26">
        <v>11</v>
      </c>
      <c r="BE26">
        <v>5346</v>
      </c>
      <c r="BF26">
        <v>7</v>
      </c>
      <c r="BG26">
        <v>3402</v>
      </c>
      <c r="BH26">
        <v>21</v>
      </c>
      <c r="BI26">
        <v>10206</v>
      </c>
      <c r="BJ26">
        <v>16</v>
      </c>
      <c r="BK26">
        <v>7776</v>
      </c>
      <c r="BL26">
        <v>20</v>
      </c>
      <c r="BM26">
        <v>9720</v>
      </c>
      <c r="BN26">
        <v>12</v>
      </c>
      <c r="BO26">
        <v>5832</v>
      </c>
      <c r="BP26">
        <v>49</v>
      </c>
      <c r="BQ26">
        <v>23814</v>
      </c>
      <c r="BR26">
        <v>47</v>
      </c>
      <c r="BS26">
        <v>22842</v>
      </c>
      <c r="BT26">
        <v>45</v>
      </c>
      <c r="BU26">
        <v>21870</v>
      </c>
      <c r="BV26">
        <v>34</v>
      </c>
      <c r="BW26">
        <v>16524</v>
      </c>
      <c r="BX26">
        <v>6</v>
      </c>
      <c r="BY26">
        <v>2916</v>
      </c>
      <c r="BZ26">
        <v>5</v>
      </c>
      <c r="CA26">
        <v>2430</v>
      </c>
      <c r="CB26">
        <v>4</v>
      </c>
      <c r="CC26">
        <v>1944</v>
      </c>
      <c r="CD26">
        <v>6</v>
      </c>
      <c r="CE26">
        <v>2916</v>
      </c>
      <c r="CF26">
        <v>5</v>
      </c>
      <c r="CG26">
        <v>2430</v>
      </c>
      <c r="CH26">
        <v>4</v>
      </c>
      <c r="CI26">
        <v>1944</v>
      </c>
      <c r="CJ26">
        <v>5</v>
      </c>
      <c r="CK26">
        <v>2430</v>
      </c>
      <c r="CL26">
        <v>4</v>
      </c>
      <c r="CM26">
        <v>1944</v>
      </c>
      <c r="CN26">
        <v>38</v>
      </c>
      <c r="CO26">
        <v>18468</v>
      </c>
      <c r="CP26">
        <v>34</v>
      </c>
      <c r="CQ26">
        <v>16524</v>
      </c>
      <c r="CR26">
        <v>44</v>
      </c>
      <c r="CS26">
        <v>21384</v>
      </c>
      <c r="CT26">
        <v>42</v>
      </c>
      <c r="CU26">
        <v>20412</v>
      </c>
    </row>
    <row r="27" spans="2:99" x14ac:dyDescent="0.2">
      <c r="C27" s="116" t="s">
        <v>193</v>
      </c>
      <c r="D27">
        <v>3</v>
      </c>
      <c r="E27">
        <v>1281.5999999999999</v>
      </c>
      <c r="F27">
        <v>3</v>
      </c>
      <c r="G27">
        <v>1281.5999999999999</v>
      </c>
      <c r="H27">
        <v>3</v>
      </c>
      <c r="I27">
        <v>1281.5999999999999</v>
      </c>
      <c r="J27">
        <v>5</v>
      </c>
      <c r="K27">
        <v>2136</v>
      </c>
      <c r="L27">
        <v>6</v>
      </c>
      <c r="M27">
        <v>2563.1999999999998</v>
      </c>
      <c r="N27">
        <v>5</v>
      </c>
      <c r="O27">
        <v>2136</v>
      </c>
      <c r="P27">
        <v>5</v>
      </c>
      <c r="Q27">
        <v>2136</v>
      </c>
      <c r="R27">
        <v>7</v>
      </c>
      <c r="S27">
        <v>2990.4</v>
      </c>
      <c r="T27">
        <v>37</v>
      </c>
      <c r="U27">
        <v>15806.4</v>
      </c>
      <c r="V27">
        <v>44</v>
      </c>
      <c r="W27">
        <v>18796.8</v>
      </c>
      <c r="X27">
        <v>56</v>
      </c>
      <c r="Y27">
        <v>23923.200000000001</v>
      </c>
      <c r="Z27">
        <v>57</v>
      </c>
      <c r="AA27">
        <v>24350.399999999998</v>
      </c>
      <c r="AB27">
        <v>5</v>
      </c>
      <c r="AC27">
        <v>2136</v>
      </c>
      <c r="AD27">
        <v>5</v>
      </c>
      <c r="AE27">
        <v>2136</v>
      </c>
      <c r="AF27">
        <v>4</v>
      </c>
      <c r="AG27">
        <v>1708.8</v>
      </c>
      <c r="AH27">
        <v>4</v>
      </c>
      <c r="AI27">
        <v>1708.8</v>
      </c>
      <c r="AJ27">
        <v>47</v>
      </c>
      <c r="AK27">
        <v>20078.399999999998</v>
      </c>
      <c r="AL27">
        <v>40</v>
      </c>
      <c r="AM27">
        <v>17088</v>
      </c>
      <c r="AN27">
        <v>52</v>
      </c>
      <c r="AO27">
        <v>22214.399999999998</v>
      </c>
      <c r="AP27">
        <v>53.648335717559299</v>
      </c>
      <c r="AQ27">
        <v>22918.569018541333</v>
      </c>
      <c r="AR27">
        <v>40</v>
      </c>
      <c r="AS27">
        <v>17088</v>
      </c>
      <c r="AT27">
        <v>47</v>
      </c>
      <c r="AU27">
        <v>20078.399999999998</v>
      </c>
      <c r="AV27">
        <v>33</v>
      </c>
      <c r="AW27">
        <v>14097.6</v>
      </c>
      <c r="AX27">
        <v>30</v>
      </c>
      <c r="AY27">
        <v>12816</v>
      </c>
      <c r="AZ27">
        <v>8</v>
      </c>
      <c r="BA27">
        <v>3417.6</v>
      </c>
      <c r="BB27">
        <v>6</v>
      </c>
      <c r="BC27">
        <v>2563.1999999999998</v>
      </c>
      <c r="BD27">
        <v>10</v>
      </c>
      <c r="BE27">
        <v>4272</v>
      </c>
      <c r="BF27">
        <v>8</v>
      </c>
      <c r="BG27">
        <v>3417.6</v>
      </c>
      <c r="BH27">
        <v>21</v>
      </c>
      <c r="BI27">
        <v>8971.1999999999989</v>
      </c>
      <c r="BJ27">
        <v>18</v>
      </c>
      <c r="BK27">
        <v>7689.5999999999995</v>
      </c>
      <c r="BL27">
        <v>20</v>
      </c>
      <c r="BM27">
        <v>8544</v>
      </c>
      <c r="BN27">
        <v>13</v>
      </c>
      <c r="BO27">
        <v>5553.5999999999995</v>
      </c>
      <c r="BP27">
        <v>58</v>
      </c>
      <c r="BQ27">
        <v>24777.599999999999</v>
      </c>
      <c r="BR27">
        <v>54</v>
      </c>
      <c r="BS27">
        <v>23068.799999999999</v>
      </c>
      <c r="BT27">
        <v>40</v>
      </c>
      <c r="BU27">
        <v>17088</v>
      </c>
      <c r="BV27">
        <v>34</v>
      </c>
      <c r="BW27">
        <v>14524.8</v>
      </c>
      <c r="BX27">
        <v>6</v>
      </c>
      <c r="BY27">
        <v>2563.1999999999998</v>
      </c>
      <c r="BZ27">
        <v>5</v>
      </c>
      <c r="CA27">
        <v>2136</v>
      </c>
      <c r="CB27">
        <v>4</v>
      </c>
      <c r="CC27">
        <v>1708.8</v>
      </c>
      <c r="CD27">
        <v>6</v>
      </c>
      <c r="CE27">
        <v>2563.1999999999998</v>
      </c>
      <c r="CF27">
        <v>5</v>
      </c>
      <c r="CG27">
        <v>2136</v>
      </c>
      <c r="CH27">
        <v>5</v>
      </c>
      <c r="CI27">
        <v>2136</v>
      </c>
      <c r="CJ27">
        <v>5</v>
      </c>
      <c r="CK27">
        <v>2136</v>
      </c>
      <c r="CL27">
        <v>4</v>
      </c>
      <c r="CM27">
        <v>1708.8</v>
      </c>
      <c r="CN27">
        <v>39</v>
      </c>
      <c r="CO27">
        <v>16660.8</v>
      </c>
      <c r="CP27">
        <v>35</v>
      </c>
      <c r="CQ27">
        <v>14952</v>
      </c>
      <c r="CR27">
        <v>40</v>
      </c>
      <c r="CS27">
        <v>17088</v>
      </c>
      <c r="CT27">
        <v>45</v>
      </c>
      <c r="CU27">
        <v>19224</v>
      </c>
    </row>
    <row r="28" spans="2:99" x14ac:dyDescent="0.2">
      <c r="C28" s="116" t="s">
        <v>194</v>
      </c>
      <c r="D28">
        <v>3</v>
      </c>
      <c r="E28">
        <v>2214</v>
      </c>
      <c r="F28">
        <v>3</v>
      </c>
      <c r="G28">
        <v>2214</v>
      </c>
      <c r="H28">
        <v>2</v>
      </c>
      <c r="I28">
        <v>1476</v>
      </c>
      <c r="J28">
        <v>4</v>
      </c>
      <c r="K28">
        <v>2952</v>
      </c>
      <c r="L28">
        <v>5</v>
      </c>
      <c r="M28">
        <v>3690</v>
      </c>
      <c r="N28">
        <v>5</v>
      </c>
      <c r="O28">
        <v>3690</v>
      </c>
      <c r="P28">
        <v>5</v>
      </c>
      <c r="Q28">
        <v>3690</v>
      </c>
      <c r="R28">
        <v>7</v>
      </c>
      <c r="S28">
        <v>5166</v>
      </c>
      <c r="T28">
        <v>36</v>
      </c>
      <c r="U28">
        <v>26568</v>
      </c>
      <c r="V28">
        <v>47</v>
      </c>
      <c r="W28">
        <v>34686</v>
      </c>
      <c r="X28">
        <v>45</v>
      </c>
      <c r="Y28">
        <v>33210</v>
      </c>
      <c r="Z28">
        <v>54</v>
      </c>
      <c r="AA28">
        <v>39852</v>
      </c>
      <c r="AB28">
        <v>4</v>
      </c>
      <c r="AC28">
        <v>2952</v>
      </c>
      <c r="AD28">
        <v>4</v>
      </c>
      <c r="AE28">
        <v>2952</v>
      </c>
      <c r="AF28">
        <v>4</v>
      </c>
      <c r="AG28">
        <v>2952</v>
      </c>
      <c r="AH28">
        <v>4</v>
      </c>
      <c r="AI28">
        <v>2952</v>
      </c>
      <c r="AJ28">
        <v>50</v>
      </c>
      <c r="AK28">
        <v>36900</v>
      </c>
      <c r="AL28">
        <v>35</v>
      </c>
      <c r="AM28">
        <v>25830</v>
      </c>
      <c r="AN28">
        <v>46</v>
      </c>
      <c r="AO28">
        <v>33948</v>
      </c>
      <c r="AP28">
        <v>51.697487146011689</v>
      </c>
      <c r="AQ28">
        <v>38152.745513756628</v>
      </c>
      <c r="AR28">
        <v>43</v>
      </c>
      <c r="AS28">
        <v>31734</v>
      </c>
      <c r="AT28">
        <v>46</v>
      </c>
      <c r="AU28">
        <v>33948</v>
      </c>
      <c r="AV28">
        <v>36</v>
      </c>
      <c r="AW28">
        <v>26568</v>
      </c>
      <c r="AX28">
        <v>24</v>
      </c>
      <c r="AY28">
        <v>17712</v>
      </c>
      <c r="AZ28">
        <v>7</v>
      </c>
      <c r="BA28">
        <v>5166</v>
      </c>
      <c r="BB28">
        <v>6</v>
      </c>
      <c r="BC28">
        <v>4428</v>
      </c>
      <c r="BD28">
        <v>10</v>
      </c>
      <c r="BE28">
        <v>7380</v>
      </c>
      <c r="BF28">
        <v>7</v>
      </c>
      <c r="BG28">
        <v>5166</v>
      </c>
      <c r="BH28">
        <v>20</v>
      </c>
      <c r="BI28">
        <v>14760</v>
      </c>
      <c r="BJ28">
        <v>17</v>
      </c>
      <c r="BK28">
        <v>12546</v>
      </c>
      <c r="BL28">
        <v>17</v>
      </c>
      <c r="BM28">
        <v>12546</v>
      </c>
      <c r="BN28">
        <v>11</v>
      </c>
      <c r="BO28">
        <v>8118</v>
      </c>
      <c r="BP28">
        <v>55</v>
      </c>
      <c r="BQ28">
        <v>40590</v>
      </c>
      <c r="BR28">
        <v>49</v>
      </c>
      <c r="BS28">
        <v>36162</v>
      </c>
      <c r="BT28">
        <v>44</v>
      </c>
      <c r="BU28">
        <v>32472</v>
      </c>
      <c r="BV28">
        <v>27</v>
      </c>
      <c r="BW28">
        <v>19926</v>
      </c>
      <c r="BX28">
        <v>6</v>
      </c>
      <c r="BY28">
        <v>4428</v>
      </c>
      <c r="BZ28">
        <v>4</v>
      </c>
      <c r="CA28">
        <v>2952</v>
      </c>
      <c r="CB28">
        <v>4</v>
      </c>
      <c r="CC28">
        <v>2952</v>
      </c>
      <c r="CD28">
        <v>6</v>
      </c>
      <c r="CE28">
        <v>4428</v>
      </c>
      <c r="CF28">
        <v>4</v>
      </c>
      <c r="CG28">
        <v>2952</v>
      </c>
      <c r="CH28">
        <v>5</v>
      </c>
      <c r="CI28">
        <v>3690</v>
      </c>
      <c r="CJ28">
        <v>6</v>
      </c>
      <c r="CK28">
        <v>4428</v>
      </c>
      <c r="CL28">
        <v>4</v>
      </c>
      <c r="CM28">
        <v>2952</v>
      </c>
      <c r="CN28">
        <v>38</v>
      </c>
      <c r="CO28">
        <v>28044</v>
      </c>
      <c r="CP28">
        <v>38</v>
      </c>
      <c r="CQ28">
        <v>28044</v>
      </c>
      <c r="CR28">
        <v>37</v>
      </c>
      <c r="CS28">
        <v>27306</v>
      </c>
      <c r="CT28">
        <v>43</v>
      </c>
      <c r="CU28">
        <v>31734</v>
      </c>
    </row>
    <row r="29" spans="2:99" x14ac:dyDescent="0.2">
      <c r="C29" s="116" t="s">
        <v>195</v>
      </c>
      <c r="D29">
        <v>3</v>
      </c>
      <c r="E29">
        <v>1015.1999999999999</v>
      </c>
      <c r="F29">
        <v>3</v>
      </c>
      <c r="G29">
        <v>1015.1999999999999</v>
      </c>
      <c r="H29">
        <v>3</v>
      </c>
      <c r="I29">
        <v>1015.1999999999999</v>
      </c>
      <c r="J29">
        <v>5</v>
      </c>
      <c r="K29">
        <v>1692</v>
      </c>
      <c r="L29">
        <v>5</v>
      </c>
      <c r="M29">
        <v>1692</v>
      </c>
      <c r="N29">
        <v>6</v>
      </c>
      <c r="O29">
        <v>2030.3999999999999</v>
      </c>
      <c r="P29">
        <v>5</v>
      </c>
      <c r="Q29">
        <v>1692</v>
      </c>
      <c r="R29">
        <v>8</v>
      </c>
      <c r="S29">
        <v>2707.2</v>
      </c>
      <c r="T29">
        <v>36</v>
      </c>
      <c r="U29">
        <v>12182.4</v>
      </c>
      <c r="V29">
        <v>47</v>
      </c>
      <c r="W29">
        <v>15904.8</v>
      </c>
      <c r="X29">
        <v>48</v>
      </c>
      <c r="Y29">
        <v>16243.199999999999</v>
      </c>
      <c r="Z29">
        <v>61</v>
      </c>
      <c r="AA29">
        <v>20642.399999999998</v>
      </c>
      <c r="AB29">
        <v>5</v>
      </c>
      <c r="AC29">
        <v>1692</v>
      </c>
      <c r="AD29">
        <v>5</v>
      </c>
      <c r="AE29">
        <v>1692</v>
      </c>
      <c r="AF29">
        <v>4</v>
      </c>
      <c r="AG29">
        <v>1353.6</v>
      </c>
      <c r="AH29">
        <v>4</v>
      </c>
      <c r="AI29">
        <v>1353.6</v>
      </c>
      <c r="AJ29">
        <v>48</v>
      </c>
      <c r="AK29">
        <v>16243.199999999999</v>
      </c>
      <c r="AL29">
        <v>37</v>
      </c>
      <c r="AM29">
        <v>12520.8</v>
      </c>
      <c r="AN29">
        <v>52</v>
      </c>
      <c r="AO29">
        <v>17596.8</v>
      </c>
      <c r="AP29">
        <v>61.451730003749745</v>
      </c>
      <c r="AQ29">
        <v>20795.265433268913</v>
      </c>
      <c r="AR29">
        <v>43</v>
      </c>
      <c r="AS29">
        <v>14551.199999999999</v>
      </c>
      <c r="AT29">
        <v>50</v>
      </c>
      <c r="AU29">
        <v>16920</v>
      </c>
      <c r="AV29">
        <v>39</v>
      </c>
      <c r="AW29">
        <v>13197.599999999999</v>
      </c>
      <c r="AX29">
        <v>28</v>
      </c>
      <c r="AY29">
        <v>9475.1999999999989</v>
      </c>
      <c r="AZ29">
        <v>8</v>
      </c>
      <c r="BA29">
        <v>2707.2</v>
      </c>
      <c r="BB29">
        <v>6</v>
      </c>
      <c r="BC29">
        <v>2030.3999999999999</v>
      </c>
      <c r="BD29">
        <v>11</v>
      </c>
      <c r="BE29">
        <v>3722.3999999999996</v>
      </c>
      <c r="BF29">
        <v>7</v>
      </c>
      <c r="BG29">
        <v>2368.7999999999997</v>
      </c>
      <c r="BH29">
        <v>19</v>
      </c>
      <c r="BI29">
        <v>6429.5999999999995</v>
      </c>
      <c r="BJ29">
        <v>18</v>
      </c>
      <c r="BK29">
        <v>6091.2</v>
      </c>
      <c r="BL29">
        <v>22</v>
      </c>
      <c r="BM29">
        <v>7444.7999999999993</v>
      </c>
      <c r="BN29">
        <v>12</v>
      </c>
      <c r="BO29">
        <v>4060.7999999999997</v>
      </c>
      <c r="BP29">
        <v>54</v>
      </c>
      <c r="BQ29">
        <v>18273.599999999999</v>
      </c>
      <c r="BR29">
        <v>48</v>
      </c>
      <c r="BS29">
        <v>16243.199999999999</v>
      </c>
      <c r="BT29">
        <v>42</v>
      </c>
      <c r="BU29">
        <v>14212.8</v>
      </c>
      <c r="BV29">
        <v>33</v>
      </c>
      <c r="BW29">
        <v>11167.199999999999</v>
      </c>
      <c r="BX29">
        <v>6</v>
      </c>
      <c r="BY29">
        <v>2030.3999999999999</v>
      </c>
      <c r="BZ29">
        <v>4</v>
      </c>
      <c r="CA29">
        <v>1353.6</v>
      </c>
      <c r="CB29">
        <v>4</v>
      </c>
      <c r="CC29">
        <v>1353.6</v>
      </c>
      <c r="CD29">
        <v>7</v>
      </c>
      <c r="CE29">
        <v>2368.7999999999997</v>
      </c>
      <c r="CF29">
        <v>4</v>
      </c>
      <c r="CG29">
        <v>1353.6</v>
      </c>
      <c r="CH29">
        <v>4</v>
      </c>
      <c r="CI29">
        <v>1353.6</v>
      </c>
      <c r="CJ29">
        <v>5</v>
      </c>
      <c r="CK29">
        <v>1692</v>
      </c>
      <c r="CL29">
        <v>4</v>
      </c>
      <c r="CM29">
        <v>1353.6</v>
      </c>
      <c r="CN29">
        <v>40</v>
      </c>
      <c r="CO29">
        <v>13536</v>
      </c>
      <c r="CP29">
        <v>35</v>
      </c>
      <c r="CQ29">
        <v>11844</v>
      </c>
      <c r="CR29">
        <v>46</v>
      </c>
      <c r="CS29">
        <v>15566.4</v>
      </c>
      <c r="CT29">
        <v>50</v>
      </c>
      <c r="CU29">
        <v>16920</v>
      </c>
    </row>
    <row r="30" spans="2:99" x14ac:dyDescent="0.2">
      <c r="C30" s="116" t="s">
        <v>196</v>
      </c>
      <c r="D30">
        <v>3</v>
      </c>
      <c r="E30">
        <v>417.59999999999997</v>
      </c>
      <c r="F30">
        <v>3</v>
      </c>
      <c r="G30">
        <v>417.59999999999997</v>
      </c>
      <c r="H30">
        <v>3</v>
      </c>
      <c r="I30">
        <v>417.59999999999997</v>
      </c>
      <c r="J30">
        <v>5</v>
      </c>
      <c r="K30">
        <v>696</v>
      </c>
      <c r="L30">
        <v>5</v>
      </c>
      <c r="M30">
        <v>696</v>
      </c>
      <c r="N30">
        <v>6</v>
      </c>
      <c r="O30">
        <v>835.19999999999993</v>
      </c>
      <c r="P30">
        <v>5</v>
      </c>
      <c r="Q30">
        <v>696</v>
      </c>
      <c r="R30">
        <v>7</v>
      </c>
      <c r="S30">
        <v>974.39999999999986</v>
      </c>
      <c r="T30">
        <v>41</v>
      </c>
      <c r="U30">
        <v>5707.2</v>
      </c>
      <c r="V30">
        <v>52</v>
      </c>
      <c r="W30">
        <v>7238.4</v>
      </c>
      <c r="X30">
        <v>50</v>
      </c>
      <c r="Y30">
        <v>6959.9999999999991</v>
      </c>
      <c r="Z30">
        <v>62</v>
      </c>
      <c r="AA30">
        <v>8630.4</v>
      </c>
      <c r="AB30">
        <v>4</v>
      </c>
      <c r="AC30">
        <v>556.79999999999995</v>
      </c>
      <c r="AD30">
        <v>4</v>
      </c>
      <c r="AE30">
        <v>556.79999999999995</v>
      </c>
      <c r="AF30">
        <v>4</v>
      </c>
      <c r="AG30">
        <v>556.79999999999995</v>
      </c>
      <c r="AH30">
        <v>5</v>
      </c>
      <c r="AI30">
        <v>696</v>
      </c>
      <c r="AJ30">
        <v>52</v>
      </c>
      <c r="AK30">
        <v>7238.4</v>
      </c>
      <c r="AL30">
        <v>38</v>
      </c>
      <c r="AM30">
        <v>5289.5999999999995</v>
      </c>
      <c r="AN30">
        <v>55</v>
      </c>
      <c r="AO30">
        <v>7655.9999999999991</v>
      </c>
      <c r="AP30">
        <v>61.451730003749745</v>
      </c>
      <c r="AQ30">
        <v>8554.0808165219642</v>
      </c>
      <c r="AR30">
        <v>47</v>
      </c>
      <c r="AS30">
        <v>6542.4</v>
      </c>
      <c r="AT30">
        <v>46</v>
      </c>
      <c r="AU30">
        <v>6403.2</v>
      </c>
      <c r="AV30">
        <v>40</v>
      </c>
      <c r="AW30">
        <v>5568</v>
      </c>
      <c r="AX30">
        <v>31</v>
      </c>
      <c r="AY30">
        <v>4315.2</v>
      </c>
      <c r="AZ30">
        <v>9</v>
      </c>
      <c r="BA30">
        <v>1252.8</v>
      </c>
      <c r="BB30">
        <v>6</v>
      </c>
      <c r="BC30">
        <v>835.19999999999993</v>
      </c>
      <c r="BD30">
        <v>11</v>
      </c>
      <c r="BE30">
        <v>1531.1999999999998</v>
      </c>
      <c r="BF30">
        <v>8</v>
      </c>
      <c r="BG30">
        <v>1113.5999999999999</v>
      </c>
      <c r="BH30">
        <v>22</v>
      </c>
      <c r="BI30">
        <v>3062.3999999999996</v>
      </c>
      <c r="BJ30">
        <v>19</v>
      </c>
      <c r="BK30">
        <v>2644.7999999999997</v>
      </c>
      <c r="BL30">
        <v>20</v>
      </c>
      <c r="BM30">
        <v>2784</v>
      </c>
      <c r="BN30">
        <v>13</v>
      </c>
      <c r="BO30">
        <v>1809.6</v>
      </c>
      <c r="BP30">
        <v>55</v>
      </c>
      <c r="BQ30">
        <v>7655.9999999999991</v>
      </c>
      <c r="BR30">
        <v>57</v>
      </c>
      <c r="BS30">
        <v>7934.4</v>
      </c>
      <c r="BT30">
        <v>44</v>
      </c>
      <c r="BU30">
        <v>6124.7999999999993</v>
      </c>
      <c r="BV30">
        <v>34</v>
      </c>
      <c r="BW30">
        <v>4732.7999999999993</v>
      </c>
      <c r="BX30">
        <v>6</v>
      </c>
      <c r="BY30">
        <v>835.19999999999993</v>
      </c>
      <c r="BZ30">
        <v>5</v>
      </c>
      <c r="CA30">
        <v>696</v>
      </c>
      <c r="CB30">
        <v>4</v>
      </c>
      <c r="CC30">
        <v>556.79999999999995</v>
      </c>
      <c r="CD30">
        <v>6</v>
      </c>
      <c r="CE30">
        <v>835.19999999999993</v>
      </c>
      <c r="CF30">
        <v>5</v>
      </c>
      <c r="CG30">
        <v>696</v>
      </c>
      <c r="CH30">
        <v>5</v>
      </c>
      <c r="CI30">
        <v>696</v>
      </c>
      <c r="CJ30">
        <v>6</v>
      </c>
      <c r="CK30">
        <v>835.19999999999993</v>
      </c>
      <c r="CL30">
        <v>4</v>
      </c>
      <c r="CM30">
        <v>556.79999999999995</v>
      </c>
      <c r="CN30">
        <v>40</v>
      </c>
      <c r="CO30">
        <v>5568</v>
      </c>
      <c r="CP30">
        <v>38</v>
      </c>
      <c r="CQ30">
        <v>5289.5999999999995</v>
      </c>
      <c r="CR30">
        <v>44</v>
      </c>
      <c r="CS30">
        <v>6124.7999999999993</v>
      </c>
      <c r="CT30">
        <v>45</v>
      </c>
      <c r="CU30">
        <v>6263.9999999999991</v>
      </c>
    </row>
    <row r="31" spans="2:99" x14ac:dyDescent="0.2">
      <c r="C31" s="116" t="s">
        <v>197</v>
      </c>
      <c r="D31">
        <v>3</v>
      </c>
      <c r="E31">
        <v>1022.4000000000001</v>
      </c>
      <c r="F31">
        <v>3</v>
      </c>
      <c r="G31">
        <v>1022.4000000000001</v>
      </c>
      <c r="H31">
        <v>3</v>
      </c>
      <c r="I31">
        <v>1022.4000000000001</v>
      </c>
      <c r="J31">
        <v>5</v>
      </c>
      <c r="K31">
        <v>1704</v>
      </c>
      <c r="L31">
        <v>5</v>
      </c>
      <c r="M31">
        <v>1704</v>
      </c>
      <c r="N31">
        <v>6</v>
      </c>
      <c r="O31">
        <v>2044.8000000000002</v>
      </c>
      <c r="P31">
        <v>5</v>
      </c>
      <c r="Q31">
        <v>1704</v>
      </c>
      <c r="R31">
        <v>8</v>
      </c>
      <c r="S31">
        <v>2726.4</v>
      </c>
      <c r="T31">
        <v>36</v>
      </c>
      <c r="U31">
        <v>12268.800000000001</v>
      </c>
      <c r="V31">
        <v>43</v>
      </c>
      <c r="W31">
        <v>14654.4</v>
      </c>
      <c r="X31">
        <v>50</v>
      </c>
      <c r="Y31">
        <v>17040</v>
      </c>
      <c r="Z31">
        <v>68</v>
      </c>
      <c r="AA31">
        <v>23174.400000000001</v>
      </c>
      <c r="AB31">
        <v>4</v>
      </c>
      <c r="AC31">
        <v>1363.2</v>
      </c>
      <c r="AD31">
        <v>5</v>
      </c>
      <c r="AE31">
        <v>1704</v>
      </c>
      <c r="AF31">
        <v>4</v>
      </c>
      <c r="AG31">
        <v>1363.2</v>
      </c>
      <c r="AH31">
        <v>4</v>
      </c>
      <c r="AI31">
        <v>1363.2</v>
      </c>
      <c r="AJ31">
        <v>49</v>
      </c>
      <c r="AK31">
        <v>16699.2</v>
      </c>
      <c r="AL31">
        <v>35</v>
      </c>
      <c r="AM31">
        <v>11928</v>
      </c>
      <c r="AN31">
        <v>58</v>
      </c>
      <c r="AO31">
        <v>19766.400000000001</v>
      </c>
      <c r="AP31">
        <v>53.648335717559299</v>
      </c>
      <c r="AQ31">
        <v>18283.35281254421</v>
      </c>
      <c r="AR31">
        <v>41</v>
      </c>
      <c r="AS31">
        <v>13972.800000000001</v>
      </c>
      <c r="AT31">
        <v>43</v>
      </c>
      <c r="AU31">
        <v>14654.4</v>
      </c>
      <c r="AV31">
        <v>36</v>
      </c>
      <c r="AW31">
        <v>12268.800000000001</v>
      </c>
      <c r="AX31">
        <v>31</v>
      </c>
      <c r="AY31">
        <v>10564.800000000001</v>
      </c>
      <c r="AZ31">
        <v>8</v>
      </c>
      <c r="BA31">
        <v>2726.4</v>
      </c>
      <c r="BB31">
        <v>6</v>
      </c>
      <c r="BC31">
        <v>2044.8000000000002</v>
      </c>
      <c r="BD31">
        <v>12</v>
      </c>
      <c r="BE31">
        <v>4089.6000000000004</v>
      </c>
      <c r="BF31">
        <v>7</v>
      </c>
      <c r="BG31">
        <v>2385.6</v>
      </c>
      <c r="BH31">
        <v>21</v>
      </c>
      <c r="BI31">
        <v>7156.8</v>
      </c>
      <c r="BJ31">
        <v>16</v>
      </c>
      <c r="BK31">
        <v>5452.8</v>
      </c>
      <c r="BL31">
        <v>20</v>
      </c>
      <c r="BM31">
        <v>6816</v>
      </c>
      <c r="BN31">
        <v>12</v>
      </c>
      <c r="BO31">
        <v>4089.6000000000004</v>
      </c>
      <c r="BP31">
        <v>57</v>
      </c>
      <c r="BQ31">
        <v>19425.600000000002</v>
      </c>
      <c r="BR31">
        <v>55</v>
      </c>
      <c r="BS31">
        <v>18744</v>
      </c>
      <c r="BT31">
        <v>44</v>
      </c>
      <c r="BU31">
        <v>14995.2</v>
      </c>
      <c r="BV31">
        <v>32</v>
      </c>
      <c r="BW31">
        <v>10905.6</v>
      </c>
      <c r="BX31">
        <v>7</v>
      </c>
      <c r="BY31">
        <v>2385.6</v>
      </c>
      <c r="BZ31">
        <v>5</v>
      </c>
      <c r="CA31">
        <v>1704</v>
      </c>
      <c r="CB31">
        <v>4</v>
      </c>
      <c r="CC31">
        <v>1363.2</v>
      </c>
      <c r="CD31">
        <v>6</v>
      </c>
      <c r="CE31">
        <v>2044.8000000000002</v>
      </c>
      <c r="CF31">
        <v>4</v>
      </c>
      <c r="CG31">
        <v>1363.2</v>
      </c>
      <c r="CH31">
        <v>5</v>
      </c>
      <c r="CI31">
        <v>1704</v>
      </c>
      <c r="CJ31">
        <v>6</v>
      </c>
      <c r="CK31">
        <v>2044.8000000000002</v>
      </c>
      <c r="CL31">
        <v>4</v>
      </c>
      <c r="CM31">
        <v>1363.2</v>
      </c>
      <c r="CN31">
        <v>40</v>
      </c>
      <c r="CO31">
        <v>13632</v>
      </c>
      <c r="CP31">
        <v>40</v>
      </c>
      <c r="CQ31">
        <v>13632</v>
      </c>
      <c r="CR31">
        <v>40</v>
      </c>
      <c r="CS31">
        <v>13632</v>
      </c>
      <c r="CT31">
        <v>48</v>
      </c>
      <c r="CU31">
        <v>16358.400000000001</v>
      </c>
    </row>
    <row r="32" spans="2:99" x14ac:dyDescent="0.2">
      <c r="C32" s="116" t="s">
        <v>198</v>
      </c>
      <c r="D32">
        <v>3</v>
      </c>
      <c r="E32">
        <v>2520</v>
      </c>
      <c r="F32">
        <v>3</v>
      </c>
      <c r="G32">
        <v>2520</v>
      </c>
      <c r="H32">
        <v>2</v>
      </c>
      <c r="I32">
        <v>1680</v>
      </c>
      <c r="J32">
        <v>4</v>
      </c>
      <c r="K32">
        <v>3360</v>
      </c>
      <c r="L32">
        <v>5</v>
      </c>
      <c r="M32">
        <v>4200</v>
      </c>
      <c r="N32">
        <v>6</v>
      </c>
      <c r="O32">
        <v>5040</v>
      </c>
      <c r="P32">
        <v>5</v>
      </c>
      <c r="Q32">
        <v>4200</v>
      </c>
      <c r="R32">
        <v>7</v>
      </c>
      <c r="S32">
        <v>5880</v>
      </c>
      <c r="T32">
        <v>34</v>
      </c>
      <c r="U32">
        <v>28560</v>
      </c>
      <c r="V32">
        <v>44</v>
      </c>
      <c r="W32">
        <v>36960</v>
      </c>
      <c r="X32">
        <v>45</v>
      </c>
      <c r="Y32">
        <v>37800</v>
      </c>
      <c r="Z32">
        <v>60</v>
      </c>
      <c r="AA32">
        <v>50400</v>
      </c>
      <c r="AB32">
        <v>4</v>
      </c>
      <c r="AC32">
        <v>3360</v>
      </c>
      <c r="AD32">
        <v>4</v>
      </c>
      <c r="AE32">
        <v>3360</v>
      </c>
      <c r="AF32">
        <v>3</v>
      </c>
      <c r="AG32">
        <v>2520</v>
      </c>
      <c r="AH32">
        <v>4</v>
      </c>
      <c r="AI32">
        <v>3360</v>
      </c>
      <c r="AJ32">
        <v>44</v>
      </c>
      <c r="AK32">
        <v>36960</v>
      </c>
      <c r="AL32">
        <v>36</v>
      </c>
      <c r="AM32">
        <v>30240</v>
      </c>
      <c r="AN32">
        <v>48</v>
      </c>
      <c r="AO32">
        <v>40320</v>
      </c>
      <c r="AP32">
        <v>53.648335717559299</v>
      </c>
      <c r="AQ32">
        <v>45064.602002749809</v>
      </c>
      <c r="AR32">
        <v>38</v>
      </c>
      <c r="AS32">
        <v>31920</v>
      </c>
      <c r="AT32">
        <v>44</v>
      </c>
      <c r="AU32">
        <v>36960</v>
      </c>
      <c r="AV32">
        <v>36</v>
      </c>
      <c r="AW32">
        <v>30240</v>
      </c>
      <c r="AX32">
        <v>26</v>
      </c>
      <c r="AY32">
        <v>21840</v>
      </c>
      <c r="AZ32">
        <v>8</v>
      </c>
      <c r="BA32">
        <v>6720</v>
      </c>
      <c r="BB32">
        <v>6</v>
      </c>
      <c r="BC32">
        <v>5040</v>
      </c>
      <c r="BD32">
        <v>11</v>
      </c>
      <c r="BE32">
        <v>9240</v>
      </c>
      <c r="BF32">
        <v>6</v>
      </c>
      <c r="BG32">
        <v>5040</v>
      </c>
      <c r="BH32">
        <v>18</v>
      </c>
      <c r="BI32">
        <v>15120</v>
      </c>
      <c r="BJ32">
        <v>16</v>
      </c>
      <c r="BK32">
        <v>13440</v>
      </c>
      <c r="BL32">
        <v>19</v>
      </c>
      <c r="BM32">
        <v>15960</v>
      </c>
      <c r="BN32">
        <v>12</v>
      </c>
      <c r="BO32">
        <v>10080</v>
      </c>
      <c r="BP32">
        <v>48</v>
      </c>
      <c r="BQ32">
        <v>40320</v>
      </c>
      <c r="BR32">
        <v>51</v>
      </c>
      <c r="BS32">
        <v>42840</v>
      </c>
      <c r="BT32">
        <v>44</v>
      </c>
      <c r="BU32">
        <v>36960</v>
      </c>
      <c r="BV32">
        <v>30</v>
      </c>
      <c r="BW32">
        <v>25200</v>
      </c>
      <c r="BX32">
        <v>7</v>
      </c>
      <c r="BY32">
        <v>5880</v>
      </c>
      <c r="BZ32">
        <v>4</v>
      </c>
      <c r="CA32">
        <v>3360</v>
      </c>
      <c r="CB32">
        <v>3</v>
      </c>
      <c r="CC32">
        <v>2520</v>
      </c>
      <c r="CD32">
        <v>5</v>
      </c>
      <c r="CE32">
        <v>4200</v>
      </c>
      <c r="CF32">
        <v>4</v>
      </c>
      <c r="CG32">
        <v>3360</v>
      </c>
      <c r="CH32">
        <v>4</v>
      </c>
      <c r="CI32">
        <v>3360</v>
      </c>
      <c r="CJ32">
        <v>6</v>
      </c>
      <c r="CK32">
        <v>5040</v>
      </c>
      <c r="CL32">
        <v>4</v>
      </c>
      <c r="CM32">
        <v>3360</v>
      </c>
      <c r="CN32">
        <v>36</v>
      </c>
      <c r="CO32">
        <v>30240</v>
      </c>
      <c r="CP32">
        <v>37</v>
      </c>
      <c r="CQ32">
        <v>31080</v>
      </c>
      <c r="CR32">
        <v>43</v>
      </c>
      <c r="CS32">
        <v>36120</v>
      </c>
      <c r="CT32">
        <v>46</v>
      </c>
      <c r="CU32">
        <v>38640</v>
      </c>
    </row>
    <row r="33" spans="2:99" x14ac:dyDescent="0.2">
      <c r="C33" s="116" t="s">
        <v>199</v>
      </c>
      <c r="D33">
        <v>3</v>
      </c>
      <c r="E33">
        <v>1422</v>
      </c>
      <c r="F33">
        <v>3</v>
      </c>
      <c r="G33">
        <v>1422</v>
      </c>
      <c r="H33">
        <v>3</v>
      </c>
      <c r="I33">
        <v>1422</v>
      </c>
      <c r="J33">
        <v>5</v>
      </c>
      <c r="K33">
        <v>2370</v>
      </c>
      <c r="L33">
        <v>5</v>
      </c>
      <c r="M33">
        <v>2370</v>
      </c>
      <c r="N33">
        <v>6</v>
      </c>
      <c r="O33">
        <v>2844</v>
      </c>
      <c r="P33">
        <v>5</v>
      </c>
      <c r="Q33">
        <v>2370</v>
      </c>
      <c r="R33">
        <v>7</v>
      </c>
      <c r="S33">
        <v>3318</v>
      </c>
      <c r="T33">
        <v>40</v>
      </c>
      <c r="U33">
        <v>18960</v>
      </c>
      <c r="V33">
        <v>49</v>
      </c>
      <c r="W33">
        <v>23226</v>
      </c>
      <c r="X33">
        <v>54</v>
      </c>
      <c r="Y33">
        <v>25596</v>
      </c>
      <c r="Z33">
        <v>64</v>
      </c>
      <c r="AA33">
        <v>30336</v>
      </c>
      <c r="AB33">
        <v>5</v>
      </c>
      <c r="AC33">
        <v>2370</v>
      </c>
      <c r="AD33">
        <v>4</v>
      </c>
      <c r="AE33">
        <v>1896</v>
      </c>
      <c r="AF33">
        <v>4</v>
      </c>
      <c r="AG33">
        <v>1896</v>
      </c>
      <c r="AH33">
        <v>4</v>
      </c>
      <c r="AI33">
        <v>1896</v>
      </c>
      <c r="AJ33">
        <v>49</v>
      </c>
      <c r="AK33">
        <v>23226</v>
      </c>
      <c r="AL33">
        <v>40</v>
      </c>
      <c r="AM33">
        <v>18960</v>
      </c>
      <c r="AN33">
        <v>50</v>
      </c>
      <c r="AO33">
        <v>23700</v>
      </c>
      <c r="AP33">
        <v>55.599184289106908</v>
      </c>
      <c r="AQ33">
        <v>26354.013353036673</v>
      </c>
      <c r="AR33">
        <v>41</v>
      </c>
      <c r="AS33">
        <v>19434</v>
      </c>
      <c r="AT33">
        <v>49</v>
      </c>
      <c r="AU33">
        <v>23226</v>
      </c>
      <c r="AV33">
        <v>37</v>
      </c>
      <c r="AW33">
        <v>17538</v>
      </c>
      <c r="AX33">
        <v>30</v>
      </c>
      <c r="AY33">
        <v>14220</v>
      </c>
      <c r="AZ33">
        <v>9</v>
      </c>
      <c r="BA33">
        <v>4266</v>
      </c>
      <c r="BB33">
        <v>7</v>
      </c>
      <c r="BC33">
        <v>3318</v>
      </c>
      <c r="BD33">
        <v>11</v>
      </c>
      <c r="BE33">
        <v>5214</v>
      </c>
      <c r="BF33">
        <v>8</v>
      </c>
      <c r="BG33">
        <v>3792</v>
      </c>
      <c r="BH33">
        <v>21</v>
      </c>
      <c r="BI33">
        <v>9954</v>
      </c>
      <c r="BJ33">
        <v>18</v>
      </c>
      <c r="BK33">
        <v>8532</v>
      </c>
      <c r="BL33">
        <v>19</v>
      </c>
      <c r="BM33">
        <v>9006</v>
      </c>
      <c r="BN33">
        <v>13</v>
      </c>
      <c r="BO33">
        <v>6162</v>
      </c>
      <c r="BP33">
        <v>58</v>
      </c>
      <c r="BQ33">
        <v>27492</v>
      </c>
      <c r="BR33">
        <v>55</v>
      </c>
      <c r="BS33">
        <v>26070</v>
      </c>
      <c r="BT33">
        <v>40</v>
      </c>
      <c r="BU33">
        <v>18960</v>
      </c>
      <c r="BV33">
        <v>29</v>
      </c>
      <c r="BW33">
        <v>13746</v>
      </c>
      <c r="BX33">
        <v>6</v>
      </c>
      <c r="BY33">
        <v>2844</v>
      </c>
      <c r="BZ33">
        <v>4</v>
      </c>
      <c r="CA33">
        <v>1896</v>
      </c>
      <c r="CB33">
        <v>4</v>
      </c>
      <c r="CC33">
        <v>1896</v>
      </c>
      <c r="CD33">
        <v>6</v>
      </c>
      <c r="CE33">
        <v>2844</v>
      </c>
      <c r="CF33">
        <v>5</v>
      </c>
      <c r="CG33">
        <v>2370</v>
      </c>
      <c r="CH33">
        <v>4</v>
      </c>
      <c r="CI33">
        <v>1896</v>
      </c>
      <c r="CJ33">
        <v>5</v>
      </c>
      <c r="CK33">
        <v>2370</v>
      </c>
      <c r="CL33">
        <v>4</v>
      </c>
      <c r="CM33">
        <v>1896</v>
      </c>
      <c r="CN33">
        <v>33</v>
      </c>
      <c r="CO33">
        <v>15642</v>
      </c>
      <c r="CP33">
        <v>38</v>
      </c>
      <c r="CQ33">
        <v>18012</v>
      </c>
      <c r="CR33">
        <v>39</v>
      </c>
      <c r="CS33">
        <v>18486</v>
      </c>
      <c r="CT33">
        <v>42</v>
      </c>
      <c r="CU33">
        <v>19908</v>
      </c>
    </row>
    <row r="34" spans="2:99" x14ac:dyDescent="0.2">
      <c r="C34" s="116" t="s">
        <v>200</v>
      </c>
      <c r="D34">
        <v>3</v>
      </c>
      <c r="E34">
        <v>1645.1999999999998</v>
      </c>
      <c r="F34">
        <v>3</v>
      </c>
      <c r="G34">
        <v>1645.1999999999998</v>
      </c>
      <c r="H34">
        <v>3</v>
      </c>
      <c r="I34">
        <v>1645.1999999999998</v>
      </c>
      <c r="J34">
        <v>5</v>
      </c>
      <c r="K34">
        <v>2742</v>
      </c>
      <c r="L34">
        <v>5</v>
      </c>
      <c r="M34">
        <v>2742</v>
      </c>
      <c r="N34">
        <v>6</v>
      </c>
      <c r="O34">
        <v>3290.3999999999996</v>
      </c>
      <c r="P34">
        <v>5</v>
      </c>
      <c r="Q34">
        <v>2742</v>
      </c>
      <c r="R34">
        <v>7</v>
      </c>
      <c r="S34">
        <v>3838.7999999999997</v>
      </c>
      <c r="T34">
        <v>36</v>
      </c>
      <c r="U34">
        <v>19742.399999999998</v>
      </c>
      <c r="V34">
        <v>48</v>
      </c>
      <c r="W34">
        <v>26323.199999999997</v>
      </c>
      <c r="X34">
        <v>50</v>
      </c>
      <c r="Y34">
        <v>27420</v>
      </c>
      <c r="Z34">
        <v>62</v>
      </c>
      <c r="AA34">
        <v>34000.799999999996</v>
      </c>
      <c r="AB34">
        <v>5</v>
      </c>
      <c r="AC34">
        <v>2742</v>
      </c>
      <c r="AD34">
        <v>4</v>
      </c>
      <c r="AE34">
        <v>2193.6</v>
      </c>
      <c r="AF34">
        <v>4</v>
      </c>
      <c r="AG34">
        <v>2193.6</v>
      </c>
      <c r="AH34">
        <v>4</v>
      </c>
      <c r="AI34">
        <v>2193.6</v>
      </c>
      <c r="AJ34">
        <v>53</v>
      </c>
      <c r="AK34">
        <v>29065.199999999997</v>
      </c>
      <c r="AL34">
        <v>35</v>
      </c>
      <c r="AM34">
        <v>19194</v>
      </c>
      <c r="AN34">
        <v>54</v>
      </c>
      <c r="AO34">
        <v>29613.599999999999</v>
      </c>
      <c r="AP34">
        <v>55.599184289106908</v>
      </c>
      <c r="AQ34">
        <v>30490.592664146228</v>
      </c>
      <c r="AR34">
        <v>40</v>
      </c>
      <c r="AS34">
        <v>21936</v>
      </c>
      <c r="AT34">
        <v>44</v>
      </c>
      <c r="AU34">
        <v>24129.599999999999</v>
      </c>
      <c r="AV34">
        <v>35</v>
      </c>
      <c r="AW34">
        <v>19194</v>
      </c>
      <c r="AX34">
        <v>26</v>
      </c>
      <c r="AY34">
        <v>14258.4</v>
      </c>
      <c r="AZ34">
        <v>8</v>
      </c>
      <c r="BA34">
        <v>4387.2</v>
      </c>
      <c r="BB34">
        <v>7</v>
      </c>
      <c r="BC34">
        <v>3838.7999999999997</v>
      </c>
      <c r="BD34">
        <v>11</v>
      </c>
      <c r="BE34">
        <v>6032.4</v>
      </c>
      <c r="BF34">
        <v>8</v>
      </c>
      <c r="BG34">
        <v>4387.2</v>
      </c>
      <c r="BH34">
        <v>20</v>
      </c>
      <c r="BI34">
        <v>10968</v>
      </c>
      <c r="BJ34">
        <v>18</v>
      </c>
      <c r="BK34">
        <v>9871.1999999999989</v>
      </c>
      <c r="BL34">
        <v>20</v>
      </c>
      <c r="BM34">
        <v>10968</v>
      </c>
      <c r="BN34">
        <v>12</v>
      </c>
      <c r="BO34">
        <v>6580.7999999999993</v>
      </c>
      <c r="BP34">
        <v>48</v>
      </c>
      <c r="BQ34">
        <v>26323.199999999997</v>
      </c>
      <c r="BR34">
        <v>52</v>
      </c>
      <c r="BS34">
        <v>28516.799999999999</v>
      </c>
      <c r="BT34">
        <v>43</v>
      </c>
      <c r="BU34">
        <v>23581.200000000001</v>
      </c>
      <c r="BV34">
        <v>30</v>
      </c>
      <c r="BW34">
        <v>16452</v>
      </c>
      <c r="BX34">
        <v>6</v>
      </c>
      <c r="BY34">
        <v>3290.3999999999996</v>
      </c>
      <c r="BZ34">
        <v>5</v>
      </c>
      <c r="CA34">
        <v>2742</v>
      </c>
      <c r="CB34">
        <v>3</v>
      </c>
      <c r="CC34">
        <v>1645.1999999999998</v>
      </c>
      <c r="CD34">
        <v>6</v>
      </c>
      <c r="CE34">
        <v>3290.3999999999996</v>
      </c>
      <c r="CF34">
        <v>4</v>
      </c>
      <c r="CG34">
        <v>2193.6</v>
      </c>
      <c r="CH34">
        <v>4</v>
      </c>
      <c r="CI34">
        <v>2193.6</v>
      </c>
      <c r="CJ34">
        <v>6</v>
      </c>
      <c r="CK34">
        <v>3290.3999999999996</v>
      </c>
      <c r="CL34">
        <v>4</v>
      </c>
      <c r="CM34">
        <v>2193.6</v>
      </c>
      <c r="CN34">
        <v>39</v>
      </c>
      <c r="CO34">
        <v>21387.599999999999</v>
      </c>
      <c r="CP34">
        <v>37</v>
      </c>
      <c r="CQ34">
        <v>20290.8</v>
      </c>
      <c r="CR34">
        <v>40</v>
      </c>
      <c r="CS34">
        <v>21936</v>
      </c>
      <c r="CT34">
        <v>42</v>
      </c>
      <c r="CU34">
        <v>23032.799999999999</v>
      </c>
    </row>
    <row r="35" spans="2:99" x14ac:dyDescent="0.2">
      <c r="C35" s="116" t="s">
        <v>201</v>
      </c>
      <c r="D35">
        <v>3</v>
      </c>
      <c r="E35">
        <v>1508.3999999999996</v>
      </c>
      <c r="F35">
        <v>3</v>
      </c>
      <c r="G35">
        <v>1508.3999999999996</v>
      </c>
      <c r="H35">
        <v>3</v>
      </c>
      <c r="I35">
        <v>1508.3999999999996</v>
      </c>
      <c r="J35">
        <v>5</v>
      </c>
      <c r="K35">
        <v>2513.9999999999995</v>
      </c>
      <c r="L35">
        <v>5</v>
      </c>
      <c r="M35">
        <v>2513.9999999999995</v>
      </c>
      <c r="N35">
        <v>5</v>
      </c>
      <c r="O35">
        <v>2513.9999999999995</v>
      </c>
      <c r="P35">
        <v>5</v>
      </c>
      <c r="Q35">
        <v>2513.9999999999995</v>
      </c>
      <c r="R35">
        <v>7</v>
      </c>
      <c r="S35">
        <v>3519.5999999999995</v>
      </c>
      <c r="T35">
        <v>37</v>
      </c>
      <c r="U35">
        <v>18603.599999999995</v>
      </c>
      <c r="V35">
        <v>45</v>
      </c>
      <c r="W35">
        <v>22625.999999999996</v>
      </c>
      <c r="X35">
        <v>54</v>
      </c>
      <c r="Y35">
        <v>27151.199999999993</v>
      </c>
      <c r="Z35">
        <v>67</v>
      </c>
      <c r="AA35">
        <v>33687.599999999991</v>
      </c>
      <c r="AB35">
        <v>4</v>
      </c>
      <c r="AC35">
        <v>2011.1999999999996</v>
      </c>
      <c r="AD35">
        <v>4</v>
      </c>
      <c r="AE35">
        <v>2011.1999999999996</v>
      </c>
      <c r="AF35">
        <v>4</v>
      </c>
      <c r="AG35">
        <v>2011.1999999999996</v>
      </c>
      <c r="AH35">
        <v>4</v>
      </c>
      <c r="AI35">
        <v>2011.1999999999996</v>
      </c>
      <c r="AJ35">
        <v>47</v>
      </c>
      <c r="AK35">
        <v>23631.599999999995</v>
      </c>
      <c r="AL35">
        <v>40</v>
      </c>
      <c r="AM35">
        <v>20111.999999999996</v>
      </c>
      <c r="AN35">
        <v>46</v>
      </c>
      <c r="AO35">
        <v>23128.799999999996</v>
      </c>
      <c r="AP35">
        <v>57.550032860654518</v>
      </c>
      <c r="AQ35">
        <v>28936.156522337085</v>
      </c>
      <c r="AR35">
        <v>45</v>
      </c>
      <c r="AS35">
        <v>22625.999999999996</v>
      </c>
      <c r="AT35">
        <v>41</v>
      </c>
      <c r="AU35">
        <v>20614.799999999996</v>
      </c>
      <c r="AV35">
        <v>36</v>
      </c>
      <c r="AW35">
        <v>18100.799999999996</v>
      </c>
      <c r="AX35">
        <v>29</v>
      </c>
      <c r="AY35">
        <v>14581.199999999997</v>
      </c>
      <c r="AZ35">
        <v>8</v>
      </c>
      <c r="BA35">
        <v>4022.3999999999992</v>
      </c>
      <c r="BB35">
        <v>6</v>
      </c>
      <c r="BC35">
        <v>3016.7999999999993</v>
      </c>
      <c r="BD35">
        <v>11</v>
      </c>
      <c r="BE35">
        <v>5530.7999999999993</v>
      </c>
      <c r="BF35">
        <v>8</v>
      </c>
      <c r="BG35">
        <v>4022.3999999999992</v>
      </c>
      <c r="BH35">
        <v>19</v>
      </c>
      <c r="BI35">
        <v>9553.1999999999989</v>
      </c>
      <c r="BJ35">
        <v>16</v>
      </c>
      <c r="BK35">
        <v>8044.7999999999984</v>
      </c>
      <c r="BL35">
        <v>18</v>
      </c>
      <c r="BM35">
        <v>9050.3999999999978</v>
      </c>
      <c r="BN35">
        <v>13</v>
      </c>
      <c r="BO35">
        <v>6536.3999999999987</v>
      </c>
      <c r="BP35">
        <v>55</v>
      </c>
      <c r="BQ35">
        <v>27653.999999999993</v>
      </c>
      <c r="BR35">
        <v>54</v>
      </c>
      <c r="BS35">
        <v>27151.199999999993</v>
      </c>
      <c r="BT35">
        <v>44</v>
      </c>
      <c r="BU35">
        <v>22123.199999999997</v>
      </c>
      <c r="BV35">
        <v>29</v>
      </c>
      <c r="BW35">
        <v>14581.199999999997</v>
      </c>
      <c r="BX35">
        <v>7</v>
      </c>
      <c r="BY35">
        <v>3519.5999999999995</v>
      </c>
      <c r="BZ35">
        <v>4</v>
      </c>
      <c r="CA35">
        <v>2011.1999999999996</v>
      </c>
      <c r="CB35">
        <v>4</v>
      </c>
      <c r="CC35">
        <v>2011.1999999999996</v>
      </c>
      <c r="CD35">
        <v>6</v>
      </c>
      <c r="CE35">
        <v>3016.7999999999993</v>
      </c>
      <c r="CF35">
        <v>5</v>
      </c>
      <c r="CG35">
        <v>2513.9999999999995</v>
      </c>
      <c r="CH35">
        <v>5</v>
      </c>
      <c r="CI35">
        <v>2513.9999999999995</v>
      </c>
      <c r="CJ35">
        <v>5</v>
      </c>
      <c r="CK35">
        <v>2513.9999999999995</v>
      </c>
      <c r="CL35">
        <v>4</v>
      </c>
      <c r="CM35">
        <v>2011.1999999999996</v>
      </c>
      <c r="CN35">
        <v>40</v>
      </c>
      <c r="CO35">
        <v>20111.999999999996</v>
      </c>
      <c r="CP35">
        <v>35</v>
      </c>
      <c r="CQ35">
        <v>17597.999999999996</v>
      </c>
      <c r="CR35">
        <v>46</v>
      </c>
      <c r="CS35">
        <v>23128.799999999996</v>
      </c>
      <c r="CT35">
        <v>47</v>
      </c>
      <c r="CU35">
        <v>23631.599999999995</v>
      </c>
    </row>
    <row r="36" spans="2:99" x14ac:dyDescent="0.2">
      <c r="C36" s="116" t="s">
        <v>202</v>
      </c>
      <c r="D36">
        <v>3</v>
      </c>
      <c r="E36">
        <v>2282.3999999999996</v>
      </c>
      <c r="F36">
        <v>3</v>
      </c>
      <c r="G36">
        <v>2282.3999999999996</v>
      </c>
      <c r="H36">
        <v>3</v>
      </c>
      <c r="I36">
        <v>2282.3999999999996</v>
      </c>
      <c r="J36">
        <v>4</v>
      </c>
      <c r="K36">
        <v>3043.2</v>
      </c>
      <c r="L36">
        <v>5</v>
      </c>
      <c r="M36">
        <v>3804</v>
      </c>
      <c r="N36">
        <v>6</v>
      </c>
      <c r="O36">
        <v>4564.7999999999993</v>
      </c>
      <c r="P36">
        <v>5</v>
      </c>
      <c r="Q36">
        <v>3804</v>
      </c>
      <c r="R36">
        <v>7</v>
      </c>
      <c r="S36">
        <v>5325.5999999999995</v>
      </c>
      <c r="T36">
        <v>31</v>
      </c>
      <c r="U36">
        <v>23584.799999999999</v>
      </c>
      <c r="V36">
        <v>45</v>
      </c>
      <c r="W36">
        <v>34236</v>
      </c>
      <c r="X36">
        <v>49</v>
      </c>
      <c r="Y36">
        <v>37279.199999999997</v>
      </c>
      <c r="Z36">
        <v>61</v>
      </c>
      <c r="AA36">
        <v>46408.799999999996</v>
      </c>
      <c r="AB36">
        <v>4</v>
      </c>
      <c r="AC36">
        <v>3043.2</v>
      </c>
      <c r="AD36">
        <v>4</v>
      </c>
      <c r="AE36">
        <v>3043.2</v>
      </c>
      <c r="AF36">
        <v>4</v>
      </c>
      <c r="AG36">
        <v>3043.2</v>
      </c>
      <c r="AH36">
        <v>4</v>
      </c>
      <c r="AI36">
        <v>3043.2</v>
      </c>
      <c r="AJ36">
        <v>47</v>
      </c>
      <c r="AK36">
        <v>35757.599999999999</v>
      </c>
      <c r="AL36">
        <v>33</v>
      </c>
      <c r="AM36">
        <v>25106.399999999998</v>
      </c>
      <c r="AN36">
        <v>47</v>
      </c>
      <c r="AO36">
        <v>35757.599999999999</v>
      </c>
      <c r="AP36">
        <v>51.697487146011689</v>
      </c>
      <c r="AQ36">
        <v>39331.448220685692</v>
      </c>
      <c r="AR36">
        <v>44</v>
      </c>
      <c r="AS36">
        <v>33475.199999999997</v>
      </c>
      <c r="AT36">
        <v>44</v>
      </c>
      <c r="AU36">
        <v>33475.199999999997</v>
      </c>
      <c r="AV36">
        <v>33</v>
      </c>
      <c r="AW36">
        <v>25106.399999999998</v>
      </c>
      <c r="AX36">
        <v>27</v>
      </c>
      <c r="AY36">
        <v>20541.599999999999</v>
      </c>
      <c r="AZ36">
        <v>8</v>
      </c>
      <c r="BA36">
        <v>6086.4</v>
      </c>
      <c r="BB36">
        <v>6</v>
      </c>
      <c r="BC36">
        <v>4564.7999999999993</v>
      </c>
      <c r="BD36">
        <v>11</v>
      </c>
      <c r="BE36">
        <v>8368.7999999999993</v>
      </c>
      <c r="BF36">
        <v>7</v>
      </c>
      <c r="BG36">
        <v>5325.5999999999995</v>
      </c>
      <c r="BH36">
        <v>19</v>
      </c>
      <c r="BI36">
        <v>14455.199999999999</v>
      </c>
      <c r="BJ36">
        <v>17</v>
      </c>
      <c r="BK36">
        <v>12933.599999999999</v>
      </c>
      <c r="BL36">
        <v>19</v>
      </c>
      <c r="BM36">
        <v>14455.199999999999</v>
      </c>
      <c r="BN36">
        <v>13</v>
      </c>
      <c r="BO36">
        <v>9890.4</v>
      </c>
      <c r="BP36">
        <v>49</v>
      </c>
      <c r="BQ36">
        <v>37279.199999999997</v>
      </c>
      <c r="BR36">
        <v>46</v>
      </c>
      <c r="BS36">
        <v>34996.799999999996</v>
      </c>
      <c r="BT36">
        <v>43</v>
      </c>
      <c r="BU36">
        <v>32714.399999999998</v>
      </c>
      <c r="BV36">
        <v>28</v>
      </c>
      <c r="BW36">
        <v>21302.399999999998</v>
      </c>
      <c r="BX36">
        <v>6</v>
      </c>
      <c r="BY36">
        <v>4564.7999999999993</v>
      </c>
      <c r="BZ36">
        <v>4</v>
      </c>
      <c r="CA36">
        <v>3043.2</v>
      </c>
      <c r="CB36">
        <v>4</v>
      </c>
      <c r="CC36">
        <v>3043.2</v>
      </c>
      <c r="CD36">
        <v>6</v>
      </c>
      <c r="CE36">
        <v>4564.7999999999993</v>
      </c>
      <c r="CF36">
        <v>4</v>
      </c>
      <c r="CG36">
        <v>3043.2</v>
      </c>
      <c r="CH36">
        <v>5</v>
      </c>
      <c r="CI36">
        <v>3804</v>
      </c>
      <c r="CJ36">
        <v>5</v>
      </c>
      <c r="CK36">
        <v>3804</v>
      </c>
      <c r="CL36">
        <v>4</v>
      </c>
      <c r="CM36">
        <v>3043.2</v>
      </c>
      <c r="CN36">
        <v>37</v>
      </c>
      <c r="CO36">
        <v>28149.599999999999</v>
      </c>
      <c r="CP36">
        <v>35</v>
      </c>
      <c r="CQ36">
        <v>26628</v>
      </c>
      <c r="CR36">
        <v>44</v>
      </c>
      <c r="CS36">
        <v>33475.199999999997</v>
      </c>
      <c r="CT36">
        <v>41</v>
      </c>
      <c r="CU36">
        <v>31192.799999999999</v>
      </c>
    </row>
    <row r="37" spans="2:99" x14ac:dyDescent="0.2">
      <c r="B37" s="116" t="s">
        <v>128</v>
      </c>
      <c r="C37" s="116" t="s">
        <v>203</v>
      </c>
      <c r="D37">
        <v>108</v>
      </c>
      <c r="E37">
        <v>92923.199999999997</v>
      </c>
      <c r="F37">
        <v>80</v>
      </c>
      <c r="G37">
        <v>68832</v>
      </c>
      <c r="H37">
        <v>70</v>
      </c>
      <c r="I37">
        <v>60228</v>
      </c>
      <c r="J37">
        <v>91</v>
      </c>
      <c r="K37">
        <v>78296.399999999994</v>
      </c>
      <c r="L37">
        <v>5</v>
      </c>
      <c r="M37">
        <v>4302</v>
      </c>
      <c r="N37">
        <v>5</v>
      </c>
      <c r="O37">
        <v>4302</v>
      </c>
      <c r="P37">
        <v>7</v>
      </c>
      <c r="Q37">
        <v>6022.8</v>
      </c>
      <c r="R37">
        <v>7</v>
      </c>
      <c r="S37">
        <v>6022.8</v>
      </c>
      <c r="T37">
        <v>138</v>
      </c>
      <c r="U37">
        <v>118735.2</v>
      </c>
      <c r="V37">
        <v>121</v>
      </c>
      <c r="W37">
        <v>104108.4</v>
      </c>
      <c r="X37">
        <v>123</v>
      </c>
      <c r="Y37">
        <v>105829.2</v>
      </c>
      <c r="Z37">
        <v>86</v>
      </c>
      <c r="AA37">
        <v>73994.399999999994</v>
      </c>
      <c r="AB37">
        <v>9</v>
      </c>
      <c r="AC37">
        <v>7743.5999999999995</v>
      </c>
      <c r="AD37">
        <v>8</v>
      </c>
      <c r="AE37">
        <v>6883.2</v>
      </c>
      <c r="AF37">
        <v>6</v>
      </c>
      <c r="AG37">
        <v>5162.3999999999996</v>
      </c>
      <c r="AH37">
        <v>6</v>
      </c>
      <c r="AI37">
        <v>5162.3999999999996</v>
      </c>
      <c r="AJ37">
        <v>38</v>
      </c>
      <c r="AK37">
        <v>32695.200000000001</v>
      </c>
      <c r="AL37">
        <v>41</v>
      </c>
      <c r="AM37">
        <v>35276.400000000001</v>
      </c>
      <c r="AN37">
        <v>36</v>
      </c>
      <c r="AO37">
        <v>30974.399999999998</v>
      </c>
      <c r="AP37">
        <v>36.090698573630803</v>
      </c>
      <c r="AQ37">
        <v>31052.437052751942</v>
      </c>
      <c r="AR37">
        <v>47</v>
      </c>
      <c r="AS37">
        <v>40438.799999999996</v>
      </c>
      <c r="AT37">
        <v>36</v>
      </c>
      <c r="AU37">
        <v>30974.399999999998</v>
      </c>
      <c r="AV37">
        <v>24</v>
      </c>
      <c r="AW37">
        <v>20649.599999999999</v>
      </c>
      <c r="AX37">
        <v>22</v>
      </c>
      <c r="AY37">
        <v>18928.8</v>
      </c>
      <c r="AZ37">
        <v>17</v>
      </c>
      <c r="BA37">
        <v>14626.8</v>
      </c>
      <c r="BB37">
        <v>26</v>
      </c>
      <c r="BC37">
        <v>22370.399999999998</v>
      </c>
      <c r="BD37">
        <v>17</v>
      </c>
      <c r="BE37">
        <v>14626.8</v>
      </c>
      <c r="BF37">
        <v>26</v>
      </c>
      <c r="BG37">
        <v>22370.399999999998</v>
      </c>
      <c r="BH37">
        <v>19</v>
      </c>
      <c r="BI37">
        <v>16347.6</v>
      </c>
      <c r="BJ37">
        <v>12</v>
      </c>
      <c r="BK37">
        <v>10324.799999999999</v>
      </c>
      <c r="BL37">
        <v>14</v>
      </c>
      <c r="BM37">
        <v>12045.6</v>
      </c>
      <c r="BN37">
        <v>18</v>
      </c>
      <c r="BO37">
        <v>15487.199999999999</v>
      </c>
      <c r="BP37">
        <v>11</v>
      </c>
      <c r="BQ37">
        <v>9464.4</v>
      </c>
      <c r="BR37">
        <v>11</v>
      </c>
      <c r="BS37">
        <v>9464.4</v>
      </c>
      <c r="BT37">
        <v>7</v>
      </c>
      <c r="BU37">
        <v>6022.8</v>
      </c>
      <c r="BV37">
        <v>10</v>
      </c>
      <c r="BW37">
        <v>8604</v>
      </c>
      <c r="BX37">
        <v>12</v>
      </c>
      <c r="BY37">
        <v>10324.799999999999</v>
      </c>
      <c r="BZ37">
        <v>22</v>
      </c>
      <c r="CA37">
        <v>18928.8</v>
      </c>
      <c r="CB37">
        <v>20</v>
      </c>
      <c r="CC37">
        <v>17208</v>
      </c>
      <c r="CD37">
        <v>13</v>
      </c>
      <c r="CE37">
        <v>11185.199999999999</v>
      </c>
      <c r="CF37">
        <v>78</v>
      </c>
      <c r="CG37">
        <v>67111.199999999997</v>
      </c>
      <c r="CH37">
        <v>94</v>
      </c>
      <c r="CI37">
        <v>80877.599999999991</v>
      </c>
      <c r="CJ37">
        <v>75</v>
      </c>
      <c r="CK37">
        <v>64530</v>
      </c>
      <c r="CL37">
        <v>57</v>
      </c>
      <c r="CM37">
        <v>49042.799999999996</v>
      </c>
      <c r="CN37">
        <v>7</v>
      </c>
      <c r="CO37">
        <v>6022.8</v>
      </c>
      <c r="CP37">
        <v>7</v>
      </c>
      <c r="CQ37">
        <v>6022.8</v>
      </c>
      <c r="CR37">
        <v>6</v>
      </c>
      <c r="CS37">
        <v>5162.3999999999996</v>
      </c>
      <c r="CT37">
        <v>7</v>
      </c>
      <c r="CU37">
        <v>6022.8</v>
      </c>
    </row>
    <row r="38" spans="2:99" x14ac:dyDescent="0.2">
      <c r="C38" s="116" t="s">
        <v>204</v>
      </c>
      <c r="D38">
        <v>96</v>
      </c>
      <c r="E38">
        <v>119232</v>
      </c>
      <c r="F38">
        <v>78</v>
      </c>
      <c r="G38">
        <v>96876</v>
      </c>
      <c r="H38">
        <v>56</v>
      </c>
      <c r="I38">
        <v>69552</v>
      </c>
      <c r="J38">
        <v>75</v>
      </c>
      <c r="K38">
        <v>93150</v>
      </c>
      <c r="L38">
        <v>5</v>
      </c>
      <c r="M38">
        <v>6210</v>
      </c>
      <c r="N38">
        <v>4</v>
      </c>
      <c r="O38">
        <v>4968</v>
      </c>
      <c r="P38">
        <v>8</v>
      </c>
      <c r="Q38">
        <v>9936</v>
      </c>
      <c r="R38">
        <v>8</v>
      </c>
      <c r="S38">
        <v>9936</v>
      </c>
      <c r="T38">
        <v>118</v>
      </c>
      <c r="U38">
        <v>146556</v>
      </c>
      <c r="V38">
        <v>112</v>
      </c>
      <c r="W38">
        <v>139104</v>
      </c>
      <c r="X38">
        <v>108</v>
      </c>
      <c r="Y38">
        <v>134136</v>
      </c>
      <c r="Z38">
        <v>87</v>
      </c>
      <c r="AA38">
        <v>108054</v>
      </c>
      <c r="AB38">
        <v>8</v>
      </c>
      <c r="AC38">
        <v>9936</v>
      </c>
      <c r="AD38">
        <v>8</v>
      </c>
      <c r="AE38">
        <v>9936</v>
      </c>
      <c r="AF38">
        <v>6</v>
      </c>
      <c r="AG38">
        <v>7452</v>
      </c>
      <c r="AH38">
        <v>6</v>
      </c>
      <c r="AI38">
        <v>7452</v>
      </c>
      <c r="AJ38">
        <v>33</v>
      </c>
      <c r="AK38">
        <v>40986</v>
      </c>
      <c r="AL38">
        <v>36</v>
      </c>
      <c r="AM38">
        <v>44712</v>
      </c>
      <c r="AN38">
        <v>29</v>
      </c>
      <c r="AO38">
        <v>36018</v>
      </c>
      <c r="AP38">
        <v>39.992395716726023</v>
      </c>
      <c r="AQ38">
        <v>49670.555480173723</v>
      </c>
      <c r="AR38">
        <v>44</v>
      </c>
      <c r="AS38">
        <v>54648</v>
      </c>
      <c r="AT38">
        <v>38</v>
      </c>
      <c r="AU38">
        <v>47196</v>
      </c>
      <c r="AV38">
        <v>23</v>
      </c>
      <c r="AW38">
        <v>28566</v>
      </c>
      <c r="AX38">
        <v>23</v>
      </c>
      <c r="AY38">
        <v>28566</v>
      </c>
      <c r="AZ38">
        <v>16</v>
      </c>
      <c r="BA38">
        <v>19872</v>
      </c>
      <c r="BB38">
        <v>28</v>
      </c>
      <c r="BC38">
        <v>34776</v>
      </c>
      <c r="BD38">
        <v>18</v>
      </c>
      <c r="BE38">
        <v>22356</v>
      </c>
      <c r="BF38">
        <v>26</v>
      </c>
      <c r="BG38">
        <v>32292</v>
      </c>
      <c r="BH38">
        <v>18</v>
      </c>
      <c r="BI38">
        <v>22356</v>
      </c>
      <c r="BJ38">
        <v>12</v>
      </c>
      <c r="BK38">
        <v>14904</v>
      </c>
      <c r="BL38">
        <v>12</v>
      </c>
      <c r="BM38">
        <v>14904</v>
      </c>
      <c r="BN38">
        <v>17</v>
      </c>
      <c r="BO38">
        <v>21114</v>
      </c>
      <c r="BP38">
        <v>10</v>
      </c>
      <c r="BQ38">
        <v>12420</v>
      </c>
      <c r="BR38">
        <v>10</v>
      </c>
      <c r="BS38">
        <v>12420</v>
      </c>
      <c r="BT38">
        <v>7</v>
      </c>
      <c r="BU38">
        <v>8694</v>
      </c>
      <c r="BV38">
        <v>10</v>
      </c>
      <c r="BW38">
        <v>12420</v>
      </c>
      <c r="BX38">
        <v>10</v>
      </c>
      <c r="BY38">
        <v>12420</v>
      </c>
      <c r="BZ38">
        <v>21</v>
      </c>
      <c r="CA38">
        <v>26082</v>
      </c>
      <c r="CB38">
        <v>21</v>
      </c>
      <c r="CC38">
        <v>26082</v>
      </c>
      <c r="CD38">
        <v>13</v>
      </c>
      <c r="CE38">
        <v>16146</v>
      </c>
      <c r="CF38">
        <v>82</v>
      </c>
      <c r="CG38">
        <v>101844</v>
      </c>
      <c r="CH38">
        <v>78</v>
      </c>
      <c r="CI38">
        <v>96876</v>
      </c>
      <c r="CJ38">
        <v>60</v>
      </c>
      <c r="CK38">
        <v>74520</v>
      </c>
      <c r="CL38">
        <v>54</v>
      </c>
      <c r="CM38">
        <v>67068</v>
      </c>
      <c r="CN38">
        <v>7</v>
      </c>
      <c r="CO38">
        <v>8694</v>
      </c>
      <c r="CP38">
        <v>7</v>
      </c>
      <c r="CQ38">
        <v>8694</v>
      </c>
      <c r="CR38">
        <v>6</v>
      </c>
      <c r="CS38">
        <v>7452</v>
      </c>
      <c r="CT38">
        <v>6</v>
      </c>
      <c r="CU38">
        <v>7452</v>
      </c>
    </row>
    <row r="39" spans="2:99" x14ac:dyDescent="0.2">
      <c r="C39" s="116" t="s">
        <v>205</v>
      </c>
      <c r="D39">
        <v>85</v>
      </c>
      <c r="E39">
        <v>120972</v>
      </c>
      <c r="F39">
        <v>70</v>
      </c>
      <c r="G39">
        <v>99624</v>
      </c>
      <c r="H39">
        <v>56</v>
      </c>
      <c r="I39">
        <v>79699.199999999997</v>
      </c>
      <c r="J39">
        <v>78</v>
      </c>
      <c r="K39">
        <v>111009.60000000001</v>
      </c>
      <c r="L39">
        <v>5</v>
      </c>
      <c r="M39">
        <v>7116</v>
      </c>
      <c r="N39">
        <v>4</v>
      </c>
      <c r="O39">
        <v>5692.8</v>
      </c>
      <c r="P39">
        <v>7</v>
      </c>
      <c r="Q39">
        <v>9962.4</v>
      </c>
      <c r="R39">
        <v>7</v>
      </c>
      <c r="S39">
        <v>9962.4</v>
      </c>
      <c r="T39">
        <v>110</v>
      </c>
      <c r="U39">
        <v>156552</v>
      </c>
      <c r="V39">
        <v>104</v>
      </c>
      <c r="W39">
        <v>148012.80000000002</v>
      </c>
      <c r="X39">
        <v>122</v>
      </c>
      <c r="Y39">
        <v>173630.4</v>
      </c>
      <c r="Z39">
        <v>81</v>
      </c>
      <c r="AA39">
        <v>115279.2</v>
      </c>
      <c r="AB39">
        <v>7</v>
      </c>
      <c r="AC39">
        <v>9962.4</v>
      </c>
      <c r="AD39">
        <v>7</v>
      </c>
      <c r="AE39">
        <v>9962.4</v>
      </c>
      <c r="AF39">
        <v>7</v>
      </c>
      <c r="AG39">
        <v>9962.4</v>
      </c>
      <c r="AH39">
        <v>6</v>
      </c>
      <c r="AI39">
        <v>8539.2000000000007</v>
      </c>
      <c r="AJ39">
        <v>38</v>
      </c>
      <c r="AK39">
        <v>54081.599999999999</v>
      </c>
      <c r="AL39">
        <v>36</v>
      </c>
      <c r="AM39">
        <v>51235.200000000004</v>
      </c>
      <c r="AN39">
        <v>29</v>
      </c>
      <c r="AO39">
        <v>41272.800000000003</v>
      </c>
      <c r="AP39">
        <v>38.041547145178413</v>
      </c>
      <c r="AQ39">
        <v>54140.729897017918</v>
      </c>
      <c r="AR39">
        <v>41</v>
      </c>
      <c r="AS39">
        <v>58351.200000000004</v>
      </c>
      <c r="AT39">
        <v>36</v>
      </c>
      <c r="AU39">
        <v>51235.200000000004</v>
      </c>
      <c r="AV39">
        <v>23</v>
      </c>
      <c r="AW39">
        <v>32733.600000000002</v>
      </c>
      <c r="AX39">
        <v>23</v>
      </c>
      <c r="AY39">
        <v>32733.600000000002</v>
      </c>
      <c r="AZ39">
        <v>18</v>
      </c>
      <c r="BA39">
        <v>25617.600000000002</v>
      </c>
      <c r="BB39">
        <v>26</v>
      </c>
      <c r="BC39">
        <v>37003.200000000004</v>
      </c>
      <c r="BD39">
        <v>17</v>
      </c>
      <c r="BE39">
        <v>24194.400000000001</v>
      </c>
      <c r="BF39">
        <v>24</v>
      </c>
      <c r="BG39">
        <v>34156.800000000003</v>
      </c>
      <c r="BH39">
        <v>16</v>
      </c>
      <c r="BI39">
        <v>22771.200000000001</v>
      </c>
      <c r="BJ39">
        <v>11</v>
      </c>
      <c r="BK39">
        <v>15655.2</v>
      </c>
      <c r="BL39">
        <v>12</v>
      </c>
      <c r="BM39">
        <v>17078.400000000001</v>
      </c>
      <c r="BN39">
        <v>19</v>
      </c>
      <c r="BO39">
        <v>27040.799999999999</v>
      </c>
      <c r="BP39">
        <v>11</v>
      </c>
      <c r="BQ39">
        <v>15655.2</v>
      </c>
      <c r="BR39">
        <v>10</v>
      </c>
      <c r="BS39">
        <v>14232</v>
      </c>
      <c r="BT39">
        <v>8</v>
      </c>
      <c r="BU39">
        <v>11385.6</v>
      </c>
      <c r="BV39">
        <v>10</v>
      </c>
      <c r="BW39">
        <v>14232</v>
      </c>
      <c r="BX39">
        <v>10</v>
      </c>
      <c r="BY39">
        <v>14232</v>
      </c>
      <c r="BZ39">
        <v>21</v>
      </c>
      <c r="CA39">
        <v>29887.200000000001</v>
      </c>
      <c r="CB39">
        <v>22</v>
      </c>
      <c r="CC39">
        <v>31310.400000000001</v>
      </c>
      <c r="CD39">
        <v>13</v>
      </c>
      <c r="CE39">
        <v>18501.600000000002</v>
      </c>
      <c r="CF39">
        <v>77</v>
      </c>
      <c r="CG39">
        <v>109586.40000000001</v>
      </c>
      <c r="CH39">
        <v>82</v>
      </c>
      <c r="CI39">
        <v>116702.40000000001</v>
      </c>
      <c r="CJ39">
        <v>64</v>
      </c>
      <c r="CK39">
        <v>91084.800000000003</v>
      </c>
      <c r="CL39">
        <v>51</v>
      </c>
      <c r="CM39">
        <v>72583.199999999997</v>
      </c>
      <c r="CN39">
        <v>8</v>
      </c>
      <c r="CO39">
        <v>11385.6</v>
      </c>
      <c r="CP39">
        <v>6</v>
      </c>
      <c r="CQ39">
        <v>8539.2000000000007</v>
      </c>
      <c r="CR39">
        <v>6</v>
      </c>
      <c r="CS39">
        <v>8539.2000000000007</v>
      </c>
      <c r="CT39">
        <v>6</v>
      </c>
      <c r="CU39">
        <v>8539.2000000000007</v>
      </c>
    </row>
    <row r="40" spans="2:99" x14ac:dyDescent="0.2">
      <c r="C40" s="116" t="s">
        <v>206</v>
      </c>
      <c r="D40">
        <v>98</v>
      </c>
      <c r="E40">
        <v>71030.399999999994</v>
      </c>
      <c r="F40">
        <v>88</v>
      </c>
      <c r="G40">
        <v>63782.399999999994</v>
      </c>
      <c r="H40">
        <v>67</v>
      </c>
      <c r="I40">
        <v>48561.599999999999</v>
      </c>
      <c r="J40">
        <v>82</v>
      </c>
      <c r="K40">
        <v>59433.599999999999</v>
      </c>
      <c r="L40">
        <v>5</v>
      </c>
      <c r="M40">
        <v>3624</v>
      </c>
      <c r="N40">
        <v>5</v>
      </c>
      <c r="O40">
        <v>3624</v>
      </c>
      <c r="P40">
        <v>8</v>
      </c>
      <c r="Q40">
        <v>5798.4</v>
      </c>
      <c r="R40">
        <v>8</v>
      </c>
      <c r="S40">
        <v>5798.4</v>
      </c>
      <c r="T40">
        <v>140</v>
      </c>
      <c r="U40">
        <v>101472</v>
      </c>
      <c r="V40">
        <v>121</v>
      </c>
      <c r="W40">
        <v>87700.799999999988</v>
      </c>
      <c r="X40">
        <v>137</v>
      </c>
      <c r="Y40">
        <v>99297.599999999991</v>
      </c>
      <c r="Z40">
        <v>91</v>
      </c>
      <c r="AA40">
        <v>65956.800000000003</v>
      </c>
      <c r="AB40">
        <v>8</v>
      </c>
      <c r="AC40">
        <v>5798.4</v>
      </c>
      <c r="AD40">
        <v>8</v>
      </c>
      <c r="AE40">
        <v>5798.4</v>
      </c>
      <c r="AF40">
        <v>7</v>
      </c>
      <c r="AG40">
        <v>5073.5999999999995</v>
      </c>
      <c r="AH40">
        <v>6</v>
      </c>
      <c r="AI40">
        <v>4348.7999999999993</v>
      </c>
      <c r="AJ40">
        <v>34</v>
      </c>
      <c r="AK40">
        <v>24643.199999999997</v>
      </c>
      <c r="AL40">
        <v>39</v>
      </c>
      <c r="AM40">
        <v>28267.199999999997</v>
      </c>
      <c r="AN40">
        <v>37</v>
      </c>
      <c r="AO40">
        <v>26817.599999999999</v>
      </c>
      <c r="AP40">
        <v>39.992395716726023</v>
      </c>
      <c r="AQ40">
        <v>28986.488415483018</v>
      </c>
      <c r="AR40">
        <v>47</v>
      </c>
      <c r="AS40">
        <v>34065.599999999999</v>
      </c>
      <c r="AT40">
        <v>36</v>
      </c>
      <c r="AU40">
        <v>26092.799999999999</v>
      </c>
      <c r="AV40">
        <v>25</v>
      </c>
      <c r="AW40">
        <v>18120</v>
      </c>
      <c r="AX40">
        <v>26</v>
      </c>
      <c r="AY40">
        <v>18844.8</v>
      </c>
      <c r="AZ40">
        <v>18</v>
      </c>
      <c r="BA40">
        <v>13046.4</v>
      </c>
      <c r="BB40">
        <v>30</v>
      </c>
      <c r="BC40">
        <v>21744</v>
      </c>
      <c r="BD40">
        <v>19</v>
      </c>
      <c r="BE40">
        <v>13771.199999999999</v>
      </c>
      <c r="BF40">
        <v>24</v>
      </c>
      <c r="BG40">
        <v>17395.199999999997</v>
      </c>
      <c r="BH40">
        <v>19</v>
      </c>
      <c r="BI40">
        <v>13771.199999999999</v>
      </c>
      <c r="BJ40">
        <v>12</v>
      </c>
      <c r="BK40">
        <v>8697.5999999999985</v>
      </c>
      <c r="BL40">
        <v>14</v>
      </c>
      <c r="BM40">
        <v>10147.199999999999</v>
      </c>
      <c r="BN40">
        <v>22</v>
      </c>
      <c r="BO40">
        <v>15945.599999999999</v>
      </c>
      <c r="BP40">
        <v>10</v>
      </c>
      <c r="BQ40">
        <v>7248</v>
      </c>
      <c r="BR40">
        <v>10</v>
      </c>
      <c r="BS40">
        <v>7248</v>
      </c>
      <c r="BT40">
        <v>8</v>
      </c>
      <c r="BU40">
        <v>5798.4</v>
      </c>
      <c r="BV40">
        <v>10</v>
      </c>
      <c r="BW40">
        <v>7248</v>
      </c>
      <c r="BX40">
        <v>12</v>
      </c>
      <c r="BY40">
        <v>8697.5999999999985</v>
      </c>
      <c r="BZ40">
        <v>22</v>
      </c>
      <c r="CA40">
        <v>15945.599999999999</v>
      </c>
      <c r="CB40">
        <v>21</v>
      </c>
      <c r="CC40">
        <v>15220.8</v>
      </c>
      <c r="CD40">
        <v>14</v>
      </c>
      <c r="CE40">
        <v>10147.199999999999</v>
      </c>
      <c r="CF40">
        <v>80</v>
      </c>
      <c r="CG40">
        <v>57984</v>
      </c>
      <c r="CH40">
        <v>97</v>
      </c>
      <c r="CI40">
        <v>70305.599999999991</v>
      </c>
      <c r="CJ40">
        <v>77</v>
      </c>
      <c r="CK40">
        <v>55809.599999999999</v>
      </c>
      <c r="CL40">
        <v>55</v>
      </c>
      <c r="CM40">
        <v>39864</v>
      </c>
      <c r="CN40">
        <v>8</v>
      </c>
      <c r="CO40">
        <v>5798.4</v>
      </c>
      <c r="CP40">
        <v>8</v>
      </c>
      <c r="CQ40">
        <v>5798.4</v>
      </c>
      <c r="CR40">
        <v>6</v>
      </c>
      <c r="CS40">
        <v>4348.7999999999993</v>
      </c>
      <c r="CT40">
        <v>7</v>
      </c>
      <c r="CU40">
        <v>5073.5999999999995</v>
      </c>
    </row>
    <row r="41" spans="2:99" x14ac:dyDescent="0.2">
      <c r="C41" s="116" t="s">
        <v>207</v>
      </c>
      <c r="D41">
        <v>96</v>
      </c>
      <c r="E41">
        <v>63360</v>
      </c>
      <c r="F41">
        <v>81</v>
      </c>
      <c r="G41">
        <v>53460</v>
      </c>
      <c r="H41">
        <v>73</v>
      </c>
      <c r="I41">
        <v>48180</v>
      </c>
      <c r="J41">
        <v>91</v>
      </c>
      <c r="K41">
        <v>60060</v>
      </c>
      <c r="L41">
        <v>5</v>
      </c>
      <c r="M41">
        <v>3300</v>
      </c>
      <c r="N41">
        <v>5</v>
      </c>
      <c r="O41">
        <v>3300</v>
      </c>
      <c r="P41">
        <v>7</v>
      </c>
      <c r="Q41">
        <v>4620</v>
      </c>
      <c r="R41">
        <v>8</v>
      </c>
      <c r="S41">
        <v>5280</v>
      </c>
      <c r="T41">
        <v>137</v>
      </c>
      <c r="U41">
        <v>90420</v>
      </c>
      <c r="V41">
        <v>132</v>
      </c>
      <c r="W41">
        <v>87120</v>
      </c>
      <c r="X41">
        <v>126</v>
      </c>
      <c r="Y41">
        <v>83160</v>
      </c>
      <c r="Z41">
        <v>89</v>
      </c>
      <c r="AA41">
        <v>58740</v>
      </c>
      <c r="AB41">
        <v>8</v>
      </c>
      <c r="AC41">
        <v>5280</v>
      </c>
      <c r="AD41">
        <v>8</v>
      </c>
      <c r="AE41">
        <v>5280</v>
      </c>
      <c r="AF41">
        <v>7</v>
      </c>
      <c r="AG41">
        <v>4620</v>
      </c>
      <c r="AH41">
        <v>7</v>
      </c>
      <c r="AI41">
        <v>4620</v>
      </c>
      <c r="AJ41">
        <v>39</v>
      </c>
      <c r="AK41">
        <v>25740</v>
      </c>
      <c r="AL41">
        <v>43</v>
      </c>
      <c r="AM41">
        <v>28380</v>
      </c>
      <c r="AN41">
        <v>35</v>
      </c>
      <c r="AO41">
        <v>23100</v>
      </c>
      <c r="AP41">
        <v>39.016971430952218</v>
      </c>
      <c r="AQ41">
        <v>25751.201144428465</v>
      </c>
      <c r="AR41">
        <v>42</v>
      </c>
      <c r="AS41">
        <v>27720</v>
      </c>
      <c r="AT41">
        <v>36</v>
      </c>
      <c r="AU41">
        <v>23760</v>
      </c>
      <c r="AV41">
        <v>25</v>
      </c>
      <c r="AW41">
        <v>16500</v>
      </c>
      <c r="AX41">
        <v>23</v>
      </c>
      <c r="AY41">
        <v>15180</v>
      </c>
      <c r="AZ41">
        <v>18</v>
      </c>
      <c r="BA41">
        <v>11880</v>
      </c>
      <c r="BB41">
        <v>31</v>
      </c>
      <c r="BC41">
        <v>20460</v>
      </c>
      <c r="BD41">
        <v>20</v>
      </c>
      <c r="BE41">
        <v>13200</v>
      </c>
      <c r="BF41">
        <v>27</v>
      </c>
      <c r="BG41">
        <v>17820</v>
      </c>
      <c r="BH41">
        <v>19</v>
      </c>
      <c r="BI41">
        <v>12540</v>
      </c>
      <c r="BJ41">
        <v>12</v>
      </c>
      <c r="BK41">
        <v>7920</v>
      </c>
      <c r="BL41">
        <v>14</v>
      </c>
      <c r="BM41">
        <v>9240</v>
      </c>
      <c r="BN41">
        <v>21</v>
      </c>
      <c r="BO41">
        <v>13860</v>
      </c>
      <c r="BP41">
        <v>11</v>
      </c>
      <c r="BQ41">
        <v>7260</v>
      </c>
      <c r="BR41">
        <v>10</v>
      </c>
      <c r="BS41">
        <v>6600</v>
      </c>
      <c r="BT41">
        <v>9</v>
      </c>
      <c r="BU41">
        <v>5940</v>
      </c>
      <c r="BV41">
        <v>10</v>
      </c>
      <c r="BW41">
        <v>6600</v>
      </c>
      <c r="BX41">
        <v>12</v>
      </c>
      <c r="BY41">
        <v>7920</v>
      </c>
      <c r="BZ41">
        <v>22</v>
      </c>
      <c r="CA41">
        <v>14520</v>
      </c>
      <c r="CB41">
        <v>24</v>
      </c>
      <c r="CC41">
        <v>15840</v>
      </c>
      <c r="CD41">
        <v>12</v>
      </c>
      <c r="CE41">
        <v>7920</v>
      </c>
      <c r="CF41">
        <v>91</v>
      </c>
      <c r="CG41">
        <v>60060</v>
      </c>
      <c r="CH41">
        <v>87</v>
      </c>
      <c r="CI41">
        <v>57420</v>
      </c>
      <c r="CJ41">
        <v>78</v>
      </c>
      <c r="CK41">
        <v>51480</v>
      </c>
      <c r="CL41">
        <v>56</v>
      </c>
      <c r="CM41">
        <v>36960</v>
      </c>
      <c r="CN41">
        <v>7</v>
      </c>
      <c r="CO41">
        <v>4620</v>
      </c>
      <c r="CP41">
        <v>8</v>
      </c>
      <c r="CQ41">
        <v>5280</v>
      </c>
      <c r="CR41">
        <v>6</v>
      </c>
      <c r="CS41">
        <v>3960</v>
      </c>
      <c r="CT41">
        <v>7</v>
      </c>
      <c r="CU41">
        <v>4620</v>
      </c>
    </row>
    <row r="42" spans="2:99" x14ac:dyDescent="0.2">
      <c r="C42" s="116" t="s">
        <v>208</v>
      </c>
      <c r="D42">
        <v>105</v>
      </c>
      <c r="E42">
        <v>88830</v>
      </c>
      <c r="F42">
        <v>91</v>
      </c>
      <c r="G42">
        <v>76986</v>
      </c>
      <c r="H42">
        <v>60</v>
      </c>
      <c r="I42">
        <v>50760</v>
      </c>
      <c r="J42">
        <v>91</v>
      </c>
      <c r="K42">
        <v>76986</v>
      </c>
      <c r="L42">
        <v>5</v>
      </c>
      <c r="M42">
        <v>4230</v>
      </c>
      <c r="N42">
        <v>5</v>
      </c>
      <c r="O42">
        <v>4230</v>
      </c>
      <c r="P42">
        <v>8</v>
      </c>
      <c r="Q42">
        <v>6768</v>
      </c>
      <c r="R42">
        <v>8</v>
      </c>
      <c r="S42">
        <v>6768</v>
      </c>
      <c r="T42">
        <v>137</v>
      </c>
      <c r="U42">
        <v>115902</v>
      </c>
      <c r="V42">
        <v>115</v>
      </c>
      <c r="W42">
        <v>97290</v>
      </c>
      <c r="X42">
        <v>129</v>
      </c>
      <c r="Y42">
        <v>109134</v>
      </c>
      <c r="Z42">
        <v>87</v>
      </c>
      <c r="AA42">
        <v>73602</v>
      </c>
      <c r="AB42">
        <v>8</v>
      </c>
      <c r="AC42">
        <v>6768</v>
      </c>
      <c r="AD42">
        <v>9</v>
      </c>
      <c r="AE42">
        <v>7614</v>
      </c>
      <c r="AF42">
        <v>7</v>
      </c>
      <c r="AG42">
        <v>5922</v>
      </c>
      <c r="AH42">
        <v>6</v>
      </c>
      <c r="AI42">
        <v>5076</v>
      </c>
      <c r="AJ42">
        <v>39</v>
      </c>
      <c r="AK42">
        <v>32994</v>
      </c>
      <c r="AL42">
        <v>41</v>
      </c>
      <c r="AM42">
        <v>34686</v>
      </c>
      <c r="AN42">
        <v>31</v>
      </c>
      <c r="AO42">
        <v>26226</v>
      </c>
      <c r="AP42">
        <v>38.041547145178413</v>
      </c>
      <c r="AQ42">
        <v>32183.148884820937</v>
      </c>
      <c r="AR42">
        <v>40</v>
      </c>
      <c r="AS42">
        <v>33840</v>
      </c>
      <c r="AT42">
        <v>35</v>
      </c>
      <c r="AU42">
        <v>29610</v>
      </c>
      <c r="AV42">
        <v>24</v>
      </c>
      <c r="AW42">
        <v>20304</v>
      </c>
      <c r="AX42">
        <v>25</v>
      </c>
      <c r="AY42">
        <v>21150</v>
      </c>
      <c r="AZ42">
        <v>18</v>
      </c>
      <c r="BA42">
        <v>15228</v>
      </c>
      <c r="BB42">
        <v>25</v>
      </c>
      <c r="BC42">
        <v>21150</v>
      </c>
      <c r="BD42">
        <v>17</v>
      </c>
      <c r="BE42">
        <v>14382</v>
      </c>
      <c r="BF42">
        <v>28</v>
      </c>
      <c r="BG42">
        <v>23688</v>
      </c>
      <c r="BH42">
        <v>18</v>
      </c>
      <c r="BI42">
        <v>15228</v>
      </c>
      <c r="BJ42">
        <v>11</v>
      </c>
      <c r="BK42">
        <v>9306</v>
      </c>
      <c r="BL42">
        <v>12</v>
      </c>
      <c r="BM42">
        <v>10152</v>
      </c>
      <c r="BN42">
        <v>19</v>
      </c>
      <c r="BO42">
        <v>16074</v>
      </c>
      <c r="BP42">
        <v>10</v>
      </c>
      <c r="BQ42">
        <v>8460</v>
      </c>
      <c r="BR42">
        <v>9</v>
      </c>
      <c r="BS42">
        <v>7614</v>
      </c>
      <c r="BT42">
        <v>8</v>
      </c>
      <c r="BU42">
        <v>6768</v>
      </c>
      <c r="BV42">
        <v>10</v>
      </c>
      <c r="BW42">
        <v>8460</v>
      </c>
      <c r="BX42">
        <v>12</v>
      </c>
      <c r="BY42">
        <v>10152</v>
      </c>
      <c r="BZ42">
        <v>19</v>
      </c>
      <c r="CA42">
        <v>16074</v>
      </c>
      <c r="CB42">
        <v>22</v>
      </c>
      <c r="CC42">
        <v>18612</v>
      </c>
      <c r="CD42">
        <v>13</v>
      </c>
      <c r="CE42">
        <v>10998</v>
      </c>
      <c r="CF42">
        <v>85</v>
      </c>
      <c r="CG42">
        <v>71910</v>
      </c>
      <c r="CH42">
        <v>91</v>
      </c>
      <c r="CI42">
        <v>76986</v>
      </c>
      <c r="CJ42">
        <v>68</v>
      </c>
      <c r="CK42">
        <v>57528</v>
      </c>
      <c r="CL42">
        <v>55</v>
      </c>
      <c r="CM42">
        <v>46530</v>
      </c>
      <c r="CN42">
        <v>8</v>
      </c>
      <c r="CO42">
        <v>6768</v>
      </c>
      <c r="CP42">
        <v>7</v>
      </c>
      <c r="CQ42">
        <v>5922</v>
      </c>
      <c r="CR42">
        <v>6</v>
      </c>
      <c r="CS42">
        <v>5076</v>
      </c>
      <c r="CT42">
        <v>6</v>
      </c>
      <c r="CU42">
        <v>5076</v>
      </c>
    </row>
    <row r="43" spans="2:99" x14ac:dyDescent="0.2">
      <c r="C43" s="116" t="s">
        <v>209</v>
      </c>
      <c r="D43">
        <v>104</v>
      </c>
      <c r="E43">
        <v>106329.59999999999</v>
      </c>
      <c r="F43">
        <v>85</v>
      </c>
      <c r="G43">
        <v>86904</v>
      </c>
      <c r="H43">
        <v>64</v>
      </c>
      <c r="I43">
        <v>65433.599999999999</v>
      </c>
      <c r="J43">
        <v>87</v>
      </c>
      <c r="K43">
        <v>88948.800000000003</v>
      </c>
      <c r="L43">
        <v>5</v>
      </c>
      <c r="M43">
        <v>5112</v>
      </c>
      <c r="N43">
        <v>5</v>
      </c>
      <c r="O43">
        <v>5112</v>
      </c>
      <c r="P43">
        <v>7</v>
      </c>
      <c r="Q43">
        <v>7156.8</v>
      </c>
      <c r="R43">
        <v>7</v>
      </c>
      <c r="S43">
        <v>7156.8</v>
      </c>
      <c r="T43">
        <v>131</v>
      </c>
      <c r="U43">
        <v>133934.39999999999</v>
      </c>
      <c r="V43">
        <v>112</v>
      </c>
      <c r="W43">
        <v>114508.8</v>
      </c>
      <c r="X43">
        <v>118</v>
      </c>
      <c r="Y43">
        <v>120643.2</v>
      </c>
      <c r="Z43">
        <v>84</v>
      </c>
      <c r="AA43">
        <v>85881.599999999991</v>
      </c>
      <c r="AB43">
        <v>9</v>
      </c>
      <c r="AC43">
        <v>9201.6</v>
      </c>
      <c r="AD43">
        <v>8</v>
      </c>
      <c r="AE43">
        <v>8179.2</v>
      </c>
      <c r="AF43">
        <v>7</v>
      </c>
      <c r="AG43">
        <v>7156.8</v>
      </c>
      <c r="AH43">
        <v>6</v>
      </c>
      <c r="AI43">
        <v>6134.4</v>
      </c>
      <c r="AJ43">
        <v>35</v>
      </c>
      <c r="AK43">
        <v>35784</v>
      </c>
      <c r="AL43">
        <v>35</v>
      </c>
      <c r="AM43">
        <v>35784</v>
      </c>
      <c r="AN43">
        <v>29</v>
      </c>
      <c r="AO43">
        <v>29649.599999999999</v>
      </c>
      <c r="AP43">
        <v>39.016971430952218</v>
      </c>
      <c r="AQ43">
        <v>39890.951591005549</v>
      </c>
      <c r="AR43">
        <v>43</v>
      </c>
      <c r="AS43">
        <v>43963.199999999997</v>
      </c>
      <c r="AT43">
        <v>35</v>
      </c>
      <c r="AU43">
        <v>35784</v>
      </c>
      <c r="AV43">
        <v>24</v>
      </c>
      <c r="AW43">
        <v>24537.599999999999</v>
      </c>
      <c r="AX43">
        <v>25</v>
      </c>
      <c r="AY43">
        <v>25560</v>
      </c>
      <c r="AZ43">
        <v>16</v>
      </c>
      <c r="BA43">
        <v>16358.4</v>
      </c>
      <c r="BB43">
        <v>26</v>
      </c>
      <c r="BC43">
        <v>26582.399999999998</v>
      </c>
      <c r="BD43">
        <v>18</v>
      </c>
      <c r="BE43">
        <v>18403.2</v>
      </c>
      <c r="BF43">
        <v>25</v>
      </c>
      <c r="BG43">
        <v>25560</v>
      </c>
      <c r="BH43">
        <v>18</v>
      </c>
      <c r="BI43">
        <v>18403.2</v>
      </c>
      <c r="BJ43">
        <v>11</v>
      </c>
      <c r="BK43">
        <v>11246.4</v>
      </c>
      <c r="BL43">
        <v>12</v>
      </c>
      <c r="BM43">
        <v>12268.8</v>
      </c>
      <c r="BN43">
        <v>21</v>
      </c>
      <c r="BO43">
        <v>21470.399999999998</v>
      </c>
      <c r="BP43">
        <v>12</v>
      </c>
      <c r="BQ43">
        <v>12268.8</v>
      </c>
      <c r="BR43">
        <v>9</v>
      </c>
      <c r="BS43">
        <v>9201.6</v>
      </c>
      <c r="BT43">
        <v>7</v>
      </c>
      <c r="BU43">
        <v>7156.8</v>
      </c>
      <c r="BV43">
        <v>9</v>
      </c>
      <c r="BW43">
        <v>9201.6</v>
      </c>
      <c r="BX43">
        <v>12</v>
      </c>
      <c r="BY43">
        <v>12268.8</v>
      </c>
      <c r="BZ43">
        <v>21</v>
      </c>
      <c r="CA43">
        <v>21470.399999999998</v>
      </c>
      <c r="CB43">
        <v>23</v>
      </c>
      <c r="CC43">
        <v>23515.200000000001</v>
      </c>
      <c r="CD43">
        <v>12</v>
      </c>
      <c r="CE43">
        <v>12268.8</v>
      </c>
      <c r="CF43">
        <v>78</v>
      </c>
      <c r="CG43">
        <v>79747.199999999997</v>
      </c>
      <c r="CH43">
        <v>79</v>
      </c>
      <c r="CI43">
        <v>80769.599999999991</v>
      </c>
      <c r="CJ43">
        <v>67</v>
      </c>
      <c r="CK43">
        <v>68500.800000000003</v>
      </c>
      <c r="CL43">
        <v>54</v>
      </c>
      <c r="CM43">
        <v>55209.599999999999</v>
      </c>
      <c r="CN43">
        <v>8</v>
      </c>
      <c r="CO43">
        <v>8179.2</v>
      </c>
      <c r="CP43">
        <v>7</v>
      </c>
      <c r="CQ43">
        <v>7156.8</v>
      </c>
      <c r="CR43">
        <v>6</v>
      </c>
      <c r="CS43">
        <v>6134.4</v>
      </c>
      <c r="CT43">
        <v>7</v>
      </c>
      <c r="CU43">
        <v>7156.8</v>
      </c>
    </row>
    <row r="44" spans="2:99" x14ac:dyDescent="0.2">
      <c r="C44" s="116" t="s">
        <v>210</v>
      </c>
      <c r="D44">
        <v>95</v>
      </c>
      <c r="E44">
        <v>97128</v>
      </c>
      <c r="F44">
        <v>92</v>
      </c>
      <c r="G44">
        <v>94060.800000000003</v>
      </c>
      <c r="H44">
        <v>65</v>
      </c>
      <c r="I44">
        <v>66456</v>
      </c>
      <c r="J44">
        <v>89</v>
      </c>
      <c r="K44">
        <v>90993.599999999991</v>
      </c>
      <c r="L44">
        <v>5</v>
      </c>
      <c r="M44">
        <v>5112</v>
      </c>
      <c r="N44">
        <v>5</v>
      </c>
      <c r="O44">
        <v>5112</v>
      </c>
      <c r="P44">
        <v>7</v>
      </c>
      <c r="Q44">
        <v>7156.8</v>
      </c>
      <c r="R44">
        <v>7</v>
      </c>
      <c r="S44">
        <v>7156.8</v>
      </c>
      <c r="T44">
        <v>139</v>
      </c>
      <c r="U44">
        <v>142113.60000000001</v>
      </c>
      <c r="V44">
        <v>109</v>
      </c>
      <c r="W44">
        <v>111441.59999999999</v>
      </c>
      <c r="X44">
        <v>126</v>
      </c>
      <c r="Y44">
        <v>128822.39999999999</v>
      </c>
      <c r="Z44">
        <v>92</v>
      </c>
      <c r="AA44">
        <v>94060.800000000003</v>
      </c>
      <c r="AB44">
        <v>7</v>
      </c>
      <c r="AC44">
        <v>7156.8</v>
      </c>
      <c r="AD44">
        <v>8</v>
      </c>
      <c r="AE44">
        <v>8179.2</v>
      </c>
      <c r="AF44">
        <v>7</v>
      </c>
      <c r="AG44">
        <v>7156.8</v>
      </c>
      <c r="AH44">
        <v>6</v>
      </c>
      <c r="AI44">
        <v>6134.4</v>
      </c>
      <c r="AJ44">
        <v>36</v>
      </c>
      <c r="AK44">
        <v>36806.400000000001</v>
      </c>
      <c r="AL44">
        <v>37</v>
      </c>
      <c r="AM44">
        <v>37828.799999999996</v>
      </c>
      <c r="AN44">
        <v>35</v>
      </c>
      <c r="AO44">
        <v>35784</v>
      </c>
      <c r="AP44">
        <v>36.090698573630803</v>
      </c>
      <c r="AQ44">
        <v>36899.130221680134</v>
      </c>
      <c r="AR44">
        <v>38</v>
      </c>
      <c r="AS44">
        <v>38851.199999999997</v>
      </c>
      <c r="AT44">
        <v>36</v>
      </c>
      <c r="AU44">
        <v>36806.400000000001</v>
      </c>
      <c r="AV44">
        <v>22</v>
      </c>
      <c r="AW44">
        <v>22492.799999999999</v>
      </c>
      <c r="AX44">
        <v>22</v>
      </c>
      <c r="AY44">
        <v>22492.799999999999</v>
      </c>
      <c r="AZ44">
        <v>17</v>
      </c>
      <c r="BA44">
        <v>17380.8</v>
      </c>
      <c r="BB44">
        <v>26</v>
      </c>
      <c r="BC44">
        <v>26582.399999999998</v>
      </c>
      <c r="BD44">
        <v>18</v>
      </c>
      <c r="BE44">
        <v>18403.2</v>
      </c>
      <c r="BF44">
        <v>27</v>
      </c>
      <c r="BG44">
        <v>27604.799999999999</v>
      </c>
      <c r="BH44">
        <v>17</v>
      </c>
      <c r="BI44">
        <v>17380.8</v>
      </c>
      <c r="BJ44">
        <v>12</v>
      </c>
      <c r="BK44">
        <v>12268.8</v>
      </c>
      <c r="BL44">
        <v>12</v>
      </c>
      <c r="BM44">
        <v>12268.8</v>
      </c>
      <c r="BN44">
        <v>18</v>
      </c>
      <c r="BO44">
        <v>18403.2</v>
      </c>
      <c r="BP44">
        <v>10</v>
      </c>
      <c r="BQ44">
        <v>10224</v>
      </c>
      <c r="BR44">
        <v>10</v>
      </c>
      <c r="BS44">
        <v>10224</v>
      </c>
      <c r="BT44">
        <v>7</v>
      </c>
      <c r="BU44">
        <v>7156.8</v>
      </c>
      <c r="BV44">
        <v>9</v>
      </c>
      <c r="BW44">
        <v>9201.6</v>
      </c>
      <c r="BX44">
        <v>11</v>
      </c>
      <c r="BY44">
        <v>11246.4</v>
      </c>
      <c r="BZ44">
        <v>20</v>
      </c>
      <c r="CA44">
        <v>20448</v>
      </c>
      <c r="CB44">
        <v>22</v>
      </c>
      <c r="CC44">
        <v>22492.799999999999</v>
      </c>
      <c r="CD44">
        <v>12</v>
      </c>
      <c r="CE44">
        <v>12268.8</v>
      </c>
      <c r="CF44">
        <v>78</v>
      </c>
      <c r="CG44">
        <v>79747.199999999997</v>
      </c>
      <c r="CH44">
        <v>83</v>
      </c>
      <c r="CI44">
        <v>84859.199999999997</v>
      </c>
      <c r="CJ44">
        <v>65</v>
      </c>
      <c r="CK44">
        <v>66456</v>
      </c>
      <c r="CL44">
        <v>54</v>
      </c>
      <c r="CM44">
        <v>55209.599999999999</v>
      </c>
      <c r="CN44">
        <v>8</v>
      </c>
      <c r="CO44">
        <v>8179.2</v>
      </c>
      <c r="CP44">
        <v>7</v>
      </c>
      <c r="CQ44">
        <v>7156.8</v>
      </c>
      <c r="CR44">
        <v>6</v>
      </c>
      <c r="CS44">
        <v>6134.4</v>
      </c>
      <c r="CT44">
        <v>6</v>
      </c>
      <c r="CU44">
        <v>6134.4</v>
      </c>
    </row>
    <row r="45" spans="2:99" x14ac:dyDescent="0.2">
      <c r="C45" s="116" t="s">
        <v>211</v>
      </c>
      <c r="D45">
        <v>91</v>
      </c>
      <c r="E45">
        <v>113677.2</v>
      </c>
      <c r="F45">
        <v>75</v>
      </c>
      <c r="G45">
        <v>93690</v>
      </c>
      <c r="H45">
        <v>55</v>
      </c>
      <c r="I45">
        <v>68706</v>
      </c>
      <c r="J45">
        <v>74</v>
      </c>
      <c r="K45">
        <v>92440.8</v>
      </c>
      <c r="L45">
        <v>5</v>
      </c>
      <c r="M45">
        <v>6246</v>
      </c>
      <c r="N45">
        <v>5</v>
      </c>
      <c r="O45">
        <v>6246</v>
      </c>
      <c r="P45">
        <v>8</v>
      </c>
      <c r="Q45">
        <v>9993.6</v>
      </c>
      <c r="R45">
        <v>7</v>
      </c>
      <c r="S45">
        <v>8744.4</v>
      </c>
      <c r="T45">
        <v>127</v>
      </c>
      <c r="U45">
        <v>158648.4</v>
      </c>
      <c r="V45">
        <v>106</v>
      </c>
      <c r="W45">
        <v>132415.20000000001</v>
      </c>
      <c r="X45">
        <v>123</v>
      </c>
      <c r="Y45">
        <v>153651.6</v>
      </c>
      <c r="Z45">
        <v>80</v>
      </c>
      <c r="AA45">
        <v>99936</v>
      </c>
      <c r="AB45">
        <v>9</v>
      </c>
      <c r="AC45">
        <v>11242.800000000001</v>
      </c>
      <c r="AD45">
        <v>8</v>
      </c>
      <c r="AE45">
        <v>9993.6</v>
      </c>
      <c r="AF45">
        <v>6</v>
      </c>
      <c r="AG45">
        <v>7495.2000000000007</v>
      </c>
      <c r="AH45">
        <v>5</v>
      </c>
      <c r="AI45">
        <v>6246</v>
      </c>
      <c r="AJ45">
        <v>32</v>
      </c>
      <c r="AK45">
        <v>39974.400000000001</v>
      </c>
      <c r="AL45">
        <v>38</v>
      </c>
      <c r="AM45">
        <v>47469.599999999999</v>
      </c>
      <c r="AN45">
        <v>33</v>
      </c>
      <c r="AO45">
        <v>41223.599999999999</v>
      </c>
      <c r="AP45">
        <v>37.066122859404608</v>
      </c>
      <c r="AQ45">
        <v>46303.000675968236</v>
      </c>
      <c r="AR45">
        <v>43</v>
      </c>
      <c r="AS45">
        <v>53715.6</v>
      </c>
      <c r="AT45">
        <v>33</v>
      </c>
      <c r="AU45">
        <v>41223.599999999999</v>
      </c>
      <c r="AV45">
        <v>23</v>
      </c>
      <c r="AW45">
        <v>28731.600000000002</v>
      </c>
      <c r="AX45">
        <v>25</v>
      </c>
      <c r="AY45">
        <v>31230</v>
      </c>
      <c r="AZ45">
        <v>17</v>
      </c>
      <c r="BA45">
        <v>21236.400000000001</v>
      </c>
      <c r="BB45">
        <v>24</v>
      </c>
      <c r="BC45">
        <v>29980.800000000003</v>
      </c>
      <c r="BD45">
        <v>17</v>
      </c>
      <c r="BE45">
        <v>21236.400000000001</v>
      </c>
      <c r="BF45">
        <v>22</v>
      </c>
      <c r="BG45">
        <v>27482.400000000001</v>
      </c>
      <c r="BH45">
        <v>18</v>
      </c>
      <c r="BI45">
        <v>22485.600000000002</v>
      </c>
      <c r="BJ45">
        <v>11</v>
      </c>
      <c r="BK45">
        <v>13741.2</v>
      </c>
      <c r="BL45">
        <v>11</v>
      </c>
      <c r="BM45">
        <v>13741.2</v>
      </c>
      <c r="BN45">
        <v>19</v>
      </c>
      <c r="BO45">
        <v>23734.799999999999</v>
      </c>
      <c r="BP45">
        <v>11</v>
      </c>
      <c r="BQ45">
        <v>13741.2</v>
      </c>
      <c r="BR45">
        <v>10</v>
      </c>
      <c r="BS45">
        <v>12492</v>
      </c>
      <c r="BT45">
        <v>8</v>
      </c>
      <c r="BU45">
        <v>9993.6</v>
      </c>
      <c r="BV45">
        <v>10</v>
      </c>
      <c r="BW45">
        <v>12492</v>
      </c>
      <c r="BX45">
        <v>10</v>
      </c>
      <c r="BY45">
        <v>12492</v>
      </c>
      <c r="BZ45">
        <v>19</v>
      </c>
      <c r="CA45">
        <v>23734.799999999999</v>
      </c>
      <c r="CB45">
        <v>21</v>
      </c>
      <c r="CC45">
        <v>26233.200000000001</v>
      </c>
      <c r="CD45">
        <v>14</v>
      </c>
      <c r="CE45">
        <v>17488.8</v>
      </c>
      <c r="CF45">
        <v>81</v>
      </c>
      <c r="CG45">
        <v>101185.2</v>
      </c>
      <c r="CH45">
        <v>86</v>
      </c>
      <c r="CI45">
        <v>107431.2</v>
      </c>
      <c r="CJ45">
        <v>60</v>
      </c>
      <c r="CK45">
        <v>74952</v>
      </c>
      <c r="CL45">
        <v>51</v>
      </c>
      <c r="CM45">
        <v>63709.200000000004</v>
      </c>
      <c r="CN45">
        <v>7</v>
      </c>
      <c r="CO45">
        <v>8744.4</v>
      </c>
      <c r="CP45">
        <v>7</v>
      </c>
      <c r="CQ45">
        <v>8744.4</v>
      </c>
      <c r="CR45">
        <v>5</v>
      </c>
      <c r="CS45">
        <v>6246</v>
      </c>
      <c r="CT45">
        <v>6</v>
      </c>
      <c r="CU45">
        <v>7495.2000000000007</v>
      </c>
    </row>
    <row r="46" spans="2:99" x14ac:dyDescent="0.2">
      <c r="C46" s="116" t="s">
        <v>212</v>
      </c>
      <c r="D46">
        <v>89</v>
      </c>
      <c r="E46">
        <v>107868</v>
      </c>
      <c r="F46">
        <v>80</v>
      </c>
      <c r="G46">
        <v>96960</v>
      </c>
      <c r="H46">
        <v>66</v>
      </c>
      <c r="I46">
        <v>79992</v>
      </c>
      <c r="J46">
        <v>86</v>
      </c>
      <c r="K46">
        <v>104232</v>
      </c>
      <c r="L46">
        <v>5</v>
      </c>
      <c r="M46">
        <v>6060</v>
      </c>
      <c r="N46">
        <v>5</v>
      </c>
      <c r="O46">
        <v>6060</v>
      </c>
      <c r="P46">
        <v>7</v>
      </c>
      <c r="Q46">
        <v>8484</v>
      </c>
      <c r="R46">
        <v>7</v>
      </c>
      <c r="S46">
        <v>8484</v>
      </c>
      <c r="T46">
        <v>133</v>
      </c>
      <c r="U46">
        <v>161196</v>
      </c>
      <c r="V46">
        <v>109</v>
      </c>
      <c r="W46">
        <v>132108</v>
      </c>
      <c r="X46">
        <v>130</v>
      </c>
      <c r="Y46">
        <v>157560</v>
      </c>
      <c r="Z46">
        <v>86</v>
      </c>
      <c r="AA46">
        <v>104232</v>
      </c>
      <c r="AB46">
        <v>8</v>
      </c>
      <c r="AC46">
        <v>9696</v>
      </c>
      <c r="AD46">
        <v>9</v>
      </c>
      <c r="AE46">
        <v>10908</v>
      </c>
      <c r="AF46">
        <v>6</v>
      </c>
      <c r="AG46">
        <v>7272</v>
      </c>
      <c r="AH46">
        <v>6</v>
      </c>
      <c r="AI46">
        <v>7272</v>
      </c>
      <c r="AJ46">
        <v>34</v>
      </c>
      <c r="AK46">
        <v>41208</v>
      </c>
      <c r="AL46">
        <v>35</v>
      </c>
      <c r="AM46">
        <v>42420</v>
      </c>
      <c r="AN46">
        <v>32</v>
      </c>
      <c r="AO46">
        <v>38784</v>
      </c>
      <c r="AP46">
        <v>38.041547145178413</v>
      </c>
      <c r="AQ46">
        <v>46106.355139956235</v>
      </c>
      <c r="AR46">
        <v>38</v>
      </c>
      <c r="AS46">
        <v>46056</v>
      </c>
      <c r="AT46">
        <v>34</v>
      </c>
      <c r="AU46">
        <v>41208</v>
      </c>
      <c r="AV46">
        <v>25</v>
      </c>
      <c r="AW46">
        <v>30300</v>
      </c>
      <c r="AX46">
        <v>25</v>
      </c>
      <c r="AY46">
        <v>30300</v>
      </c>
      <c r="AZ46">
        <v>16</v>
      </c>
      <c r="BA46">
        <v>19392</v>
      </c>
      <c r="BB46">
        <v>26</v>
      </c>
      <c r="BC46">
        <v>31512</v>
      </c>
      <c r="BD46">
        <v>16</v>
      </c>
      <c r="BE46">
        <v>19392</v>
      </c>
      <c r="BF46">
        <v>25</v>
      </c>
      <c r="BG46">
        <v>30300</v>
      </c>
      <c r="BH46">
        <v>17</v>
      </c>
      <c r="BI46">
        <v>20604</v>
      </c>
      <c r="BJ46">
        <v>12</v>
      </c>
      <c r="BK46">
        <v>14544</v>
      </c>
      <c r="BL46">
        <v>13</v>
      </c>
      <c r="BM46">
        <v>15756</v>
      </c>
      <c r="BN46">
        <v>20</v>
      </c>
      <c r="BO46">
        <v>24240</v>
      </c>
      <c r="BP46">
        <v>11</v>
      </c>
      <c r="BQ46">
        <v>13332</v>
      </c>
      <c r="BR46">
        <v>10</v>
      </c>
      <c r="BS46">
        <v>12120</v>
      </c>
      <c r="BT46">
        <v>8</v>
      </c>
      <c r="BU46">
        <v>9696</v>
      </c>
      <c r="BV46">
        <v>9</v>
      </c>
      <c r="BW46">
        <v>10908</v>
      </c>
      <c r="BX46">
        <v>11</v>
      </c>
      <c r="BY46">
        <v>13332</v>
      </c>
      <c r="BZ46">
        <v>20</v>
      </c>
      <c r="CA46">
        <v>24240</v>
      </c>
      <c r="CB46">
        <v>21</v>
      </c>
      <c r="CC46">
        <v>25452</v>
      </c>
      <c r="CD46">
        <v>14</v>
      </c>
      <c r="CE46">
        <v>16968</v>
      </c>
      <c r="CF46">
        <v>70</v>
      </c>
      <c r="CG46">
        <v>84840</v>
      </c>
      <c r="CH46">
        <v>82</v>
      </c>
      <c r="CI46">
        <v>99384</v>
      </c>
      <c r="CJ46">
        <v>73</v>
      </c>
      <c r="CK46">
        <v>88476</v>
      </c>
      <c r="CL46">
        <v>56</v>
      </c>
      <c r="CM46">
        <v>67872</v>
      </c>
      <c r="CN46">
        <v>7</v>
      </c>
      <c r="CO46">
        <v>8484</v>
      </c>
      <c r="CP46">
        <v>7</v>
      </c>
      <c r="CQ46">
        <v>8484</v>
      </c>
      <c r="CR46">
        <v>5</v>
      </c>
      <c r="CS46">
        <v>6060</v>
      </c>
      <c r="CT46">
        <v>6</v>
      </c>
      <c r="CU46">
        <v>7272</v>
      </c>
    </row>
    <row r="47" spans="2:99" x14ac:dyDescent="0.2">
      <c r="C47" s="116" t="s">
        <v>213</v>
      </c>
      <c r="D47">
        <v>81</v>
      </c>
      <c r="E47">
        <v>123735.59999999999</v>
      </c>
      <c r="F47">
        <v>79</v>
      </c>
      <c r="G47">
        <v>120680.4</v>
      </c>
      <c r="H47">
        <v>54</v>
      </c>
      <c r="I47">
        <v>82490.399999999994</v>
      </c>
      <c r="J47">
        <v>82</v>
      </c>
      <c r="K47">
        <v>125263.2</v>
      </c>
      <c r="L47">
        <v>5</v>
      </c>
      <c r="M47">
        <v>7638</v>
      </c>
      <c r="N47">
        <v>5</v>
      </c>
      <c r="O47">
        <v>7638</v>
      </c>
      <c r="P47">
        <v>7</v>
      </c>
      <c r="Q47">
        <v>10693.199999999999</v>
      </c>
      <c r="R47">
        <v>6</v>
      </c>
      <c r="S47">
        <v>9165.5999999999985</v>
      </c>
      <c r="T47">
        <v>114</v>
      </c>
      <c r="U47">
        <v>174146.4</v>
      </c>
      <c r="V47">
        <v>102</v>
      </c>
      <c r="W47">
        <v>155815.19999999998</v>
      </c>
      <c r="X47">
        <v>113</v>
      </c>
      <c r="Y47">
        <v>172618.8</v>
      </c>
      <c r="Z47">
        <v>73</v>
      </c>
      <c r="AA47">
        <v>111514.79999999999</v>
      </c>
      <c r="AB47">
        <v>8</v>
      </c>
      <c r="AC47">
        <v>12220.8</v>
      </c>
      <c r="AD47">
        <v>7</v>
      </c>
      <c r="AE47">
        <v>10693.199999999999</v>
      </c>
      <c r="AF47">
        <v>6</v>
      </c>
      <c r="AG47">
        <v>9165.5999999999985</v>
      </c>
      <c r="AH47">
        <v>6</v>
      </c>
      <c r="AI47">
        <v>9165.5999999999985</v>
      </c>
      <c r="AJ47">
        <v>35</v>
      </c>
      <c r="AK47">
        <v>53466</v>
      </c>
      <c r="AL47">
        <v>38</v>
      </c>
      <c r="AM47">
        <v>58048.799999999996</v>
      </c>
      <c r="AN47">
        <v>32</v>
      </c>
      <c r="AO47">
        <v>48883.199999999997</v>
      </c>
      <c r="AP47">
        <v>34.139850002083193</v>
      </c>
      <c r="AQ47">
        <v>52152.034863182285</v>
      </c>
      <c r="AR47">
        <v>36</v>
      </c>
      <c r="AS47">
        <v>54993.599999999999</v>
      </c>
      <c r="AT47">
        <v>36</v>
      </c>
      <c r="AU47">
        <v>54993.599999999999</v>
      </c>
      <c r="AV47">
        <v>22</v>
      </c>
      <c r="AW47">
        <v>33607.199999999997</v>
      </c>
      <c r="AX47">
        <v>22</v>
      </c>
      <c r="AY47">
        <v>33607.199999999997</v>
      </c>
      <c r="AZ47">
        <v>17</v>
      </c>
      <c r="BA47">
        <v>25969.199999999997</v>
      </c>
      <c r="BB47">
        <v>24</v>
      </c>
      <c r="BC47">
        <v>36662.399999999994</v>
      </c>
      <c r="BD47">
        <v>17</v>
      </c>
      <c r="BE47">
        <v>25969.199999999997</v>
      </c>
      <c r="BF47">
        <v>24</v>
      </c>
      <c r="BG47">
        <v>36662.399999999994</v>
      </c>
      <c r="BH47">
        <v>18</v>
      </c>
      <c r="BI47">
        <v>27496.799999999999</v>
      </c>
      <c r="BJ47">
        <v>12</v>
      </c>
      <c r="BK47">
        <v>18331.199999999997</v>
      </c>
      <c r="BL47">
        <v>13</v>
      </c>
      <c r="BM47">
        <v>19858.8</v>
      </c>
      <c r="BN47">
        <v>18</v>
      </c>
      <c r="BO47">
        <v>27496.799999999999</v>
      </c>
      <c r="BP47">
        <v>10</v>
      </c>
      <c r="BQ47">
        <v>15276</v>
      </c>
      <c r="BR47">
        <v>10</v>
      </c>
      <c r="BS47">
        <v>15276</v>
      </c>
      <c r="BT47">
        <v>7</v>
      </c>
      <c r="BU47">
        <v>10693.199999999999</v>
      </c>
      <c r="BV47">
        <v>9</v>
      </c>
      <c r="BW47">
        <v>13748.4</v>
      </c>
      <c r="BX47">
        <v>11</v>
      </c>
      <c r="BY47">
        <v>16803.599999999999</v>
      </c>
      <c r="BZ47">
        <v>20</v>
      </c>
      <c r="CA47">
        <v>30552</v>
      </c>
      <c r="CB47">
        <v>21</v>
      </c>
      <c r="CC47">
        <v>32079.599999999999</v>
      </c>
      <c r="CD47">
        <v>13</v>
      </c>
      <c r="CE47">
        <v>19858.8</v>
      </c>
      <c r="CF47">
        <v>74</v>
      </c>
      <c r="CG47">
        <v>113042.4</v>
      </c>
      <c r="CH47">
        <v>85</v>
      </c>
      <c r="CI47">
        <v>129845.99999999999</v>
      </c>
      <c r="CJ47">
        <v>58</v>
      </c>
      <c r="CK47">
        <v>88600.799999999988</v>
      </c>
      <c r="CL47">
        <v>54</v>
      </c>
      <c r="CM47">
        <v>82490.399999999994</v>
      </c>
      <c r="CN47">
        <v>7</v>
      </c>
      <c r="CO47">
        <v>10693.199999999999</v>
      </c>
      <c r="CP47">
        <v>6</v>
      </c>
      <c r="CQ47">
        <v>9165.5999999999985</v>
      </c>
      <c r="CR47">
        <v>5</v>
      </c>
      <c r="CS47">
        <v>7638</v>
      </c>
      <c r="CT47">
        <v>6</v>
      </c>
      <c r="CU47">
        <v>9165.5999999999985</v>
      </c>
    </row>
    <row r="48" spans="2:99" x14ac:dyDescent="0.2">
      <c r="C48" s="116" t="s">
        <v>214</v>
      </c>
      <c r="D48">
        <v>95</v>
      </c>
      <c r="E48">
        <v>82422</v>
      </c>
      <c r="F48">
        <v>87</v>
      </c>
      <c r="G48">
        <v>75481.2</v>
      </c>
      <c r="H48">
        <v>71</v>
      </c>
      <c r="I48">
        <v>61599.6</v>
      </c>
      <c r="J48">
        <v>91</v>
      </c>
      <c r="K48">
        <v>78951.600000000006</v>
      </c>
      <c r="L48">
        <v>6</v>
      </c>
      <c r="M48">
        <v>5205.6000000000004</v>
      </c>
      <c r="N48">
        <v>5</v>
      </c>
      <c r="O48">
        <v>4338</v>
      </c>
      <c r="P48">
        <v>7</v>
      </c>
      <c r="Q48">
        <v>6073.2</v>
      </c>
      <c r="R48">
        <v>7</v>
      </c>
      <c r="S48">
        <v>6073.2</v>
      </c>
      <c r="T48">
        <v>129</v>
      </c>
      <c r="U48">
        <v>111920.40000000001</v>
      </c>
      <c r="V48">
        <v>108</v>
      </c>
      <c r="W48">
        <v>93700.800000000003</v>
      </c>
      <c r="X48">
        <v>139</v>
      </c>
      <c r="Y48">
        <v>120596.40000000001</v>
      </c>
      <c r="Z48">
        <v>94</v>
      </c>
      <c r="AA48">
        <v>81554.400000000009</v>
      </c>
      <c r="AB48">
        <v>8</v>
      </c>
      <c r="AC48">
        <v>6940.8</v>
      </c>
      <c r="AD48">
        <v>8</v>
      </c>
      <c r="AE48">
        <v>6940.8</v>
      </c>
      <c r="AF48">
        <v>7</v>
      </c>
      <c r="AG48">
        <v>6073.2</v>
      </c>
      <c r="AH48">
        <v>6</v>
      </c>
      <c r="AI48">
        <v>5205.6000000000004</v>
      </c>
      <c r="AJ48">
        <v>34</v>
      </c>
      <c r="AK48">
        <v>29498.400000000001</v>
      </c>
      <c r="AL48">
        <v>39</v>
      </c>
      <c r="AM48">
        <v>33836.400000000001</v>
      </c>
      <c r="AN48">
        <v>32</v>
      </c>
      <c r="AO48">
        <v>27763.200000000001</v>
      </c>
      <c r="AP48">
        <v>41.943244288273632</v>
      </c>
      <c r="AQ48">
        <v>36389.958744506206</v>
      </c>
      <c r="AR48">
        <v>40</v>
      </c>
      <c r="AS48">
        <v>34704</v>
      </c>
      <c r="AT48">
        <v>40</v>
      </c>
      <c r="AU48">
        <v>34704</v>
      </c>
      <c r="AV48">
        <v>22</v>
      </c>
      <c r="AW48">
        <v>19087.2</v>
      </c>
      <c r="AX48">
        <v>23</v>
      </c>
      <c r="AY48">
        <v>19954.8</v>
      </c>
      <c r="AZ48">
        <v>18</v>
      </c>
      <c r="BA48">
        <v>15616.800000000001</v>
      </c>
      <c r="BB48">
        <v>26</v>
      </c>
      <c r="BC48">
        <v>22557.600000000002</v>
      </c>
      <c r="BD48">
        <v>17</v>
      </c>
      <c r="BE48">
        <v>14749.2</v>
      </c>
      <c r="BF48">
        <v>24</v>
      </c>
      <c r="BG48">
        <v>20822.400000000001</v>
      </c>
      <c r="BH48">
        <v>19</v>
      </c>
      <c r="BI48">
        <v>16484.400000000001</v>
      </c>
      <c r="BJ48">
        <v>12</v>
      </c>
      <c r="BK48">
        <v>10411.200000000001</v>
      </c>
      <c r="BL48">
        <v>14</v>
      </c>
      <c r="BM48">
        <v>12146.4</v>
      </c>
      <c r="BN48">
        <v>21</v>
      </c>
      <c r="BO48">
        <v>18219.600000000002</v>
      </c>
      <c r="BP48">
        <v>11</v>
      </c>
      <c r="BQ48">
        <v>9543.6</v>
      </c>
      <c r="BR48">
        <v>10</v>
      </c>
      <c r="BS48">
        <v>8676</v>
      </c>
      <c r="BT48">
        <v>7</v>
      </c>
      <c r="BU48">
        <v>6073.2</v>
      </c>
      <c r="BV48">
        <v>9</v>
      </c>
      <c r="BW48">
        <v>7808.4000000000005</v>
      </c>
      <c r="BX48">
        <v>11</v>
      </c>
      <c r="BY48">
        <v>9543.6</v>
      </c>
      <c r="BZ48">
        <v>21</v>
      </c>
      <c r="CA48">
        <v>18219.600000000002</v>
      </c>
      <c r="CB48">
        <v>24</v>
      </c>
      <c r="CC48">
        <v>20822.400000000001</v>
      </c>
      <c r="CD48">
        <v>14</v>
      </c>
      <c r="CE48">
        <v>12146.4</v>
      </c>
      <c r="CF48">
        <v>87</v>
      </c>
      <c r="CG48">
        <v>75481.2</v>
      </c>
      <c r="CH48">
        <v>82</v>
      </c>
      <c r="CI48">
        <v>71143.199999999997</v>
      </c>
      <c r="CJ48">
        <v>71</v>
      </c>
      <c r="CK48">
        <v>61599.6</v>
      </c>
      <c r="CL48">
        <v>63</v>
      </c>
      <c r="CM48">
        <v>54658.8</v>
      </c>
      <c r="CN48">
        <v>7</v>
      </c>
      <c r="CO48">
        <v>6073.2</v>
      </c>
      <c r="CP48">
        <v>7</v>
      </c>
      <c r="CQ48">
        <v>6073.2</v>
      </c>
      <c r="CR48">
        <v>6</v>
      </c>
      <c r="CS48">
        <v>5205.6000000000004</v>
      </c>
      <c r="CT48">
        <v>7</v>
      </c>
      <c r="CU48">
        <v>6073.2</v>
      </c>
    </row>
    <row r="49" spans="2:99" x14ac:dyDescent="0.2">
      <c r="B49" s="116" t="s">
        <v>129</v>
      </c>
      <c r="C49" s="116" t="s">
        <v>215</v>
      </c>
      <c r="D49">
        <v>25.935274312149211</v>
      </c>
      <c r="E49">
        <v>25551.432252329399</v>
      </c>
      <c r="F49">
        <v>27.624696883962123</v>
      </c>
      <c r="G49">
        <v>27215.851370079483</v>
      </c>
      <c r="H49">
        <v>30.927740261128957</v>
      </c>
      <c r="I49">
        <v>30470.009705264245</v>
      </c>
      <c r="J49">
        <v>27.225803250476726</v>
      </c>
      <c r="K49">
        <v>26822.861362369669</v>
      </c>
      <c r="L49">
        <v>50</v>
      </c>
      <c r="M49">
        <v>49260</v>
      </c>
      <c r="N49">
        <v>29.142270346063459</v>
      </c>
      <c r="O49">
        <v>28710.964744941717</v>
      </c>
      <c r="P49">
        <v>40</v>
      </c>
      <c r="Q49">
        <v>39408</v>
      </c>
      <c r="R49">
        <v>37</v>
      </c>
      <c r="S49">
        <v>36452.399999999994</v>
      </c>
      <c r="T49">
        <v>4.8780929356432097</v>
      </c>
      <c r="U49">
        <v>4805.89716019569</v>
      </c>
      <c r="V49">
        <v>4.2718186466731476</v>
      </c>
      <c r="W49">
        <v>4208.5957307023846</v>
      </c>
      <c r="X49">
        <v>5.1136316775614477</v>
      </c>
      <c r="Y49">
        <v>5037.9499287335375</v>
      </c>
      <c r="Z49">
        <v>5.5610074313476785</v>
      </c>
      <c r="AA49">
        <v>5478.7045213637321</v>
      </c>
      <c r="AB49">
        <v>51</v>
      </c>
      <c r="AC49">
        <v>50245.2</v>
      </c>
      <c r="AD49">
        <v>43.796573566218058</v>
      </c>
      <c r="AE49">
        <v>43148.384277438025</v>
      </c>
      <c r="AF49">
        <v>36.664244771316739</v>
      </c>
      <c r="AG49">
        <v>36121.613948701248</v>
      </c>
      <c r="AH49">
        <v>54.965324961955162</v>
      </c>
      <c r="AI49">
        <v>54151.838152518219</v>
      </c>
      <c r="AJ49">
        <v>4.7763452757110336</v>
      </c>
      <c r="AK49">
        <v>4705.6553656305096</v>
      </c>
      <c r="AL49">
        <v>11.93211560963543</v>
      </c>
      <c r="AM49">
        <v>11755.520298612824</v>
      </c>
      <c r="AN49">
        <v>9.7343846623327792</v>
      </c>
      <c r="AO49">
        <v>9590.3157693302528</v>
      </c>
      <c r="AP49">
        <v>13.963358989642824</v>
      </c>
      <c r="AQ49">
        <v>13756.70127659611</v>
      </c>
      <c r="AR49">
        <v>10.465832618322686</v>
      </c>
      <c r="AS49">
        <v>10310.93829557151</v>
      </c>
      <c r="AT49">
        <v>8.0236159799280102</v>
      </c>
      <c r="AU49">
        <v>7904.8664634250754</v>
      </c>
      <c r="AV49">
        <v>4.8126667692583194</v>
      </c>
      <c r="AW49">
        <v>4741.4393010732956</v>
      </c>
      <c r="AX49">
        <v>6.3209586909636961</v>
      </c>
      <c r="AY49">
        <v>6227.4085023374328</v>
      </c>
      <c r="AZ49">
        <v>10.781714993308833</v>
      </c>
      <c r="BA49">
        <v>10622.145611407863</v>
      </c>
      <c r="BB49">
        <v>9.0169687446732674</v>
      </c>
      <c r="BC49">
        <v>8883.5176072521026</v>
      </c>
      <c r="BD49">
        <v>7.8869799574901771</v>
      </c>
      <c r="BE49">
        <v>7770.252654119322</v>
      </c>
      <c r="BF49">
        <v>4.7981460945057668</v>
      </c>
      <c r="BG49">
        <v>4727.1335323070807</v>
      </c>
      <c r="BH49">
        <v>6.9045006424903139</v>
      </c>
      <c r="BI49">
        <v>6802.3140329814569</v>
      </c>
      <c r="BJ49">
        <v>14.313037897529606</v>
      </c>
      <c r="BK49">
        <v>14101.204936646167</v>
      </c>
      <c r="BL49">
        <v>8.8455263109639901</v>
      </c>
      <c r="BM49">
        <v>8714.612521561723</v>
      </c>
      <c r="BN49">
        <v>10.870670567700481</v>
      </c>
      <c r="BO49">
        <v>10709.784643298513</v>
      </c>
      <c r="BP49">
        <v>12.943268416440272</v>
      </c>
      <c r="BQ49">
        <v>12751.708043876955</v>
      </c>
      <c r="BR49">
        <v>15.894071312490874</v>
      </c>
      <c r="BS49">
        <v>15658.839057066009</v>
      </c>
      <c r="BT49">
        <v>10.032234324023655</v>
      </c>
      <c r="BU49">
        <v>9883.7572560281042</v>
      </c>
      <c r="BV49">
        <v>13.117100624338306</v>
      </c>
      <c r="BW49">
        <v>12922.967535098098</v>
      </c>
      <c r="BX49">
        <v>13.343159685194733</v>
      </c>
      <c r="BY49">
        <v>13145.680921853849</v>
      </c>
      <c r="BZ49">
        <v>15.706973350860499</v>
      </c>
      <c r="CA49">
        <v>15474.510145267763</v>
      </c>
      <c r="CB49">
        <v>13.792490160681517</v>
      </c>
      <c r="CC49">
        <v>13588.36130630343</v>
      </c>
      <c r="CD49">
        <v>15.144134959640425</v>
      </c>
      <c r="CE49">
        <v>14920.001762237745</v>
      </c>
      <c r="CF49">
        <v>22.543635393566181</v>
      </c>
      <c r="CG49">
        <v>22209.989589741399</v>
      </c>
      <c r="CH49">
        <v>12.632711884928831</v>
      </c>
      <c r="CI49">
        <v>12445.747749031883</v>
      </c>
      <c r="CJ49">
        <v>15.511267529070363</v>
      </c>
      <c r="CK49">
        <v>15281.70076964012</v>
      </c>
      <c r="CL49">
        <v>15.455729578444069</v>
      </c>
      <c r="CM49">
        <v>15226.984780683097</v>
      </c>
      <c r="CN49">
        <v>6.3674590944616813</v>
      </c>
      <c r="CO49">
        <v>6273.2206998636484</v>
      </c>
      <c r="CP49">
        <v>4.1337984777163435</v>
      </c>
      <c r="CQ49">
        <v>4072.6182602461413</v>
      </c>
      <c r="CR49">
        <v>5.3400317496377525</v>
      </c>
      <c r="CS49">
        <v>5260.9992797431132</v>
      </c>
      <c r="CT49">
        <v>4.5151164223224605</v>
      </c>
      <c r="CU49">
        <v>4448.2926992720877</v>
      </c>
    </row>
    <row r="50" spans="2:99" x14ac:dyDescent="0.2">
      <c r="C50" s="116" t="s">
        <v>216</v>
      </c>
      <c r="D50">
        <v>71</v>
      </c>
      <c r="E50">
        <v>20022</v>
      </c>
      <c r="F50">
        <v>74</v>
      </c>
      <c r="G50">
        <v>20868</v>
      </c>
      <c r="H50">
        <v>54</v>
      </c>
      <c r="I50">
        <v>15228</v>
      </c>
      <c r="J50">
        <v>79</v>
      </c>
      <c r="K50">
        <v>22278</v>
      </c>
      <c r="L50">
        <v>56</v>
      </c>
      <c r="M50">
        <v>15792</v>
      </c>
      <c r="N50">
        <v>32</v>
      </c>
      <c r="O50">
        <v>9024</v>
      </c>
      <c r="P50">
        <v>38</v>
      </c>
      <c r="Q50">
        <v>10716</v>
      </c>
      <c r="R50">
        <v>43</v>
      </c>
      <c r="S50">
        <v>12126</v>
      </c>
      <c r="T50">
        <v>8</v>
      </c>
      <c r="U50">
        <v>2256</v>
      </c>
      <c r="V50">
        <v>11</v>
      </c>
      <c r="W50">
        <v>3102</v>
      </c>
      <c r="X50">
        <v>10</v>
      </c>
      <c r="Y50">
        <v>2820</v>
      </c>
      <c r="Z50">
        <v>15</v>
      </c>
      <c r="AA50">
        <v>4230</v>
      </c>
      <c r="AB50">
        <v>58</v>
      </c>
      <c r="AC50">
        <v>16356</v>
      </c>
      <c r="AD50">
        <v>49</v>
      </c>
      <c r="AE50">
        <v>13818</v>
      </c>
      <c r="AF50">
        <v>44</v>
      </c>
      <c r="AG50">
        <v>12408</v>
      </c>
      <c r="AH50">
        <v>59</v>
      </c>
      <c r="AI50">
        <v>16638</v>
      </c>
      <c r="AJ50">
        <v>7</v>
      </c>
      <c r="AK50">
        <v>1974</v>
      </c>
      <c r="AL50">
        <v>14</v>
      </c>
      <c r="AM50">
        <v>3948</v>
      </c>
      <c r="AN50">
        <v>10</v>
      </c>
      <c r="AO50">
        <v>2820</v>
      </c>
      <c r="AP50">
        <v>10.729667143511859</v>
      </c>
      <c r="AQ50">
        <v>3025.7661344703442</v>
      </c>
      <c r="AR50">
        <v>18</v>
      </c>
      <c r="AS50">
        <v>5076</v>
      </c>
      <c r="AT50">
        <v>15</v>
      </c>
      <c r="AU50">
        <v>4230</v>
      </c>
      <c r="AV50">
        <v>11</v>
      </c>
      <c r="AW50">
        <v>3102</v>
      </c>
      <c r="AX50">
        <v>11</v>
      </c>
      <c r="AY50">
        <v>3102</v>
      </c>
      <c r="AZ50">
        <v>11</v>
      </c>
      <c r="BA50">
        <v>3102</v>
      </c>
      <c r="BB50">
        <v>10</v>
      </c>
      <c r="BC50">
        <v>2820</v>
      </c>
      <c r="BD50">
        <v>7</v>
      </c>
      <c r="BE50">
        <v>1974</v>
      </c>
      <c r="BF50">
        <v>7</v>
      </c>
      <c r="BG50">
        <v>1974</v>
      </c>
      <c r="BH50">
        <v>20</v>
      </c>
      <c r="BI50">
        <v>5640</v>
      </c>
      <c r="BJ50">
        <v>27</v>
      </c>
      <c r="BK50">
        <v>7614</v>
      </c>
      <c r="BL50">
        <v>20</v>
      </c>
      <c r="BM50">
        <v>5640</v>
      </c>
      <c r="BN50">
        <v>21</v>
      </c>
      <c r="BO50">
        <v>5922</v>
      </c>
      <c r="BP50">
        <v>18</v>
      </c>
      <c r="BQ50">
        <v>5076</v>
      </c>
      <c r="BR50">
        <v>20</v>
      </c>
      <c r="BS50">
        <v>5640</v>
      </c>
      <c r="BT50">
        <v>16</v>
      </c>
      <c r="BU50">
        <v>4512</v>
      </c>
      <c r="BV50">
        <v>17</v>
      </c>
      <c r="BW50">
        <v>4794</v>
      </c>
      <c r="BX50">
        <v>11</v>
      </c>
      <c r="BY50">
        <v>3102</v>
      </c>
      <c r="BZ50">
        <v>17</v>
      </c>
      <c r="CA50">
        <v>4794</v>
      </c>
      <c r="CB50">
        <v>14</v>
      </c>
      <c r="CC50">
        <v>3948</v>
      </c>
      <c r="CD50">
        <v>15</v>
      </c>
      <c r="CE50">
        <v>4230</v>
      </c>
      <c r="CF50">
        <v>16</v>
      </c>
      <c r="CG50">
        <v>4512</v>
      </c>
      <c r="CH50">
        <v>11</v>
      </c>
      <c r="CI50">
        <v>3102</v>
      </c>
      <c r="CJ50">
        <v>13</v>
      </c>
      <c r="CK50">
        <v>3666</v>
      </c>
      <c r="CL50">
        <v>12</v>
      </c>
      <c r="CM50">
        <v>3384</v>
      </c>
      <c r="CN50">
        <v>11</v>
      </c>
      <c r="CO50">
        <v>3102</v>
      </c>
      <c r="CP50">
        <v>10</v>
      </c>
      <c r="CQ50">
        <v>2820</v>
      </c>
      <c r="CR50">
        <v>12</v>
      </c>
      <c r="CS50">
        <v>3384</v>
      </c>
      <c r="CT50">
        <v>9</v>
      </c>
      <c r="CU50">
        <v>2538</v>
      </c>
    </row>
    <row r="51" spans="2:99" x14ac:dyDescent="0.2">
      <c r="C51" s="116" t="s">
        <v>217</v>
      </c>
      <c r="D51">
        <v>64</v>
      </c>
      <c r="E51">
        <v>54681.599999999999</v>
      </c>
      <c r="F51">
        <v>72</v>
      </c>
      <c r="G51">
        <v>61516.799999999996</v>
      </c>
      <c r="H51">
        <v>49</v>
      </c>
      <c r="I51">
        <v>41865.599999999999</v>
      </c>
      <c r="J51">
        <v>63</v>
      </c>
      <c r="K51">
        <v>53827.199999999997</v>
      </c>
      <c r="L51">
        <v>57</v>
      </c>
      <c r="M51">
        <v>48700.799999999996</v>
      </c>
      <c r="N51">
        <v>31</v>
      </c>
      <c r="O51">
        <v>26486.399999999998</v>
      </c>
      <c r="P51">
        <v>36</v>
      </c>
      <c r="Q51">
        <v>30758.399999999998</v>
      </c>
      <c r="R51">
        <v>36</v>
      </c>
      <c r="S51">
        <v>30758.399999999998</v>
      </c>
      <c r="T51">
        <v>8</v>
      </c>
      <c r="U51">
        <v>6835.2</v>
      </c>
      <c r="V51">
        <v>10</v>
      </c>
      <c r="W51">
        <v>8544</v>
      </c>
      <c r="X51">
        <v>9</v>
      </c>
      <c r="Y51">
        <v>7689.5999999999995</v>
      </c>
      <c r="Z51">
        <v>15</v>
      </c>
      <c r="AA51">
        <v>12816</v>
      </c>
      <c r="AB51">
        <v>49</v>
      </c>
      <c r="AC51">
        <v>41865.599999999999</v>
      </c>
      <c r="AD51">
        <v>47</v>
      </c>
      <c r="AE51">
        <v>40156.799999999996</v>
      </c>
      <c r="AF51">
        <v>41</v>
      </c>
      <c r="AG51">
        <v>35030.400000000001</v>
      </c>
      <c r="AH51">
        <v>56</v>
      </c>
      <c r="AI51">
        <v>47846.400000000001</v>
      </c>
      <c r="AJ51">
        <v>6</v>
      </c>
      <c r="AK51">
        <v>5126.3999999999996</v>
      </c>
      <c r="AL51">
        <v>13</v>
      </c>
      <c r="AM51">
        <v>11107.199999999999</v>
      </c>
      <c r="AN51">
        <v>9</v>
      </c>
      <c r="AO51">
        <v>7689.5999999999995</v>
      </c>
      <c r="AP51">
        <v>9.7542428577380544</v>
      </c>
      <c r="AQ51">
        <v>8334.0250976513944</v>
      </c>
      <c r="AR51">
        <v>19</v>
      </c>
      <c r="AS51">
        <v>16233.6</v>
      </c>
      <c r="AT51">
        <v>15</v>
      </c>
      <c r="AU51">
        <v>12816</v>
      </c>
      <c r="AV51">
        <v>10</v>
      </c>
      <c r="AW51">
        <v>8544</v>
      </c>
      <c r="AX51">
        <v>11</v>
      </c>
      <c r="AY51">
        <v>9398.4</v>
      </c>
      <c r="AZ51">
        <v>11</v>
      </c>
      <c r="BA51">
        <v>9398.4</v>
      </c>
      <c r="BB51">
        <v>9</v>
      </c>
      <c r="BC51">
        <v>7689.5999999999995</v>
      </c>
      <c r="BD51">
        <v>8</v>
      </c>
      <c r="BE51">
        <v>6835.2</v>
      </c>
      <c r="BF51">
        <v>7</v>
      </c>
      <c r="BG51">
        <v>5980.8</v>
      </c>
      <c r="BH51">
        <v>19</v>
      </c>
      <c r="BI51">
        <v>16233.6</v>
      </c>
      <c r="BJ51">
        <v>22</v>
      </c>
      <c r="BK51">
        <v>18796.8</v>
      </c>
      <c r="BL51">
        <v>16</v>
      </c>
      <c r="BM51">
        <v>13670.4</v>
      </c>
      <c r="BN51">
        <v>21</v>
      </c>
      <c r="BO51">
        <v>17942.399999999998</v>
      </c>
      <c r="BP51">
        <v>20</v>
      </c>
      <c r="BQ51">
        <v>17088</v>
      </c>
      <c r="BR51">
        <v>19</v>
      </c>
      <c r="BS51">
        <v>16233.6</v>
      </c>
      <c r="BT51">
        <v>18</v>
      </c>
      <c r="BU51">
        <v>15379.199999999999</v>
      </c>
      <c r="BV51">
        <v>16</v>
      </c>
      <c r="BW51">
        <v>13670.4</v>
      </c>
      <c r="BX51">
        <v>10</v>
      </c>
      <c r="BY51">
        <v>8544</v>
      </c>
      <c r="BZ51">
        <v>14</v>
      </c>
      <c r="CA51">
        <v>11961.6</v>
      </c>
      <c r="CB51">
        <v>14</v>
      </c>
      <c r="CC51">
        <v>11961.6</v>
      </c>
      <c r="CD51">
        <v>15</v>
      </c>
      <c r="CE51">
        <v>12816</v>
      </c>
      <c r="CF51">
        <v>15</v>
      </c>
      <c r="CG51">
        <v>12816</v>
      </c>
      <c r="CH51">
        <v>11</v>
      </c>
      <c r="CI51">
        <v>9398.4</v>
      </c>
      <c r="CJ51">
        <v>14</v>
      </c>
      <c r="CK51">
        <v>11961.6</v>
      </c>
      <c r="CL51">
        <v>11</v>
      </c>
      <c r="CM51">
        <v>9398.4</v>
      </c>
      <c r="CN51">
        <v>11</v>
      </c>
      <c r="CO51">
        <v>9398.4</v>
      </c>
      <c r="CP51">
        <v>8</v>
      </c>
      <c r="CQ51">
        <v>6835.2</v>
      </c>
      <c r="CR51">
        <v>11</v>
      </c>
      <c r="CS51">
        <v>9398.4</v>
      </c>
      <c r="CT51">
        <v>9</v>
      </c>
      <c r="CU51">
        <v>7689.5999999999995</v>
      </c>
    </row>
    <row r="52" spans="2:99" x14ac:dyDescent="0.2">
      <c r="C52" s="116" t="s">
        <v>218</v>
      </c>
      <c r="D52">
        <v>68</v>
      </c>
      <c r="E52">
        <v>36720</v>
      </c>
      <c r="F52">
        <v>74</v>
      </c>
      <c r="G52">
        <v>39960</v>
      </c>
      <c r="H52">
        <v>62</v>
      </c>
      <c r="I52">
        <v>33480</v>
      </c>
      <c r="J52">
        <v>80</v>
      </c>
      <c r="K52">
        <v>43200</v>
      </c>
      <c r="L52">
        <v>62</v>
      </c>
      <c r="M52">
        <v>33480</v>
      </c>
      <c r="N52">
        <v>29</v>
      </c>
      <c r="O52">
        <v>15660</v>
      </c>
      <c r="P52">
        <v>41</v>
      </c>
      <c r="Q52">
        <v>22140</v>
      </c>
      <c r="R52">
        <v>46</v>
      </c>
      <c r="S52">
        <v>24840</v>
      </c>
      <c r="T52">
        <v>7</v>
      </c>
      <c r="U52">
        <v>3780</v>
      </c>
      <c r="V52">
        <v>12</v>
      </c>
      <c r="W52">
        <v>6480</v>
      </c>
      <c r="X52">
        <v>8</v>
      </c>
      <c r="Y52">
        <v>4320</v>
      </c>
      <c r="Z52">
        <v>16</v>
      </c>
      <c r="AA52">
        <v>8640</v>
      </c>
      <c r="AB52">
        <v>55</v>
      </c>
      <c r="AC52">
        <v>29700</v>
      </c>
      <c r="AD52">
        <v>50</v>
      </c>
      <c r="AE52">
        <v>27000</v>
      </c>
      <c r="AF52">
        <v>36</v>
      </c>
      <c r="AG52">
        <v>19440</v>
      </c>
      <c r="AH52">
        <v>57</v>
      </c>
      <c r="AI52">
        <v>30780</v>
      </c>
      <c r="AJ52">
        <v>7</v>
      </c>
      <c r="AK52">
        <v>3780</v>
      </c>
      <c r="AL52">
        <v>12</v>
      </c>
      <c r="AM52">
        <v>6480</v>
      </c>
      <c r="AN52">
        <v>8</v>
      </c>
      <c r="AO52">
        <v>4320</v>
      </c>
      <c r="AP52">
        <v>9.7542428577380544</v>
      </c>
      <c r="AQ52">
        <v>5267.2911431785496</v>
      </c>
      <c r="AR52">
        <v>17</v>
      </c>
      <c r="AS52">
        <v>9180</v>
      </c>
      <c r="AT52">
        <v>15</v>
      </c>
      <c r="AU52">
        <v>8100</v>
      </c>
      <c r="AV52">
        <v>11</v>
      </c>
      <c r="AW52">
        <v>5940</v>
      </c>
      <c r="AX52">
        <v>12</v>
      </c>
      <c r="AY52">
        <v>6480</v>
      </c>
      <c r="AZ52">
        <v>12</v>
      </c>
      <c r="BA52">
        <v>6480</v>
      </c>
      <c r="BB52">
        <v>10</v>
      </c>
      <c r="BC52">
        <v>5400</v>
      </c>
      <c r="BD52">
        <v>8</v>
      </c>
      <c r="BE52">
        <v>4320</v>
      </c>
      <c r="BF52">
        <v>8</v>
      </c>
      <c r="BG52">
        <v>4320</v>
      </c>
      <c r="BH52">
        <v>19</v>
      </c>
      <c r="BI52">
        <v>10260</v>
      </c>
      <c r="BJ52">
        <v>24</v>
      </c>
      <c r="BK52">
        <v>12960</v>
      </c>
      <c r="BL52">
        <v>19</v>
      </c>
      <c r="BM52">
        <v>10260</v>
      </c>
      <c r="BN52">
        <v>24</v>
      </c>
      <c r="BO52">
        <v>12960</v>
      </c>
      <c r="BP52">
        <v>20</v>
      </c>
      <c r="BQ52">
        <v>10800</v>
      </c>
      <c r="BR52">
        <v>19</v>
      </c>
      <c r="BS52">
        <v>10260</v>
      </c>
      <c r="BT52">
        <v>18</v>
      </c>
      <c r="BU52">
        <v>9720</v>
      </c>
      <c r="BV52">
        <v>17</v>
      </c>
      <c r="BW52">
        <v>9180</v>
      </c>
      <c r="BX52">
        <v>12</v>
      </c>
      <c r="BY52">
        <v>6480</v>
      </c>
      <c r="BZ52">
        <v>14</v>
      </c>
      <c r="CA52">
        <v>7560</v>
      </c>
      <c r="CB52">
        <v>16</v>
      </c>
      <c r="CC52">
        <v>8640</v>
      </c>
      <c r="CD52">
        <v>13</v>
      </c>
      <c r="CE52">
        <v>7020</v>
      </c>
      <c r="CF52">
        <v>14</v>
      </c>
      <c r="CG52">
        <v>7560</v>
      </c>
      <c r="CH52">
        <v>10</v>
      </c>
      <c r="CI52">
        <v>5400</v>
      </c>
      <c r="CJ52">
        <v>14</v>
      </c>
      <c r="CK52">
        <v>7560</v>
      </c>
      <c r="CL52">
        <v>12</v>
      </c>
      <c r="CM52">
        <v>6480</v>
      </c>
      <c r="CN52">
        <v>10</v>
      </c>
      <c r="CO52">
        <v>5400</v>
      </c>
      <c r="CP52">
        <v>8</v>
      </c>
      <c r="CQ52">
        <v>4320</v>
      </c>
      <c r="CR52">
        <v>11</v>
      </c>
      <c r="CS52">
        <v>5940</v>
      </c>
      <c r="CT52">
        <v>9</v>
      </c>
      <c r="CU52">
        <v>4860</v>
      </c>
    </row>
    <row r="53" spans="2:99" x14ac:dyDescent="0.2">
      <c r="C53" s="116" t="s">
        <v>219</v>
      </c>
      <c r="D53">
        <v>68</v>
      </c>
      <c r="E53">
        <v>27662.400000000001</v>
      </c>
      <c r="F53">
        <v>84</v>
      </c>
      <c r="G53">
        <v>34171.200000000004</v>
      </c>
      <c r="H53">
        <v>55</v>
      </c>
      <c r="I53">
        <v>22374</v>
      </c>
      <c r="J53">
        <v>75</v>
      </c>
      <c r="K53">
        <v>30510</v>
      </c>
      <c r="L53">
        <v>64</v>
      </c>
      <c r="M53">
        <v>26035.200000000001</v>
      </c>
      <c r="N53">
        <v>35</v>
      </c>
      <c r="O53">
        <v>14238</v>
      </c>
      <c r="P53">
        <v>44</v>
      </c>
      <c r="Q53">
        <v>17899.2</v>
      </c>
      <c r="R53">
        <v>45</v>
      </c>
      <c r="S53">
        <v>18306</v>
      </c>
      <c r="T53">
        <v>8</v>
      </c>
      <c r="U53">
        <v>3254.4</v>
      </c>
      <c r="V53">
        <v>12</v>
      </c>
      <c r="W53">
        <v>4881.6000000000004</v>
      </c>
      <c r="X53">
        <v>9</v>
      </c>
      <c r="Y53">
        <v>3661.2000000000003</v>
      </c>
      <c r="Z53">
        <v>17</v>
      </c>
      <c r="AA53">
        <v>6915.6</v>
      </c>
      <c r="AB53">
        <v>63</v>
      </c>
      <c r="AC53">
        <v>25628.400000000001</v>
      </c>
      <c r="AD53">
        <v>46</v>
      </c>
      <c r="AE53">
        <v>18712.8</v>
      </c>
      <c r="AF53">
        <v>38</v>
      </c>
      <c r="AG53">
        <v>15458.4</v>
      </c>
      <c r="AH53">
        <v>68</v>
      </c>
      <c r="AI53">
        <v>27662.400000000001</v>
      </c>
      <c r="AJ53">
        <v>7</v>
      </c>
      <c r="AK53">
        <v>2847.6</v>
      </c>
      <c r="AL53">
        <v>14</v>
      </c>
      <c r="AM53">
        <v>5695.2</v>
      </c>
      <c r="AN53">
        <v>10</v>
      </c>
      <c r="AO53">
        <v>4068</v>
      </c>
      <c r="AP53">
        <v>10.729667143511859</v>
      </c>
      <c r="AQ53">
        <v>4364.8285939806246</v>
      </c>
      <c r="AR53">
        <v>20</v>
      </c>
      <c r="AS53">
        <v>8136</v>
      </c>
      <c r="AT53">
        <v>15</v>
      </c>
      <c r="AU53">
        <v>6102</v>
      </c>
      <c r="AV53">
        <v>11</v>
      </c>
      <c r="AW53">
        <v>4474.8</v>
      </c>
      <c r="AX53">
        <v>13</v>
      </c>
      <c r="AY53">
        <v>5288.4000000000005</v>
      </c>
      <c r="AZ53">
        <v>12</v>
      </c>
      <c r="BA53">
        <v>4881.6000000000004</v>
      </c>
      <c r="BB53">
        <v>11</v>
      </c>
      <c r="BC53">
        <v>4474.8</v>
      </c>
      <c r="BD53">
        <v>7</v>
      </c>
      <c r="BE53">
        <v>2847.6</v>
      </c>
      <c r="BF53">
        <v>7</v>
      </c>
      <c r="BG53">
        <v>2847.6</v>
      </c>
      <c r="BH53">
        <v>18</v>
      </c>
      <c r="BI53">
        <v>7322.4000000000005</v>
      </c>
      <c r="BJ53">
        <v>25</v>
      </c>
      <c r="BK53">
        <v>10170</v>
      </c>
      <c r="BL53">
        <v>18</v>
      </c>
      <c r="BM53">
        <v>7322.4000000000005</v>
      </c>
      <c r="BN53">
        <v>20</v>
      </c>
      <c r="BO53">
        <v>8136</v>
      </c>
      <c r="BP53">
        <v>21</v>
      </c>
      <c r="BQ53">
        <v>8542.8000000000011</v>
      </c>
      <c r="BR53">
        <v>22</v>
      </c>
      <c r="BS53">
        <v>8949.6</v>
      </c>
      <c r="BT53">
        <v>19</v>
      </c>
      <c r="BU53">
        <v>7729.2</v>
      </c>
      <c r="BV53">
        <v>19</v>
      </c>
      <c r="BW53">
        <v>7729.2</v>
      </c>
      <c r="BX53">
        <v>12</v>
      </c>
      <c r="BY53">
        <v>4881.6000000000004</v>
      </c>
      <c r="BZ53">
        <v>16</v>
      </c>
      <c r="CA53">
        <v>6508.8</v>
      </c>
      <c r="CB53">
        <v>16</v>
      </c>
      <c r="CC53">
        <v>6508.8</v>
      </c>
      <c r="CD53">
        <v>14</v>
      </c>
      <c r="CE53">
        <v>5695.2</v>
      </c>
      <c r="CF53">
        <v>18</v>
      </c>
      <c r="CG53">
        <v>7322.4000000000005</v>
      </c>
      <c r="CH53">
        <v>10</v>
      </c>
      <c r="CI53">
        <v>4068</v>
      </c>
      <c r="CJ53">
        <v>13</v>
      </c>
      <c r="CK53">
        <v>5288.4000000000005</v>
      </c>
      <c r="CL53">
        <v>12</v>
      </c>
      <c r="CM53">
        <v>4881.6000000000004</v>
      </c>
      <c r="CN53">
        <v>11</v>
      </c>
      <c r="CO53">
        <v>4474.8</v>
      </c>
      <c r="CP53">
        <v>9</v>
      </c>
      <c r="CQ53">
        <v>3661.2000000000003</v>
      </c>
      <c r="CR53">
        <v>12</v>
      </c>
      <c r="CS53">
        <v>4881.6000000000004</v>
      </c>
      <c r="CT53">
        <v>9</v>
      </c>
      <c r="CU53">
        <v>3661.2000000000003</v>
      </c>
    </row>
    <row r="54" spans="2:99" x14ac:dyDescent="0.2">
      <c r="C54" s="116" t="s">
        <v>220</v>
      </c>
      <c r="D54">
        <v>81</v>
      </c>
      <c r="E54">
        <v>27118.799999999999</v>
      </c>
      <c r="F54">
        <v>72</v>
      </c>
      <c r="G54">
        <v>24105.600000000002</v>
      </c>
      <c r="H54">
        <v>56</v>
      </c>
      <c r="I54">
        <v>18748.8</v>
      </c>
      <c r="J54">
        <v>71</v>
      </c>
      <c r="K54">
        <v>23770.799999999999</v>
      </c>
      <c r="L54">
        <v>54</v>
      </c>
      <c r="M54">
        <v>18079.2</v>
      </c>
      <c r="N54">
        <v>30</v>
      </c>
      <c r="O54">
        <v>10044</v>
      </c>
      <c r="P54">
        <v>39</v>
      </c>
      <c r="Q54">
        <v>13057.2</v>
      </c>
      <c r="R54">
        <v>41</v>
      </c>
      <c r="S54">
        <v>13726.800000000001</v>
      </c>
      <c r="T54">
        <v>7</v>
      </c>
      <c r="U54">
        <v>2343.6</v>
      </c>
      <c r="V54">
        <v>11</v>
      </c>
      <c r="W54">
        <v>3682.8</v>
      </c>
      <c r="X54">
        <v>9</v>
      </c>
      <c r="Y54">
        <v>3013.2000000000003</v>
      </c>
      <c r="Z54">
        <v>16</v>
      </c>
      <c r="AA54">
        <v>5356.8</v>
      </c>
      <c r="AB54">
        <v>64</v>
      </c>
      <c r="AC54">
        <v>21427.200000000001</v>
      </c>
      <c r="AD54">
        <v>49</v>
      </c>
      <c r="AE54">
        <v>16405.2</v>
      </c>
      <c r="AF54">
        <v>45</v>
      </c>
      <c r="AG54">
        <v>15066</v>
      </c>
      <c r="AH54">
        <v>59</v>
      </c>
      <c r="AI54">
        <v>19753.2</v>
      </c>
      <c r="AJ54">
        <v>8</v>
      </c>
      <c r="AK54">
        <v>2678.4</v>
      </c>
      <c r="AL54">
        <v>13</v>
      </c>
      <c r="AM54">
        <v>4352.4000000000005</v>
      </c>
      <c r="AN54">
        <v>9</v>
      </c>
      <c r="AO54">
        <v>3013.2000000000003</v>
      </c>
      <c r="AP54">
        <v>9.7542428577380544</v>
      </c>
      <c r="AQ54">
        <v>3265.7205087707007</v>
      </c>
      <c r="AR54">
        <v>19</v>
      </c>
      <c r="AS54">
        <v>6361.2</v>
      </c>
      <c r="AT54">
        <v>17</v>
      </c>
      <c r="AU54">
        <v>5691.6</v>
      </c>
      <c r="AV54">
        <v>10</v>
      </c>
      <c r="AW54">
        <v>3348</v>
      </c>
      <c r="AX54">
        <v>11</v>
      </c>
      <c r="AY54">
        <v>3682.8</v>
      </c>
      <c r="AZ54">
        <v>11</v>
      </c>
      <c r="BA54">
        <v>3682.8</v>
      </c>
      <c r="BB54">
        <v>11</v>
      </c>
      <c r="BC54">
        <v>3682.8</v>
      </c>
      <c r="BD54">
        <v>8</v>
      </c>
      <c r="BE54">
        <v>2678.4</v>
      </c>
      <c r="BF54">
        <v>7</v>
      </c>
      <c r="BG54">
        <v>2343.6</v>
      </c>
      <c r="BH54">
        <v>19</v>
      </c>
      <c r="BI54">
        <v>6361.2</v>
      </c>
      <c r="BJ54">
        <v>23</v>
      </c>
      <c r="BK54">
        <v>7700.4000000000005</v>
      </c>
      <c r="BL54">
        <v>20</v>
      </c>
      <c r="BM54">
        <v>6696</v>
      </c>
      <c r="BN54">
        <v>22</v>
      </c>
      <c r="BO54">
        <v>7365.6</v>
      </c>
      <c r="BP54">
        <v>18</v>
      </c>
      <c r="BQ54">
        <v>6026.4000000000005</v>
      </c>
      <c r="BR54">
        <v>19</v>
      </c>
      <c r="BS54">
        <v>6361.2</v>
      </c>
      <c r="BT54">
        <v>18</v>
      </c>
      <c r="BU54">
        <v>6026.4000000000005</v>
      </c>
      <c r="BV54">
        <v>19</v>
      </c>
      <c r="BW54">
        <v>6361.2</v>
      </c>
      <c r="BX54">
        <v>11</v>
      </c>
      <c r="BY54">
        <v>3682.8</v>
      </c>
      <c r="BZ54">
        <v>18</v>
      </c>
      <c r="CA54">
        <v>6026.4000000000005</v>
      </c>
      <c r="CB54">
        <v>16</v>
      </c>
      <c r="CC54">
        <v>5356.8</v>
      </c>
      <c r="CD54">
        <v>14</v>
      </c>
      <c r="CE54">
        <v>4687.2</v>
      </c>
      <c r="CF54">
        <v>17</v>
      </c>
      <c r="CG54">
        <v>5691.6</v>
      </c>
      <c r="CH54">
        <v>11</v>
      </c>
      <c r="CI54">
        <v>3682.8</v>
      </c>
      <c r="CJ54">
        <v>13</v>
      </c>
      <c r="CK54">
        <v>4352.4000000000005</v>
      </c>
      <c r="CL54">
        <v>12</v>
      </c>
      <c r="CM54">
        <v>4017.6000000000004</v>
      </c>
      <c r="CN54">
        <v>11</v>
      </c>
      <c r="CO54">
        <v>3682.8</v>
      </c>
      <c r="CP54">
        <v>8</v>
      </c>
      <c r="CQ54">
        <v>2678.4</v>
      </c>
      <c r="CR54">
        <v>11</v>
      </c>
      <c r="CS54">
        <v>3682.8</v>
      </c>
      <c r="CT54">
        <v>10</v>
      </c>
      <c r="CU54">
        <v>3348</v>
      </c>
    </row>
    <row r="55" spans="2:99" x14ac:dyDescent="0.2">
      <c r="C55" s="116" t="s">
        <v>221</v>
      </c>
      <c r="D55">
        <v>76</v>
      </c>
      <c r="E55">
        <v>50433.599999999999</v>
      </c>
      <c r="F55">
        <v>79</v>
      </c>
      <c r="G55">
        <v>52424.4</v>
      </c>
      <c r="H55">
        <v>60</v>
      </c>
      <c r="I55">
        <v>39816</v>
      </c>
      <c r="J55">
        <v>72</v>
      </c>
      <c r="K55">
        <v>47779.200000000004</v>
      </c>
      <c r="L55">
        <v>57</v>
      </c>
      <c r="M55">
        <v>37825.200000000004</v>
      </c>
      <c r="N55">
        <v>30</v>
      </c>
      <c r="O55">
        <v>19908</v>
      </c>
      <c r="P55">
        <v>37</v>
      </c>
      <c r="Q55">
        <v>24553.200000000001</v>
      </c>
      <c r="R55">
        <v>42</v>
      </c>
      <c r="S55">
        <v>27871.200000000001</v>
      </c>
      <c r="T55">
        <v>7</v>
      </c>
      <c r="U55">
        <v>4645.2</v>
      </c>
      <c r="V55">
        <v>11</v>
      </c>
      <c r="W55">
        <v>7299.6</v>
      </c>
      <c r="X55">
        <v>9</v>
      </c>
      <c r="Y55">
        <v>5972.4000000000005</v>
      </c>
      <c r="Z55">
        <v>15</v>
      </c>
      <c r="AA55">
        <v>9954</v>
      </c>
      <c r="AB55">
        <v>58</v>
      </c>
      <c r="AC55">
        <v>38488.800000000003</v>
      </c>
      <c r="AD55">
        <v>48</v>
      </c>
      <c r="AE55">
        <v>31852.800000000003</v>
      </c>
      <c r="AF55">
        <v>35</v>
      </c>
      <c r="AG55">
        <v>23226</v>
      </c>
      <c r="AH55">
        <v>56</v>
      </c>
      <c r="AI55">
        <v>37161.599999999999</v>
      </c>
      <c r="AJ55">
        <v>7</v>
      </c>
      <c r="AK55">
        <v>4645.2</v>
      </c>
      <c r="AL55">
        <v>12</v>
      </c>
      <c r="AM55">
        <v>7963.2000000000007</v>
      </c>
      <c r="AN55">
        <v>8</v>
      </c>
      <c r="AO55">
        <v>5308.8</v>
      </c>
      <c r="AP55">
        <v>9.7542428577380544</v>
      </c>
      <c r="AQ55">
        <v>6472.915560394973</v>
      </c>
      <c r="AR55">
        <v>18</v>
      </c>
      <c r="AS55">
        <v>11944.800000000001</v>
      </c>
      <c r="AT55">
        <v>16</v>
      </c>
      <c r="AU55">
        <v>10617.6</v>
      </c>
      <c r="AV55">
        <v>11</v>
      </c>
      <c r="AW55">
        <v>7299.6</v>
      </c>
      <c r="AX55">
        <v>11</v>
      </c>
      <c r="AY55">
        <v>7299.6</v>
      </c>
      <c r="AZ55">
        <v>12</v>
      </c>
      <c r="BA55">
        <v>7963.2000000000007</v>
      </c>
      <c r="BB55">
        <v>10</v>
      </c>
      <c r="BC55">
        <v>6636</v>
      </c>
      <c r="BD55">
        <v>8</v>
      </c>
      <c r="BE55">
        <v>5308.8</v>
      </c>
      <c r="BF55">
        <v>7</v>
      </c>
      <c r="BG55">
        <v>4645.2</v>
      </c>
      <c r="BH55">
        <v>19</v>
      </c>
      <c r="BI55">
        <v>12608.4</v>
      </c>
      <c r="BJ55">
        <v>25</v>
      </c>
      <c r="BK55">
        <v>16590</v>
      </c>
      <c r="BL55">
        <v>19</v>
      </c>
      <c r="BM55">
        <v>12608.4</v>
      </c>
      <c r="BN55">
        <v>22</v>
      </c>
      <c r="BO55">
        <v>14599.2</v>
      </c>
      <c r="BP55">
        <v>18</v>
      </c>
      <c r="BQ55">
        <v>11944.800000000001</v>
      </c>
      <c r="BR55">
        <v>18</v>
      </c>
      <c r="BS55">
        <v>11944.800000000001</v>
      </c>
      <c r="BT55">
        <v>17</v>
      </c>
      <c r="BU55">
        <v>11281.2</v>
      </c>
      <c r="BV55">
        <v>18</v>
      </c>
      <c r="BW55">
        <v>11944.800000000001</v>
      </c>
      <c r="BX55">
        <v>11</v>
      </c>
      <c r="BY55">
        <v>7299.6</v>
      </c>
      <c r="BZ55">
        <v>17</v>
      </c>
      <c r="CA55">
        <v>11281.2</v>
      </c>
      <c r="CB55">
        <v>15</v>
      </c>
      <c r="CC55">
        <v>9954</v>
      </c>
      <c r="CD55">
        <v>15</v>
      </c>
      <c r="CE55">
        <v>9954</v>
      </c>
      <c r="CF55">
        <v>16</v>
      </c>
      <c r="CG55">
        <v>10617.6</v>
      </c>
      <c r="CH55">
        <v>10</v>
      </c>
      <c r="CI55">
        <v>6636</v>
      </c>
      <c r="CJ55">
        <v>13</v>
      </c>
      <c r="CK55">
        <v>8626.8000000000011</v>
      </c>
      <c r="CL55">
        <v>11</v>
      </c>
      <c r="CM55">
        <v>7299.6</v>
      </c>
      <c r="CN55">
        <v>10</v>
      </c>
      <c r="CO55">
        <v>6636</v>
      </c>
      <c r="CP55">
        <v>8</v>
      </c>
      <c r="CQ55">
        <v>5308.8</v>
      </c>
      <c r="CR55">
        <v>11</v>
      </c>
      <c r="CS55">
        <v>7299.6</v>
      </c>
      <c r="CT55">
        <v>10</v>
      </c>
      <c r="CU55">
        <v>6636</v>
      </c>
    </row>
    <row r="56" spans="2:99" x14ac:dyDescent="0.2">
      <c r="C56" s="116" t="s">
        <v>222</v>
      </c>
      <c r="D56">
        <v>27.000695237448269</v>
      </c>
      <c r="E56">
        <v>31072.400079255469</v>
      </c>
      <c r="F56">
        <v>27.553184543711733</v>
      </c>
      <c r="G56">
        <v>31708.20477290346</v>
      </c>
      <c r="H56">
        <v>27.614053804579424</v>
      </c>
      <c r="I56">
        <v>31778.25311831</v>
      </c>
      <c r="J56">
        <v>28.090373217634003</v>
      </c>
      <c r="K56">
        <v>32326.401498853211</v>
      </c>
      <c r="L56">
        <v>47</v>
      </c>
      <c r="M56">
        <v>54087.6</v>
      </c>
      <c r="N56">
        <v>32.223861085067988</v>
      </c>
      <c r="O56">
        <v>37083.219336696238</v>
      </c>
      <c r="P56">
        <v>38</v>
      </c>
      <c r="Q56">
        <v>43730.400000000001</v>
      </c>
      <c r="R56">
        <v>36</v>
      </c>
      <c r="S56">
        <v>41428.799999999996</v>
      </c>
      <c r="T56">
        <v>4.8780929356432097</v>
      </c>
      <c r="U56">
        <v>5613.7093503382057</v>
      </c>
      <c r="V56">
        <v>4.6718861044747122</v>
      </c>
      <c r="W56">
        <v>5376.4065290294984</v>
      </c>
      <c r="X56">
        <v>5.1136316775614477</v>
      </c>
      <c r="Y56">
        <v>5884.7673345377134</v>
      </c>
      <c r="Z56">
        <v>5.5610074313476785</v>
      </c>
      <c r="AA56">
        <v>6399.6073519949077</v>
      </c>
      <c r="AB56">
        <v>51</v>
      </c>
      <c r="AC56">
        <v>58690.799999999996</v>
      </c>
      <c r="AD56">
        <v>43.846359414106686</v>
      </c>
      <c r="AE56">
        <v>50458.390413753972</v>
      </c>
      <c r="AF56">
        <v>36.629284520194801</v>
      </c>
      <c r="AG56">
        <v>42152.980625840173</v>
      </c>
      <c r="AH56">
        <v>51.920251817324491</v>
      </c>
      <c r="AI56">
        <v>59749.825791377021</v>
      </c>
      <c r="AJ56">
        <v>5.5618548340159135</v>
      </c>
      <c r="AK56">
        <v>6400.5825429855131</v>
      </c>
      <c r="AL56">
        <v>12.92645857710505</v>
      </c>
      <c r="AM56">
        <v>14875.76853053249</v>
      </c>
      <c r="AN56">
        <v>9.0141957016768863</v>
      </c>
      <c r="AO56">
        <v>10373.536413489761</v>
      </c>
      <c r="AP56">
        <v>12.723191855668325</v>
      </c>
      <c r="AQ56">
        <v>14641.849187503109</v>
      </c>
      <c r="AR56">
        <v>10.465832618322686</v>
      </c>
      <c r="AS56">
        <v>12044.080177165746</v>
      </c>
      <c r="AT56">
        <v>8.0236159799280102</v>
      </c>
      <c r="AU56">
        <v>9233.5772697011544</v>
      </c>
      <c r="AV56">
        <v>5.2931794972534343</v>
      </c>
      <c r="AW56">
        <v>6091.3909654392519</v>
      </c>
      <c r="AX56">
        <v>6.316491878442859</v>
      </c>
      <c r="AY56">
        <v>7269.0188537120421</v>
      </c>
      <c r="AZ56">
        <v>11.00094881546427</v>
      </c>
      <c r="BA56">
        <v>12659.891896836281</v>
      </c>
      <c r="BB56">
        <v>8.0632278497825229</v>
      </c>
      <c r="BC56">
        <v>9279.162609529727</v>
      </c>
      <c r="BD56">
        <v>7.0391242459116139</v>
      </c>
      <c r="BE56">
        <v>8100.6241821950853</v>
      </c>
      <c r="BF56">
        <v>4.7981460945057668</v>
      </c>
      <c r="BG56">
        <v>5521.7065255572361</v>
      </c>
      <c r="BH56">
        <v>8.1229276078976262</v>
      </c>
      <c r="BI56">
        <v>9347.8650911685872</v>
      </c>
      <c r="BJ56">
        <v>13.840904693846841</v>
      </c>
      <c r="BK56">
        <v>15928.113121678944</v>
      </c>
      <c r="BL56">
        <v>8.7664770344239198</v>
      </c>
      <c r="BM56">
        <v>10088.461771215047</v>
      </c>
      <c r="BN56">
        <v>9.8877952242742246</v>
      </c>
      <c r="BO56">
        <v>11378.874744094777</v>
      </c>
      <c r="BP56">
        <v>13.067966445706361</v>
      </c>
      <c r="BQ56">
        <v>15038.615785718879</v>
      </c>
      <c r="BR56">
        <v>14.370770209591146</v>
      </c>
      <c r="BS56">
        <v>16537.88235719749</v>
      </c>
      <c r="BT56">
        <v>10.659248969275133</v>
      </c>
      <c r="BU56">
        <v>12266.663713841823</v>
      </c>
      <c r="BV56">
        <v>11.388741151442465</v>
      </c>
      <c r="BW56">
        <v>13106.163317079989</v>
      </c>
      <c r="BX56">
        <v>12.499370330874381</v>
      </c>
      <c r="BY56">
        <v>14384.275376770238</v>
      </c>
      <c r="BZ56">
        <v>13.824496126657547</v>
      </c>
      <c r="CA56">
        <v>15909.230142557504</v>
      </c>
      <c r="CB56">
        <v>13</v>
      </c>
      <c r="CC56">
        <v>14960.4</v>
      </c>
      <c r="CD56">
        <v>13.184996922484725</v>
      </c>
      <c r="CE56">
        <v>15173.294458395421</v>
      </c>
      <c r="CF56">
        <v>19.510429805108362</v>
      </c>
      <c r="CG56">
        <v>22452.602619718702</v>
      </c>
      <c r="CH56">
        <v>11.533759649478601</v>
      </c>
      <c r="CI56">
        <v>13273.050604619973</v>
      </c>
      <c r="CJ56">
        <v>16.888927852827681</v>
      </c>
      <c r="CK56">
        <v>19435.778173034094</v>
      </c>
      <c r="CL56">
        <v>14.603073353150712</v>
      </c>
      <c r="CM56">
        <v>16805.216814805841</v>
      </c>
      <c r="CN56">
        <v>7.0410828161388652</v>
      </c>
      <c r="CO56">
        <v>8102.8781048126057</v>
      </c>
      <c r="CP56">
        <v>4.130485500426599</v>
      </c>
      <c r="CQ56">
        <v>4753.3627138909296</v>
      </c>
      <c r="CR56">
        <v>4.8799751593495699</v>
      </c>
      <c r="CS56">
        <v>5615.8754133794846</v>
      </c>
      <c r="CT56">
        <v>4.5151164223224605</v>
      </c>
      <c r="CU56">
        <v>5195.9959788086871</v>
      </c>
    </row>
    <row r="57" spans="2:99" x14ac:dyDescent="0.2">
      <c r="C57" s="116" t="s">
        <v>223</v>
      </c>
      <c r="D57">
        <v>60</v>
      </c>
      <c r="E57">
        <v>84672</v>
      </c>
      <c r="F57">
        <v>62</v>
      </c>
      <c r="G57">
        <v>87494.400000000009</v>
      </c>
      <c r="H57">
        <v>45</v>
      </c>
      <c r="I57">
        <v>63504</v>
      </c>
      <c r="J57">
        <v>59</v>
      </c>
      <c r="K57">
        <v>83260.800000000003</v>
      </c>
      <c r="L57">
        <v>54</v>
      </c>
      <c r="M57">
        <v>76204.800000000003</v>
      </c>
      <c r="N57">
        <v>25</v>
      </c>
      <c r="O57">
        <v>35280</v>
      </c>
      <c r="P57">
        <v>36</v>
      </c>
      <c r="Q57">
        <v>50803.200000000004</v>
      </c>
      <c r="R57">
        <v>35</v>
      </c>
      <c r="S57">
        <v>49392</v>
      </c>
      <c r="T57">
        <v>7</v>
      </c>
      <c r="U57">
        <v>9878.4</v>
      </c>
      <c r="V57">
        <v>10</v>
      </c>
      <c r="W57">
        <v>14112</v>
      </c>
      <c r="X57">
        <v>8</v>
      </c>
      <c r="Y57">
        <v>11289.6</v>
      </c>
      <c r="Z57">
        <v>14</v>
      </c>
      <c r="AA57">
        <v>19756.8</v>
      </c>
      <c r="AB57">
        <v>50</v>
      </c>
      <c r="AC57">
        <v>70560</v>
      </c>
      <c r="AD57">
        <v>38</v>
      </c>
      <c r="AE57">
        <v>53625.599999999999</v>
      </c>
      <c r="AF57">
        <v>31</v>
      </c>
      <c r="AG57">
        <v>43747.200000000004</v>
      </c>
      <c r="AH57">
        <v>57</v>
      </c>
      <c r="AI57">
        <v>80438.400000000009</v>
      </c>
      <c r="AJ57">
        <v>6</v>
      </c>
      <c r="AK57">
        <v>8467.2000000000007</v>
      </c>
      <c r="AL57">
        <v>11</v>
      </c>
      <c r="AM57">
        <v>15523.2</v>
      </c>
      <c r="AN57">
        <v>8</v>
      </c>
      <c r="AO57">
        <v>11289.6</v>
      </c>
      <c r="AP57">
        <v>8.7788185719642495</v>
      </c>
      <c r="AQ57">
        <v>12388.66876875595</v>
      </c>
      <c r="AR57">
        <v>16</v>
      </c>
      <c r="AS57">
        <v>22579.200000000001</v>
      </c>
      <c r="AT57">
        <v>16</v>
      </c>
      <c r="AU57">
        <v>22579.200000000001</v>
      </c>
      <c r="AV57">
        <v>9</v>
      </c>
      <c r="AW57">
        <v>12700.800000000001</v>
      </c>
      <c r="AX57">
        <v>11</v>
      </c>
      <c r="AY57">
        <v>15523.2</v>
      </c>
      <c r="AZ57">
        <v>10</v>
      </c>
      <c r="BA57">
        <v>14112</v>
      </c>
      <c r="BB57">
        <v>10</v>
      </c>
      <c r="BC57">
        <v>14112</v>
      </c>
      <c r="BD57">
        <v>7</v>
      </c>
      <c r="BE57">
        <v>9878.4</v>
      </c>
      <c r="BF57">
        <v>7</v>
      </c>
      <c r="BG57">
        <v>9878.4</v>
      </c>
      <c r="BH57">
        <v>17</v>
      </c>
      <c r="BI57">
        <v>23990.400000000001</v>
      </c>
      <c r="BJ57">
        <v>21</v>
      </c>
      <c r="BK57">
        <v>29635.200000000001</v>
      </c>
      <c r="BL57">
        <v>16</v>
      </c>
      <c r="BM57">
        <v>22579.200000000001</v>
      </c>
      <c r="BN57">
        <v>21</v>
      </c>
      <c r="BO57">
        <v>29635.200000000001</v>
      </c>
      <c r="BP57">
        <v>17</v>
      </c>
      <c r="BQ57">
        <v>23990.400000000001</v>
      </c>
      <c r="BR57">
        <v>19</v>
      </c>
      <c r="BS57">
        <v>26812.799999999999</v>
      </c>
      <c r="BT57">
        <v>16</v>
      </c>
      <c r="BU57">
        <v>22579.200000000001</v>
      </c>
      <c r="BV57">
        <v>17</v>
      </c>
      <c r="BW57">
        <v>23990.400000000001</v>
      </c>
      <c r="BX57">
        <v>11</v>
      </c>
      <c r="BY57">
        <v>15523.2</v>
      </c>
      <c r="BZ57">
        <v>15</v>
      </c>
      <c r="CA57">
        <v>21168</v>
      </c>
      <c r="CB57">
        <v>14</v>
      </c>
      <c r="CC57">
        <v>19756.8</v>
      </c>
      <c r="CD57">
        <v>14</v>
      </c>
      <c r="CE57">
        <v>19756.8</v>
      </c>
      <c r="CF57">
        <v>15</v>
      </c>
      <c r="CG57">
        <v>21168</v>
      </c>
      <c r="CH57">
        <v>11</v>
      </c>
      <c r="CI57">
        <v>15523.2</v>
      </c>
      <c r="CJ57">
        <v>12</v>
      </c>
      <c r="CK57">
        <v>16934.400000000001</v>
      </c>
      <c r="CL57">
        <v>11</v>
      </c>
      <c r="CM57">
        <v>15523.2</v>
      </c>
      <c r="CN57">
        <v>11</v>
      </c>
      <c r="CO57">
        <v>15523.2</v>
      </c>
      <c r="CP57">
        <v>8</v>
      </c>
      <c r="CQ57">
        <v>11289.6</v>
      </c>
      <c r="CR57">
        <v>10</v>
      </c>
      <c r="CS57">
        <v>14112</v>
      </c>
      <c r="CT57">
        <v>8</v>
      </c>
      <c r="CU57">
        <v>11289.6</v>
      </c>
    </row>
    <row r="58" spans="2:99" x14ac:dyDescent="0.2">
      <c r="C58" s="116" t="s">
        <v>224</v>
      </c>
      <c r="D58">
        <v>25.490463903312552</v>
      </c>
      <c r="E58">
        <v>30007.374106979536</v>
      </c>
      <c r="F58">
        <v>30.881125058768827</v>
      </c>
      <c r="G58">
        <v>36353.260419182661</v>
      </c>
      <c r="H58">
        <v>27.061772728487835</v>
      </c>
      <c r="I58">
        <v>31857.118855975881</v>
      </c>
      <c r="J58">
        <v>30.251798135527192</v>
      </c>
      <c r="K58">
        <v>35612.416765142611</v>
      </c>
      <c r="L58">
        <v>56</v>
      </c>
      <c r="M58">
        <v>65923.199999999997</v>
      </c>
      <c r="N58">
        <v>28.223861085067991</v>
      </c>
      <c r="O58">
        <v>33225.12926934204</v>
      </c>
      <c r="P58">
        <v>35</v>
      </c>
      <c r="Q58">
        <v>41202</v>
      </c>
      <c r="R58">
        <v>35</v>
      </c>
      <c r="S58">
        <v>41202</v>
      </c>
      <c r="T58">
        <v>4.8780929356432097</v>
      </c>
      <c r="U58">
        <v>5742.4910038391863</v>
      </c>
      <c r="V58">
        <v>4.2688230465364843</v>
      </c>
      <c r="W58">
        <v>5025.2584903827492</v>
      </c>
      <c r="X58">
        <v>5.1136316775614477</v>
      </c>
      <c r="Y58">
        <v>6019.7672108253364</v>
      </c>
      <c r="Z58">
        <v>5.9405731304721634</v>
      </c>
      <c r="AA58">
        <v>6993.2426891918312</v>
      </c>
      <c r="AB58">
        <v>50</v>
      </c>
      <c r="AC58">
        <v>58860</v>
      </c>
      <c r="AD58">
        <v>44.796573566218058</v>
      </c>
      <c r="AE58">
        <v>52734.526402151896</v>
      </c>
      <c r="AF58">
        <v>39.594324269072871</v>
      </c>
      <c r="AG58">
        <v>46610.438529552586</v>
      </c>
      <c r="AH58">
        <v>53.532702333540975</v>
      </c>
      <c r="AI58">
        <v>63018.697187044439</v>
      </c>
      <c r="AJ58">
        <v>4.7763452757110336</v>
      </c>
      <c r="AK58">
        <v>5622.7136585670287</v>
      </c>
      <c r="AL58">
        <v>11.93211560963543</v>
      </c>
      <c r="AM58">
        <v>14046.486495662828</v>
      </c>
      <c r="AN58">
        <v>9.362697560580072</v>
      </c>
      <c r="AO58">
        <v>11021.767568314861</v>
      </c>
      <c r="AP58">
        <v>11.643784979655484</v>
      </c>
      <c r="AQ58">
        <v>13707.063678050436</v>
      </c>
      <c r="AR58">
        <v>9.4020969552462823</v>
      </c>
      <c r="AS58">
        <v>11068.148535715924</v>
      </c>
      <c r="AT58">
        <v>7.0206639824370081</v>
      </c>
      <c r="AU58">
        <v>8264.7256401248469</v>
      </c>
      <c r="AV58">
        <v>4.8126667692583194</v>
      </c>
      <c r="AW58">
        <v>5665.4713207708937</v>
      </c>
      <c r="AX58">
        <v>6.3209586909636961</v>
      </c>
      <c r="AY58">
        <v>7441.0325710024636</v>
      </c>
      <c r="AZ58">
        <v>9.9812212440979078</v>
      </c>
      <c r="BA58">
        <v>11749.893648552057</v>
      </c>
      <c r="BB58">
        <v>8.808792662979597</v>
      </c>
      <c r="BC58">
        <v>10369.710722859581</v>
      </c>
      <c r="BD58">
        <v>7.0391242459116139</v>
      </c>
      <c r="BE58">
        <v>8286.4570622871524</v>
      </c>
      <c r="BF58">
        <v>4.7981460945057668</v>
      </c>
      <c r="BG58">
        <v>5648.377582452189</v>
      </c>
      <c r="BH58">
        <v>6.8420109643784874</v>
      </c>
      <c r="BI58">
        <v>8054.4153072663557</v>
      </c>
      <c r="BJ58">
        <v>14.259602896483267</v>
      </c>
      <c r="BK58">
        <v>16786.404529740103</v>
      </c>
      <c r="BL58">
        <v>7.9241728248324899</v>
      </c>
      <c r="BM58">
        <v>9328.3362493928071</v>
      </c>
      <c r="BN58">
        <v>11.712041693671868</v>
      </c>
      <c r="BO58">
        <v>13787.415481790524</v>
      </c>
      <c r="BP58">
        <v>12.218575577022047</v>
      </c>
      <c r="BQ58">
        <v>14383.707169270354</v>
      </c>
      <c r="BR58">
        <v>14.370770209591146</v>
      </c>
      <c r="BS58">
        <v>16917.270690730697</v>
      </c>
      <c r="BT58">
        <v>11.286263614526611</v>
      </c>
      <c r="BU58">
        <v>13286.189527020726</v>
      </c>
      <c r="BV58">
        <v>12.07942008936234</v>
      </c>
      <c r="BW58">
        <v>14219.893329197348</v>
      </c>
      <c r="BX58">
        <v>12.499370330874381</v>
      </c>
      <c r="BY58">
        <v>14714.258753505323</v>
      </c>
      <c r="BZ58">
        <v>14.73337696089718</v>
      </c>
      <c r="CA58">
        <v>17344.131358368162</v>
      </c>
      <c r="CB58">
        <v>14</v>
      </c>
      <c r="CC58">
        <v>16480.8</v>
      </c>
      <c r="CD58">
        <v>13.021549071107522</v>
      </c>
      <c r="CE58">
        <v>15328.967566507776</v>
      </c>
      <c r="CF58">
        <v>20.510429805108362</v>
      </c>
      <c r="CG58">
        <v>24144.877966573564</v>
      </c>
      <c r="CH58">
        <v>10.632711884928831</v>
      </c>
      <c r="CI58">
        <v>12516.82843093822</v>
      </c>
      <c r="CJ58">
        <v>13.511267529070363</v>
      </c>
      <c r="CK58">
        <v>15905.464135221631</v>
      </c>
      <c r="CL58">
        <v>13.308385803737425</v>
      </c>
      <c r="CM58">
        <v>15666.631768159697</v>
      </c>
      <c r="CN58">
        <v>6.3709589226218952</v>
      </c>
      <c r="CO58">
        <v>7499.8928437104951</v>
      </c>
      <c r="CP58">
        <v>4.5879745109810868</v>
      </c>
      <c r="CQ58">
        <v>5400.9635943269359</v>
      </c>
      <c r="CR58">
        <v>5.3341938727969582</v>
      </c>
      <c r="CS58">
        <v>6279.4130270565793</v>
      </c>
      <c r="CT58">
        <v>5.0795059751127685</v>
      </c>
      <c r="CU58">
        <v>5979.594433902751</v>
      </c>
    </row>
    <row r="59" spans="2:99" x14ac:dyDescent="0.2">
      <c r="C59" s="116" t="s">
        <v>225</v>
      </c>
      <c r="D59">
        <v>78</v>
      </c>
      <c r="E59">
        <v>23680.799999999996</v>
      </c>
      <c r="F59">
        <v>73</v>
      </c>
      <c r="G59">
        <v>22162.799999999999</v>
      </c>
      <c r="H59">
        <v>63</v>
      </c>
      <c r="I59">
        <v>19126.8</v>
      </c>
      <c r="J59">
        <v>76</v>
      </c>
      <c r="K59">
        <v>23073.599999999999</v>
      </c>
      <c r="L59">
        <v>56</v>
      </c>
      <c r="M59">
        <v>17001.599999999999</v>
      </c>
      <c r="N59">
        <v>35</v>
      </c>
      <c r="O59">
        <v>10625.999999999998</v>
      </c>
      <c r="P59">
        <v>40</v>
      </c>
      <c r="Q59">
        <v>12143.999999999998</v>
      </c>
      <c r="R59">
        <v>47</v>
      </c>
      <c r="S59">
        <v>14269.199999999999</v>
      </c>
      <c r="T59">
        <v>7</v>
      </c>
      <c r="U59">
        <v>2125.1999999999998</v>
      </c>
      <c r="V59">
        <v>11</v>
      </c>
      <c r="W59">
        <v>3339.5999999999995</v>
      </c>
      <c r="X59">
        <v>9</v>
      </c>
      <c r="Y59">
        <v>2732.3999999999996</v>
      </c>
      <c r="Z59">
        <v>14</v>
      </c>
      <c r="AA59">
        <v>4250.3999999999996</v>
      </c>
      <c r="AB59">
        <v>55</v>
      </c>
      <c r="AC59">
        <v>16697.999999999996</v>
      </c>
      <c r="AD59">
        <v>50</v>
      </c>
      <c r="AE59">
        <v>15179.999999999998</v>
      </c>
      <c r="AF59">
        <v>38</v>
      </c>
      <c r="AG59">
        <v>11536.8</v>
      </c>
      <c r="AH59">
        <v>69</v>
      </c>
      <c r="AI59">
        <v>20948.399999999998</v>
      </c>
      <c r="AJ59">
        <v>7</v>
      </c>
      <c r="AK59">
        <v>2125.1999999999998</v>
      </c>
      <c r="AL59">
        <v>14</v>
      </c>
      <c r="AM59">
        <v>4250.3999999999996</v>
      </c>
      <c r="AN59">
        <v>9</v>
      </c>
      <c r="AO59">
        <v>2732.3999999999996</v>
      </c>
      <c r="AP59">
        <v>9.7542428577380544</v>
      </c>
      <c r="AQ59">
        <v>2961.3881316092729</v>
      </c>
      <c r="AR59">
        <v>18</v>
      </c>
      <c r="AS59">
        <v>5464.7999999999993</v>
      </c>
      <c r="AT59">
        <v>17</v>
      </c>
      <c r="AU59">
        <v>5161.2</v>
      </c>
      <c r="AV59">
        <v>11</v>
      </c>
      <c r="AW59">
        <v>3339.5999999999995</v>
      </c>
      <c r="AX59">
        <v>13</v>
      </c>
      <c r="AY59">
        <v>3946.7999999999997</v>
      </c>
      <c r="AZ59">
        <v>13</v>
      </c>
      <c r="BA59">
        <v>3946.7999999999997</v>
      </c>
      <c r="BB59">
        <v>10</v>
      </c>
      <c r="BC59">
        <v>3035.9999999999995</v>
      </c>
      <c r="BD59">
        <v>8</v>
      </c>
      <c r="BE59">
        <v>2428.7999999999997</v>
      </c>
      <c r="BF59">
        <v>8</v>
      </c>
      <c r="BG59">
        <v>2428.7999999999997</v>
      </c>
      <c r="BH59">
        <v>19</v>
      </c>
      <c r="BI59">
        <v>5768.4</v>
      </c>
      <c r="BJ59">
        <v>26</v>
      </c>
      <c r="BK59">
        <v>7893.5999999999995</v>
      </c>
      <c r="BL59">
        <v>18</v>
      </c>
      <c r="BM59">
        <v>5464.7999999999993</v>
      </c>
      <c r="BN59">
        <v>24</v>
      </c>
      <c r="BO59">
        <v>7286.4</v>
      </c>
      <c r="BP59">
        <v>20</v>
      </c>
      <c r="BQ59">
        <v>6071.9999999999991</v>
      </c>
      <c r="BR59">
        <v>21</v>
      </c>
      <c r="BS59">
        <v>6375.5999999999995</v>
      </c>
      <c r="BT59">
        <v>19</v>
      </c>
      <c r="BU59">
        <v>5768.4</v>
      </c>
      <c r="BV59">
        <v>19</v>
      </c>
      <c r="BW59">
        <v>5768.4</v>
      </c>
      <c r="BX59">
        <v>11</v>
      </c>
      <c r="BY59">
        <v>3339.5999999999995</v>
      </c>
      <c r="BZ59">
        <v>15</v>
      </c>
      <c r="CA59">
        <v>4553.9999999999991</v>
      </c>
      <c r="CB59">
        <v>14</v>
      </c>
      <c r="CC59">
        <v>4250.3999999999996</v>
      </c>
      <c r="CD59">
        <v>15</v>
      </c>
      <c r="CE59">
        <v>4553.9999999999991</v>
      </c>
      <c r="CF59">
        <v>16</v>
      </c>
      <c r="CG59">
        <v>4857.5999999999995</v>
      </c>
      <c r="CH59">
        <v>10</v>
      </c>
      <c r="CI59">
        <v>3035.9999999999995</v>
      </c>
      <c r="CJ59">
        <v>14</v>
      </c>
      <c r="CK59">
        <v>4250.3999999999996</v>
      </c>
      <c r="CL59">
        <v>13</v>
      </c>
      <c r="CM59">
        <v>3946.7999999999997</v>
      </c>
      <c r="CN59">
        <v>12</v>
      </c>
      <c r="CO59">
        <v>3643.2</v>
      </c>
      <c r="CP59">
        <v>8</v>
      </c>
      <c r="CQ59">
        <v>2428.7999999999997</v>
      </c>
      <c r="CR59">
        <v>12</v>
      </c>
      <c r="CS59">
        <v>3643.2</v>
      </c>
      <c r="CT59">
        <v>9</v>
      </c>
      <c r="CU59">
        <v>2732.3999999999996</v>
      </c>
    </row>
    <row r="60" spans="2:99" x14ac:dyDescent="0.2">
      <c r="C60" s="116" t="s">
        <v>226</v>
      </c>
      <c r="D60">
        <v>71</v>
      </c>
      <c r="E60">
        <v>46263.6</v>
      </c>
      <c r="F60">
        <v>80</v>
      </c>
      <c r="G60">
        <v>52128</v>
      </c>
      <c r="H60">
        <v>56</v>
      </c>
      <c r="I60">
        <v>36489.599999999999</v>
      </c>
      <c r="J60">
        <v>67</v>
      </c>
      <c r="K60">
        <v>43657.200000000004</v>
      </c>
      <c r="L60">
        <v>60</v>
      </c>
      <c r="M60">
        <v>39096</v>
      </c>
      <c r="N60">
        <v>30</v>
      </c>
      <c r="O60">
        <v>19548</v>
      </c>
      <c r="P60">
        <v>38</v>
      </c>
      <c r="Q60">
        <v>24760.799999999999</v>
      </c>
      <c r="R60">
        <v>44</v>
      </c>
      <c r="S60">
        <v>28670.400000000001</v>
      </c>
      <c r="T60">
        <v>7</v>
      </c>
      <c r="U60">
        <v>4561.2</v>
      </c>
      <c r="V60">
        <v>10</v>
      </c>
      <c r="W60">
        <v>6516</v>
      </c>
      <c r="X60">
        <v>9</v>
      </c>
      <c r="Y60">
        <v>5864.4000000000005</v>
      </c>
      <c r="Z60">
        <v>16</v>
      </c>
      <c r="AA60">
        <v>10425.6</v>
      </c>
      <c r="AB60">
        <v>52</v>
      </c>
      <c r="AC60">
        <v>33883.200000000004</v>
      </c>
      <c r="AD60">
        <v>48</v>
      </c>
      <c r="AE60">
        <v>31276.800000000003</v>
      </c>
      <c r="AF60">
        <v>41</v>
      </c>
      <c r="AG60">
        <v>26715.600000000002</v>
      </c>
      <c r="AH60">
        <v>62</v>
      </c>
      <c r="AI60">
        <v>40399.200000000004</v>
      </c>
      <c r="AJ60">
        <v>6</v>
      </c>
      <c r="AK60">
        <v>3909.6000000000004</v>
      </c>
      <c r="AL60">
        <v>13</v>
      </c>
      <c r="AM60">
        <v>8470.8000000000011</v>
      </c>
      <c r="AN60">
        <v>10</v>
      </c>
      <c r="AO60">
        <v>6516</v>
      </c>
      <c r="AP60">
        <v>9.7542428577380544</v>
      </c>
      <c r="AQ60">
        <v>6355.8646461021162</v>
      </c>
      <c r="AR60">
        <v>18</v>
      </c>
      <c r="AS60">
        <v>11728.800000000001</v>
      </c>
      <c r="AT60">
        <v>15</v>
      </c>
      <c r="AU60">
        <v>9774</v>
      </c>
      <c r="AV60">
        <v>9</v>
      </c>
      <c r="AW60">
        <v>5864.4000000000005</v>
      </c>
      <c r="AX60">
        <v>11</v>
      </c>
      <c r="AY60">
        <v>7167.6</v>
      </c>
      <c r="AZ60">
        <v>12</v>
      </c>
      <c r="BA60">
        <v>7819.2000000000007</v>
      </c>
      <c r="BB60">
        <v>10</v>
      </c>
      <c r="BC60">
        <v>6516</v>
      </c>
      <c r="BD60">
        <v>7</v>
      </c>
      <c r="BE60">
        <v>4561.2</v>
      </c>
      <c r="BF60">
        <v>7</v>
      </c>
      <c r="BG60">
        <v>4561.2</v>
      </c>
      <c r="BH60">
        <v>19</v>
      </c>
      <c r="BI60">
        <v>12380.4</v>
      </c>
      <c r="BJ60">
        <v>21</v>
      </c>
      <c r="BK60">
        <v>13683.6</v>
      </c>
      <c r="BL60">
        <v>16</v>
      </c>
      <c r="BM60">
        <v>10425.6</v>
      </c>
      <c r="BN60">
        <v>21</v>
      </c>
      <c r="BO60">
        <v>13683.6</v>
      </c>
      <c r="BP60">
        <v>19</v>
      </c>
      <c r="BQ60">
        <v>12380.4</v>
      </c>
      <c r="BR60">
        <v>19</v>
      </c>
      <c r="BS60">
        <v>12380.4</v>
      </c>
      <c r="BT60">
        <v>16</v>
      </c>
      <c r="BU60">
        <v>10425.6</v>
      </c>
      <c r="BV60">
        <v>18</v>
      </c>
      <c r="BW60">
        <v>11728.800000000001</v>
      </c>
      <c r="BX60">
        <v>11</v>
      </c>
      <c r="BY60">
        <v>7167.6</v>
      </c>
      <c r="BZ60">
        <v>16</v>
      </c>
      <c r="CA60">
        <v>10425.6</v>
      </c>
      <c r="CB60">
        <v>13</v>
      </c>
      <c r="CC60">
        <v>8470.8000000000011</v>
      </c>
      <c r="CD60">
        <v>15</v>
      </c>
      <c r="CE60">
        <v>9774</v>
      </c>
      <c r="CF60">
        <v>16</v>
      </c>
      <c r="CG60">
        <v>10425.6</v>
      </c>
      <c r="CH60">
        <v>10</v>
      </c>
      <c r="CI60">
        <v>6516</v>
      </c>
      <c r="CJ60">
        <v>12</v>
      </c>
      <c r="CK60">
        <v>7819.2000000000007</v>
      </c>
      <c r="CL60">
        <v>12</v>
      </c>
      <c r="CM60">
        <v>7819.2000000000007</v>
      </c>
      <c r="CN60">
        <v>11</v>
      </c>
      <c r="CO60">
        <v>7167.6</v>
      </c>
      <c r="CP60">
        <v>8</v>
      </c>
      <c r="CQ60">
        <v>5212.8</v>
      </c>
      <c r="CR60">
        <v>12</v>
      </c>
      <c r="CS60">
        <v>7819.2000000000007</v>
      </c>
      <c r="CT60">
        <v>8</v>
      </c>
      <c r="CU60">
        <v>5212.8</v>
      </c>
    </row>
    <row r="61" spans="2:99" x14ac:dyDescent="0.2">
      <c r="C61" s="116" t="s">
        <v>227</v>
      </c>
      <c r="D61">
        <v>71</v>
      </c>
      <c r="E61">
        <v>67563.599999999991</v>
      </c>
      <c r="F61">
        <v>68</v>
      </c>
      <c r="G61">
        <v>64708.799999999996</v>
      </c>
      <c r="H61">
        <v>50</v>
      </c>
      <c r="I61">
        <v>47579.999999999993</v>
      </c>
      <c r="J61">
        <v>65</v>
      </c>
      <c r="K61">
        <v>61853.999999999993</v>
      </c>
      <c r="L61">
        <v>57</v>
      </c>
      <c r="M61">
        <v>54241.2</v>
      </c>
      <c r="N61">
        <v>29</v>
      </c>
      <c r="O61">
        <v>27596.399999999998</v>
      </c>
      <c r="P61">
        <v>37</v>
      </c>
      <c r="Q61">
        <v>35209.199999999997</v>
      </c>
      <c r="R61">
        <v>40</v>
      </c>
      <c r="S61">
        <v>38064</v>
      </c>
      <c r="T61">
        <v>7</v>
      </c>
      <c r="U61">
        <v>6661.1999999999989</v>
      </c>
      <c r="V61">
        <v>11</v>
      </c>
      <c r="W61">
        <v>10467.599999999999</v>
      </c>
      <c r="X61">
        <v>9</v>
      </c>
      <c r="Y61">
        <v>8564.4</v>
      </c>
      <c r="Z61">
        <v>13</v>
      </c>
      <c r="AA61">
        <v>12370.8</v>
      </c>
      <c r="AB61">
        <v>56</v>
      </c>
      <c r="AC61">
        <v>53289.599999999991</v>
      </c>
      <c r="AD61">
        <v>45</v>
      </c>
      <c r="AE61">
        <v>42821.999999999993</v>
      </c>
      <c r="AF61">
        <v>40</v>
      </c>
      <c r="AG61">
        <v>38064</v>
      </c>
      <c r="AH61">
        <v>58</v>
      </c>
      <c r="AI61">
        <v>55192.799999999996</v>
      </c>
      <c r="AJ61">
        <v>6</v>
      </c>
      <c r="AK61">
        <v>5709.5999999999995</v>
      </c>
      <c r="AL61">
        <v>13</v>
      </c>
      <c r="AM61">
        <v>12370.8</v>
      </c>
      <c r="AN61">
        <v>8</v>
      </c>
      <c r="AO61">
        <v>7612.7999999999993</v>
      </c>
      <c r="AP61">
        <v>9.7542428577380544</v>
      </c>
      <c r="AQ61">
        <v>9282.1375034235316</v>
      </c>
      <c r="AR61">
        <v>17</v>
      </c>
      <c r="AS61">
        <v>16177.199999999999</v>
      </c>
      <c r="AT61">
        <v>15</v>
      </c>
      <c r="AU61">
        <v>14273.999999999998</v>
      </c>
      <c r="AV61">
        <v>10</v>
      </c>
      <c r="AW61">
        <v>9516</v>
      </c>
      <c r="AX61">
        <v>11</v>
      </c>
      <c r="AY61">
        <v>10467.599999999999</v>
      </c>
      <c r="AZ61">
        <v>10</v>
      </c>
      <c r="BA61">
        <v>9516</v>
      </c>
      <c r="BB61">
        <v>9</v>
      </c>
      <c r="BC61">
        <v>8564.4</v>
      </c>
      <c r="BD61">
        <v>7</v>
      </c>
      <c r="BE61">
        <v>6661.1999999999989</v>
      </c>
      <c r="BF61">
        <v>8</v>
      </c>
      <c r="BG61">
        <v>7612.7999999999993</v>
      </c>
      <c r="BH61">
        <v>18</v>
      </c>
      <c r="BI61">
        <v>17128.8</v>
      </c>
      <c r="BJ61">
        <v>22</v>
      </c>
      <c r="BK61">
        <v>20935.199999999997</v>
      </c>
      <c r="BL61">
        <v>17</v>
      </c>
      <c r="BM61">
        <v>16177.199999999999</v>
      </c>
      <c r="BN61">
        <v>22</v>
      </c>
      <c r="BO61">
        <v>20935.199999999997</v>
      </c>
      <c r="BP61">
        <v>18</v>
      </c>
      <c r="BQ61">
        <v>17128.8</v>
      </c>
      <c r="BR61">
        <v>18</v>
      </c>
      <c r="BS61">
        <v>17128.8</v>
      </c>
      <c r="BT61">
        <v>18</v>
      </c>
      <c r="BU61">
        <v>17128.8</v>
      </c>
      <c r="BV61">
        <v>15</v>
      </c>
      <c r="BW61">
        <v>14273.999999999998</v>
      </c>
      <c r="BX61">
        <v>11</v>
      </c>
      <c r="BY61">
        <v>10467.599999999999</v>
      </c>
      <c r="BZ61">
        <v>17</v>
      </c>
      <c r="CA61">
        <v>16177.199999999999</v>
      </c>
      <c r="CB61">
        <v>13</v>
      </c>
      <c r="CC61">
        <v>12370.8</v>
      </c>
      <c r="CD61">
        <v>14</v>
      </c>
      <c r="CE61">
        <v>13322.399999999998</v>
      </c>
      <c r="CF61">
        <v>17</v>
      </c>
      <c r="CG61">
        <v>16177.199999999999</v>
      </c>
      <c r="CH61">
        <v>9</v>
      </c>
      <c r="CI61">
        <v>8564.4</v>
      </c>
      <c r="CJ61">
        <v>12</v>
      </c>
      <c r="CK61">
        <v>11419.199999999999</v>
      </c>
      <c r="CL61">
        <v>12</v>
      </c>
      <c r="CM61">
        <v>11419.199999999999</v>
      </c>
      <c r="CN61">
        <v>10</v>
      </c>
      <c r="CO61">
        <v>9516</v>
      </c>
      <c r="CP61">
        <v>9</v>
      </c>
      <c r="CQ61">
        <v>8564.4</v>
      </c>
      <c r="CR61">
        <v>12</v>
      </c>
      <c r="CS61">
        <v>11419.199999999999</v>
      </c>
      <c r="CT61">
        <v>9</v>
      </c>
      <c r="CU61">
        <v>8564.4</v>
      </c>
    </row>
    <row r="62" spans="2:99" x14ac:dyDescent="0.2">
      <c r="C62" s="116" t="s">
        <v>228</v>
      </c>
      <c r="D62">
        <v>64</v>
      </c>
      <c r="E62">
        <v>109132.8</v>
      </c>
      <c r="F62">
        <v>63</v>
      </c>
      <c r="G62">
        <v>107427.6</v>
      </c>
      <c r="H62">
        <v>50</v>
      </c>
      <c r="I62">
        <v>85260</v>
      </c>
      <c r="J62">
        <v>65</v>
      </c>
      <c r="K62">
        <v>110838</v>
      </c>
      <c r="L62">
        <v>51</v>
      </c>
      <c r="M62">
        <v>86965.2</v>
      </c>
      <c r="N62">
        <v>25</v>
      </c>
      <c r="O62">
        <v>42630</v>
      </c>
      <c r="P62">
        <v>35</v>
      </c>
      <c r="Q62">
        <v>59682</v>
      </c>
      <c r="R62">
        <v>35</v>
      </c>
      <c r="S62">
        <v>59682</v>
      </c>
      <c r="T62">
        <v>8</v>
      </c>
      <c r="U62">
        <v>13641.6</v>
      </c>
      <c r="V62">
        <v>9</v>
      </c>
      <c r="W62">
        <v>15346.800000000001</v>
      </c>
      <c r="X62">
        <v>8</v>
      </c>
      <c r="Y62">
        <v>13641.6</v>
      </c>
      <c r="Z62">
        <v>13</v>
      </c>
      <c r="AA62">
        <v>22167.600000000002</v>
      </c>
      <c r="AB62">
        <v>43</v>
      </c>
      <c r="AC62">
        <v>73323.600000000006</v>
      </c>
      <c r="AD62">
        <v>35</v>
      </c>
      <c r="AE62">
        <v>59682</v>
      </c>
      <c r="AF62">
        <v>31</v>
      </c>
      <c r="AG62">
        <v>52861.200000000004</v>
      </c>
      <c r="AH62">
        <v>47</v>
      </c>
      <c r="AI62">
        <v>80144.400000000009</v>
      </c>
      <c r="AJ62">
        <v>7</v>
      </c>
      <c r="AK62">
        <v>11936.4</v>
      </c>
      <c r="AL62">
        <v>12</v>
      </c>
      <c r="AM62">
        <v>20462.400000000001</v>
      </c>
      <c r="AN62">
        <v>9</v>
      </c>
      <c r="AO62">
        <v>15346.800000000001</v>
      </c>
      <c r="AP62">
        <v>9.7542428577380544</v>
      </c>
      <c r="AQ62">
        <v>16632.93492101493</v>
      </c>
      <c r="AR62">
        <v>18</v>
      </c>
      <c r="AS62">
        <v>30693.600000000002</v>
      </c>
      <c r="AT62">
        <v>13</v>
      </c>
      <c r="AU62">
        <v>22167.600000000002</v>
      </c>
      <c r="AV62">
        <v>9</v>
      </c>
      <c r="AW62">
        <v>15346.800000000001</v>
      </c>
      <c r="AX62">
        <v>11</v>
      </c>
      <c r="AY62">
        <v>18757.2</v>
      </c>
      <c r="AZ62">
        <v>11</v>
      </c>
      <c r="BA62">
        <v>18757.2</v>
      </c>
      <c r="BB62">
        <v>10</v>
      </c>
      <c r="BC62">
        <v>17052</v>
      </c>
      <c r="BD62">
        <v>7</v>
      </c>
      <c r="BE62">
        <v>11936.4</v>
      </c>
      <c r="BF62">
        <v>6</v>
      </c>
      <c r="BG62">
        <v>10231.200000000001</v>
      </c>
      <c r="BH62">
        <v>15</v>
      </c>
      <c r="BI62">
        <v>25578</v>
      </c>
      <c r="BJ62">
        <v>23</v>
      </c>
      <c r="BK62">
        <v>39219.599999999999</v>
      </c>
      <c r="BL62">
        <v>15</v>
      </c>
      <c r="BM62">
        <v>25578</v>
      </c>
      <c r="BN62">
        <v>18</v>
      </c>
      <c r="BO62">
        <v>30693.600000000002</v>
      </c>
      <c r="BP62">
        <v>16</v>
      </c>
      <c r="BQ62">
        <v>27283.200000000001</v>
      </c>
      <c r="BR62">
        <v>16</v>
      </c>
      <c r="BS62">
        <v>27283.200000000001</v>
      </c>
      <c r="BT62">
        <v>17</v>
      </c>
      <c r="BU62">
        <v>28988.400000000001</v>
      </c>
      <c r="BV62">
        <v>15</v>
      </c>
      <c r="BW62">
        <v>25578</v>
      </c>
      <c r="BX62">
        <v>10</v>
      </c>
      <c r="BY62">
        <v>17052</v>
      </c>
      <c r="BZ62">
        <v>13</v>
      </c>
      <c r="CA62">
        <v>22167.600000000002</v>
      </c>
      <c r="CB62">
        <v>12</v>
      </c>
      <c r="CC62">
        <v>20462.400000000001</v>
      </c>
      <c r="CD62">
        <v>12</v>
      </c>
      <c r="CE62">
        <v>20462.400000000001</v>
      </c>
      <c r="CF62">
        <v>15</v>
      </c>
      <c r="CG62">
        <v>25578</v>
      </c>
      <c r="CH62">
        <v>9</v>
      </c>
      <c r="CI62">
        <v>15346.800000000001</v>
      </c>
      <c r="CJ62">
        <v>12</v>
      </c>
      <c r="CK62">
        <v>20462.400000000001</v>
      </c>
      <c r="CL62">
        <v>11</v>
      </c>
      <c r="CM62">
        <v>18757.2</v>
      </c>
      <c r="CN62">
        <v>10</v>
      </c>
      <c r="CO62">
        <v>17052</v>
      </c>
      <c r="CP62">
        <v>8</v>
      </c>
      <c r="CQ62">
        <v>13641.6</v>
      </c>
      <c r="CR62">
        <v>9</v>
      </c>
      <c r="CS62">
        <v>15346.800000000001</v>
      </c>
      <c r="CT62">
        <v>8</v>
      </c>
      <c r="CU62">
        <v>13641.6</v>
      </c>
    </row>
    <row r="63" spans="2:99" x14ac:dyDescent="0.2">
      <c r="C63" s="116" t="s">
        <v>229</v>
      </c>
      <c r="D63">
        <v>66</v>
      </c>
      <c r="E63">
        <v>52509.599999999999</v>
      </c>
      <c r="F63">
        <v>71</v>
      </c>
      <c r="G63">
        <v>56487.6</v>
      </c>
      <c r="H63">
        <v>58</v>
      </c>
      <c r="I63">
        <v>46144.800000000003</v>
      </c>
      <c r="J63">
        <v>74</v>
      </c>
      <c r="K63">
        <v>58874.400000000001</v>
      </c>
      <c r="L63">
        <v>52</v>
      </c>
      <c r="M63">
        <v>41371.200000000004</v>
      </c>
      <c r="N63">
        <v>33</v>
      </c>
      <c r="O63">
        <v>26254.799999999999</v>
      </c>
      <c r="P63">
        <v>37</v>
      </c>
      <c r="Q63">
        <v>29437.200000000001</v>
      </c>
      <c r="R63">
        <v>37</v>
      </c>
      <c r="S63">
        <v>29437.200000000001</v>
      </c>
      <c r="T63">
        <v>8</v>
      </c>
      <c r="U63">
        <v>6364.8</v>
      </c>
      <c r="V63">
        <v>10</v>
      </c>
      <c r="W63">
        <v>7956</v>
      </c>
      <c r="X63">
        <v>8</v>
      </c>
      <c r="Y63">
        <v>6364.8</v>
      </c>
      <c r="Z63">
        <v>13</v>
      </c>
      <c r="AA63">
        <v>10342.800000000001</v>
      </c>
      <c r="AB63">
        <v>53</v>
      </c>
      <c r="AC63">
        <v>42166.8</v>
      </c>
      <c r="AD63">
        <v>43</v>
      </c>
      <c r="AE63">
        <v>34210.800000000003</v>
      </c>
      <c r="AF63">
        <v>38</v>
      </c>
      <c r="AG63">
        <v>30232.799999999999</v>
      </c>
      <c r="AH63">
        <v>53</v>
      </c>
      <c r="AI63">
        <v>42166.8</v>
      </c>
      <c r="AJ63">
        <v>7</v>
      </c>
      <c r="AK63">
        <v>5569.2</v>
      </c>
      <c r="AL63">
        <v>13</v>
      </c>
      <c r="AM63">
        <v>10342.800000000001</v>
      </c>
      <c r="AN63">
        <v>10</v>
      </c>
      <c r="AO63">
        <v>7956</v>
      </c>
      <c r="AP63">
        <v>8.7788185719642495</v>
      </c>
      <c r="AQ63">
        <v>6984.4280558547571</v>
      </c>
      <c r="AR63">
        <v>20</v>
      </c>
      <c r="AS63">
        <v>15912</v>
      </c>
      <c r="AT63">
        <v>16</v>
      </c>
      <c r="AU63">
        <v>12729.6</v>
      </c>
      <c r="AV63">
        <v>10</v>
      </c>
      <c r="AW63">
        <v>7956</v>
      </c>
      <c r="AX63">
        <v>13</v>
      </c>
      <c r="AY63">
        <v>10342.800000000001</v>
      </c>
      <c r="AZ63">
        <v>11</v>
      </c>
      <c r="BA63">
        <v>8751.6</v>
      </c>
      <c r="BB63">
        <v>10</v>
      </c>
      <c r="BC63">
        <v>7956</v>
      </c>
      <c r="BD63">
        <v>7</v>
      </c>
      <c r="BE63">
        <v>5569.2</v>
      </c>
      <c r="BF63">
        <v>7</v>
      </c>
      <c r="BG63">
        <v>5569.2</v>
      </c>
      <c r="BH63">
        <v>17</v>
      </c>
      <c r="BI63">
        <v>13525.2</v>
      </c>
      <c r="BJ63">
        <v>22</v>
      </c>
      <c r="BK63">
        <v>17503.2</v>
      </c>
      <c r="BL63">
        <v>17</v>
      </c>
      <c r="BM63">
        <v>13525.2</v>
      </c>
      <c r="BN63">
        <v>23</v>
      </c>
      <c r="BO63">
        <v>18298.8</v>
      </c>
      <c r="BP63">
        <v>17</v>
      </c>
      <c r="BQ63">
        <v>13525.2</v>
      </c>
      <c r="BR63">
        <v>19</v>
      </c>
      <c r="BS63">
        <v>15116.4</v>
      </c>
      <c r="BT63">
        <v>16</v>
      </c>
      <c r="BU63">
        <v>12729.6</v>
      </c>
      <c r="BV63">
        <v>15</v>
      </c>
      <c r="BW63">
        <v>11934</v>
      </c>
      <c r="BX63">
        <v>11</v>
      </c>
      <c r="BY63">
        <v>8751.6</v>
      </c>
      <c r="BZ63">
        <v>17</v>
      </c>
      <c r="CA63">
        <v>13525.2</v>
      </c>
      <c r="CB63">
        <v>15</v>
      </c>
      <c r="CC63">
        <v>11934</v>
      </c>
      <c r="CD63">
        <v>14</v>
      </c>
      <c r="CE63">
        <v>11138.4</v>
      </c>
      <c r="CF63">
        <v>14</v>
      </c>
      <c r="CG63">
        <v>11138.4</v>
      </c>
      <c r="CH63">
        <v>11</v>
      </c>
      <c r="CI63">
        <v>8751.6</v>
      </c>
      <c r="CJ63">
        <v>14</v>
      </c>
      <c r="CK63">
        <v>11138.4</v>
      </c>
      <c r="CL63">
        <v>13</v>
      </c>
      <c r="CM63">
        <v>10342.800000000001</v>
      </c>
      <c r="CN63">
        <v>11</v>
      </c>
      <c r="CO63">
        <v>8751.6</v>
      </c>
      <c r="CP63">
        <v>9</v>
      </c>
      <c r="CQ63">
        <v>7160.4000000000005</v>
      </c>
      <c r="CR63">
        <v>11</v>
      </c>
      <c r="CS63">
        <v>8751.6</v>
      </c>
      <c r="CT63">
        <v>9</v>
      </c>
      <c r="CU63">
        <v>7160.4000000000005</v>
      </c>
    </row>
    <row r="64" spans="2:99" x14ac:dyDescent="0.2">
      <c r="C64" s="116" t="s">
        <v>230</v>
      </c>
      <c r="D64">
        <v>61</v>
      </c>
      <c r="E64">
        <v>61561.19999999999</v>
      </c>
      <c r="F64">
        <v>66</v>
      </c>
      <c r="G64">
        <v>66607.199999999983</v>
      </c>
      <c r="H64">
        <v>57</v>
      </c>
      <c r="I64">
        <v>57524.399999999987</v>
      </c>
      <c r="J64">
        <v>63</v>
      </c>
      <c r="K64">
        <v>63579.599999999991</v>
      </c>
      <c r="L64">
        <v>53</v>
      </c>
      <c r="M64">
        <v>53487.599999999991</v>
      </c>
      <c r="N64">
        <v>27</v>
      </c>
      <c r="O64">
        <v>27248.399999999994</v>
      </c>
      <c r="P64">
        <v>35</v>
      </c>
      <c r="Q64">
        <v>35321.999999999993</v>
      </c>
      <c r="R64">
        <v>37</v>
      </c>
      <c r="S64">
        <v>37340.399999999994</v>
      </c>
      <c r="T64">
        <v>8</v>
      </c>
      <c r="U64">
        <v>8073.5999999999985</v>
      </c>
      <c r="V64">
        <v>10</v>
      </c>
      <c r="W64">
        <v>10091.999999999998</v>
      </c>
      <c r="X64">
        <v>8</v>
      </c>
      <c r="Y64">
        <v>8073.5999999999985</v>
      </c>
      <c r="Z64">
        <v>14</v>
      </c>
      <c r="AA64">
        <v>14128.799999999997</v>
      </c>
      <c r="AB64">
        <v>53</v>
      </c>
      <c r="AC64">
        <v>53487.599999999991</v>
      </c>
      <c r="AD64">
        <v>42</v>
      </c>
      <c r="AE64">
        <v>42386.399999999994</v>
      </c>
      <c r="AF64">
        <v>40</v>
      </c>
      <c r="AG64">
        <v>40367.999999999993</v>
      </c>
      <c r="AH64">
        <v>61</v>
      </c>
      <c r="AI64">
        <v>61561.19999999999</v>
      </c>
      <c r="AJ64">
        <v>6</v>
      </c>
      <c r="AK64">
        <v>6055.1999999999989</v>
      </c>
      <c r="AL64">
        <v>11</v>
      </c>
      <c r="AM64">
        <v>11101.199999999997</v>
      </c>
      <c r="AN64">
        <v>9</v>
      </c>
      <c r="AO64">
        <v>9082.7999999999993</v>
      </c>
      <c r="AP64">
        <v>9.7542428577380544</v>
      </c>
      <c r="AQ64">
        <v>9843.9818920292419</v>
      </c>
      <c r="AR64">
        <v>17</v>
      </c>
      <c r="AS64">
        <v>17156.399999999998</v>
      </c>
      <c r="AT64">
        <v>16</v>
      </c>
      <c r="AU64">
        <v>16147.199999999997</v>
      </c>
      <c r="AV64">
        <v>10</v>
      </c>
      <c r="AW64">
        <v>10091.999999999998</v>
      </c>
      <c r="AX64">
        <v>12</v>
      </c>
      <c r="AY64">
        <v>12110.399999999998</v>
      </c>
      <c r="AZ64">
        <v>10</v>
      </c>
      <c r="BA64">
        <v>10091.999999999998</v>
      </c>
      <c r="BB64">
        <v>10</v>
      </c>
      <c r="BC64">
        <v>10091.999999999998</v>
      </c>
      <c r="BD64">
        <v>7</v>
      </c>
      <c r="BE64">
        <v>7064.3999999999987</v>
      </c>
      <c r="BF64">
        <v>7</v>
      </c>
      <c r="BG64">
        <v>7064.3999999999987</v>
      </c>
      <c r="BH64">
        <v>19</v>
      </c>
      <c r="BI64">
        <v>19174.799999999996</v>
      </c>
      <c r="BJ64">
        <v>24</v>
      </c>
      <c r="BK64">
        <v>24220.799999999996</v>
      </c>
      <c r="BL64">
        <v>15</v>
      </c>
      <c r="BM64">
        <v>15137.999999999996</v>
      </c>
      <c r="BN64">
        <v>21</v>
      </c>
      <c r="BO64">
        <v>21193.199999999997</v>
      </c>
      <c r="BP64">
        <v>16</v>
      </c>
      <c r="BQ64">
        <v>16147.199999999997</v>
      </c>
      <c r="BR64">
        <v>18</v>
      </c>
      <c r="BS64">
        <v>18165.599999999999</v>
      </c>
      <c r="BT64">
        <v>18</v>
      </c>
      <c r="BU64">
        <v>18165.599999999999</v>
      </c>
      <c r="BV64">
        <v>15</v>
      </c>
      <c r="BW64">
        <v>15137.999999999996</v>
      </c>
      <c r="BX64">
        <v>10</v>
      </c>
      <c r="BY64">
        <v>10091.999999999998</v>
      </c>
      <c r="BZ64">
        <v>15</v>
      </c>
      <c r="CA64">
        <v>15137.999999999996</v>
      </c>
      <c r="CB64">
        <v>15</v>
      </c>
      <c r="CC64">
        <v>15137.999999999996</v>
      </c>
      <c r="CD64">
        <v>13</v>
      </c>
      <c r="CE64">
        <v>13119.599999999999</v>
      </c>
      <c r="CF64">
        <v>16</v>
      </c>
      <c r="CG64">
        <v>16147.199999999997</v>
      </c>
      <c r="CH64">
        <v>9</v>
      </c>
      <c r="CI64">
        <v>9082.7999999999993</v>
      </c>
      <c r="CJ64">
        <v>14</v>
      </c>
      <c r="CK64">
        <v>14128.799999999997</v>
      </c>
      <c r="CL64">
        <v>12</v>
      </c>
      <c r="CM64">
        <v>12110.399999999998</v>
      </c>
      <c r="CN64">
        <v>10</v>
      </c>
      <c r="CO64">
        <v>10091.999999999998</v>
      </c>
      <c r="CP64">
        <v>8</v>
      </c>
      <c r="CQ64">
        <v>8073.5999999999985</v>
      </c>
      <c r="CR64">
        <v>11</v>
      </c>
      <c r="CS64">
        <v>11101.199999999997</v>
      </c>
      <c r="CT64">
        <v>8</v>
      </c>
      <c r="CU64">
        <v>8073.5999999999985</v>
      </c>
    </row>
    <row r="65" spans="2:99" x14ac:dyDescent="0.2">
      <c r="C65" s="116" t="s">
        <v>231</v>
      </c>
      <c r="D65">
        <v>70</v>
      </c>
      <c r="E65">
        <v>71820</v>
      </c>
      <c r="F65">
        <v>70</v>
      </c>
      <c r="G65">
        <v>71820</v>
      </c>
      <c r="H65">
        <v>57</v>
      </c>
      <c r="I65">
        <v>58482</v>
      </c>
      <c r="J65">
        <v>63</v>
      </c>
      <c r="K65">
        <v>64638</v>
      </c>
      <c r="L65">
        <v>53</v>
      </c>
      <c r="M65">
        <v>54378</v>
      </c>
      <c r="N65">
        <v>31</v>
      </c>
      <c r="O65">
        <v>31806</v>
      </c>
      <c r="P65">
        <v>38</v>
      </c>
      <c r="Q65">
        <v>38988</v>
      </c>
      <c r="R65">
        <v>39</v>
      </c>
      <c r="S65">
        <v>40014</v>
      </c>
      <c r="T65">
        <v>7</v>
      </c>
      <c r="U65">
        <v>7182</v>
      </c>
      <c r="V65">
        <v>11</v>
      </c>
      <c r="W65">
        <v>11286</v>
      </c>
      <c r="X65">
        <v>8</v>
      </c>
      <c r="Y65">
        <v>8208</v>
      </c>
      <c r="Z65">
        <v>14</v>
      </c>
      <c r="AA65">
        <v>14364</v>
      </c>
      <c r="AB65">
        <v>47</v>
      </c>
      <c r="AC65">
        <v>48222</v>
      </c>
      <c r="AD65">
        <v>42</v>
      </c>
      <c r="AE65">
        <v>43092</v>
      </c>
      <c r="AF65">
        <v>34</v>
      </c>
      <c r="AG65">
        <v>34884</v>
      </c>
      <c r="AH65">
        <v>61</v>
      </c>
      <c r="AI65">
        <v>62586</v>
      </c>
      <c r="AJ65">
        <v>6</v>
      </c>
      <c r="AK65">
        <v>6156</v>
      </c>
      <c r="AL65">
        <v>12</v>
      </c>
      <c r="AM65">
        <v>12312</v>
      </c>
      <c r="AN65">
        <v>10</v>
      </c>
      <c r="AO65">
        <v>10260</v>
      </c>
      <c r="AP65">
        <v>9.7542428577380544</v>
      </c>
      <c r="AQ65">
        <v>10007.853172039244</v>
      </c>
      <c r="AR65">
        <v>17</v>
      </c>
      <c r="AS65">
        <v>17442</v>
      </c>
      <c r="AT65">
        <v>15</v>
      </c>
      <c r="AU65">
        <v>15390</v>
      </c>
      <c r="AV65">
        <v>9</v>
      </c>
      <c r="AW65">
        <v>9234</v>
      </c>
      <c r="AX65">
        <v>12</v>
      </c>
      <c r="AY65">
        <v>12312</v>
      </c>
      <c r="AZ65">
        <v>11</v>
      </c>
      <c r="BA65">
        <v>11286</v>
      </c>
      <c r="BB65">
        <v>10</v>
      </c>
      <c r="BC65">
        <v>10260</v>
      </c>
      <c r="BD65">
        <v>7</v>
      </c>
      <c r="BE65">
        <v>7182</v>
      </c>
      <c r="BF65">
        <v>7</v>
      </c>
      <c r="BG65">
        <v>7182</v>
      </c>
      <c r="BH65">
        <v>16</v>
      </c>
      <c r="BI65">
        <v>16416</v>
      </c>
      <c r="BJ65">
        <v>20</v>
      </c>
      <c r="BK65">
        <v>20520</v>
      </c>
      <c r="BL65">
        <v>16</v>
      </c>
      <c r="BM65">
        <v>16416</v>
      </c>
      <c r="BN65">
        <v>21</v>
      </c>
      <c r="BO65">
        <v>21546</v>
      </c>
      <c r="BP65">
        <v>17</v>
      </c>
      <c r="BQ65">
        <v>17442</v>
      </c>
      <c r="BR65">
        <v>19</v>
      </c>
      <c r="BS65">
        <v>19494</v>
      </c>
      <c r="BT65">
        <v>17</v>
      </c>
      <c r="BU65">
        <v>17442</v>
      </c>
      <c r="BV65">
        <v>18</v>
      </c>
      <c r="BW65">
        <v>18468</v>
      </c>
      <c r="BX65">
        <v>11</v>
      </c>
      <c r="BY65">
        <v>11286</v>
      </c>
      <c r="BZ65">
        <v>17</v>
      </c>
      <c r="CA65">
        <v>17442</v>
      </c>
      <c r="CB65">
        <v>14</v>
      </c>
      <c r="CC65">
        <v>14364</v>
      </c>
      <c r="CD65">
        <v>13</v>
      </c>
      <c r="CE65">
        <v>13338</v>
      </c>
      <c r="CF65">
        <v>17</v>
      </c>
      <c r="CG65">
        <v>17442</v>
      </c>
      <c r="CH65">
        <v>10</v>
      </c>
      <c r="CI65">
        <v>10260</v>
      </c>
      <c r="CJ65">
        <v>12</v>
      </c>
      <c r="CK65">
        <v>12312</v>
      </c>
      <c r="CL65">
        <v>11</v>
      </c>
      <c r="CM65">
        <v>11286</v>
      </c>
      <c r="CN65">
        <v>11</v>
      </c>
      <c r="CO65">
        <v>11286</v>
      </c>
      <c r="CP65">
        <v>8</v>
      </c>
      <c r="CQ65">
        <v>8208</v>
      </c>
      <c r="CR65">
        <v>10</v>
      </c>
      <c r="CS65">
        <v>10260</v>
      </c>
      <c r="CT65">
        <v>9</v>
      </c>
      <c r="CU65">
        <v>9234</v>
      </c>
    </row>
    <row r="66" spans="2:99" x14ac:dyDescent="0.2">
      <c r="C66" s="116" t="s">
        <v>232</v>
      </c>
      <c r="D66">
        <v>69</v>
      </c>
      <c r="E66">
        <v>82137.599999999991</v>
      </c>
      <c r="F66">
        <v>66</v>
      </c>
      <c r="G66">
        <v>78566.399999999994</v>
      </c>
      <c r="H66">
        <v>50</v>
      </c>
      <c r="I66">
        <v>59519.999999999993</v>
      </c>
      <c r="J66">
        <v>62</v>
      </c>
      <c r="K66">
        <v>73804.799999999988</v>
      </c>
      <c r="L66">
        <v>47</v>
      </c>
      <c r="M66">
        <v>55948.799999999996</v>
      </c>
      <c r="N66">
        <v>28</v>
      </c>
      <c r="O66">
        <v>33331.199999999997</v>
      </c>
      <c r="P66">
        <v>35</v>
      </c>
      <c r="Q66">
        <v>41663.999999999993</v>
      </c>
      <c r="R66">
        <v>41</v>
      </c>
      <c r="S66">
        <v>48806.399999999994</v>
      </c>
      <c r="T66">
        <v>8</v>
      </c>
      <c r="U66">
        <v>9523.1999999999989</v>
      </c>
      <c r="V66">
        <v>11</v>
      </c>
      <c r="W66">
        <v>13094.399999999998</v>
      </c>
      <c r="X66">
        <v>8</v>
      </c>
      <c r="Y66">
        <v>9523.1999999999989</v>
      </c>
      <c r="Z66">
        <v>15</v>
      </c>
      <c r="AA66">
        <v>17855.999999999996</v>
      </c>
      <c r="AB66">
        <v>51</v>
      </c>
      <c r="AC66">
        <v>60710.399999999994</v>
      </c>
      <c r="AD66">
        <v>45</v>
      </c>
      <c r="AE66">
        <v>53567.999999999993</v>
      </c>
      <c r="AF66">
        <v>36</v>
      </c>
      <c r="AG66">
        <v>42854.399999999994</v>
      </c>
      <c r="AH66">
        <v>57</v>
      </c>
      <c r="AI66">
        <v>67852.799999999988</v>
      </c>
      <c r="AJ66">
        <v>7</v>
      </c>
      <c r="AK66">
        <v>8332.7999999999993</v>
      </c>
      <c r="AL66">
        <v>13</v>
      </c>
      <c r="AM66">
        <v>15475.199999999999</v>
      </c>
      <c r="AN66">
        <v>8</v>
      </c>
      <c r="AO66">
        <v>9523.1999999999989</v>
      </c>
      <c r="AP66">
        <v>8.7788185719642495</v>
      </c>
      <c r="AQ66">
        <v>10450.305628066242</v>
      </c>
      <c r="AR66">
        <v>17</v>
      </c>
      <c r="AS66">
        <v>20236.8</v>
      </c>
      <c r="AT66">
        <v>14</v>
      </c>
      <c r="AU66">
        <v>16665.599999999999</v>
      </c>
      <c r="AV66">
        <v>10</v>
      </c>
      <c r="AW66">
        <v>11903.999999999998</v>
      </c>
      <c r="AX66">
        <v>12</v>
      </c>
      <c r="AY66">
        <v>14284.8</v>
      </c>
      <c r="AZ66">
        <v>12</v>
      </c>
      <c r="BA66">
        <v>14284.8</v>
      </c>
      <c r="BB66">
        <v>10</v>
      </c>
      <c r="BC66">
        <v>11903.999999999998</v>
      </c>
      <c r="BD66">
        <v>8</v>
      </c>
      <c r="BE66">
        <v>9523.1999999999989</v>
      </c>
      <c r="BF66">
        <v>7</v>
      </c>
      <c r="BG66">
        <v>8332.7999999999993</v>
      </c>
      <c r="BH66">
        <v>17</v>
      </c>
      <c r="BI66">
        <v>20236.8</v>
      </c>
      <c r="BJ66">
        <v>22</v>
      </c>
      <c r="BK66">
        <v>26188.799999999996</v>
      </c>
      <c r="BL66">
        <v>15</v>
      </c>
      <c r="BM66">
        <v>17855.999999999996</v>
      </c>
      <c r="BN66">
        <v>22</v>
      </c>
      <c r="BO66">
        <v>26188.799999999996</v>
      </c>
      <c r="BP66">
        <v>17</v>
      </c>
      <c r="BQ66">
        <v>20236.8</v>
      </c>
      <c r="BR66">
        <v>19</v>
      </c>
      <c r="BS66">
        <v>22617.599999999999</v>
      </c>
      <c r="BT66">
        <v>16</v>
      </c>
      <c r="BU66">
        <v>19046.399999999998</v>
      </c>
      <c r="BV66">
        <v>18</v>
      </c>
      <c r="BW66">
        <v>21427.199999999997</v>
      </c>
      <c r="BX66">
        <v>11</v>
      </c>
      <c r="BY66">
        <v>13094.399999999998</v>
      </c>
      <c r="BZ66">
        <v>15</v>
      </c>
      <c r="CA66">
        <v>17855.999999999996</v>
      </c>
      <c r="CB66">
        <v>14</v>
      </c>
      <c r="CC66">
        <v>16665.599999999999</v>
      </c>
      <c r="CD66">
        <v>12</v>
      </c>
      <c r="CE66">
        <v>14284.8</v>
      </c>
      <c r="CF66">
        <v>16</v>
      </c>
      <c r="CG66">
        <v>19046.399999999998</v>
      </c>
      <c r="CH66">
        <v>9</v>
      </c>
      <c r="CI66">
        <v>10713.599999999999</v>
      </c>
      <c r="CJ66">
        <v>12</v>
      </c>
      <c r="CK66">
        <v>14284.8</v>
      </c>
      <c r="CL66">
        <v>11</v>
      </c>
      <c r="CM66">
        <v>13094.399999999998</v>
      </c>
      <c r="CN66">
        <v>10</v>
      </c>
      <c r="CO66">
        <v>11903.999999999998</v>
      </c>
      <c r="CP66">
        <v>9</v>
      </c>
      <c r="CQ66">
        <v>10713.599999999999</v>
      </c>
      <c r="CR66">
        <v>12</v>
      </c>
      <c r="CS66">
        <v>14284.8</v>
      </c>
      <c r="CT66">
        <v>8</v>
      </c>
      <c r="CU66">
        <v>9523.1999999999989</v>
      </c>
    </row>
    <row r="67" spans="2:99" x14ac:dyDescent="0.2">
      <c r="C67" s="116" t="s">
        <v>233</v>
      </c>
      <c r="D67">
        <v>70</v>
      </c>
      <c r="E67">
        <v>78624</v>
      </c>
      <c r="F67">
        <v>67</v>
      </c>
      <c r="G67">
        <v>75254.400000000009</v>
      </c>
      <c r="H67">
        <v>50</v>
      </c>
      <c r="I67">
        <v>56160</v>
      </c>
      <c r="J67">
        <v>63</v>
      </c>
      <c r="K67">
        <v>70761.600000000006</v>
      </c>
      <c r="L67">
        <v>48</v>
      </c>
      <c r="M67">
        <v>53913.600000000006</v>
      </c>
      <c r="N67">
        <v>29</v>
      </c>
      <c r="O67">
        <v>32572.800000000003</v>
      </c>
      <c r="P67">
        <v>35</v>
      </c>
      <c r="Q67">
        <v>39312</v>
      </c>
      <c r="R67">
        <v>41</v>
      </c>
      <c r="S67">
        <v>46051.200000000004</v>
      </c>
      <c r="T67">
        <v>8</v>
      </c>
      <c r="U67">
        <v>8985.6</v>
      </c>
      <c r="V67">
        <v>11</v>
      </c>
      <c r="W67">
        <v>12355.2</v>
      </c>
      <c r="X67">
        <v>9</v>
      </c>
      <c r="Y67">
        <v>10108.800000000001</v>
      </c>
      <c r="Z67">
        <v>14</v>
      </c>
      <c r="AA67">
        <v>15724.800000000001</v>
      </c>
      <c r="AB67">
        <v>46</v>
      </c>
      <c r="AC67">
        <v>51667.200000000004</v>
      </c>
      <c r="AD67">
        <v>42</v>
      </c>
      <c r="AE67">
        <v>47174.400000000001</v>
      </c>
      <c r="AF67">
        <v>32</v>
      </c>
      <c r="AG67">
        <v>35942.400000000001</v>
      </c>
      <c r="AH67">
        <v>59</v>
      </c>
      <c r="AI67">
        <v>66268.800000000003</v>
      </c>
      <c r="AJ67">
        <v>6</v>
      </c>
      <c r="AK67">
        <v>6739.2000000000007</v>
      </c>
      <c r="AL67">
        <v>13</v>
      </c>
      <c r="AM67">
        <v>14601.6</v>
      </c>
      <c r="AN67">
        <v>8</v>
      </c>
      <c r="AO67">
        <v>8985.6</v>
      </c>
      <c r="AP67">
        <v>8.7788185719642495</v>
      </c>
      <c r="AQ67">
        <v>9860.3690200302462</v>
      </c>
      <c r="AR67">
        <v>16</v>
      </c>
      <c r="AS67">
        <v>17971.2</v>
      </c>
      <c r="AT67">
        <v>15</v>
      </c>
      <c r="AU67">
        <v>16848</v>
      </c>
      <c r="AV67">
        <v>9</v>
      </c>
      <c r="AW67">
        <v>10108.800000000001</v>
      </c>
      <c r="AX67">
        <v>11</v>
      </c>
      <c r="AY67">
        <v>12355.2</v>
      </c>
      <c r="AZ67">
        <v>12</v>
      </c>
      <c r="BA67">
        <v>13478.400000000001</v>
      </c>
      <c r="BB67">
        <v>9</v>
      </c>
      <c r="BC67">
        <v>10108.800000000001</v>
      </c>
      <c r="BD67">
        <v>7</v>
      </c>
      <c r="BE67">
        <v>7862.4000000000005</v>
      </c>
      <c r="BF67">
        <v>6</v>
      </c>
      <c r="BG67">
        <v>6739.2000000000007</v>
      </c>
      <c r="BH67">
        <v>16</v>
      </c>
      <c r="BI67">
        <v>17971.2</v>
      </c>
      <c r="BJ67">
        <v>21</v>
      </c>
      <c r="BK67">
        <v>23587.200000000001</v>
      </c>
      <c r="BL67">
        <v>16</v>
      </c>
      <c r="BM67">
        <v>17971.2</v>
      </c>
      <c r="BN67">
        <v>22</v>
      </c>
      <c r="BO67">
        <v>24710.400000000001</v>
      </c>
      <c r="BP67">
        <v>18</v>
      </c>
      <c r="BQ67">
        <v>20217.600000000002</v>
      </c>
      <c r="BR67">
        <v>17</v>
      </c>
      <c r="BS67">
        <v>19094.400000000001</v>
      </c>
      <c r="BT67">
        <v>16</v>
      </c>
      <c r="BU67">
        <v>17971.2</v>
      </c>
      <c r="BV67">
        <v>16</v>
      </c>
      <c r="BW67">
        <v>17971.2</v>
      </c>
      <c r="BX67">
        <v>11</v>
      </c>
      <c r="BY67">
        <v>12355.2</v>
      </c>
      <c r="BZ67">
        <v>16</v>
      </c>
      <c r="CA67">
        <v>17971.2</v>
      </c>
      <c r="CB67">
        <v>14</v>
      </c>
      <c r="CC67">
        <v>15724.800000000001</v>
      </c>
      <c r="CD67">
        <v>14</v>
      </c>
      <c r="CE67">
        <v>15724.800000000001</v>
      </c>
      <c r="CF67">
        <v>14</v>
      </c>
      <c r="CG67">
        <v>15724.800000000001</v>
      </c>
      <c r="CH67">
        <v>10</v>
      </c>
      <c r="CI67">
        <v>11232</v>
      </c>
      <c r="CJ67">
        <v>13</v>
      </c>
      <c r="CK67">
        <v>14601.6</v>
      </c>
      <c r="CL67">
        <v>11</v>
      </c>
      <c r="CM67">
        <v>12355.2</v>
      </c>
      <c r="CN67">
        <v>10</v>
      </c>
      <c r="CO67">
        <v>11232</v>
      </c>
      <c r="CP67">
        <v>9</v>
      </c>
      <c r="CQ67">
        <v>10108.800000000001</v>
      </c>
      <c r="CR67">
        <v>11</v>
      </c>
      <c r="CS67">
        <v>12355.2</v>
      </c>
      <c r="CT67">
        <v>8</v>
      </c>
      <c r="CU67">
        <v>8985.6</v>
      </c>
    </row>
    <row r="68" spans="2:99" x14ac:dyDescent="0.2">
      <c r="C68" s="116" t="s">
        <v>234</v>
      </c>
      <c r="D68">
        <v>62</v>
      </c>
      <c r="E68">
        <v>64058.400000000001</v>
      </c>
      <c r="F68">
        <v>72</v>
      </c>
      <c r="G68">
        <v>74390.400000000009</v>
      </c>
      <c r="H68">
        <v>56</v>
      </c>
      <c r="I68">
        <v>57859.200000000004</v>
      </c>
      <c r="J68">
        <v>72</v>
      </c>
      <c r="K68">
        <v>74390.400000000009</v>
      </c>
      <c r="L68">
        <v>57</v>
      </c>
      <c r="M68">
        <v>58892.4</v>
      </c>
      <c r="N68">
        <v>31</v>
      </c>
      <c r="O68">
        <v>32029.200000000001</v>
      </c>
      <c r="P68">
        <v>35</v>
      </c>
      <c r="Q68">
        <v>36162</v>
      </c>
      <c r="R68">
        <v>35</v>
      </c>
      <c r="S68">
        <v>36162</v>
      </c>
      <c r="T68">
        <v>8</v>
      </c>
      <c r="U68">
        <v>8265.6</v>
      </c>
      <c r="V68">
        <v>10</v>
      </c>
      <c r="W68">
        <v>10332</v>
      </c>
      <c r="X68">
        <v>8</v>
      </c>
      <c r="Y68">
        <v>8265.6</v>
      </c>
      <c r="Z68">
        <v>15</v>
      </c>
      <c r="AA68">
        <v>15498</v>
      </c>
      <c r="AB68">
        <v>52</v>
      </c>
      <c r="AC68">
        <v>53726.400000000001</v>
      </c>
      <c r="AD68">
        <v>40</v>
      </c>
      <c r="AE68">
        <v>41328</v>
      </c>
      <c r="AF68">
        <v>37</v>
      </c>
      <c r="AG68">
        <v>38228.400000000001</v>
      </c>
      <c r="AH68">
        <v>52</v>
      </c>
      <c r="AI68">
        <v>53726.400000000001</v>
      </c>
      <c r="AJ68">
        <v>6</v>
      </c>
      <c r="AK68">
        <v>6199.2000000000007</v>
      </c>
      <c r="AL68">
        <v>11</v>
      </c>
      <c r="AM68">
        <v>11365.2</v>
      </c>
      <c r="AN68">
        <v>8</v>
      </c>
      <c r="AO68">
        <v>8265.6</v>
      </c>
      <c r="AP68">
        <v>9.7542428577380544</v>
      </c>
      <c r="AQ68">
        <v>10078.083720614959</v>
      </c>
      <c r="AR68">
        <v>19</v>
      </c>
      <c r="AS68">
        <v>19630.8</v>
      </c>
      <c r="AT68">
        <v>16</v>
      </c>
      <c r="AU68">
        <v>16531.2</v>
      </c>
      <c r="AV68">
        <v>9</v>
      </c>
      <c r="AW68">
        <v>9298.8000000000011</v>
      </c>
      <c r="AX68">
        <v>11</v>
      </c>
      <c r="AY68">
        <v>11365.2</v>
      </c>
      <c r="AZ68">
        <v>12</v>
      </c>
      <c r="BA68">
        <v>12398.400000000001</v>
      </c>
      <c r="BB68">
        <v>9</v>
      </c>
      <c r="BC68">
        <v>9298.8000000000011</v>
      </c>
      <c r="BD68">
        <v>8</v>
      </c>
      <c r="BE68">
        <v>8265.6</v>
      </c>
      <c r="BF68">
        <v>7</v>
      </c>
      <c r="BG68">
        <v>7232.4000000000005</v>
      </c>
      <c r="BH68">
        <v>16</v>
      </c>
      <c r="BI68">
        <v>16531.2</v>
      </c>
      <c r="BJ68">
        <v>22</v>
      </c>
      <c r="BK68">
        <v>22730.400000000001</v>
      </c>
      <c r="BL68">
        <v>18</v>
      </c>
      <c r="BM68">
        <v>18597.600000000002</v>
      </c>
      <c r="BN68">
        <v>20</v>
      </c>
      <c r="BO68">
        <v>20664</v>
      </c>
      <c r="BP68">
        <v>19</v>
      </c>
      <c r="BQ68">
        <v>19630.8</v>
      </c>
      <c r="BR68">
        <v>19</v>
      </c>
      <c r="BS68">
        <v>19630.8</v>
      </c>
      <c r="BT68">
        <v>15</v>
      </c>
      <c r="BU68">
        <v>15498</v>
      </c>
      <c r="BV68">
        <v>18</v>
      </c>
      <c r="BW68">
        <v>18597.600000000002</v>
      </c>
      <c r="BX68">
        <v>10</v>
      </c>
      <c r="BY68">
        <v>10332</v>
      </c>
      <c r="BZ68">
        <v>15</v>
      </c>
      <c r="CA68">
        <v>15498</v>
      </c>
      <c r="CB68">
        <v>14</v>
      </c>
      <c r="CC68">
        <v>14464.800000000001</v>
      </c>
      <c r="CD68">
        <v>13</v>
      </c>
      <c r="CE68">
        <v>13431.6</v>
      </c>
      <c r="CF68">
        <v>17</v>
      </c>
      <c r="CG68">
        <v>17564.400000000001</v>
      </c>
      <c r="CH68">
        <v>11</v>
      </c>
      <c r="CI68">
        <v>11365.2</v>
      </c>
      <c r="CJ68">
        <v>13</v>
      </c>
      <c r="CK68">
        <v>13431.6</v>
      </c>
      <c r="CL68">
        <v>10</v>
      </c>
      <c r="CM68">
        <v>10332</v>
      </c>
      <c r="CN68">
        <v>11</v>
      </c>
      <c r="CO68">
        <v>11365.2</v>
      </c>
      <c r="CP68">
        <v>8</v>
      </c>
      <c r="CQ68">
        <v>8265.6</v>
      </c>
      <c r="CR68">
        <v>10</v>
      </c>
      <c r="CS68">
        <v>10332</v>
      </c>
      <c r="CT68">
        <v>8</v>
      </c>
      <c r="CU68">
        <v>8265.6</v>
      </c>
    </row>
    <row r="69" spans="2:99" x14ac:dyDescent="0.2">
      <c r="C69" s="116" t="s">
        <v>235</v>
      </c>
      <c r="D69">
        <v>71</v>
      </c>
      <c r="E69">
        <v>53846.400000000001</v>
      </c>
      <c r="F69">
        <v>78</v>
      </c>
      <c r="G69">
        <v>59155.199999999997</v>
      </c>
      <c r="H69">
        <v>56</v>
      </c>
      <c r="I69">
        <v>42470.400000000001</v>
      </c>
      <c r="J69">
        <v>76</v>
      </c>
      <c r="K69">
        <v>57638.400000000001</v>
      </c>
      <c r="L69">
        <v>53</v>
      </c>
      <c r="M69">
        <v>40195.199999999997</v>
      </c>
      <c r="N69">
        <v>29</v>
      </c>
      <c r="O69">
        <v>21993.599999999999</v>
      </c>
      <c r="P69">
        <v>40</v>
      </c>
      <c r="Q69">
        <v>30336</v>
      </c>
      <c r="R69">
        <v>43</v>
      </c>
      <c r="S69">
        <v>32611.200000000001</v>
      </c>
      <c r="T69">
        <v>7</v>
      </c>
      <c r="U69">
        <v>5308.8</v>
      </c>
      <c r="V69">
        <v>11</v>
      </c>
      <c r="W69">
        <v>8342.4</v>
      </c>
      <c r="X69">
        <v>8</v>
      </c>
      <c r="Y69">
        <v>6067.2</v>
      </c>
      <c r="Z69">
        <v>14</v>
      </c>
      <c r="AA69">
        <v>10617.6</v>
      </c>
      <c r="AB69">
        <v>56</v>
      </c>
      <c r="AC69">
        <v>42470.400000000001</v>
      </c>
      <c r="AD69">
        <v>42</v>
      </c>
      <c r="AE69">
        <v>31852.799999999999</v>
      </c>
      <c r="AF69">
        <v>42</v>
      </c>
      <c r="AG69">
        <v>31852.799999999999</v>
      </c>
      <c r="AH69">
        <v>54</v>
      </c>
      <c r="AI69">
        <v>40953.599999999999</v>
      </c>
      <c r="AJ69">
        <v>6</v>
      </c>
      <c r="AK69">
        <v>4550.3999999999996</v>
      </c>
      <c r="AL69">
        <v>13</v>
      </c>
      <c r="AM69">
        <v>9859.1999999999989</v>
      </c>
      <c r="AN69">
        <v>9</v>
      </c>
      <c r="AO69">
        <v>6825.5999999999995</v>
      </c>
      <c r="AP69">
        <v>9.7542428577380544</v>
      </c>
      <c r="AQ69">
        <v>7397.6177833085403</v>
      </c>
      <c r="AR69">
        <v>20</v>
      </c>
      <c r="AS69">
        <v>15168</v>
      </c>
      <c r="AT69">
        <v>15</v>
      </c>
      <c r="AU69">
        <v>11376</v>
      </c>
      <c r="AV69">
        <v>10</v>
      </c>
      <c r="AW69">
        <v>7584</v>
      </c>
      <c r="AX69">
        <v>12</v>
      </c>
      <c r="AY69">
        <v>9100.7999999999993</v>
      </c>
      <c r="AZ69">
        <v>12</v>
      </c>
      <c r="BA69">
        <v>9100.7999999999993</v>
      </c>
      <c r="BB69">
        <v>10</v>
      </c>
      <c r="BC69">
        <v>7584</v>
      </c>
      <c r="BD69">
        <v>7</v>
      </c>
      <c r="BE69">
        <v>5308.8</v>
      </c>
      <c r="BF69">
        <v>8</v>
      </c>
      <c r="BG69">
        <v>6067.2</v>
      </c>
      <c r="BH69">
        <v>19</v>
      </c>
      <c r="BI69">
        <v>14409.6</v>
      </c>
      <c r="BJ69">
        <v>25</v>
      </c>
      <c r="BK69">
        <v>18960</v>
      </c>
      <c r="BL69">
        <v>17</v>
      </c>
      <c r="BM69">
        <v>12892.8</v>
      </c>
      <c r="BN69">
        <v>21</v>
      </c>
      <c r="BO69">
        <v>15926.4</v>
      </c>
      <c r="BP69">
        <v>18</v>
      </c>
      <c r="BQ69">
        <v>13651.199999999999</v>
      </c>
      <c r="BR69">
        <v>20</v>
      </c>
      <c r="BS69">
        <v>15168</v>
      </c>
      <c r="BT69">
        <v>16</v>
      </c>
      <c r="BU69">
        <v>12134.4</v>
      </c>
      <c r="BV69">
        <v>17</v>
      </c>
      <c r="BW69">
        <v>12892.8</v>
      </c>
      <c r="BX69">
        <v>10</v>
      </c>
      <c r="BY69">
        <v>7584</v>
      </c>
      <c r="BZ69">
        <v>17</v>
      </c>
      <c r="CA69">
        <v>12892.8</v>
      </c>
      <c r="CB69">
        <v>15</v>
      </c>
      <c r="CC69">
        <v>11376</v>
      </c>
      <c r="CD69">
        <v>14</v>
      </c>
      <c r="CE69">
        <v>10617.6</v>
      </c>
      <c r="CF69">
        <v>17</v>
      </c>
      <c r="CG69">
        <v>12892.8</v>
      </c>
      <c r="CH69">
        <v>11</v>
      </c>
      <c r="CI69">
        <v>8342.4</v>
      </c>
      <c r="CJ69">
        <v>13</v>
      </c>
      <c r="CK69">
        <v>9859.1999999999989</v>
      </c>
      <c r="CL69">
        <v>13</v>
      </c>
      <c r="CM69">
        <v>9859.1999999999989</v>
      </c>
      <c r="CN69">
        <v>10</v>
      </c>
      <c r="CO69">
        <v>7584</v>
      </c>
      <c r="CP69">
        <v>9</v>
      </c>
      <c r="CQ69">
        <v>6825.5999999999995</v>
      </c>
      <c r="CR69">
        <v>12</v>
      </c>
      <c r="CS69">
        <v>9100.7999999999993</v>
      </c>
      <c r="CT69">
        <v>8</v>
      </c>
      <c r="CU69">
        <v>6067.2</v>
      </c>
    </row>
    <row r="70" spans="2:99" x14ac:dyDescent="0.2">
      <c r="C70" s="116" t="s">
        <v>236</v>
      </c>
      <c r="D70">
        <v>71</v>
      </c>
      <c r="E70">
        <v>37999.199999999997</v>
      </c>
      <c r="F70">
        <v>70</v>
      </c>
      <c r="G70">
        <v>37463.999999999993</v>
      </c>
      <c r="H70">
        <v>52</v>
      </c>
      <c r="I70">
        <v>27830.399999999998</v>
      </c>
      <c r="J70">
        <v>75</v>
      </c>
      <c r="K70">
        <v>40139.999999999993</v>
      </c>
      <c r="L70">
        <v>55</v>
      </c>
      <c r="M70">
        <v>29435.999999999996</v>
      </c>
      <c r="N70">
        <v>35</v>
      </c>
      <c r="O70">
        <v>18731.999999999996</v>
      </c>
      <c r="P70">
        <v>37</v>
      </c>
      <c r="Q70">
        <v>19802.399999999998</v>
      </c>
      <c r="R70">
        <v>46</v>
      </c>
      <c r="S70">
        <v>24619.199999999997</v>
      </c>
      <c r="T70">
        <v>8</v>
      </c>
      <c r="U70">
        <v>4281.5999999999995</v>
      </c>
      <c r="V70">
        <v>11</v>
      </c>
      <c r="W70">
        <v>5887.1999999999989</v>
      </c>
      <c r="X70">
        <v>9</v>
      </c>
      <c r="Y70">
        <v>4816.7999999999993</v>
      </c>
      <c r="Z70">
        <v>15</v>
      </c>
      <c r="AA70">
        <v>8027.9999999999991</v>
      </c>
      <c r="AB70">
        <v>57</v>
      </c>
      <c r="AC70">
        <v>30506.399999999998</v>
      </c>
      <c r="AD70">
        <v>47</v>
      </c>
      <c r="AE70">
        <v>25154.399999999998</v>
      </c>
      <c r="AF70">
        <v>43</v>
      </c>
      <c r="AG70">
        <v>23013.599999999999</v>
      </c>
      <c r="AH70">
        <v>61</v>
      </c>
      <c r="AI70">
        <v>32647.199999999997</v>
      </c>
      <c r="AJ70">
        <v>6</v>
      </c>
      <c r="AK70">
        <v>3211.2</v>
      </c>
      <c r="AL70">
        <v>12</v>
      </c>
      <c r="AM70">
        <v>6422.4</v>
      </c>
      <c r="AN70">
        <v>8</v>
      </c>
      <c r="AO70">
        <v>4281.5999999999995</v>
      </c>
      <c r="AP70">
        <v>10.729667143511859</v>
      </c>
      <c r="AQ70">
        <v>5742.5178552075467</v>
      </c>
      <c r="AR70">
        <v>20</v>
      </c>
      <c r="AS70">
        <v>10703.999999999998</v>
      </c>
      <c r="AT70">
        <v>16</v>
      </c>
      <c r="AU70">
        <v>8563.1999999999989</v>
      </c>
      <c r="AV70">
        <v>11</v>
      </c>
      <c r="AW70">
        <v>5887.1999999999989</v>
      </c>
      <c r="AX70">
        <v>11</v>
      </c>
      <c r="AY70">
        <v>5887.1999999999989</v>
      </c>
      <c r="AZ70">
        <v>13</v>
      </c>
      <c r="BA70">
        <v>6957.5999999999995</v>
      </c>
      <c r="BB70">
        <v>9</v>
      </c>
      <c r="BC70">
        <v>4816.7999999999993</v>
      </c>
      <c r="BD70">
        <v>7</v>
      </c>
      <c r="BE70">
        <v>3746.3999999999996</v>
      </c>
      <c r="BF70">
        <v>7</v>
      </c>
      <c r="BG70">
        <v>3746.3999999999996</v>
      </c>
      <c r="BH70">
        <v>18</v>
      </c>
      <c r="BI70">
        <v>9633.5999999999985</v>
      </c>
      <c r="BJ70">
        <v>22</v>
      </c>
      <c r="BK70">
        <v>11774.399999999998</v>
      </c>
      <c r="BL70">
        <v>16</v>
      </c>
      <c r="BM70">
        <v>8563.1999999999989</v>
      </c>
      <c r="BN70">
        <v>23</v>
      </c>
      <c r="BO70">
        <v>12309.599999999999</v>
      </c>
      <c r="BP70">
        <v>21</v>
      </c>
      <c r="BQ70">
        <v>11239.199999999999</v>
      </c>
      <c r="BR70">
        <v>18</v>
      </c>
      <c r="BS70">
        <v>9633.5999999999985</v>
      </c>
      <c r="BT70">
        <v>17</v>
      </c>
      <c r="BU70">
        <v>9098.4</v>
      </c>
      <c r="BV70">
        <v>18</v>
      </c>
      <c r="BW70">
        <v>9633.5999999999985</v>
      </c>
      <c r="BX70">
        <v>11</v>
      </c>
      <c r="BY70">
        <v>5887.1999999999989</v>
      </c>
      <c r="BZ70">
        <v>17</v>
      </c>
      <c r="CA70">
        <v>9098.4</v>
      </c>
      <c r="CB70">
        <v>14</v>
      </c>
      <c r="CC70">
        <v>7492.7999999999993</v>
      </c>
      <c r="CD70">
        <v>15</v>
      </c>
      <c r="CE70">
        <v>8027.9999999999991</v>
      </c>
      <c r="CF70">
        <v>15</v>
      </c>
      <c r="CG70">
        <v>8027.9999999999991</v>
      </c>
      <c r="CH70">
        <v>10</v>
      </c>
      <c r="CI70">
        <v>5351.9999999999991</v>
      </c>
      <c r="CJ70">
        <v>12</v>
      </c>
      <c r="CK70">
        <v>6422.4</v>
      </c>
      <c r="CL70">
        <v>13</v>
      </c>
      <c r="CM70">
        <v>6957.5999999999995</v>
      </c>
      <c r="CN70">
        <v>11</v>
      </c>
      <c r="CO70">
        <v>5887.1999999999989</v>
      </c>
      <c r="CP70">
        <v>8</v>
      </c>
      <c r="CQ70">
        <v>4281.5999999999995</v>
      </c>
      <c r="CR70">
        <v>12</v>
      </c>
      <c r="CS70">
        <v>6422.4</v>
      </c>
      <c r="CT70">
        <v>9</v>
      </c>
      <c r="CU70">
        <v>4816.7999999999993</v>
      </c>
    </row>
    <row r="71" spans="2:99" x14ac:dyDescent="0.2">
      <c r="B71" s="116" t="s">
        <v>130</v>
      </c>
      <c r="C71" s="116" t="s">
        <v>237</v>
      </c>
      <c r="D71">
        <v>22.948437931529142</v>
      </c>
      <c r="E71">
        <v>12942.918993382436</v>
      </c>
      <c r="F71">
        <v>17.887680268431854</v>
      </c>
      <c r="G71">
        <v>10088.651671395566</v>
      </c>
      <c r="H71">
        <v>18.225275511022417</v>
      </c>
      <c r="I71">
        <v>10279.055388216644</v>
      </c>
      <c r="J71">
        <v>20.884265038827149</v>
      </c>
      <c r="K71">
        <v>11778.725481898511</v>
      </c>
      <c r="L71">
        <v>4</v>
      </c>
      <c r="M71">
        <v>2256</v>
      </c>
      <c r="N71">
        <v>4.2878968079742767</v>
      </c>
      <c r="O71">
        <v>2418.3737996974919</v>
      </c>
      <c r="P71">
        <v>3</v>
      </c>
      <c r="Q71">
        <v>1692</v>
      </c>
      <c r="R71">
        <v>5</v>
      </c>
      <c r="S71">
        <v>2820</v>
      </c>
      <c r="T71">
        <v>25.561273721112261</v>
      </c>
      <c r="U71">
        <v>14416.558378707316</v>
      </c>
      <c r="V71">
        <v>18.241115484957049</v>
      </c>
      <c r="W71">
        <v>10287.989133515775</v>
      </c>
      <c r="X71">
        <v>16.083528470812372</v>
      </c>
      <c r="Y71">
        <v>9071.110057538177</v>
      </c>
      <c r="Z71">
        <v>17.480338201056412</v>
      </c>
      <c r="AA71">
        <v>9858.9107453958168</v>
      </c>
      <c r="AB71">
        <v>6</v>
      </c>
      <c r="AC71">
        <v>3384</v>
      </c>
      <c r="AD71">
        <v>11.718701954726438</v>
      </c>
      <c r="AE71">
        <v>6609.3479024657108</v>
      </c>
      <c r="AF71">
        <v>11.56023382710891</v>
      </c>
      <c r="AG71">
        <v>6519.9718784894249</v>
      </c>
      <c r="AH71">
        <v>9.340866850893363</v>
      </c>
      <c r="AI71">
        <v>5268.2489039038564</v>
      </c>
      <c r="AJ71">
        <v>21.861740681999454</v>
      </c>
      <c r="AK71">
        <v>12330.021744647693</v>
      </c>
      <c r="AL71">
        <v>18.892516381922764</v>
      </c>
      <c r="AM71">
        <v>10655.379239404439</v>
      </c>
      <c r="AN71">
        <v>17.284535055741447</v>
      </c>
      <c r="AO71">
        <v>9748.4777714381762</v>
      </c>
      <c r="AP71">
        <v>16.351863398154254</v>
      </c>
      <c r="AQ71">
        <v>9222.4509565589997</v>
      </c>
      <c r="AR71">
        <v>7.4841687706693802</v>
      </c>
      <c r="AS71">
        <v>4221.0711866575302</v>
      </c>
      <c r="AT71">
        <v>6.0177119849460077</v>
      </c>
      <c r="AU71">
        <v>3393.9895595095481</v>
      </c>
      <c r="AV71">
        <v>5.0896352476128754</v>
      </c>
      <c r="AW71">
        <v>2870.554279653662</v>
      </c>
      <c r="AX71">
        <v>7.7421203976337676</v>
      </c>
      <c r="AY71">
        <v>4366.555904265445</v>
      </c>
      <c r="AZ71">
        <v>16.421802331195842</v>
      </c>
      <c r="BA71">
        <v>9261.8965147944546</v>
      </c>
      <c r="BB71">
        <v>20.979902810364891</v>
      </c>
      <c r="BC71">
        <v>11832.665185045798</v>
      </c>
      <c r="BD71">
        <v>14.570315197490876</v>
      </c>
      <c r="BE71">
        <v>8217.6577713848546</v>
      </c>
      <c r="BF71">
        <v>15.07988772558955</v>
      </c>
      <c r="BG71">
        <v>8505.0566772325074</v>
      </c>
      <c r="BH71">
        <v>21.973507506437262</v>
      </c>
      <c r="BI71">
        <v>12393.058233630616</v>
      </c>
      <c r="BJ71">
        <v>16.146680894819436</v>
      </c>
      <c r="BK71">
        <v>9106.7280246781629</v>
      </c>
      <c r="BL71">
        <v>22.205151859870742</v>
      </c>
      <c r="BM71">
        <v>12523.705648967099</v>
      </c>
      <c r="BN71">
        <v>21.807022260739988</v>
      </c>
      <c r="BO71">
        <v>12299.160555057353</v>
      </c>
      <c r="BP71">
        <v>6.20546329922984</v>
      </c>
      <c r="BQ71">
        <v>3499.8813007656299</v>
      </c>
      <c r="BR71">
        <v>7.5544818454775013</v>
      </c>
      <c r="BS71">
        <v>4260.7277608493105</v>
      </c>
      <c r="BT71">
        <v>4.3891025167603486</v>
      </c>
      <c r="BU71">
        <v>2475.4538194528368</v>
      </c>
      <c r="BV71">
        <v>7.1407050178541498</v>
      </c>
      <c r="BW71">
        <v>4027.3576300697405</v>
      </c>
      <c r="BX71">
        <v>3.6248425827185953</v>
      </c>
      <c r="BY71">
        <v>2044.4112166532877</v>
      </c>
      <c r="BZ71">
        <v>4.9003397276784453</v>
      </c>
      <c r="CA71">
        <v>2763.791606410643</v>
      </c>
      <c r="CB71">
        <v>3.2113307095150709</v>
      </c>
      <c r="CC71">
        <v>1811.1905201664999</v>
      </c>
      <c r="CD71">
        <v>5.4086196284430086</v>
      </c>
      <c r="CE71">
        <v>3050.4614704418568</v>
      </c>
      <c r="CF71">
        <v>8.8610046570481806</v>
      </c>
      <c r="CG71">
        <v>4997.6066265751742</v>
      </c>
      <c r="CH71">
        <v>9.9182932828528934</v>
      </c>
      <c r="CI71">
        <v>5593.9174115290316</v>
      </c>
      <c r="CJ71">
        <v>10.713809436706386</v>
      </c>
      <c r="CK71">
        <v>6042.5885223024015</v>
      </c>
      <c r="CL71">
        <v>9.7030033748254461</v>
      </c>
      <c r="CM71">
        <v>5472.4939034015515</v>
      </c>
      <c r="CN71">
        <v>15.6063309269166</v>
      </c>
      <c r="CO71">
        <v>8801.9706427809633</v>
      </c>
      <c r="CP71">
        <v>18.083662130839009</v>
      </c>
      <c r="CQ71">
        <v>10199.185441793201</v>
      </c>
      <c r="CR71">
        <v>16.455868389260566</v>
      </c>
      <c r="CS71">
        <v>9281.1097715429587</v>
      </c>
      <c r="CT71">
        <v>16.36729703091892</v>
      </c>
      <c r="CU71">
        <v>9231.1555254382711</v>
      </c>
    </row>
    <row r="72" spans="2:99" x14ac:dyDescent="0.2">
      <c r="C72" s="116" t="s">
        <v>238</v>
      </c>
      <c r="D72">
        <v>24.836227099198787</v>
      </c>
      <c r="E72">
        <v>1847.8152961803896</v>
      </c>
      <c r="F72">
        <v>20.435961563205399</v>
      </c>
      <c r="G72">
        <v>1520.4355403024815</v>
      </c>
      <c r="H72">
        <v>20.986680891480361</v>
      </c>
      <c r="I72">
        <v>1561.4090583261386</v>
      </c>
      <c r="J72">
        <v>20.233799884714834</v>
      </c>
      <c r="K72">
        <v>1505.3947114227835</v>
      </c>
      <c r="L72">
        <v>4</v>
      </c>
      <c r="M72">
        <v>297.59999999999997</v>
      </c>
      <c r="N72">
        <v>5.2957376426943998</v>
      </c>
      <c r="O72">
        <v>394.0028806164633</v>
      </c>
      <c r="P72">
        <v>3</v>
      </c>
      <c r="Q72">
        <v>223.2</v>
      </c>
      <c r="R72">
        <v>5</v>
      </c>
      <c r="S72">
        <v>371.99999999999994</v>
      </c>
      <c r="T72">
        <v>31.527902848491031</v>
      </c>
      <c r="U72">
        <v>2345.6759719277325</v>
      </c>
      <c r="V72">
        <v>20.265417575058176</v>
      </c>
      <c r="W72">
        <v>1507.7470675843281</v>
      </c>
      <c r="X72">
        <v>18.166436467369497</v>
      </c>
      <c r="Y72">
        <v>1351.5828731722904</v>
      </c>
      <c r="Z72">
        <v>18.306964390107161</v>
      </c>
      <c r="AA72">
        <v>1362.0381506239726</v>
      </c>
      <c r="AB72">
        <v>6</v>
      </c>
      <c r="AC72">
        <v>446.4</v>
      </c>
      <c r="AD72">
        <v>10.513233947516305</v>
      </c>
      <c r="AE72">
        <v>782.18460569521301</v>
      </c>
      <c r="AF72">
        <v>11.9657855554109</v>
      </c>
      <c r="AG72">
        <v>890.25444532257086</v>
      </c>
      <c r="AH72">
        <v>10.484383000704804</v>
      </c>
      <c r="AI72">
        <v>780.03809525243742</v>
      </c>
      <c r="AJ72">
        <v>24.088155790902412</v>
      </c>
      <c r="AK72">
        <v>1792.1587908431393</v>
      </c>
      <c r="AL72">
        <v>17.898173414453147</v>
      </c>
      <c r="AM72">
        <v>1331.6241020353141</v>
      </c>
      <c r="AN72">
        <v>20.885479859020915</v>
      </c>
      <c r="AO72">
        <v>1553.8797015111559</v>
      </c>
      <c r="AP72">
        <v>16.191103140192592</v>
      </c>
      <c r="AQ72">
        <v>1204.6180736303286</v>
      </c>
      <c r="AR72">
        <v>8.5518594946072408</v>
      </c>
      <c r="AS72">
        <v>636.2583463987786</v>
      </c>
      <c r="AT72">
        <v>6.5191879836915083</v>
      </c>
      <c r="AU72">
        <v>485.02758598664815</v>
      </c>
      <c r="AV72">
        <v>5.1086024454569907</v>
      </c>
      <c r="AW72">
        <v>380.08002194200009</v>
      </c>
      <c r="AX72">
        <v>7.733186772592096</v>
      </c>
      <c r="AY72">
        <v>575.34909588085191</v>
      </c>
      <c r="AZ72">
        <v>18.474527622595325</v>
      </c>
      <c r="BA72">
        <v>1374.5048551210921</v>
      </c>
      <c r="BB72">
        <v>18.6028263981569</v>
      </c>
      <c r="BC72">
        <v>1384.0502840228733</v>
      </c>
      <c r="BD72">
        <v>16.177600676456446</v>
      </c>
      <c r="BE72">
        <v>1203.6134903283594</v>
      </c>
      <c r="BF72">
        <v>15.765337167661803</v>
      </c>
      <c r="BG72">
        <v>1172.941085274038</v>
      </c>
      <c r="BH72">
        <v>21.609024970042707</v>
      </c>
      <c r="BI72">
        <v>1607.7114577711773</v>
      </c>
      <c r="BJ72">
        <v>18.591538224539214</v>
      </c>
      <c r="BK72">
        <v>1383.2104439057173</v>
      </c>
      <c r="BL72">
        <v>21.82352439334506</v>
      </c>
      <c r="BM72">
        <v>1623.6702148648724</v>
      </c>
      <c r="BN72">
        <v>22.374763846634245</v>
      </c>
      <c r="BO72">
        <v>1664.6824301895876</v>
      </c>
      <c r="BP72">
        <v>7.0548541679141552</v>
      </c>
      <c r="BQ72">
        <v>524.88115009281307</v>
      </c>
      <c r="BR72">
        <v>7.5544818454775013</v>
      </c>
      <c r="BS72">
        <v>562.05344930352601</v>
      </c>
      <c r="BT72">
        <v>4.3891025167603486</v>
      </c>
      <c r="BU72">
        <v>326.54922724696991</v>
      </c>
      <c r="BV72">
        <v>8.1434940654267489</v>
      </c>
      <c r="BW72">
        <v>605.87595846775002</v>
      </c>
      <c r="BX72">
        <v>4.7810532283982443</v>
      </c>
      <c r="BY72">
        <v>355.71036019282934</v>
      </c>
      <c r="BZ72">
        <v>4.9326975055402897</v>
      </c>
      <c r="CA72">
        <v>366.99269441219752</v>
      </c>
      <c r="CB72">
        <v>3.2113307095150709</v>
      </c>
      <c r="CC72">
        <v>238.92300478792126</v>
      </c>
      <c r="CD72">
        <v>5.4494815912873094</v>
      </c>
      <c r="CE72">
        <v>405.44143039177578</v>
      </c>
      <c r="CF72">
        <v>9.0332055884578182</v>
      </c>
      <c r="CG72">
        <v>672.07049578126157</v>
      </c>
      <c r="CH72">
        <v>9.9182932828528934</v>
      </c>
      <c r="CI72">
        <v>737.92102024425515</v>
      </c>
      <c r="CJ72">
        <v>11.892261795882982</v>
      </c>
      <c r="CK72">
        <v>884.7842776136938</v>
      </c>
      <c r="CL72">
        <v>10.878754218531808</v>
      </c>
      <c r="CM72">
        <v>809.37931385876641</v>
      </c>
      <c r="CN72">
        <v>17.326994660134087</v>
      </c>
      <c r="CO72">
        <v>1289.1284027139759</v>
      </c>
      <c r="CP72">
        <v>21.007549224150928</v>
      </c>
      <c r="CQ72">
        <v>1562.961662276829</v>
      </c>
      <c r="CR72">
        <v>17.442185210928368</v>
      </c>
      <c r="CS72">
        <v>1297.6985796930705</v>
      </c>
      <c r="CT72">
        <v>18.060465689289842</v>
      </c>
      <c r="CU72">
        <v>1343.6986472831641</v>
      </c>
    </row>
    <row r="73" spans="2:99" x14ac:dyDescent="0.2">
      <c r="C73" s="116" t="s">
        <v>239</v>
      </c>
      <c r="D73">
        <v>19.860722687954972</v>
      </c>
      <c r="E73">
        <v>11106.116127104418</v>
      </c>
      <c r="F73">
        <v>18.303672832813991</v>
      </c>
      <c r="G73">
        <v>10235.413848109582</v>
      </c>
      <c r="H73">
        <v>18.77755658711401</v>
      </c>
      <c r="I73">
        <v>10500.409643514153</v>
      </c>
      <c r="J73">
        <v>18.865576662963935</v>
      </c>
      <c r="K73">
        <v>10549.630469929431</v>
      </c>
      <c r="L73">
        <v>4</v>
      </c>
      <c r="M73">
        <v>2236.7999999999997</v>
      </c>
      <c r="N73">
        <v>4.2918172253343387</v>
      </c>
      <c r="O73">
        <v>2399.9841924069619</v>
      </c>
      <c r="P73">
        <v>3</v>
      </c>
      <c r="Q73">
        <v>1677.6</v>
      </c>
      <c r="R73">
        <v>5</v>
      </c>
      <c r="S73">
        <v>2795.9999999999995</v>
      </c>
      <c r="T73">
        <v>29.72601675127305</v>
      </c>
      <c r="U73">
        <v>16622.788567311887</v>
      </c>
      <c r="V73">
        <v>19.45629585904506</v>
      </c>
      <c r="W73">
        <v>10879.960644377996</v>
      </c>
      <c r="X73">
        <v>16.591675637036786</v>
      </c>
      <c r="Y73">
        <v>9278.0650162309703</v>
      </c>
      <c r="Z73">
        <v>18.619035298429868</v>
      </c>
      <c r="AA73">
        <v>10411.76453888198</v>
      </c>
      <c r="AB73">
        <v>6</v>
      </c>
      <c r="AC73">
        <v>3355.2</v>
      </c>
      <c r="AD73">
        <v>10.170950159490296</v>
      </c>
      <c r="AE73">
        <v>5687.5953291869728</v>
      </c>
      <c r="AF73">
        <v>11.808800738411165</v>
      </c>
      <c r="AG73">
        <v>6603.481372919523</v>
      </c>
      <c r="AH73">
        <v>8.6791948320864964</v>
      </c>
      <c r="AI73">
        <v>4853.4057501027683</v>
      </c>
      <c r="AJ73">
        <v>19.510674057577582</v>
      </c>
      <c r="AK73">
        <v>10910.368932997382</v>
      </c>
      <c r="AL73">
        <v>17.898173414453147</v>
      </c>
      <c r="AM73">
        <v>10008.6585733622</v>
      </c>
      <c r="AN73">
        <v>19.956382640665876</v>
      </c>
      <c r="AO73">
        <v>11159.609172660355</v>
      </c>
      <c r="AP73">
        <v>15.111696264179752</v>
      </c>
      <c r="AQ73">
        <v>8450.460550929316</v>
      </c>
      <c r="AR73">
        <v>7.9236074218721599</v>
      </c>
      <c r="AS73">
        <v>4430.8812703109115</v>
      </c>
      <c r="AT73">
        <v>6.0177119849460077</v>
      </c>
      <c r="AU73">
        <v>3365.104541981807</v>
      </c>
      <c r="AV73">
        <v>5.1275696433011051</v>
      </c>
      <c r="AW73">
        <v>2867.3369445339777</v>
      </c>
      <c r="AX73">
        <v>6.7037499899357931</v>
      </c>
      <c r="AY73">
        <v>3748.7369943720951</v>
      </c>
      <c r="AZ73">
        <v>15.737560567396018</v>
      </c>
      <c r="BA73">
        <v>8800.4438692878521</v>
      </c>
      <c r="BB73">
        <v>18.6028263981569</v>
      </c>
      <c r="BC73">
        <v>10402.700521849338</v>
      </c>
      <c r="BD73">
        <v>14.236288595281673</v>
      </c>
      <c r="BE73">
        <v>7960.9325824815105</v>
      </c>
      <c r="BF73">
        <v>15.07988772558955</v>
      </c>
      <c r="BG73">
        <v>8432.6732161496748</v>
      </c>
      <c r="BH73">
        <v>19.901136112017188</v>
      </c>
      <c r="BI73">
        <v>11128.71531384001</v>
      </c>
      <c r="BJ73">
        <v>16.242938959716199</v>
      </c>
      <c r="BK73">
        <v>9083.0514662732967</v>
      </c>
      <c r="BL73">
        <v>21.283798373739245</v>
      </c>
      <c r="BM73">
        <v>11901.900050594984</v>
      </c>
      <c r="BN73">
        <v>18.354004346022805</v>
      </c>
      <c r="BO73">
        <v>10263.55923029595</v>
      </c>
      <c r="BP73">
        <v>6.3301613284959313</v>
      </c>
      <c r="BQ73">
        <v>3539.8262148949243</v>
      </c>
      <c r="BR73">
        <v>7.4222697887787836</v>
      </c>
      <c r="BS73">
        <v>4150.5332658850957</v>
      </c>
      <c r="BT73">
        <v>4.3891025167603486</v>
      </c>
      <c r="BU73">
        <v>2454.3861273723865</v>
      </c>
      <c r="BV73">
        <v>6.7668313023778035</v>
      </c>
      <c r="BW73">
        <v>3784.0120642896673</v>
      </c>
      <c r="BX73">
        <v>3.6248425827185953</v>
      </c>
      <c r="BY73">
        <v>2027.0119722562383</v>
      </c>
      <c r="BZ73">
        <v>4.9003397276784453</v>
      </c>
      <c r="CA73">
        <v>2740.2699757177861</v>
      </c>
      <c r="CB73">
        <v>3.1584980321363032</v>
      </c>
      <c r="CC73">
        <v>1766.2320995706204</v>
      </c>
      <c r="CD73">
        <v>5.4086196284430086</v>
      </c>
      <c r="CE73">
        <v>3024.5000962253303</v>
      </c>
      <c r="CF73">
        <v>9.0332055884578182</v>
      </c>
      <c r="CG73">
        <v>5051.3685650656116</v>
      </c>
      <c r="CH73">
        <v>9.9182932828528934</v>
      </c>
      <c r="CI73">
        <v>5546.3096037713376</v>
      </c>
      <c r="CJ73">
        <v>9.8922617958829822</v>
      </c>
      <c r="CK73">
        <v>5531.7527962577633</v>
      </c>
      <c r="CL73">
        <v>9.8787542185318085</v>
      </c>
      <c r="CM73">
        <v>5524.199359002987</v>
      </c>
      <c r="CN73">
        <v>17.326994660134087</v>
      </c>
      <c r="CO73">
        <v>9689.2554139469794</v>
      </c>
      <c r="CP73">
        <v>19.466068094371707</v>
      </c>
      <c r="CQ73">
        <v>10885.425278372657</v>
      </c>
      <c r="CR73">
        <v>15.125411355521997</v>
      </c>
      <c r="CS73">
        <v>8458.1300300079001</v>
      </c>
      <c r="CT73">
        <v>16.931686583709229</v>
      </c>
      <c r="CU73">
        <v>9468.1991376101996</v>
      </c>
    </row>
    <row r="74" spans="2:99" x14ac:dyDescent="0.2">
      <c r="C74" s="116" t="s">
        <v>240</v>
      </c>
      <c r="D74">
        <v>22.537253810343845</v>
      </c>
      <c r="E74">
        <v>9087.0207363306381</v>
      </c>
      <c r="F74">
        <v>17.471687704049721</v>
      </c>
      <c r="G74">
        <v>7044.5844822728477</v>
      </c>
      <c r="H74">
        <v>17.672994434930828</v>
      </c>
      <c r="I74">
        <v>7125.7513561641099</v>
      </c>
      <c r="J74">
        <v>19.730146630121208</v>
      </c>
      <c r="K74">
        <v>7955.195121264871</v>
      </c>
      <c r="L74">
        <v>4</v>
      </c>
      <c r="M74">
        <v>1612.8</v>
      </c>
      <c r="N74">
        <v>4.2918172253343387</v>
      </c>
      <c r="O74">
        <v>1730.4607052548054</v>
      </c>
      <c r="P74">
        <v>3</v>
      </c>
      <c r="Q74">
        <v>1209.5999999999999</v>
      </c>
      <c r="R74">
        <v>4</v>
      </c>
      <c r="S74">
        <v>1612.8</v>
      </c>
      <c r="T74">
        <v>27.363159818330246</v>
      </c>
      <c r="U74">
        <v>11032.826038750754</v>
      </c>
      <c r="V74">
        <v>21.465619948462873</v>
      </c>
      <c r="W74">
        <v>8654.9379632202308</v>
      </c>
      <c r="X74">
        <v>16.602458350963815</v>
      </c>
      <c r="Y74">
        <v>6694.11120710861</v>
      </c>
      <c r="Z74">
        <v>17.487968707590486</v>
      </c>
      <c r="AA74">
        <v>7051.148982900484</v>
      </c>
      <c r="AB74">
        <v>6</v>
      </c>
      <c r="AC74">
        <v>2419.1999999999998</v>
      </c>
      <c r="AD74">
        <v>10.76512166828611</v>
      </c>
      <c r="AE74">
        <v>4340.4970566529591</v>
      </c>
      <c r="AF74">
        <v>12.099412257161632</v>
      </c>
      <c r="AG74">
        <v>4878.4830220875701</v>
      </c>
      <c r="AH74">
        <v>9.4372356770942769</v>
      </c>
      <c r="AI74">
        <v>3805.0934250044124</v>
      </c>
      <c r="AJ74">
        <v>20.125802435527536</v>
      </c>
      <c r="AK74">
        <v>8114.7235420047027</v>
      </c>
      <c r="AL74">
        <v>17.898173414453147</v>
      </c>
      <c r="AM74">
        <v>7216.5435207075088</v>
      </c>
      <c r="AN74">
        <v>18.724912977053236</v>
      </c>
      <c r="AO74">
        <v>7549.8849123478649</v>
      </c>
      <c r="AP74">
        <v>14.193049646128573</v>
      </c>
      <c r="AQ74">
        <v>5722.6376173190401</v>
      </c>
      <c r="AR74">
        <v>7.3897620599032292</v>
      </c>
      <c r="AS74">
        <v>2979.5520625529821</v>
      </c>
      <c r="AT74">
        <v>6.5191879836915083</v>
      </c>
      <c r="AU74">
        <v>2628.5365950244159</v>
      </c>
      <c r="AV74">
        <v>5.0896352476128754</v>
      </c>
      <c r="AW74">
        <v>2052.1409318375113</v>
      </c>
      <c r="AX74">
        <v>7.831118003595539</v>
      </c>
      <c r="AY74">
        <v>3157.5067790497214</v>
      </c>
      <c r="AZ74">
        <v>15.737560567396018</v>
      </c>
      <c r="BA74">
        <v>6345.384420774074</v>
      </c>
      <c r="BB74">
        <v>18.951384452467344</v>
      </c>
      <c r="BC74">
        <v>7641.1982112348333</v>
      </c>
      <c r="BD74">
        <v>14.570315197490876</v>
      </c>
      <c r="BE74">
        <v>5874.7510876283213</v>
      </c>
      <c r="BF74">
        <v>17.136236051806307</v>
      </c>
      <c r="BG74">
        <v>6909.3303760883027</v>
      </c>
      <c r="BH74">
        <v>21.244542433648157</v>
      </c>
      <c r="BI74">
        <v>8565.7995092469373</v>
      </c>
      <c r="BJ74">
        <v>18.687796289435973</v>
      </c>
      <c r="BK74">
        <v>7534.9194639005837</v>
      </c>
      <c r="BL74">
        <v>22.284201136410811</v>
      </c>
      <c r="BM74">
        <v>8984.9898982008381</v>
      </c>
      <c r="BN74">
        <v>19.833869166615884</v>
      </c>
      <c r="BO74">
        <v>7997.016047979524</v>
      </c>
      <c r="BP74">
        <v>6.3245235791483028</v>
      </c>
      <c r="BQ74">
        <v>2550.0479071125956</v>
      </c>
      <c r="BR74">
        <v>8.1839203402286476</v>
      </c>
      <c r="BS74">
        <v>3299.7566811801908</v>
      </c>
      <c r="BT74">
        <v>4.3891025167603486</v>
      </c>
      <c r="BU74">
        <v>1769.6861347577726</v>
      </c>
      <c r="BV74">
        <v>7.1666956443714156</v>
      </c>
      <c r="BW74">
        <v>2889.6116838105545</v>
      </c>
      <c r="BX74">
        <v>3.6248425827185953</v>
      </c>
      <c r="BY74">
        <v>1461.5365293521377</v>
      </c>
      <c r="BZ74">
        <v>5.8415783397799217</v>
      </c>
      <c r="CA74">
        <v>2355.3243865992645</v>
      </c>
      <c r="CB74">
        <v>3.1584980321363032</v>
      </c>
      <c r="CC74">
        <v>1273.5064065573574</v>
      </c>
      <c r="CD74">
        <v>5.4494815912873094</v>
      </c>
      <c r="CE74">
        <v>2197.2309776070429</v>
      </c>
      <c r="CF74">
        <v>9.0332055884578182</v>
      </c>
      <c r="CG74">
        <v>3642.1884932661924</v>
      </c>
      <c r="CH74">
        <v>10.918293282852893</v>
      </c>
      <c r="CI74">
        <v>4402.2558516462868</v>
      </c>
      <c r="CJ74">
        <v>10.892261795882982</v>
      </c>
      <c r="CK74">
        <v>4391.7599561000179</v>
      </c>
      <c r="CL74">
        <v>10.703003374825446</v>
      </c>
      <c r="CM74">
        <v>4315.4509607296195</v>
      </c>
      <c r="CN74">
        <v>15.6063309269166</v>
      </c>
      <c r="CO74">
        <v>6292.4726297327734</v>
      </c>
      <c r="CP74">
        <v>19.005266106527476</v>
      </c>
      <c r="CQ74">
        <v>7662.9232941518776</v>
      </c>
      <c r="CR74">
        <v>16.533747784033594</v>
      </c>
      <c r="CS74">
        <v>6666.4071065223443</v>
      </c>
      <c r="CT74">
        <v>15.802907478128613</v>
      </c>
      <c r="CU74">
        <v>6371.7322951814567</v>
      </c>
    </row>
    <row r="75" spans="2:99" x14ac:dyDescent="0.2">
      <c r="C75" s="116" t="s">
        <v>241</v>
      </c>
      <c r="D75">
        <v>19.105607020887113</v>
      </c>
      <c r="E75">
        <v>12288.726435834589</v>
      </c>
      <c r="F75">
        <v>19.87694431832249</v>
      </c>
      <c r="G75">
        <v>12784.850585545024</v>
      </c>
      <c r="H75">
        <v>17.672994434930828</v>
      </c>
      <c r="I75">
        <v>11367.270020547508</v>
      </c>
      <c r="J75">
        <v>20.162431613699848</v>
      </c>
      <c r="K75">
        <v>12968.47601393174</v>
      </c>
      <c r="L75">
        <v>4</v>
      </c>
      <c r="M75">
        <v>2572.7999999999997</v>
      </c>
      <c r="N75">
        <v>4.2918172253343387</v>
      </c>
      <c r="O75">
        <v>2760.4968393350464</v>
      </c>
      <c r="P75">
        <v>3</v>
      </c>
      <c r="Q75">
        <v>1929.6</v>
      </c>
      <c r="R75">
        <v>4</v>
      </c>
      <c r="S75">
        <v>2572.7999999999997</v>
      </c>
      <c r="T75">
        <v>26.742702187583664</v>
      </c>
      <c r="U75">
        <v>17200.90604705381</v>
      </c>
      <c r="V75">
        <v>18.238119884820392</v>
      </c>
      <c r="W75">
        <v>11730.758709916476</v>
      </c>
      <c r="X75">
        <v>16.602458350963815</v>
      </c>
      <c r="Y75">
        <v>10678.701211339925</v>
      </c>
      <c r="Z75">
        <v>19.003688001910401</v>
      </c>
      <c r="AA75">
        <v>12223.172122828768</v>
      </c>
      <c r="AB75">
        <v>6</v>
      </c>
      <c r="AC75">
        <v>3859.2</v>
      </c>
      <c r="AD75">
        <v>10.598927062515966</v>
      </c>
      <c r="AE75">
        <v>6817.2298866102683</v>
      </c>
      <c r="AF75">
        <v>11.076054141912625</v>
      </c>
      <c r="AG75">
        <v>7124.1180240781996</v>
      </c>
      <c r="AH75">
        <v>9.340866850893363</v>
      </c>
      <c r="AI75">
        <v>6008.0455584946103</v>
      </c>
      <c r="AJ75">
        <v>19.257833312291581</v>
      </c>
      <c r="AK75">
        <v>12386.638386465944</v>
      </c>
      <c r="AL75">
        <v>15.909487479513906</v>
      </c>
      <c r="AM75">
        <v>10232.982346823343</v>
      </c>
      <c r="AN75">
        <v>20.792738887622829</v>
      </c>
      <c r="AO75">
        <v>13373.889652519001</v>
      </c>
      <c r="AP75">
        <v>13.435163286039055</v>
      </c>
      <c r="AQ75">
        <v>8641.49702558032</v>
      </c>
      <c r="AR75">
        <v>7.9196523610107041</v>
      </c>
      <c r="AS75">
        <v>5093.9203986020848</v>
      </c>
      <c r="AT75">
        <v>6.0177119849460077</v>
      </c>
      <c r="AU75">
        <v>3870.5923487172718</v>
      </c>
      <c r="AV75">
        <v>4.6280897174618749</v>
      </c>
      <c r="AW75">
        <v>2976.7873062714775</v>
      </c>
      <c r="AX75">
        <v>7.2229351937847808</v>
      </c>
      <c r="AY75">
        <v>4645.7919166423708</v>
      </c>
      <c r="AZ75">
        <v>16.421802331195842</v>
      </c>
      <c r="BA75">
        <v>10562.503259425164</v>
      </c>
      <c r="BB75">
        <v>16.678396081106186</v>
      </c>
      <c r="BC75">
        <v>10727.544359367497</v>
      </c>
      <c r="BD75">
        <v>13.589184568223416</v>
      </c>
      <c r="BE75">
        <v>8740.5635142813007</v>
      </c>
      <c r="BF75">
        <v>16.450786609734056</v>
      </c>
      <c r="BG75">
        <v>10581.145947380945</v>
      </c>
      <c r="BH75">
        <v>19.47416389751081</v>
      </c>
      <c r="BI75">
        <v>12525.782218878951</v>
      </c>
      <c r="BJ75">
        <v>15.535466562389495</v>
      </c>
      <c r="BK75">
        <v>9992.412092928922</v>
      </c>
      <c r="BL75">
        <v>22.744877879476562</v>
      </c>
      <c r="BM75">
        <v>14629.505452079324</v>
      </c>
      <c r="BN75">
        <v>21.313733987208963</v>
      </c>
      <c r="BO75">
        <v>13708.993700572802</v>
      </c>
      <c r="BP75">
        <v>6.20546329922984</v>
      </c>
      <c r="BQ75">
        <v>3991.3539940646328</v>
      </c>
      <c r="BR75">
        <v>8.3225601634165542</v>
      </c>
      <c r="BS75">
        <v>5353.0706971095269</v>
      </c>
      <c r="BT75">
        <v>3.7620878715088701</v>
      </c>
      <c r="BU75">
        <v>2419.7749189545052</v>
      </c>
      <c r="BV75">
        <v>6.7621361895869994</v>
      </c>
      <c r="BW75">
        <v>4349.4059971423576</v>
      </c>
      <c r="BX75">
        <v>3.6248425827185953</v>
      </c>
      <c r="BY75">
        <v>2331.4987492046002</v>
      </c>
      <c r="BZ75">
        <v>4.9326975055402897</v>
      </c>
      <c r="CA75">
        <v>3172.7110355635141</v>
      </c>
      <c r="CB75">
        <v>3.1584980321363032</v>
      </c>
      <c r="CC75">
        <v>2031.5459342700699</v>
      </c>
      <c r="CD75">
        <v>5.4086196284430086</v>
      </c>
      <c r="CE75">
        <v>3478.8241450145429</v>
      </c>
      <c r="CF75">
        <v>9.205406519867454</v>
      </c>
      <c r="CG75">
        <v>5920.9174735787456</v>
      </c>
      <c r="CH75">
        <v>9.9182932828528934</v>
      </c>
      <c r="CI75">
        <v>6379.4462395309802</v>
      </c>
      <c r="CJ75">
        <v>9.7138094367063861</v>
      </c>
      <c r="CK75">
        <v>6247.9222296895468</v>
      </c>
      <c r="CL75">
        <v>10.878754218531808</v>
      </c>
      <c r="CM75">
        <v>6997.2147133596582</v>
      </c>
      <c r="CN75">
        <v>14.459221771438276</v>
      </c>
      <c r="CO75">
        <v>9300.1714433890975</v>
      </c>
      <c r="CP75">
        <v>17.082520572027285</v>
      </c>
      <c r="CQ75">
        <v>10987.477231927949</v>
      </c>
      <c r="CR75">
        <v>15.46955156759276</v>
      </c>
      <c r="CS75">
        <v>9950.0155682756613</v>
      </c>
      <c r="CT75">
        <v>14.109738819757691</v>
      </c>
      <c r="CU75">
        <v>9075.3840088681463</v>
      </c>
    </row>
    <row r="76" spans="2:99" x14ac:dyDescent="0.2">
      <c r="C76" s="116" t="s">
        <v>242</v>
      </c>
      <c r="D76">
        <v>21.06064876385949</v>
      </c>
      <c r="E76">
        <v>16402.03325729377</v>
      </c>
      <c r="F76">
        <v>17.309476591779287</v>
      </c>
      <c r="G76">
        <v>13480.620369677708</v>
      </c>
      <c r="H76">
        <v>18.77755658711401</v>
      </c>
      <c r="I76">
        <v>14623.96107004439</v>
      </c>
      <c r="J76">
        <v>18.290555137355323</v>
      </c>
      <c r="K76">
        <v>14244.684340972324</v>
      </c>
      <c r="L76">
        <v>4</v>
      </c>
      <c r="M76">
        <v>3115.2</v>
      </c>
      <c r="N76">
        <v>4.2918172253343387</v>
      </c>
      <c r="O76">
        <v>3342.4672550903829</v>
      </c>
      <c r="P76">
        <v>3</v>
      </c>
      <c r="Q76">
        <v>2336.3999999999996</v>
      </c>
      <c r="R76">
        <v>5</v>
      </c>
      <c r="S76">
        <v>3894</v>
      </c>
      <c r="T76">
        <v>27.353245352493285</v>
      </c>
      <c r="U76">
        <v>21302.707480521771</v>
      </c>
      <c r="V76">
        <v>19.8503721165733</v>
      </c>
      <c r="W76">
        <v>15459.469804387285</v>
      </c>
      <c r="X76">
        <v>16.598864112988139</v>
      </c>
      <c r="Y76">
        <v>12927.195371195161</v>
      </c>
      <c r="Z76">
        <v>19.008775006266447</v>
      </c>
      <c r="AA76">
        <v>14804.033974880307</v>
      </c>
      <c r="AB76">
        <v>5</v>
      </c>
      <c r="AC76">
        <v>3894</v>
      </c>
      <c r="AD76">
        <v>11.136868382279484</v>
      </c>
      <c r="AE76">
        <v>8673.3930961192618</v>
      </c>
      <c r="AF76">
        <v>11.071382518862823</v>
      </c>
      <c r="AG76">
        <v>8622.3927056903667</v>
      </c>
      <c r="AH76">
        <v>8.6791948320864964</v>
      </c>
      <c r="AI76">
        <v>6759.3569352289633</v>
      </c>
      <c r="AJ76">
        <v>22.601520575468321</v>
      </c>
      <c r="AK76">
        <v>17602.064224174726</v>
      </c>
      <c r="AL76">
        <v>17.898173414453147</v>
      </c>
      <c r="AM76">
        <v>13939.09745517611</v>
      </c>
      <c r="AN76">
        <v>23.069473055891571</v>
      </c>
      <c r="AO76">
        <v>17966.505615928356</v>
      </c>
      <c r="AP76">
        <v>14.95093600621809</v>
      </c>
      <c r="AQ76">
        <v>11643.788961642647</v>
      </c>
      <c r="AR76">
        <v>7.3897620599032292</v>
      </c>
      <c r="AS76">
        <v>5755.1466922526342</v>
      </c>
      <c r="AT76">
        <v>6.0177119849460077</v>
      </c>
      <c r="AU76">
        <v>4686.5940938759504</v>
      </c>
      <c r="AV76">
        <v>4.6091225196177597</v>
      </c>
      <c r="AW76">
        <v>3589.5846182783112</v>
      </c>
      <c r="AX76">
        <v>7.831118003595539</v>
      </c>
      <c r="AY76">
        <v>6098.874701200205</v>
      </c>
      <c r="AZ76">
        <v>15.737560567396018</v>
      </c>
      <c r="BA76">
        <v>12256.412169888019</v>
      </c>
      <c r="BB76">
        <v>15.395442536405712</v>
      </c>
      <c r="BC76">
        <v>11989.970647352768</v>
      </c>
      <c r="BD76">
        <v>13.589184568223416</v>
      </c>
      <c r="BE76">
        <v>10583.256941732396</v>
      </c>
      <c r="BF76">
        <v>15.765337167661803</v>
      </c>
      <c r="BG76">
        <v>12278.044586175012</v>
      </c>
      <c r="BH76">
        <v>20.755080541029947</v>
      </c>
      <c r="BI76">
        <v>16164.056725354123</v>
      </c>
      <c r="BJ76">
        <v>16.661637162352619</v>
      </c>
      <c r="BK76">
        <v>12976.083022040219</v>
      </c>
      <c r="BL76">
        <v>22.205151859870742</v>
      </c>
      <c r="BM76">
        <v>17293.372268467334</v>
      </c>
      <c r="BN76">
        <v>20.820445713677938</v>
      </c>
      <c r="BO76">
        <v>16214.963121812376</v>
      </c>
      <c r="BP76">
        <v>6.20546329922984</v>
      </c>
      <c r="BQ76">
        <v>4832.8148174401995</v>
      </c>
      <c r="BR76">
        <v>7.0400011597469572</v>
      </c>
      <c r="BS76">
        <v>5482.7529032109296</v>
      </c>
      <c r="BT76">
        <v>4.3891025167603486</v>
      </c>
      <c r="BU76">
        <v>3418.233040052959</v>
      </c>
      <c r="BV76">
        <v>6.7621361895869994</v>
      </c>
      <c r="BW76">
        <v>5266.3516644503552</v>
      </c>
      <c r="BX76">
        <v>3.6248425827185953</v>
      </c>
      <c r="BY76">
        <v>2823.0274034212416</v>
      </c>
      <c r="BZ76">
        <v>4.9003397276784453</v>
      </c>
      <c r="CA76">
        <v>3816.3845799159731</v>
      </c>
      <c r="CB76">
        <v>3.1584980321363032</v>
      </c>
      <c r="CC76">
        <v>2459.8382674277527</v>
      </c>
      <c r="CD76">
        <v>5.4494815912873094</v>
      </c>
      <c r="CE76">
        <v>4244.0562632945566</v>
      </c>
      <c r="CF76">
        <v>9.0332055884578182</v>
      </c>
      <c r="CG76">
        <v>7035.0605122909483</v>
      </c>
      <c r="CH76">
        <v>10.918293282852893</v>
      </c>
      <c r="CI76">
        <v>8503.1668086858335</v>
      </c>
      <c r="CJ76">
        <v>10.892261795882982</v>
      </c>
      <c r="CK76">
        <v>8482.8934866336658</v>
      </c>
      <c r="CL76">
        <v>10.703003374825446</v>
      </c>
      <c r="CM76">
        <v>8335.4990283140578</v>
      </c>
      <c r="CN76">
        <v>15.032776349177439</v>
      </c>
      <c r="CO76">
        <v>11707.526220739388</v>
      </c>
      <c r="CP76">
        <v>17.622860142994778</v>
      </c>
      <c r="CQ76">
        <v>13724.683479364332</v>
      </c>
      <c r="CR76">
        <v>14.561114140697983</v>
      </c>
      <c r="CS76">
        <v>11340.195692775589</v>
      </c>
      <c r="CT76">
        <v>15.802907478128613</v>
      </c>
      <c r="CU76">
        <v>12307.304343966563</v>
      </c>
    </row>
    <row r="77" spans="2:99" x14ac:dyDescent="0.2">
      <c r="C77" s="116" t="s">
        <v>243</v>
      </c>
      <c r="D77">
        <v>21.815764430927352</v>
      </c>
      <c r="E77">
        <v>6073.508817570174</v>
      </c>
      <c r="F77">
        <v>20.799628219106808</v>
      </c>
      <c r="G77">
        <v>5790.6164961993345</v>
      </c>
      <c r="H77">
        <v>20.434399815388772</v>
      </c>
      <c r="I77">
        <v>5688.9369086042334</v>
      </c>
      <c r="J77">
        <v>20.091063342684862</v>
      </c>
      <c r="K77">
        <v>5593.3520346034647</v>
      </c>
      <c r="L77">
        <v>3</v>
      </c>
      <c r="M77">
        <v>835.19999999999993</v>
      </c>
      <c r="N77">
        <v>5.2918172253343387</v>
      </c>
      <c r="O77">
        <v>1473.2419155330797</v>
      </c>
      <c r="P77">
        <v>3</v>
      </c>
      <c r="Q77">
        <v>835.19999999999993</v>
      </c>
      <c r="R77">
        <v>5</v>
      </c>
      <c r="S77">
        <v>1392</v>
      </c>
      <c r="T77">
        <v>28.549545517720126</v>
      </c>
      <c r="U77">
        <v>7948.1934721332827</v>
      </c>
      <c r="V77">
        <v>21.462624348326209</v>
      </c>
      <c r="W77">
        <v>5975.1946185740162</v>
      </c>
      <c r="X77">
        <v>18.162842229393821</v>
      </c>
      <c r="Y77">
        <v>5056.5352766632395</v>
      </c>
      <c r="Z77">
        <v>17.927398690982674</v>
      </c>
      <c r="AA77">
        <v>4990.9877955695756</v>
      </c>
      <c r="AB77">
        <v>5</v>
      </c>
      <c r="AC77">
        <v>1392</v>
      </c>
      <c r="AD77">
        <v>10.747103435735449</v>
      </c>
      <c r="AE77">
        <v>2991.9935965087489</v>
      </c>
      <c r="AF77">
        <v>11.83215885366017</v>
      </c>
      <c r="AG77">
        <v>3294.0730248589912</v>
      </c>
      <c r="AH77">
        <v>10.677120653106634</v>
      </c>
      <c r="AI77">
        <v>2972.5103898248867</v>
      </c>
      <c r="AJ77">
        <v>22.729709805235409</v>
      </c>
      <c r="AK77">
        <v>6327.9512097775369</v>
      </c>
      <c r="AL77">
        <v>17.898173414453147</v>
      </c>
      <c r="AM77">
        <v>4982.851478583756</v>
      </c>
      <c r="AN77">
        <v>19.445101937709129</v>
      </c>
      <c r="AO77">
        <v>5413.5163794582213</v>
      </c>
      <c r="AP77">
        <v>14.514570162051898</v>
      </c>
      <c r="AQ77">
        <v>4040.8563331152482</v>
      </c>
      <c r="AR77">
        <v>7.9196523610107041</v>
      </c>
      <c r="AS77">
        <v>2204.8312173053801</v>
      </c>
      <c r="AT77">
        <v>6.5191879836915083</v>
      </c>
      <c r="AU77">
        <v>1814.9419346597158</v>
      </c>
      <c r="AV77">
        <v>5.0896352476128754</v>
      </c>
      <c r="AW77">
        <v>1416.9544529354243</v>
      </c>
      <c r="AX77">
        <v>7.8355848161163744</v>
      </c>
      <c r="AY77">
        <v>2181.4268128067984</v>
      </c>
      <c r="AZ77">
        <v>15.737560567396018</v>
      </c>
      <c r="BA77">
        <v>4381.336861963051</v>
      </c>
      <c r="BB77">
        <v>18.6028263981569</v>
      </c>
      <c r="BC77">
        <v>5179.0268692468808</v>
      </c>
      <c r="BD77">
        <v>14.236288595281673</v>
      </c>
      <c r="BE77">
        <v>3963.3827449264172</v>
      </c>
      <c r="BF77">
        <v>16.450786609734056</v>
      </c>
      <c r="BG77">
        <v>4579.8989921499606</v>
      </c>
      <c r="BH77">
        <v>20.390598004635397</v>
      </c>
      <c r="BI77">
        <v>5676.7424844904936</v>
      </c>
      <c r="BJ77">
        <v>17.465367624576086</v>
      </c>
      <c r="BK77">
        <v>4862.3583466819819</v>
      </c>
      <c r="BL77">
        <v>23.666231365608063</v>
      </c>
      <c r="BM77">
        <v>6588.6788121852842</v>
      </c>
      <c r="BN77">
        <v>21.388187299572191</v>
      </c>
      <c r="BO77">
        <v>5954.4713442008979</v>
      </c>
      <c r="BP77">
        <v>6.3301613284959313</v>
      </c>
      <c r="BQ77">
        <v>1762.3169138532671</v>
      </c>
      <c r="BR77">
        <v>8.3225601634165542</v>
      </c>
      <c r="BS77">
        <v>2317.0007494951683</v>
      </c>
      <c r="BT77">
        <v>4.3891025167603486</v>
      </c>
      <c r="BU77">
        <v>1221.926140666081</v>
      </c>
      <c r="BV77">
        <v>7.457510240297677</v>
      </c>
      <c r="BW77">
        <v>2076.1708508988731</v>
      </c>
      <c r="BX77">
        <v>3.6248425827185953</v>
      </c>
      <c r="BY77">
        <v>1009.1561750288569</v>
      </c>
      <c r="BZ77">
        <v>5.8739361176417662</v>
      </c>
      <c r="CA77">
        <v>1635.3038151514675</v>
      </c>
      <c r="CB77">
        <v>3.1584980321363032</v>
      </c>
      <c r="CC77">
        <v>879.32585214674668</v>
      </c>
      <c r="CD77">
        <v>5.4494815912873094</v>
      </c>
      <c r="CE77">
        <v>1517.1356750143868</v>
      </c>
      <c r="CF77">
        <v>10.033205588457818</v>
      </c>
      <c r="CG77">
        <v>2793.2444358266562</v>
      </c>
      <c r="CH77">
        <v>10.918293282852893</v>
      </c>
      <c r="CI77">
        <v>3039.6528499462452</v>
      </c>
      <c r="CJ77">
        <v>11.892261795882982</v>
      </c>
      <c r="CK77">
        <v>3310.8056839738219</v>
      </c>
      <c r="CL77">
        <v>10.878754218531808</v>
      </c>
      <c r="CM77">
        <v>3028.6451744392552</v>
      </c>
      <c r="CN77">
        <v>16.179885504655761</v>
      </c>
      <c r="CO77">
        <v>4504.4801244961636</v>
      </c>
      <c r="CP77">
        <v>18.89288150161352</v>
      </c>
      <c r="CQ77">
        <v>5259.7782100492032</v>
      </c>
      <c r="CR77">
        <v>16.832207707934927</v>
      </c>
      <c r="CS77">
        <v>4686.0866258890837</v>
      </c>
      <c r="CT77">
        <v>15.238517925338305</v>
      </c>
      <c r="CU77">
        <v>4242.4033904141843</v>
      </c>
    </row>
    <row r="78" spans="2:99" x14ac:dyDescent="0.2">
      <c r="C78" s="116" t="s">
        <v>244</v>
      </c>
      <c r="D78">
        <v>22.19332226446128</v>
      </c>
      <c r="E78">
        <v>12250.713889982626</v>
      </c>
      <c r="F78">
        <v>20.292936882704627</v>
      </c>
      <c r="G78">
        <v>11201.701159252954</v>
      </c>
      <c r="H78">
        <v>19.329837663205598</v>
      </c>
      <c r="I78">
        <v>10670.07039008949</v>
      </c>
      <c r="J78">
        <v>19.587410088091236</v>
      </c>
      <c r="K78">
        <v>10812.250368626363</v>
      </c>
      <c r="L78">
        <v>3</v>
      </c>
      <c r="M78">
        <v>1656</v>
      </c>
      <c r="N78">
        <v>5.2878968079742767</v>
      </c>
      <c r="O78">
        <v>2918.9190380018008</v>
      </c>
      <c r="P78">
        <v>3</v>
      </c>
      <c r="Q78">
        <v>1656</v>
      </c>
      <c r="R78">
        <v>5</v>
      </c>
      <c r="S78">
        <v>2760</v>
      </c>
      <c r="T78">
        <v>29.740888450028489</v>
      </c>
      <c r="U78">
        <v>16416.970424415726</v>
      </c>
      <c r="V78">
        <v>19.85935891698329</v>
      </c>
      <c r="W78">
        <v>10962.366122174775</v>
      </c>
      <c r="X78">
        <v>16.083528470812372</v>
      </c>
      <c r="Y78">
        <v>8878.1077158884291</v>
      </c>
      <c r="Z78">
        <v>16.778527584897127</v>
      </c>
      <c r="AA78">
        <v>9261.7472268632137</v>
      </c>
      <c r="AB78">
        <v>6</v>
      </c>
      <c r="AC78">
        <v>3312</v>
      </c>
      <c r="AD78">
        <v>11.518914243718108</v>
      </c>
      <c r="AE78">
        <v>6358.4406625323954</v>
      </c>
      <c r="AF78">
        <v>12.080725764962425</v>
      </c>
      <c r="AG78">
        <v>6668.5606222592587</v>
      </c>
      <c r="AH78">
        <v>9.5336045032951926</v>
      </c>
      <c r="AI78">
        <v>5262.5496858189463</v>
      </c>
      <c r="AJ78">
        <v>21.484248421194536</v>
      </c>
      <c r="AK78">
        <v>11859.305128499383</v>
      </c>
      <c r="AL78">
        <v>17.898173414453147</v>
      </c>
      <c r="AM78">
        <v>9879.791724778137</v>
      </c>
      <c r="AN78">
        <v>17.284535055741447</v>
      </c>
      <c r="AO78">
        <v>9541.0633507692783</v>
      </c>
      <c r="AP78">
        <v>15.111696264179752</v>
      </c>
      <c r="AQ78">
        <v>8341.656337827224</v>
      </c>
      <c r="AR78">
        <v>7.9236074218721599</v>
      </c>
      <c r="AS78">
        <v>4373.8312968734326</v>
      </c>
      <c r="AT78">
        <v>5.5162359862005061</v>
      </c>
      <c r="AU78">
        <v>3044.9622643826792</v>
      </c>
      <c r="AV78">
        <v>5.0706680497687602</v>
      </c>
      <c r="AW78">
        <v>2799.0087634723554</v>
      </c>
      <c r="AX78">
        <v>7.7376535851129322</v>
      </c>
      <c r="AY78">
        <v>4271.1847789823387</v>
      </c>
      <c r="AZ78">
        <v>15.737560567396018</v>
      </c>
      <c r="BA78">
        <v>8687.1334332026017</v>
      </c>
      <c r="BB78">
        <v>17.961349625806662</v>
      </c>
      <c r="BC78">
        <v>9914.664993445278</v>
      </c>
      <c r="BD78">
        <v>14.544620843474783</v>
      </c>
      <c r="BE78">
        <v>8028.6307055980806</v>
      </c>
      <c r="BF78">
        <v>17.136236051806307</v>
      </c>
      <c r="BG78">
        <v>9459.2023005970823</v>
      </c>
      <c r="BH78">
        <v>20.817570219141775</v>
      </c>
      <c r="BI78">
        <v>11491.29876096626</v>
      </c>
      <c r="BJ78">
        <v>15.02051029485631</v>
      </c>
      <c r="BK78">
        <v>8291.321682760683</v>
      </c>
      <c r="BL78">
        <v>21.283798373739245</v>
      </c>
      <c r="BM78">
        <v>11748.656702304062</v>
      </c>
      <c r="BN78">
        <v>21.88147557310322</v>
      </c>
      <c r="BO78">
        <v>12078.574516352977</v>
      </c>
      <c r="BP78">
        <v>7.0548541679141552</v>
      </c>
      <c r="BQ78">
        <v>3894.2795006886136</v>
      </c>
      <c r="BR78">
        <v>8.1839203402286476</v>
      </c>
      <c r="BS78">
        <v>4517.5240278062138</v>
      </c>
      <c r="BT78">
        <v>4.3891025167603486</v>
      </c>
      <c r="BU78">
        <v>2422.7845892517125</v>
      </c>
      <c r="BV78">
        <v>7.1407050178541498</v>
      </c>
      <c r="BW78">
        <v>3941.6691698554905</v>
      </c>
      <c r="BX78">
        <v>3.6248425827185953</v>
      </c>
      <c r="BY78">
        <v>2000.9131056606645</v>
      </c>
      <c r="BZ78">
        <v>4.9326975055402897</v>
      </c>
      <c r="CA78">
        <v>2722.8490230582402</v>
      </c>
      <c r="CB78">
        <v>3.1584980321363032</v>
      </c>
      <c r="CC78">
        <v>1743.4909137392394</v>
      </c>
      <c r="CD78">
        <v>5.4494815912873094</v>
      </c>
      <c r="CE78">
        <v>3008.1138383905945</v>
      </c>
      <c r="CF78">
        <v>9.205406519867454</v>
      </c>
      <c r="CG78">
        <v>5081.3843989668349</v>
      </c>
      <c r="CH78">
        <v>11.918293282852893</v>
      </c>
      <c r="CI78">
        <v>6578.8978921347971</v>
      </c>
      <c r="CJ78">
        <v>9.8922617958829822</v>
      </c>
      <c r="CK78">
        <v>5460.5285113274058</v>
      </c>
      <c r="CL78">
        <v>8.7030033748254461</v>
      </c>
      <c r="CM78">
        <v>4804.0578629036463</v>
      </c>
      <c r="CN78">
        <v>15.6063309269166</v>
      </c>
      <c r="CO78">
        <v>8614.6946716579641</v>
      </c>
      <c r="CP78">
        <v>16.701256167306315</v>
      </c>
      <c r="CQ78">
        <v>9219.093404353087</v>
      </c>
      <c r="CR78">
        <v>15.015332854145372</v>
      </c>
      <c r="CS78">
        <v>8288.4637354882452</v>
      </c>
      <c r="CT78">
        <v>15.802907478128613</v>
      </c>
      <c r="CU78">
        <v>8723.2049279269941</v>
      </c>
    </row>
    <row r="79" spans="2:99" x14ac:dyDescent="0.2">
      <c r="C79" s="116" t="s">
        <v>245</v>
      </c>
      <c r="D79">
        <v>18.69442289970182</v>
      </c>
      <c r="E79">
        <v>14155.417019654216</v>
      </c>
      <c r="F79">
        <v>17.471687704049721</v>
      </c>
      <c r="G79">
        <v>13229.561929506448</v>
      </c>
      <c r="H79">
        <v>18.77755658711401</v>
      </c>
      <c r="I79">
        <v>14218.365847762727</v>
      </c>
      <c r="J79">
        <v>19.226493375527586</v>
      </c>
      <c r="K79">
        <v>14558.300783949486</v>
      </c>
      <c r="L79">
        <v>4</v>
      </c>
      <c r="M79">
        <v>3028.7999999999997</v>
      </c>
      <c r="N79">
        <v>4.2957376426943998</v>
      </c>
      <c r="O79">
        <v>3252.7325430481992</v>
      </c>
      <c r="P79">
        <v>3</v>
      </c>
      <c r="Q79">
        <v>2271.6</v>
      </c>
      <c r="R79">
        <v>4</v>
      </c>
      <c r="S79">
        <v>3028.7999999999997</v>
      </c>
      <c r="T79">
        <v>26.752616653420624</v>
      </c>
      <c r="U79">
        <v>20257.081329970093</v>
      </c>
      <c r="V79">
        <v>18.96884264516099</v>
      </c>
      <c r="W79">
        <v>14363.2076509159</v>
      </c>
      <c r="X79">
        <v>14.508767640479659</v>
      </c>
      <c r="Y79">
        <v>10986.038857371197</v>
      </c>
      <c r="Z79">
        <v>19.38071019885686</v>
      </c>
      <c r="AA79">
        <v>14675.073762574413</v>
      </c>
      <c r="AB79">
        <v>5</v>
      </c>
      <c r="AC79">
        <v>3785.9999999999995</v>
      </c>
      <c r="AD79">
        <v>10.593246766314163</v>
      </c>
      <c r="AE79">
        <v>8021.2064514530839</v>
      </c>
      <c r="AF79">
        <v>10.818143984510765</v>
      </c>
      <c r="AG79">
        <v>8191.498625071551</v>
      </c>
      <c r="AH79">
        <v>8.2937195272828355</v>
      </c>
      <c r="AI79">
        <v>6280.0044260585628</v>
      </c>
      <c r="AJ79">
        <v>19.537217553582291</v>
      </c>
      <c r="AK79">
        <v>14793.58113157251</v>
      </c>
      <c r="AL79">
        <v>15.909487479513906</v>
      </c>
      <c r="AM79">
        <v>12046.663919487928</v>
      </c>
      <c r="AN79">
        <v>18.724912977053236</v>
      </c>
      <c r="AO79">
        <v>14178.504106224709</v>
      </c>
      <c r="AP79">
        <v>15.111696264179752</v>
      </c>
      <c r="AQ79">
        <v>11442.576411236907</v>
      </c>
      <c r="AR79">
        <v>7.9236074218721599</v>
      </c>
      <c r="AS79">
        <v>5999.7555398415989</v>
      </c>
      <c r="AT79">
        <v>6.0177119849460077</v>
      </c>
      <c r="AU79">
        <v>4556.6115150011165</v>
      </c>
      <c r="AV79">
        <v>4.1096425937785304</v>
      </c>
      <c r="AW79">
        <v>3111.821372009103</v>
      </c>
      <c r="AX79">
        <v>7.3119327997465522</v>
      </c>
      <c r="AY79">
        <v>5536.5955159680889</v>
      </c>
      <c r="AZ79">
        <v>16.421802331195842</v>
      </c>
      <c r="BA79">
        <v>12434.588725181491</v>
      </c>
      <c r="BB79">
        <v>17.961349625806662</v>
      </c>
      <c r="BC79">
        <v>13600.333936660803</v>
      </c>
      <c r="BD79">
        <v>13.589184568223416</v>
      </c>
      <c r="BE79">
        <v>10289.73055505877</v>
      </c>
      <c r="BF79">
        <v>16.450786609734056</v>
      </c>
      <c r="BG79">
        <v>12456.535620890627</v>
      </c>
      <c r="BH79">
        <v>19.047191683004428</v>
      </c>
      <c r="BI79">
        <v>14422.533542370951</v>
      </c>
      <c r="BJ79">
        <v>14.827994165062789</v>
      </c>
      <c r="BK79">
        <v>11227.757181785542</v>
      </c>
      <c r="BL79">
        <v>21.36284765027931</v>
      </c>
      <c r="BM79">
        <v>16175.948240791491</v>
      </c>
      <c r="BN79">
        <v>19.340580893084855</v>
      </c>
      <c r="BO79">
        <v>14644.687852243851</v>
      </c>
      <c r="BP79">
        <v>6.20546329922984</v>
      </c>
      <c r="BQ79">
        <v>4698.7768101768343</v>
      </c>
      <c r="BR79">
        <v>6.7928312940276356</v>
      </c>
      <c r="BS79">
        <v>5143.5318558377248</v>
      </c>
      <c r="BT79">
        <v>4.3891025167603486</v>
      </c>
      <c r="BU79">
        <v>3323.4284256909355</v>
      </c>
      <c r="BV79">
        <v>6.7668313023778035</v>
      </c>
      <c r="BW79">
        <v>5123.8446621604726</v>
      </c>
      <c r="BX79">
        <v>3.6248425827185953</v>
      </c>
      <c r="BY79">
        <v>2744.7308036345203</v>
      </c>
      <c r="BZ79">
        <v>4.9003397276784453</v>
      </c>
      <c r="CA79">
        <v>3710.5372417981184</v>
      </c>
      <c r="CB79">
        <v>3.1584980321363032</v>
      </c>
      <c r="CC79">
        <v>2391.6147099336085</v>
      </c>
      <c r="CD79">
        <v>5.4494815912873094</v>
      </c>
      <c r="CE79">
        <v>4126.3474609227505</v>
      </c>
      <c r="CF79">
        <v>10.033205588457818</v>
      </c>
      <c r="CG79">
        <v>7597.1432715802594</v>
      </c>
      <c r="CH79">
        <v>9.9182932828528934</v>
      </c>
      <c r="CI79">
        <v>7510.1316737762099</v>
      </c>
      <c r="CJ79">
        <v>10.892261795882982</v>
      </c>
      <c r="CK79">
        <v>8247.6206318425939</v>
      </c>
      <c r="CL79">
        <v>9.8787542185318085</v>
      </c>
      <c r="CM79">
        <v>7480.1926942722848</v>
      </c>
      <c r="CN79">
        <v>14.459221771438276</v>
      </c>
      <c r="CO79">
        <v>10948.522725333061</v>
      </c>
      <c r="CP79">
        <v>19.084803689650737</v>
      </c>
      <c r="CQ79">
        <v>14451.013353803537</v>
      </c>
      <c r="CR79">
        <v>14.561114140697983</v>
      </c>
      <c r="CS79">
        <v>11025.675627336512</v>
      </c>
      <c r="CT79">
        <v>14.674128372547996</v>
      </c>
      <c r="CU79">
        <v>11111.250003693342</v>
      </c>
    </row>
    <row r="80" spans="2:99" x14ac:dyDescent="0.2">
      <c r="C80" s="116" t="s">
        <v>246</v>
      </c>
      <c r="D80">
        <v>21.438206597393421</v>
      </c>
      <c r="E80">
        <v>17262.043952221182</v>
      </c>
      <c r="F80">
        <v>20.149912202203854</v>
      </c>
      <c r="G80">
        <v>16224.709305214543</v>
      </c>
      <c r="H80">
        <v>18.77755658711401</v>
      </c>
      <c r="I80">
        <v>15119.688563944199</v>
      </c>
      <c r="J80">
        <v>20.812896767812163</v>
      </c>
      <c r="K80">
        <v>16758.544477442352</v>
      </c>
      <c r="L80">
        <v>4</v>
      </c>
      <c r="M80">
        <v>3220.7999999999997</v>
      </c>
      <c r="N80">
        <v>4.2918172253343387</v>
      </c>
      <c r="O80">
        <v>3455.7712298392094</v>
      </c>
      <c r="P80">
        <v>3</v>
      </c>
      <c r="Q80">
        <v>2415.6</v>
      </c>
      <c r="R80">
        <v>5</v>
      </c>
      <c r="S80">
        <v>4025.9999999999995</v>
      </c>
      <c r="T80">
        <v>24.9606450220396</v>
      </c>
      <c r="U80">
        <v>20098.311371746284</v>
      </c>
      <c r="V80">
        <v>18.644178542895279</v>
      </c>
      <c r="W80">
        <v>15012.292562739278</v>
      </c>
      <c r="X80">
        <v>15.557410114709576</v>
      </c>
      <c r="Y80">
        <v>12526.82662436415</v>
      </c>
      <c r="Z80">
        <v>15.964618906736501</v>
      </c>
      <c r="AA80">
        <v>12854.711143704229</v>
      </c>
      <c r="AB80">
        <v>5</v>
      </c>
      <c r="AC80">
        <v>4025.9999999999995</v>
      </c>
      <c r="AD80">
        <v>11.496193058910899</v>
      </c>
      <c r="AE80">
        <v>9256.7346510350544</v>
      </c>
      <c r="AF80">
        <v>10.799457492311561</v>
      </c>
      <c r="AG80">
        <v>8695.7231728092684</v>
      </c>
      <c r="AH80">
        <v>9.1481291984915316</v>
      </c>
      <c r="AI80">
        <v>7366.0736306253802</v>
      </c>
      <c r="AJ80">
        <v>19.503598629081239</v>
      </c>
      <c r="AK80">
        <v>15704.297616136213</v>
      </c>
      <c r="AL80">
        <v>17.898173414453147</v>
      </c>
      <c r="AM80">
        <v>14411.609233317673</v>
      </c>
      <c r="AN80">
        <v>16.564346095085554</v>
      </c>
      <c r="AO80">
        <v>13337.611475762887</v>
      </c>
      <c r="AP80">
        <v>13.435163286039055</v>
      </c>
      <c r="AQ80">
        <v>10817.993477918646</v>
      </c>
      <c r="AR80">
        <v>7.9236074218721599</v>
      </c>
      <c r="AS80">
        <v>6380.0886960914622</v>
      </c>
      <c r="AT80">
        <v>5.5162359862005061</v>
      </c>
      <c r="AU80">
        <v>4441.6732160886468</v>
      </c>
      <c r="AV80">
        <v>4.6091225196177597</v>
      </c>
      <c r="AW80">
        <v>3711.26545279622</v>
      </c>
      <c r="AX80">
        <v>7.2184683812639445</v>
      </c>
      <c r="AY80">
        <v>5812.310740593728</v>
      </c>
      <c r="AZ80">
        <v>14.369077039796363</v>
      </c>
      <c r="BA80">
        <v>11569.980832444031</v>
      </c>
      <c r="BB80">
        <v>17.961349625806662</v>
      </c>
      <c r="BC80">
        <v>14462.478718699524</v>
      </c>
      <c r="BD80">
        <v>13.897516816416525</v>
      </c>
      <c r="BE80">
        <v>11190.280540578586</v>
      </c>
      <c r="BF80">
        <v>14.394438283517298</v>
      </c>
      <c r="BG80">
        <v>11590.401705888127</v>
      </c>
      <c r="BH80">
        <v>18.193247253991668</v>
      </c>
      <c r="BI80">
        <v>14649.202688914091</v>
      </c>
      <c r="BJ80">
        <v>14.924252229959549</v>
      </c>
      <c r="BK80">
        <v>12017.007895563427</v>
      </c>
      <c r="BL80">
        <v>21.283798373739245</v>
      </c>
      <c r="BM80">
        <v>17137.714450534837</v>
      </c>
      <c r="BN80">
        <v>18.428457658386034</v>
      </c>
      <c r="BO80">
        <v>14838.594106532433</v>
      </c>
      <c r="BP80">
        <v>5.4751327104639866</v>
      </c>
      <c r="BQ80">
        <v>4408.5768584656016</v>
      </c>
      <c r="BR80">
        <v>6.6606192373289188</v>
      </c>
      <c r="BS80">
        <v>5363.1306098972445</v>
      </c>
      <c r="BT80">
        <v>4.3891025167603486</v>
      </c>
      <c r="BU80">
        <v>3534.1053464954325</v>
      </c>
      <c r="BV80">
        <v>7.457510240297677</v>
      </c>
      <c r="BW80">
        <v>6004.7872454876888</v>
      </c>
      <c r="BX80">
        <v>3.6248425827185953</v>
      </c>
      <c r="BY80">
        <v>2918.7232476050126</v>
      </c>
      <c r="BZ80">
        <v>4.9326975055402897</v>
      </c>
      <c r="CA80">
        <v>3971.8080314610411</v>
      </c>
      <c r="CB80">
        <v>3.1584980321363032</v>
      </c>
      <c r="CC80">
        <v>2543.2226154761511</v>
      </c>
      <c r="CD80">
        <v>5.4494815912873094</v>
      </c>
      <c r="CE80">
        <v>4387.9225773045409</v>
      </c>
      <c r="CF80">
        <v>9.0332055884578182</v>
      </c>
      <c r="CG80">
        <v>7273.537139826235</v>
      </c>
      <c r="CH80">
        <v>9.9182932828528934</v>
      </c>
      <c r="CI80">
        <v>7986.2097513531489</v>
      </c>
      <c r="CJ80">
        <v>9.7138094367063861</v>
      </c>
      <c r="CK80">
        <v>7821.5593584359813</v>
      </c>
      <c r="CL80">
        <v>9.7030033748254461</v>
      </c>
      <c r="CM80">
        <v>7812.8583174094483</v>
      </c>
      <c r="CN80">
        <v>15.6063309269166</v>
      </c>
      <c r="CO80">
        <v>12566.217662353245</v>
      </c>
      <c r="CP80">
        <v>17.049673550236591</v>
      </c>
      <c r="CQ80">
        <v>13728.397142650501</v>
      </c>
      <c r="CR80">
        <v>14.561114140697983</v>
      </c>
      <c r="CS80">
        <v>11724.609106090014</v>
      </c>
      <c r="CT80">
        <v>15.238517925338305</v>
      </c>
      <c r="CU80">
        <v>12270.054633482403</v>
      </c>
    </row>
    <row r="81" spans="2:99" x14ac:dyDescent="0.2">
      <c r="C81" s="116" t="s">
        <v>247</v>
      </c>
      <c r="D81">
        <v>19.105607020887113</v>
      </c>
      <c r="E81">
        <v>14397.985450940529</v>
      </c>
      <c r="F81">
        <v>17.471687704049721</v>
      </c>
      <c r="G81">
        <v>13166.66385377187</v>
      </c>
      <c r="H81">
        <v>17.672994434930828</v>
      </c>
      <c r="I81">
        <v>13318.368606163873</v>
      </c>
      <c r="J81">
        <v>19.587410088091236</v>
      </c>
      <c r="K81">
        <v>14761.072242385555</v>
      </c>
      <c r="L81">
        <v>4</v>
      </c>
      <c r="M81">
        <v>3014.4</v>
      </c>
      <c r="N81">
        <v>4.2918172253343387</v>
      </c>
      <c r="O81">
        <v>3234.3134610119578</v>
      </c>
      <c r="P81">
        <v>3</v>
      </c>
      <c r="Q81">
        <v>2260.8000000000002</v>
      </c>
      <c r="R81">
        <v>4</v>
      </c>
      <c r="S81">
        <v>3014.4</v>
      </c>
      <c r="T81">
        <v>24.970559487876557</v>
      </c>
      <c r="U81">
        <v>18817.813630063774</v>
      </c>
      <c r="V81">
        <v>17.762649071482969</v>
      </c>
      <c r="W81">
        <v>13385.932340269566</v>
      </c>
      <c r="X81">
        <v>16.079934232836695</v>
      </c>
      <c r="Y81">
        <v>12117.838437865734</v>
      </c>
      <c r="Z81">
        <v>18.678899582697575</v>
      </c>
      <c r="AA81">
        <v>14076.418725520893</v>
      </c>
      <c r="AB81">
        <v>6</v>
      </c>
      <c r="AC81">
        <v>4521.6000000000004</v>
      </c>
      <c r="AD81">
        <v>11.598927062515966</v>
      </c>
      <c r="AE81">
        <v>8740.9514343120318</v>
      </c>
      <c r="AF81">
        <v>11.947099063211695</v>
      </c>
      <c r="AG81">
        <v>9003.3338540363329</v>
      </c>
      <c r="AH81">
        <v>10.00253886970023</v>
      </c>
      <c r="AI81">
        <v>7537.9132922060935</v>
      </c>
      <c r="AJ81">
        <v>20.990233844515323</v>
      </c>
      <c r="AK81">
        <v>15818.240225226747</v>
      </c>
      <c r="AL81">
        <v>15.909487479513906</v>
      </c>
      <c r="AM81">
        <v>11989.38976456168</v>
      </c>
      <c r="AN81">
        <v>18.00472401639734</v>
      </c>
      <c r="AO81">
        <v>13568.360018757036</v>
      </c>
      <c r="AP81">
        <v>13.595923544000717</v>
      </c>
      <c r="AQ81">
        <v>10245.887982758941</v>
      </c>
      <c r="AR81">
        <v>8.0140590717768543</v>
      </c>
      <c r="AS81">
        <v>6039.3949164910373</v>
      </c>
      <c r="AT81">
        <v>5.5162359862005061</v>
      </c>
      <c r="AU81">
        <v>4157.0354392007011</v>
      </c>
      <c r="AV81">
        <v>5.0896352476128754</v>
      </c>
      <c r="AW81">
        <v>3835.5491226010631</v>
      </c>
      <c r="AX81">
        <v>6.6948163648941215</v>
      </c>
      <c r="AY81">
        <v>5045.2136125842098</v>
      </c>
      <c r="AZ81">
        <v>15.05331880359619</v>
      </c>
      <c r="BA81">
        <v>11344.181050390089</v>
      </c>
      <c r="BB81">
        <v>18.101731598423434</v>
      </c>
      <c r="BC81">
        <v>13641.4649325719</v>
      </c>
      <c r="BD81">
        <v>14.570315197490876</v>
      </c>
      <c r="BE81">
        <v>10980.189532829125</v>
      </c>
      <c r="BF81">
        <v>15.765337167661803</v>
      </c>
      <c r="BG81">
        <v>11880.758089549936</v>
      </c>
      <c r="BH81">
        <v>19.47416389751081</v>
      </c>
      <c r="BI81">
        <v>14675.729913164147</v>
      </c>
      <c r="BJ81">
        <v>15.535466562389495</v>
      </c>
      <c r="BK81">
        <v>11707.527601416723</v>
      </c>
      <c r="BL81">
        <v>21.744475116804992</v>
      </c>
      <c r="BM81">
        <v>16386.636448024241</v>
      </c>
      <c r="BN81">
        <v>18.921745931917059</v>
      </c>
      <c r="BO81">
        <v>14259.427734292696</v>
      </c>
      <c r="BP81">
        <v>6.20546329922984</v>
      </c>
      <c r="BQ81">
        <v>4676.4371422996073</v>
      </c>
      <c r="BR81">
        <v>7.4222697887787836</v>
      </c>
      <c r="BS81">
        <v>5593.4225128236912</v>
      </c>
      <c r="BT81">
        <v>4.3891025167603486</v>
      </c>
      <c r="BU81">
        <v>3307.6276566305987</v>
      </c>
      <c r="BV81">
        <v>6.7621361895869994</v>
      </c>
      <c r="BW81">
        <v>5095.945832472763</v>
      </c>
      <c r="BX81">
        <v>3.6248425827185953</v>
      </c>
      <c r="BY81">
        <v>2731.6813703367334</v>
      </c>
      <c r="BZ81">
        <v>4.9003397276784453</v>
      </c>
      <c r="CA81">
        <v>3692.8960187784764</v>
      </c>
      <c r="CB81">
        <v>3.1584980321363032</v>
      </c>
      <c r="CC81">
        <v>2380.2441170179181</v>
      </c>
      <c r="CD81">
        <v>5.490343554131611</v>
      </c>
      <c r="CE81">
        <v>4137.5229023935826</v>
      </c>
      <c r="CF81">
        <v>8.205406519867454</v>
      </c>
      <c r="CG81">
        <v>6183.5943533721138</v>
      </c>
      <c r="CH81">
        <v>10.918293282852893</v>
      </c>
      <c r="CI81">
        <v>8228.0258179579414</v>
      </c>
      <c r="CJ81">
        <v>9.7138094367063861</v>
      </c>
      <c r="CK81">
        <v>7320.3267915019323</v>
      </c>
      <c r="CL81">
        <v>9.8787542185318085</v>
      </c>
      <c r="CM81">
        <v>7444.6291790855712</v>
      </c>
      <c r="CN81">
        <v>15.032776349177439</v>
      </c>
      <c r="CO81">
        <v>11328.700256740118</v>
      </c>
      <c r="CP81">
        <v>17.543322559871513</v>
      </c>
      <c r="CQ81">
        <v>13220.647881119172</v>
      </c>
      <c r="CR81">
        <v>16.455868389260566</v>
      </c>
      <c r="CS81">
        <v>12401.142418146763</v>
      </c>
      <c r="CT81">
        <v>15.238517925338305</v>
      </c>
      <c r="CU81">
        <v>11483.747108534948</v>
      </c>
    </row>
    <row r="82" spans="2:99" x14ac:dyDescent="0.2">
      <c r="C82" s="116" t="s">
        <v>248</v>
      </c>
      <c r="D82">
        <v>20.2382805214889</v>
      </c>
      <c r="E82">
        <v>10297.237129333551</v>
      </c>
      <c r="F82">
        <v>21.540914575851033</v>
      </c>
      <c r="G82">
        <v>10960.017336193003</v>
      </c>
      <c r="H82">
        <v>19.882118739297184</v>
      </c>
      <c r="I82">
        <v>10116.022014554404</v>
      </c>
      <c r="J82">
        <v>22.181119989563058</v>
      </c>
      <c r="K82">
        <v>11285.753850689682</v>
      </c>
      <c r="L82">
        <v>4</v>
      </c>
      <c r="M82">
        <v>2035.1999999999996</v>
      </c>
      <c r="N82">
        <v>4.2878968079742767</v>
      </c>
      <c r="O82">
        <v>2181.6818958973117</v>
      </c>
      <c r="P82">
        <v>3</v>
      </c>
      <c r="Q82">
        <v>1526.3999999999996</v>
      </c>
      <c r="R82">
        <v>5</v>
      </c>
      <c r="S82">
        <v>2543.9999999999995</v>
      </c>
      <c r="T82">
        <v>30.341517149101154</v>
      </c>
      <c r="U82">
        <v>15437.763925462665</v>
      </c>
      <c r="V82">
        <v>19.85935891698329</v>
      </c>
      <c r="W82">
        <v>10104.441816961096</v>
      </c>
      <c r="X82">
        <v>17.636723873291025</v>
      </c>
      <c r="Y82">
        <v>8973.5651067304716</v>
      </c>
      <c r="Z82">
        <v>19.006231504088422</v>
      </c>
      <c r="AA82">
        <v>9670.3705892801881</v>
      </c>
      <c r="AB82">
        <v>6</v>
      </c>
      <c r="AC82">
        <v>3052.7999999999993</v>
      </c>
      <c r="AD82">
        <v>10.855517735542316</v>
      </c>
      <c r="AE82">
        <v>5523.287423843929</v>
      </c>
      <c r="AF82">
        <v>11.219024089762957</v>
      </c>
      <c r="AG82">
        <v>5708.2394568713917</v>
      </c>
      <c r="AH82">
        <v>9.5336045032951926</v>
      </c>
      <c r="AI82">
        <v>4850.6979712765933</v>
      </c>
      <c r="AJ82">
        <v>20.869120043244582</v>
      </c>
      <c r="AK82">
        <v>10618.208278002841</v>
      </c>
      <c r="AL82">
        <v>18.892516381922764</v>
      </c>
      <c r="AM82">
        <v>9612.512335122301</v>
      </c>
      <c r="AN82">
        <v>18.00472401639734</v>
      </c>
      <c r="AO82">
        <v>9160.8035795429641</v>
      </c>
      <c r="AP82">
        <v>16.351863398154254</v>
      </c>
      <c r="AQ82">
        <v>8319.828096980882</v>
      </c>
      <c r="AR82">
        <v>7.3858069990417734</v>
      </c>
      <c r="AS82">
        <v>3757.8986011124534</v>
      </c>
      <c r="AT82">
        <v>5.5162359862005061</v>
      </c>
      <c r="AU82">
        <v>2806.660869778817</v>
      </c>
      <c r="AV82">
        <v>5.1086024454569907</v>
      </c>
      <c r="AW82">
        <v>2599.2569242485165</v>
      </c>
      <c r="AX82">
        <v>6.6948163648941215</v>
      </c>
      <c r="AY82">
        <v>3406.3225664581282</v>
      </c>
      <c r="AZ82">
        <v>16.421802331195842</v>
      </c>
      <c r="BA82">
        <v>8355.4130261124428</v>
      </c>
      <c r="BB82">
        <v>17.961349625806662</v>
      </c>
      <c r="BC82">
        <v>9138.7346896104282</v>
      </c>
      <c r="BD82">
        <v>15.864523251607393</v>
      </c>
      <c r="BE82">
        <v>8071.8694304178398</v>
      </c>
      <c r="BF82">
        <v>15.765337167661803</v>
      </c>
      <c r="BG82">
        <v>8021.4035509063242</v>
      </c>
      <c r="BH82">
        <v>19.47416389751081</v>
      </c>
      <c r="BI82">
        <v>9908.454591053498</v>
      </c>
      <c r="BJ82">
        <v>17.369109559679327</v>
      </c>
      <c r="BK82">
        <v>8837.4029439648402</v>
      </c>
      <c r="BL82">
        <v>23.587182089067991</v>
      </c>
      <c r="BM82">
        <v>12001.158246917792</v>
      </c>
      <c r="BN82">
        <v>21.313733987208963</v>
      </c>
      <c r="BO82">
        <v>10844.427852691919</v>
      </c>
      <c r="BP82">
        <v>6.9301561386480648</v>
      </c>
      <c r="BQ82">
        <v>3526.0634433441346</v>
      </c>
      <c r="BR82">
        <v>8.1839203402286476</v>
      </c>
      <c r="BS82">
        <v>4163.9786691083355</v>
      </c>
      <c r="BT82">
        <v>4.3891025167603486</v>
      </c>
      <c r="BU82">
        <v>2233.1753605276649</v>
      </c>
      <c r="BV82">
        <v>6.7621361895869994</v>
      </c>
      <c r="BW82">
        <v>3440.5748932618644</v>
      </c>
      <c r="BX82">
        <v>3.7810532283982443</v>
      </c>
      <c r="BY82">
        <v>1923.7998826090263</v>
      </c>
      <c r="BZ82">
        <v>4.9003397276784453</v>
      </c>
      <c r="CA82">
        <v>2493.2928534427924</v>
      </c>
      <c r="CB82">
        <v>3.1584980321363032</v>
      </c>
      <c r="CC82">
        <v>1607.0437987509508</v>
      </c>
      <c r="CD82">
        <v>5.4494815912873094</v>
      </c>
      <c r="CE82">
        <v>2772.6962336469824</v>
      </c>
      <c r="CF82">
        <v>9.0332055884578182</v>
      </c>
      <c r="CG82">
        <v>4596.0950034073367</v>
      </c>
      <c r="CH82">
        <v>9.9182932828528934</v>
      </c>
      <c r="CI82">
        <v>5046.4276223155512</v>
      </c>
      <c r="CJ82">
        <v>10.892261795882982</v>
      </c>
      <c r="CK82">
        <v>5541.9828017452601</v>
      </c>
      <c r="CL82">
        <v>10.878754218531808</v>
      </c>
      <c r="CM82">
        <v>5535.1101463889827</v>
      </c>
      <c r="CN82">
        <v>15.032776349177439</v>
      </c>
      <c r="CO82">
        <v>7648.6766064614794</v>
      </c>
      <c r="CP82">
        <v>17.622860142994778</v>
      </c>
      <c r="CQ82">
        <v>8966.5112407557408</v>
      </c>
      <c r="CR82">
        <v>15.923770281040149</v>
      </c>
      <c r="CS82">
        <v>8102.014318993226</v>
      </c>
      <c r="CT82">
        <v>15.802907478128613</v>
      </c>
      <c r="CU82">
        <v>8040.5193248718369</v>
      </c>
    </row>
    <row r="83" spans="2:99" x14ac:dyDescent="0.2">
      <c r="C83" s="116" t="s">
        <v>249</v>
      </c>
      <c r="D83">
        <v>19.51679114207241</v>
      </c>
      <c r="E83">
        <v>16792.247098639102</v>
      </c>
      <c r="F83">
        <v>17.79698149641181</v>
      </c>
      <c r="G83">
        <v>15312.52287951272</v>
      </c>
      <c r="H83">
        <v>16.016151206656065</v>
      </c>
      <c r="I83">
        <v>13780.296498206879</v>
      </c>
      <c r="J83">
        <v>19.658778359106222</v>
      </c>
      <c r="K83">
        <v>16914.412900174993</v>
      </c>
      <c r="L83">
        <v>4</v>
      </c>
      <c r="M83">
        <v>3441.6</v>
      </c>
      <c r="N83">
        <v>4.2878968079742767</v>
      </c>
      <c r="O83">
        <v>3689.3064135810678</v>
      </c>
      <c r="P83">
        <v>3</v>
      </c>
      <c r="Q83">
        <v>2581.1999999999998</v>
      </c>
      <c r="R83">
        <v>4</v>
      </c>
      <c r="S83">
        <v>3441.6</v>
      </c>
      <c r="T83">
        <v>26.147030721429481</v>
      </c>
      <c r="U83">
        <v>22496.905232717923</v>
      </c>
      <c r="V83">
        <v>16.628863253204141</v>
      </c>
      <c r="W83">
        <v>14307.473943056842</v>
      </c>
      <c r="X83">
        <v>16.595269875012463</v>
      </c>
      <c r="Y83">
        <v>14278.570200460723</v>
      </c>
      <c r="Z83">
        <v>17.108403008466002</v>
      </c>
      <c r="AA83">
        <v>14720.069948484148</v>
      </c>
      <c r="AB83">
        <v>5</v>
      </c>
      <c r="AC83">
        <v>4302</v>
      </c>
      <c r="AD83">
        <v>10.15390927088489</v>
      </c>
      <c r="AE83">
        <v>8736.4235366693592</v>
      </c>
      <c r="AF83">
        <v>10.417263879258577</v>
      </c>
      <c r="AG83">
        <v>8963.0138417140788</v>
      </c>
      <c r="AH83">
        <v>9.1481291984915316</v>
      </c>
      <c r="AI83">
        <v>7871.0503623821132</v>
      </c>
      <c r="AJ83">
        <v>20.993771558763495</v>
      </c>
      <c r="AK83">
        <v>18063.041049160111</v>
      </c>
      <c r="AL83">
        <v>15.909487479513906</v>
      </c>
      <c r="AM83">
        <v>13688.523027373765</v>
      </c>
      <c r="AN83">
        <v>22.233116808934614</v>
      </c>
      <c r="AO83">
        <v>19129.373702407342</v>
      </c>
      <c r="AP83">
        <v>16.191103140192592</v>
      </c>
      <c r="AQ83">
        <v>13930.825141821706</v>
      </c>
      <c r="AR83">
        <v>7.9236074218721599</v>
      </c>
      <c r="AS83">
        <v>6817.4718257788063</v>
      </c>
      <c r="AT83">
        <v>5.5162359862005061</v>
      </c>
      <c r="AU83">
        <v>4746.1694425269152</v>
      </c>
      <c r="AV83">
        <v>4.6280897174618749</v>
      </c>
      <c r="AW83">
        <v>3982.0083929041971</v>
      </c>
      <c r="AX83">
        <v>6.6948163648941215</v>
      </c>
      <c r="AY83">
        <v>5760.2200003549024</v>
      </c>
      <c r="AZ83">
        <v>16.421802331195842</v>
      </c>
      <c r="BA83">
        <v>14129.318725760902</v>
      </c>
      <c r="BB83">
        <v>20.667638687824383</v>
      </c>
      <c r="BC83">
        <v>17782.436327004099</v>
      </c>
      <c r="BD83">
        <v>13.897516816416525</v>
      </c>
      <c r="BE83">
        <v>11957.423468844778</v>
      </c>
      <c r="BF83">
        <v>15.07988772558955</v>
      </c>
      <c r="BG83">
        <v>12974.73539909725</v>
      </c>
      <c r="BH83">
        <v>19.838646433905364</v>
      </c>
      <c r="BI83">
        <v>17069.171391732176</v>
      </c>
      <c r="BJ83">
        <v>16.050422829922677</v>
      </c>
      <c r="BK83">
        <v>13809.783802865471</v>
      </c>
      <c r="BL83">
        <v>19.901768144541993</v>
      </c>
      <c r="BM83">
        <v>17123.48131156393</v>
      </c>
      <c r="BN83">
        <v>18.921745931917059</v>
      </c>
      <c r="BO83">
        <v>16280.270199821436</v>
      </c>
      <c r="BP83">
        <v>5.4807704598116151</v>
      </c>
      <c r="BQ83">
        <v>4715.6549036219139</v>
      </c>
      <c r="BR83">
        <v>7.4222697887787836</v>
      </c>
      <c r="BS83">
        <v>6386.1209262652656</v>
      </c>
      <c r="BT83">
        <v>4.3891025167603486</v>
      </c>
      <c r="BU83">
        <v>3776.3838054206039</v>
      </c>
      <c r="BV83">
        <v>6.7668313023778035</v>
      </c>
      <c r="BW83">
        <v>5822.1816525658624</v>
      </c>
      <c r="BX83">
        <v>3.6248425827185953</v>
      </c>
      <c r="BY83">
        <v>3118.8145581710792</v>
      </c>
      <c r="BZ83">
        <v>4.9003397276784453</v>
      </c>
      <c r="CA83">
        <v>4216.2523016945343</v>
      </c>
      <c r="CB83">
        <v>3.1584980321363032</v>
      </c>
      <c r="CC83">
        <v>2717.5717068500753</v>
      </c>
      <c r="CD83">
        <v>5.4494815912873094</v>
      </c>
      <c r="CE83">
        <v>4688.7339611436009</v>
      </c>
      <c r="CF83">
        <v>8.0332055884578182</v>
      </c>
      <c r="CG83">
        <v>6911.7700883091065</v>
      </c>
      <c r="CH83">
        <v>10.918293282852893</v>
      </c>
      <c r="CI83">
        <v>9394.099540566629</v>
      </c>
      <c r="CJ83">
        <v>9.8922617958829822</v>
      </c>
      <c r="CK83">
        <v>8511.302049177717</v>
      </c>
      <c r="CL83">
        <v>10.878754218531808</v>
      </c>
      <c r="CM83">
        <v>9360.0801296247682</v>
      </c>
      <c r="CN83">
        <v>16.179885504655761</v>
      </c>
      <c r="CO83">
        <v>13921.173488205817</v>
      </c>
      <c r="CP83">
        <v>18.624001701806506</v>
      </c>
      <c r="CQ83">
        <v>16024.091064234317</v>
      </c>
      <c r="CR83">
        <v>15.46955156759276</v>
      </c>
      <c r="CS83">
        <v>13310.00216875681</v>
      </c>
      <c r="CT83">
        <v>15.802907478128613</v>
      </c>
      <c r="CU83">
        <v>13596.821594181858</v>
      </c>
    </row>
    <row r="84" spans="2:99" x14ac:dyDescent="0.2">
      <c r="C84" s="116" t="s">
        <v>250</v>
      </c>
      <c r="D84">
        <v>19.860722687954972</v>
      </c>
      <c r="E84">
        <v>15515.196563830423</v>
      </c>
      <c r="F84">
        <v>18.719665397196128</v>
      </c>
      <c r="G84">
        <v>14623.802608289614</v>
      </c>
      <c r="H84">
        <v>17.672994434930828</v>
      </c>
      <c r="I84">
        <v>13806.143252567961</v>
      </c>
      <c r="J84">
        <v>19.658778359106222</v>
      </c>
      <c r="K84">
        <v>15357.437654133779</v>
      </c>
      <c r="L84">
        <v>4</v>
      </c>
      <c r="M84">
        <v>3124.7999999999997</v>
      </c>
      <c r="N84">
        <v>5.2878968079742767</v>
      </c>
      <c r="O84">
        <v>4130.9049863895043</v>
      </c>
      <c r="P84">
        <v>3</v>
      </c>
      <c r="Q84">
        <v>2343.6</v>
      </c>
      <c r="R84">
        <v>5</v>
      </c>
      <c r="S84">
        <v>3905.9999999999995</v>
      </c>
      <c r="T84">
        <v>25.566230954030736</v>
      </c>
      <c r="U84">
        <v>19972.339621288811</v>
      </c>
      <c r="V84">
        <v>18.971838245297654</v>
      </c>
      <c r="W84">
        <v>14820.800037226527</v>
      </c>
      <c r="X84">
        <v>16.072745756885343</v>
      </c>
      <c r="Y84">
        <v>12556.028985278828</v>
      </c>
      <c r="Z84">
        <v>17.48288170323444</v>
      </c>
      <c r="AA84">
        <v>13657.627186566744</v>
      </c>
      <c r="AB84">
        <v>6</v>
      </c>
      <c r="AC84">
        <v>4687.2</v>
      </c>
      <c r="AD84">
        <v>11.382098462902229</v>
      </c>
      <c r="AE84">
        <v>8891.6953192192213</v>
      </c>
      <c r="AF84">
        <v>10.961113932361098</v>
      </c>
      <c r="AG84">
        <v>8562.822203960488</v>
      </c>
      <c r="AH84">
        <v>9.4372356770942769</v>
      </c>
      <c r="AI84">
        <v>7372.3685109460484</v>
      </c>
      <c r="AJ84">
        <v>19.382484827810494</v>
      </c>
      <c r="AK84">
        <v>15141.597147485556</v>
      </c>
      <c r="AL84">
        <v>15.909487479513906</v>
      </c>
      <c r="AM84">
        <v>12428.491618996262</v>
      </c>
      <c r="AN84">
        <v>19.445101937709129</v>
      </c>
      <c r="AO84">
        <v>15190.51363373837</v>
      </c>
      <c r="AP84">
        <v>15.111696264179752</v>
      </c>
      <c r="AQ84">
        <v>11805.25712157722</v>
      </c>
      <c r="AR84">
        <v>7.3858069990417734</v>
      </c>
      <c r="AS84">
        <v>5769.7924276514332</v>
      </c>
      <c r="AT84">
        <v>6.0177119849460077</v>
      </c>
      <c r="AU84">
        <v>4701.0366026398206</v>
      </c>
      <c r="AV84">
        <v>4.6091225196177597</v>
      </c>
      <c r="AW84">
        <v>3600.6465123253934</v>
      </c>
      <c r="AX84">
        <v>6.6948163648941215</v>
      </c>
      <c r="AY84">
        <v>5229.9905442552872</v>
      </c>
      <c r="AZ84">
        <v>15.737560567396018</v>
      </c>
      <c r="BA84">
        <v>12294.182315249769</v>
      </c>
      <c r="BB84">
        <v>19.488773183970746</v>
      </c>
      <c r="BC84">
        <v>15224.629611317945</v>
      </c>
      <c r="BD84">
        <v>14.236288595281673</v>
      </c>
      <c r="BE84">
        <v>11121.388650634042</v>
      </c>
      <c r="BF84">
        <v>15.07988772558955</v>
      </c>
      <c r="BG84">
        <v>11780.408291230557</v>
      </c>
      <c r="BH84">
        <v>19.47416389751081</v>
      </c>
      <c r="BI84">
        <v>15213.216836735442</v>
      </c>
      <c r="BJ84">
        <v>15.439208497492732</v>
      </c>
      <c r="BK84">
        <v>12061.109678241321</v>
      </c>
      <c r="BL84">
        <v>20.362444887607744</v>
      </c>
      <c r="BM84">
        <v>15907.141946199168</v>
      </c>
      <c r="BN84">
        <v>17.935169384855005</v>
      </c>
      <c r="BO84">
        <v>14010.954323448728</v>
      </c>
      <c r="BP84">
        <v>5.5998307397300771</v>
      </c>
      <c r="BQ84">
        <v>4374.587773877136</v>
      </c>
      <c r="BR84">
        <v>6.6606192373289188</v>
      </c>
      <c r="BS84">
        <v>5203.2757482013512</v>
      </c>
      <c r="BT84">
        <v>3.7620878715088701</v>
      </c>
      <c r="BU84">
        <v>2938.9430452227289</v>
      </c>
      <c r="BV84">
        <v>7.1407050178541498</v>
      </c>
      <c r="BW84">
        <v>5578.3187599476614</v>
      </c>
      <c r="BX84">
        <v>4.6248425827185953</v>
      </c>
      <c r="BY84">
        <v>3612.9270256197665</v>
      </c>
      <c r="BZ84">
        <v>4.9003397276784453</v>
      </c>
      <c r="CA84">
        <v>3828.1453952624011</v>
      </c>
      <c r="CB84">
        <v>3.1584980321363032</v>
      </c>
      <c r="CC84">
        <v>2467.4186627048798</v>
      </c>
      <c r="CD84">
        <v>5.490343554131611</v>
      </c>
      <c r="CE84">
        <v>4289.0563844876142</v>
      </c>
      <c r="CF84">
        <v>8.0332055884578182</v>
      </c>
      <c r="CG84">
        <v>6275.540205703247</v>
      </c>
      <c r="CH84">
        <v>9.9182932828528934</v>
      </c>
      <c r="CI84">
        <v>7748.1707125646799</v>
      </c>
      <c r="CJ84">
        <v>8.8922617958829822</v>
      </c>
      <c r="CK84">
        <v>6946.6349149437847</v>
      </c>
      <c r="CL84">
        <v>9.8787542185318085</v>
      </c>
      <c r="CM84">
        <v>7717.2827955170478</v>
      </c>
      <c r="CN84">
        <v>13.76530986573988</v>
      </c>
      <c r="CO84">
        <v>10753.460067115993</v>
      </c>
      <c r="CP84">
        <v>16.24045417946208</v>
      </c>
      <c r="CQ84">
        <v>12687.042804995775</v>
      </c>
      <c r="CR84">
        <v>13.652676713803208</v>
      </c>
      <c r="CS84">
        <v>10665.471048823065</v>
      </c>
      <c r="CT84">
        <v>14.674128372547996</v>
      </c>
      <c r="CU84">
        <v>11463.429084634494</v>
      </c>
    </row>
    <row r="85" spans="2:99" x14ac:dyDescent="0.2">
      <c r="C85" s="116" t="s">
        <v>251</v>
      </c>
      <c r="D85">
        <v>24.14836400743366</v>
      </c>
      <c r="E85">
        <v>3622.2546011150489</v>
      </c>
      <c r="F85">
        <v>19.967643090342538</v>
      </c>
      <c r="G85">
        <v>2995.1464635513807</v>
      </c>
      <c r="H85">
        <v>19.882118739297184</v>
      </c>
      <c r="I85">
        <v>2982.3178108945776</v>
      </c>
      <c r="J85">
        <v>23.549343211313957</v>
      </c>
      <c r="K85">
        <v>3532.4014816970935</v>
      </c>
      <c r="L85">
        <v>4</v>
      </c>
      <c r="M85">
        <v>600</v>
      </c>
      <c r="N85">
        <v>5.2957376426943998</v>
      </c>
      <c r="O85">
        <v>794.36064640415998</v>
      </c>
      <c r="P85">
        <v>3</v>
      </c>
      <c r="Q85">
        <v>450</v>
      </c>
      <c r="R85">
        <v>5</v>
      </c>
      <c r="S85">
        <v>750</v>
      </c>
      <c r="T85">
        <v>31.527902848491031</v>
      </c>
      <c r="U85">
        <v>4729.1854272736546</v>
      </c>
      <c r="V85">
        <v>18.977829445570979</v>
      </c>
      <c r="W85">
        <v>2846.6744168356468</v>
      </c>
      <c r="X85">
        <v>17.654695063169406</v>
      </c>
      <c r="Y85">
        <v>2648.2042594754107</v>
      </c>
      <c r="Z85">
        <v>19.438030980946543</v>
      </c>
      <c r="AA85">
        <v>2915.7046471419812</v>
      </c>
      <c r="AB85">
        <v>6</v>
      </c>
      <c r="AC85">
        <v>900</v>
      </c>
      <c r="AD85">
        <v>11.63868913592858</v>
      </c>
      <c r="AE85">
        <v>1745.803370389287</v>
      </c>
      <c r="AF85">
        <v>12.104083880211432</v>
      </c>
      <c r="AG85">
        <v>1815.6125820317147</v>
      </c>
      <c r="AH85">
        <v>10.291645348302973</v>
      </c>
      <c r="AI85">
        <v>1543.7468022454459</v>
      </c>
      <c r="AJ85">
        <v>22.729709805235409</v>
      </c>
      <c r="AK85">
        <v>3409.4564707853115</v>
      </c>
      <c r="AL85">
        <v>20.881202316862005</v>
      </c>
      <c r="AM85">
        <v>3132.1803475293009</v>
      </c>
      <c r="AN85">
        <v>20.885479859020915</v>
      </c>
      <c r="AO85">
        <v>3132.8219788531374</v>
      </c>
      <c r="AP85">
        <v>15.433216780103074</v>
      </c>
      <c r="AQ85">
        <v>2314.9825170154609</v>
      </c>
      <c r="AR85">
        <v>8.453497722979634</v>
      </c>
      <c r="AS85">
        <v>1268.0246584469451</v>
      </c>
      <c r="AT85">
        <v>6.5191879836915083</v>
      </c>
      <c r="AU85">
        <v>977.8781975537263</v>
      </c>
      <c r="AV85">
        <v>5.1086024454569907</v>
      </c>
      <c r="AW85">
        <v>766.29036681854859</v>
      </c>
      <c r="AX85">
        <v>7.2140015687431092</v>
      </c>
      <c r="AY85">
        <v>1082.1002353114663</v>
      </c>
      <c r="AZ85">
        <v>17.106044094995671</v>
      </c>
      <c r="BA85">
        <v>2565.9066142493507</v>
      </c>
      <c r="BB85">
        <v>20.650690160555161</v>
      </c>
      <c r="BC85">
        <v>3097.6035240832744</v>
      </c>
      <c r="BD85">
        <v>14.236288595281673</v>
      </c>
      <c r="BE85">
        <v>2135.4432892922509</v>
      </c>
      <c r="BF85">
        <v>16.450786609734056</v>
      </c>
      <c r="BG85">
        <v>2467.6179914601084</v>
      </c>
      <c r="BH85">
        <v>23.681396364462781</v>
      </c>
      <c r="BI85">
        <v>3552.209454669417</v>
      </c>
      <c r="BJ85">
        <v>17.980323892109272</v>
      </c>
      <c r="BK85">
        <v>2697.0485838163909</v>
      </c>
      <c r="BL85">
        <v>23.666231365608063</v>
      </c>
      <c r="BM85">
        <v>3549.9347048412096</v>
      </c>
      <c r="BN85">
        <v>19.908322478979112</v>
      </c>
      <c r="BO85">
        <v>2986.248371846867</v>
      </c>
      <c r="BP85">
        <v>6.3301613284959313</v>
      </c>
      <c r="BQ85">
        <v>949.52419927438973</v>
      </c>
      <c r="BR85">
        <v>7.4222697887787836</v>
      </c>
      <c r="BS85">
        <v>1113.3404683168176</v>
      </c>
      <c r="BT85">
        <v>4.3891025167603486</v>
      </c>
      <c r="BU85">
        <v>658.36537751405228</v>
      </c>
      <c r="BV85">
        <v>8.1434940654267489</v>
      </c>
      <c r="BW85">
        <v>1221.5241098140123</v>
      </c>
      <c r="BX85">
        <v>3.7810532283982443</v>
      </c>
      <c r="BY85">
        <v>567.15798425973662</v>
      </c>
      <c r="BZ85">
        <v>4.9003397276784453</v>
      </c>
      <c r="CA85">
        <v>735.05095915176685</v>
      </c>
      <c r="CB85">
        <v>3.1584980321363032</v>
      </c>
      <c r="CC85">
        <v>473.77470482044549</v>
      </c>
      <c r="CD85">
        <v>5.490343554131611</v>
      </c>
      <c r="CE85">
        <v>823.55153311974163</v>
      </c>
      <c r="CF85">
        <v>9.0332055884578182</v>
      </c>
      <c r="CG85">
        <v>1354.9808382686726</v>
      </c>
      <c r="CH85">
        <v>10.918293282852893</v>
      </c>
      <c r="CI85">
        <v>1637.743992427934</v>
      </c>
      <c r="CJ85">
        <v>10.892261795882982</v>
      </c>
      <c r="CK85">
        <v>1633.8392693824474</v>
      </c>
      <c r="CL85">
        <v>10.878754218531808</v>
      </c>
      <c r="CM85">
        <v>1631.8131327797712</v>
      </c>
      <c r="CN85">
        <v>15.6063309269166</v>
      </c>
      <c r="CO85">
        <v>2340.9496390374902</v>
      </c>
      <c r="CP85">
        <v>17.70239772611804</v>
      </c>
      <c r="CQ85">
        <v>2655.3596589177059</v>
      </c>
      <c r="CR85">
        <v>17.442185210928368</v>
      </c>
      <c r="CS85">
        <v>2616.3277816392551</v>
      </c>
      <c r="CT85">
        <v>18.060465689289842</v>
      </c>
      <c r="CU85">
        <v>2709.0698533934765</v>
      </c>
    </row>
    <row r="86" spans="2:99" x14ac:dyDescent="0.2">
      <c r="C86" s="116" t="s">
        <v>252</v>
      </c>
      <c r="D86">
        <v>21.849390718578718</v>
      </c>
      <c r="E86">
        <v>11798.670988032507</v>
      </c>
      <c r="F86">
        <v>17.055695139667584</v>
      </c>
      <c r="G86">
        <v>9210.0753754204961</v>
      </c>
      <c r="H86">
        <v>17.672994434930828</v>
      </c>
      <c r="I86">
        <v>9543.4169948626477</v>
      </c>
      <c r="J86">
        <v>19.226493375527586</v>
      </c>
      <c r="K86">
        <v>10382.306422784895</v>
      </c>
      <c r="L86">
        <v>4</v>
      </c>
      <c r="M86">
        <v>2160</v>
      </c>
      <c r="N86">
        <v>5.2918172253343387</v>
      </c>
      <c r="O86">
        <v>2857.5813016805428</v>
      </c>
      <c r="P86">
        <v>3</v>
      </c>
      <c r="Q86">
        <v>1620</v>
      </c>
      <c r="R86">
        <v>5</v>
      </c>
      <c r="S86">
        <v>2700</v>
      </c>
      <c r="T86">
        <v>25.566230954030736</v>
      </c>
      <c r="U86">
        <v>13805.764715176598</v>
      </c>
      <c r="V86">
        <v>19.847376516436636</v>
      </c>
      <c r="W86">
        <v>10717.583318875784</v>
      </c>
      <c r="X86">
        <v>15.024103282655428</v>
      </c>
      <c r="Y86">
        <v>8113.0157726339312</v>
      </c>
      <c r="Z86">
        <v>18.681443084875596</v>
      </c>
      <c r="AA86">
        <v>10087.979265832822</v>
      </c>
      <c r="AB86">
        <v>6</v>
      </c>
      <c r="AC86">
        <v>3240</v>
      </c>
      <c r="AD86">
        <v>11.484832466507296</v>
      </c>
      <c r="AE86">
        <v>6201.8095319139402</v>
      </c>
      <c r="AF86">
        <v>11.813472361460965</v>
      </c>
      <c r="AG86">
        <v>6379.2750751889216</v>
      </c>
      <c r="AH86">
        <v>9.340866850893363</v>
      </c>
      <c r="AI86">
        <v>5044.0680994824161</v>
      </c>
      <c r="AJ86">
        <v>19.382484827810494</v>
      </c>
      <c r="AK86">
        <v>10466.541807017667</v>
      </c>
      <c r="AL86">
        <v>16.903830446983527</v>
      </c>
      <c r="AM86">
        <v>9128.0684413711042</v>
      </c>
      <c r="AN86">
        <v>20.188717213267999</v>
      </c>
      <c r="AO86">
        <v>10901.907295164719</v>
      </c>
      <c r="AP86">
        <v>15.111696264179752</v>
      </c>
      <c r="AQ86">
        <v>8160.3159826570663</v>
      </c>
      <c r="AR86">
        <v>6.9503234087004504</v>
      </c>
      <c r="AS86">
        <v>3753.1746406982434</v>
      </c>
      <c r="AT86">
        <v>5.5162359862005061</v>
      </c>
      <c r="AU86">
        <v>2978.7674325482735</v>
      </c>
      <c r="AV86">
        <v>4.6470569153059902</v>
      </c>
      <c r="AW86">
        <v>2509.4107342652346</v>
      </c>
      <c r="AX86">
        <v>7.3163996122673876</v>
      </c>
      <c r="AY86">
        <v>3950.8557906243891</v>
      </c>
      <c r="AZ86">
        <v>15.737560567396018</v>
      </c>
      <c r="BA86">
        <v>8498.2827063938494</v>
      </c>
      <c r="BB86">
        <v>17.319872853456424</v>
      </c>
      <c r="BC86">
        <v>9352.7313408664686</v>
      </c>
      <c r="BD86">
        <v>14.883392622339933</v>
      </c>
      <c r="BE86">
        <v>8037.0320160635638</v>
      </c>
      <c r="BF86">
        <v>15.765337167661803</v>
      </c>
      <c r="BG86">
        <v>8513.2820705373742</v>
      </c>
      <c r="BH86">
        <v>22.035997184549085</v>
      </c>
      <c r="BI86">
        <v>11899.438479656506</v>
      </c>
      <c r="BJ86">
        <v>16.757895227249382</v>
      </c>
      <c r="BK86">
        <v>9049.2634227146664</v>
      </c>
      <c r="BL86">
        <v>22.205151859870742</v>
      </c>
      <c r="BM86">
        <v>11990.782004330202</v>
      </c>
      <c r="BN86">
        <v>18.921745931917059</v>
      </c>
      <c r="BO86">
        <v>10217.742803235211</v>
      </c>
      <c r="BP86">
        <v>6.3301613284959313</v>
      </c>
      <c r="BQ86">
        <v>3418.2871173878029</v>
      </c>
      <c r="BR86">
        <v>7.4222697887787836</v>
      </c>
      <c r="BS86">
        <v>4008.0256859405431</v>
      </c>
      <c r="BT86">
        <v>4.3891025167603486</v>
      </c>
      <c r="BU86">
        <v>2370.1153590505883</v>
      </c>
      <c r="BV86">
        <v>6.7621361895869994</v>
      </c>
      <c r="BW86">
        <v>3651.5535423769797</v>
      </c>
      <c r="BX86">
        <v>3.6248425827185953</v>
      </c>
      <c r="BY86">
        <v>1957.4149946680413</v>
      </c>
      <c r="BZ86">
        <v>4.9326975055402897</v>
      </c>
      <c r="CA86">
        <v>2663.6566529917563</v>
      </c>
      <c r="CB86">
        <v>3.2113307095150709</v>
      </c>
      <c r="CC86">
        <v>1734.1185831381383</v>
      </c>
      <c r="CD86">
        <v>5.4086196284430086</v>
      </c>
      <c r="CE86">
        <v>2920.6545993592244</v>
      </c>
      <c r="CF86">
        <v>9.0332055884578182</v>
      </c>
      <c r="CG86">
        <v>4877.9310177672214</v>
      </c>
      <c r="CH86">
        <v>9.7652444023774123</v>
      </c>
      <c r="CI86">
        <v>5273.2319772838027</v>
      </c>
      <c r="CJ86">
        <v>9.8922617958829822</v>
      </c>
      <c r="CK86">
        <v>5341.8213697768106</v>
      </c>
      <c r="CL86">
        <v>9.8787542185318085</v>
      </c>
      <c r="CM86">
        <v>5334.5272780071764</v>
      </c>
      <c r="CN86">
        <v>16.179885504655761</v>
      </c>
      <c r="CO86">
        <v>8737.1381725141109</v>
      </c>
      <c r="CP86">
        <v>18.004124547715747</v>
      </c>
      <c r="CQ86">
        <v>9722.2272557665037</v>
      </c>
      <c r="CR86">
        <v>16.987966497480983</v>
      </c>
      <c r="CS86">
        <v>9173.5019086397315</v>
      </c>
      <c r="CT86">
        <v>14.109738819757691</v>
      </c>
      <c r="CU86">
        <v>7619.2589626691533</v>
      </c>
    </row>
    <row r="87" spans="2:99" x14ac:dyDescent="0.2">
      <c r="B87" s="116" t="s">
        <v>131</v>
      </c>
      <c r="C87" s="116" t="s">
        <v>253</v>
      </c>
      <c r="D87">
        <v>2.1567994688805694</v>
      </c>
      <c r="E87">
        <v>4216.1116017677368</v>
      </c>
      <c r="F87">
        <v>4.8750490463252252</v>
      </c>
      <c r="G87">
        <v>9529.7458757565491</v>
      </c>
      <c r="H87">
        <v>3.3136864565495308</v>
      </c>
      <c r="I87">
        <v>6477.5942852630224</v>
      </c>
      <c r="J87">
        <v>2.5986747253178053</v>
      </c>
      <c r="K87">
        <v>5079.889353051246</v>
      </c>
      <c r="L87">
        <v>7</v>
      </c>
      <c r="M87">
        <v>13683.6</v>
      </c>
      <c r="N87">
        <v>15.32636295601813</v>
      </c>
      <c r="O87">
        <v>29959.974306424239</v>
      </c>
      <c r="P87">
        <v>12</v>
      </c>
      <c r="Q87">
        <v>23457.599999999999</v>
      </c>
      <c r="R87">
        <v>10.447687231048722</v>
      </c>
      <c r="S87">
        <v>20423.138999254039</v>
      </c>
      <c r="T87">
        <v>10.722086390775265</v>
      </c>
      <c r="U87">
        <v>20959.534476687488</v>
      </c>
      <c r="V87">
        <v>11.0661300603601</v>
      </c>
      <c r="W87">
        <v>21632.071041991923</v>
      </c>
      <c r="X87">
        <v>13.325975863427235</v>
      </c>
      <c r="Y87">
        <v>26049.61761782756</v>
      </c>
      <c r="Z87">
        <v>12.691387730714151</v>
      </c>
      <c r="AA87">
        <v>24809.124736000023</v>
      </c>
      <c r="AB87">
        <v>8</v>
      </c>
      <c r="AC87">
        <v>15638.4</v>
      </c>
      <c r="AD87">
        <v>12.230280582384554</v>
      </c>
      <c r="AE87">
        <v>23907.752482445325</v>
      </c>
      <c r="AF87">
        <v>8.5593640179509354</v>
      </c>
      <c r="AG87">
        <v>16731.844782290489</v>
      </c>
      <c r="AH87">
        <v>7.9082442224791754</v>
      </c>
      <c r="AI87">
        <v>15459.035806102291</v>
      </c>
      <c r="AJ87">
        <v>7.9409651100389809</v>
      </c>
      <c r="AK87">
        <v>15522.998597104199</v>
      </c>
      <c r="AL87">
        <v>9.9434296746961923</v>
      </c>
      <c r="AM87">
        <v>19437.416328096115</v>
      </c>
      <c r="AN87">
        <v>9.3160860028275732</v>
      </c>
      <c r="AO87">
        <v>18211.084918327339</v>
      </c>
      <c r="AP87">
        <v>12.792122254192414</v>
      </c>
      <c r="AQ87">
        <v>25006.04058249533</v>
      </c>
      <c r="AR87">
        <v>9.6092165154407425</v>
      </c>
      <c r="AS87">
        <v>18784.096444383562</v>
      </c>
      <c r="AT87">
        <v>6.5191879836915083</v>
      </c>
      <c r="AU87">
        <v>12743.70867052016</v>
      </c>
      <c r="AV87">
        <v>10.280439266338574</v>
      </c>
      <c r="AW87">
        <v>20096.202677838643</v>
      </c>
      <c r="AX87">
        <v>12.214199199360841</v>
      </c>
      <c r="AY87">
        <v>23876.316594910571</v>
      </c>
      <c r="AZ87">
        <v>6.9719397720761256</v>
      </c>
      <c r="BA87">
        <v>13628.747866454411</v>
      </c>
      <c r="BB87">
        <v>4.6815649608761118</v>
      </c>
      <c r="BC87">
        <v>9151.5231855206239</v>
      </c>
      <c r="BD87">
        <v>5.9798389545472821</v>
      </c>
      <c r="BE87">
        <v>11689.389188349027</v>
      </c>
      <c r="BF87">
        <v>5.4835955365780178</v>
      </c>
      <c r="BG87">
        <v>10719.332554902709</v>
      </c>
      <c r="BH87">
        <v>6.4254942821485175</v>
      </c>
      <c r="BI87">
        <v>12560.556222743922</v>
      </c>
      <c r="BJ87">
        <v>8.2634866950775354</v>
      </c>
      <c r="BK87">
        <v>16153.463791537566</v>
      </c>
      <c r="BL87">
        <v>4.4895256261013676</v>
      </c>
      <c r="BM87">
        <v>8776.1246939029534</v>
      </c>
      <c r="BN87">
        <v>7.9018138031679586</v>
      </c>
      <c r="BO87">
        <v>15446.465622432725</v>
      </c>
      <c r="BP87">
        <v>27.767677601708638</v>
      </c>
      <c r="BQ87">
        <v>54280.256175820046</v>
      </c>
      <c r="BR87">
        <v>26.130658026117633</v>
      </c>
      <c r="BS87">
        <v>51080.210309454749</v>
      </c>
      <c r="BT87">
        <v>36.366849424585752</v>
      </c>
      <c r="BU87">
        <v>71089.917255180218</v>
      </c>
      <c r="BV87">
        <v>32.695825720889523</v>
      </c>
      <c r="BW87">
        <v>63913.800119194835</v>
      </c>
      <c r="BX87">
        <v>4.6248425827185953</v>
      </c>
      <c r="BY87">
        <v>9040.6422806983101</v>
      </c>
      <c r="BZ87">
        <v>4.9650552834021333</v>
      </c>
      <c r="CA87">
        <v>9705.6900679944902</v>
      </c>
      <c r="CB87">
        <v>5.1584980321363032</v>
      </c>
      <c r="CC87">
        <v>10083.831953220046</v>
      </c>
      <c r="CD87">
        <v>5.2043098142215047</v>
      </c>
      <c r="CE87">
        <v>10173.384824840197</v>
      </c>
      <c r="CF87">
        <v>22.23861210832527</v>
      </c>
      <c r="CG87">
        <v>43472.038949354239</v>
      </c>
      <c r="CH87">
        <v>15.395808941800929</v>
      </c>
      <c r="CI87">
        <v>30095.727319432455</v>
      </c>
      <c r="CJ87">
        <v>16.33058977198414</v>
      </c>
      <c r="CK87">
        <v>31923.036886274596</v>
      </c>
      <c r="CL87">
        <v>18</v>
      </c>
      <c r="CM87">
        <v>35186.400000000001</v>
      </c>
      <c r="CN87">
        <v>28.904727460723105</v>
      </c>
      <c r="CO87">
        <v>56502.961240221528</v>
      </c>
      <c r="CP87">
        <v>15.922303846969028</v>
      </c>
      <c r="CQ87">
        <v>31124.919560055056</v>
      </c>
      <c r="CR87">
        <v>17.740645134829702</v>
      </c>
      <c r="CS87">
        <v>34679.413109565103</v>
      </c>
      <c r="CT87">
        <v>16.931686583709229</v>
      </c>
      <c r="CU87">
        <v>33098.0609338348</v>
      </c>
    </row>
    <row r="88" spans="2:99" x14ac:dyDescent="0.2">
      <c r="C88" s="116" t="s">
        <v>254</v>
      </c>
      <c r="D88">
        <v>2.1883116987050255</v>
      </c>
      <c r="E88">
        <v>4141.16105862939</v>
      </c>
      <c r="F88">
        <v>4.3875441416927021</v>
      </c>
      <c r="G88">
        <v>8302.9885337392698</v>
      </c>
      <c r="H88">
        <v>3.3136864565495308</v>
      </c>
      <c r="I88">
        <v>6270.8202503743314</v>
      </c>
      <c r="J88">
        <v>3.1023279799114305</v>
      </c>
      <c r="K88">
        <v>5870.8454691843908</v>
      </c>
      <c r="L88">
        <v>8</v>
      </c>
      <c r="M88">
        <v>15139.199999999999</v>
      </c>
      <c r="N88">
        <v>17.32636295601813</v>
      </c>
      <c r="O88">
        <v>32788.409257968706</v>
      </c>
      <c r="P88">
        <v>10</v>
      </c>
      <c r="Q88">
        <v>18924</v>
      </c>
      <c r="R88">
        <v>9.4476872310487217</v>
      </c>
      <c r="S88">
        <v>17878.803316036599</v>
      </c>
      <c r="T88">
        <v>11.144790914811857</v>
      </c>
      <c r="U88">
        <v>21090.402327189957</v>
      </c>
      <c r="V88">
        <v>11.452517891386693</v>
      </c>
      <c r="W88">
        <v>21672.744857660175</v>
      </c>
      <c r="X88">
        <v>13.800704906963583</v>
      </c>
      <c r="Y88">
        <v>26116.453965937882</v>
      </c>
      <c r="Z88">
        <v>9.868708177236595</v>
      </c>
      <c r="AA88">
        <v>18675.543354602531</v>
      </c>
      <c r="AB88">
        <v>7</v>
      </c>
      <c r="AC88">
        <v>13246.8</v>
      </c>
      <c r="AD88">
        <v>12.578244666612365</v>
      </c>
      <c r="AE88">
        <v>23803.070207097237</v>
      </c>
      <c r="AF88">
        <v>10.524403766829002</v>
      </c>
      <c r="AG88">
        <v>19916.381688347203</v>
      </c>
      <c r="AH88">
        <v>8.9553915460897002</v>
      </c>
      <c r="AI88">
        <v>16947.182961820148</v>
      </c>
      <c r="AJ88">
        <v>8.8089342332749379</v>
      </c>
      <c r="AK88">
        <v>16670.02714304949</v>
      </c>
      <c r="AL88">
        <v>8.9490867072265736</v>
      </c>
      <c r="AM88">
        <v>16935.251684755567</v>
      </c>
      <c r="AN88">
        <v>9.1999187165265113</v>
      </c>
      <c r="AO88">
        <v>17409.926179154769</v>
      </c>
      <c r="AP88">
        <v>12.792122254192414</v>
      </c>
      <c r="AQ88">
        <v>24207.812153833722</v>
      </c>
      <c r="AR88">
        <v>11.210752601347533</v>
      </c>
      <c r="AS88">
        <v>21215.228222790069</v>
      </c>
      <c r="AT88">
        <v>6.5191879836915083</v>
      </c>
      <c r="AU88">
        <v>12336.911340337809</v>
      </c>
      <c r="AV88">
        <v>10.779919192177802</v>
      </c>
      <c r="AW88">
        <v>20399.919079277272</v>
      </c>
      <c r="AX88">
        <v>12.18938651655774</v>
      </c>
      <c r="AY88">
        <v>23067.195043933865</v>
      </c>
      <c r="AZ88">
        <v>6.9719397720761256</v>
      </c>
      <c r="BA88">
        <v>13193.69882467686</v>
      </c>
      <c r="BB88">
        <v>5.5312178149200211</v>
      </c>
      <c r="BC88">
        <v>10467.276592954648</v>
      </c>
      <c r="BD88">
        <v>6.7273188238656916</v>
      </c>
      <c r="BE88">
        <v>12730.778142283434</v>
      </c>
      <c r="BF88">
        <v>6.1690449786502706</v>
      </c>
      <c r="BG88">
        <v>11674.300717597771</v>
      </c>
      <c r="BH88">
        <v>6.1859911019776206</v>
      </c>
      <c r="BI88">
        <v>11706.369561382448</v>
      </c>
      <c r="BJ88">
        <v>8.2634866950775354</v>
      </c>
      <c r="BK88">
        <v>15637.822221764727</v>
      </c>
      <c r="BL88">
        <v>4.7921038160869784</v>
      </c>
      <c r="BM88">
        <v>9068.5772615629976</v>
      </c>
      <c r="BN88">
        <v>7.334072217273703</v>
      </c>
      <c r="BO88">
        <v>13878.998263968755</v>
      </c>
      <c r="BP88">
        <v>31.224751676595382</v>
      </c>
      <c r="BQ88">
        <v>59089.720072789096</v>
      </c>
      <c r="BR88">
        <v>26.130658026117633</v>
      </c>
      <c r="BS88">
        <v>49449.657248625008</v>
      </c>
      <c r="BT88">
        <v>39.501922650843142</v>
      </c>
      <c r="BU88">
        <v>74753.438424455555</v>
      </c>
      <c r="BV88">
        <v>30.675770160164436</v>
      </c>
      <c r="BW88">
        <v>58050.827451095174</v>
      </c>
      <c r="BX88">
        <v>4.6248425827185953</v>
      </c>
      <c r="BY88">
        <v>8752.0521035366692</v>
      </c>
      <c r="BZ88">
        <v>4.0238166713006569</v>
      </c>
      <c r="CA88">
        <v>7614.6706687693622</v>
      </c>
      <c r="CB88">
        <v>5.1584980321363032</v>
      </c>
      <c r="CC88">
        <v>9761.9416760147396</v>
      </c>
      <c r="CD88">
        <v>5.2043098142215047</v>
      </c>
      <c r="CE88">
        <v>9848.6358924327742</v>
      </c>
      <c r="CF88">
        <v>21.894210245505999</v>
      </c>
      <c r="CG88">
        <v>41432.603468595546</v>
      </c>
      <c r="CH88">
        <v>15.445285059526045</v>
      </c>
      <c r="CI88">
        <v>29228.657446647085</v>
      </c>
      <c r="CJ88">
        <v>18.377816882267592</v>
      </c>
      <c r="CK88">
        <v>34778.180668003188</v>
      </c>
      <c r="CL88">
        <v>19</v>
      </c>
      <c r="CM88">
        <v>35955.599999999999</v>
      </c>
      <c r="CN88">
        <v>25.463399994288132</v>
      </c>
      <c r="CO88">
        <v>48186.938149190857</v>
      </c>
      <c r="CP88">
        <v>16.923445405780758</v>
      </c>
      <c r="CQ88">
        <v>32025.928085899504</v>
      </c>
      <c r="CR88">
        <v>16.377988994487534</v>
      </c>
      <c r="CS88">
        <v>30993.706373168206</v>
      </c>
      <c r="CT88">
        <v>19.753634347660764</v>
      </c>
      <c r="CU88">
        <v>37381.777639513224</v>
      </c>
    </row>
    <row r="89" spans="2:99" x14ac:dyDescent="0.2">
      <c r="C89" s="116" t="s">
        <v>255</v>
      </c>
      <c r="D89">
        <v>2.1883116987050255</v>
      </c>
      <c r="E89">
        <v>5246.6961288151688</v>
      </c>
      <c r="F89">
        <v>3.9715515773105659</v>
      </c>
      <c r="G89">
        <v>9522.1920617598116</v>
      </c>
      <c r="H89">
        <v>3.3136864565495308</v>
      </c>
      <c r="I89">
        <v>7944.8946482231549</v>
      </c>
      <c r="J89">
        <v>2.6700429963327932</v>
      </c>
      <c r="K89">
        <v>6401.6950880075046</v>
      </c>
      <c r="L89">
        <v>7</v>
      </c>
      <c r="M89">
        <v>16783.2</v>
      </c>
      <c r="N89">
        <v>14.32636295601813</v>
      </c>
      <c r="O89">
        <v>34348.887823349069</v>
      </c>
      <c r="P89">
        <v>10</v>
      </c>
      <c r="Q89">
        <v>23976</v>
      </c>
      <c r="R89">
        <v>9.5223017695568402</v>
      </c>
      <c r="S89">
        <v>22830.67072268948</v>
      </c>
      <c r="T89">
        <v>10.722086390775265</v>
      </c>
      <c r="U89">
        <v>25707.274330522774</v>
      </c>
      <c r="V89">
        <v>10.260003944483646</v>
      </c>
      <c r="W89">
        <v>24599.385457293989</v>
      </c>
      <c r="X89">
        <v>12.779554208004731</v>
      </c>
      <c r="Y89">
        <v>30640.259169112142</v>
      </c>
      <c r="Z89">
        <v>12.311822031589665</v>
      </c>
      <c r="AA89">
        <v>29518.82450293938</v>
      </c>
      <c r="AB89">
        <v>7</v>
      </c>
      <c r="AC89">
        <v>16783.2</v>
      </c>
      <c r="AD89">
        <v>10.350055474595024</v>
      </c>
      <c r="AE89">
        <v>24815.293005889027</v>
      </c>
      <c r="AF89">
        <v>8.5593640179509354</v>
      </c>
      <c r="AG89">
        <v>20521.931169439162</v>
      </c>
      <c r="AH89">
        <v>8.7626538936878706</v>
      </c>
      <c r="AI89">
        <v>21009.338975506038</v>
      </c>
      <c r="AJ89">
        <v>8.1902681410768103</v>
      </c>
      <c r="AK89">
        <v>19636.98689504576</v>
      </c>
      <c r="AL89">
        <v>10.937772642165811</v>
      </c>
      <c r="AM89">
        <v>26224.403686856749</v>
      </c>
      <c r="AN89">
        <v>9.3160860028275732</v>
      </c>
      <c r="AO89">
        <v>22336.247800379388</v>
      </c>
      <c r="AP89">
        <v>13.38924835632027</v>
      </c>
      <c r="AQ89">
        <v>32102.061859113477</v>
      </c>
      <c r="AR89">
        <v>9.0753711534718136</v>
      </c>
      <c r="AS89">
        <v>21759.10987756402</v>
      </c>
      <c r="AT89">
        <v>6.5191879836915083</v>
      </c>
      <c r="AU89">
        <v>15630.40510969876</v>
      </c>
      <c r="AV89">
        <v>9.3194138103483422</v>
      </c>
      <c r="AW89">
        <v>22344.226551691183</v>
      </c>
      <c r="AX89">
        <v>10.65664358781388</v>
      </c>
      <c r="AY89">
        <v>25550.368666142556</v>
      </c>
      <c r="AZ89">
        <v>6.2876980082762994</v>
      </c>
      <c r="BA89">
        <v>15075.384744643256</v>
      </c>
      <c r="BB89">
        <v>4.6815649608761118</v>
      </c>
      <c r="BC89">
        <v>11224.520150196566</v>
      </c>
      <c r="BD89">
        <v>6.080214796807434</v>
      </c>
      <c r="BE89">
        <v>14577.922996825504</v>
      </c>
      <c r="BF89">
        <v>5.4835955365780178</v>
      </c>
      <c r="BG89">
        <v>13147.468658499454</v>
      </c>
      <c r="BH89">
        <v>5.6340395312475859</v>
      </c>
      <c r="BI89">
        <v>13508.173180119211</v>
      </c>
      <c r="BJ89">
        <v>8.1672286301807748</v>
      </c>
      <c r="BK89">
        <v>19581.747363721424</v>
      </c>
      <c r="BL89">
        <v>4.7921038160869784</v>
      </c>
      <c r="BM89">
        <v>11489.548109450139</v>
      </c>
      <c r="BN89">
        <v>7.827360490804729</v>
      </c>
      <c r="BO89">
        <v>18766.879512753418</v>
      </c>
      <c r="BP89">
        <v>24.836142000633437</v>
      </c>
      <c r="BQ89">
        <v>59547.134060718723</v>
      </c>
      <c r="BR89">
        <v>23.084055820318177</v>
      </c>
      <c r="BS89">
        <v>55346.332234794856</v>
      </c>
      <c r="BT89">
        <v>38.874908005591664</v>
      </c>
      <c r="BU89">
        <v>93206.479434206572</v>
      </c>
      <c r="BV89">
        <v>32.005146782969646</v>
      </c>
      <c r="BW89">
        <v>76735.539926848025</v>
      </c>
      <c r="BX89">
        <v>4.4686319370389462</v>
      </c>
      <c r="BY89">
        <v>10713.991932244577</v>
      </c>
      <c r="BZ89">
        <v>4.0238166713006569</v>
      </c>
      <c r="CA89">
        <v>9647.5028511104538</v>
      </c>
      <c r="CB89">
        <v>4.1584980321363032</v>
      </c>
      <c r="CC89">
        <v>9970.4148818499998</v>
      </c>
      <c r="CD89">
        <v>4.1634478513772031</v>
      </c>
      <c r="CE89">
        <v>9982.282568461982</v>
      </c>
      <c r="CF89">
        <v>20.066411176915636</v>
      </c>
      <c r="CG89">
        <v>48111.227437772926</v>
      </c>
      <c r="CH89">
        <v>17.395808941800929</v>
      </c>
      <c r="CI89">
        <v>41708.19151886191</v>
      </c>
      <c r="CJ89">
        <v>15.330589771984142</v>
      </c>
      <c r="CK89">
        <v>36756.622037309178</v>
      </c>
      <c r="CL89">
        <v>17</v>
      </c>
      <c r="CM89">
        <v>40759.199999999997</v>
      </c>
      <c r="CN89">
        <v>24.889845416548972</v>
      </c>
      <c r="CO89">
        <v>59675.893370717815</v>
      </c>
      <c r="CP89">
        <v>15.922303846969028</v>
      </c>
      <c r="CQ89">
        <v>38175.315703492939</v>
      </c>
      <c r="CR89">
        <v>15.845890886267123</v>
      </c>
      <c r="CS89">
        <v>37992.107988914053</v>
      </c>
      <c r="CT89">
        <v>15.238517925338305</v>
      </c>
      <c r="CU89">
        <v>36535.870577791116</v>
      </c>
    </row>
    <row r="90" spans="2:99" x14ac:dyDescent="0.2">
      <c r="C90" s="116" t="s">
        <v>256</v>
      </c>
      <c r="D90">
        <v>2.2202794479445771</v>
      </c>
      <c r="E90">
        <v>4878.3980030238245</v>
      </c>
      <c r="F90">
        <v>4.4590564819430885</v>
      </c>
      <c r="G90">
        <v>9797.4389021253537</v>
      </c>
      <c r="H90">
        <v>3.3136864565495308</v>
      </c>
      <c r="I90">
        <v>7280.8318823306281</v>
      </c>
      <c r="J90">
        <v>3.0320232596417003</v>
      </c>
      <c r="K90">
        <v>6661.9615060847436</v>
      </c>
      <c r="L90">
        <v>8</v>
      </c>
      <c r="M90">
        <v>17577.599999999999</v>
      </c>
      <c r="N90">
        <v>16.32636295601813</v>
      </c>
      <c r="O90">
        <v>35872.28468696303</v>
      </c>
      <c r="P90">
        <v>11</v>
      </c>
      <c r="Q90">
        <v>24169.199999999997</v>
      </c>
      <c r="R90">
        <v>9.4476872310487217</v>
      </c>
      <c r="S90">
        <v>20758.45838406025</v>
      </c>
      <c r="T90">
        <v>12.509100789237809</v>
      </c>
      <c r="U90">
        <v>27484.996254113314</v>
      </c>
      <c r="V90">
        <v>10.260003944483646</v>
      </c>
      <c r="W90">
        <v>22543.280666819464</v>
      </c>
      <c r="X90">
        <v>12.233132552582225</v>
      </c>
      <c r="Y90">
        <v>26878.638844533663</v>
      </c>
      <c r="Z90">
        <v>11.380728287071648</v>
      </c>
      <c r="AA90">
        <v>25005.736192353823</v>
      </c>
      <c r="AB90">
        <v>7</v>
      </c>
      <c r="AC90">
        <v>15380.399999999998</v>
      </c>
      <c r="AD90">
        <v>11.344375178393223</v>
      </c>
      <c r="AE90">
        <v>24925.861141965586</v>
      </c>
      <c r="AF90">
        <v>9.5244037668290016</v>
      </c>
      <c r="AG90">
        <v>20927.019956476681</v>
      </c>
      <c r="AH90">
        <v>8.6662850674869567</v>
      </c>
      <c r="AI90">
        <v>19041.561550282338</v>
      </c>
      <c r="AJ90">
        <v>8.0656166255578956</v>
      </c>
      <c r="AK90">
        <v>17721.772849675806</v>
      </c>
      <c r="AL90">
        <v>8.9490867072265736</v>
      </c>
      <c r="AM90">
        <v>19662.933313118225</v>
      </c>
      <c r="AN90">
        <v>9.3160860028275732</v>
      </c>
      <c r="AO90">
        <v>20469.304165412741</v>
      </c>
      <c r="AP90">
        <v>12.631361996230753</v>
      </c>
      <c r="AQ90">
        <v>27753.628578118209</v>
      </c>
      <c r="AR90">
        <v>10.676907239378604</v>
      </c>
      <c r="AS90">
        <v>23459.300586362668</v>
      </c>
      <c r="AT90">
        <v>6.5191879836915083</v>
      </c>
      <c r="AU90">
        <v>14323.959837766981</v>
      </c>
      <c r="AV90">
        <v>9.7999265383434579</v>
      </c>
      <c r="AW90">
        <v>21532.398590048244</v>
      </c>
      <c r="AX90">
        <v>11.12620342605666</v>
      </c>
      <c r="AY90">
        <v>24446.494167731693</v>
      </c>
      <c r="AZ90">
        <v>6.9719397720761256</v>
      </c>
      <c r="BA90">
        <v>15318.746067205662</v>
      </c>
      <c r="BB90">
        <v>4.6815649608761118</v>
      </c>
      <c r="BC90">
        <v>10286.334532036992</v>
      </c>
      <c r="BD90">
        <v>6.080214796807434</v>
      </c>
      <c r="BE90">
        <v>13359.447951545293</v>
      </c>
      <c r="BF90">
        <v>5.4835955365780178</v>
      </c>
      <c r="BG90">
        <v>12048.55611296922</v>
      </c>
      <c r="BH90">
        <v>5.5715498531357586</v>
      </c>
      <c r="BI90">
        <v>12241.809337309887</v>
      </c>
      <c r="BJ90">
        <v>8.3597447599742942</v>
      </c>
      <c r="BK90">
        <v>18368.031186615517</v>
      </c>
      <c r="BL90">
        <v>4.3314270730212279</v>
      </c>
      <c r="BM90">
        <v>9517.0115648422416</v>
      </c>
      <c r="BN90">
        <v>7.7529071784414985</v>
      </c>
      <c r="BO90">
        <v>17034.687652471657</v>
      </c>
      <c r="BP90">
        <v>26.876594640086033</v>
      </c>
      <c r="BQ90">
        <v>59053.253743197027</v>
      </c>
      <c r="BR90">
        <v>24.607356923217903</v>
      </c>
      <c r="BS90">
        <v>54067.284631694376</v>
      </c>
      <c r="BT90">
        <v>32.604761553076877</v>
      </c>
      <c r="BU90">
        <v>71639.182084420507</v>
      </c>
      <c r="BV90">
        <v>34.129164849763811</v>
      </c>
      <c r="BW90">
        <v>74988.601007901045</v>
      </c>
      <c r="BX90">
        <v>4.6248425827185953</v>
      </c>
      <c r="BY90">
        <v>10161.704122749297</v>
      </c>
      <c r="BZ90">
        <v>4.0238166713006569</v>
      </c>
      <c r="CA90">
        <v>8841.129990181802</v>
      </c>
      <c r="CB90">
        <v>4.1584980321363032</v>
      </c>
      <c r="CC90">
        <v>9137.0518762098854</v>
      </c>
      <c r="CD90">
        <v>5.2043098142215047</v>
      </c>
      <c r="CE90">
        <v>11434.90952380749</v>
      </c>
      <c r="CF90">
        <v>18.894210245505999</v>
      </c>
      <c r="CG90">
        <v>41514.358751425774</v>
      </c>
      <c r="CH90">
        <v>17.445285059526046</v>
      </c>
      <c r="CI90">
        <v>38330.780332790629</v>
      </c>
      <c r="CJ90">
        <v>18.377816882267592</v>
      </c>
      <c r="CK90">
        <v>40379.739253718348</v>
      </c>
      <c r="CL90">
        <v>19</v>
      </c>
      <c r="CM90">
        <v>41746.799999999996</v>
      </c>
      <c r="CN90">
        <v>27.18406372750562</v>
      </c>
      <c r="CO90">
        <v>59728.824822075345</v>
      </c>
      <c r="CP90">
        <v>16.462643417936526</v>
      </c>
      <c r="CQ90">
        <v>36171.72011789013</v>
      </c>
      <c r="CR90">
        <v>15.923770281040149</v>
      </c>
      <c r="CS90">
        <v>34987.708061501413</v>
      </c>
      <c r="CT90">
        <v>15.238517925338305</v>
      </c>
      <c r="CU90">
        <v>33482.07158555332</v>
      </c>
    </row>
    <row r="91" spans="2:99" x14ac:dyDescent="0.2">
      <c r="C91" s="116" t="s">
        <v>257</v>
      </c>
      <c r="D91">
        <v>2.1567994688805694</v>
      </c>
      <c r="E91">
        <v>4953.7370201248914</v>
      </c>
      <c r="F91">
        <v>3.9715515773105659</v>
      </c>
      <c r="G91">
        <v>9121.8596627669067</v>
      </c>
      <c r="H91">
        <v>3.3136864565495308</v>
      </c>
      <c r="I91">
        <v>7610.8750534029614</v>
      </c>
      <c r="J91">
        <v>2.5986747253178053</v>
      </c>
      <c r="K91">
        <v>5968.6361091099343</v>
      </c>
      <c r="L91">
        <v>7</v>
      </c>
      <c r="M91">
        <v>16077.599999999999</v>
      </c>
      <c r="N91">
        <v>16.32636295601813</v>
      </c>
      <c r="O91">
        <v>37498.390437382433</v>
      </c>
      <c r="P91">
        <v>10</v>
      </c>
      <c r="Q91">
        <v>22967.999999999996</v>
      </c>
      <c r="R91">
        <v>9.4476872310487217</v>
      </c>
      <c r="S91">
        <v>21699.448032272703</v>
      </c>
      <c r="T91">
        <v>11.91342932308363</v>
      </c>
      <c r="U91">
        <v>27362.764469258476</v>
      </c>
      <c r="V91">
        <v>10.260003944483646</v>
      </c>
      <c r="W91">
        <v>23565.177059690035</v>
      </c>
      <c r="X91">
        <v>13.278180788836464</v>
      </c>
      <c r="Y91">
        <v>30497.325635799585</v>
      </c>
      <c r="Z91">
        <v>11.874935550375499</v>
      </c>
      <c r="AA91">
        <v>27274.351972102442</v>
      </c>
      <c r="AB91">
        <v>7</v>
      </c>
      <c r="AC91">
        <v>16077.599999999999</v>
      </c>
      <c r="AD91">
        <v>11.235960878586354</v>
      </c>
      <c r="AE91">
        <v>25806.754945937137</v>
      </c>
      <c r="AF91">
        <v>8.4894435157070678</v>
      </c>
      <c r="AG91">
        <v>19498.553866875991</v>
      </c>
      <c r="AH91">
        <v>8.0046130486800902</v>
      </c>
      <c r="AI91">
        <v>18384.995250208431</v>
      </c>
      <c r="AJ91">
        <v>7.3222990178408534</v>
      </c>
      <c r="AK91">
        <v>16817.85638417687</v>
      </c>
      <c r="AL91">
        <v>8.9490867072265736</v>
      </c>
      <c r="AM91">
        <v>20554.262349157991</v>
      </c>
      <c r="AN91">
        <v>9.432253289128635</v>
      </c>
      <c r="AO91">
        <v>21663.999354470645</v>
      </c>
      <c r="AP91">
        <v>13.550008614281932</v>
      </c>
      <c r="AQ91">
        <v>31121.659785282736</v>
      </c>
      <c r="AR91">
        <v>10.143061877409673</v>
      </c>
      <c r="AS91">
        <v>23296.584520034536</v>
      </c>
      <c r="AT91">
        <v>6.5191879836915083</v>
      </c>
      <c r="AU91">
        <v>14973.270960942655</v>
      </c>
      <c r="AV91">
        <v>9.300446612504226</v>
      </c>
      <c r="AW91">
        <v>21361.265779599704</v>
      </c>
      <c r="AX91">
        <v>11.645388629905648</v>
      </c>
      <c r="AY91">
        <v>26747.128605167291</v>
      </c>
      <c r="AZ91">
        <v>5.7197082298875692</v>
      </c>
      <c r="BA91">
        <v>13137.025862405768</v>
      </c>
      <c r="BB91">
        <v>4.14417622937271</v>
      </c>
      <c r="BC91">
        <v>9518.3439636232397</v>
      </c>
      <c r="BD91">
        <v>6.6269429816055396</v>
      </c>
      <c r="BE91">
        <v>15220.762640151601</v>
      </c>
      <c r="BF91">
        <v>5.4835955365780178</v>
      </c>
      <c r="BG91">
        <v>12594.722228412389</v>
      </c>
      <c r="BH91">
        <v>5.6340395312475859</v>
      </c>
      <c r="BI91">
        <v>12940.261995369454</v>
      </c>
      <c r="BJ91">
        <v>8.5522608897678118</v>
      </c>
      <c r="BK91">
        <v>19642.832811618708</v>
      </c>
      <c r="BL91">
        <v>4.4104763495612982</v>
      </c>
      <c r="BM91">
        <v>10129.982079672389</v>
      </c>
      <c r="BN91">
        <v>7.1851655925472411</v>
      </c>
      <c r="BO91">
        <v>16502.888332962502</v>
      </c>
      <c r="BP91">
        <v>28.492370441126862</v>
      </c>
      <c r="BQ91">
        <v>65441.276429180172</v>
      </c>
      <c r="BR91">
        <v>21.699394540606349</v>
      </c>
      <c r="BS91">
        <v>49839.16938086466</v>
      </c>
      <c r="BT91">
        <v>39.501922650843142</v>
      </c>
      <c r="BU91">
        <v>90728.015944456522</v>
      </c>
      <c r="BV91">
        <v>28.577742719887542</v>
      </c>
      <c r="BW91">
        <v>65637.359479037696</v>
      </c>
      <c r="BX91">
        <v>4.4686319370389462</v>
      </c>
      <c r="BY91">
        <v>10263.553832991051</v>
      </c>
      <c r="BZ91">
        <v>4.0238166713006569</v>
      </c>
      <c r="CA91">
        <v>9241.9021306433478</v>
      </c>
      <c r="CB91">
        <v>4.1584980321363032</v>
      </c>
      <c r="CC91">
        <v>9551.2382802106604</v>
      </c>
      <c r="CD91">
        <v>4.2043098142215047</v>
      </c>
      <c r="CE91">
        <v>9656.4587813039507</v>
      </c>
      <c r="CF91">
        <v>21.066411176915636</v>
      </c>
      <c r="CG91">
        <v>48385.333191139827</v>
      </c>
      <c r="CH91">
        <v>16.395808941800929</v>
      </c>
      <c r="CI91">
        <v>37657.893977528372</v>
      </c>
      <c r="CJ91">
        <v>16.377816882267592</v>
      </c>
      <c r="CK91">
        <v>37616.569815192197</v>
      </c>
      <c r="CL91">
        <v>19.392916732551051</v>
      </c>
      <c r="CM91">
        <v>44541.651151323247</v>
      </c>
      <c r="CN91">
        <v>25.463399994288132</v>
      </c>
      <c r="CO91">
        <v>58484.337106880972</v>
      </c>
      <c r="CP91">
        <v>14.619435466559596</v>
      </c>
      <c r="CQ91">
        <v>33577.919379594074</v>
      </c>
      <c r="CR91">
        <v>16.377988994487534</v>
      </c>
      <c r="CS91">
        <v>37616.965122538961</v>
      </c>
      <c r="CT91">
        <v>16.36729703091892</v>
      </c>
      <c r="CU91">
        <v>37592.407820614571</v>
      </c>
    </row>
    <row r="92" spans="2:99" x14ac:dyDescent="0.2">
      <c r="C92" s="116" t="s">
        <v>258</v>
      </c>
      <c r="D92">
        <v>2.2235965247682041</v>
      </c>
      <c r="E92">
        <v>3159.2859423906643</v>
      </c>
      <c r="F92">
        <v>4.8628317454914347</v>
      </c>
      <c r="G92">
        <v>6909.1113439942301</v>
      </c>
      <c r="H92">
        <v>3.8659675326411196</v>
      </c>
      <c r="I92">
        <v>5492.7666703765026</v>
      </c>
      <c r="J92">
        <v>3.1044550814019458</v>
      </c>
      <c r="K92">
        <v>4410.8097796558841</v>
      </c>
      <c r="L92">
        <v>9</v>
      </c>
      <c r="M92">
        <v>12787.199999999999</v>
      </c>
      <c r="N92">
        <v>15.32636295601813</v>
      </c>
      <c r="O92">
        <v>21775.696487910558</v>
      </c>
      <c r="P92">
        <v>12</v>
      </c>
      <c r="Q92">
        <v>17049.599999999999</v>
      </c>
      <c r="R92">
        <v>10.484994500302781</v>
      </c>
      <c r="S92">
        <v>14897.080186030191</v>
      </c>
      <c r="T92">
        <v>12.509100789237809</v>
      </c>
      <c r="U92">
        <v>17772.93040134908</v>
      </c>
      <c r="V92">
        <v>11.888931403148186</v>
      </c>
      <c r="W92">
        <v>16891.793737592943</v>
      </c>
      <c r="X92">
        <v>14.86965068051321</v>
      </c>
      <c r="Y92">
        <v>21126.799686873168</v>
      </c>
      <c r="Z92">
        <v>12.146102371983501</v>
      </c>
      <c r="AA92">
        <v>17257.182250114158</v>
      </c>
      <c r="AB92">
        <v>8</v>
      </c>
      <c r="AC92">
        <v>11366.4</v>
      </c>
      <c r="AD92">
        <v>12.812114154831507</v>
      </c>
      <c r="AE92">
        <v>18203.451791184605</v>
      </c>
      <c r="AF92">
        <v>10.559364017950935</v>
      </c>
      <c r="AG92">
        <v>15002.744396704689</v>
      </c>
      <c r="AH92">
        <v>8.2937195272828355</v>
      </c>
      <c r="AI92">
        <v>11783.716704363453</v>
      </c>
      <c r="AJ92">
        <v>9.1828887798316821</v>
      </c>
      <c r="AK92">
        <v>13047.048378384854</v>
      </c>
      <c r="AL92">
        <v>9.9434296746961923</v>
      </c>
      <c r="AM92">
        <v>14127.62488180835</v>
      </c>
      <c r="AN92">
        <v>10.036274963483466</v>
      </c>
      <c r="AO92">
        <v>14259.539468117307</v>
      </c>
      <c r="AP92">
        <v>13.871529130205253</v>
      </c>
      <c r="AQ92">
        <v>19708.668588195622</v>
      </c>
      <c r="AR92">
        <v>11.210752601347533</v>
      </c>
      <c r="AS92">
        <v>15928.237295994575</v>
      </c>
      <c r="AT92">
        <v>8.0236159799280102</v>
      </c>
      <c r="AU92">
        <v>11399.953584281717</v>
      </c>
      <c r="AV92">
        <v>9.7999265383434579</v>
      </c>
      <c r="AW92">
        <v>13923.735625678384</v>
      </c>
      <c r="AX92">
        <v>13.252569607058817</v>
      </c>
      <c r="AY92">
        <v>18829.250897709167</v>
      </c>
      <c r="AZ92">
        <v>7.0881917574872233</v>
      </c>
      <c r="BA92">
        <v>10070.902849037846</v>
      </c>
      <c r="BB92">
        <v>4.7856530017229471</v>
      </c>
      <c r="BC92">
        <v>6799.4557848479626</v>
      </c>
      <c r="BD92">
        <v>6.8276946661258444</v>
      </c>
      <c r="BE92">
        <v>9700.7885816315993</v>
      </c>
      <c r="BF92">
        <v>5.4835955365780178</v>
      </c>
      <c r="BG92">
        <v>7791.0925383700478</v>
      </c>
      <c r="BH92">
        <v>5.6340395312475859</v>
      </c>
      <c r="BI92">
        <v>8004.8433659965694</v>
      </c>
      <c r="BJ92">
        <v>9.8709476195244594</v>
      </c>
      <c r="BK92">
        <v>14024.642377820352</v>
      </c>
      <c r="BL92">
        <v>4.8711530926270479</v>
      </c>
      <c r="BM92">
        <v>6920.9343140045094</v>
      </c>
      <c r="BN92">
        <v>9.0372969749564742</v>
      </c>
      <c r="BO92">
        <v>12840.191542018158</v>
      </c>
      <c r="BP92">
        <v>29.775365997758932</v>
      </c>
      <c r="BQ92">
        <v>42304.840009615888</v>
      </c>
      <c r="BR92">
        <v>30.083978373044051</v>
      </c>
      <c r="BS92">
        <v>42743.316472420986</v>
      </c>
      <c r="BT92">
        <v>38.874908005591664</v>
      </c>
      <c r="BU92">
        <v>55233.469294344635</v>
      </c>
      <c r="BV92">
        <v>39.628605726605542</v>
      </c>
      <c r="BW92">
        <v>56304.323016361152</v>
      </c>
      <c r="BX92">
        <v>4.6248425827185953</v>
      </c>
      <c r="BY92">
        <v>6570.9763415265797</v>
      </c>
      <c r="BZ92">
        <v>4.9974130612639778</v>
      </c>
      <c r="CA92">
        <v>7100.324477443859</v>
      </c>
      <c r="CB92">
        <v>5.1584980321363032</v>
      </c>
      <c r="CC92">
        <v>7329.194004059259</v>
      </c>
      <c r="CD92">
        <v>5.2043098142215047</v>
      </c>
      <c r="CE92">
        <v>7394.2833840459134</v>
      </c>
      <c r="CF92">
        <v>22.23861210832527</v>
      </c>
      <c r="CG92">
        <v>31596.620083508544</v>
      </c>
      <c r="CH92">
        <v>18.445285059526046</v>
      </c>
      <c r="CI92">
        <v>26207.061012574606</v>
      </c>
      <c r="CJ92">
        <v>19.377816882267592</v>
      </c>
      <c r="CK92">
        <v>27532.002226325792</v>
      </c>
      <c r="CL92">
        <v>21</v>
      </c>
      <c r="CM92">
        <v>29836.799999999999</v>
      </c>
      <c r="CN92">
        <v>28.531311170859986</v>
      </c>
      <c r="CO92">
        <v>40537.286911557865</v>
      </c>
      <c r="CP92">
        <v>17.384247393624992</v>
      </c>
      <c r="CQ92">
        <v>24699.53869686239</v>
      </c>
      <c r="CR92">
        <v>18.726961956497508</v>
      </c>
      <c r="CS92">
        <v>26607.26754779166</v>
      </c>
      <c r="CT92">
        <v>20.318023900451074</v>
      </c>
      <c r="CU92">
        <v>28867.848357760886</v>
      </c>
    </row>
    <row r="93" spans="2:99" x14ac:dyDescent="0.2">
      <c r="C93" s="116" t="s">
        <v>259</v>
      </c>
      <c r="D93">
        <v>2.2219379863563913</v>
      </c>
      <c r="E93">
        <v>3938.1628870180675</v>
      </c>
      <c r="F93">
        <v>4.8750490463252252</v>
      </c>
      <c r="G93">
        <v>8640.5369297068282</v>
      </c>
      <c r="H93">
        <v>3.3136864565495308</v>
      </c>
      <c r="I93">
        <v>5873.1778755883879</v>
      </c>
      <c r="J93">
        <v>3.1736962509264184</v>
      </c>
      <c r="K93">
        <v>5625.0592351419837</v>
      </c>
      <c r="L93">
        <v>9</v>
      </c>
      <c r="M93">
        <v>15951.599999999999</v>
      </c>
      <c r="N93">
        <v>15.32636295601813</v>
      </c>
      <c r="O93">
        <v>27164.445703246533</v>
      </c>
      <c r="P93">
        <v>11</v>
      </c>
      <c r="Q93">
        <v>19496.399999999998</v>
      </c>
      <c r="R93">
        <v>10.447687231048722</v>
      </c>
      <c r="S93">
        <v>18517.480848310752</v>
      </c>
      <c r="T93">
        <v>10.722086390775265</v>
      </c>
      <c r="U93">
        <v>19003.82591901008</v>
      </c>
      <c r="V93">
        <v>11.469193118298326</v>
      </c>
      <c r="W93">
        <v>20327.99788287195</v>
      </c>
      <c r="X93">
        <v>12.803451745300116</v>
      </c>
      <c r="Y93">
        <v>22692.837873369925</v>
      </c>
      <c r="Z93">
        <v>10.248273876361079</v>
      </c>
      <c r="AA93">
        <v>18164.040618462375</v>
      </c>
      <c r="AB93">
        <v>7</v>
      </c>
      <c r="AC93">
        <v>12406.8</v>
      </c>
      <c r="AD93">
        <v>10.458469774401893</v>
      </c>
      <c r="AE93">
        <v>18536.591828149914</v>
      </c>
      <c r="AF93">
        <v>9.5244037668290016</v>
      </c>
      <c r="AG93">
        <v>16881.05323632772</v>
      </c>
      <c r="AH93">
        <v>8.1973507010819198</v>
      </c>
      <c r="AI93">
        <v>14528.984382597593</v>
      </c>
      <c r="AJ93">
        <v>8.6842827177560231</v>
      </c>
      <c r="AK93">
        <v>15392.022688950774</v>
      </c>
      <c r="AL93">
        <v>10.937772642165811</v>
      </c>
      <c r="AM93">
        <v>19386.108230974682</v>
      </c>
      <c r="AN93">
        <v>9.432253289128635</v>
      </c>
      <c r="AO93">
        <v>16717.725729651593</v>
      </c>
      <c r="AP93">
        <v>13.550008614281932</v>
      </c>
      <c r="AQ93">
        <v>24016.035267953295</v>
      </c>
      <c r="AR93">
        <v>10.143061877409673</v>
      </c>
      <c r="AS93">
        <v>17977.562871520902</v>
      </c>
      <c r="AT93">
        <v>7.5221399811825078</v>
      </c>
      <c r="AU93">
        <v>13332.240902647876</v>
      </c>
      <c r="AV93">
        <v>10.299406464182686</v>
      </c>
      <c r="AW93">
        <v>18254.66801711739</v>
      </c>
      <c r="AX93">
        <v>12.214199199360841</v>
      </c>
      <c r="AY93">
        <v>21648.446660947153</v>
      </c>
      <c r="AZ93">
        <v>6.4039499936873971</v>
      </c>
      <c r="BA93">
        <v>11350.360968811541</v>
      </c>
      <c r="BB93">
        <v>4.7856530017229471</v>
      </c>
      <c r="BC93">
        <v>8482.0913802537507</v>
      </c>
      <c r="BD93">
        <v>6.180590639067586</v>
      </c>
      <c r="BE93">
        <v>10954.478848683388</v>
      </c>
      <c r="BF93">
        <v>5.4835955365780178</v>
      </c>
      <c r="BG93">
        <v>9719.1247290308784</v>
      </c>
      <c r="BH93">
        <v>6.1235014238657932</v>
      </c>
      <c r="BI93">
        <v>10853.29392365973</v>
      </c>
      <c r="BJ93">
        <v>8.3597447599742942</v>
      </c>
      <c r="BK93">
        <v>14816.811612578438</v>
      </c>
      <c r="BL93">
        <v>4.7921038160869784</v>
      </c>
      <c r="BM93">
        <v>8493.5248036325593</v>
      </c>
      <c r="BN93">
        <v>7.4085255296369326</v>
      </c>
      <c r="BO93">
        <v>13130.870648728498</v>
      </c>
      <c r="BP93">
        <v>27.767677601708638</v>
      </c>
      <c r="BQ93">
        <v>49215.431781268388</v>
      </c>
      <c r="BR93">
        <v>23.977918428466754</v>
      </c>
      <c r="BS93">
        <v>42498.462622614476</v>
      </c>
      <c r="BT93">
        <v>40.755951941346098</v>
      </c>
      <c r="BU93">
        <v>72235.849220841817</v>
      </c>
      <c r="BV93">
        <v>37.530578286328648</v>
      </c>
      <c r="BW93">
        <v>66519.196954688887</v>
      </c>
      <c r="BX93">
        <v>4.6248425827185953</v>
      </c>
      <c r="BY93">
        <v>8197.0709936104377</v>
      </c>
      <c r="BZ93">
        <v>4.9326975055402897</v>
      </c>
      <c r="CA93">
        <v>8742.7130588196087</v>
      </c>
      <c r="CB93">
        <v>5.2113307095150709</v>
      </c>
      <c r="CC93">
        <v>9236.5625495445111</v>
      </c>
      <c r="CD93">
        <v>4.2043098142215047</v>
      </c>
      <c r="CE93">
        <v>7451.7187147261948</v>
      </c>
      <c r="CF93">
        <v>22.23861210832527</v>
      </c>
      <c r="CG93">
        <v>39415.716100795704</v>
      </c>
      <c r="CH93">
        <v>18.445285059526046</v>
      </c>
      <c r="CI93">
        <v>32692.423239503962</v>
      </c>
      <c r="CJ93">
        <v>16.33058977198414</v>
      </c>
      <c r="CK93">
        <v>28944.337311864689</v>
      </c>
      <c r="CL93">
        <v>20</v>
      </c>
      <c r="CM93">
        <v>35448</v>
      </c>
      <c r="CN93">
        <v>26.13702371596532</v>
      </c>
      <c r="CO93">
        <v>46325.26083417693</v>
      </c>
      <c r="CP93">
        <v>17.384247393624992</v>
      </c>
      <c r="CQ93">
        <v>30811.840080460934</v>
      </c>
      <c r="CR93">
        <v>17.364305816155344</v>
      </c>
      <c r="CS93">
        <v>30776.49562855373</v>
      </c>
      <c r="CT93">
        <v>19.189244794870461</v>
      </c>
      <c r="CU93">
        <v>34011.017474428401</v>
      </c>
    </row>
    <row r="94" spans="2:99" x14ac:dyDescent="0.2">
      <c r="C94" s="116" t="s">
        <v>260</v>
      </c>
      <c r="D94">
        <v>2.2219379863563913</v>
      </c>
      <c r="E94">
        <v>5321.9858649208281</v>
      </c>
      <c r="F94">
        <v>4.3875441416927021</v>
      </c>
      <c r="G94">
        <v>10509.04572818236</v>
      </c>
      <c r="H94">
        <v>3.3136864565495308</v>
      </c>
      <c r="I94">
        <v>7936.9418007274353</v>
      </c>
      <c r="J94">
        <v>2.6695112209601648</v>
      </c>
      <c r="K94">
        <v>6394.0132764437858</v>
      </c>
      <c r="L94">
        <v>7</v>
      </c>
      <c r="M94">
        <v>16766.399999999998</v>
      </c>
      <c r="N94">
        <v>16.32636295601813</v>
      </c>
      <c r="O94">
        <v>39104.904552254622</v>
      </c>
      <c r="P94">
        <v>11</v>
      </c>
      <c r="Q94">
        <v>26347.199999999997</v>
      </c>
      <c r="R94">
        <v>9.4849945003027809</v>
      </c>
      <c r="S94">
        <v>22718.458827125218</v>
      </c>
      <c r="T94">
        <v>10.126414924621084</v>
      </c>
      <c r="U94">
        <v>24254.789027452418</v>
      </c>
      <c r="V94">
        <v>10.243328717572011</v>
      </c>
      <c r="W94">
        <v>24534.82094432848</v>
      </c>
      <c r="X94">
        <v>13.325975863427235</v>
      </c>
      <c r="Y94">
        <v>31918.377388080909</v>
      </c>
      <c r="Z94">
        <v>10.943841805857481</v>
      </c>
      <c r="AA94">
        <v>26212.689893389837</v>
      </c>
      <c r="AB94">
        <v>7</v>
      </c>
      <c r="AC94">
        <v>16766.399999999998</v>
      </c>
      <c r="AD94">
        <v>12.344375178393223</v>
      </c>
      <c r="AE94">
        <v>29567.247427287446</v>
      </c>
      <c r="AF94">
        <v>8.5244037668290016</v>
      </c>
      <c r="AG94">
        <v>20417.651902308822</v>
      </c>
      <c r="AH94">
        <v>7.9082442224791754</v>
      </c>
      <c r="AI94">
        <v>18941.826561682119</v>
      </c>
      <c r="AJ94">
        <v>8.0656166255578956</v>
      </c>
      <c r="AK94">
        <v>19318.764941536268</v>
      </c>
      <c r="AL94">
        <v>10.937772642165811</v>
      </c>
      <c r="AM94">
        <v>26198.153032515547</v>
      </c>
      <c r="AN94">
        <v>9.3160860028275732</v>
      </c>
      <c r="AO94">
        <v>22313.889193972602</v>
      </c>
      <c r="AP94">
        <v>12.470601738269091</v>
      </c>
      <c r="AQ94">
        <v>29869.585283502125</v>
      </c>
      <c r="AR94">
        <v>9.0753711534718136</v>
      </c>
      <c r="AS94">
        <v>21737.328986795685</v>
      </c>
      <c r="AT94">
        <v>6.5191879836915083</v>
      </c>
      <c r="AU94">
        <v>15614.7590585379</v>
      </c>
      <c r="AV94">
        <v>8.8199338845091102</v>
      </c>
      <c r="AW94">
        <v>21125.505640176219</v>
      </c>
      <c r="AX94">
        <v>11.151016108859764</v>
      </c>
      <c r="AY94">
        <v>26708.913783940905</v>
      </c>
      <c r="AZ94">
        <v>6.9719397720761256</v>
      </c>
      <c r="BA94">
        <v>16699.190142076735</v>
      </c>
      <c r="BB94">
        <v>4.6815649608761118</v>
      </c>
      <c r="BC94">
        <v>11213.284394290462</v>
      </c>
      <c r="BD94">
        <v>6.7273188238656916</v>
      </c>
      <c r="BE94">
        <v>16113.274046923103</v>
      </c>
      <c r="BF94">
        <v>4.7981460945057668</v>
      </c>
      <c r="BG94">
        <v>11492.519525560212</v>
      </c>
      <c r="BH94">
        <v>5.6340395312475859</v>
      </c>
      <c r="BI94">
        <v>13494.651485244216</v>
      </c>
      <c r="BJ94">
        <v>8.1672286301807748</v>
      </c>
      <c r="BK94">
        <v>19562.146015008992</v>
      </c>
      <c r="BL94">
        <v>4.4104763495612982</v>
      </c>
      <c r="BM94">
        <v>10563.972952469221</v>
      </c>
      <c r="BN94">
        <v>7.334072217273703</v>
      </c>
      <c r="BO94">
        <v>17566.569774813972</v>
      </c>
      <c r="BP94">
        <v>26.285527679469883</v>
      </c>
      <c r="BQ94">
        <v>62959.09589786626</v>
      </c>
      <c r="BR94">
        <v>23.845706371768042</v>
      </c>
      <c r="BS94">
        <v>57115.235901658809</v>
      </c>
      <c r="BT94">
        <v>35.112820134082789</v>
      </c>
      <c r="BU94">
        <v>84102.226785155086</v>
      </c>
      <c r="BV94">
        <v>30.649779533647163</v>
      </c>
      <c r="BW94">
        <v>73412.351938991676</v>
      </c>
      <c r="BX94">
        <v>4.6248425827185953</v>
      </c>
      <c r="BY94">
        <v>11077.422954127578</v>
      </c>
      <c r="BZ94">
        <v>3.9914588934388129</v>
      </c>
      <c r="CA94">
        <v>9560.342341564643</v>
      </c>
      <c r="CB94">
        <v>4.1584980321363032</v>
      </c>
      <c r="CC94">
        <v>9960.4344865728726</v>
      </c>
      <c r="CD94">
        <v>4.2043098142215047</v>
      </c>
      <c r="CE94">
        <v>10070.162867023348</v>
      </c>
      <c r="CF94">
        <v>19.722009314096361</v>
      </c>
      <c r="CG94">
        <v>47238.156709123599</v>
      </c>
      <c r="CH94">
        <v>16.395808941800929</v>
      </c>
      <c r="CI94">
        <v>39271.241577401583</v>
      </c>
      <c r="CJ94">
        <v>15.330589771984142</v>
      </c>
      <c r="CK94">
        <v>36719.828621856417</v>
      </c>
      <c r="CL94">
        <v>19</v>
      </c>
      <c r="CM94">
        <v>45508.799999999996</v>
      </c>
      <c r="CN94">
        <v>26.036954572027295</v>
      </c>
      <c r="CO94">
        <v>62363.713590919768</v>
      </c>
      <c r="CP94">
        <v>16.001841430092291</v>
      </c>
      <c r="CQ94">
        <v>38327.610593357051</v>
      </c>
      <c r="CR94">
        <v>17.740645134829702</v>
      </c>
      <c r="CS94">
        <v>42492.393226944099</v>
      </c>
      <c r="CT94">
        <v>15.802907478128613</v>
      </c>
      <c r="CU94">
        <v>37851.123991613655</v>
      </c>
    </row>
    <row r="95" spans="2:99" x14ac:dyDescent="0.2">
      <c r="B95" s="116" t="s">
        <v>132</v>
      </c>
      <c r="C95" s="116" t="s">
        <v>261</v>
      </c>
      <c r="D95">
        <v>2.2576783318346649</v>
      </c>
      <c r="E95">
        <v>3912.1050134031075</v>
      </c>
      <c r="F95">
        <v>3.6985836934292022</v>
      </c>
      <c r="G95">
        <v>6408.9058239741216</v>
      </c>
      <c r="H95">
        <v>4.4182486087327071</v>
      </c>
      <c r="I95">
        <v>7655.9411892120343</v>
      </c>
      <c r="J95">
        <v>3.2360243406067162</v>
      </c>
      <c r="K95">
        <v>5607.3829774033175</v>
      </c>
      <c r="L95">
        <v>8</v>
      </c>
      <c r="M95">
        <v>13862.4</v>
      </c>
      <c r="N95">
        <v>7.3054518240725228</v>
      </c>
      <c r="O95">
        <v>12658.886920752868</v>
      </c>
      <c r="P95">
        <v>4</v>
      </c>
      <c r="Q95">
        <v>6931.2</v>
      </c>
      <c r="R95">
        <v>7</v>
      </c>
      <c r="S95">
        <v>12129.6</v>
      </c>
      <c r="T95">
        <v>7.7437290600043589</v>
      </c>
      <c r="U95">
        <v>13418.333715175553</v>
      </c>
      <c r="V95">
        <v>4.8367566952587273</v>
      </c>
      <c r="W95">
        <v>8381.1320015443216</v>
      </c>
      <c r="X95">
        <v>4.1801929450169579</v>
      </c>
      <c r="Y95">
        <v>7243.4383351253846</v>
      </c>
      <c r="Z95">
        <v>4.9343540886182975</v>
      </c>
      <c r="AA95">
        <v>8550.2487647577855</v>
      </c>
      <c r="AB95">
        <v>7</v>
      </c>
      <c r="AC95">
        <v>12129.6</v>
      </c>
      <c r="AD95">
        <v>5.6970018704407988</v>
      </c>
      <c r="AE95">
        <v>9871.7648410998154</v>
      </c>
      <c r="AF95">
        <v>5.5943242690728683</v>
      </c>
      <c r="AG95">
        <v>9693.8450934494667</v>
      </c>
      <c r="AH95">
        <v>8.5251864734832843</v>
      </c>
      <c r="AI95">
        <v>14772.443121251834</v>
      </c>
      <c r="AJ95">
        <v>3.8504225248970223</v>
      </c>
      <c r="AK95">
        <v>6672.01215114156</v>
      </c>
      <c r="AL95">
        <v>5.9660578048177149</v>
      </c>
      <c r="AM95">
        <v>10337.984964188136</v>
      </c>
      <c r="AN95">
        <v>4.6232651371395042</v>
      </c>
      <c r="AO95">
        <v>8011.1938296353328</v>
      </c>
      <c r="AP95">
        <v>6.6831164437574833</v>
      </c>
      <c r="AQ95">
        <v>11580.504173742967</v>
      </c>
      <c r="AR95">
        <v>20.478315173469415</v>
      </c>
      <c r="AS95">
        <v>35484.824532587802</v>
      </c>
      <c r="AT95">
        <v>29.085607927239032</v>
      </c>
      <c r="AU95">
        <v>50399.541416319793</v>
      </c>
      <c r="AV95">
        <v>24.034828324144584</v>
      </c>
      <c r="AW95">
        <v>41647.550520077733</v>
      </c>
      <c r="AX95">
        <v>22.35630326816381</v>
      </c>
      <c r="AY95">
        <v>38739.002303074252</v>
      </c>
      <c r="AZ95">
        <v>10.858156532719651</v>
      </c>
      <c r="BA95">
        <v>18815.01363989661</v>
      </c>
      <c r="BB95">
        <v>8.8426897175180468</v>
      </c>
      <c r="BC95">
        <v>15322.612742515272</v>
      </c>
      <c r="BD95">
        <v>14.446982124782483</v>
      </c>
      <c r="BE95">
        <v>25033.730625823086</v>
      </c>
      <c r="BF95">
        <v>13.708988841445045</v>
      </c>
      <c r="BG95">
        <v>23754.935864455972</v>
      </c>
      <c r="BH95">
        <v>5.9362759050769505</v>
      </c>
      <c r="BI95">
        <v>10286.37888831734</v>
      </c>
      <c r="BJ95">
        <v>6.7233576567293847</v>
      </c>
      <c r="BK95">
        <v>11650.234147580677</v>
      </c>
      <c r="BL95">
        <v>3.6854139445260006</v>
      </c>
      <c r="BM95">
        <v>6386.0852830746535</v>
      </c>
      <c r="BN95">
        <v>4.4395944617792393</v>
      </c>
      <c r="BO95">
        <v>7692.929283371066</v>
      </c>
      <c r="BP95">
        <v>9.2890875347963195</v>
      </c>
      <c r="BQ95">
        <v>16096.130880295063</v>
      </c>
      <c r="BR95">
        <v>7.7429926694683706</v>
      </c>
      <c r="BS95">
        <v>13417.057697654793</v>
      </c>
      <c r="BT95">
        <v>5.6431318072633054</v>
      </c>
      <c r="BU95">
        <v>9778.4187956258556</v>
      </c>
      <c r="BV95">
        <v>3.4533946895993748</v>
      </c>
      <c r="BW95">
        <v>5984.0423181377964</v>
      </c>
      <c r="BX95">
        <v>33.06147678767087</v>
      </c>
      <c r="BY95">
        <v>57288.926977676085</v>
      </c>
      <c r="BZ95">
        <v>28.237158363044291</v>
      </c>
      <c r="CA95">
        <v>48929.348011483147</v>
      </c>
      <c r="CB95">
        <v>25.73965748330275</v>
      </c>
      <c r="CC95">
        <v>44601.678487067002</v>
      </c>
      <c r="CD95">
        <v>25.85455855684852</v>
      </c>
      <c r="CE95">
        <v>44800.779067307114</v>
      </c>
      <c r="CF95">
        <v>7.7884204910119994</v>
      </c>
      <c r="CG95">
        <v>13495.775026825591</v>
      </c>
      <c r="CH95">
        <v>5.8410940013269741</v>
      </c>
      <c r="CI95">
        <v>10121.447685499381</v>
      </c>
      <c r="CJ95">
        <v>3.4250439925510401</v>
      </c>
      <c r="CK95">
        <v>5934.9162302924424</v>
      </c>
      <c r="CL95">
        <v>5.7858334651021019</v>
      </c>
      <c r="CM95">
        <v>10025.692228328922</v>
      </c>
      <c r="CN95">
        <v>6.1700546386505488</v>
      </c>
      <c r="CO95">
        <v>10691.470677853671</v>
      </c>
      <c r="CP95">
        <v>2.7648119270653928</v>
      </c>
      <c r="CQ95">
        <v>4790.8661072189125</v>
      </c>
      <c r="CR95">
        <v>5.9701315507699668</v>
      </c>
      <c r="CS95">
        <v>10345.043951174199</v>
      </c>
      <c r="CT95">
        <v>5.6438955279030756</v>
      </c>
      <c r="CU95">
        <v>9779.7421707504491</v>
      </c>
    </row>
    <row r="96" spans="2:99" x14ac:dyDescent="0.2">
      <c r="C96" s="116" t="s">
        <v>262</v>
      </c>
      <c r="D96">
        <v>2.7361150283226903</v>
      </c>
      <c r="E96">
        <v>2252.3698913152384</v>
      </c>
      <c r="F96">
        <v>3.770096033679589</v>
      </c>
      <c r="G96">
        <v>3103.5430549250373</v>
      </c>
      <c r="H96">
        <v>5.5228107609158839</v>
      </c>
      <c r="I96">
        <v>4546.3778183859549</v>
      </c>
      <c r="J96">
        <v>3.2360243406067162</v>
      </c>
      <c r="K96">
        <v>2663.8952371874484</v>
      </c>
      <c r="L96">
        <v>7</v>
      </c>
      <c r="M96">
        <v>5762.4</v>
      </c>
      <c r="N96">
        <v>7.3870425630770553</v>
      </c>
      <c r="O96">
        <v>6081.0134379250312</v>
      </c>
      <c r="P96">
        <v>5</v>
      </c>
      <c r="Q96">
        <v>4116</v>
      </c>
      <c r="R96">
        <v>8</v>
      </c>
      <c r="S96">
        <v>6585.5999999999995</v>
      </c>
      <c r="T96">
        <v>8.9350719923127215</v>
      </c>
      <c r="U96">
        <v>7355.3512640718318</v>
      </c>
      <c r="V96">
        <v>4.8367566952587273</v>
      </c>
      <c r="W96">
        <v>3981.6181115369841</v>
      </c>
      <c r="X96">
        <v>8.2116112077675005</v>
      </c>
      <c r="Y96">
        <v>6759.7983462342063</v>
      </c>
      <c r="Z96">
        <v>6.0730511859917504</v>
      </c>
      <c r="AA96">
        <v>4999.3357363084087</v>
      </c>
      <c r="AB96">
        <v>7</v>
      </c>
      <c r="AC96">
        <v>5762.4</v>
      </c>
      <c r="AD96">
        <v>6.6970018704407988</v>
      </c>
      <c r="AE96">
        <v>5512.9719397468652</v>
      </c>
      <c r="AF96">
        <v>6.5244037668290016</v>
      </c>
      <c r="AG96">
        <v>5370.8891808536337</v>
      </c>
      <c r="AH96">
        <v>9.7650714494956432</v>
      </c>
      <c r="AI96">
        <v>8038.6068172248124</v>
      </c>
      <c r="AJ96">
        <v>4.7183916481329797</v>
      </c>
      <c r="AK96">
        <v>3884.1800047430688</v>
      </c>
      <c r="AL96">
        <v>6.9604007722873344</v>
      </c>
      <c r="AM96">
        <v>5729.8019157469334</v>
      </c>
      <c r="AN96">
        <v>4.7394324234405669</v>
      </c>
      <c r="AO96">
        <v>3901.5007709762745</v>
      </c>
      <c r="AP96">
        <v>7.9232835777319837</v>
      </c>
      <c r="AQ96">
        <v>6522.4470411889688</v>
      </c>
      <c r="AR96">
        <v>25.566143563488239</v>
      </c>
      <c r="AS96">
        <v>21046.049381463516</v>
      </c>
      <c r="AT96">
        <v>30.590035923475536</v>
      </c>
      <c r="AU96">
        <v>25181.71757220506</v>
      </c>
      <c r="AV96">
        <v>33.151143612519093</v>
      </c>
      <c r="AW96">
        <v>27290.021421825713</v>
      </c>
      <c r="AX96">
        <v>24.526508502042361</v>
      </c>
      <c r="AY96">
        <v>20190.22179888127</v>
      </c>
      <c r="AZ96">
        <v>13.02713380953023</v>
      </c>
      <c r="BA96">
        <v>10723.936552005285</v>
      </c>
      <c r="BB96">
        <v>11.512684847765835</v>
      </c>
      <c r="BC96">
        <v>9477.242166680835</v>
      </c>
      <c r="BD96">
        <v>14.454953308140501</v>
      </c>
      <c r="BE96">
        <v>11899.31756326126</v>
      </c>
      <c r="BF96">
        <v>14.394438283517298</v>
      </c>
      <c r="BG96">
        <v>11849.501594991438</v>
      </c>
      <c r="BH96">
        <v>7.2901377589843275</v>
      </c>
      <c r="BI96">
        <v>6001.2414031958979</v>
      </c>
      <c r="BJ96">
        <v>7.9457863215892734</v>
      </c>
      <c r="BK96">
        <v>6540.9712999322892</v>
      </c>
      <c r="BL96">
        <v>3.6854139445260006</v>
      </c>
      <c r="BM96">
        <v>3033.8327591338034</v>
      </c>
      <c r="BN96">
        <v>4.9328827353102662</v>
      </c>
      <c r="BO96">
        <v>4060.7490677074106</v>
      </c>
      <c r="BP96">
        <v>8.938488783176366</v>
      </c>
      <c r="BQ96">
        <v>7358.1639663107835</v>
      </c>
      <c r="BR96">
        <v>8.9329011797568132</v>
      </c>
      <c r="BS96">
        <v>7353.5642511758078</v>
      </c>
      <c r="BT96">
        <v>6.2701464525147843</v>
      </c>
      <c r="BU96">
        <v>5161.5845597101697</v>
      </c>
      <c r="BV96">
        <v>4.1440736275192505</v>
      </c>
      <c r="BW96">
        <v>3411.4014101738467</v>
      </c>
      <c r="BX96">
        <v>31.21768743335052</v>
      </c>
      <c r="BY96">
        <v>25698.400295134146</v>
      </c>
      <c r="BZ96">
        <v>32.943351423551668</v>
      </c>
      <c r="CA96">
        <v>27118.966891867731</v>
      </c>
      <c r="CB96">
        <v>26.898155515439051</v>
      </c>
      <c r="CC96">
        <v>22142.561620309425</v>
      </c>
      <c r="CD96">
        <v>29.051764377659715</v>
      </c>
      <c r="CE96">
        <v>23915.412435689475</v>
      </c>
      <c r="CF96">
        <v>7.9606214224216352</v>
      </c>
      <c r="CG96">
        <v>6553.1835549374891</v>
      </c>
      <c r="CH96">
        <v>6.9400462367772064</v>
      </c>
      <c r="CI96">
        <v>5713.0460621149959</v>
      </c>
      <c r="CJ96">
        <v>4.519498213117938</v>
      </c>
      <c r="CK96">
        <v>3720.4509290386864</v>
      </c>
      <c r="CL96">
        <v>5.8349480566709833</v>
      </c>
      <c r="CM96">
        <v>4803.3292402515526</v>
      </c>
      <c r="CN96">
        <v>6.1700546386505488</v>
      </c>
      <c r="CO96">
        <v>5079.1889785371313</v>
      </c>
      <c r="CP96">
        <v>2.304009939221161</v>
      </c>
      <c r="CQ96">
        <v>1896.6609819668597</v>
      </c>
      <c r="CR96">
        <v>5.5159128373225785</v>
      </c>
      <c r="CS96">
        <v>4540.6994476839463</v>
      </c>
      <c r="CT96">
        <v>5.6438955279030756</v>
      </c>
      <c r="CU96">
        <v>4646.0547985698113</v>
      </c>
    </row>
    <row r="97" spans="2:99" x14ac:dyDescent="0.2">
      <c r="C97" s="116" t="s">
        <v>263</v>
      </c>
      <c r="D97">
        <v>2.3249309071373956</v>
      </c>
      <c r="E97">
        <v>4251.8336429728688</v>
      </c>
      <c r="F97">
        <v>3.4256158095478391</v>
      </c>
      <c r="G97">
        <v>6264.766192501088</v>
      </c>
      <c r="H97">
        <v>5.5228107609158839</v>
      </c>
      <c r="I97">
        <v>10100.116319562969</v>
      </c>
      <c r="J97">
        <v>2.8037393570280793</v>
      </c>
      <c r="K97">
        <v>5127.4785361329514</v>
      </c>
      <c r="L97">
        <v>7</v>
      </c>
      <c r="M97">
        <v>12801.6</v>
      </c>
      <c r="N97">
        <v>7.1422703460634578</v>
      </c>
      <c r="O97">
        <v>13061.784008880852</v>
      </c>
      <c r="P97">
        <v>4</v>
      </c>
      <c r="Q97">
        <v>7315.2</v>
      </c>
      <c r="R97">
        <v>6</v>
      </c>
      <c r="S97">
        <v>10972.8</v>
      </c>
      <c r="T97">
        <v>8.3394005261585402</v>
      </c>
      <c r="U97">
        <v>15251.095682238738</v>
      </c>
      <c r="V97">
        <v>4.0306305793822732</v>
      </c>
      <c r="W97">
        <v>7371.2172035743015</v>
      </c>
      <c r="X97">
        <v>7.3747323500091904</v>
      </c>
      <c r="Y97">
        <v>13486.910521696807</v>
      </c>
      <c r="Z97">
        <v>5.3139197877427824</v>
      </c>
      <c r="AA97">
        <v>9718.0965078240006</v>
      </c>
      <c r="AB97">
        <v>6</v>
      </c>
      <c r="AC97">
        <v>10972.8</v>
      </c>
      <c r="AD97">
        <v>5.6472160225521701</v>
      </c>
      <c r="AE97">
        <v>10327.628662043409</v>
      </c>
      <c r="AF97">
        <v>5.5943242690728683</v>
      </c>
      <c r="AG97">
        <v>10230.900223280461</v>
      </c>
      <c r="AH97">
        <v>9.7650714494956432</v>
      </c>
      <c r="AI97">
        <v>17858.362666837631</v>
      </c>
      <c r="AJ97">
        <v>3.975074040415937</v>
      </c>
      <c r="AK97">
        <v>7269.615405112665</v>
      </c>
      <c r="AL97">
        <v>5.9660578048177149</v>
      </c>
      <c r="AM97">
        <v>10910.726513450636</v>
      </c>
      <c r="AN97">
        <v>4.5070978508384432</v>
      </c>
      <c r="AO97">
        <v>8242.5805496133453</v>
      </c>
      <c r="AP97">
        <v>6.3615959278341627</v>
      </c>
      <c r="AQ97">
        <v>11634.086632823117</v>
      </c>
      <c r="AR97">
        <v>21.640412608173428</v>
      </c>
      <c r="AS97">
        <v>39575.986577827563</v>
      </c>
      <c r="AT97">
        <v>28.082655929748032</v>
      </c>
      <c r="AU97">
        <v>51357.561164323197</v>
      </c>
      <c r="AV97">
        <v>27.398417420110391</v>
      </c>
      <c r="AW97">
        <v>50106.225777897882</v>
      </c>
      <c r="AX97">
        <v>20.611818819651635</v>
      </c>
      <c r="AY97">
        <v>37694.89425737891</v>
      </c>
      <c r="AZ97">
        <v>11.542398296519478</v>
      </c>
      <c r="BA97">
        <v>21108.738004674822</v>
      </c>
      <c r="BB97">
        <v>10.021555221371687</v>
      </c>
      <c r="BC97">
        <v>18327.420188844539</v>
      </c>
      <c r="BD97">
        <v>14.539386783684623</v>
      </c>
      <c r="BE97">
        <v>26589.630550002439</v>
      </c>
      <c r="BF97">
        <v>15.07988772558955</v>
      </c>
      <c r="BG97">
        <v>27578.098672558168</v>
      </c>
      <c r="BH97">
        <v>6.3632481195833304</v>
      </c>
      <c r="BI97">
        <v>11637.108161093995</v>
      </c>
      <c r="BJ97">
        <v>6.7233576567293847</v>
      </c>
      <c r="BK97">
        <v>12295.676482626699</v>
      </c>
      <c r="BL97">
        <v>3.6854139445260006</v>
      </c>
      <c r="BM97">
        <v>6739.8850217491499</v>
      </c>
      <c r="BN97">
        <v>4.4395944617792393</v>
      </c>
      <c r="BO97">
        <v>8119.1303517018723</v>
      </c>
      <c r="BP97">
        <v>9.6631816225945908</v>
      </c>
      <c r="BQ97">
        <v>17672.026551400988</v>
      </c>
      <c r="BR97">
        <v>8.4040529529619512</v>
      </c>
      <c r="BS97">
        <v>15369.332040376816</v>
      </c>
      <c r="BT97">
        <v>5.6431318072633054</v>
      </c>
      <c r="BU97">
        <v>10320.159449123134</v>
      </c>
      <c r="BV97">
        <v>3.4533946895993748</v>
      </c>
      <c r="BW97">
        <v>6315.5682083393367</v>
      </c>
      <c r="BX97">
        <v>29.592844850631923</v>
      </c>
      <c r="BY97">
        <v>54119.394662835657</v>
      </c>
      <c r="BZ97">
        <v>29.178396975145766</v>
      </c>
      <c r="CA97">
        <v>53361.452388146579</v>
      </c>
      <c r="CB97">
        <v>25.792490160681517</v>
      </c>
      <c r="CC97">
        <v>47169.306005854356</v>
      </c>
      <c r="CD97">
        <v>25.920293830452252</v>
      </c>
      <c r="CE97">
        <v>47403.033357131077</v>
      </c>
      <c r="CF97">
        <v>7.4440186281927261</v>
      </c>
      <c r="CG97">
        <v>13613.621267238857</v>
      </c>
      <c r="CH97">
        <v>5.8905701190520903</v>
      </c>
      <c r="CI97">
        <v>10772.674633722463</v>
      </c>
      <c r="CJ97">
        <v>3.5194982131179375</v>
      </c>
      <c r="CK97">
        <v>6436.4583321500841</v>
      </c>
      <c r="CL97">
        <v>5.7858334651021019</v>
      </c>
      <c r="CM97">
        <v>10581.132240978724</v>
      </c>
      <c r="CN97">
        <v>5.8698472068364813</v>
      </c>
      <c r="CO97">
        <v>10734.776571862556</v>
      </c>
      <c r="CP97">
        <v>2.304009939221161</v>
      </c>
      <c r="CQ97">
        <v>4213.5733768476593</v>
      </c>
      <c r="CR97">
        <v>5.2822746530034932</v>
      </c>
      <c r="CS97">
        <v>9660.2238854127881</v>
      </c>
      <c r="CT97">
        <v>5.0795059751127685</v>
      </c>
      <c r="CU97">
        <v>9289.4005272862305</v>
      </c>
    </row>
    <row r="98" spans="2:99" x14ac:dyDescent="0.2">
      <c r="C98" s="116" t="s">
        <v>264</v>
      </c>
      <c r="D98">
        <v>2.2913046194860298</v>
      </c>
      <c r="E98">
        <v>2895.2925171825473</v>
      </c>
      <c r="F98">
        <v>3.770096033679589</v>
      </c>
      <c r="G98">
        <v>4763.8933481575286</v>
      </c>
      <c r="H98">
        <v>4.4182486087327071</v>
      </c>
      <c r="I98">
        <v>5582.8989419946483</v>
      </c>
      <c r="J98">
        <v>3.1646560695917283</v>
      </c>
      <c r="K98">
        <v>3998.8594095361077</v>
      </c>
      <c r="L98">
        <v>8</v>
      </c>
      <c r="M98">
        <v>10108.799999999999</v>
      </c>
      <c r="N98">
        <v>7.2238610850679903</v>
      </c>
      <c r="O98">
        <v>9128.0708670919121</v>
      </c>
      <c r="P98">
        <v>5</v>
      </c>
      <c r="Q98">
        <v>6318</v>
      </c>
      <c r="R98">
        <v>8</v>
      </c>
      <c r="S98">
        <v>10108.799999999999</v>
      </c>
      <c r="T98">
        <v>8.3394005261585402</v>
      </c>
      <c r="U98">
        <v>10537.666504853931</v>
      </c>
      <c r="V98">
        <v>4.0306305793822732</v>
      </c>
      <c r="W98">
        <v>5093.1048001074405</v>
      </c>
      <c r="X98">
        <v>6.852208231882071</v>
      </c>
      <c r="Y98">
        <v>8658.4503218061836</v>
      </c>
      <c r="Z98">
        <v>5.6934854868672664</v>
      </c>
      <c r="AA98">
        <v>7194.2882612054773</v>
      </c>
      <c r="AB98">
        <v>6</v>
      </c>
      <c r="AC98">
        <v>7581.5999999999995</v>
      </c>
      <c r="AD98">
        <v>5.5974301746635415</v>
      </c>
      <c r="AE98">
        <v>7072.9127687048504</v>
      </c>
      <c r="AF98">
        <v>5.5943242690728683</v>
      </c>
      <c r="AG98">
        <v>7068.9881464004757</v>
      </c>
      <c r="AH98">
        <v>9.9578091018974728</v>
      </c>
      <c r="AI98">
        <v>12582.687581157646</v>
      </c>
      <c r="AJ98">
        <v>4.224377071453767</v>
      </c>
      <c r="AK98">
        <v>5337.9228674889791</v>
      </c>
      <c r="AL98">
        <v>5.9660578048177149</v>
      </c>
      <c r="AM98">
        <v>7538.7106421676635</v>
      </c>
      <c r="AN98">
        <v>4.6232651371395042</v>
      </c>
      <c r="AO98">
        <v>5841.9578272894769</v>
      </c>
      <c r="AP98">
        <v>7.7625233197703229</v>
      </c>
      <c r="AQ98">
        <v>9808.7244668617786</v>
      </c>
      <c r="AR98">
        <v>23.964607477581449</v>
      </c>
      <c r="AS98">
        <v>30281.678008671915</v>
      </c>
      <c r="AT98">
        <v>27.581179931002531</v>
      </c>
      <c r="AU98">
        <v>34851.578960814797</v>
      </c>
      <c r="AV98">
        <v>28.553964895260208</v>
      </c>
      <c r="AW98">
        <v>36080.790041650798</v>
      </c>
      <c r="AX98">
        <v>22.78202405353019</v>
      </c>
      <c r="AY98">
        <v>28787.365594040744</v>
      </c>
      <c r="AZ98">
        <v>12.4591440311415</v>
      </c>
      <c r="BA98">
        <v>15743.374397750398</v>
      </c>
      <c r="BB98">
        <v>10.125643262218523</v>
      </c>
      <c r="BC98">
        <v>12794.762826139324</v>
      </c>
      <c r="BD98">
        <v>15.729233403861976</v>
      </c>
      <c r="BE98">
        <v>19875.459329119993</v>
      </c>
      <c r="BF98">
        <v>15.07988772558955</v>
      </c>
      <c r="BG98">
        <v>19054.946130054956</v>
      </c>
      <c r="BH98">
        <v>7.040179046537018</v>
      </c>
      <c r="BI98">
        <v>8895.9702432041759</v>
      </c>
      <c r="BJ98">
        <v>10.862454447290038</v>
      </c>
      <c r="BK98">
        <v>13725.79743959569</v>
      </c>
      <c r="BL98">
        <v>6.5311878999685131</v>
      </c>
      <c r="BM98">
        <v>8252.8090304002126</v>
      </c>
      <c r="BN98">
        <v>4.4395944617792393</v>
      </c>
      <c r="BO98">
        <v>5609.8715619042468</v>
      </c>
      <c r="BP98">
        <v>9.5384835933285022</v>
      </c>
      <c r="BQ98">
        <v>12052.827868529894</v>
      </c>
      <c r="BR98">
        <v>8.0074167828658034</v>
      </c>
      <c r="BS98">
        <v>10118.171846829229</v>
      </c>
      <c r="BT98">
        <v>5.6431318072633054</v>
      </c>
      <c r="BU98">
        <v>7130.6613516579118</v>
      </c>
      <c r="BV98">
        <v>4.1440736275192505</v>
      </c>
      <c r="BW98">
        <v>5236.4514357333246</v>
      </c>
      <c r="BX98">
        <v>31.90526614199122</v>
      </c>
      <c r="BY98">
        <v>40315.494297020101</v>
      </c>
      <c r="BZ98">
        <v>31.060874199348717</v>
      </c>
      <c r="CA98">
        <v>39248.520638297035</v>
      </c>
      <c r="CB98">
        <v>24.950988192817821</v>
      </c>
      <c r="CC98">
        <v>31528.068680444598</v>
      </c>
      <c r="CD98">
        <v>25</v>
      </c>
      <c r="CE98">
        <v>31589.999999999996</v>
      </c>
      <c r="CF98">
        <v>7.2718176967830903</v>
      </c>
      <c r="CG98">
        <v>9188.6688416551115</v>
      </c>
      <c r="CH98">
        <v>6.9400462367772064</v>
      </c>
      <c r="CI98">
        <v>8769.4424247916777</v>
      </c>
      <c r="CJ98">
        <v>4.4722711028344886</v>
      </c>
      <c r="CK98">
        <v>5651.1617655416594</v>
      </c>
      <c r="CL98">
        <v>5.7858334651021019</v>
      </c>
      <c r="CM98">
        <v>7310.9791665030152</v>
      </c>
      <c r="CN98">
        <v>5.7697780628984594</v>
      </c>
      <c r="CO98">
        <v>7290.6915602784929</v>
      </c>
      <c r="CP98">
        <v>2.304009939221161</v>
      </c>
      <c r="CQ98">
        <v>2911.3469591998587</v>
      </c>
      <c r="CR98">
        <v>5.8274304164146926</v>
      </c>
      <c r="CS98">
        <v>7363.5410741816049</v>
      </c>
      <c r="CT98">
        <v>6.2082850806933836</v>
      </c>
      <c r="CU98">
        <v>7844.7890279641588</v>
      </c>
    </row>
    <row r="99" spans="2:99" x14ac:dyDescent="0.2">
      <c r="C99" s="116" t="s">
        <v>265</v>
      </c>
      <c r="D99">
        <v>1.8128679229980051</v>
      </c>
      <c r="E99">
        <v>9937.4168067058636</v>
      </c>
      <c r="F99">
        <v>2.7235738841641575</v>
      </c>
      <c r="G99">
        <v>14929.542603434244</v>
      </c>
      <c r="H99">
        <v>3.8659675326411196</v>
      </c>
      <c r="I99">
        <v>21191.687626925559</v>
      </c>
      <c r="J99">
        <v>2.2287178314194658</v>
      </c>
      <c r="K99">
        <v>12216.939664708942</v>
      </c>
      <c r="L99">
        <v>5</v>
      </c>
      <c r="M99">
        <v>27407.999999999996</v>
      </c>
      <c r="N99">
        <v>4</v>
      </c>
      <c r="O99">
        <v>21926.399999999998</v>
      </c>
      <c r="P99">
        <v>4</v>
      </c>
      <c r="Q99">
        <v>21926.399999999998</v>
      </c>
      <c r="R99">
        <v>5</v>
      </c>
      <c r="S99">
        <v>27407.999999999996</v>
      </c>
      <c r="T99">
        <v>5.9567146615418149</v>
      </c>
      <c r="U99">
        <v>32652.327088707611</v>
      </c>
      <c r="V99">
        <v>2.8214414055675916</v>
      </c>
      <c r="W99">
        <v>15466.013208759308</v>
      </c>
      <c r="X99">
        <v>5.4652085797691798</v>
      </c>
      <c r="Y99">
        <v>29958.087350862734</v>
      </c>
      <c r="Z99">
        <v>3.7956569912448446</v>
      </c>
      <c r="AA99">
        <v>20806.273363207736</v>
      </c>
      <c r="AB99">
        <v>5</v>
      </c>
      <c r="AC99">
        <v>27407.999999999996</v>
      </c>
      <c r="AD99">
        <v>4.4480726309976557</v>
      </c>
      <c r="AE99">
        <v>24382.554934076747</v>
      </c>
      <c r="AF99">
        <v>4.3845627623412682</v>
      </c>
      <c r="AG99">
        <v>24034.419238049893</v>
      </c>
      <c r="AH99">
        <v>6.3087034708622376</v>
      </c>
      <c r="AI99">
        <v>34581.788945878441</v>
      </c>
      <c r="AJ99">
        <v>2.7331503706232354</v>
      </c>
      <c r="AK99">
        <v>14982.037071608325</v>
      </c>
      <c r="AL99">
        <v>4.9717148373480962</v>
      </c>
      <c r="AM99">
        <v>27252.95205240732</v>
      </c>
      <c r="AN99">
        <v>3.3222397449783005</v>
      </c>
      <c r="AO99">
        <v>18211.189386073049</v>
      </c>
      <c r="AP99">
        <v>6.0400754119108404</v>
      </c>
      <c r="AQ99">
        <v>33109.277377930463</v>
      </c>
      <c r="AR99">
        <v>11.464755828135782</v>
      </c>
      <c r="AS99">
        <v>62845.205547509097</v>
      </c>
      <c r="AT99">
        <v>14.041327964874016</v>
      </c>
      <c r="AU99">
        <v>76968.943372253401</v>
      </c>
      <c r="AV99">
        <v>14.042339517030792</v>
      </c>
      <c r="AW99">
        <v>76974.488296555981</v>
      </c>
      <c r="AX99">
        <v>12.637111924951608</v>
      </c>
      <c r="AY99">
        <v>69271.592727814728</v>
      </c>
      <c r="AZ99">
        <v>8.0049374921092458</v>
      </c>
      <c r="BA99">
        <v>43879.865356746035</v>
      </c>
      <c r="BB99">
        <v>7.2474720502770635</v>
      </c>
      <c r="BC99">
        <v>39727.742790798744</v>
      </c>
      <c r="BD99">
        <v>10.87446413759967</v>
      </c>
      <c r="BE99">
        <v>59609.462616666344</v>
      </c>
      <c r="BF99">
        <v>9.5962921890115336</v>
      </c>
      <c r="BG99">
        <v>52603.035263285616</v>
      </c>
      <c r="BH99">
        <v>4.0720410939985436</v>
      </c>
      <c r="BI99">
        <v>22321.300460862414</v>
      </c>
      <c r="BJ99">
        <v>7.681198541445573</v>
      </c>
      <c r="BK99">
        <v>42105.257924788049</v>
      </c>
      <c r="BL99">
        <v>4.3450459891958966</v>
      </c>
      <c r="BM99">
        <v>23817.804094376224</v>
      </c>
      <c r="BN99">
        <v>2.9597296411861596</v>
      </c>
      <c r="BO99">
        <v>16224.054001126051</v>
      </c>
      <c r="BP99">
        <v>6.5927215632989702</v>
      </c>
      <c r="BQ99">
        <v>36138.662521379629</v>
      </c>
      <c r="BR99">
        <v>6.0558577211274951</v>
      </c>
      <c r="BS99">
        <v>33195.789684132476</v>
      </c>
      <c r="BT99">
        <v>4.3891025167603486</v>
      </c>
      <c r="BU99">
        <v>24059.304355873523</v>
      </c>
      <c r="BV99">
        <v>3.7243689328183662</v>
      </c>
      <c r="BW99">
        <v>20415.500742137156</v>
      </c>
      <c r="BX99">
        <v>20.499370330874381</v>
      </c>
      <c r="BY99">
        <v>112369.348405721</v>
      </c>
      <c r="BZ99">
        <v>16.942295017826574</v>
      </c>
      <c r="CA99">
        <v>92870.884369718144</v>
      </c>
      <c r="CB99">
        <v>14.633992128545213</v>
      </c>
      <c r="CC99">
        <v>80217.691251833428</v>
      </c>
      <c r="CD99">
        <v>16.591617462433589</v>
      </c>
      <c r="CE99">
        <v>90948.610282075955</v>
      </c>
      <c r="CF99">
        <v>6.5830139711445446</v>
      </c>
      <c r="CG99">
        <v>36085.449384225933</v>
      </c>
      <c r="CH99">
        <v>4.6431895304265094</v>
      </c>
      <c r="CI99">
        <v>25452.10772998595</v>
      </c>
      <c r="CJ99">
        <v>3.3778168822675907</v>
      </c>
      <c r="CK99">
        <v>18515.841021838023</v>
      </c>
      <c r="CL99">
        <v>4.5402605072576954</v>
      </c>
      <c r="CM99">
        <v>24887.891996583781</v>
      </c>
      <c r="CN99">
        <v>4.2956011897170958</v>
      </c>
      <c r="CO99">
        <v>23546.76748155323</v>
      </c>
      <c r="CP99">
        <v>1.8432079513769288</v>
      </c>
      <c r="CQ99">
        <v>10103.728706267771</v>
      </c>
      <c r="CR99">
        <v>4.205020781371875</v>
      </c>
      <c r="CS99">
        <v>23050.241915168066</v>
      </c>
      <c r="CT99">
        <v>3.9507268695321534</v>
      </c>
      <c r="CU99">
        <v>21656.304408027449</v>
      </c>
    </row>
    <row r="100" spans="2:99" x14ac:dyDescent="0.2">
      <c r="C100" s="116" t="s">
        <v>266</v>
      </c>
      <c r="D100">
        <v>2.3249309071373956</v>
      </c>
      <c r="E100">
        <v>3771.9679037397104</v>
      </c>
      <c r="F100">
        <v>3.6985836934292022</v>
      </c>
      <c r="G100">
        <v>6000.5821842195373</v>
      </c>
      <c r="H100">
        <v>4.9705296848242959</v>
      </c>
      <c r="I100">
        <v>8064.187360658937</v>
      </c>
      <c r="J100">
        <v>3.2360243406067162</v>
      </c>
      <c r="K100">
        <v>5250.1258902003356</v>
      </c>
      <c r="L100">
        <v>7</v>
      </c>
      <c r="M100">
        <v>11356.8</v>
      </c>
      <c r="N100">
        <v>6.2238610850679903</v>
      </c>
      <c r="O100">
        <v>10097.592224414306</v>
      </c>
      <c r="P100">
        <v>5</v>
      </c>
      <c r="Q100">
        <v>8111.9999999999991</v>
      </c>
      <c r="R100">
        <v>7</v>
      </c>
      <c r="S100">
        <v>11356.8</v>
      </c>
      <c r="T100">
        <v>7.7437290600043589</v>
      </c>
      <c r="U100">
        <v>12563.426026951071</v>
      </c>
      <c r="V100">
        <v>4.8367566952587273</v>
      </c>
      <c r="W100">
        <v>7847.1540623877581</v>
      </c>
      <c r="X100">
        <v>7.2961436651013942</v>
      </c>
      <c r="Y100">
        <v>11837.263482260501</v>
      </c>
      <c r="Z100">
        <v>4.9343540886182975</v>
      </c>
      <c r="AA100">
        <v>8005.4960733743255</v>
      </c>
      <c r="AB100">
        <v>6</v>
      </c>
      <c r="AC100">
        <v>9734.4</v>
      </c>
      <c r="AD100">
        <v>6.5974301746635415</v>
      </c>
      <c r="AE100">
        <v>10703.670715374128</v>
      </c>
      <c r="AF100">
        <v>6.5244037668290016</v>
      </c>
      <c r="AG100">
        <v>10585.192671303372</v>
      </c>
      <c r="AH100">
        <v>10.054177928098389</v>
      </c>
      <c r="AI100">
        <v>16311.898270546824</v>
      </c>
      <c r="AJ100">
        <v>4.0997255559348522</v>
      </c>
      <c r="AK100">
        <v>6651.394741948704</v>
      </c>
      <c r="AL100">
        <v>5.9660578048177149</v>
      </c>
      <c r="AM100">
        <v>9679.33218253626</v>
      </c>
      <c r="AN100">
        <v>4.5070978508384432</v>
      </c>
      <c r="AO100">
        <v>7312.3155532002893</v>
      </c>
      <c r="AP100">
        <v>7.7625233197703229</v>
      </c>
      <c r="AQ100">
        <v>12593.917833995371</v>
      </c>
      <c r="AR100">
        <v>21.923632740471881</v>
      </c>
      <c r="AS100">
        <v>35568.901758141576</v>
      </c>
      <c r="AT100">
        <v>28.082655929748032</v>
      </c>
      <c r="AU100">
        <v>45561.300980423206</v>
      </c>
      <c r="AV100">
        <v>26.543388820716554</v>
      </c>
      <c r="AW100">
        <v>43063.994022730534</v>
      </c>
      <c r="AX100">
        <v>21.411397278948439</v>
      </c>
      <c r="AY100">
        <v>34737.850945365943</v>
      </c>
      <c r="AZ100">
        <v>11.542398296519478</v>
      </c>
      <c r="BA100">
        <v>18726.386996273199</v>
      </c>
      <c r="BB100">
        <v>9.2759904081746143</v>
      </c>
      <c r="BC100">
        <v>15049.366838222493</v>
      </c>
      <c r="BD100">
        <v>14.34734233280729</v>
      </c>
      <c r="BE100">
        <v>23277.128200746545</v>
      </c>
      <c r="BF100">
        <v>13.708988841445045</v>
      </c>
      <c r="BG100">
        <v>22241.46349636044</v>
      </c>
      <c r="BH100">
        <v>5.6863171926296419</v>
      </c>
      <c r="BI100">
        <v>9225.4810133223309</v>
      </c>
      <c r="BJ100">
        <v>6.1121433242994412</v>
      </c>
      <c r="BK100">
        <v>9916.3413293434132</v>
      </c>
      <c r="BL100">
        <v>6.1359415172681642</v>
      </c>
      <c r="BM100">
        <v>9954.9515176158693</v>
      </c>
      <c r="BN100">
        <v>4.4395944617792393</v>
      </c>
      <c r="BO100">
        <v>7202.7980547906373</v>
      </c>
      <c r="BP100">
        <v>9.6631816225945908</v>
      </c>
      <c r="BQ100">
        <v>15677.545864497462</v>
      </c>
      <c r="BR100">
        <v>9.0334914477131001</v>
      </c>
      <c r="BS100">
        <v>14655.936524769731</v>
      </c>
      <c r="BT100">
        <v>5.6431318072633054</v>
      </c>
      <c r="BU100">
        <v>9155.417044103986</v>
      </c>
      <c r="BV100">
        <v>3.4533946895993748</v>
      </c>
      <c r="BW100">
        <v>5602.7875444060255</v>
      </c>
      <c r="BX100">
        <v>31.280423559272627</v>
      </c>
      <c r="BY100">
        <v>50749.359182563909</v>
      </c>
      <c r="BZ100">
        <v>31.060874199348717</v>
      </c>
      <c r="CA100">
        <v>50393.162301023352</v>
      </c>
      <c r="CB100">
        <v>23.73965748330275</v>
      </c>
      <c r="CC100">
        <v>38515.220300910376</v>
      </c>
      <c r="CD100">
        <v>23.85455855684852</v>
      </c>
      <c r="CE100">
        <v>38701.635802631034</v>
      </c>
      <c r="CF100">
        <v>7.4440186281927261</v>
      </c>
      <c r="CG100">
        <v>12077.175822379877</v>
      </c>
      <c r="CH100">
        <v>5.9400462367772064</v>
      </c>
      <c r="CI100">
        <v>9637.1310145473381</v>
      </c>
      <c r="CJ100">
        <v>4.519498213117938</v>
      </c>
      <c r="CK100">
        <v>7332.4339009625419</v>
      </c>
      <c r="CL100">
        <v>5.7367188735332206</v>
      </c>
      <c r="CM100">
        <v>9307.2527004202966</v>
      </c>
      <c r="CN100">
        <v>5.7697780628984594</v>
      </c>
      <c r="CO100">
        <v>9360.887929246459</v>
      </c>
      <c r="CP100">
        <v>2.304009939221161</v>
      </c>
      <c r="CQ100">
        <v>3738.0257253924115</v>
      </c>
      <c r="CR100">
        <v>5.8143727612239084</v>
      </c>
      <c r="CS100">
        <v>9433.2383678096685</v>
      </c>
      <c r="CT100">
        <v>5.0795059751127685</v>
      </c>
      <c r="CU100">
        <v>8240.9904940229553</v>
      </c>
    </row>
    <row r="101" spans="2:99" x14ac:dyDescent="0.2">
      <c r="C101" s="116" t="s">
        <v>267</v>
      </c>
      <c r="D101">
        <v>2.3249309071373956</v>
      </c>
      <c r="E101">
        <v>2767.5977518563554</v>
      </c>
      <c r="F101">
        <v>3.8416083739299753</v>
      </c>
      <c r="G101">
        <v>4573.0506083262417</v>
      </c>
      <c r="H101">
        <v>4.9705296848242959</v>
      </c>
      <c r="I101">
        <v>5916.918536814841</v>
      </c>
      <c r="J101">
        <v>2.8037393570280793</v>
      </c>
      <c r="K101">
        <v>3337.5713306062253</v>
      </c>
      <c r="L101">
        <v>8</v>
      </c>
      <c r="M101">
        <v>9523.1999999999989</v>
      </c>
      <c r="N101">
        <v>7.3054518240725228</v>
      </c>
      <c r="O101">
        <v>8696.4098513759309</v>
      </c>
      <c r="P101">
        <v>5</v>
      </c>
      <c r="Q101">
        <v>5951.9999999999991</v>
      </c>
      <c r="R101">
        <v>7</v>
      </c>
      <c r="S101">
        <v>8332.7999999999993</v>
      </c>
      <c r="T101">
        <v>7.1480575938501776</v>
      </c>
      <c r="U101">
        <v>8509.0477597192512</v>
      </c>
      <c r="V101">
        <v>4.8367566952587273</v>
      </c>
      <c r="W101">
        <v>5757.6751700359882</v>
      </c>
      <c r="X101">
        <v>7.8186677832285136</v>
      </c>
      <c r="Y101">
        <v>9307.3421291552222</v>
      </c>
      <c r="Z101">
        <v>6.0730511859917504</v>
      </c>
      <c r="AA101">
        <v>7229.3601318045785</v>
      </c>
      <c r="AB101">
        <v>6</v>
      </c>
      <c r="AC101">
        <v>7142.4</v>
      </c>
      <c r="AD101">
        <v>5.6970018704407988</v>
      </c>
      <c r="AE101">
        <v>6781.711026572726</v>
      </c>
      <c r="AF101">
        <v>5.5593640179509354</v>
      </c>
      <c r="AG101">
        <v>6617.8669269687925</v>
      </c>
      <c r="AH101">
        <v>9.4759649708928979</v>
      </c>
      <c r="AI101">
        <v>11280.188701350904</v>
      </c>
      <c r="AJ101">
        <v>3.975074040415937</v>
      </c>
      <c r="AK101">
        <v>4731.9281377111311</v>
      </c>
      <c r="AL101">
        <v>5.9660578048177149</v>
      </c>
      <c r="AM101">
        <v>7101.9952108550069</v>
      </c>
      <c r="AN101">
        <v>4.5070978508384432</v>
      </c>
      <c r="AO101">
        <v>5365.2492816380818</v>
      </c>
      <c r="AP101">
        <v>7.7625233197703229</v>
      </c>
      <c r="AQ101">
        <v>9240.5077598545922</v>
      </c>
      <c r="AR101">
        <v>24.498452839550378</v>
      </c>
      <c r="AS101">
        <v>29162.958260200765</v>
      </c>
      <c r="AT101">
        <v>30.590035923475536</v>
      </c>
      <c r="AU101">
        <v>36414.378763305271</v>
      </c>
      <c r="AV101">
        <v>28.970412832338621</v>
      </c>
      <c r="AW101">
        <v>34486.379435615891</v>
      </c>
      <c r="AX101">
        <v>21.317932860465834</v>
      </c>
      <c r="AY101">
        <v>25376.867277098525</v>
      </c>
      <c r="AZ101">
        <v>11.090660503541846</v>
      </c>
      <c r="BA101">
        <v>13202.322263416212</v>
      </c>
      <c r="BB101">
        <v>9.9174671805248522</v>
      </c>
      <c r="BC101">
        <v>11805.752931696783</v>
      </c>
      <c r="BD101">
        <v>14.442996533103477</v>
      </c>
      <c r="BE101">
        <v>17192.943073006376</v>
      </c>
      <c r="BF101">
        <v>13.708988841445045</v>
      </c>
      <c r="BG101">
        <v>16319.18031685618</v>
      </c>
      <c r="BH101">
        <v>6.6652409778660546</v>
      </c>
      <c r="BI101">
        <v>7934.3028600517509</v>
      </c>
      <c r="BJ101">
        <v>12.373657306840204</v>
      </c>
      <c r="BK101">
        <v>14729.601658062578</v>
      </c>
      <c r="BL101">
        <v>4.1460906875917507</v>
      </c>
      <c r="BM101">
        <v>4935.5063545092198</v>
      </c>
      <c r="BN101">
        <v>4.4395944617792393</v>
      </c>
      <c r="BO101">
        <v>5284.8932473020059</v>
      </c>
      <c r="BP101">
        <v>10.037275710392862</v>
      </c>
      <c r="BQ101">
        <v>11948.373005651662</v>
      </c>
      <c r="BR101">
        <v>9.2979155611105337</v>
      </c>
      <c r="BS101">
        <v>11068.238683945978</v>
      </c>
      <c r="BT101">
        <v>6.2701464525147843</v>
      </c>
      <c r="BU101">
        <v>7463.9823370735985</v>
      </c>
      <c r="BV101">
        <v>3.4533946895993748</v>
      </c>
      <c r="BW101">
        <v>4110.9210384990956</v>
      </c>
      <c r="BX101">
        <v>32.59284485063192</v>
      </c>
      <c r="BY101">
        <v>38798.522510192233</v>
      </c>
      <c r="BZ101">
        <v>30.119635587247245</v>
      </c>
      <c r="CA101">
        <v>35854.414203059117</v>
      </c>
      <c r="CB101">
        <v>25.792490160681517</v>
      </c>
      <c r="CC101">
        <v>30703.380287275275</v>
      </c>
      <c r="CD101">
        <v>27.920293830452252</v>
      </c>
      <c r="CE101">
        <v>33236.31777577036</v>
      </c>
      <c r="CF101">
        <v>7.7884204910119994</v>
      </c>
      <c r="CG101">
        <v>9271.3357525006832</v>
      </c>
      <c r="CH101">
        <v>5.8410940013269741</v>
      </c>
      <c r="CI101">
        <v>6953.2382991796294</v>
      </c>
      <c r="CJ101">
        <v>4.4722711028344886</v>
      </c>
      <c r="CK101">
        <v>5323.7915208141749</v>
      </c>
      <c r="CL101">
        <v>5.7367188735332206</v>
      </c>
      <c r="CM101">
        <v>6828.9901470539453</v>
      </c>
      <c r="CN101">
        <v>5.8698472068364813</v>
      </c>
      <c r="CO101">
        <v>6987.4661150181464</v>
      </c>
      <c r="CP101">
        <v>2.7648119270653928</v>
      </c>
      <c r="CQ101">
        <v>3291.2321179786431</v>
      </c>
      <c r="CR101">
        <v>5.9701315507699668</v>
      </c>
      <c r="CS101">
        <v>7106.8445980365677</v>
      </c>
      <c r="CT101">
        <v>5.6438955279030756</v>
      </c>
      <c r="CU101">
        <v>6718.4932364158203</v>
      </c>
    </row>
    <row r="102" spans="2:99" x14ac:dyDescent="0.2">
      <c r="C102" s="116" t="s">
        <v>268</v>
      </c>
      <c r="D102">
        <v>2.6688624530199596</v>
      </c>
      <c r="E102">
        <v>5175.4580688963051</v>
      </c>
      <c r="F102">
        <v>3.6985836934292022</v>
      </c>
      <c r="G102">
        <v>7172.2934982979086</v>
      </c>
      <c r="H102">
        <v>4.9705296848242959</v>
      </c>
      <c r="I102">
        <v>9638.8511648112744</v>
      </c>
      <c r="J102">
        <v>3.2360243406067162</v>
      </c>
      <c r="K102">
        <v>6275.2984013045434</v>
      </c>
      <c r="L102">
        <v>7</v>
      </c>
      <c r="M102">
        <v>13574.399999999998</v>
      </c>
      <c r="N102">
        <v>7.3870425630770553</v>
      </c>
      <c r="O102">
        <v>14324.952938319024</v>
      </c>
      <c r="P102">
        <v>5</v>
      </c>
      <c r="Q102">
        <v>9696</v>
      </c>
      <c r="R102">
        <v>6</v>
      </c>
      <c r="S102">
        <v>11635.199999999999</v>
      </c>
      <c r="T102">
        <v>8.3394005261585402</v>
      </c>
      <c r="U102">
        <v>16171.765500326639</v>
      </c>
      <c r="V102">
        <v>4.4336936373205003</v>
      </c>
      <c r="W102">
        <v>8597.8187014919131</v>
      </c>
      <c r="X102">
        <v>4.7027170631440773</v>
      </c>
      <c r="Y102">
        <v>9119.5089288489944</v>
      </c>
      <c r="Z102">
        <v>4.9343540886182975</v>
      </c>
      <c r="AA102">
        <v>9568.6994486486019</v>
      </c>
      <c r="AB102">
        <v>6</v>
      </c>
      <c r="AC102">
        <v>11635.199999999999</v>
      </c>
      <c r="AD102">
        <v>5.6472160225521701</v>
      </c>
      <c r="AE102">
        <v>10951.081310933167</v>
      </c>
      <c r="AF102">
        <v>5.4894435157070678</v>
      </c>
      <c r="AG102">
        <v>10645.128865659144</v>
      </c>
      <c r="AH102">
        <v>9.3795961446919804</v>
      </c>
      <c r="AI102">
        <v>18188.912843786686</v>
      </c>
      <c r="AJ102">
        <v>3.8504225248970223</v>
      </c>
      <c r="AK102">
        <v>7466.7393602803049</v>
      </c>
      <c r="AL102">
        <v>6.9604007722873344</v>
      </c>
      <c r="AM102">
        <v>13497.609177619597</v>
      </c>
      <c r="AN102">
        <v>4.5070978508384432</v>
      </c>
      <c r="AO102">
        <v>8740.1641523459075</v>
      </c>
      <c r="AP102">
        <v>6.843876701719144</v>
      </c>
      <c r="AQ102">
        <v>13271.645699973762</v>
      </c>
      <c r="AR102">
        <v>18.342933725593696</v>
      </c>
      <c r="AS102">
        <v>35570.617080671291</v>
      </c>
      <c r="AT102">
        <v>26.578227933511531</v>
      </c>
      <c r="AU102">
        <v>51540.499608665559</v>
      </c>
      <c r="AV102">
        <v>23.458801755972996</v>
      </c>
      <c r="AW102">
        <v>45491.308365182827</v>
      </c>
      <c r="AX102">
        <v>19.14772762658728</v>
      </c>
      <c r="AY102">
        <v>37131.273413478048</v>
      </c>
      <c r="AZ102">
        <v>10.858156532719651</v>
      </c>
      <c r="BA102">
        <v>21056.137148249945</v>
      </c>
      <c r="BB102">
        <v>9.2759904081746143</v>
      </c>
      <c r="BC102">
        <v>17988.00059953221</v>
      </c>
      <c r="BD102">
        <v>13.695516663785067</v>
      </c>
      <c r="BE102">
        <v>26558.345914411999</v>
      </c>
      <c r="BF102">
        <v>14.394438283517298</v>
      </c>
      <c r="BG102">
        <v>27913.694719396743</v>
      </c>
      <c r="BH102">
        <v>5.9362759050769505</v>
      </c>
      <c r="BI102">
        <v>11511.626235125221</v>
      </c>
      <c r="BJ102">
        <v>9.962465920169814</v>
      </c>
      <c r="BK102">
        <v>19319.213912393301</v>
      </c>
      <c r="BL102">
        <v>6.0568922407280956</v>
      </c>
      <c r="BM102">
        <v>11745.525433219922</v>
      </c>
      <c r="BN102">
        <v>4.4395944617792393</v>
      </c>
      <c r="BO102">
        <v>8609.2615802823002</v>
      </c>
      <c r="BP102">
        <v>7.5903057974276917</v>
      </c>
      <c r="BQ102">
        <v>14719.121002371778</v>
      </c>
      <c r="BR102">
        <v>8.0074167828658034</v>
      </c>
      <c r="BS102">
        <v>15527.982625333365</v>
      </c>
      <c r="BT102">
        <v>5.6431318072633054</v>
      </c>
      <c r="BU102">
        <v>10943.161200645001</v>
      </c>
      <c r="BV102">
        <v>3.4533946895993748</v>
      </c>
      <c r="BW102">
        <v>6696.8229820711067</v>
      </c>
      <c r="BX102">
        <v>27.749055496311573</v>
      </c>
      <c r="BY102">
        <v>53810.968418447395</v>
      </c>
      <c r="BZ102">
        <v>27.295919750942815</v>
      </c>
      <c r="CA102">
        <v>52932.247581028299</v>
      </c>
      <c r="CB102">
        <v>24.73965748330275</v>
      </c>
      <c r="CC102">
        <v>47975.143791620685</v>
      </c>
      <c r="CD102">
        <v>25.788823283244788</v>
      </c>
      <c r="CE102">
        <v>50009.686110868286</v>
      </c>
      <c r="CF102">
        <v>7.0996167653734528</v>
      </c>
      <c r="CG102">
        <v>13767.576831412198</v>
      </c>
      <c r="CH102">
        <v>5.8905701190520903</v>
      </c>
      <c r="CI102">
        <v>11422.993574865812</v>
      </c>
      <c r="CJ102">
        <v>4.4250439925510401</v>
      </c>
      <c r="CK102">
        <v>8581.0453103549753</v>
      </c>
      <c r="CL102">
        <v>5.6876042819643393</v>
      </c>
      <c r="CM102">
        <v>11029.402223585246</v>
      </c>
      <c r="CN102">
        <v>5.0961543412212764</v>
      </c>
      <c r="CO102">
        <v>9882.4624984962975</v>
      </c>
      <c r="CP102">
        <v>2.7648119270653928</v>
      </c>
      <c r="CQ102">
        <v>5361.5232889652088</v>
      </c>
      <c r="CR102">
        <v>5.5159128373225785</v>
      </c>
      <c r="CS102">
        <v>10696.458174135943</v>
      </c>
      <c r="CT102">
        <v>5.6438955279030756</v>
      </c>
      <c r="CU102">
        <v>10944.642207709643</v>
      </c>
    </row>
    <row r="103" spans="2:99" x14ac:dyDescent="0.2">
      <c r="C103" s="116" t="s">
        <v>269</v>
      </c>
      <c r="D103">
        <v>2.6352361653685947</v>
      </c>
      <c r="E103">
        <v>5344.2589433675103</v>
      </c>
      <c r="F103">
        <v>3.3541034692974532</v>
      </c>
      <c r="G103">
        <v>6802.1218357352354</v>
      </c>
      <c r="H103">
        <v>4.4182486087327071</v>
      </c>
      <c r="I103">
        <v>8960.2081785099308</v>
      </c>
      <c r="J103">
        <v>2.732371086013091</v>
      </c>
      <c r="K103">
        <v>5541.2485624345481</v>
      </c>
      <c r="L103">
        <v>7</v>
      </c>
      <c r="M103">
        <v>14196</v>
      </c>
      <c r="N103">
        <v>6.2238610850679903</v>
      </c>
      <c r="O103">
        <v>12621.990280517884</v>
      </c>
      <c r="P103">
        <v>5</v>
      </c>
      <c r="Q103">
        <v>10140</v>
      </c>
      <c r="R103">
        <v>6</v>
      </c>
      <c r="S103">
        <v>12168</v>
      </c>
      <c r="T103">
        <v>7.7437290600043589</v>
      </c>
      <c r="U103">
        <v>15704.28253368884</v>
      </c>
      <c r="V103">
        <v>4.0306305793822732</v>
      </c>
      <c r="W103">
        <v>8174.1188149872496</v>
      </c>
      <c r="X103">
        <v>4.1801929450169579</v>
      </c>
      <c r="Y103">
        <v>8477.4312924943915</v>
      </c>
      <c r="Z103">
        <v>5.3139197877427824</v>
      </c>
      <c r="AA103">
        <v>10776.629329542362</v>
      </c>
      <c r="AB103">
        <v>6</v>
      </c>
      <c r="AC103">
        <v>12168</v>
      </c>
      <c r="AD103">
        <v>5.5974301746635415</v>
      </c>
      <c r="AE103">
        <v>11351.588394217662</v>
      </c>
      <c r="AF103">
        <v>6.4894435157070678</v>
      </c>
      <c r="AG103">
        <v>13160.591449853933</v>
      </c>
      <c r="AH103">
        <v>8.8977520136874073</v>
      </c>
      <c r="AI103">
        <v>18044.641083758062</v>
      </c>
      <c r="AJ103">
        <v>3.975074040415937</v>
      </c>
      <c r="AK103">
        <v>8061.4501539635203</v>
      </c>
      <c r="AL103">
        <v>5.9660578048177149</v>
      </c>
      <c r="AM103">
        <v>12099.165228170326</v>
      </c>
      <c r="AN103">
        <v>4.5070978508384432</v>
      </c>
      <c r="AO103">
        <v>9140.3944415003625</v>
      </c>
      <c r="AP103">
        <v>7.4410028038470015</v>
      </c>
      <c r="AQ103">
        <v>15090.353686201719</v>
      </c>
      <c r="AR103">
        <v>18.437340436359847</v>
      </c>
      <c r="AS103">
        <v>37390.926404937767</v>
      </c>
      <c r="AT103">
        <v>26.076751934766033</v>
      </c>
      <c r="AU103">
        <v>52883.652923705515</v>
      </c>
      <c r="AV103">
        <v>26.543388820716554</v>
      </c>
      <c r="AW103">
        <v>53829.992528413175</v>
      </c>
      <c r="AX103">
        <v>21.650189227349607</v>
      </c>
      <c r="AY103">
        <v>43906.583753065002</v>
      </c>
      <c r="AZ103">
        <v>10.290166754330922</v>
      </c>
      <c r="BA103">
        <v>20868.458177783112</v>
      </c>
      <c r="BB103">
        <v>9.3800784490214486</v>
      </c>
      <c r="BC103">
        <v>19022.799094615497</v>
      </c>
      <c r="BD103">
        <v>13.687545480427051</v>
      </c>
      <c r="BE103">
        <v>27758.342234306059</v>
      </c>
      <c r="BF103">
        <v>14.394438283517298</v>
      </c>
      <c r="BG103">
        <v>29191.920838973081</v>
      </c>
      <c r="BH103">
        <v>6.1757790852478482</v>
      </c>
      <c r="BI103">
        <v>12524.479984882637</v>
      </c>
      <c r="BJ103">
        <v>7.3345719891593291</v>
      </c>
      <c r="BK103">
        <v>14874.51199401512</v>
      </c>
      <c r="BL103">
        <v>3.6854139445260006</v>
      </c>
      <c r="BM103">
        <v>7474.0194794987292</v>
      </c>
      <c r="BN103">
        <v>3.9463061882482129</v>
      </c>
      <c r="BO103">
        <v>8003.1089497673756</v>
      </c>
      <c r="BP103">
        <v>9.4137855640624117</v>
      </c>
      <c r="BQ103">
        <v>19091.157123918572</v>
      </c>
      <c r="BR103">
        <v>8.2718408962632353</v>
      </c>
      <c r="BS103">
        <v>16775.293337621843</v>
      </c>
      <c r="BT103">
        <v>5.6431318072633054</v>
      </c>
      <c r="BU103">
        <v>11444.271305129983</v>
      </c>
      <c r="BV103">
        <v>5.7035112185552492</v>
      </c>
      <c r="BW103">
        <v>11566.720751230045</v>
      </c>
      <c r="BX103">
        <v>28.436634204952274</v>
      </c>
      <c r="BY103">
        <v>57669.494167643214</v>
      </c>
      <c r="BZ103">
        <v>25.41344252673986</v>
      </c>
      <c r="CA103">
        <v>51538.461444228436</v>
      </c>
      <c r="CB103">
        <v>23.73965748330275</v>
      </c>
      <c r="CC103">
        <v>48144.025376137979</v>
      </c>
      <c r="CD103">
        <v>24</v>
      </c>
      <c r="CE103">
        <v>48672</v>
      </c>
      <c r="CF103">
        <v>7.6162195596023619</v>
      </c>
      <c r="CG103">
        <v>15445.69326687359</v>
      </c>
      <c r="CH103">
        <v>5.8410940013269741</v>
      </c>
      <c r="CI103">
        <v>11845.738634691103</v>
      </c>
      <c r="CJ103">
        <v>3.4250439925510401</v>
      </c>
      <c r="CK103">
        <v>6945.9892168935094</v>
      </c>
      <c r="CL103">
        <v>4.6876042819643393</v>
      </c>
      <c r="CM103">
        <v>9506.4614838236794</v>
      </c>
      <c r="CN103">
        <v>5.8698472068364813</v>
      </c>
      <c r="CO103">
        <v>11904.050135464384</v>
      </c>
      <c r="CP103">
        <v>2.7648119270653928</v>
      </c>
      <c r="CQ103">
        <v>5607.038588088617</v>
      </c>
      <c r="CR103">
        <v>4.6722971500100456</v>
      </c>
      <c r="CS103">
        <v>9475.4186202203728</v>
      </c>
      <c r="CT103">
        <v>5.6438955279030756</v>
      </c>
      <c r="CU103">
        <v>11445.820130587437</v>
      </c>
    </row>
    <row r="104" spans="2:99" x14ac:dyDescent="0.2">
      <c r="C104" s="116" t="s">
        <v>270</v>
      </c>
      <c r="D104">
        <v>2.3249309071373956</v>
      </c>
      <c r="E104">
        <v>4818.1868119515384</v>
      </c>
      <c r="F104">
        <v>3.282591129047066</v>
      </c>
      <c r="G104">
        <v>6802.8418558371395</v>
      </c>
      <c r="H104">
        <v>4.4182486087327071</v>
      </c>
      <c r="I104">
        <v>9156.3784167376634</v>
      </c>
      <c r="J104">
        <v>3.2360243406067162</v>
      </c>
      <c r="K104">
        <v>6706.3368434733593</v>
      </c>
      <c r="L104">
        <v>7</v>
      </c>
      <c r="M104">
        <v>14506.800000000001</v>
      </c>
      <c r="N104">
        <v>7.3870425630770553</v>
      </c>
      <c r="O104">
        <v>15308.907007720891</v>
      </c>
      <c r="P104">
        <v>5</v>
      </c>
      <c r="Q104">
        <v>10362</v>
      </c>
      <c r="R104">
        <v>7</v>
      </c>
      <c r="S104">
        <v>14506.800000000001</v>
      </c>
      <c r="T104">
        <v>7.1480575938501776</v>
      </c>
      <c r="U104">
        <v>14813.634557495108</v>
      </c>
      <c r="V104">
        <v>4.4336936373205003</v>
      </c>
      <c r="W104">
        <v>9188.3866939830059</v>
      </c>
      <c r="X104">
        <v>4.7027170631440773</v>
      </c>
      <c r="Y104">
        <v>9745.9108416597865</v>
      </c>
      <c r="Z104">
        <v>5.3139197877427824</v>
      </c>
      <c r="AA104">
        <v>11012.567368118143</v>
      </c>
      <c r="AB104">
        <v>6</v>
      </c>
      <c r="AC104">
        <v>12434.400000000001</v>
      </c>
      <c r="AD104">
        <v>5.5974301746635415</v>
      </c>
      <c r="AE104">
        <v>11600.114293972723</v>
      </c>
      <c r="AF104">
        <v>5.4894435157070678</v>
      </c>
      <c r="AG104">
        <v>11376.322741951328</v>
      </c>
      <c r="AH104">
        <v>9.4759649708928979</v>
      </c>
      <c r="AI104">
        <v>19637.989805678444</v>
      </c>
      <c r="AJ104">
        <v>3.8504225248970223</v>
      </c>
      <c r="AK104">
        <v>7979.6156405965894</v>
      </c>
      <c r="AL104">
        <v>5.9660578048177149</v>
      </c>
      <c r="AM104">
        <v>12364.058194704232</v>
      </c>
      <c r="AN104">
        <v>4.2747632782363176</v>
      </c>
      <c r="AO104">
        <v>8859.0194178169459</v>
      </c>
      <c r="AP104">
        <v>7.6017630618086631</v>
      </c>
      <c r="AQ104">
        <v>15753.893769292274</v>
      </c>
      <c r="AR104">
        <v>17.997901785157069</v>
      </c>
      <c r="AS104">
        <v>37298.851659559514</v>
      </c>
      <c r="AT104">
        <v>23.569371941038526</v>
      </c>
      <c r="AU104">
        <v>48845.166410608246</v>
      </c>
      <c r="AV104">
        <v>25.561397331886475</v>
      </c>
      <c r="AW104">
        <v>52973.439830601536</v>
      </c>
      <c r="AX104">
        <v>19.054263208104672</v>
      </c>
      <c r="AY104">
        <v>39488.055072476127</v>
      </c>
      <c r="AZ104">
        <v>10.290166754330922</v>
      </c>
      <c r="BA104">
        <v>21325.341581675406</v>
      </c>
      <c r="BB104">
        <v>9.3800784490214486</v>
      </c>
      <c r="BC104">
        <v>19439.27457775205</v>
      </c>
      <c r="BD104">
        <v>13.048412636726809</v>
      </c>
      <c r="BE104">
        <v>27041.53034835264</v>
      </c>
      <c r="BF104">
        <v>14.394438283517298</v>
      </c>
      <c r="BG104">
        <v>29831.033898761249</v>
      </c>
      <c r="BH104">
        <v>6.0507997290241944</v>
      </c>
      <c r="BI104">
        <v>12539.677358429741</v>
      </c>
      <c r="BJ104">
        <v>6.1121433242994412</v>
      </c>
      <c r="BK104">
        <v>12666.805825278163</v>
      </c>
      <c r="BL104">
        <v>3.6854139445260006</v>
      </c>
      <c r="BM104">
        <v>7637.6518586356842</v>
      </c>
      <c r="BN104">
        <v>4.4395944617792393</v>
      </c>
      <c r="BO104">
        <v>9200.6155625912961</v>
      </c>
      <c r="BP104">
        <v>8.8137907539102773</v>
      </c>
      <c r="BQ104">
        <v>18265.69995840366</v>
      </c>
      <c r="BR104">
        <v>9.0334914477131001</v>
      </c>
      <c r="BS104">
        <v>18721.007676240628</v>
      </c>
      <c r="BT104">
        <v>5.0161171620118274</v>
      </c>
      <c r="BU104">
        <v>10395.401206553312</v>
      </c>
      <c r="BV104">
        <v>3.4533946895993748</v>
      </c>
      <c r="BW104">
        <v>7156.8151547257448</v>
      </c>
      <c r="BX104">
        <v>26.280423559272627</v>
      </c>
      <c r="BY104">
        <v>54463.549784236595</v>
      </c>
      <c r="BZ104">
        <v>30.119635587247245</v>
      </c>
      <c r="CA104">
        <v>62419.932791011197</v>
      </c>
      <c r="CB104">
        <v>24.73965748330275</v>
      </c>
      <c r="CC104">
        <v>51270.466168396619</v>
      </c>
      <c r="CD104">
        <v>23.85455855684852</v>
      </c>
      <c r="CE104">
        <v>49436.187153212872</v>
      </c>
      <c r="CF104">
        <v>7.0996167653734528</v>
      </c>
      <c r="CG104">
        <v>14713.245784559944</v>
      </c>
      <c r="CH104">
        <v>5.7916178836018579</v>
      </c>
      <c r="CI104">
        <v>12002.54890197649</v>
      </c>
      <c r="CJ104">
        <v>4.4722711028344886</v>
      </c>
      <c r="CK104">
        <v>9268.3346335141941</v>
      </c>
      <c r="CL104">
        <v>4.7367188735332206</v>
      </c>
      <c r="CM104">
        <v>9816.3761935102466</v>
      </c>
      <c r="CN104">
        <v>5.969916350774505</v>
      </c>
      <c r="CO104">
        <v>12372.054645345084</v>
      </c>
      <c r="CP104">
        <v>2.304009939221161</v>
      </c>
      <c r="CQ104">
        <v>4774.8301980419346</v>
      </c>
      <c r="CR104">
        <v>4.8280559395561049</v>
      </c>
      <c r="CS104">
        <v>10005.663129136072</v>
      </c>
      <c r="CT104">
        <v>5.0795059751127685</v>
      </c>
      <c r="CU104">
        <v>10526.768182823702</v>
      </c>
    </row>
    <row r="105" spans="2:99" x14ac:dyDescent="0.2">
      <c r="C105" s="116" t="s">
        <v>271</v>
      </c>
      <c r="D105">
        <v>2.3249309071373956</v>
      </c>
      <c r="E105">
        <v>4645.2119524605159</v>
      </c>
      <c r="F105">
        <v>3.3541034692974532</v>
      </c>
      <c r="G105">
        <v>6701.4987316563111</v>
      </c>
      <c r="H105">
        <v>4.9705296848242959</v>
      </c>
      <c r="I105">
        <v>9931.1183102789437</v>
      </c>
      <c r="J105">
        <v>2.732371086013091</v>
      </c>
      <c r="K105">
        <v>5459.2774298541553</v>
      </c>
      <c r="L105">
        <v>7</v>
      </c>
      <c r="M105">
        <v>13986</v>
      </c>
      <c r="N105">
        <v>7.2238610850679903</v>
      </c>
      <c r="O105">
        <v>14433.274447965845</v>
      </c>
      <c r="P105">
        <v>4</v>
      </c>
      <c r="Q105">
        <v>7992</v>
      </c>
      <c r="R105">
        <v>7</v>
      </c>
      <c r="S105">
        <v>13986</v>
      </c>
      <c r="T105">
        <v>8.3394005261585402</v>
      </c>
      <c r="U105">
        <v>16662.122251264762</v>
      </c>
      <c r="V105">
        <v>4.8367566952587273</v>
      </c>
      <c r="W105">
        <v>9663.8398771269367</v>
      </c>
      <c r="X105">
        <v>7.2175549801935963</v>
      </c>
      <c r="Y105">
        <v>14420.674850426805</v>
      </c>
      <c r="Z105">
        <v>5.3139197877427824</v>
      </c>
      <c r="AA105">
        <v>10617.211735910079</v>
      </c>
      <c r="AB105">
        <v>6</v>
      </c>
      <c r="AC105">
        <v>11988</v>
      </c>
      <c r="AD105">
        <v>5.5974301746635415</v>
      </c>
      <c r="AE105">
        <v>11183.665488977756</v>
      </c>
      <c r="AF105">
        <v>5.4894435157070678</v>
      </c>
      <c r="AG105">
        <v>10967.908144382722</v>
      </c>
      <c r="AH105">
        <v>8.2360799948805408</v>
      </c>
      <c r="AI105">
        <v>16455.687829771319</v>
      </c>
      <c r="AJ105">
        <v>3.975074040415937</v>
      </c>
      <c r="AK105">
        <v>7942.1979327510426</v>
      </c>
      <c r="AL105">
        <v>5.9660578048177149</v>
      </c>
      <c r="AM105">
        <v>11920.183494025794</v>
      </c>
      <c r="AN105">
        <v>4.2747632782363176</v>
      </c>
      <c r="AO105">
        <v>8540.9770299161628</v>
      </c>
      <c r="AP105">
        <v>7.6017630618086631</v>
      </c>
      <c r="AQ105">
        <v>15188.322597493709</v>
      </c>
      <c r="AR105">
        <v>18.971185798328779</v>
      </c>
      <c r="AS105">
        <v>37904.4292250609</v>
      </c>
      <c r="AT105">
        <v>26.076751934766033</v>
      </c>
      <c r="AU105">
        <v>52101.350365662533</v>
      </c>
      <c r="AV105">
        <v>24.031333985337945</v>
      </c>
      <c r="AW105">
        <v>48014.605302705211</v>
      </c>
      <c r="AX105">
        <v>22.44976768664641</v>
      </c>
      <c r="AY105">
        <v>44854.63583791953</v>
      </c>
      <c r="AZ105">
        <v>10.974408518130749</v>
      </c>
      <c r="BA105">
        <v>21926.868219225238</v>
      </c>
      <c r="BB105">
        <v>8.6345136358243746</v>
      </c>
      <c r="BC105">
        <v>17251.758244377099</v>
      </c>
      <c r="BD105">
        <v>14.894070517605396</v>
      </c>
      <c r="BE105">
        <v>29758.352894175583</v>
      </c>
      <c r="BF105">
        <v>13.023539399372794</v>
      </c>
      <c r="BG105">
        <v>26021.031719946841</v>
      </c>
      <c r="BH105">
        <v>6.0507997290241944</v>
      </c>
      <c r="BI105">
        <v>12089.497858590341</v>
      </c>
      <c r="BJ105">
        <v>7.3345719891593291</v>
      </c>
      <c r="BK105">
        <v>14654.474834340339</v>
      </c>
      <c r="BL105">
        <v>3.6854139445260006</v>
      </c>
      <c r="BM105">
        <v>7363.4570611629488</v>
      </c>
      <c r="BN105">
        <v>3.9463061882482129</v>
      </c>
      <c r="BO105">
        <v>7884.7197641199291</v>
      </c>
      <c r="BP105">
        <v>8.5643946953780947</v>
      </c>
      <c r="BQ105">
        <v>17111.660601365435</v>
      </c>
      <c r="BR105">
        <v>9.0334914477131001</v>
      </c>
      <c r="BS105">
        <v>18048.915912530774</v>
      </c>
      <c r="BT105">
        <v>5.0161171620118274</v>
      </c>
      <c r="BU105">
        <v>10022.202089699631</v>
      </c>
      <c r="BV105">
        <v>4.9608510276008397</v>
      </c>
      <c r="BW105">
        <v>9911.7803531464779</v>
      </c>
      <c r="BX105">
        <v>28.749055496311573</v>
      </c>
      <c r="BY105">
        <v>57440.612881630521</v>
      </c>
      <c r="BZ105">
        <v>25.41344252673986</v>
      </c>
      <c r="CA105">
        <v>50776.058168426243</v>
      </c>
      <c r="CB105">
        <v>21.792490160681517</v>
      </c>
      <c r="CC105">
        <v>43541.395341041673</v>
      </c>
      <c r="CD105">
        <v>23.920293830452252</v>
      </c>
      <c r="CE105">
        <v>47792.747073243598</v>
      </c>
      <c r="CF105">
        <v>7.4440186281927261</v>
      </c>
      <c r="CG105">
        <v>14873.149219129067</v>
      </c>
      <c r="CH105">
        <v>5.7916178836018579</v>
      </c>
      <c r="CI105">
        <v>11571.652531436512</v>
      </c>
      <c r="CJ105">
        <v>3.4250439925510401</v>
      </c>
      <c r="CK105">
        <v>6843.2378971169783</v>
      </c>
      <c r="CL105">
        <v>5.7367188735332206</v>
      </c>
      <c r="CM105">
        <v>11461.964309319375</v>
      </c>
      <c r="CN105">
        <v>5.7697780628984594</v>
      </c>
      <c r="CO105">
        <v>11528.016569671121</v>
      </c>
      <c r="CP105">
        <v>4.9287501822888391</v>
      </c>
      <c r="CQ105">
        <v>9847.6428642131013</v>
      </c>
      <c r="CR105">
        <v>5.1265158634574339</v>
      </c>
      <c r="CS105">
        <v>10242.778695187953</v>
      </c>
      <c r="CT105">
        <v>5.0795059751127685</v>
      </c>
      <c r="CU105">
        <v>10148.852938275311</v>
      </c>
    </row>
    <row r="107" spans="2:99" x14ac:dyDescent="0.2">
      <c r="B107" s="119" t="s">
        <v>276</v>
      </c>
    </row>
    <row r="108" spans="2:99" x14ac:dyDescent="0.2">
      <c r="C108" s="116" t="s">
        <v>277</v>
      </c>
      <c r="D108" s="116" t="s">
        <v>92</v>
      </c>
      <c r="E108" s="116" t="s">
        <v>93</v>
      </c>
      <c r="F108" s="116" t="s">
        <v>94</v>
      </c>
      <c r="G108" s="116" t="s">
        <v>95</v>
      </c>
      <c r="H108" s="116" t="s">
        <v>96</v>
      </c>
      <c r="I108" s="116" t="s">
        <v>97</v>
      </c>
      <c r="J108" s="116" t="s">
        <v>98</v>
      </c>
      <c r="K108" s="116" t="s">
        <v>99</v>
      </c>
      <c r="L108" s="116" t="s">
        <v>100</v>
      </c>
      <c r="M108" s="116" t="s">
        <v>101</v>
      </c>
      <c r="N108" s="116" t="s">
        <v>102</v>
      </c>
      <c r="O108" s="116" t="s">
        <v>103</v>
      </c>
    </row>
    <row r="109" spans="2:99" x14ac:dyDescent="0.2">
      <c r="C109" s="116" t="s">
        <v>126</v>
      </c>
      <c r="D109">
        <f>SUM(D$6:D$19)+SUM(F$6:F$19)+SUM(H$6:H$19)+SUM(J$6:J$19)</f>
        <v>419</v>
      </c>
      <c r="E109">
        <f>SUM(L$6:L$19)+SUM(N$6:N$19)+SUM(P$6:P$19)+SUM(R$6:R$19)</f>
        <v>1718</v>
      </c>
      <c r="F109">
        <f>SUM(T$6:T$19)+SUM(V$6:V$19)+SUM(X$6:X$19)+SUM(Z$6:Z$19)</f>
        <v>722</v>
      </c>
      <c r="G109">
        <f>SUM(AB$6:AB$19)+SUM(AD$6:AD$19)+SUM(AF$6:AF$19)+SUM(AH$6:AH$19)</f>
        <v>2969</v>
      </c>
      <c r="H109">
        <f>SUM(AJ$6:AJ$19)+SUM(AL$6:AL$19)+SUM(AN$6:AN$19)+SUM(AP$6:AP$19)</f>
        <v>4301.5243514951144</v>
      </c>
      <c r="I109">
        <f>SUM(AR$6:AR$19)+SUM(AT$6:AT$19)+SUM(AV$6:AV$19)+SUM(AX$6:AX$19)</f>
        <v>927</v>
      </c>
      <c r="J109">
        <f>SUM(AZ$6:AZ$19)+SUM(BB$6:BB$19)+SUM(BD$6:BD$19)+SUM(BF$6:BF$19)</f>
        <v>902</v>
      </c>
      <c r="K109">
        <f>SUM(BH$6:BH$19)+SUM(BJ$6:BJ$19)+SUM(BL$6:BL$19)+SUM(BN$6:BN$19)</f>
        <v>531</v>
      </c>
      <c r="L109">
        <f>SUM(BP$6:BP$19)+SUM(BR$6:BR$19)+SUM(BT$6:BT$19)+SUM(BV$6:BV$19)</f>
        <v>730</v>
      </c>
      <c r="M109">
        <f>SUM(BX$6:BX$19)+SUM(BZ$6:BZ$19)+SUM(CB$6:CB$19)+SUM(CD$6:CD$19)</f>
        <v>530</v>
      </c>
      <c r="N109">
        <f>SUM(CF$6:CF$19)+SUM(CH$6:CH$19)+SUM(CJ$6:CJ$19)+SUM(CL$6:CL$19)</f>
        <v>1886</v>
      </c>
      <c r="O109">
        <f>SUM(CN$6:CN$19)+SUM(CP$6:CP$19)+SUM(CR$6:CR$19)+SUM(CT$6:CT$19)</f>
        <v>477</v>
      </c>
    </row>
    <row r="110" spans="2:99" x14ac:dyDescent="0.2">
      <c r="C110" s="116" t="s">
        <v>127</v>
      </c>
      <c r="D110">
        <f>SUM(D$20:D$36)+SUM(F$20:F$36)+SUM(H$20:H$36)+SUM(J$20:J$36)</f>
        <v>230</v>
      </c>
      <c r="E110">
        <f>SUM(L$20:L$36)+SUM(N$20:N$36)+SUM(P$20:P$36)+SUM(R$20:R$36)</f>
        <v>390</v>
      </c>
      <c r="F110">
        <f>SUM(T$20:T$36)+SUM(V$20:V$36)+SUM(X$20:X$36)+SUM(Z$20:Z$36)</f>
        <v>3341</v>
      </c>
      <c r="G110">
        <f>SUM(AB$20:AB$36)+SUM(AD$20:AD$36)+SUM(AF$20:AF$36)+SUM(AH$20:AH$36)</f>
        <v>285</v>
      </c>
      <c r="H110">
        <f>SUM(AJ$20:AJ$36)+SUM(AL$20:AL$36)+SUM(AN$20:AN$36)+SUM(AP$20:AP$36)</f>
        <v>3324.8420729156505</v>
      </c>
      <c r="I110">
        <f>SUM(AR$20:AR$36)+SUM(AT$20:AT$36)+SUM(AV$20:AV$36)+SUM(AX$20:AX$36)</f>
        <v>2592</v>
      </c>
      <c r="J110">
        <f>SUM(AZ$20:AZ$36)+SUM(BB$20:BB$36)+SUM(BD$20:BD$36)+SUM(BF$20:BF$36)</f>
        <v>555</v>
      </c>
      <c r="K110">
        <f>SUM(BH$20:BH$36)+SUM(BJ$20:BJ$36)+SUM(BL$20:BL$36)+SUM(BN$20:BN$36)</f>
        <v>1186</v>
      </c>
      <c r="L110">
        <f>SUM(BP$20:BP$36)+SUM(BR$20:BR$36)+SUM(BT$20:BT$36)+SUM(BV$20:BV$36)</f>
        <v>3092</v>
      </c>
      <c r="M110">
        <f>SUM(BX$20:BX$36)+SUM(BZ$20:BZ$36)+SUM(CB$20:CB$36)+SUM(CD$20:CD$36)</f>
        <v>354</v>
      </c>
      <c r="N110">
        <f>SUM(CF$20:CF$36)+SUM(CH$20:CH$36)+SUM(CJ$20:CJ$36)+SUM(CL$20:CL$36)</f>
        <v>317</v>
      </c>
      <c r="O110">
        <f>SUM(CN$20:CN$36)+SUM(CP$20:CP$36)+SUM(CR$20:CR$36)+SUM(CT$20:CT$36)</f>
        <v>2771</v>
      </c>
    </row>
    <row r="111" spans="2:99" x14ac:dyDescent="0.2">
      <c r="C111" s="116" t="s">
        <v>128</v>
      </c>
      <c r="D111">
        <f>SUM(D$37:D$48)+SUM(F$37:F$48)+SUM(H$37:H$48)+SUM(J$37:J$48)</f>
        <v>3903</v>
      </c>
      <c r="E111">
        <f>SUM(L$37:L$48)+SUM(N$37:N$48)+SUM(P$37:P$48)+SUM(R$37:R$48)</f>
        <v>294</v>
      </c>
      <c r="F111">
        <f>SUM(T$37:T$48)+SUM(V$37:V$48)+SUM(X$37:X$48)+SUM(Z$37:Z$48)</f>
        <v>5428</v>
      </c>
      <c r="G111">
        <f>SUM(AB$37:AB$48)+SUM(AD$37:AD$48)+SUM(AF$37:AF$48)+SUM(AH$37:AH$48)</f>
        <v>344</v>
      </c>
      <c r="H111">
        <f>SUM(AJ$37:AJ$48)+SUM(AL$37:AL$48)+SUM(AN$37:AN$48)+SUM(AP$37:AP$48)</f>
        <v>1732.4739900279146</v>
      </c>
      <c r="I111">
        <f>SUM(AR$37:AR$48)+SUM(AT$37:AT$48)+SUM(AV$37:AV$48)+SUM(AX$37:AX$48)</f>
        <v>1496</v>
      </c>
      <c r="J111">
        <f>SUM(AZ$37:AZ$48)+SUM(BB$37:BB$48)+SUM(BD$37:BD$48)+SUM(BF$37:BF$48)</f>
        <v>1037</v>
      </c>
      <c r="K111">
        <f>SUM(BH$37:BH$48)+SUM(BJ$37:BJ$48)+SUM(BL$37:BL$48)+SUM(BN$37:BN$48)</f>
        <v>742</v>
      </c>
      <c r="L111">
        <f>SUM(BP$37:BP$48)+SUM(BR$37:BR$48)+SUM(BT$37:BT$48)+SUM(BV$37:BV$48)</f>
        <v>453</v>
      </c>
      <c r="M111">
        <f>SUM(BX$37:BX$48)+SUM(BZ$37:BZ$48)+SUM(CB$37:CB$48)+SUM(CD$37:CD$48)</f>
        <v>801</v>
      </c>
      <c r="N111">
        <f>SUM(CF$37:CF$48)+SUM(CH$37:CH$48)+SUM(CJ$37:CJ$48)+SUM(CL$37:CL$48)</f>
        <v>3463</v>
      </c>
      <c r="O111">
        <f>SUM(CN$37:CN$48)+SUM(CP$37:CP$48)+SUM(CR$37:CR$48)+SUM(CT$37:CT$48)</f>
        <v>319</v>
      </c>
    </row>
    <row r="112" spans="2:99" x14ac:dyDescent="0.2">
      <c r="C112" s="116" t="s">
        <v>129</v>
      </c>
      <c r="D112">
        <f>SUM(D$49:D$70)+SUM(F$49:F$70)+SUM(H$49:H$70)+SUM(J$49:J$70)</f>
        <v>5364.6569813371862</v>
      </c>
      <c r="E112">
        <f>SUM(L$49:L$70)+SUM(N$49:N$70)+SUM(P$49:P$70)+SUM(R$49:R$70)</f>
        <v>3569.5899925161993</v>
      </c>
      <c r="F112">
        <f>SUM(T$49:T$70)+SUM(V$49:V$70)+SUM(X$49:X$70)+SUM(Z$49:Z$70)</f>
        <v>847.25028963046577</v>
      </c>
      <c r="G112">
        <f>SUM(AB$49:AB$70)+SUM(AD$49:AD$70)+SUM(AF$49:AF$70)+SUM(AH$49:AH$70)</f>
        <v>4251.7456392199474</v>
      </c>
      <c r="H112">
        <f>SUM(AJ$49:AJ$70)+SUM(AL$49:AL$70)+SUM(AN$49:AN$70)+SUM(AP$49:AP$70)</f>
        <v>833.70203894261954</v>
      </c>
      <c r="I112">
        <f>SUM(AR$49:AR$70)+SUM(AT$49:AT$70)+SUM(AV$49:AV$70)+SUM(AX$49:AX$70)</f>
        <v>1133.2785804303251</v>
      </c>
      <c r="J112">
        <f>SUM(AZ$49:AZ$70)+SUM(BB$49:BB$70)+SUM(BD$49:BD$70)+SUM(BF$49:BF$70)</f>
        <v>774.01254104313705</v>
      </c>
      <c r="K112">
        <f>SUM(BH$49:BH$70)+SUM(BJ$49:BJ$70)+SUM(BL$49:BL$70)+SUM(BN$49:BN$70)</f>
        <v>1632.2896683584931</v>
      </c>
      <c r="L112">
        <f>SUM(BP$49:BP$70)+SUM(BR$49:BR$70)+SUM(BT$49:BT$70)+SUM(BV$49:BV$70)</f>
        <v>1506.4284309438103</v>
      </c>
      <c r="M112">
        <f>SUM(BX$49:BX$70)+SUM(BZ$49:BZ$70)+SUM(CB$49:CB$70)+SUM(CD$49:CD$70)</f>
        <v>1207.749917899273</v>
      </c>
      <c r="N112">
        <f>SUM(CF$49:CF$70)+SUM(CH$49:CH$70)+SUM(CJ$49:CJ$70)+SUM(CL$49:CL$70)</f>
        <v>1148.6423300694196</v>
      </c>
      <c r="O112">
        <f>SUM(CN$49:CN$70)+SUM(CP$49:CP$70)+SUM(CR$49:CR$70)+SUM(CT$49:CT$70)</f>
        <v>801.29569892388849</v>
      </c>
    </row>
    <row r="113" spans="2:15" x14ac:dyDescent="0.2">
      <c r="C113" s="116" t="s">
        <v>130</v>
      </c>
      <c r="D113">
        <f>SUM(D$71:D$86)+SUM(F$71:F$86)+SUM(H$71:H$86)+SUM(J$71:J$86)</f>
        <v>1261.7402883088239</v>
      </c>
      <c r="E113">
        <f>SUM(L$71:L$86)+SUM(N$71:N$86)+SUM(P$71:P$86)+SUM(R$71:R$86)</f>
        <v>259.66123477062933</v>
      </c>
      <c r="F113">
        <f>SUM(T$71:T$86)+SUM(V$71:V$86)+SUM(X$71:X$86)+SUM(Z$71:Z$86)</f>
        <v>1305.272685989233</v>
      </c>
      <c r="G113">
        <f>SUM(AB$71:AB$86)+SUM(AD$71:AD$86)+SUM(AF$71:AF$86)+SUM(AH$71:AH$86)</f>
        <v>602.31578352806673</v>
      </c>
      <c r="H113">
        <f>SUM(AJ$71:AJ$86)+SUM(AL$71:AL$86)+SUM(AN$71:AN$86)+SUM(AP$71:AP$86)</f>
        <v>1167.1497424981585</v>
      </c>
      <c r="I113">
        <f>SUM(AR$71:AR$86)+SUM(AT$71:AT$86)+SUM(AV$71:AV$86)+SUM(AX$71:AX$86)</f>
        <v>413.94319528636913</v>
      </c>
      <c r="J113">
        <f>SUM(AZ$71:AZ$86)+SUM(BB$71:BB$86)+SUM(BD$71:BD$86)+SUM(BF$71:BF$86)</f>
        <v>1037.4677315227209</v>
      </c>
      <c r="K113">
        <f>SUM(BH$71:BH$86)+SUM(BJ$71:BJ$86)+SUM(BL$71:BL$86)+SUM(BN$71:BN$86)</f>
        <v>1263.6968423948806</v>
      </c>
      <c r="L113">
        <f>SUM(BP$71:BP$86)+SUM(BR$71:BR$86)+SUM(BT$71:BT$86)+SUM(BV$71:BV$86)</f>
        <v>403.71295382667739</v>
      </c>
      <c r="M113">
        <f>SUM(BX$71:BX$86)+SUM(BZ$71:BZ$86)+SUM(CB$71:CB$86)+SUM(CD$71:CD$86)</f>
        <v>278.79348283883536</v>
      </c>
      <c r="N113">
        <f>SUM(CF$71:CF$86)+SUM(CH$71:CH$86)+SUM(CJ$71:CJ$86)+SUM(CL$71:CL$86)</f>
        <v>641.1590274987135</v>
      </c>
      <c r="O113">
        <f>SUM(CN$71:CN$86)+SUM(CP$71:CP$86)+SUM(CR$71:CR$86)+SUM(CT$71:CT$86)</f>
        <v>1042.948491458749</v>
      </c>
    </row>
    <row r="114" spans="2:15" x14ac:dyDescent="0.2">
      <c r="C114" s="116" t="s">
        <v>131</v>
      </c>
      <c r="D114">
        <f>SUM(D$87:D$94)+SUM(F$87:F$94)+SUM(H$87:H$94)+SUM(J$87:J$94)</f>
        <v>103.37933100698615</v>
      </c>
      <c r="E114">
        <f>SUM(L$87:L$94)+SUM(N$87:N$94)+SUM(P$87:P$94)+SUM(R$87:R$94)</f>
        <v>354.34163057355102</v>
      </c>
      <c r="F114">
        <f>SUM(T$87:T$94)+SUM(V$87:V$94)+SUM(X$87:X$94)+SUM(Z$87:Z$94)</f>
        <v>375.15163537777869</v>
      </c>
      <c r="G114">
        <f>SUM(AB$87:AB$94)+SUM(AD$87:AD$94)+SUM(AF$87:AF$94)+SUM(AH$87:AH$94)</f>
        <v>292.3155287543417</v>
      </c>
      <c r="H114">
        <f>SUM(AJ$87:AJ$94)+SUM(AL$87:AL$94)+SUM(AN$87:AN$94)+SUM(AP$87:AP$94)</f>
        <v>326.22035587605626</v>
      </c>
      <c r="I114">
        <f>SUM(AR$87:AR$94)+SUM(AT$87:AT$94)+SUM(AV$87:AV$94)+SUM(AX$87:AX$94)</f>
        <v>308.65439746425881</v>
      </c>
      <c r="J114">
        <f>SUM(AZ$87:AZ$94)+SUM(BB$87:BB$94)+SUM(BD$87:BD$94)+SUM(BF$87:BF$94)</f>
        <v>186.45916574420272</v>
      </c>
      <c r="K114">
        <f>SUM(BH$87:BH$94)+SUM(BJ$87:BJ$94)+SUM(BL$87:BL$94)+SUM(BN$87:BN$94)</f>
        <v>213.51740740911094</v>
      </c>
      <c r="L114">
        <f>SUM(BP$87:BP$94)+SUM(BR$87:BR$94)+SUM(BT$87:BT$94)+SUM(BV$87:BV$94)</f>
        <v>990.07249229496176</v>
      </c>
      <c r="M114">
        <f>SUM(BX$87:BX$94)+SUM(BZ$87:BZ$94)+SUM(CB$87:CB$94)+SUM(CD$87:CD$94)</f>
        <v>146.58264428463423</v>
      </c>
      <c r="N114">
        <f>SUM(CF$87:CF$94)+SUM(CH$87:CH$94)+SUM(CJ$87:CJ$94)+SUM(CL$87:CL$94)</f>
        <v>591.9500078387814</v>
      </c>
      <c r="O114">
        <f>SUM(CN$87:CN$94)+SUM(CP$87:CP$94)+SUM(CR$87:CR$94)+SUM(CT$87:CT$94)</f>
        <v>618.169221438774</v>
      </c>
    </row>
    <row r="115" spans="2:15" x14ac:dyDescent="0.2">
      <c r="C115" s="116" t="s">
        <v>132</v>
      </c>
      <c r="D115">
        <f>SUM(D$95:D$105)+SUM(F$95:F$105)+SUM(H$95:H$105)+SUM(J$95:J$105)</f>
        <v>149.7566770584757</v>
      </c>
      <c r="E115">
        <f>SUM(L$95:L$105)+SUM(N$95:N$105)+SUM(P$95:P$105)+SUM(R$95:R$105)</f>
        <v>277.80974602371163</v>
      </c>
      <c r="F115">
        <f>SUM(T$95:T$105)+SUM(V$95:V$105)+SUM(X$95:X$105)+SUM(Z$95:Z$105)</f>
        <v>259.43712810204636</v>
      </c>
      <c r="G115">
        <f>SUM(AB$95:AB$105)+SUM(AD$95:AD$105)+SUM(AF$95:AF$105)+SUM(AH$95:AH$105)</f>
        <v>292.39552031311757</v>
      </c>
      <c r="H115">
        <f>SUM(AJ$95:AJ$105)+SUM(AL$95:AL$105)+SUM(AN$95:AN$105)+SUM(AP$95:AP$105)</f>
        <v>238.02545240605576</v>
      </c>
      <c r="I115">
        <f>SUM(AR$95:AR$105)+SUM(AT$95:AT$105)+SUM(AV$95:AV$105)+SUM(AX$95:AX$105)</f>
        <v>1023.8747470224307</v>
      </c>
      <c r="J115">
        <f>SUM(AZ$95:AZ$105)+SUM(BB$95:BB$105)+SUM(BD$95:BD$105)+SUM(BF$95:BF$105)</f>
        <v>530.19712177197823</v>
      </c>
      <c r="K115">
        <f>SUM(BH$95:BH$105)+SUM(BJ$95:BJ$105)+SUM(BL$95:BL$105)+SUM(BN$95:BN$105)</f>
        <v>252.62283100811624</v>
      </c>
      <c r="L115">
        <f>SUM(BP$95:BP$105)+SUM(BR$95:BR$105)+SUM(BT$95:BT$105)+SUM(BV$95:BV$105)</f>
        <v>294.14323329152262</v>
      </c>
      <c r="M115">
        <f>SUM(BX$95:BX$105)+SUM(BZ$95:BZ$105)+SUM(CB$95:CB$105)+SUM(CD$95:CD$105)</f>
        <v>1163.4657648890552</v>
      </c>
      <c r="N115">
        <f>SUM(CF$95:CF$105)+SUM(CH$95:CH$105)+SUM(CJ$95:CJ$105)+SUM(CL$95:CL$105)</f>
        <v>250.99888311497324</v>
      </c>
      <c r="O115">
        <f>SUM(CN$95:CN$105)+SUM(CP$95:CP$105)+SUM(CR$95:CR$105)+SUM(CT$95:CT$105)</f>
        <v>209.39648233766658</v>
      </c>
    </row>
    <row r="116" spans="2:15" x14ac:dyDescent="0.2">
      <c r="C116" s="116" t="s">
        <v>278</v>
      </c>
      <c r="D116">
        <f t="shared" ref="D116:O116" si="0">SUM(D$109:D$115)</f>
        <v>11431.533277711473</v>
      </c>
      <c r="E116">
        <f t="shared" si="0"/>
        <v>6863.4026038840911</v>
      </c>
      <c r="F116">
        <f t="shared" si="0"/>
        <v>12278.111739099524</v>
      </c>
      <c r="G116">
        <f t="shared" si="0"/>
        <v>9036.7724718154732</v>
      </c>
      <c r="H116">
        <f t="shared" si="0"/>
        <v>11923.938004161571</v>
      </c>
      <c r="I116">
        <f t="shared" si="0"/>
        <v>7894.7509202033834</v>
      </c>
      <c r="J116">
        <f t="shared" si="0"/>
        <v>5022.1365600820382</v>
      </c>
      <c r="K116">
        <f t="shared" si="0"/>
        <v>5821.1267491706003</v>
      </c>
      <c r="L116">
        <f t="shared" si="0"/>
        <v>7469.357110356972</v>
      </c>
      <c r="M116">
        <f t="shared" si="0"/>
        <v>4481.5918099117971</v>
      </c>
      <c r="N116">
        <f t="shared" si="0"/>
        <v>8298.7502485218884</v>
      </c>
      <c r="O116">
        <f t="shared" si="0"/>
        <v>6238.8098941590779</v>
      </c>
    </row>
    <row r="118" spans="2:15" x14ac:dyDescent="0.2">
      <c r="B118" s="118" t="s">
        <v>279</v>
      </c>
    </row>
    <row r="119" spans="2:15" x14ac:dyDescent="0.2">
      <c r="C119" s="116" t="s">
        <v>277</v>
      </c>
      <c r="D119" s="116" t="s">
        <v>92</v>
      </c>
      <c r="E119" s="116" t="s">
        <v>93</v>
      </c>
      <c r="F119" s="116" t="s">
        <v>94</v>
      </c>
      <c r="G119" s="116" t="s">
        <v>95</v>
      </c>
      <c r="H119" s="116" t="s">
        <v>96</v>
      </c>
      <c r="I119" s="116" t="s">
        <v>97</v>
      </c>
      <c r="J119" s="116" t="s">
        <v>98</v>
      </c>
      <c r="K119" s="116" t="s">
        <v>99</v>
      </c>
      <c r="L119" s="116" t="s">
        <v>100</v>
      </c>
      <c r="M119" s="116" t="s">
        <v>101</v>
      </c>
      <c r="N119" s="116" t="s">
        <v>102</v>
      </c>
      <c r="O119" s="116" t="s">
        <v>103</v>
      </c>
    </row>
    <row r="120" spans="2:15" x14ac:dyDescent="0.2">
      <c r="C120" s="116" t="s">
        <v>126</v>
      </c>
      <c r="D120">
        <f>D109*pricing!D33*2000</f>
        <v>2451474.8251798498</v>
      </c>
      <c r="E120">
        <f>E109*pricing!E33*2000</f>
        <v>5326884.264692503</v>
      </c>
      <c r="F120">
        <f>F109*pricing!F33*2000</f>
        <v>3174848.4734806744</v>
      </c>
      <c r="G120">
        <f>G109*pricing!G33*2000</f>
        <v>7324727.9251146698</v>
      </c>
      <c r="H120">
        <f>H109*pricing!H33*2000</f>
        <v>9613041.8775188159</v>
      </c>
      <c r="I120">
        <f>I109*pricing!I33*2000</f>
        <v>3825200.8872666038</v>
      </c>
      <c r="J120">
        <f>J109*pricing!J33*2000</f>
        <v>3801891.6124601425</v>
      </c>
      <c r="K120">
        <f>K109*pricing!K33*2000</f>
        <v>2906784.1869623205</v>
      </c>
      <c r="L120">
        <f>L109*pricing!L33*2000</f>
        <v>3675310.6577425827</v>
      </c>
      <c r="M120">
        <f>M109*pricing!M33*2000</f>
        <v>2921428.7040809123</v>
      </c>
      <c r="N120">
        <f>N109*pricing!N33*2000</f>
        <v>6363558.0074798996</v>
      </c>
      <c r="O120">
        <f>O109*pricing!O33*2000</f>
        <v>2740430.3231284325</v>
      </c>
    </row>
    <row r="121" spans="2:15" x14ac:dyDescent="0.2">
      <c r="C121" s="116" t="s">
        <v>127</v>
      </c>
      <c r="D121">
        <f>D110*pricing!D34*2000</f>
        <v>1598760.3035534264</v>
      </c>
      <c r="E121">
        <f>E110*pricing!E34*2000</f>
        <v>2204410.8232954256</v>
      </c>
      <c r="F121">
        <f>F110*pricing!F34*2000</f>
        <v>8030304.8333204836</v>
      </c>
      <c r="G121">
        <f>G110*pricing!G34*2000</f>
        <v>1973324.8017906109</v>
      </c>
      <c r="H121">
        <f>H110*pricing!H34*2000</f>
        <v>7550244.4730181759</v>
      </c>
      <c r="I121">
        <f>I110*pricing!I34*2000</f>
        <v>6952909.0447270013</v>
      </c>
      <c r="J121">
        <f>J110*pricing!J34*2000</f>
        <v>2838747.2095998488</v>
      </c>
      <c r="K121">
        <f>K110*pricing!K34*2000</f>
        <v>4668573.4294587076</v>
      </c>
      <c r="L121">
        <f>L110*pricing!L34*2000</f>
        <v>7987332.493615686</v>
      </c>
      <c r="M121">
        <f>M110*pricing!M34*2000</f>
        <v>2261525.574340377</v>
      </c>
      <c r="N121">
        <f>N110*pricing!N34*2000</f>
        <v>2201478.4286030368</v>
      </c>
      <c r="O121">
        <f>O110*pricing!O34*2000</f>
        <v>7431163.8550025197</v>
      </c>
    </row>
    <row r="122" spans="2:15" x14ac:dyDescent="0.2">
      <c r="C122" s="116" t="s">
        <v>128</v>
      </c>
      <c r="D122">
        <f>D111*pricing!D35*2000</f>
        <v>9295184.5268568713</v>
      </c>
      <c r="E122">
        <f>E111*pricing!E35*2000</f>
        <v>2010210.8780712048</v>
      </c>
      <c r="F122">
        <f>F111*pricing!F35*2000</f>
        <v>11576321.010554986</v>
      </c>
      <c r="G122">
        <f>G111*pricing!G35*2000</f>
        <v>2118533.2846883372</v>
      </c>
      <c r="H122">
        <f>H111*pricing!H35*2000</f>
        <v>6220388.6980655855</v>
      </c>
      <c r="I122">
        <f>I111*pricing!I35*2000</f>
        <v>5141903.0764949741</v>
      </c>
      <c r="J122">
        <f>J111*pricing!J35*2000</f>
        <v>4405396.7764597312</v>
      </c>
      <c r="K122">
        <f>K111*pricing!K35*2000</f>
        <v>3480791.3124242621</v>
      </c>
      <c r="L122">
        <f>L111*pricing!L35*2000</f>
        <v>2884388.3950527543</v>
      </c>
      <c r="M122">
        <f>M111*pricing!M35*2000</f>
        <v>3839927.7773071737</v>
      </c>
      <c r="N122">
        <f>N111*pricing!N35*2000</f>
        <v>8187391.3284862349</v>
      </c>
      <c r="O122">
        <f>O111*pricing!O35*2000</f>
        <v>2097415.5075750099</v>
      </c>
    </row>
    <row r="123" spans="2:15" x14ac:dyDescent="0.2">
      <c r="C123" s="116" t="s">
        <v>129</v>
      </c>
      <c r="D123">
        <f>D112*pricing!D36*2000</f>
        <v>12600172.893982997</v>
      </c>
      <c r="E123">
        <f>E112*pricing!E36*2000</f>
        <v>9219715.3991655651</v>
      </c>
      <c r="F123">
        <f>F112*pricing!F36*2000</f>
        <v>3974556.2976840669</v>
      </c>
      <c r="G123">
        <f>G112*pricing!G36*2000</f>
        <v>10151498.26859851</v>
      </c>
      <c r="H123">
        <f>H112*pricing!H36*2000</f>
        <v>4140989.7939114915</v>
      </c>
      <c r="I123">
        <f>I112*pricing!I36*2000</f>
        <v>4830269.9552794257</v>
      </c>
      <c r="J123">
        <f>J112*pricing!J36*2000</f>
        <v>3791344.1308438908</v>
      </c>
      <c r="K123">
        <f>K112*pricing!K36*2000</f>
        <v>6331510.8521662755</v>
      </c>
      <c r="L123">
        <f>L112*pricing!L36*2000</f>
        <v>6356255.4032630753</v>
      </c>
      <c r="M123">
        <f>M112*pricing!M36*2000</f>
        <v>5507752.7421745593</v>
      </c>
      <c r="N123">
        <f>N112*pricing!N36*2000</f>
        <v>5311806.6434683064</v>
      </c>
      <c r="O123">
        <f>O112*pricing!O36*2000</f>
        <v>4258040.1184020843</v>
      </c>
    </row>
    <row r="124" spans="2:15" x14ac:dyDescent="0.2">
      <c r="C124" s="116" t="s">
        <v>130</v>
      </c>
      <c r="D124">
        <f>D113*pricing!D37*2000</f>
        <v>3183707.047214468</v>
      </c>
      <c r="E124">
        <f>E113*pricing!E37*2000</f>
        <v>1829653.636458637</v>
      </c>
      <c r="F124">
        <f>F113*pricing!F37*2000</f>
        <v>3515747.1423030798</v>
      </c>
      <c r="G124">
        <f>G113*pricing!G37*2000</f>
        <v>3556829.7526232684</v>
      </c>
      <c r="H124">
        <f>H113*pricing!H37*2000</f>
        <v>4053405.7781852246</v>
      </c>
      <c r="I124">
        <f>I113*pricing!I37*2000</f>
        <v>1989377.4825428068</v>
      </c>
      <c r="J124">
        <f>J113*pricing!J37*2000</f>
        <v>3670739.9006948434</v>
      </c>
      <c r="K124">
        <f>K113*pricing!K37*2000</f>
        <v>3493618.8851492717</v>
      </c>
      <c r="L124">
        <f>L113*pricing!L37*2000</f>
        <v>1942209.6255496365</v>
      </c>
      <c r="M124">
        <f>M113*pricing!M37*2000</f>
        <v>1955191.2517594665</v>
      </c>
      <c r="N124">
        <f>N113*pricing!N37*2000</f>
        <v>3199992.8382729548</v>
      </c>
      <c r="O124">
        <f>O113*pricing!O37*2000</f>
        <v>3181683.1655845661</v>
      </c>
    </row>
    <row r="125" spans="2:15" x14ac:dyDescent="0.2">
      <c r="C125" s="116" t="s">
        <v>131</v>
      </c>
      <c r="D125">
        <f>D114*pricing!D38*2000</f>
        <v>543284.16967139638</v>
      </c>
      <c r="E125">
        <f>E114*pricing!E38*2000</f>
        <v>1523952.7899958128</v>
      </c>
      <c r="F125">
        <f>F114*pricing!F38*2000</f>
        <v>1105072.1229649875</v>
      </c>
      <c r="G125">
        <f>G114*pricing!G38*2000</f>
        <v>1575975.5559783189</v>
      </c>
      <c r="H125">
        <f>H114*pricing!H38*2000</f>
        <v>1403865.1869905351</v>
      </c>
      <c r="I125">
        <f>I114*pricing!I38*2000</f>
        <v>1128610.500213128</v>
      </c>
      <c r="J125">
        <f>J114*pricing!J38*2000</f>
        <v>940412.23635807284</v>
      </c>
      <c r="K125">
        <f>K114*pricing!K38*2000</f>
        <v>1016557.3131951564</v>
      </c>
      <c r="L125">
        <f>L114*pricing!L38*2000</f>
        <v>2358366.3895862661</v>
      </c>
      <c r="M125">
        <f>M114*pricing!M38*2000</f>
        <v>1012683.6248162264</v>
      </c>
      <c r="N125">
        <f>N114*pricing!N38*2000</f>
        <v>2345542.1720905211</v>
      </c>
      <c r="O125">
        <f>O114*pricing!O38*2000</f>
        <v>1692004.605221617</v>
      </c>
    </row>
    <row r="126" spans="2:15" x14ac:dyDescent="0.2">
      <c r="C126" s="116" t="s">
        <v>132</v>
      </c>
      <c r="D126">
        <f>D115*pricing!D39*2000</f>
        <v>923043.1042857212</v>
      </c>
      <c r="E126">
        <f>E115*pricing!E39*2000</f>
        <v>1651091.3361949264</v>
      </c>
      <c r="F126">
        <f>F115*pricing!F39*2000</f>
        <v>1294569.4131033265</v>
      </c>
      <c r="G126">
        <f>G115*pricing!G39*2000</f>
        <v>2088677.5339049813</v>
      </c>
      <c r="H126">
        <f>H115*pricing!H39*2000</f>
        <v>1692487.2611959612</v>
      </c>
      <c r="I126">
        <f>I115*pricing!I39*2000</f>
        <v>2529288.6095553008</v>
      </c>
      <c r="J126">
        <f>J115*pricing!J39*2000</f>
        <v>2206380.2728542648</v>
      </c>
      <c r="K126">
        <f>K115*pricing!K39*2000</f>
        <v>1355660.6147830447</v>
      </c>
      <c r="L126">
        <f>L115*pricing!L39*2000</f>
        <v>1726845.7675356155</v>
      </c>
      <c r="M126">
        <f>M115*pricing!M39*2000</f>
        <v>3693256.18462444</v>
      </c>
      <c r="N126">
        <f>N115*pricing!N39*2000</f>
        <v>1798677.515935458</v>
      </c>
      <c r="O126">
        <f>O115*pricing!O39*2000</f>
        <v>1252933.0887842518</v>
      </c>
    </row>
    <row r="127" spans="2:15" x14ac:dyDescent="0.2">
      <c r="C127" s="116" t="s">
        <v>278</v>
      </c>
      <c r="D127">
        <f>SUM(D$120:D$126)</f>
        <v>30595626.870744731</v>
      </c>
      <c r="E127">
        <f t="shared" ref="E127:O127" si="1">SUM(E$120:E$126)</f>
        <v>23765919.127874069</v>
      </c>
      <c r="F127">
        <f t="shared" si="1"/>
        <v>32671419.293411605</v>
      </c>
      <c r="G127">
        <f t="shared" si="1"/>
        <v>28789567.122698698</v>
      </c>
      <c r="H127">
        <f t="shared" si="1"/>
        <v>34674423.068885788</v>
      </c>
      <c r="I127">
        <f t="shared" si="1"/>
        <v>26397559.556079239</v>
      </c>
      <c r="J127">
        <f t="shared" si="1"/>
        <v>21654912.139270794</v>
      </c>
      <c r="K127">
        <f t="shared" si="1"/>
        <v>23253496.59413904</v>
      </c>
      <c r="L127">
        <f t="shared" si="1"/>
        <v>26930708.732345618</v>
      </c>
      <c r="M127">
        <f t="shared" si="1"/>
        <v>21191765.859103158</v>
      </c>
      <c r="N127">
        <f t="shared" si="1"/>
        <v>29408446.934336409</v>
      </c>
      <c r="O127">
        <f t="shared" si="1"/>
        <v>22653670.663698483</v>
      </c>
    </row>
    <row r="129" spans="2:15" x14ac:dyDescent="0.2">
      <c r="B129" s="118" t="s">
        <v>280</v>
      </c>
    </row>
    <row r="130" spans="2:15" x14ac:dyDescent="0.2">
      <c r="C130" s="120" t="s">
        <v>277</v>
      </c>
      <c r="D130" s="120" t="s">
        <v>92</v>
      </c>
      <c r="E130" s="120" t="s">
        <v>93</v>
      </c>
      <c r="F130" s="120" t="s">
        <v>94</v>
      </c>
      <c r="G130" s="120" t="s">
        <v>95</v>
      </c>
      <c r="H130" s="120" t="s">
        <v>96</v>
      </c>
      <c r="I130" s="120" t="s">
        <v>97</v>
      </c>
      <c r="J130" s="120" t="s">
        <v>98</v>
      </c>
      <c r="K130" s="120" t="s">
        <v>99</v>
      </c>
      <c r="L130" s="120" t="s">
        <v>100</v>
      </c>
      <c r="M130" s="120" t="s">
        <v>101</v>
      </c>
      <c r="N130" s="120" t="s">
        <v>102</v>
      </c>
      <c r="O130" s="120" t="s">
        <v>103</v>
      </c>
    </row>
    <row r="131" spans="2:15" x14ac:dyDescent="0.2">
      <c r="C131" s="120" t="s">
        <v>126</v>
      </c>
      <c r="D131" s="121">
        <f>SUM(E$6:E$19)+SUM(G$6:G$19)+SUM(I$6:I$19)+SUM(K$6:K$19)</f>
        <v>212186.4</v>
      </c>
      <c r="E131" s="121">
        <f>SUM(M$6:M$19)+SUM(O$6:O$19)+SUM(Q$6:Q$19)+SUM(S$6:S$19)</f>
        <v>863076</v>
      </c>
      <c r="F131" s="121">
        <f>SUM(U$6:U$19)+SUM(W$6:W$19)+SUM(Y$6:Y$19)+SUM(AA$6:AA$19)</f>
        <v>363665.99999999994</v>
      </c>
      <c r="G131" s="121">
        <f>SUM(AC$6:AC$19)+SUM(AE$6:AE$19)+SUM(AG$6:AG$19)+SUM(AI$6:AI$19)</f>
        <v>1486472.4</v>
      </c>
      <c r="H131" s="121">
        <f>SUM(AK$6:AK$19)+SUM(AM$6:AM$19)+SUM(AO$6:AO$19)+SUM(AQ$6:AQ$19)</f>
        <v>2150786.647643025</v>
      </c>
      <c r="I131" s="121">
        <f>SUM(AS$6:AS$19)+SUM(AU$6:AU$19)+SUM(AW$6:AW$19)+SUM(AY$6:AY$19)</f>
        <v>467134.79999999993</v>
      </c>
      <c r="J131" s="121">
        <f>SUM(BA$6:BA$19)+SUM(BC$6:BC$19)+SUM(BE$6:BE$19)+SUM(BG$6:BG$19)</f>
        <v>455728.8</v>
      </c>
      <c r="K131" s="121">
        <f>SUM(BI$6:BI$19)+SUM(BK$6:BK$19)+SUM(BM$6:BM$19)+SUM(BO$6:BO$19)</f>
        <v>269631.59999999998</v>
      </c>
      <c r="L131" s="121">
        <f>SUM(BQ$6:BQ$19)+SUM(BS$6:BS$19)+SUM(BU$6:BU$19)+SUM(BW$6:BW$19)</f>
        <v>368792.39999999997</v>
      </c>
      <c r="M131" s="121">
        <f>SUM(BY$6:BY$19)+SUM(CA$6:CA$19)+SUM(CC$6:CC$19)+SUM(CE$6:CE$19)</f>
        <v>269105.99999999994</v>
      </c>
      <c r="N131" s="121">
        <f>SUM(CG$6:CG$19)+SUM(CI$6:CI$19)+SUM(CK$6:CK$19)+SUM(CM$6:CM$19)</f>
        <v>945532.79999999993</v>
      </c>
      <c r="O131" s="121">
        <f>SUM(CO$6:CO$19)+SUM(CQ$6:CQ$19)+SUM(CS$6:CS$19)+SUM(CU$6:CU$19)</f>
        <v>241286.39999999997</v>
      </c>
    </row>
    <row r="132" spans="2:15" x14ac:dyDescent="0.2">
      <c r="C132" s="120" t="s">
        <v>127</v>
      </c>
      <c r="D132" s="121">
        <f>SUM(E$20:E$36)+SUM(G$20:G$36)+SUM(I$20:I$36)+SUM(K$20:K$36)</f>
        <v>97970.400000000009</v>
      </c>
      <c r="E132" s="121">
        <f>SUM(M$20:M$36)+SUM(O$20:O$36)+SUM(Q$20:Q$36)+SUM(S$20:S$36)</f>
        <v>167343.6</v>
      </c>
      <c r="F132" s="121">
        <f>SUM(U$20:U$36)+SUM(W$20:W$36)+SUM(Y$20:Y$36)+SUM(AA$20:AA$36)</f>
        <v>1414526.4</v>
      </c>
      <c r="G132" s="121">
        <f>SUM(AC$20:AC$36)+SUM(AE$20:AE$36)+SUM(AG$20:AG$36)+SUM(AI$20:AI$36)</f>
        <v>121286.39999999999</v>
      </c>
      <c r="H132" s="121">
        <f>SUM(AK$20:AK$36)+SUM(AM$20:AM$36)+SUM(AO$20:AO$36)+SUM(AQ$20:AQ$36)</f>
        <v>1402644.1095452104</v>
      </c>
      <c r="I132" s="121">
        <f>SUM(AS$20:AS$36)+SUM(AU$20:AU$36)+SUM(AW$20:AW$36)+SUM(AY$20:AY$36)</f>
        <v>1103250</v>
      </c>
      <c r="J132" s="121">
        <f>SUM(BA$20:BA$36)+SUM(BC$20:BC$36)+SUM(BE$20:BE$36)+SUM(BG$20:BG$36)</f>
        <v>236828.4</v>
      </c>
      <c r="K132" s="121">
        <f>SUM(BI$20:BI$36)+SUM(BK$20:BK$36)+SUM(BM$20:BM$36)+SUM(BO$20:BO$36)</f>
        <v>502358.39999999997</v>
      </c>
      <c r="L132" s="121">
        <f>SUM(BQ$20:BQ$36)+SUM(BS$20:BS$36)+SUM(BU$20:BU$36)+SUM(BW$20:BW$36)</f>
        <v>1308999.5999999999</v>
      </c>
      <c r="M132" s="121">
        <f>SUM(BY$20:BY$36)+SUM(CA$20:CA$36)+SUM(CC$20:CC$36)+SUM(CE$20:CE$36)</f>
        <v>150759.6</v>
      </c>
      <c r="N132" s="121">
        <f>SUM(CG$20:CG$36)+SUM(CI$20:CI$36)+SUM(CK$20:CK$36)+SUM(CM$20:CM$36)</f>
        <v>135226.79999999999</v>
      </c>
      <c r="O132" s="121">
        <f>SUM(CO$20:CO$36)+SUM(CQ$20:CQ$36)+SUM(CS$20:CS$36)+SUM(CU$20:CU$36)</f>
        <v>1179806.3999999999</v>
      </c>
    </row>
    <row r="133" spans="2:15" x14ac:dyDescent="0.2">
      <c r="C133" s="120" t="s">
        <v>128</v>
      </c>
      <c r="D133" s="121">
        <f>SUM(E$37:E$48)+SUM(G$37:G$48)+SUM(I$37:I$48)+SUM(K$37:K$48)</f>
        <v>4056268.7999999998</v>
      </c>
      <c r="E133" s="121">
        <f>SUM(M$37:M$48)+SUM(O$37:O$48)+SUM(Q$37:Q$48)+SUM(S$37:S$48)</f>
        <v>307992</v>
      </c>
      <c r="F133" s="121">
        <f>SUM(U$37:U$48)+SUM(W$37:W$48)+SUM(Y$37:Y$48)+SUM(AA$37:AA$48)</f>
        <v>5646807.5999999996</v>
      </c>
      <c r="G133" s="121">
        <f>SUM(AC$37:AC$48)+SUM(AE$37:AE$48)+SUM(AG$37:AG$48)+SUM(AI$37:AI$48)</f>
        <v>360183.6</v>
      </c>
      <c r="H133" s="121">
        <f>SUM(AK$37:AK$48)+SUM(AM$37:AM$48)+SUM(AO$37:AO$48)+SUM(AQ$37:AQ$48)</f>
        <v>1811843.9921109746</v>
      </c>
      <c r="I133" s="121">
        <f>SUM(AS$37:AS$48)+SUM(AU$37:AU$48)+SUM(AW$37:AW$48)+SUM(AY$37:AY$48)</f>
        <v>1569112.8</v>
      </c>
      <c r="J133" s="121">
        <f>SUM(BA$37:BA$48)+SUM(BC$37:BC$48)+SUM(BE$37:BE$48)+SUM(BG$37:BG$48)</f>
        <v>1084443.6000000001</v>
      </c>
      <c r="K133" s="121">
        <f>SUM(BI$37:BI$48)+SUM(BK$37:BK$48)+SUM(BM$37:BM$48)+SUM(BO$37:BO$48)</f>
        <v>775912.8</v>
      </c>
      <c r="L133" s="121">
        <f>SUM(BQ$37:BQ$48)+SUM(BS$37:BS$48)+SUM(BU$37:BU$48)+SUM(BW$37:BW$48)</f>
        <v>476763.60000000003</v>
      </c>
      <c r="M133" s="121">
        <f>SUM(BY$37:BY$48)+SUM(CA$37:CA$48)+SUM(CC$37:CC$48)+SUM(CE$37:CE$48)</f>
        <v>840301.2</v>
      </c>
      <c r="N133" s="121">
        <f>SUM(CG$37:CG$48)+SUM(CI$37:CI$48)+SUM(CK$37:CK$48)+SUM(CM$37:CM$48)</f>
        <v>3609874.8</v>
      </c>
      <c r="O133" s="121">
        <f>SUM(CO$37:CO$48)+SUM(CQ$37:CQ$48)+SUM(CS$37:CS$48)+SUM(CU$37:CU$48)</f>
        <v>332716.79999999999</v>
      </c>
    </row>
    <row r="134" spans="2:15" x14ac:dyDescent="0.2">
      <c r="C134" s="120" t="s">
        <v>129</v>
      </c>
      <c r="D134" s="121">
        <f>SUM(E$49:E$70)+SUM(G$49:G$70)+SUM(I$49:I$70)+SUM(K$49:K$70)</f>
        <v>4385335.9843066456</v>
      </c>
      <c r="E134" s="121">
        <f>SUM(M$49:M$70)+SUM(O$49:O$70)+SUM(Q$49:Q$70)+SUM(S$49:S$70)</f>
        <v>2993260.9133509798</v>
      </c>
      <c r="F134" s="121">
        <f>SUM(U$49:U$70)+SUM(W$49:W$70)+SUM(Y$49:Y$70)+SUM(AA$49:AA$70)</f>
        <v>702111.19730113482</v>
      </c>
      <c r="G134" s="121">
        <f>SUM(AC$49:AC$70)+SUM(AE$49:AE$70)+SUM(AG$49:AG$70)+SUM(AI$49:AI$70)</f>
        <v>3545076.6953283772</v>
      </c>
      <c r="H134" s="121">
        <f>SUM(AK$49:AK$70)+SUM(AM$49:AM$70)+SUM(AO$49:AO$70)+SUM(AQ$49:AQ$70)</f>
        <v>707228.25892177899</v>
      </c>
      <c r="I134" s="121">
        <f>SUM(AS$49:AS$70)+SUM(AU$49:AU$70)+SUM(AW$49:AW$70)+SUM(AY$49:AY$70)</f>
        <v>940235.29789603956</v>
      </c>
      <c r="J134" s="121">
        <f>SUM(BA$49:BA$70)+SUM(BC$49:BC$70)+SUM(BE$49:BE$70)+SUM(BG$49:BG$70)</f>
        <v>654340.87363535562</v>
      </c>
      <c r="K134" s="121">
        <f>SUM(BI$49:BI$70)+SUM(BK$49:BK$70)+SUM(BM$49:BM$70)+SUM(BO$49:BO$70)</f>
        <v>1344259.4024308349</v>
      </c>
      <c r="L134" s="121">
        <f>SUM(BQ$49:BQ$70)+SUM(BS$49:BS$70)+SUM(BU$49:BU$70)+SUM(BW$49:BW$70)</f>
        <v>1256392.4577821265</v>
      </c>
      <c r="M134" s="121">
        <f>SUM(BY$49:BY$70)+SUM(CA$49:CA$70)+SUM(CC$49:CC$70)+SUM(CE$49:CE$70)</f>
        <v>1021187.5117917673</v>
      </c>
      <c r="N134" s="121">
        <f>SUM(CG$49:CG$70)+SUM(CI$49:CI$70)+SUM(CK$49:CK$70)+SUM(CM$49:CM$70)</f>
        <v>984232.07340216823</v>
      </c>
      <c r="O134" s="121">
        <f>SUM(CO$49:CO$70)+SUM(CQ$49:CQ$70)+SUM(CS$49:CS$70)+SUM(CU$49:CU$70)</f>
        <v>664813.90704901342</v>
      </c>
    </row>
    <row r="135" spans="2:15" x14ac:dyDescent="0.2">
      <c r="C135" s="120" t="s">
        <v>130</v>
      </c>
      <c r="D135" s="121">
        <f>SUM(E$71:E$86)+SUM(G$71:G$86)+SUM(I$71:I$86)+SUM(K$71:K$86)</f>
        <v>697368.70204203238</v>
      </c>
      <c r="E135" s="121">
        <f>SUM(M$71:M$86)+SUM(O$71:O$86)+SUM(Q$71:Q$86)+SUM(S$71:S$86)</f>
        <v>144901.79910378798</v>
      </c>
      <c r="F135" s="121">
        <f>SUM(U$71:U$86)+SUM(W$71:W$86)+SUM(Y$71:Y$86)+SUM(AA$71:AA$86)</f>
        <v>722675.87756552035</v>
      </c>
      <c r="G135" s="121">
        <f>SUM(AC$71:AC$86)+SUM(AE$71:AE$86)+SUM(AG$71:AG$86)+SUM(AI$71:AI$86)</f>
        <v>335452.2196008506</v>
      </c>
      <c r="H135" s="121">
        <f>SUM(AK$71:AK$86)+SUM(AM$71:AM$86)+SUM(AO$71:AO$86)+SUM(AQ$71:AQ$86)</f>
        <v>649234.91774908185</v>
      </c>
      <c r="I135" s="121">
        <f>SUM(AS$71:AS$86)+SUM(AU$71:AU$86)+SUM(AW$71:AW$86)+SUM(AY$71:AY$86)</f>
        <v>230074.40760278475</v>
      </c>
      <c r="J135" s="121">
        <f>SUM(BA$71:BA$86)+SUM(BC$71:BC$86)+SUM(BE$71:BE$86)+SUM(BG$71:BG$86)</f>
        <v>578193.28575530602</v>
      </c>
      <c r="K135" s="121">
        <f>SUM(BI$71:BI$86)+SUM(BK$71:BK$86)+SUM(BM$71:BM$86)+SUM(BO$71:BO$86)</f>
        <v>699411.15784745407</v>
      </c>
      <c r="L135" s="121">
        <f>SUM(BQ$71:BQ$86)+SUM(BS$71:BS$86)+SUM(BU$71:BU$86)+SUM(BW$71:BW$86)</f>
        <v>223811.68014997098</v>
      </c>
      <c r="M135" s="121">
        <f>SUM(BY$71:BY$86)+SUM(CA$71:CA$86)+SUM(CC$71:CC$86)+SUM(CE$71:CE$86)</f>
        <v>156105.09339620022</v>
      </c>
      <c r="N135" s="121">
        <f>SUM(CG$71:CG$86)+SUM(CI$71:CI$86)+SUM(CK$71:CK$86)+SUM(CM$71:CM$86)</f>
        <v>357191.5983251197</v>
      </c>
      <c r="O135" s="121">
        <f>SUM(CO$71:CO$86)+SUM(CQ$71:CQ$86)+SUM(CS$71:CS$86)+SUM(CU$71:CU$86)</f>
        <v>577445.44090252183</v>
      </c>
    </row>
    <row r="136" spans="2:15" x14ac:dyDescent="0.2">
      <c r="C136" s="120" t="s">
        <v>131</v>
      </c>
      <c r="D136" s="121">
        <f>SUM(E$87:E$94)+SUM(G$87:G$94)+SUM(I$87:I$94)+SUM(K$87:K$94)</f>
        <v>209489.26982768779</v>
      </c>
      <c r="E136" s="121">
        <f>SUM(M$87:M$94)+SUM(O$87:O$94)+SUM(Q$87:Q$94)+SUM(S$87:S$94)</f>
        <v>719390.93257127842</v>
      </c>
      <c r="F136" s="121">
        <f>SUM(U$87:U$94)+SUM(W$87:W$94)+SUM(Y$87:Y$94)+SUM(AA$87:AA$94)</f>
        <v>762241.592555332</v>
      </c>
      <c r="G136" s="121">
        <f>SUM(AC$87:AC$94)+SUM(AE$87:AE$94)+SUM(AG$87:AG$94)+SUM(AI$87:AI$94)</f>
        <v>593225.84602128947</v>
      </c>
      <c r="H136" s="121">
        <f>SUM(AK$87:AK$94)+SUM(AM$87:AM$94)+SUM(AO$87:AO$94)+SUM(AQ$87:AQ$94)</f>
        <v>663820.84029318811</v>
      </c>
      <c r="I136" s="121">
        <f>SUM(AS$87:AS$94)+SUM(AU$87:AU$94)+SUM(AW$87:AW$94)+SUM(AY$87:AY$94)</f>
        <v>624424.69465209008</v>
      </c>
      <c r="J136" s="121">
        <f>SUM(BA$87:BA$94)+SUM(BC$87:BC$94)+SUM(BE$87:BE$94)+SUM(BG$87:BG$94)</f>
        <v>379150.84677077201</v>
      </c>
      <c r="K136" s="121">
        <f>SUM(BI$87:BI$94)+SUM(BK$87:BK$94)+SUM(BM$87:BM$94)+SUM(BO$87:BO$94)</f>
        <v>433224.68358217785</v>
      </c>
      <c r="L136" s="121">
        <f>SUM(BQ$87:BQ$94)+SUM(BS$87:BS$94)+SUM(BU$87:BU$94)+SUM(BW$87:BW$94)</f>
        <v>2002581.2553097629</v>
      </c>
      <c r="M136" s="121">
        <f>SUM(BY$87:BY$94)+SUM(CA$87:CA$94)+SUM(CC$87:CC$94)+SUM(CE$87:CE$94)</f>
        <v>296274.19641233591</v>
      </c>
      <c r="N136" s="121">
        <f>SUM(CG$87:CG$94)+SUM(CI$87:CI$94)+SUM(CK$87:CK$94)+SUM(CM$87:CM$94)</f>
        <v>1199991.5990883245</v>
      </c>
      <c r="O136" s="121">
        <f>SUM(CO$87:CO$94)+SUM(CQ$87:CQ$94)+SUM(CS$87:CS$94)+SUM(CU$87:CU$94)</f>
        <v>1251686.2436834401</v>
      </c>
    </row>
    <row r="137" spans="2:15" x14ac:dyDescent="0.2">
      <c r="C137" s="120" t="s">
        <v>132</v>
      </c>
      <c r="D137" s="121">
        <f>SUM(E$95:E$105)+SUM(G$95:G$105)+SUM(I$95:I$105)+SUM(K$95:K$105)</f>
        <v>286223.83718765061</v>
      </c>
      <c r="E137" s="121">
        <f>SUM(M$95:M$105)+SUM(O$95:O$105)+SUM(Q$95:Q$105)+SUM(S$95:S$105)</f>
        <v>523476.88198496454</v>
      </c>
      <c r="F137" s="121">
        <f>SUM(U$95:U$105)+SUM(W$95:W$105)+SUM(Y$95:Y$105)+SUM(AA$95:AA$105)</f>
        <v>490654.1546513011</v>
      </c>
      <c r="G137" s="121">
        <f>SUM(AC$95:AC$105)+SUM(AE$95:AE$105)+SUM(AG$95:AG$105)+SUM(AI$95:AI$105)</f>
        <v>556201.72472511558</v>
      </c>
      <c r="H137" s="121">
        <f>SUM(AK$95:AK$105)+SUM(AM$95:AM$105)+SUM(AO$95:AO$105)+SUM(AQ$95:AQ$105)</f>
        <v>455371.83632258174</v>
      </c>
      <c r="I137" s="121">
        <f>SUM(AS$95:AS$105)+SUM(AU$95:AU$105)+SUM(AW$95:AW$105)+SUM(AY$95:AY$105)</f>
        <v>1858373.2584987683</v>
      </c>
      <c r="J137" s="121">
        <f>SUM(BA$95:BA$105)+SUM(BC$95:BC$105)+SUM(BE$95:BE$105)+SUM(BG$95:BG$105)</f>
        <v>1004536.261204384</v>
      </c>
      <c r="K137" s="121">
        <f>SUM(BI$95:BI$105)+SUM(BK$95:BK$105)+SUM(BM$95:BM$105)+SUM(BO$95:BO$105)</f>
        <v>482679.61063307273</v>
      </c>
      <c r="L137" s="121">
        <f>SUM(BQ$95:BQ$105)+SUM(BS$95:BS$105)+SUM(BU$95:BU$105)+SUM(BW$95:BW$105)</f>
        <v>562666.0352585325</v>
      </c>
      <c r="M137" s="121">
        <f>SUM(BY$95:BY$105)+SUM(CA$95:CA$105)+SUM(CC$95:CC$105)+SUM(CE$95:CE$105)</f>
        <v>2160482.8667402114</v>
      </c>
      <c r="N137" s="121">
        <f>SUM(CG$95:CG$105)+SUM(CI$95:CI$105)+SUM(CK$95:CK$105)+SUM(CM$95:CM$105)</f>
        <v>483460.02893342578</v>
      </c>
      <c r="O137" s="121">
        <f>SUM(CO$95:CO$105)+SUM(CQ$95:CQ$105)+SUM(CS$95:CS$105)+SUM(CU$95:CU$105)</f>
        <v>399076.31205808767</v>
      </c>
    </row>
    <row r="138" spans="2:15" x14ac:dyDescent="0.2">
      <c r="C138" s="120" t="s">
        <v>278</v>
      </c>
      <c r="D138">
        <f t="shared" ref="D138:O138" si="2">SUM(D$131:D$137)</f>
        <v>9944843.393364016</v>
      </c>
      <c r="E138">
        <f t="shared" si="2"/>
        <v>5719442.1270110114</v>
      </c>
      <c r="F138">
        <f t="shared" si="2"/>
        <v>10102682.822073286</v>
      </c>
      <c r="G138">
        <f t="shared" si="2"/>
        <v>6997898.8856756333</v>
      </c>
      <c r="H138">
        <f t="shared" si="2"/>
        <v>7840930.6025858391</v>
      </c>
      <c r="I138">
        <f t="shared" si="2"/>
        <v>6792605.2586496826</v>
      </c>
      <c r="J138">
        <f t="shared" si="2"/>
        <v>4393222.0673658177</v>
      </c>
      <c r="K138">
        <f t="shared" si="2"/>
        <v>4507477.6544935396</v>
      </c>
      <c r="L138">
        <f t="shared" si="2"/>
        <v>6200007.0285003921</v>
      </c>
      <c r="M138">
        <f t="shared" si="2"/>
        <v>4894216.4683405152</v>
      </c>
      <c r="N138">
        <f t="shared" si="2"/>
        <v>7715509.6997490367</v>
      </c>
      <c r="O138">
        <f t="shared" si="2"/>
        <v>4646831.5036930628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3" max="3" width="14.5703125" bestFit="1" customWidth="1"/>
    <col min="4" max="4" width="16.85546875" bestFit="1" customWidth="1"/>
    <col min="5" max="5" width="22.85546875" bestFit="1" customWidth="1"/>
  </cols>
  <sheetData>
    <row r="1" spans="1:5" x14ac:dyDescent="0.2">
      <c r="A1" s="116" t="s">
        <v>167</v>
      </c>
      <c r="B1" s="116" t="s">
        <v>168</v>
      </c>
      <c r="C1" s="116" t="s">
        <v>169</v>
      </c>
      <c r="D1" s="116" t="s">
        <v>170</v>
      </c>
      <c r="E1" s="116" t="s">
        <v>171</v>
      </c>
    </row>
    <row r="2" spans="1:5" x14ac:dyDescent="0.2">
      <c r="A2" s="116" t="s">
        <v>126</v>
      </c>
      <c r="B2" s="116" t="s">
        <v>172</v>
      </c>
      <c r="C2" t="s">
        <v>59</v>
      </c>
      <c r="D2">
        <v>482</v>
      </c>
      <c r="E2">
        <v>578.4</v>
      </c>
    </row>
    <row r="3" spans="1:5" x14ac:dyDescent="0.2">
      <c r="B3" s="116" t="s">
        <v>173</v>
      </c>
      <c r="C3" t="s">
        <v>59</v>
      </c>
      <c r="D3">
        <v>657</v>
      </c>
      <c r="E3">
        <v>788.4</v>
      </c>
    </row>
    <row r="4" spans="1:5" x14ac:dyDescent="0.2">
      <c r="B4" s="116" t="s">
        <v>174</v>
      </c>
      <c r="C4" t="s">
        <v>59</v>
      </c>
      <c r="D4">
        <v>258</v>
      </c>
      <c r="E4">
        <v>309.59999999999997</v>
      </c>
    </row>
    <row r="5" spans="1:5" x14ac:dyDescent="0.2">
      <c r="B5" s="116" t="s">
        <v>175</v>
      </c>
      <c r="C5" t="s">
        <v>59</v>
      </c>
      <c r="D5">
        <v>585</v>
      </c>
      <c r="E5">
        <v>702</v>
      </c>
    </row>
    <row r="6" spans="1:5" x14ac:dyDescent="0.2">
      <c r="B6" s="116" t="s">
        <v>176</v>
      </c>
      <c r="C6" t="s">
        <v>59</v>
      </c>
      <c r="D6">
        <v>454</v>
      </c>
      <c r="E6">
        <v>544.79999999999995</v>
      </c>
    </row>
    <row r="7" spans="1:5" x14ac:dyDescent="0.2">
      <c r="B7" s="116" t="s">
        <v>177</v>
      </c>
      <c r="C7" t="s">
        <v>59</v>
      </c>
      <c r="D7">
        <v>444</v>
      </c>
      <c r="E7">
        <v>532.79999999999995</v>
      </c>
    </row>
    <row r="8" spans="1:5" x14ac:dyDescent="0.2">
      <c r="B8" s="116" t="s">
        <v>178</v>
      </c>
      <c r="C8" t="s">
        <v>59</v>
      </c>
      <c r="D8">
        <v>469</v>
      </c>
      <c r="E8">
        <v>562.79999999999995</v>
      </c>
    </row>
    <row r="9" spans="1:5" x14ac:dyDescent="0.2">
      <c r="B9" s="116" t="s">
        <v>179</v>
      </c>
      <c r="C9" t="s">
        <v>59</v>
      </c>
      <c r="D9">
        <v>71</v>
      </c>
      <c r="E9">
        <v>85.2</v>
      </c>
    </row>
    <row r="10" spans="1:5" x14ac:dyDescent="0.2">
      <c r="B10" s="116" t="s">
        <v>180</v>
      </c>
      <c r="C10" t="s">
        <v>59</v>
      </c>
      <c r="D10">
        <v>407</v>
      </c>
      <c r="E10">
        <v>488.4</v>
      </c>
    </row>
    <row r="11" spans="1:5" x14ac:dyDescent="0.2">
      <c r="B11" s="116" t="s">
        <v>181</v>
      </c>
      <c r="C11" t="s">
        <v>59</v>
      </c>
      <c r="D11">
        <v>636</v>
      </c>
      <c r="E11">
        <v>763.19999999999993</v>
      </c>
    </row>
    <row r="12" spans="1:5" x14ac:dyDescent="0.2">
      <c r="B12" s="116" t="s">
        <v>182</v>
      </c>
      <c r="C12" t="s">
        <v>59</v>
      </c>
      <c r="D12">
        <v>284</v>
      </c>
      <c r="E12">
        <v>340.8</v>
      </c>
    </row>
    <row r="13" spans="1:5" x14ac:dyDescent="0.2">
      <c r="B13" s="116" t="s">
        <v>183</v>
      </c>
      <c r="C13" t="s">
        <v>59</v>
      </c>
      <c r="D13">
        <v>352</v>
      </c>
      <c r="E13">
        <v>422.4</v>
      </c>
    </row>
    <row r="14" spans="1:5" x14ac:dyDescent="0.2">
      <c r="B14" s="116" t="s">
        <v>184</v>
      </c>
      <c r="C14" t="s">
        <v>59</v>
      </c>
      <c r="D14">
        <v>544</v>
      </c>
      <c r="E14">
        <v>652.79999999999995</v>
      </c>
    </row>
    <row r="15" spans="1:5" x14ac:dyDescent="0.2">
      <c r="B15" s="116" t="s">
        <v>185</v>
      </c>
      <c r="C15" t="s">
        <v>59</v>
      </c>
      <c r="D15">
        <v>275</v>
      </c>
      <c r="E15">
        <v>330</v>
      </c>
    </row>
    <row r="16" spans="1:5" x14ac:dyDescent="0.2">
      <c r="A16" s="116" t="s">
        <v>127</v>
      </c>
      <c r="B16" s="116" t="s">
        <v>186</v>
      </c>
      <c r="C16" t="s">
        <v>59</v>
      </c>
      <c r="D16">
        <v>239</v>
      </c>
      <c r="E16">
        <v>286.8</v>
      </c>
    </row>
    <row r="17" spans="2:5" x14ac:dyDescent="0.2">
      <c r="B17" s="116" t="s">
        <v>187</v>
      </c>
      <c r="C17" t="s">
        <v>59</v>
      </c>
      <c r="D17">
        <v>52</v>
      </c>
      <c r="E17">
        <v>62.4</v>
      </c>
    </row>
    <row r="18" spans="2:5" x14ac:dyDescent="0.2">
      <c r="B18" s="116" t="s">
        <v>188</v>
      </c>
      <c r="C18" t="s">
        <v>59</v>
      </c>
      <c r="D18">
        <v>156</v>
      </c>
      <c r="E18">
        <v>187.2</v>
      </c>
    </row>
    <row r="19" spans="2:5" x14ac:dyDescent="0.2">
      <c r="B19" s="116" t="s">
        <v>189</v>
      </c>
      <c r="C19" t="s">
        <v>59</v>
      </c>
      <c r="D19">
        <v>245</v>
      </c>
      <c r="E19">
        <v>294</v>
      </c>
    </row>
    <row r="20" spans="2:5" x14ac:dyDescent="0.2">
      <c r="B20" s="116" t="s">
        <v>190</v>
      </c>
      <c r="C20" t="s">
        <v>59</v>
      </c>
      <c r="D20">
        <v>306</v>
      </c>
      <c r="E20">
        <v>367.2</v>
      </c>
    </row>
    <row r="21" spans="2:5" x14ac:dyDescent="0.2">
      <c r="B21" s="116" t="s">
        <v>191</v>
      </c>
      <c r="C21" t="s">
        <v>59</v>
      </c>
      <c r="D21">
        <v>442</v>
      </c>
      <c r="E21">
        <v>530.4</v>
      </c>
    </row>
    <row r="22" spans="2:5" x14ac:dyDescent="0.2">
      <c r="B22" s="116" t="s">
        <v>192</v>
      </c>
      <c r="C22" t="s">
        <v>59</v>
      </c>
      <c r="D22">
        <v>405</v>
      </c>
      <c r="E22">
        <v>486</v>
      </c>
    </row>
    <row r="23" spans="2:5" x14ac:dyDescent="0.2">
      <c r="B23" s="116" t="s">
        <v>193</v>
      </c>
      <c r="C23" t="s">
        <v>59</v>
      </c>
      <c r="D23">
        <v>356</v>
      </c>
      <c r="E23">
        <v>427.2</v>
      </c>
    </row>
    <row r="24" spans="2:5" x14ac:dyDescent="0.2">
      <c r="B24" s="116" t="s">
        <v>194</v>
      </c>
      <c r="C24" t="s">
        <v>59</v>
      </c>
      <c r="D24">
        <v>615</v>
      </c>
      <c r="E24">
        <v>738</v>
      </c>
    </row>
    <row r="25" spans="2:5" x14ac:dyDescent="0.2">
      <c r="B25" s="116" t="s">
        <v>195</v>
      </c>
      <c r="C25" t="s">
        <v>59</v>
      </c>
      <c r="D25">
        <v>282</v>
      </c>
      <c r="E25">
        <v>338.4</v>
      </c>
    </row>
    <row r="26" spans="2:5" x14ac:dyDescent="0.2">
      <c r="B26" s="116" t="s">
        <v>196</v>
      </c>
      <c r="C26" t="s">
        <v>59</v>
      </c>
      <c r="D26">
        <v>116</v>
      </c>
      <c r="E26">
        <v>139.19999999999999</v>
      </c>
    </row>
    <row r="27" spans="2:5" x14ac:dyDescent="0.2">
      <c r="B27" s="116" t="s">
        <v>197</v>
      </c>
      <c r="C27" t="s">
        <v>59</v>
      </c>
      <c r="D27">
        <v>284</v>
      </c>
      <c r="E27">
        <v>340.8</v>
      </c>
    </row>
    <row r="28" spans="2:5" x14ac:dyDescent="0.2">
      <c r="B28" s="116" t="s">
        <v>198</v>
      </c>
      <c r="C28" t="s">
        <v>59</v>
      </c>
      <c r="D28">
        <v>700</v>
      </c>
      <c r="E28">
        <v>840</v>
      </c>
    </row>
    <row r="29" spans="2:5" x14ac:dyDescent="0.2">
      <c r="B29" s="116" t="s">
        <v>199</v>
      </c>
      <c r="C29" t="s">
        <v>59</v>
      </c>
      <c r="D29">
        <v>395</v>
      </c>
      <c r="E29">
        <v>474</v>
      </c>
    </row>
    <row r="30" spans="2:5" x14ac:dyDescent="0.2">
      <c r="B30" s="116" t="s">
        <v>200</v>
      </c>
      <c r="C30" t="s">
        <v>59</v>
      </c>
      <c r="D30">
        <v>457</v>
      </c>
      <c r="E30">
        <v>548.4</v>
      </c>
    </row>
    <row r="31" spans="2:5" x14ac:dyDescent="0.2">
      <c r="B31" s="116" t="s">
        <v>201</v>
      </c>
      <c r="C31" t="s">
        <v>59</v>
      </c>
      <c r="D31">
        <v>419</v>
      </c>
      <c r="E31">
        <v>502.7999999999999</v>
      </c>
    </row>
    <row r="32" spans="2:5" x14ac:dyDescent="0.2">
      <c r="B32" s="116" t="s">
        <v>202</v>
      </c>
      <c r="C32" t="s">
        <v>59</v>
      </c>
      <c r="D32">
        <v>634</v>
      </c>
      <c r="E32">
        <v>760.8</v>
      </c>
    </row>
    <row r="33" spans="1:5" x14ac:dyDescent="0.2">
      <c r="A33" s="116" t="s">
        <v>128</v>
      </c>
      <c r="B33" s="116" t="s">
        <v>203</v>
      </c>
      <c r="C33" t="s">
        <v>59</v>
      </c>
      <c r="D33">
        <v>717</v>
      </c>
      <c r="E33">
        <v>860.4</v>
      </c>
    </row>
    <row r="34" spans="1:5" x14ac:dyDescent="0.2">
      <c r="B34" s="116" t="s">
        <v>204</v>
      </c>
      <c r="C34" t="s">
        <v>59</v>
      </c>
      <c r="D34">
        <v>1035</v>
      </c>
      <c r="E34">
        <v>1242</v>
      </c>
    </row>
    <row r="35" spans="1:5" x14ac:dyDescent="0.2">
      <c r="B35" s="116" t="s">
        <v>205</v>
      </c>
      <c r="C35" t="s">
        <v>59</v>
      </c>
      <c r="D35">
        <v>1186</v>
      </c>
      <c r="E35">
        <v>1423.2</v>
      </c>
    </row>
    <row r="36" spans="1:5" x14ac:dyDescent="0.2">
      <c r="B36" s="116" t="s">
        <v>206</v>
      </c>
      <c r="C36" t="s">
        <v>59</v>
      </c>
      <c r="D36">
        <v>604</v>
      </c>
      <c r="E36">
        <v>724.8</v>
      </c>
    </row>
    <row r="37" spans="1:5" x14ac:dyDescent="0.2">
      <c r="B37" s="116" t="s">
        <v>207</v>
      </c>
      <c r="C37" t="s">
        <v>59</v>
      </c>
      <c r="D37">
        <v>550</v>
      </c>
      <c r="E37">
        <v>660</v>
      </c>
    </row>
    <row r="38" spans="1:5" x14ac:dyDescent="0.2">
      <c r="B38" s="116" t="s">
        <v>208</v>
      </c>
      <c r="C38" t="s">
        <v>59</v>
      </c>
      <c r="D38">
        <v>705</v>
      </c>
      <c r="E38">
        <v>846</v>
      </c>
    </row>
    <row r="39" spans="1:5" x14ac:dyDescent="0.2">
      <c r="B39" s="116" t="s">
        <v>209</v>
      </c>
      <c r="C39" t="s">
        <v>59</v>
      </c>
      <c r="D39">
        <v>852</v>
      </c>
      <c r="E39">
        <v>1022.4</v>
      </c>
    </row>
    <row r="40" spans="1:5" x14ac:dyDescent="0.2">
      <c r="B40" s="116" t="s">
        <v>210</v>
      </c>
      <c r="C40" t="s">
        <v>59</v>
      </c>
      <c r="D40">
        <v>852</v>
      </c>
      <c r="E40">
        <v>1022.4</v>
      </c>
    </row>
    <row r="41" spans="1:5" x14ac:dyDescent="0.2">
      <c r="B41" s="116" t="s">
        <v>211</v>
      </c>
      <c r="C41" t="s">
        <v>59</v>
      </c>
      <c r="D41">
        <v>1041</v>
      </c>
      <c r="E41">
        <v>1249.2</v>
      </c>
    </row>
    <row r="42" spans="1:5" x14ac:dyDescent="0.2">
      <c r="B42" s="116" t="s">
        <v>212</v>
      </c>
      <c r="C42" t="s">
        <v>59</v>
      </c>
      <c r="D42">
        <v>1010</v>
      </c>
      <c r="E42">
        <v>1212</v>
      </c>
    </row>
    <row r="43" spans="1:5" x14ac:dyDescent="0.2">
      <c r="B43" s="116" t="s">
        <v>213</v>
      </c>
      <c r="C43" t="s">
        <v>59</v>
      </c>
      <c r="D43">
        <v>1273</v>
      </c>
      <c r="E43">
        <v>1527.6</v>
      </c>
    </row>
    <row r="44" spans="1:5" x14ac:dyDescent="0.2">
      <c r="B44" s="116" t="s">
        <v>214</v>
      </c>
      <c r="C44" t="s">
        <v>59</v>
      </c>
      <c r="D44">
        <v>723</v>
      </c>
      <c r="E44">
        <v>867.6</v>
      </c>
    </row>
    <row r="45" spans="1:5" x14ac:dyDescent="0.2">
      <c r="A45" s="116" t="s">
        <v>129</v>
      </c>
      <c r="B45" s="116" t="s">
        <v>215</v>
      </c>
      <c r="C45" t="s">
        <v>22</v>
      </c>
      <c r="D45">
        <v>821</v>
      </c>
      <c r="E45">
        <v>985.19999999999993</v>
      </c>
    </row>
    <row r="46" spans="1:5" x14ac:dyDescent="0.2">
      <c r="B46" s="116" t="s">
        <v>216</v>
      </c>
      <c r="C46" t="s">
        <v>59</v>
      </c>
      <c r="D46">
        <v>235</v>
      </c>
      <c r="E46">
        <v>282</v>
      </c>
    </row>
    <row r="47" spans="1:5" x14ac:dyDescent="0.2">
      <c r="B47" s="116" t="s">
        <v>217</v>
      </c>
      <c r="C47" t="s">
        <v>59</v>
      </c>
      <c r="D47">
        <v>712</v>
      </c>
      <c r="E47">
        <v>854.4</v>
      </c>
    </row>
    <row r="48" spans="1:5" x14ac:dyDescent="0.2">
      <c r="B48" s="116" t="s">
        <v>218</v>
      </c>
      <c r="C48" t="s">
        <v>59</v>
      </c>
      <c r="D48">
        <v>450</v>
      </c>
      <c r="E48">
        <v>540</v>
      </c>
    </row>
    <row r="49" spans="2:5" x14ac:dyDescent="0.2">
      <c r="B49" s="116" t="s">
        <v>219</v>
      </c>
      <c r="C49" t="s">
        <v>59</v>
      </c>
      <c r="D49">
        <v>339</v>
      </c>
      <c r="E49">
        <v>406.8</v>
      </c>
    </row>
    <row r="50" spans="2:5" x14ac:dyDescent="0.2">
      <c r="B50" s="116" t="s">
        <v>220</v>
      </c>
      <c r="C50" t="s">
        <v>59</v>
      </c>
      <c r="D50">
        <v>279</v>
      </c>
      <c r="E50">
        <v>334.8</v>
      </c>
    </row>
    <row r="51" spans="2:5" x14ac:dyDescent="0.2">
      <c r="B51" s="116" t="s">
        <v>221</v>
      </c>
      <c r="C51" t="s">
        <v>59</v>
      </c>
      <c r="D51">
        <v>553</v>
      </c>
      <c r="E51">
        <v>663.6</v>
      </c>
    </row>
    <row r="52" spans="2:5" x14ac:dyDescent="0.2">
      <c r="B52" s="116" t="s">
        <v>222</v>
      </c>
      <c r="C52" t="s">
        <v>22</v>
      </c>
      <c r="D52">
        <v>959</v>
      </c>
      <c r="E52">
        <v>1150.8</v>
      </c>
    </row>
    <row r="53" spans="2:5" x14ac:dyDescent="0.2">
      <c r="B53" s="116" t="s">
        <v>223</v>
      </c>
      <c r="C53" t="s">
        <v>59</v>
      </c>
      <c r="D53">
        <v>1176</v>
      </c>
      <c r="E53">
        <v>1411.2</v>
      </c>
    </row>
    <row r="54" spans="2:5" x14ac:dyDescent="0.2">
      <c r="B54" s="116" t="s">
        <v>224</v>
      </c>
      <c r="C54" t="s">
        <v>22</v>
      </c>
      <c r="D54">
        <v>981</v>
      </c>
      <c r="E54">
        <v>1177.2</v>
      </c>
    </row>
    <row r="55" spans="2:5" x14ac:dyDescent="0.2">
      <c r="B55" s="116" t="s">
        <v>225</v>
      </c>
      <c r="C55" t="s">
        <v>59</v>
      </c>
      <c r="D55">
        <v>253</v>
      </c>
      <c r="E55">
        <v>303.59999999999997</v>
      </c>
    </row>
    <row r="56" spans="2:5" x14ac:dyDescent="0.2">
      <c r="B56" s="116" t="s">
        <v>226</v>
      </c>
      <c r="C56" t="s">
        <v>59</v>
      </c>
      <c r="D56">
        <v>543</v>
      </c>
      <c r="E56">
        <v>651.6</v>
      </c>
    </row>
    <row r="57" spans="2:5" x14ac:dyDescent="0.2">
      <c r="B57" s="116" t="s">
        <v>227</v>
      </c>
      <c r="C57" t="s">
        <v>59</v>
      </c>
      <c r="D57">
        <v>793</v>
      </c>
      <c r="E57">
        <v>951.59999999999991</v>
      </c>
    </row>
    <row r="58" spans="2:5" x14ac:dyDescent="0.2">
      <c r="B58" s="116" t="s">
        <v>228</v>
      </c>
      <c r="C58" t="s">
        <v>59</v>
      </c>
      <c r="D58">
        <v>1421</v>
      </c>
      <c r="E58">
        <v>1705.2</v>
      </c>
    </row>
    <row r="59" spans="2:5" x14ac:dyDescent="0.2">
      <c r="B59" s="116" t="s">
        <v>229</v>
      </c>
      <c r="C59" t="s">
        <v>59</v>
      </c>
      <c r="D59">
        <v>663</v>
      </c>
      <c r="E59">
        <v>795.6</v>
      </c>
    </row>
    <row r="60" spans="2:5" x14ac:dyDescent="0.2">
      <c r="B60" s="116" t="s">
        <v>230</v>
      </c>
      <c r="C60" t="s">
        <v>59</v>
      </c>
      <c r="D60">
        <v>841</v>
      </c>
      <c r="E60">
        <v>1009.1999999999998</v>
      </c>
    </row>
    <row r="61" spans="2:5" x14ac:dyDescent="0.2">
      <c r="B61" s="116" t="s">
        <v>231</v>
      </c>
      <c r="C61" t="s">
        <v>59</v>
      </c>
      <c r="D61">
        <v>855</v>
      </c>
      <c r="E61">
        <v>1026</v>
      </c>
    </row>
    <row r="62" spans="2:5" x14ac:dyDescent="0.2">
      <c r="B62" s="116" t="s">
        <v>232</v>
      </c>
      <c r="C62" t="s">
        <v>59</v>
      </c>
      <c r="D62">
        <v>992</v>
      </c>
      <c r="E62">
        <v>1190.3999999999999</v>
      </c>
    </row>
    <row r="63" spans="2:5" x14ac:dyDescent="0.2">
      <c r="B63" s="116" t="s">
        <v>233</v>
      </c>
      <c r="C63" t="s">
        <v>59</v>
      </c>
      <c r="D63">
        <v>936</v>
      </c>
      <c r="E63">
        <v>1123.2</v>
      </c>
    </row>
    <row r="64" spans="2:5" x14ac:dyDescent="0.2">
      <c r="B64" s="116" t="s">
        <v>234</v>
      </c>
      <c r="C64" t="s">
        <v>59</v>
      </c>
      <c r="D64">
        <v>861</v>
      </c>
      <c r="E64">
        <v>1033.2</v>
      </c>
    </row>
    <row r="65" spans="1:5" x14ac:dyDescent="0.2">
      <c r="B65" s="116" t="s">
        <v>235</v>
      </c>
      <c r="C65" t="s">
        <v>59</v>
      </c>
      <c r="D65">
        <v>632</v>
      </c>
      <c r="E65">
        <v>758.4</v>
      </c>
    </row>
    <row r="66" spans="1:5" x14ac:dyDescent="0.2">
      <c r="B66" s="116" t="s">
        <v>236</v>
      </c>
      <c r="C66" t="s">
        <v>59</v>
      </c>
      <c r="D66">
        <v>446</v>
      </c>
      <c r="E66">
        <v>535.19999999999993</v>
      </c>
    </row>
    <row r="67" spans="1:5" x14ac:dyDescent="0.2">
      <c r="A67" s="116" t="s">
        <v>130</v>
      </c>
      <c r="B67" s="116" t="s">
        <v>237</v>
      </c>
      <c r="C67" t="s">
        <v>22</v>
      </c>
      <c r="D67">
        <v>470</v>
      </c>
      <c r="E67">
        <v>564</v>
      </c>
    </row>
    <row r="68" spans="1:5" x14ac:dyDescent="0.2">
      <c r="B68" s="116" t="s">
        <v>238</v>
      </c>
      <c r="C68" t="s">
        <v>22</v>
      </c>
      <c r="D68">
        <v>62</v>
      </c>
      <c r="E68">
        <v>74.399999999999991</v>
      </c>
    </row>
    <row r="69" spans="1:5" x14ac:dyDescent="0.2">
      <c r="B69" s="116" t="s">
        <v>239</v>
      </c>
      <c r="C69" t="s">
        <v>22</v>
      </c>
      <c r="D69">
        <v>466</v>
      </c>
      <c r="E69">
        <v>559.19999999999993</v>
      </c>
    </row>
    <row r="70" spans="1:5" x14ac:dyDescent="0.2">
      <c r="B70" s="116" t="s">
        <v>240</v>
      </c>
      <c r="C70" t="s">
        <v>22</v>
      </c>
      <c r="D70">
        <v>336</v>
      </c>
      <c r="E70">
        <v>403.2</v>
      </c>
    </row>
    <row r="71" spans="1:5" x14ac:dyDescent="0.2">
      <c r="B71" s="116" t="s">
        <v>241</v>
      </c>
      <c r="C71" t="s">
        <v>22</v>
      </c>
      <c r="D71">
        <v>536</v>
      </c>
      <c r="E71">
        <v>643.19999999999993</v>
      </c>
    </row>
    <row r="72" spans="1:5" x14ac:dyDescent="0.2">
      <c r="B72" s="116" t="s">
        <v>242</v>
      </c>
      <c r="C72" t="s">
        <v>22</v>
      </c>
      <c r="D72">
        <v>649</v>
      </c>
      <c r="E72">
        <v>778.8</v>
      </c>
    </row>
    <row r="73" spans="1:5" x14ac:dyDescent="0.2">
      <c r="B73" s="116" t="s">
        <v>243</v>
      </c>
      <c r="C73" t="s">
        <v>22</v>
      </c>
      <c r="D73">
        <v>232</v>
      </c>
      <c r="E73">
        <v>278.39999999999998</v>
      </c>
    </row>
    <row r="74" spans="1:5" x14ac:dyDescent="0.2">
      <c r="B74" s="116" t="s">
        <v>244</v>
      </c>
      <c r="C74" t="s">
        <v>22</v>
      </c>
      <c r="D74">
        <v>460</v>
      </c>
      <c r="E74">
        <v>552</v>
      </c>
    </row>
    <row r="75" spans="1:5" x14ac:dyDescent="0.2">
      <c r="B75" s="116" t="s">
        <v>245</v>
      </c>
      <c r="C75" t="s">
        <v>22</v>
      </c>
      <c r="D75">
        <v>631</v>
      </c>
      <c r="E75">
        <v>757.19999999999993</v>
      </c>
    </row>
    <row r="76" spans="1:5" x14ac:dyDescent="0.2">
      <c r="B76" s="116" t="s">
        <v>246</v>
      </c>
      <c r="C76" t="s">
        <v>22</v>
      </c>
      <c r="D76">
        <v>671</v>
      </c>
      <c r="E76">
        <v>805.19999999999993</v>
      </c>
    </row>
    <row r="77" spans="1:5" x14ac:dyDescent="0.2">
      <c r="B77" s="116" t="s">
        <v>247</v>
      </c>
      <c r="C77" t="s">
        <v>22</v>
      </c>
      <c r="D77">
        <v>628</v>
      </c>
      <c r="E77">
        <v>753.6</v>
      </c>
    </row>
    <row r="78" spans="1:5" x14ac:dyDescent="0.2">
      <c r="B78" s="116" t="s">
        <v>248</v>
      </c>
      <c r="C78" t="s">
        <v>22</v>
      </c>
      <c r="D78">
        <v>424</v>
      </c>
      <c r="E78">
        <v>508.7999999999999</v>
      </c>
    </row>
    <row r="79" spans="1:5" x14ac:dyDescent="0.2">
      <c r="B79" s="116" t="s">
        <v>249</v>
      </c>
      <c r="C79" t="s">
        <v>22</v>
      </c>
      <c r="D79">
        <v>717</v>
      </c>
      <c r="E79">
        <v>860.4</v>
      </c>
    </row>
    <row r="80" spans="1:5" x14ac:dyDescent="0.2">
      <c r="B80" s="116" t="s">
        <v>250</v>
      </c>
      <c r="C80" t="s">
        <v>22</v>
      </c>
      <c r="D80">
        <v>651</v>
      </c>
      <c r="E80">
        <v>781.19999999999993</v>
      </c>
    </row>
    <row r="81" spans="1:5" x14ac:dyDescent="0.2">
      <c r="B81" s="116" t="s">
        <v>251</v>
      </c>
      <c r="C81" t="s">
        <v>22</v>
      </c>
      <c r="D81">
        <v>125</v>
      </c>
      <c r="E81">
        <v>150</v>
      </c>
    </row>
    <row r="82" spans="1:5" x14ac:dyDescent="0.2">
      <c r="B82" s="116" t="s">
        <v>252</v>
      </c>
      <c r="C82" t="s">
        <v>22</v>
      </c>
      <c r="D82">
        <v>450</v>
      </c>
      <c r="E82">
        <v>540</v>
      </c>
    </row>
    <row r="83" spans="1:5" x14ac:dyDescent="0.2">
      <c r="A83" s="116" t="s">
        <v>131</v>
      </c>
      <c r="B83" s="116" t="s">
        <v>253</v>
      </c>
      <c r="C83" t="s">
        <v>22</v>
      </c>
      <c r="D83">
        <v>1629</v>
      </c>
      <c r="E83">
        <v>1954.8</v>
      </c>
    </row>
    <row r="84" spans="1:5" x14ac:dyDescent="0.2">
      <c r="B84" s="116" t="s">
        <v>254</v>
      </c>
      <c r="C84" t="s">
        <v>22</v>
      </c>
      <c r="D84">
        <v>1577</v>
      </c>
      <c r="E84">
        <v>1892.3999999999999</v>
      </c>
    </row>
    <row r="85" spans="1:5" x14ac:dyDescent="0.2">
      <c r="B85" s="116" t="s">
        <v>255</v>
      </c>
      <c r="C85" t="s">
        <v>22</v>
      </c>
      <c r="D85">
        <v>1998</v>
      </c>
      <c r="E85">
        <v>2397.6</v>
      </c>
    </row>
    <row r="86" spans="1:5" x14ac:dyDescent="0.2">
      <c r="B86" s="116" t="s">
        <v>256</v>
      </c>
      <c r="C86" t="s">
        <v>22</v>
      </c>
      <c r="D86">
        <v>1831</v>
      </c>
      <c r="E86">
        <v>2197.1999999999998</v>
      </c>
    </row>
    <row r="87" spans="1:5" x14ac:dyDescent="0.2">
      <c r="B87" s="116" t="s">
        <v>257</v>
      </c>
      <c r="C87" t="s">
        <v>22</v>
      </c>
      <c r="D87">
        <v>1914</v>
      </c>
      <c r="E87">
        <v>2296.7999999999997</v>
      </c>
    </row>
    <row r="88" spans="1:5" x14ac:dyDescent="0.2">
      <c r="B88" s="116" t="s">
        <v>258</v>
      </c>
      <c r="C88" t="s">
        <v>22</v>
      </c>
      <c r="D88">
        <v>1184</v>
      </c>
      <c r="E88">
        <v>1420.8</v>
      </c>
    </row>
    <row r="89" spans="1:5" x14ac:dyDescent="0.2">
      <c r="B89" s="116" t="s">
        <v>259</v>
      </c>
      <c r="C89" t="s">
        <v>22</v>
      </c>
      <c r="D89">
        <v>1477</v>
      </c>
      <c r="E89">
        <v>1772.3999999999999</v>
      </c>
    </row>
    <row r="90" spans="1:5" x14ac:dyDescent="0.2">
      <c r="B90" s="116" t="s">
        <v>260</v>
      </c>
      <c r="C90" t="s">
        <v>22</v>
      </c>
      <c r="D90">
        <v>1996</v>
      </c>
      <c r="E90">
        <v>2395.1999999999998</v>
      </c>
    </row>
    <row r="91" spans="1:5" x14ac:dyDescent="0.2">
      <c r="A91" s="116" t="s">
        <v>132</v>
      </c>
      <c r="B91" s="116" t="s">
        <v>261</v>
      </c>
      <c r="C91" t="s">
        <v>22</v>
      </c>
      <c r="D91">
        <v>1444</v>
      </c>
      <c r="E91">
        <v>1732.8</v>
      </c>
    </row>
    <row r="92" spans="1:5" x14ac:dyDescent="0.2">
      <c r="B92" s="116" t="s">
        <v>262</v>
      </c>
      <c r="C92" t="s">
        <v>22</v>
      </c>
      <c r="D92">
        <v>686</v>
      </c>
      <c r="E92">
        <v>823.19999999999993</v>
      </c>
    </row>
    <row r="93" spans="1:5" x14ac:dyDescent="0.2">
      <c r="B93" s="116" t="s">
        <v>263</v>
      </c>
      <c r="C93" t="s">
        <v>22</v>
      </c>
      <c r="D93">
        <v>1524</v>
      </c>
      <c r="E93">
        <v>1828.8</v>
      </c>
    </row>
    <row r="94" spans="1:5" x14ac:dyDescent="0.2">
      <c r="B94" s="116" t="s">
        <v>264</v>
      </c>
      <c r="C94" t="s">
        <v>22</v>
      </c>
      <c r="D94">
        <v>1053</v>
      </c>
      <c r="E94">
        <v>1263.5999999999999</v>
      </c>
    </row>
    <row r="95" spans="1:5" x14ac:dyDescent="0.2">
      <c r="B95" s="116" t="s">
        <v>265</v>
      </c>
      <c r="C95" t="s">
        <v>22</v>
      </c>
      <c r="D95">
        <v>4568</v>
      </c>
      <c r="E95">
        <v>5481.5999999999995</v>
      </c>
    </row>
    <row r="96" spans="1:5" x14ac:dyDescent="0.2">
      <c r="B96" s="116" t="s">
        <v>266</v>
      </c>
      <c r="C96" t="s">
        <v>22</v>
      </c>
      <c r="D96">
        <v>1352</v>
      </c>
      <c r="E96">
        <v>1622.3999999999999</v>
      </c>
    </row>
    <row r="97" spans="2:5" x14ac:dyDescent="0.2">
      <c r="B97" s="116" t="s">
        <v>267</v>
      </c>
      <c r="C97" t="s">
        <v>22</v>
      </c>
      <c r="D97">
        <v>992</v>
      </c>
      <c r="E97">
        <v>1190.3999999999999</v>
      </c>
    </row>
    <row r="98" spans="2:5" x14ac:dyDescent="0.2">
      <c r="B98" s="116" t="s">
        <v>268</v>
      </c>
      <c r="C98" t="s">
        <v>22</v>
      </c>
      <c r="D98">
        <v>1616</v>
      </c>
      <c r="E98">
        <v>1939.1999999999998</v>
      </c>
    </row>
    <row r="99" spans="2:5" x14ac:dyDescent="0.2">
      <c r="B99" s="116" t="s">
        <v>269</v>
      </c>
      <c r="C99" t="s">
        <v>22</v>
      </c>
      <c r="D99">
        <v>1690</v>
      </c>
      <c r="E99">
        <v>2028</v>
      </c>
    </row>
    <row r="100" spans="2:5" x14ac:dyDescent="0.2">
      <c r="B100" s="116" t="s">
        <v>270</v>
      </c>
      <c r="C100" t="s">
        <v>22</v>
      </c>
      <c r="D100">
        <v>1727</v>
      </c>
      <c r="E100">
        <v>2072.4</v>
      </c>
    </row>
    <row r="101" spans="2:5" x14ac:dyDescent="0.2">
      <c r="B101" s="116" t="s">
        <v>271</v>
      </c>
      <c r="C101" t="s">
        <v>22</v>
      </c>
      <c r="D101">
        <v>1665</v>
      </c>
      <c r="E101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2015-09-29T20:22:25Z</dcterms:modified>
</cp:coreProperties>
</file>