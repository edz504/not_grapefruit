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5_16TeamFolders\MomPop\Results\"/>
    </mc:Choice>
  </mc:AlternateContent>
  <bookViews>
    <workbookView xWindow="0" yWindow="0" windowWidth="18795" windowHeight="768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39" i="20" l="1"/>
  <c r="S16" i="20"/>
  <c r="S15" i="20"/>
  <c r="S14" i="20"/>
  <c r="H40" i="20"/>
  <c r="H39" i="20"/>
  <c r="H38" i="20"/>
  <c r="H35" i="20"/>
  <c r="S42" i="20" s="1"/>
  <c r="H34" i="20"/>
  <c r="H33" i="20"/>
  <c r="S36" i="20" s="1"/>
  <c r="H30" i="20"/>
  <c r="H29" i="20"/>
  <c r="S37" i="20" s="1"/>
  <c r="H28" i="20"/>
  <c r="S40" i="20" s="1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43" i="20"/>
  <c r="T25" i="20"/>
  <c r="T19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F121" i="10" s="1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H122" i="10" s="1"/>
  <c r="I111" i="10"/>
  <c r="J111" i="10"/>
  <c r="J122" i="10" s="1"/>
  <c r="K111" i="10"/>
  <c r="L111" i="10"/>
  <c r="M111" i="10"/>
  <c r="N111" i="10"/>
  <c r="O111" i="10"/>
  <c r="D112" i="10"/>
  <c r="E112" i="10"/>
  <c r="F112" i="10"/>
  <c r="F123" i="10" s="1"/>
  <c r="G112" i="10"/>
  <c r="H112" i="10"/>
  <c r="I112" i="10"/>
  <c r="J112" i="10"/>
  <c r="K112" i="10"/>
  <c r="L112" i="10"/>
  <c r="M112" i="10"/>
  <c r="M116" i="10" s="1"/>
  <c r="N112" i="10"/>
  <c r="N123" i="10" s="1"/>
  <c r="O112" i="10"/>
  <c r="D113" i="10"/>
  <c r="E113" i="10"/>
  <c r="F113" i="10"/>
  <c r="G113" i="10"/>
  <c r="H113" i="10"/>
  <c r="I113" i="10"/>
  <c r="J113" i="10"/>
  <c r="J124" i="10" s="1"/>
  <c r="K113" i="10"/>
  <c r="L113" i="10"/>
  <c r="M113" i="10"/>
  <c r="N113" i="10"/>
  <c r="O113" i="10"/>
  <c r="D114" i="10"/>
  <c r="D125" i="10" s="1"/>
  <c r="E114" i="10"/>
  <c r="F114" i="10"/>
  <c r="F125" i="10" s="1"/>
  <c r="G114" i="10"/>
  <c r="H114" i="10"/>
  <c r="I114" i="10"/>
  <c r="J114" i="10"/>
  <c r="K114" i="10"/>
  <c r="L114" i="10"/>
  <c r="M114" i="10"/>
  <c r="N114" i="10"/>
  <c r="N125" i="10" s="1"/>
  <c r="O114" i="10"/>
  <c r="D115" i="10"/>
  <c r="E115" i="10"/>
  <c r="F115" i="10"/>
  <c r="G115" i="10"/>
  <c r="H115" i="10"/>
  <c r="I115" i="10"/>
  <c r="J115" i="10"/>
  <c r="J126" i="10" s="1"/>
  <c r="K115" i="10"/>
  <c r="L115" i="10"/>
  <c r="M115" i="10"/>
  <c r="N115" i="10"/>
  <c r="O115" i="10"/>
  <c r="D116" i="10"/>
  <c r="E116" i="10"/>
  <c r="F116" i="10"/>
  <c r="K116" i="10"/>
  <c r="L116" i="10"/>
  <c r="D120" i="10"/>
  <c r="E120" i="10"/>
  <c r="F120" i="10"/>
  <c r="G120" i="10"/>
  <c r="H120" i="10"/>
  <c r="H127" i="10" s="1"/>
  <c r="I120" i="10"/>
  <c r="K120" i="10"/>
  <c r="L120" i="10"/>
  <c r="M120" i="10"/>
  <c r="N120" i="10"/>
  <c r="O120" i="10"/>
  <c r="D121" i="10"/>
  <c r="D127" i="10" s="1"/>
  <c r="E121" i="10"/>
  <c r="G121" i="10"/>
  <c r="H121" i="10"/>
  <c r="I121" i="10"/>
  <c r="J121" i="10"/>
  <c r="K121" i="10"/>
  <c r="L121" i="10"/>
  <c r="M121" i="10"/>
  <c r="O121" i="10"/>
  <c r="D122" i="10"/>
  <c r="E122" i="10"/>
  <c r="F122" i="10"/>
  <c r="G122" i="10"/>
  <c r="I122" i="10"/>
  <c r="K122" i="10"/>
  <c r="L122" i="10"/>
  <c r="M122" i="10"/>
  <c r="N122" i="10"/>
  <c r="O122" i="10"/>
  <c r="D123" i="10"/>
  <c r="E123" i="10"/>
  <c r="G123" i="10"/>
  <c r="H123" i="10"/>
  <c r="I123" i="10"/>
  <c r="J123" i="10"/>
  <c r="K123" i="10"/>
  <c r="L123" i="10"/>
  <c r="M123" i="10"/>
  <c r="O123" i="10"/>
  <c r="D124" i="10"/>
  <c r="E124" i="10"/>
  <c r="F124" i="10"/>
  <c r="G124" i="10"/>
  <c r="H124" i="10"/>
  <c r="I124" i="10"/>
  <c r="K124" i="10"/>
  <c r="L124" i="10"/>
  <c r="M124" i="10"/>
  <c r="N124" i="10"/>
  <c r="O124" i="10"/>
  <c r="E125" i="10"/>
  <c r="G125" i="10"/>
  <c r="H125" i="10"/>
  <c r="I125" i="10"/>
  <c r="J125" i="10"/>
  <c r="K125" i="10"/>
  <c r="L125" i="10"/>
  <c r="M125" i="10"/>
  <c r="O125" i="10"/>
  <c r="D126" i="10"/>
  <c r="E126" i="10"/>
  <c r="F126" i="10"/>
  <c r="G126" i="10"/>
  <c r="H126" i="10"/>
  <c r="I126" i="10"/>
  <c r="K126" i="10"/>
  <c r="L126" i="10"/>
  <c r="M126" i="10"/>
  <c r="N126" i="10"/>
  <c r="O126" i="10"/>
  <c r="M127" i="10"/>
  <c r="D131" i="10"/>
  <c r="E131" i="10"/>
  <c r="F131" i="10"/>
  <c r="G131" i="10"/>
  <c r="H131" i="10"/>
  <c r="H138" i="10" s="1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K138" i="10"/>
  <c r="L138" i="10"/>
  <c r="M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D121" i="11" s="1"/>
  <c r="E110" i="11"/>
  <c r="E121" i="11" s="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H122" i="11" s="1"/>
  <c r="I111" i="11"/>
  <c r="I122" i="11" s="1"/>
  <c r="J111" i="11"/>
  <c r="K111" i="11"/>
  <c r="L111" i="11"/>
  <c r="M111" i="11"/>
  <c r="N111" i="11"/>
  <c r="O111" i="11"/>
  <c r="D112" i="11"/>
  <c r="D123" i="11" s="1"/>
  <c r="E112" i="11"/>
  <c r="E123" i="11" s="1"/>
  <c r="F112" i="11"/>
  <c r="G112" i="11"/>
  <c r="H112" i="11"/>
  <c r="I112" i="11"/>
  <c r="J112" i="11"/>
  <c r="K112" i="11"/>
  <c r="L112" i="11"/>
  <c r="L123" i="11" s="1"/>
  <c r="M112" i="11"/>
  <c r="M123" i="11" s="1"/>
  <c r="N112" i="11"/>
  <c r="N123" i="11" s="1"/>
  <c r="O112" i="11"/>
  <c r="D113" i="11"/>
  <c r="E113" i="11"/>
  <c r="F113" i="11"/>
  <c r="G113" i="11"/>
  <c r="H113" i="11"/>
  <c r="H124" i="11" s="1"/>
  <c r="I113" i="11"/>
  <c r="I124" i="11" s="1"/>
  <c r="J113" i="11"/>
  <c r="K113" i="11"/>
  <c r="L113" i="11"/>
  <c r="M113" i="11"/>
  <c r="N113" i="11"/>
  <c r="O113" i="11"/>
  <c r="D114" i="11"/>
  <c r="D125" i="11" s="1"/>
  <c r="E114" i="11"/>
  <c r="E125" i="11" s="1"/>
  <c r="F114" i="11"/>
  <c r="G114" i="11"/>
  <c r="H114" i="11"/>
  <c r="I114" i="11"/>
  <c r="J114" i="11"/>
  <c r="K114" i="11"/>
  <c r="L114" i="11"/>
  <c r="L125" i="11" s="1"/>
  <c r="M114" i="11"/>
  <c r="M125" i="11" s="1"/>
  <c r="N114" i="11"/>
  <c r="O114" i="11"/>
  <c r="D115" i="11"/>
  <c r="E115" i="11"/>
  <c r="F115" i="11"/>
  <c r="G115" i="11"/>
  <c r="H115" i="11"/>
  <c r="H126" i="11" s="1"/>
  <c r="I115" i="11"/>
  <c r="I126" i="11" s="1"/>
  <c r="J115" i="11"/>
  <c r="J126" i="11" s="1"/>
  <c r="K115" i="11"/>
  <c r="L115" i="11"/>
  <c r="M115" i="11"/>
  <c r="N115" i="11"/>
  <c r="O115" i="11"/>
  <c r="O126" i="11" s="1"/>
  <c r="D116" i="11"/>
  <c r="E116" i="11"/>
  <c r="F116" i="11"/>
  <c r="K116" i="11"/>
  <c r="D120" i="11"/>
  <c r="D127" i="11" s="1"/>
  <c r="E120" i="11"/>
  <c r="F120" i="11"/>
  <c r="G120" i="11"/>
  <c r="J120" i="11"/>
  <c r="J127" i="11" s="1"/>
  <c r="K120" i="11"/>
  <c r="L120" i="11"/>
  <c r="M120" i="11"/>
  <c r="N120" i="11"/>
  <c r="O120" i="11"/>
  <c r="F121" i="11"/>
  <c r="G121" i="11"/>
  <c r="H121" i="11"/>
  <c r="I121" i="11"/>
  <c r="J121" i="11"/>
  <c r="K121" i="11"/>
  <c r="N121" i="11"/>
  <c r="N127" i="11" s="1"/>
  <c r="O121" i="11"/>
  <c r="D122" i="11"/>
  <c r="E122" i="11"/>
  <c r="F122" i="11"/>
  <c r="G122" i="11"/>
  <c r="J122" i="11"/>
  <c r="K122" i="11"/>
  <c r="L122" i="11"/>
  <c r="M122" i="11"/>
  <c r="N122" i="11"/>
  <c r="O122" i="11"/>
  <c r="F123" i="11"/>
  <c r="F127" i="11" s="1"/>
  <c r="G123" i="11"/>
  <c r="H123" i="11"/>
  <c r="I123" i="11"/>
  <c r="J123" i="11"/>
  <c r="K123" i="11"/>
  <c r="O123" i="11"/>
  <c r="D124" i="11"/>
  <c r="E124" i="11"/>
  <c r="F124" i="11"/>
  <c r="G124" i="11"/>
  <c r="J124" i="11"/>
  <c r="K124" i="11"/>
  <c r="L124" i="11"/>
  <c r="M124" i="11"/>
  <c r="N124" i="11"/>
  <c r="O124" i="11"/>
  <c r="F125" i="11"/>
  <c r="G125" i="11"/>
  <c r="H125" i="11"/>
  <c r="I125" i="11"/>
  <c r="J125" i="11"/>
  <c r="K125" i="11"/>
  <c r="N125" i="11"/>
  <c r="O125" i="11"/>
  <c r="D126" i="11"/>
  <c r="E126" i="11"/>
  <c r="F126" i="11"/>
  <c r="G126" i="11"/>
  <c r="K126" i="11"/>
  <c r="L126" i="11"/>
  <c r="M126" i="11"/>
  <c r="N126" i="11"/>
  <c r="K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K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F116" i="12" s="1"/>
  <c r="G110" i="12"/>
  <c r="H110" i="12"/>
  <c r="H121" i="12" s="1"/>
  <c r="I110" i="12"/>
  <c r="J110" i="12"/>
  <c r="K110" i="12"/>
  <c r="L110" i="12"/>
  <c r="M110" i="12"/>
  <c r="N110" i="12"/>
  <c r="O110" i="12"/>
  <c r="D111" i="12"/>
  <c r="D122" i="12" s="1"/>
  <c r="E111" i="12"/>
  <c r="F111" i="12"/>
  <c r="G111" i="12"/>
  <c r="H111" i="12"/>
  <c r="I111" i="12"/>
  <c r="J111" i="12"/>
  <c r="K111" i="12"/>
  <c r="L111" i="12"/>
  <c r="L122" i="12" s="1"/>
  <c r="M111" i="12"/>
  <c r="N111" i="12"/>
  <c r="O111" i="12"/>
  <c r="D112" i="12"/>
  <c r="E112" i="12"/>
  <c r="F112" i="12"/>
  <c r="G112" i="12"/>
  <c r="H112" i="12"/>
  <c r="H123" i="12" s="1"/>
  <c r="I112" i="12"/>
  <c r="J112" i="12"/>
  <c r="K112" i="12"/>
  <c r="L112" i="12"/>
  <c r="M112" i="12"/>
  <c r="N112" i="12"/>
  <c r="O112" i="12"/>
  <c r="D113" i="12"/>
  <c r="D124" i="12" s="1"/>
  <c r="E113" i="12"/>
  <c r="F113" i="12"/>
  <c r="G113" i="12"/>
  <c r="H113" i="12"/>
  <c r="I113" i="12"/>
  <c r="J113" i="12"/>
  <c r="K113" i="12"/>
  <c r="L113" i="12"/>
  <c r="L124" i="12" s="1"/>
  <c r="M113" i="12"/>
  <c r="N113" i="12"/>
  <c r="O113" i="12"/>
  <c r="D114" i="12"/>
  <c r="E114" i="12"/>
  <c r="F114" i="12"/>
  <c r="G114" i="12"/>
  <c r="H114" i="12"/>
  <c r="H125" i="12" s="1"/>
  <c r="I114" i="12"/>
  <c r="J114" i="12"/>
  <c r="K114" i="12"/>
  <c r="L114" i="12"/>
  <c r="M114" i="12"/>
  <c r="N114" i="12"/>
  <c r="O114" i="12"/>
  <c r="D115" i="12"/>
  <c r="D126" i="12" s="1"/>
  <c r="E115" i="12"/>
  <c r="F115" i="12"/>
  <c r="G115" i="12"/>
  <c r="H115" i="12"/>
  <c r="I115" i="12"/>
  <c r="J115" i="12"/>
  <c r="K115" i="12"/>
  <c r="L115" i="12"/>
  <c r="L126" i="12" s="1"/>
  <c r="M115" i="12"/>
  <c r="N115" i="12"/>
  <c r="O115" i="12"/>
  <c r="E116" i="12"/>
  <c r="K116" i="12"/>
  <c r="M116" i="12"/>
  <c r="E120" i="12"/>
  <c r="F120" i="12"/>
  <c r="G120" i="12"/>
  <c r="H120" i="12"/>
  <c r="I120" i="12"/>
  <c r="J120" i="12"/>
  <c r="K120" i="12"/>
  <c r="M120" i="12"/>
  <c r="N120" i="12"/>
  <c r="O120" i="12"/>
  <c r="D121" i="12"/>
  <c r="E121" i="12"/>
  <c r="G121" i="12"/>
  <c r="I121" i="12"/>
  <c r="J121" i="12"/>
  <c r="K121" i="12"/>
  <c r="L121" i="12"/>
  <c r="M121" i="12"/>
  <c r="N121" i="12"/>
  <c r="N127" i="12" s="1"/>
  <c r="O121" i="12"/>
  <c r="E122" i="12"/>
  <c r="F122" i="12"/>
  <c r="G122" i="12"/>
  <c r="H122" i="12"/>
  <c r="I122" i="12"/>
  <c r="J122" i="12"/>
  <c r="K122" i="12"/>
  <c r="M122" i="12"/>
  <c r="N122" i="12"/>
  <c r="O122" i="12"/>
  <c r="D123" i="12"/>
  <c r="E123" i="12"/>
  <c r="F123" i="12"/>
  <c r="G123" i="12"/>
  <c r="I123" i="12"/>
  <c r="J123" i="12"/>
  <c r="K123" i="12"/>
  <c r="L123" i="12"/>
  <c r="M123" i="12"/>
  <c r="N123" i="12"/>
  <c r="O123" i="12"/>
  <c r="E124" i="12"/>
  <c r="F124" i="12"/>
  <c r="G124" i="12"/>
  <c r="H124" i="12"/>
  <c r="I124" i="12"/>
  <c r="J124" i="12"/>
  <c r="K124" i="12"/>
  <c r="M124" i="12"/>
  <c r="N124" i="12"/>
  <c r="O124" i="12"/>
  <c r="D125" i="12"/>
  <c r="E125" i="12"/>
  <c r="F125" i="12"/>
  <c r="G125" i="12"/>
  <c r="I125" i="12"/>
  <c r="J125" i="12"/>
  <c r="K125" i="12"/>
  <c r="L125" i="12"/>
  <c r="M125" i="12"/>
  <c r="N125" i="12"/>
  <c r="O125" i="12"/>
  <c r="E126" i="12"/>
  <c r="F126" i="12"/>
  <c r="G126" i="12"/>
  <c r="H126" i="12"/>
  <c r="I126" i="12"/>
  <c r="J126" i="12"/>
  <c r="K126" i="12"/>
  <c r="M126" i="12"/>
  <c r="N126" i="12"/>
  <c r="O126" i="12"/>
  <c r="E127" i="12"/>
  <c r="K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K138" i="12"/>
  <c r="M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E121" i="13" s="1"/>
  <c r="F110" i="13"/>
  <c r="F121" i="13" s="1"/>
  <c r="G110" i="13"/>
  <c r="H110" i="13"/>
  <c r="I110" i="13"/>
  <c r="J110" i="13"/>
  <c r="K110" i="13"/>
  <c r="L110" i="13"/>
  <c r="M110" i="13"/>
  <c r="M121" i="13" s="1"/>
  <c r="N110" i="13"/>
  <c r="O110" i="13"/>
  <c r="D111" i="13"/>
  <c r="E111" i="13"/>
  <c r="F111" i="13"/>
  <c r="G111" i="13"/>
  <c r="H111" i="13"/>
  <c r="I111" i="13"/>
  <c r="I122" i="13" s="1"/>
  <c r="J111" i="13"/>
  <c r="K111" i="13"/>
  <c r="L111" i="13"/>
  <c r="M111" i="13"/>
  <c r="N111" i="13"/>
  <c r="O111" i="13"/>
  <c r="O122" i="13" s="1"/>
  <c r="D112" i="13"/>
  <c r="E112" i="13"/>
  <c r="E123" i="13" s="1"/>
  <c r="F112" i="13"/>
  <c r="G112" i="13"/>
  <c r="H112" i="13"/>
  <c r="I112" i="13"/>
  <c r="J112" i="13"/>
  <c r="K112" i="13"/>
  <c r="K123" i="13" s="1"/>
  <c r="L112" i="13"/>
  <c r="M112" i="13"/>
  <c r="N112" i="13"/>
  <c r="N123" i="13" s="1"/>
  <c r="O112" i="13"/>
  <c r="D113" i="13"/>
  <c r="E113" i="13"/>
  <c r="F113" i="13"/>
  <c r="G113" i="13"/>
  <c r="G124" i="13" s="1"/>
  <c r="H113" i="13"/>
  <c r="I113" i="13"/>
  <c r="J113" i="13"/>
  <c r="K113" i="13"/>
  <c r="L113" i="13"/>
  <c r="M113" i="13"/>
  <c r="N113" i="13"/>
  <c r="O113" i="13"/>
  <c r="O124" i="13" s="1"/>
  <c r="D114" i="13"/>
  <c r="E114" i="13"/>
  <c r="F114" i="13"/>
  <c r="F125" i="13" s="1"/>
  <c r="G114" i="13"/>
  <c r="H114" i="13"/>
  <c r="I114" i="13"/>
  <c r="J114" i="13"/>
  <c r="K114" i="13"/>
  <c r="K125" i="13" s="1"/>
  <c r="L114" i="13"/>
  <c r="M114" i="13"/>
  <c r="M125" i="13" s="1"/>
  <c r="N114" i="13"/>
  <c r="N125" i="13" s="1"/>
  <c r="O114" i="13"/>
  <c r="D115" i="13"/>
  <c r="E115" i="13"/>
  <c r="F115" i="13"/>
  <c r="G115" i="13"/>
  <c r="G126" i="13" s="1"/>
  <c r="H115" i="13"/>
  <c r="I115" i="13"/>
  <c r="J115" i="13"/>
  <c r="J126" i="13" s="1"/>
  <c r="K115" i="13"/>
  <c r="L115" i="13"/>
  <c r="M115" i="13"/>
  <c r="N115" i="13"/>
  <c r="O115" i="13"/>
  <c r="O126" i="13" s="1"/>
  <c r="D116" i="13"/>
  <c r="E116" i="13"/>
  <c r="F116" i="13"/>
  <c r="K116" i="13"/>
  <c r="D120" i="13"/>
  <c r="E120" i="13"/>
  <c r="F120" i="13"/>
  <c r="G120" i="13"/>
  <c r="H120" i="13"/>
  <c r="J120" i="13"/>
  <c r="K120" i="13"/>
  <c r="L120" i="13"/>
  <c r="M120" i="13"/>
  <c r="N120" i="13"/>
  <c r="O120" i="13"/>
  <c r="D121" i="13"/>
  <c r="G121" i="13"/>
  <c r="H121" i="13"/>
  <c r="I121" i="13"/>
  <c r="J121" i="13"/>
  <c r="K121" i="13"/>
  <c r="L121" i="13"/>
  <c r="L127" i="13" s="1"/>
  <c r="O121" i="13"/>
  <c r="D122" i="13"/>
  <c r="E122" i="13"/>
  <c r="F122" i="13"/>
  <c r="G122" i="13"/>
  <c r="H122" i="13"/>
  <c r="J122" i="13"/>
  <c r="K122" i="13"/>
  <c r="L122" i="13"/>
  <c r="M122" i="13"/>
  <c r="N122" i="13"/>
  <c r="D123" i="13"/>
  <c r="F123" i="13"/>
  <c r="G123" i="13"/>
  <c r="H123" i="13"/>
  <c r="I123" i="13"/>
  <c r="J123" i="13"/>
  <c r="L123" i="13"/>
  <c r="M123" i="13"/>
  <c r="M127" i="13" s="1"/>
  <c r="O123" i="13"/>
  <c r="D124" i="13"/>
  <c r="E124" i="13"/>
  <c r="F124" i="13"/>
  <c r="H124" i="13"/>
  <c r="I124" i="13"/>
  <c r="J124" i="13"/>
  <c r="K124" i="13"/>
  <c r="L124" i="13"/>
  <c r="M124" i="13"/>
  <c r="N124" i="13"/>
  <c r="D125" i="13"/>
  <c r="E125" i="13"/>
  <c r="G125" i="13"/>
  <c r="H125" i="13"/>
  <c r="I125" i="13"/>
  <c r="J125" i="13"/>
  <c r="L125" i="13"/>
  <c r="O125" i="13"/>
  <c r="D126" i="13"/>
  <c r="E126" i="13"/>
  <c r="F126" i="13"/>
  <c r="H126" i="13"/>
  <c r="I126" i="13"/>
  <c r="K126" i="13"/>
  <c r="L126" i="13"/>
  <c r="M126" i="13"/>
  <c r="N126" i="13"/>
  <c r="E127" i="13"/>
  <c r="F127" i="13"/>
  <c r="D131" i="13"/>
  <c r="D138" i="13" s="1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M138" i="13" s="1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E138" i="13"/>
  <c r="F138" i="13"/>
  <c r="K138" i="13"/>
  <c r="L138" i="13"/>
  <c r="AZ14" i="14"/>
  <c r="AY259" i="14" s="1"/>
  <c r="AY181" i="14"/>
  <c r="AY179" i="14"/>
  <c r="AY177" i="14"/>
  <c r="AY175" i="14"/>
  <c r="AY260" i="14" s="1"/>
  <c r="AX259" i="14"/>
  <c r="AY14" i="14"/>
  <c r="AX181" i="14"/>
  <c r="AX179" i="14"/>
  <c r="AX177" i="14"/>
  <c r="AX175" i="14"/>
  <c r="AX14" i="14"/>
  <c r="AW259" i="14" s="1"/>
  <c r="AW181" i="14"/>
  <c r="AW179" i="14"/>
  <c r="AW177" i="14"/>
  <c r="AW175" i="14"/>
  <c r="AV259" i="14"/>
  <c r="AW14" i="14"/>
  <c r="AV181" i="14"/>
  <c r="AV179" i="14"/>
  <c r="AV177" i="14"/>
  <c r="AV175" i="14"/>
  <c r="AV260" i="14" s="1"/>
  <c r="AU259" i="14"/>
  <c r="AV14" i="14"/>
  <c r="AU181" i="14"/>
  <c r="AU179" i="14"/>
  <c r="AU260" i="14" s="1"/>
  <c r="AU177" i="14"/>
  <c r="AU175" i="14"/>
  <c r="AU14" i="14"/>
  <c r="AT259" i="14" s="1"/>
  <c r="AT181" i="14"/>
  <c r="AT179" i="14"/>
  <c r="AT177" i="14"/>
  <c r="AT260" i="14" s="1"/>
  <c r="AT175" i="14"/>
  <c r="AT14" i="14"/>
  <c r="AS259" i="14" s="1"/>
  <c r="AS181" i="14"/>
  <c r="AS179" i="14"/>
  <c r="AS177" i="14"/>
  <c r="AS175" i="14"/>
  <c r="AS14" i="14"/>
  <c r="AR259" i="14" s="1"/>
  <c r="AR181" i="14"/>
  <c r="AR179" i="14"/>
  <c r="AR177" i="14"/>
  <c r="AR175" i="14"/>
  <c r="AR14" i="14"/>
  <c r="AQ259" i="14" s="1"/>
  <c r="AQ181" i="14"/>
  <c r="AQ179" i="14"/>
  <c r="AQ177" i="14"/>
  <c r="AQ260" i="14" s="1"/>
  <c r="AQ175" i="14"/>
  <c r="AP259" i="14"/>
  <c r="AQ14" i="14"/>
  <c r="AP181" i="14"/>
  <c r="AP179" i="14"/>
  <c r="AP177" i="14"/>
  <c r="AP175" i="14"/>
  <c r="AP260" i="14" s="1"/>
  <c r="AO260" i="14"/>
  <c r="AP14" i="14"/>
  <c r="AO259" i="14" s="1"/>
  <c r="AO181" i="14"/>
  <c r="AO179" i="14"/>
  <c r="AO177" i="14"/>
  <c r="AO175" i="14"/>
  <c r="AN259" i="14"/>
  <c r="AO14" i="14"/>
  <c r="AN181" i="14"/>
  <c r="AN179" i="14"/>
  <c r="AN177" i="14"/>
  <c r="AN175" i="14"/>
  <c r="AN260" i="14" s="1"/>
  <c r="AM259" i="14"/>
  <c r="AN14" i="14"/>
  <c r="AM181" i="14"/>
  <c r="AM179" i="14"/>
  <c r="AM260" i="14" s="1"/>
  <c r="AM177" i="14"/>
  <c r="AM175" i="14"/>
  <c r="AL260" i="14"/>
  <c r="AM14" i="14"/>
  <c r="AL259" i="14" s="1"/>
  <c r="AL181" i="14"/>
  <c r="AL179" i="14"/>
  <c r="AL177" i="14"/>
  <c r="AL175" i="14"/>
  <c r="AK259" i="14"/>
  <c r="AL14" i="14"/>
  <c r="AK181" i="14"/>
  <c r="AK179" i="14"/>
  <c r="AK177" i="14"/>
  <c r="AK175" i="14"/>
  <c r="AK14" i="14"/>
  <c r="AJ259" i="14" s="1"/>
  <c r="AJ181" i="14"/>
  <c r="AJ179" i="14"/>
  <c r="AJ177" i="14"/>
  <c r="AJ175" i="14"/>
  <c r="AJ14" i="14"/>
  <c r="AI259" i="14" s="1"/>
  <c r="AI181" i="14"/>
  <c r="AI179" i="14"/>
  <c r="AI177" i="14"/>
  <c r="AI175" i="14"/>
  <c r="AI260" i="14" s="1"/>
  <c r="AH259" i="14"/>
  <c r="AI14" i="14"/>
  <c r="AH181" i="14"/>
  <c r="AH179" i="14"/>
  <c r="AH177" i="14"/>
  <c r="AH175" i="14"/>
  <c r="AH14" i="14"/>
  <c r="AG259" i="14" s="1"/>
  <c r="AG181" i="14"/>
  <c r="AG179" i="14"/>
  <c r="AG177" i="14"/>
  <c r="AG175" i="14"/>
  <c r="AG260" i="14" s="1"/>
  <c r="AF259" i="14"/>
  <c r="AG14" i="14"/>
  <c r="AF181" i="14"/>
  <c r="AF179" i="14"/>
  <c r="AF177" i="14"/>
  <c r="AF175" i="14"/>
  <c r="AF260" i="14" s="1"/>
  <c r="AE260" i="14"/>
  <c r="AE259" i="14"/>
  <c r="AF14" i="14"/>
  <c r="AE181" i="14"/>
  <c r="AE179" i="14"/>
  <c r="AE177" i="14"/>
  <c r="AE175" i="14"/>
  <c r="AD260" i="14"/>
  <c r="AD259" i="14"/>
  <c r="AE14" i="14"/>
  <c r="AD181" i="14"/>
  <c r="AD179" i="14"/>
  <c r="AD177" i="14"/>
  <c r="AD175" i="14"/>
  <c r="AD14" i="14"/>
  <c r="AC259" i="14" s="1"/>
  <c r="AC181" i="14"/>
  <c r="AC179" i="14"/>
  <c r="AC177" i="14"/>
  <c r="AC175" i="14"/>
  <c r="AC14" i="14"/>
  <c r="AB259" i="14" s="1"/>
  <c r="AB181" i="14"/>
  <c r="AB179" i="14"/>
  <c r="AB177" i="14"/>
  <c r="AB175" i="14"/>
  <c r="AB260" i="14" s="1"/>
  <c r="AB14" i="14"/>
  <c r="AA259" i="14" s="1"/>
  <c r="AA181" i="14"/>
  <c r="AA179" i="14"/>
  <c r="AA260" i="14" s="1"/>
  <c r="AA177" i="14"/>
  <c r="AA175" i="14"/>
  <c r="Z259" i="14"/>
  <c r="AA14" i="14"/>
  <c r="Z181" i="14"/>
  <c r="Z179" i="14"/>
  <c r="Z177" i="14"/>
  <c r="Z175" i="14"/>
  <c r="Z260" i="14" s="1"/>
  <c r="Z14" i="14"/>
  <c r="Y259" i="14" s="1"/>
  <c r="Y181" i="14"/>
  <c r="Y179" i="14"/>
  <c r="Y177" i="14"/>
  <c r="Y260" i="14" s="1"/>
  <c r="Y175" i="14"/>
  <c r="X259" i="14"/>
  <c r="Y14" i="14"/>
  <c r="X181" i="14"/>
  <c r="X179" i="14"/>
  <c r="X177" i="14"/>
  <c r="X175" i="14"/>
  <c r="X260" i="14" s="1"/>
  <c r="W260" i="14"/>
  <c r="X14" i="14"/>
  <c r="W259" i="14" s="1"/>
  <c r="W181" i="14"/>
  <c r="W179" i="14"/>
  <c r="W177" i="14"/>
  <c r="W175" i="14"/>
  <c r="V260" i="14"/>
  <c r="W14" i="14"/>
  <c r="V259" i="14" s="1"/>
  <c r="V181" i="14"/>
  <c r="V179" i="14"/>
  <c r="V177" i="14"/>
  <c r="V175" i="14"/>
  <c r="V14" i="14"/>
  <c r="U259" i="14" s="1"/>
  <c r="U181" i="14"/>
  <c r="U179" i="14"/>
  <c r="U177" i="14"/>
  <c r="U175" i="14"/>
  <c r="U260" i="14" s="1"/>
  <c r="U14" i="14"/>
  <c r="T259" i="14" s="1"/>
  <c r="T181" i="14"/>
  <c r="T179" i="14"/>
  <c r="T177" i="14"/>
  <c r="T175" i="14"/>
  <c r="T14" i="14"/>
  <c r="S259" i="14" s="1"/>
  <c r="S181" i="14"/>
  <c r="S179" i="14"/>
  <c r="S177" i="14"/>
  <c r="S175" i="14"/>
  <c r="S260" i="14" s="1"/>
  <c r="R259" i="14"/>
  <c r="S14" i="14"/>
  <c r="R181" i="14"/>
  <c r="R179" i="14"/>
  <c r="R177" i="14"/>
  <c r="R175" i="14"/>
  <c r="R14" i="14"/>
  <c r="Q259" i="14" s="1"/>
  <c r="Q181" i="14"/>
  <c r="Q179" i="14"/>
  <c r="Q177" i="14"/>
  <c r="Q175" i="14"/>
  <c r="Q260" i="14" s="1"/>
  <c r="P260" i="14"/>
  <c r="P259" i="14"/>
  <c r="Q14" i="14"/>
  <c r="P181" i="14"/>
  <c r="P179" i="14"/>
  <c r="P177" i="14"/>
  <c r="P175" i="14"/>
  <c r="O260" i="14"/>
  <c r="O259" i="14"/>
  <c r="P14" i="14"/>
  <c r="O181" i="14"/>
  <c r="O179" i="14"/>
  <c r="O177" i="14"/>
  <c r="O175" i="14"/>
  <c r="O14" i="14"/>
  <c r="N259" i="14" s="1"/>
  <c r="N181" i="14"/>
  <c r="N179" i="14"/>
  <c r="N177" i="14"/>
  <c r="N260" i="14" s="1"/>
  <c r="N175" i="14"/>
  <c r="N14" i="14"/>
  <c r="M259" i="14" s="1"/>
  <c r="M181" i="14"/>
  <c r="M179" i="14"/>
  <c r="M177" i="14"/>
  <c r="M175" i="14"/>
  <c r="M14" i="14"/>
  <c r="L259" i="14" s="1"/>
  <c r="L181" i="14"/>
  <c r="L179" i="14"/>
  <c r="L177" i="14"/>
  <c r="L260" i="14" s="1"/>
  <c r="L175" i="14"/>
  <c r="K260" i="14"/>
  <c r="L14" i="14"/>
  <c r="K259" i="14" s="1"/>
  <c r="K181" i="14"/>
  <c r="K179" i="14"/>
  <c r="K177" i="14"/>
  <c r="K175" i="14"/>
  <c r="J259" i="14"/>
  <c r="K14" i="14"/>
  <c r="J181" i="14"/>
  <c r="J179" i="14"/>
  <c r="J177" i="14"/>
  <c r="J175" i="14"/>
  <c r="J14" i="14"/>
  <c r="I259" i="14" s="1"/>
  <c r="I181" i="14"/>
  <c r="I179" i="14"/>
  <c r="I177" i="14"/>
  <c r="I260" i="14" s="1"/>
  <c r="I175" i="14"/>
  <c r="H260" i="14"/>
  <c r="H259" i="14"/>
  <c r="I14" i="14"/>
  <c r="H181" i="14"/>
  <c r="H179" i="14"/>
  <c r="H177" i="14"/>
  <c r="H175" i="14"/>
  <c r="H14" i="14"/>
  <c r="G259" i="14" s="1"/>
  <c r="G181" i="14"/>
  <c r="G179" i="14"/>
  <c r="G260" i="14" s="1"/>
  <c r="G177" i="14"/>
  <c r="G175" i="14"/>
  <c r="G14" i="14"/>
  <c r="F259" i="14" s="1"/>
  <c r="F181" i="14"/>
  <c r="F260" i="14" s="1"/>
  <c r="F179" i="14"/>
  <c r="F177" i="14"/>
  <c r="F175" i="14"/>
  <c r="F14" i="14"/>
  <c r="E259" i="14" s="1"/>
  <c r="E181" i="14"/>
  <c r="E179" i="14"/>
  <c r="E177" i="14"/>
  <c r="E175" i="14"/>
  <c r="E260" i="14" s="1"/>
  <c r="E14" i="14"/>
  <c r="D181" i="14"/>
  <c r="D179" i="14"/>
  <c r="D177" i="14"/>
  <c r="D175" i="14"/>
  <c r="AZ14" i="15"/>
  <c r="AY259" i="15" s="1"/>
  <c r="AY181" i="15"/>
  <c r="AY179" i="15"/>
  <c r="AY177" i="15"/>
  <c r="AY175" i="15"/>
  <c r="AY260" i="15" s="1"/>
  <c r="AX259" i="15"/>
  <c r="AY14" i="15"/>
  <c r="AX181" i="15"/>
  <c r="AX179" i="15"/>
  <c r="AX177" i="15"/>
  <c r="AX175" i="15"/>
  <c r="AX14" i="15"/>
  <c r="AW259" i="15" s="1"/>
  <c r="AW181" i="15"/>
  <c r="AW179" i="15"/>
  <c r="AW177" i="15"/>
  <c r="AW175" i="15"/>
  <c r="AW260" i="15" s="1"/>
  <c r="AV260" i="15"/>
  <c r="AV259" i="15"/>
  <c r="AW14" i="15"/>
  <c r="AV181" i="15"/>
  <c r="AV179" i="15"/>
  <c r="AV177" i="15"/>
  <c r="AV175" i="15"/>
  <c r="AU260" i="15"/>
  <c r="AU259" i="15"/>
  <c r="AV14" i="15"/>
  <c r="AU181" i="15"/>
  <c r="AU179" i="15"/>
  <c r="AU177" i="15"/>
  <c r="AU175" i="15"/>
  <c r="AU14" i="15"/>
  <c r="AT259" i="15" s="1"/>
  <c r="AT181" i="15"/>
  <c r="AT179" i="15"/>
  <c r="AT177" i="15"/>
  <c r="AT260" i="15" s="1"/>
  <c r="AT175" i="15"/>
  <c r="AT14" i="15"/>
  <c r="AS259" i="15" s="1"/>
  <c r="AS181" i="15"/>
  <c r="AS179" i="15"/>
  <c r="AS177" i="15"/>
  <c r="AS175" i="15"/>
  <c r="AS14" i="15"/>
  <c r="AR259" i="15" s="1"/>
  <c r="AR181" i="15"/>
  <c r="AR179" i="15"/>
  <c r="AR177" i="15"/>
  <c r="AR175" i="15"/>
  <c r="AQ260" i="15"/>
  <c r="AR14" i="15"/>
  <c r="AQ259" i="15" s="1"/>
  <c r="AQ181" i="15"/>
  <c r="AQ179" i="15"/>
  <c r="AQ177" i="15"/>
  <c r="AQ175" i="15"/>
  <c r="AP259" i="15"/>
  <c r="AQ14" i="15"/>
  <c r="AP181" i="15"/>
  <c r="AP179" i="15"/>
  <c r="AP177" i="15"/>
  <c r="AP175" i="15"/>
  <c r="AP260" i="15" s="1"/>
  <c r="AP14" i="15"/>
  <c r="AO259" i="15" s="1"/>
  <c r="AO181" i="15"/>
  <c r="AO179" i="15"/>
  <c r="AO177" i="15"/>
  <c r="AO260" i="15" s="1"/>
  <c r="AO175" i="15"/>
  <c r="AN259" i="15"/>
  <c r="AO14" i="15"/>
  <c r="AN181" i="15"/>
  <c r="AN179" i="15"/>
  <c r="AN177" i="15"/>
  <c r="AN175" i="15"/>
  <c r="AN260" i="15" s="1"/>
  <c r="AM260" i="15"/>
  <c r="AN14" i="15"/>
  <c r="AM259" i="15" s="1"/>
  <c r="AM181" i="15"/>
  <c r="AM179" i="15"/>
  <c r="AM177" i="15"/>
  <c r="AM175" i="15"/>
  <c r="AL260" i="15"/>
  <c r="AM14" i="15"/>
  <c r="AL259" i="15" s="1"/>
  <c r="AL181" i="15"/>
  <c r="AL179" i="15"/>
  <c r="AL177" i="15"/>
  <c r="AL175" i="15"/>
  <c r="AL14" i="15"/>
  <c r="AK259" i="15" s="1"/>
  <c r="AK181" i="15"/>
  <c r="AK179" i="15"/>
  <c r="AK177" i="15"/>
  <c r="AK175" i="15"/>
  <c r="AK14" i="15"/>
  <c r="AJ259" i="15" s="1"/>
  <c r="AJ181" i="15"/>
  <c r="AJ179" i="15"/>
  <c r="AJ177" i="15"/>
  <c r="AJ175" i="15"/>
  <c r="AJ14" i="15"/>
  <c r="AI259" i="15" s="1"/>
  <c r="AI181" i="15"/>
  <c r="AI179" i="15"/>
  <c r="AI177" i="15"/>
  <c r="AI260" i="15" s="1"/>
  <c r="AI175" i="15"/>
  <c r="AH259" i="15"/>
  <c r="AI14" i="15"/>
  <c r="AH181" i="15"/>
  <c r="AH179" i="15"/>
  <c r="AH177" i="15"/>
  <c r="AH175" i="15"/>
  <c r="AG260" i="15"/>
  <c r="AH14" i="15"/>
  <c r="AG259" i="15" s="1"/>
  <c r="AG181" i="15"/>
  <c r="AG179" i="15"/>
  <c r="AG177" i="15"/>
  <c r="AG175" i="15"/>
  <c r="AF259" i="15"/>
  <c r="AG14" i="15"/>
  <c r="AF181" i="15"/>
  <c r="AF179" i="15"/>
  <c r="AF177" i="15"/>
  <c r="AF175" i="15"/>
  <c r="AF260" i="15" s="1"/>
  <c r="AE259" i="15"/>
  <c r="AF14" i="15"/>
  <c r="AE181" i="15"/>
  <c r="AE179" i="15"/>
  <c r="AE260" i="15" s="1"/>
  <c r="AE177" i="15"/>
  <c r="AE175" i="15"/>
  <c r="AD260" i="15"/>
  <c r="AE14" i="15"/>
  <c r="AD259" i="15" s="1"/>
  <c r="AD181" i="15"/>
  <c r="AD179" i="15"/>
  <c r="AD177" i="15"/>
  <c r="AD175" i="15"/>
  <c r="AC259" i="15"/>
  <c r="AD14" i="15"/>
  <c r="AC181" i="15"/>
  <c r="AC179" i="15"/>
  <c r="AC177" i="15"/>
  <c r="AC175" i="15"/>
  <c r="AC14" i="15"/>
  <c r="AB259" i="15" s="1"/>
  <c r="AB181" i="15"/>
  <c r="AB179" i="15"/>
  <c r="AB177" i="15"/>
  <c r="AB175" i="15"/>
  <c r="AB14" i="15"/>
  <c r="AA259" i="15" s="1"/>
  <c r="AA181" i="15"/>
  <c r="AA179" i="15"/>
  <c r="AA177" i="15"/>
  <c r="AA260" i="15" s="1"/>
  <c r="AA175" i="15"/>
  <c r="Z259" i="15"/>
  <c r="AA14" i="15"/>
  <c r="Z181" i="15"/>
  <c r="Z179" i="15"/>
  <c r="Z177" i="15"/>
  <c r="Z175" i="15"/>
  <c r="Y260" i="15"/>
  <c r="Z14" i="15"/>
  <c r="Y259" i="15" s="1"/>
  <c r="Y181" i="15"/>
  <c r="Y179" i="15"/>
  <c r="Y177" i="15"/>
  <c r="Y175" i="15"/>
  <c r="X259" i="15"/>
  <c r="Y14" i="15"/>
  <c r="X181" i="15"/>
  <c r="X179" i="15"/>
  <c r="X177" i="15"/>
  <c r="X175" i="15"/>
  <c r="X260" i="15" s="1"/>
  <c r="X14" i="15"/>
  <c r="W259" i="15" s="1"/>
  <c r="W181" i="15"/>
  <c r="W179" i="15"/>
  <c r="W260" i="15" s="1"/>
  <c r="W177" i="15"/>
  <c r="W175" i="15"/>
  <c r="W14" i="15"/>
  <c r="V259" i="15" s="1"/>
  <c r="V181" i="15"/>
  <c r="V179" i="15"/>
  <c r="V177" i="15"/>
  <c r="V260" i="15" s="1"/>
  <c r="V175" i="15"/>
  <c r="U259" i="15"/>
  <c r="V14" i="15"/>
  <c r="U181" i="15"/>
  <c r="U179" i="15"/>
  <c r="U177" i="15"/>
  <c r="U175" i="15"/>
  <c r="U14" i="15"/>
  <c r="T259" i="15" s="1"/>
  <c r="T181" i="15"/>
  <c r="T179" i="15"/>
  <c r="T177" i="15"/>
  <c r="T175" i="15"/>
  <c r="T14" i="15"/>
  <c r="S259" i="15" s="1"/>
  <c r="S181" i="15"/>
  <c r="S179" i="15"/>
  <c r="S177" i="15"/>
  <c r="S175" i="15"/>
  <c r="R259" i="15"/>
  <c r="S14" i="15"/>
  <c r="R181" i="15"/>
  <c r="R179" i="15"/>
  <c r="R177" i="15"/>
  <c r="R175" i="15"/>
  <c r="Q260" i="15"/>
  <c r="R14" i="15"/>
  <c r="Q259" i="15" s="1"/>
  <c r="Q181" i="15"/>
  <c r="Q179" i="15"/>
  <c r="Q177" i="15"/>
  <c r="Q175" i="15"/>
  <c r="P259" i="15"/>
  <c r="Q14" i="15"/>
  <c r="P181" i="15"/>
  <c r="P179" i="15"/>
  <c r="P177" i="15"/>
  <c r="P175" i="15"/>
  <c r="P260" i="15" s="1"/>
  <c r="O260" i="15"/>
  <c r="O259" i="15"/>
  <c r="P14" i="15"/>
  <c r="O181" i="15"/>
  <c r="O179" i="15"/>
  <c r="O177" i="15"/>
  <c r="O175" i="15"/>
  <c r="N259" i="15"/>
  <c r="O14" i="15"/>
  <c r="N181" i="15"/>
  <c r="N179" i="15"/>
  <c r="N177" i="15"/>
  <c r="N260" i="15" s="1"/>
  <c r="N175" i="15"/>
  <c r="N14" i="15"/>
  <c r="M259" i="15" s="1"/>
  <c r="M181" i="15"/>
  <c r="M179" i="15"/>
  <c r="M177" i="15"/>
  <c r="M175" i="15"/>
  <c r="M14" i="15"/>
  <c r="L259" i="15" s="1"/>
  <c r="L181" i="15"/>
  <c r="L179" i="15"/>
  <c r="L177" i="15"/>
  <c r="L175" i="15"/>
  <c r="K260" i="15"/>
  <c r="L14" i="15"/>
  <c r="K259" i="15" s="1"/>
  <c r="K181" i="15"/>
  <c r="K179" i="15"/>
  <c r="K177" i="15"/>
  <c r="K175" i="15"/>
  <c r="J259" i="15"/>
  <c r="K14" i="15"/>
  <c r="J181" i="15"/>
  <c r="J179" i="15"/>
  <c r="J177" i="15"/>
  <c r="J175" i="15"/>
  <c r="J260" i="15" s="1"/>
  <c r="J14" i="15"/>
  <c r="I259" i="15" s="1"/>
  <c r="I181" i="15"/>
  <c r="I179" i="15"/>
  <c r="I177" i="15"/>
  <c r="I260" i="15" s="1"/>
  <c r="I175" i="15"/>
  <c r="H259" i="15"/>
  <c r="I14" i="15"/>
  <c r="H181" i="15"/>
  <c r="H179" i="15"/>
  <c r="H177" i="15"/>
  <c r="H175" i="15"/>
  <c r="H260" i="15" s="1"/>
  <c r="G260" i="15"/>
  <c r="H14" i="15"/>
  <c r="G259" i="15" s="1"/>
  <c r="G181" i="15"/>
  <c r="G179" i="15"/>
  <c r="G177" i="15"/>
  <c r="G175" i="15"/>
  <c r="F260" i="15"/>
  <c r="F259" i="15"/>
  <c r="G14" i="15"/>
  <c r="F181" i="15"/>
  <c r="F179" i="15"/>
  <c r="F177" i="15"/>
  <c r="F175" i="15"/>
  <c r="E259" i="15"/>
  <c r="F14" i="15"/>
  <c r="E181" i="15"/>
  <c r="E179" i="15"/>
  <c r="E177" i="15"/>
  <c r="E175" i="15"/>
  <c r="E260" i="15" s="1"/>
  <c r="E14" i="15"/>
  <c r="D181" i="15"/>
  <c r="D179" i="15"/>
  <c r="D177" i="15"/>
  <c r="D175" i="15"/>
  <c r="AY14" i="16"/>
  <c r="AY10" i="16" s="1"/>
  <c r="AY15" i="16"/>
  <c r="AY16" i="16"/>
  <c r="AY13" i="16"/>
  <c r="AY17" i="16"/>
  <c r="AY29" i="16"/>
  <c r="AX14" i="16"/>
  <c r="AX15" i="16"/>
  <c r="AX10" i="16" s="1"/>
  <c r="AX16" i="16"/>
  <c r="AX13" i="16"/>
  <c r="AX17" i="16"/>
  <c r="AX29" i="16"/>
  <c r="AW14" i="16"/>
  <c r="AW15" i="16"/>
  <c r="AW16" i="16"/>
  <c r="AW17" i="16"/>
  <c r="AW29" i="16"/>
  <c r="AV14" i="16"/>
  <c r="AV10" i="16" s="1"/>
  <c r="AV13" i="16" s="1"/>
  <c r="AV15" i="16"/>
  <c r="AV16" i="16"/>
  <c r="AV17" i="16"/>
  <c r="AV29" i="16"/>
  <c r="AU14" i="16"/>
  <c r="AU10" i="16" s="1"/>
  <c r="AU13" i="16" s="1"/>
  <c r="AU15" i="16"/>
  <c r="AU16" i="16"/>
  <c r="AU17" i="16"/>
  <c r="AU29" i="16"/>
  <c r="AT14" i="16"/>
  <c r="AT10" i="16" s="1"/>
  <c r="AT13" i="16" s="1"/>
  <c r="AT15" i="16"/>
  <c r="AT16" i="16"/>
  <c r="AT17" i="16"/>
  <c r="AT29" i="16"/>
  <c r="AS14" i="16"/>
  <c r="AS15" i="16"/>
  <c r="AS10" i="16" s="1"/>
  <c r="AS13" i="16" s="1"/>
  <c r="AS16" i="16"/>
  <c r="AS17" i="16"/>
  <c r="AS29" i="16"/>
  <c r="AR14" i="16"/>
  <c r="AR15" i="16"/>
  <c r="AR16" i="16"/>
  <c r="AR10" i="16"/>
  <c r="AR13" i="16" s="1"/>
  <c r="AR17" i="16"/>
  <c r="AR29" i="16"/>
  <c r="AQ14" i="16"/>
  <c r="AQ10" i="16" s="1"/>
  <c r="AQ13" i="16" s="1"/>
  <c r="AQ15" i="16"/>
  <c r="AQ16" i="16"/>
  <c r="AQ17" i="16"/>
  <c r="AQ29" i="16"/>
  <c r="AP14" i="16"/>
  <c r="AP15" i="16"/>
  <c r="AP10" i="16" s="1"/>
  <c r="AP16" i="16"/>
  <c r="AP13" i="16"/>
  <c r="AP17" i="16"/>
  <c r="AP29" i="16"/>
  <c r="AO14" i="16"/>
  <c r="AO15" i="16"/>
  <c r="AO16" i="16"/>
  <c r="AO17" i="16"/>
  <c r="AO29" i="16"/>
  <c r="AN14" i="16"/>
  <c r="AN10" i="16" s="1"/>
  <c r="AN13" i="16" s="1"/>
  <c r="AN15" i="16"/>
  <c r="AN16" i="16"/>
  <c r="AN17" i="16"/>
  <c r="AN29" i="16"/>
  <c r="AM14" i="16"/>
  <c r="AM15" i="16"/>
  <c r="AM16" i="16"/>
  <c r="AM17" i="16"/>
  <c r="AM29" i="16"/>
  <c r="AL14" i="16"/>
  <c r="AL15" i="16"/>
  <c r="AL10" i="16" s="1"/>
  <c r="AL13" i="16" s="1"/>
  <c r="AL16" i="16"/>
  <c r="AL17" i="16"/>
  <c r="AL29" i="16"/>
  <c r="AK14" i="16"/>
  <c r="AK10" i="16" s="1"/>
  <c r="AK15" i="16"/>
  <c r="AK16" i="16"/>
  <c r="AK13" i="16"/>
  <c r="AK17" i="16"/>
  <c r="AK29" i="16"/>
  <c r="AJ14" i="16"/>
  <c r="AJ15" i="16"/>
  <c r="AJ10" i="16" s="1"/>
  <c r="AJ13" i="16" s="1"/>
  <c r="AJ16" i="16"/>
  <c r="AJ17" i="16"/>
  <c r="AJ29" i="16"/>
  <c r="AI14" i="16"/>
  <c r="AI15" i="16"/>
  <c r="AI16" i="16"/>
  <c r="AI17" i="16"/>
  <c r="AI29" i="16"/>
  <c r="AH14" i="16"/>
  <c r="AH15" i="16"/>
  <c r="AH16" i="16"/>
  <c r="AH17" i="16"/>
  <c r="AH29" i="16"/>
  <c r="AG14" i="16"/>
  <c r="AG15" i="16"/>
  <c r="AG10" i="16" s="1"/>
  <c r="AG16" i="16"/>
  <c r="AG13" i="16"/>
  <c r="AG17" i="16"/>
  <c r="AG29" i="16"/>
  <c r="AF14" i="16"/>
  <c r="AF10" i="16" s="1"/>
  <c r="AF13" i="16" s="1"/>
  <c r="AF15" i="16"/>
  <c r="AF16" i="16"/>
  <c r="AF17" i="16"/>
  <c r="AF29" i="16"/>
  <c r="AE15" i="16"/>
  <c r="AE16" i="16"/>
  <c r="AE17" i="16"/>
  <c r="AE21" i="16"/>
  <c r="AE22" i="16"/>
  <c r="AE24" i="16"/>
  <c r="AE29" i="16"/>
  <c r="AE34" i="16"/>
  <c r="AE40" i="16" s="1"/>
  <c r="AE45" i="16"/>
  <c r="AE51" i="16" s="1"/>
  <c r="AD14" i="16"/>
  <c r="AD15" i="16"/>
  <c r="AD10" i="16" s="1"/>
  <c r="AD13" i="16" s="1"/>
  <c r="AE14" i="16" s="1"/>
  <c r="AE10" i="16" s="1"/>
  <c r="AE13" i="16" s="1"/>
  <c r="AD16" i="16"/>
  <c r="AD17" i="16"/>
  <c r="AD29" i="16"/>
  <c r="AC14" i="16"/>
  <c r="AC15" i="16"/>
  <c r="AC16" i="16"/>
  <c r="AC10" i="16"/>
  <c r="AC13" i="16" s="1"/>
  <c r="AC17" i="16"/>
  <c r="AC29" i="16"/>
  <c r="AB14" i="16"/>
  <c r="AB10" i="16" s="1"/>
  <c r="AB15" i="16"/>
  <c r="AB16" i="16"/>
  <c r="AB13" i="16"/>
  <c r="AB17" i="16"/>
  <c r="AB29" i="16"/>
  <c r="AA14" i="16"/>
  <c r="AA15" i="16"/>
  <c r="AA16" i="16"/>
  <c r="AA17" i="16"/>
  <c r="AA29" i="16"/>
  <c r="Z14" i="16"/>
  <c r="Z10" i="16" s="1"/>
  <c r="Z13" i="16" s="1"/>
  <c r="Z15" i="16"/>
  <c r="Z16" i="16"/>
  <c r="Z17" i="16"/>
  <c r="Z29" i="16"/>
  <c r="Y16" i="16"/>
  <c r="Y21" i="16"/>
  <c r="Y33" i="16" s="1"/>
  <c r="Y22" i="16"/>
  <c r="Y45" i="16" s="1"/>
  <c r="Y51" i="16" s="1"/>
  <c r="Y23" i="16"/>
  <c r="Y24" i="16"/>
  <c r="Y29" i="16"/>
  <c r="Y34" i="16"/>
  <c r="Y35" i="16" s="1"/>
  <c r="Y39" i="16"/>
  <c r="Y40" i="16"/>
  <c r="Y44" i="16"/>
  <c r="X14" i="16"/>
  <c r="Y15" i="16" s="1"/>
  <c r="X15" i="16"/>
  <c r="X16" i="16"/>
  <c r="Y17" i="16" s="1"/>
  <c r="X17" i="16"/>
  <c r="X29" i="16"/>
  <c r="W14" i="16"/>
  <c r="W10" i="16" s="1"/>
  <c r="W13" i="16" s="1"/>
  <c r="W15" i="16"/>
  <c r="W16" i="16"/>
  <c r="W17" i="16"/>
  <c r="W29" i="16"/>
  <c r="V14" i="16"/>
  <c r="V15" i="16"/>
  <c r="V10" i="16" s="1"/>
  <c r="V13" i="16" s="1"/>
  <c r="V16" i="16"/>
  <c r="V17" i="16"/>
  <c r="V29" i="16"/>
  <c r="U14" i="16"/>
  <c r="U15" i="16"/>
  <c r="U16" i="16"/>
  <c r="U17" i="16"/>
  <c r="U29" i="16"/>
  <c r="T14" i="16"/>
  <c r="T15" i="16"/>
  <c r="T16" i="16"/>
  <c r="T17" i="16"/>
  <c r="T29" i="16"/>
  <c r="S14" i="16"/>
  <c r="S15" i="16"/>
  <c r="S16" i="16"/>
  <c r="S17" i="16"/>
  <c r="S29" i="16"/>
  <c r="R14" i="16"/>
  <c r="R15" i="16"/>
  <c r="R16" i="16"/>
  <c r="R10" i="16"/>
  <c r="R13" i="16" s="1"/>
  <c r="R17" i="16"/>
  <c r="R29" i="16"/>
  <c r="Q14" i="16"/>
  <c r="Q15" i="16"/>
  <c r="Q10" i="16" s="1"/>
  <c r="Q13" i="16" s="1"/>
  <c r="Q16" i="16"/>
  <c r="Q17" i="16"/>
  <c r="Q29" i="16"/>
  <c r="P14" i="16"/>
  <c r="P15" i="16"/>
  <c r="P16" i="16"/>
  <c r="P17" i="16"/>
  <c r="P22" i="16"/>
  <c r="P29" i="16"/>
  <c r="O14" i="16"/>
  <c r="O10" i="16" s="1"/>
  <c r="O13" i="16" s="1"/>
  <c r="O15" i="16"/>
  <c r="O16" i="16"/>
  <c r="O17" i="16"/>
  <c r="O29" i="16"/>
  <c r="N14" i="16"/>
  <c r="N15" i="16"/>
  <c r="N16" i="16"/>
  <c r="N17" i="16"/>
  <c r="N29" i="16"/>
  <c r="M14" i="16"/>
  <c r="M15" i="16"/>
  <c r="M16" i="16"/>
  <c r="M10" i="16"/>
  <c r="M13" i="16" s="1"/>
  <c r="M17" i="16"/>
  <c r="M29" i="16"/>
  <c r="L14" i="16"/>
  <c r="L15" i="16"/>
  <c r="L16" i="16"/>
  <c r="L17" i="16"/>
  <c r="L29" i="16"/>
  <c r="K14" i="16"/>
  <c r="K15" i="16"/>
  <c r="K16" i="16"/>
  <c r="K10" i="16"/>
  <c r="K13" i="16"/>
  <c r="K17" i="16"/>
  <c r="K29" i="16"/>
  <c r="J14" i="16"/>
  <c r="J15" i="16"/>
  <c r="J16" i="16"/>
  <c r="J17" i="16"/>
  <c r="J21" i="16"/>
  <c r="J29" i="16"/>
  <c r="I14" i="16"/>
  <c r="I15" i="16"/>
  <c r="I16" i="16"/>
  <c r="I10" i="16"/>
  <c r="I13" i="16" s="1"/>
  <c r="I17" i="16"/>
  <c r="I29" i="16"/>
  <c r="H14" i="16"/>
  <c r="H10" i="16" s="1"/>
  <c r="H13" i="16" s="1"/>
  <c r="H15" i="16"/>
  <c r="H16" i="16"/>
  <c r="H17" i="16"/>
  <c r="H29" i="16"/>
  <c r="G14" i="16"/>
  <c r="G10" i="16" s="1"/>
  <c r="G13" i="16" s="1"/>
  <c r="G15" i="16"/>
  <c r="G16" i="16"/>
  <c r="G17" i="16"/>
  <c r="G29" i="16"/>
  <c r="F14" i="16"/>
  <c r="F15" i="16"/>
  <c r="F16" i="16"/>
  <c r="F17" i="16"/>
  <c r="F29" i="16"/>
  <c r="E14" i="16"/>
  <c r="E15" i="16"/>
  <c r="E16" i="16"/>
  <c r="E10" i="16"/>
  <c r="E13" i="16" s="1"/>
  <c r="E17" i="16"/>
  <c r="E29" i="16"/>
  <c r="D14" i="16"/>
  <c r="D15" i="16"/>
  <c r="D16" i="16"/>
  <c r="D17" i="16"/>
  <c r="D27" i="16"/>
  <c r="D29" i="16"/>
  <c r="E27" i="16" s="1"/>
  <c r="F27" i="16" s="1"/>
  <c r="D30" i="16"/>
  <c r="AY14" i="17"/>
  <c r="AY15" i="17"/>
  <c r="AY10" i="17" s="1"/>
  <c r="AY13" i="17" s="1"/>
  <c r="AY16" i="17"/>
  <c r="AY17" i="17"/>
  <c r="AY29" i="17"/>
  <c r="AX14" i="17"/>
  <c r="AX15" i="17"/>
  <c r="AX16" i="17"/>
  <c r="AX17" i="17"/>
  <c r="AX29" i="17"/>
  <c r="AW14" i="17"/>
  <c r="AW15" i="17"/>
  <c r="AW16" i="17"/>
  <c r="AW17" i="17"/>
  <c r="AW29" i="17"/>
  <c r="AV14" i="17"/>
  <c r="AV10" i="17" s="1"/>
  <c r="AV13" i="17" s="1"/>
  <c r="AV15" i="17"/>
  <c r="AV16" i="17"/>
  <c r="AV17" i="17"/>
  <c r="AV29" i="17"/>
  <c r="AU14" i="17"/>
  <c r="AU15" i="17"/>
  <c r="AU16" i="17"/>
  <c r="AU17" i="17"/>
  <c r="AU29" i="17"/>
  <c r="AT14" i="17"/>
  <c r="AT15" i="17"/>
  <c r="AT16" i="17"/>
  <c r="AT10" i="17"/>
  <c r="AT13" i="17" s="1"/>
  <c r="AT17" i="17"/>
  <c r="AT29" i="17"/>
  <c r="AS14" i="17"/>
  <c r="AS15" i="17"/>
  <c r="AS16" i="17"/>
  <c r="AS17" i="17"/>
  <c r="AS29" i="17"/>
  <c r="AR14" i="17"/>
  <c r="AR10" i="17" s="1"/>
  <c r="AR13" i="17" s="1"/>
  <c r="AR15" i="17"/>
  <c r="AR16" i="17"/>
  <c r="AR17" i="17"/>
  <c r="AR29" i="17"/>
  <c r="AQ14" i="17"/>
  <c r="AQ15" i="17"/>
  <c r="AQ16" i="17"/>
  <c r="AQ10" i="17"/>
  <c r="AQ13" i="17"/>
  <c r="AQ17" i="17"/>
  <c r="AQ29" i="17"/>
  <c r="AP14" i="17"/>
  <c r="AP15" i="17"/>
  <c r="AP16" i="17"/>
  <c r="AP17" i="17"/>
  <c r="AP29" i="17"/>
  <c r="AO14" i="17"/>
  <c r="AO15" i="17"/>
  <c r="AO16" i="17"/>
  <c r="AO10" i="17" s="1"/>
  <c r="AO13" i="17" s="1"/>
  <c r="AO17" i="17"/>
  <c r="AO29" i="17"/>
  <c r="AN14" i="17"/>
  <c r="AN15" i="17"/>
  <c r="AN16" i="17"/>
  <c r="AN10" i="17"/>
  <c r="AN13" i="17" s="1"/>
  <c r="AN17" i="17"/>
  <c r="AN29" i="17"/>
  <c r="AM14" i="17"/>
  <c r="AM15" i="17"/>
  <c r="AM16" i="17"/>
  <c r="AM17" i="17"/>
  <c r="AM29" i="17"/>
  <c r="AL14" i="17"/>
  <c r="AL10" i="17" s="1"/>
  <c r="AL13" i="17" s="1"/>
  <c r="AL15" i="17"/>
  <c r="AL16" i="17"/>
  <c r="AL17" i="17"/>
  <c r="AL29" i="17"/>
  <c r="AK14" i="17"/>
  <c r="AK15" i="17"/>
  <c r="AK16" i="17"/>
  <c r="AK10" i="17" s="1"/>
  <c r="AK13" i="17" s="1"/>
  <c r="AK17" i="17"/>
  <c r="AK29" i="17"/>
  <c r="AJ14" i="17"/>
  <c r="AJ15" i="17"/>
  <c r="AJ16" i="17"/>
  <c r="AJ10" i="17" s="1"/>
  <c r="AJ13" i="17" s="1"/>
  <c r="AK21" i="17" s="1"/>
  <c r="AJ17" i="17"/>
  <c r="AJ29" i="17"/>
  <c r="AI14" i="17"/>
  <c r="AI10" i="17" s="1"/>
  <c r="AI13" i="17" s="1"/>
  <c r="AI15" i="17"/>
  <c r="AI16" i="17"/>
  <c r="AI17" i="17"/>
  <c r="AI29" i="17"/>
  <c r="AH14" i="17"/>
  <c r="AH10" i="17" s="1"/>
  <c r="AH13" i="17" s="1"/>
  <c r="AH15" i="17"/>
  <c r="AH16" i="17"/>
  <c r="AH17" i="17"/>
  <c r="AH29" i="17"/>
  <c r="AG14" i="17"/>
  <c r="AG15" i="17"/>
  <c r="AG10" i="17" s="1"/>
  <c r="AG13" i="17" s="1"/>
  <c r="AH21" i="17" s="1"/>
  <c r="AG16" i="17"/>
  <c r="AG17" i="17"/>
  <c r="AG29" i="17"/>
  <c r="AF14" i="17"/>
  <c r="AF15" i="17"/>
  <c r="AF16" i="17"/>
  <c r="AF17" i="17"/>
  <c r="AF29" i="17"/>
  <c r="AE14" i="17"/>
  <c r="AE15" i="17"/>
  <c r="AE16" i="17"/>
  <c r="AE10" i="17"/>
  <c r="AE13" i="17" s="1"/>
  <c r="AE17" i="17"/>
  <c r="AE29" i="17"/>
  <c r="AD14" i="17"/>
  <c r="AD15" i="17"/>
  <c r="AD16" i="17"/>
  <c r="AD10" i="17"/>
  <c r="AD13" i="17" s="1"/>
  <c r="AD17" i="17"/>
  <c r="AD29" i="17"/>
  <c r="AC16" i="17"/>
  <c r="AC21" i="17"/>
  <c r="AC23" i="17" s="1"/>
  <c r="AC22" i="17"/>
  <c r="AC24" i="17" s="1"/>
  <c r="AC29" i="17"/>
  <c r="AC33" i="17"/>
  <c r="AC44" i="17"/>
  <c r="AC50" i="17" s="1"/>
  <c r="AB14" i="17"/>
  <c r="AB15" i="17"/>
  <c r="AB16" i="17"/>
  <c r="AC17" i="17" s="1"/>
  <c r="AB17" i="17"/>
  <c r="AB29" i="17"/>
  <c r="AA14" i="17"/>
  <c r="AA15" i="17"/>
  <c r="AA10" i="17" s="1"/>
  <c r="AA13" i="17" s="1"/>
  <c r="AA16" i="17"/>
  <c r="AA17" i="17"/>
  <c r="AA29" i="17"/>
  <c r="Z14" i="17"/>
  <c r="Z15" i="17"/>
  <c r="Z10" i="17" s="1"/>
  <c r="Z13" i="17" s="1"/>
  <c r="Z16" i="17"/>
  <c r="Z17" i="17"/>
  <c r="Z29" i="17"/>
  <c r="Y14" i="17"/>
  <c r="Y15" i="17"/>
  <c r="Y10" i="17" s="1"/>
  <c r="Y13" i="17" s="1"/>
  <c r="Y16" i="17"/>
  <c r="Y17" i="17"/>
  <c r="Y29" i="17"/>
  <c r="X14" i="17"/>
  <c r="X15" i="17"/>
  <c r="X16" i="17"/>
  <c r="X10" i="17"/>
  <c r="X13" i="17" s="1"/>
  <c r="X17" i="17"/>
  <c r="X29" i="17"/>
  <c r="W14" i="17"/>
  <c r="W10" i="17" s="1"/>
  <c r="W13" i="17" s="1"/>
  <c r="X21" i="17" s="1"/>
  <c r="W15" i="17"/>
  <c r="W16" i="17"/>
  <c r="W17" i="17"/>
  <c r="W29" i="17"/>
  <c r="V14" i="17"/>
  <c r="V15" i="17"/>
  <c r="V16" i="17"/>
  <c r="V17" i="17"/>
  <c r="V29" i="17"/>
  <c r="U14" i="17"/>
  <c r="U10" i="17" s="1"/>
  <c r="U13" i="17" s="1"/>
  <c r="U15" i="17"/>
  <c r="U16" i="17"/>
  <c r="U17" i="17"/>
  <c r="U29" i="17"/>
  <c r="T14" i="17"/>
  <c r="T15" i="17"/>
  <c r="T16" i="17"/>
  <c r="T17" i="17"/>
  <c r="T29" i="17"/>
  <c r="S14" i="17"/>
  <c r="S15" i="17"/>
  <c r="S16" i="17"/>
  <c r="S10" i="17"/>
  <c r="S13" i="17" s="1"/>
  <c r="S17" i="17"/>
  <c r="S29" i="17"/>
  <c r="R14" i="17"/>
  <c r="R10" i="17" s="1"/>
  <c r="R13" i="17" s="1"/>
  <c r="R15" i="17"/>
  <c r="R16" i="17"/>
  <c r="R17" i="17"/>
  <c r="R29" i="17"/>
  <c r="Q14" i="17"/>
  <c r="Q15" i="17"/>
  <c r="Q10" i="17" s="1"/>
  <c r="Q13" i="17" s="1"/>
  <c r="Q16" i="17"/>
  <c r="Q17" i="17"/>
  <c r="Q29" i="17"/>
  <c r="P14" i="17"/>
  <c r="P15" i="17"/>
  <c r="P16" i="17"/>
  <c r="P10" i="17"/>
  <c r="P13" i="17"/>
  <c r="Q21" i="17" s="1"/>
  <c r="P17" i="17"/>
  <c r="P29" i="17"/>
  <c r="O14" i="17"/>
  <c r="O15" i="17"/>
  <c r="O16" i="17"/>
  <c r="O17" i="17"/>
  <c r="O29" i="17"/>
  <c r="N14" i="17"/>
  <c r="N15" i="17"/>
  <c r="N16" i="17"/>
  <c r="N17" i="17"/>
  <c r="N29" i="17"/>
  <c r="M14" i="17"/>
  <c r="M10" i="17" s="1"/>
  <c r="M13" i="17" s="1"/>
  <c r="M15" i="17"/>
  <c r="M16" i="17"/>
  <c r="M17" i="17"/>
  <c r="M29" i="17"/>
  <c r="L14" i="17"/>
  <c r="L15" i="17"/>
  <c r="L16" i="17"/>
  <c r="L10" i="17"/>
  <c r="L13" i="17" s="1"/>
  <c r="M21" i="17" s="1"/>
  <c r="L17" i="17"/>
  <c r="L29" i="17"/>
  <c r="K14" i="17"/>
  <c r="K15" i="17"/>
  <c r="K10" i="17" s="1"/>
  <c r="K13" i="17" s="1"/>
  <c r="K16" i="17"/>
  <c r="K17" i="17"/>
  <c r="K29" i="17"/>
  <c r="J14" i="17"/>
  <c r="J15" i="17"/>
  <c r="J16" i="17"/>
  <c r="J17" i="17"/>
  <c r="J29" i="17"/>
  <c r="I14" i="17"/>
  <c r="I15" i="17"/>
  <c r="I16" i="17"/>
  <c r="I10" i="17" s="1"/>
  <c r="I13" i="17" s="1"/>
  <c r="I17" i="17"/>
  <c r="I21" i="17"/>
  <c r="I29" i="17"/>
  <c r="I33" i="17"/>
  <c r="H14" i="17"/>
  <c r="H15" i="17"/>
  <c r="H16" i="17"/>
  <c r="H10" i="17"/>
  <c r="H13" i="17" s="1"/>
  <c r="H17" i="17"/>
  <c r="H29" i="17"/>
  <c r="G14" i="17"/>
  <c r="G10" i="17" s="1"/>
  <c r="G13" i="17" s="1"/>
  <c r="G15" i="17"/>
  <c r="G16" i="17"/>
  <c r="G17" i="17"/>
  <c r="G29" i="17"/>
  <c r="F14" i="17"/>
  <c r="F15" i="17"/>
  <c r="F16" i="17"/>
  <c r="F17" i="17"/>
  <c r="F29" i="17"/>
  <c r="E14" i="17"/>
  <c r="E15" i="17"/>
  <c r="E16" i="17"/>
  <c r="E17" i="17"/>
  <c r="E29" i="17"/>
  <c r="D14" i="17"/>
  <c r="D15" i="17"/>
  <c r="D16" i="17"/>
  <c r="D10" i="17"/>
  <c r="D17" i="17"/>
  <c r="D27" i="17"/>
  <c r="E27" i="17" s="1"/>
  <c r="D29" i="17"/>
  <c r="D30" i="17"/>
  <c r="AY14" i="18"/>
  <c r="AY15" i="18"/>
  <c r="AY16" i="18"/>
  <c r="AY17" i="18"/>
  <c r="AY29" i="18"/>
  <c r="AX14" i="18"/>
  <c r="AX15" i="18"/>
  <c r="AX10" i="18" s="1"/>
  <c r="AX13" i="18" s="1"/>
  <c r="AX16" i="18"/>
  <c r="AX17" i="18"/>
  <c r="AX21" i="18"/>
  <c r="AX23" i="18"/>
  <c r="AX29" i="18"/>
  <c r="AW14" i="18"/>
  <c r="AW15" i="18"/>
  <c r="AW10" i="18" s="1"/>
  <c r="AW16" i="18"/>
  <c r="AW13" i="18"/>
  <c r="AX22" i="18" s="1"/>
  <c r="AX45" i="18" s="1"/>
  <c r="AX51" i="18" s="1"/>
  <c r="AW17" i="18"/>
  <c r="AW29" i="18"/>
  <c r="AW34" i="18"/>
  <c r="AW40" i="18" s="1"/>
  <c r="AV14" i="18"/>
  <c r="AV15" i="18"/>
  <c r="AV16" i="18"/>
  <c r="AV10" i="18"/>
  <c r="AV13" i="18" s="1"/>
  <c r="AW22" i="18" s="1"/>
  <c r="AW45" i="18" s="1"/>
  <c r="AW51" i="18" s="1"/>
  <c r="AV17" i="18"/>
  <c r="AV29" i="18"/>
  <c r="AU21" i="18"/>
  <c r="AU44" i="18" s="1"/>
  <c r="AU22" i="18"/>
  <c r="AU34" i="18" s="1"/>
  <c r="AU23" i="18"/>
  <c r="AU24" i="18"/>
  <c r="AU29" i="18"/>
  <c r="AU33" i="18"/>
  <c r="AU40" i="18"/>
  <c r="AU45" i="18"/>
  <c r="AU51" i="18" s="1"/>
  <c r="AU50" i="18"/>
  <c r="AT14" i="18"/>
  <c r="AT15" i="18"/>
  <c r="AU16" i="18" s="1"/>
  <c r="AT16" i="18"/>
  <c r="AU17" i="18" s="1"/>
  <c r="AT17" i="18"/>
  <c r="AT29" i="18"/>
  <c r="AS14" i="18"/>
  <c r="AS10" i="18" s="1"/>
  <c r="AS13" i="18" s="1"/>
  <c r="AS15" i="18"/>
  <c r="AS16" i="18"/>
  <c r="AS17" i="18"/>
  <c r="AS29" i="18"/>
  <c r="AR14" i="18"/>
  <c r="AR15" i="18"/>
  <c r="AR16" i="18"/>
  <c r="AR10" i="18"/>
  <c r="AR13" i="18" s="1"/>
  <c r="AR17" i="18"/>
  <c r="AR29" i="18"/>
  <c r="AQ14" i="18"/>
  <c r="AQ15" i="18"/>
  <c r="AQ10" i="18" s="1"/>
  <c r="AQ13" i="18" s="1"/>
  <c r="AQ16" i="18"/>
  <c r="AQ17" i="18"/>
  <c r="AQ21" i="18"/>
  <c r="AQ44" i="18" s="1"/>
  <c r="AQ22" i="18"/>
  <c r="AQ29" i="18"/>
  <c r="AP14" i="18"/>
  <c r="AP15" i="18"/>
  <c r="AP16" i="18"/>
  <c r="AP10" i="18"/>
  <c r="AP13" i="18" s="1"/>
  <c r="AP17" i="18"/>
  <c r="AP29" i="18"/>
  <c r="AO14" i="18"/>
  <c r="AO10" i="18" s="1"/>
  <c r="AO15" i="18"/>
  <c r="AO16" i="18"/>
  <c r="AO13" i="18"/>
  <c r="AO17" i="18"/>
  <c r="AO29" i="18"/>
  <c r="AN14" i="18"/>
  <c r="AN10" i="18" s="1"/>
  <c r="AN13" i="18" s="1"/>
  <c r="AN15" i="18"/>
  <c r="AN16" i="18"/>
  <c r="AN17" i="18"/>
  <c r="AN29" i="18"/>
  <c r="AM14" i="18"/>
  <c r="AM15" i="18"/>
  <c r="AM16" i="18"/>
  <c r="AM10" i="18" s="1"/>
  <c r="AM13" i="18" s="1"/>
  <c r="AM17" i="18"/>
  <c r="AM29" i="18"/>
  <c r="AL14" i="18"/>
  <c r="AL15" i="18"/>
  <c r="AL16" i="18"/>
  <c r="AL17" i="18"/>
  <c r="AL29" i="18"/>
  <c r="AK14" i="18"/>
  <c r="AK15" i="18"/>
  <c r="AK10" i="18" s="1"/>
  <c r="AK13" i="18" s="1"/>
  <c r="AK16" i="18"/>
  <c r="AK17" i="18"/>
  <c r="AK29" i="18"/>
  <c r="AJ14" i="18"/>
  <c r="AJ15" i="18"/>
  <c r="AJ10" i="18" s="1"/>
  <c r="AJ13" i="18" s="1"/>
  <c r="AJ16" i="18"/>
  <c r="AJ17" i="18"/>
  <c r="AJ29" i="18"/>
  <c r="AI14" i="18"/>
  <c r="AI10" i="18" s="1"/>
  <c r="AI13" i="18" s="1"/>
  <c r="AI15" i="18"/>
  <c r="AI16" i="18"/>
  <c r="AI17" i="18"/>
  <c r="AI29" i="18"/>
  <c r="AH15" i="18"/>
  <c r="AH16" i="18"/>
  <c r="AH21" i="18"/>
  <c r="AH33" i="18" s="1"/>
  <c r="AH35" i="18" s="1"/>
  <c r="AH22" i="18"/>
  <c r="AH45" i="18" s="1"/>
  <c r="AH51" i="18" s="1"/>
  <c r="AH23" i="18"/>
  <c r="AH24" i="18"/>
  <c r="AH29" i="18"/>
  <c r="AH34" i="18"/>
  <c r="AH39" i="18"/>
  <c r="AH40" i="18"/>
  <c r="AH44" i="18"/>
  <c r="AH50" i="18" s="1"/>
  <c r="AH46" i="18"/>
  <c r="AG14" i="18"/>
  <c r="AG15" i="18"/>
  <c r="AG16" i="18"/>
  <c r="AH17" i="18" s="1"/>
  <c r="AG10" i="18"/>
  <c r="AG13" i="18" s="1"/>
  <c r="AH14" i="18" s="1"/>
  <c r="AH10" i="18" s="1"/>
  <c r="AH13" i="18" s="1"/>
  <c r="AG17" i="18"/>
  <c r="AG29" i="18"/>
  <c r="AF14" i="18"/>
  <c r="AF15" i="18"/>
  <c r="AF16" i="18"/>
  <c r="AF10" i="18" s="1"/>
  <c r="AF13" i="18" s="1"/>
  <c r="AF17" i="18"/>
  <c r="AF29" i="18"/>
  <c r="AE14" i="18"/>
  <c r="AE15" i="18"/>
  <c r="AE16" i="18"/>
  <c r="AE10" i="18"/>
  <c r="AE13" i="18" s="1"/>
  <c r="AE17" i="18"/>
  <c r="AE29" i="18"/>
  <c r="AD14" i="18"/>
  <c r="AD10" i="18" s="1"/>
  <c r="AD13" i="18" s="1"/>
  <c r="AD15" i="18"/>
  <c r="AD16" i="18"/>
  <c r="AD17" i="18"/>
  <c r="AD29" i="18"/>
  <c r="AC14" i="18"/>
  <c r="AC15" i="18"/>
  <c r="AC10" i="18" s="1"/>
  <c r="AC13" i="18" s="1"/>
  <c r="AD22" i="18" s="1"/>
  <c r="AC16" i="18"/>
  <c r="AC17" i="18"/>
  <c r="AC29" i="18"/>
  <c r="AB14" i="18"/>
  <c r="AB10" i="18" s="1"/>
  <c r="AB13" i="18" s="1"/>
  <c r="AC21" i="18" s="1"/>
  <c r="AB15" i="18"/>
  <c r="AB16" i="18"/>
  <c r="AB17" i="18"/>
  <c r="AB29" i="18"/>
  <c r="AA14" i="18"/>
  <c r="AA10" i="18" s="1"/>
  <c r="AA13" i="18" s="1"/>
  <c r="AA15" i="18"/>
  <c r="AA16" i="18"/>
  <c r="AA17" i="18"/>
  <c r="AA29" i="18"/>
  <c r="Z14" i="18"/>
  <c r="Z15" i="18"/>
  <c r="Z16" i="18"/>
  <c r="Z17" i="18"/>
  <c r="Z29" i="18"/>
  <c r="Y14" i="18"/>
  <c r="Y15" i="18"/>
  <c r="Y16" i="18"/>
  <c r="Y10" i="18"/>
  <c r="Y13" i="18" s="1"/>
  <c r="Y17" i="18"/>
  <c r="Y29" i="18"/>
  <c r="X15" i="18"/>
  <c r="X16" i="18"/>
  <c r="X21" i="18"/>
  <c r="X22" i="18"/>
  <c r="X24" i="18"/>
  <c r="X29" i="18"/>
  <c r="X34" i="18"/>
  <c r="X40" i="18" s="1"/>
  <c r="X45" i="18"/>
  <c r="X51" i="18"/>
  <c r="W14" i="18"/>
  <c r="W15" i="18"/>
  <c r="W16" i="18"/>
  <c r="X17" i="18" s="1"/>
  <c r="W10" i="18"/>
  <c r="W13" i="18" s="1"/>
  <c r="X14" i="18" s="1"/>
  <c r="X10" i="18" s="1"/>
  <c r="X13" i="18" s="1"/>
  <c r="W17" i="18"/>
  <c r="W29" i="18"/>
  <c r="V14" i="18"/>
  <c r="V10" i="18" s="1"/>
  <c r="V13" i="18" s="1"/>
  <c r="V15" i="18"/>
  <c r="V16" i="18"/>
  <c r="V17" i="18"/>
  <c r="V29" i="18"/>
  <c r="U14" i="18"/>
  <c r="U15" i="18"/>
  <c r="U10" i="18" s="1"/>
  <c r="U13" i="18" s="1"/>
  <c r="V22" i="18" s="1"/>
  <c r="U16" i="18"/>
  <c r="U17" i="18"/>
  <c r="U29" i="18"/>
  <c r="T14" i="18"/>
  <c r="T10" i="18" s="1"/>
  <c r="T13" i="18" s="1"/>
  <c r="U21" i="18" s="1"/>
  <c r="T15" i="18"/>
  <c r="T16" i="18"/>
  <c r="T17" i="18"/>
  <c r="T29" i="18"/>
  <c r="S14" i="18"/>
  <c r="S10" i="18" s="1"/>
  <c r="S13" i="18" s="1"/>
  <c r="S15" i="18"/>
  <c r="S16" i="18"/>
  <c r="S17" i="18"/>
  <c r="S29" i="18"/>
  <c r="R14" i="18"/>
  <c r="R15" i="18"/>
  <c r="R16" i="18"/>
  <c r="R17" i="18"/>
  <c r="R29" i="18"/>
  <c r="Q14" i="18"/>
  <c r="Q15" i="18"/>
  <c r="Q16" i="18"/>
  <c r="Q10" i="18"/>
  <c r="Q13" i="18" s="1"/>
  <c r="Q17" i="18"/>
  <c r="Q29" i="18"/>
  <c r="P14" i="18"/>
  <c r="P15" i="18"/>
  <c r="P16" i="18"/>
  <c r="P10" i="18" s="1"/>
  <c r="P13" i="18" s="1"/>
  <c r="P17" i="18"/>
  <c r="P29" i="18"/>
  <c r="O14" i="18"/>
  <c r="O15" i="18"/>
  <c r="O16" i="18"/>
  <c r="O10" i="18"/>
  <c r="O13" i="18" s="1"/>
  <c r="O17" i="18"/>
  <c r="O29" i="18"/>
  <c r="N14" i="18"/>
  <c r="N10" i="18" s="1"/>
  <c r="N13" i="18" s="1"/>
  <c r="N15" i="18"/>
  <c r="N16" i="18"/>
  <c r="N17" i="18"/>
  <c r="N29" i="18"/>
  <c r="M14" i="18"/>
  <c r="M15" i="18"/>
  <c r="M10" i="18" s="1"/>
  <c r="M13" i="18" s="1"/>
  <c r="N22" i="18" s="1"/>
  <c r="M16" i="18"/>
  <c r="M17" i="18"/>
  <c r="M29" i="18"/>
  <c r="L14" i="18"/>
  <c r="L10" i="18" s="1"/>
  <c r="L13" i="18" s="1"/>
  <c r="M21" i="18" s="1"/>
  <c r="L15" i="18"/>
  <c r="L16" i="18"/>
  <c r="L17" i="18"/>
  <c r="L29" i="18"/>
  <c r="K14" i="18"/>
  <c r="K10" i="18" s="1"/>
  <c r="K13" i="18" s="1"/>
  <c r="K15" i="18"/>
  <c r="K16" i="18"/>
  <c r="K17" i="18"/>
  <c r="K29" i="18"/>
  <c r="J14" i="18"/>
  <c r="J15" i="18"/>
  <c r="J16" i="18"/>
  <c r="J17" i="18"/>
  <c r="J29" i="18"/>
  <c r="I14" i="18"/>
  <c r="I15" i="18"/>
  <c r="I16" i="18"/>
  <c r="I10" i="18"/>
  <c r="I13" i="18" s="1"/>
  <c r="I17" i="18"/>
  <c r="I29" i="18"/>
  <c r="H14" i="18"/>
  <c r="H15" i="18"/>
  <c r="H16" i="18"/>
  <c r="H10" i="18" s="1"/>
  <c r="H13" i="18" s="1"/>
  <c r="H17" i="18"/>
  <c r="H29" i="18"/>
  <c r="G14" i="18"/>
  <c r="G15" i="18"/>
  <c r="G16" i="18"/>
  <c r="G10" i="18"/>
  <c r="G13" i="18" s="1"/>
  <c r="G17" i="18"/>
  <c r="G29" i="18"/>
  <c r="F14" i="18"/>
  <c r="F10" i="18" s="1"/>
  <c r="F13" i="18" s="1"/>
  <c r="F15" i="18"/>
  <c r="F16" i="18"/>
  <c r="F17" i="18"/>
  <c r="F29" i="18"/>
  <c r="E14" i="18"/>
  <c r="E15" i="18"/>
  <c r="E10" i="18" s="1"/>
  <c r="E13" i="18" s="1"/>
  <c r="F22" i="18" s="1"/>
  <c r="E16" i="18"/>
  <c r="E17" i="18"/>
  <c r="E29" i="18"/>
  <c r="D14" i="18"/>
  <c r="D10" i="18" s="1"/>
  <c r="D15" i="18"/>
  <c r="D16" i="18"/>
  <c r="D17" i="18"/>
  <c r="D21" i="18"/>
  <c r="D23" i="18" s="1"/>
  <c r="D22" i="18"/>
  <c r="D34" i="18" s="1"/>
  <c r="D40" i="18" s="1"/>
  <c r="D27" i="18"/>
  <c r="D29" i="18"/>
  <c r="B21" i="16"/>
  <c r="N21" i="16" s="1"/>
  <c r="B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8"/>
  <c r="B22" i="16"/>
  <c r="G21" i="18" l="1"/>
  <c r="G22" i="18"/>
  <c r="M44" i="18"/>
  <c r="M23" i="18"/>
  <c r="M33" i="18"/>
  <c r="AC44" i="18"/>
  <c r="AC23" i="18"/>
  <c r="AC33" i="18"/>
  <c r="AI21" i="18"/>
  <c r="AI22" i="18"/>
  <c r="Q23" i="17"/>
  <c r="Q33" i="17"/>
  <c r="Q44" i="17"/>
  <c r="I21" i="18"/>
  <c r="I22" i="18"/>
  <c r="H22" i="17"/>
  <c r="H21" i="17"/>
  <c r="O21" i="18"/>
  <c r="O22" i="18"/>
  <c r="U44" i="18"/>
  <c r="U23" i="18"/>
  <c r="U33" i="18"/>
  <c r="AE21" i="18"/>
  <c r="AE22" i="18"/>
  <c r="Z22" i="17"/>
  <c r="Z21" i="17"/>
  <c r="H22" i="18"/>
  <c r="H21" i="18"/>
  <c r="L22" i="18"/>
  <c r="L21" i="18"/>
  <c r="Q21" i="18"/>
  <c r="Q22" i="18"/>
  <c r="AB22" i="18"/>
  <c r="AB21" i="18"/>
  <c r="AG21" i="18"/>
  <c r="AG22" i="18"/>
  <c r="AS21" i="18"/>
  <c r="AS22" i="18"/>
  <c r="AT22" i="18"/>
  <c r="AT21" i="18"/>
  <c r="M33" i="17"/>
  <c r="M44" i="17"/>
  <c r="M23" i="17"/>
  <c r="Y21" i="17"/>
  <c r="Y22" i="17"/>
  <c r="W21" i="18"/>
  <c r="W22" i="18"/>
  <c r="AQ50" i="18"/>
  <c r="P22" i="18"/>
  <c r="P21" i="18"/>
  <c r="T22" i="18"/>
  <c r="T21" i="18"/>
  <c r="AF22" i="18"/>
  <c r="AF21" i="18"/>
  <c r="AL22" i="18"/>
  <c r="AL21" i="18"/>
  <c r="AO22" i="18"/>
  <c r="AO21" i="18"/>
  <c r="AJ22" i="18"/>
  <c r="AJ21" i="18"/>
  <c r="AB21" i="17"/>
  <c r="AB22" i="17"/>
  <c r="N33" i="16"/>
  <c r="N44" i="16"/>
  <c r="N23" i="16"/>
  <c r="AN21" i="18"/>
  <c r="AN22" i="18"/>
  <c r="Y21" i="18"/>
  <c r="Y22" i="18"/>
  <c r="L22" i="17"/>
  <c r="L21" i="17"/>
  <c r="D44" i="18"/>
  <c r="AQ34" i="18"/>
  <c r="AQ40" i="18" s="1"/>
  <c r="AQ45" i="18"/>
  <c r="AQ51" i="18" s="1"/>
  <c r="AR21" i="17"/>
  <c r="D22" i="16"/>
  <c r="AL22" i="16"/>
  <c r="N24" i="18"/>
  <c r="N45" i="18"/>
  <c r="N51" i="18" s="1"/>
  <c r="R10" i="18"/>
  <c r="R13" i="18" s="1"/>
  <c r="I39" i="17"/>
  <c r="AE21" i="17"/>
  <c r="AE22" i="17"/>
  <c r="AF21" i="17"/>
  <c r="AS10" i="17"/>
  <c r="AS13" i="17" s="1"/>
  <c r="R22" i="16"/>
  <c r="R21" i="16"/>
  <c r="AK22" i="16"/>
  <c r="AK21" i="16"/>
  <c r="X23" i="18"/>
  <c r="X33" i="18"/>
  <c r="AP21" i="18"/>
  <c r="AP22" i="18"/>
  <c r="AU35" i="18"/>
  <c r="AU39" i="18"/>
  <c r="AW24" i="18"/>
  <c r="E10" i="17"/>
  <c r="E13" i="17" s="1"/>
  <c r="J10" i="17"/>
  <c r="J13" i="17" s="1"/>
  <c r="T10" i="17"/>
  <c r="T13" i="17" s="1"/>
  <c r="AH22" i="17"/>
  <c r="AK22" i="17"/>
  <c r="AX10" i="17"/>
  <c r="AX13" i="17" s="1"/>
  <c r="X44" i="18"/>
  <c r="AW21" i="18"/>
  <c r="AW22" i="17"/>
  <c r="AW21" i="17"/>
  <c r="M138" i="11"/>
  <c r="I138" i="11"/>
  <c r="R21" i="18"/>
  <c r="R22" i="18"/>
  <c r="S21" i="17"/>
  <c r="S22" i="17"/>
  <c r="F22" i="16"/>
  <c r="F21" i="16"/>
  <c r="F24" i="18"/>
  <c r="F45" i="18"/>
  <c r="F51" i="18" s="1"/>
  <c r="N21" i="18"/>
  <c r="AK21" i="18"/>
  <c r="AK22" i="18"/>
  <c r="AR22" i="18"/>
  <c r="AR21" i="18"/>
  <c r="AK23" i="17"/>
  <c r="AK33" i="17"/>
  <c r="AK44" i="17"/>
  <c r="AS21" i="17"/>
  <c r="AS22" i="17"/>
  <c r="W22" i="16"/>
  <c r="W21" i="16"/>
  <c r="AU22" i="16"/>
  <c r="D21" i="17"/>
  <c r="B22" i="17"/>
  <c r="AR22" i="17" s="1"/>
  <c r="E27" i="18"/>
  <c r="D30" i="18"/>
  <c r="M22" i="18"/>
  <c r="U22" i="18"/>
  <c r="AC22" i="18"/>
  <c r="AX24" i="18"/>
  <c r="AX34" i="18"/>
  <c r="AX40" i="18" s="1"/>
  <c r="AC39" i="17"/>
  <c r="AO21" i="17"/>
  <c r="J21" i="18"/>
  <c r="J22" i="18"/>
  <c r="N22" i="17"/>
  <c r="J23" i="16"/>
  <c r="J33" i="16"/>
  <c r="J44" i="16"/>
  <c r="AD24" i="18"/>
  <c r="AD45" i="18"/>
  <c r="AD51" i="18" s="1"/>
  <c r="AQ23" i="18"/>
  <c r="AQ33" i="18"/>
  <c r="F21" i="18"/>
  <c r="AD21" i="18"/>
  <c r="AY21" i="18"/>
  <c r="AY22" i="18"/>
  <c r="I23" i="17"/>
  <c r="I44" i="17"/>
  <c r="X23" i="17"/>
  <c r="X44" i="17"/>
  <c r="X33" i="17"/>
  <c r="AC46" i="17"/>
  <c r="AH23" i="17"/>
  <c r="AH33" i="17"/>
  <c r="AH44" i="17"/>
  <c r="AL22" i="17"/>
  <c r="AL21" i="17"/>
  <c r="AQ21" i="16"/>
  <c r="H21" i="16"/>
  <c r="AL10" i="18"/>
  <c r="AL13" i="18" s="1"/>
  <c r="AU15" i="18"/>
  <c r="AT10" i="18"/>
  <c r="AT13" i="18" s="1"/>
  <c r="AU14" i="18" s="1"/>
  <c r="D13" i="17"/>
  <c r="J22" i="17"/>
  <c r="J21" i="17"/>
  <c r="N21" i="17"/>
  <c r="R22" i="17"/>
  <c r="R21" i="17"/>
  <c r="T21" i="17"/>
  <c r="T22" i="17"/>
  <c r="D33" i="18"/>
  <c r="Z21" i="18"/>
  <c r="Z22" i="18"/>
  <c r="P34" i="16"/>
  <c r="P40" i="16" s="1"/>
  <c r="P24" i="16"/>
  <c r="P45" i="16"/>
  <c r="P51" i="16" s="1"/>
  <c r="J10" i="18"/>
  <c r="J13" i="18" s="1"/>
  <c r="V24" i="18"/>
  <c r="V45" i="18"/>
  <c r="V51" i="18" s="1"/>
  <c r="Z10" i="18"/>
  <c r="Z13" i="18" s="1"/>
  <c r="AX44" i="18"/>
  <c r="AX33" i="18"/>
  <c r="D13" i="18"/>
  <c r="V21" i="18"/>
  <c r="E30" i="17"/>
  <c r="F27" i="17"/>
  <c r="D45" i="18"/>
  <c r="D51" i="18" s="1"/>
  <c r="D24" i="18"/>
  <c r="F34" i="18"/>
  <c r="F40" i="18" s="1"/>
  <c r="N34" i="18"/>
  <c r="N40" i="18" s="1"/>
  <c r="V34" i="18"/>
  <c r="V40" i="18" s="1"/>
  <c r="AD34" i="18"/>
  <c r="AD40" i="18" s="1"/>
  <c r="AQ24" i="18"/>
  <c r="AY10" i="18"/>
  <c r="AY13" i="18" s="1"/>
  <c r="Q22" i="17"/>
  <c r="AM21" i="17"/>
  <c r="AM22" i="17"/>
  <c r="AP21" i="17"/>
  <c r="AP22" i="17"/>
  <c r="AU21" i="17"/>
  <c r="D21" i="16"/>
  <c r="AU21" i="16"/>
  <c r="AJ21" i="17"/>
  <c r="AJ22" i="17"/>
  <c r="AP10" i="17"/>
  <c r="AP13" i="17" s="1"/>
  <c r="AW10" i="17"/>
  <c r="AW13" i="17" s="1"/>
  <c r="E30" i="16"/>
  <c r="T10" i="16"/>
  <c r="T13" i="16" s="1"/>
  <c r="AS22" i="16"/>
  <c r="AS21" i="16"/>
  <c r="AT21" i="16"/>
  <c r="AT22" i="16"/>
  <c r="AZ17" i="18"/>
  <c r="AF10" i="17"/>
  <c r="AF13" i="17" s="1"/>
  <c r="AI21" i="17"/>
  <c r="AU10" i="17"/>
  <c r="AU13" i="17" s="1"/>
  <c r="AF22" i="16"/>
  <c r="AF21" i="16"/>
  <c r="AU46" i="18"/>
  <c r="I22" i="17"/>
  <c r="O10" i="17"/>
  <c r="O13" i="17" s="1"/>
  <c r="AA21" i="17"/>
  <c r="AC45" i="17"/>
  <c r="AC51" i="17" s="1"/>
  <c r="AC34" i="17"/>
  <c r="AC40" i="17" s="1"/>
  <c r="F30" i="16"/>
  <c r="G27" i="16"/>
  <c r="I21" i="16"/>
  <c r="I22" i="16"/>
  <c r="P21" i="16"/>
  <c r="AD21" i="16"/>
  <c r="AD22" i="16"/>
  <c r="AR21" i="16"/>
  <c r="AR22" i="16"/>
  <c r="AV21" i="16"/>
  <c r="V22" i="17"/>
  <c r="V21" i="17"/>
  <c r="AC15" i="17"/>
  <c r="AB10" i="17"/>
  <c r="AB13" i="17" s="1"/>
  <c r="AC14" i="17" s="1"/>
  <c r="AM10" i="17"/>
  <c r="AM13" i="17" s="1"/>
  <c r="F10" i="16"/>
  <c r="F13" i="16" s="1"/>
  <c r="L10" i="16"/>
  <c r="L13" i="16" s="1"/>
  <c r="AC21" i="16"/>
  <c r="AC22" i="16"/>
  <c r="AG21" i="16"/>
  <c r="F10" i="17"/>
  <c r="F13" i="17" s="1"/>
  <c r="J22" i="16"/>
  <c r="N22" i="16"/>
  <c r="AA22" i="16"/>
  <c r="AA21" i="16"/>
  <c r="AY22" i="16"/>
  <c r="AY21" i="16"/>
  <c r="M121" i="11"/>
  <c r="M127" i="11" s="1"/>
  <c r="M116" i="11"/>
  <c r="E127" i="11"/>
  <c r="I116" i="11"/>
  <c r="I120" i="11"/>
  <c r="I127" i="11" s="1"/>
  <c r="S9" i="20" s="1"/>
  <c r="V10" i="17"/>
  <c r="V13" i="17" s="1"/>
  <c r="D10" i="16"/>
  <c r="X21" i="16"/>
  <c r="X22" i="16"/>
  <c r="E127" i="10"/>
  <c r="S10" i="20" s="1"/>
  <c r="L21" i="16"/>
  <c r="L22" i="16"/>
  <c r="AL21" i="16"/>
  <c r="AM21" i="16"/>
  <c r="AM22" i="16"/>
  <c r="AV22" i="16"/>
  <c r="D127" i="13"/>
  <c r="N10" i="17"/>
  <c r="N13" i="17" s="1"/>
  <c r="H22" i="16"/>
  <c r="AZ17" i="17"/>
  <c r="AZ17" i="16"/>
  <c r="X10" i="16"/>
  <c r="X13" i="16" s="1"/>
  <c r="Y14" i="16" s="1"/>
  <c r="Y10" i="16" s="1"/>
  <c r="Y13" i="16" s="1"/>
  <c r="AA10" i="16"/>
  <c r="AA13" i="16" s="1"/>
  <c r="AH10" i="16"/>
  <c r="AH13" i="16" s="1"/>
  <c r="S260" i="15"/>
  <c r="AC260" i="15"/>
  <c r="AK260" i="15"/>
  <c r="M260" i="14"/>
  <c r="N10" i="16"/>
  <c r="N13" i="16" s="1"/>
  <c r="AE23" i="16"/>
  <c r="AE44" i="16"/>
  <c r="AG22" i="16"/>
  <c r="AH22" i="16"/>
  <c r="AH21" i="16"/>
  <c r="AI10" i="16"/>
  <c r="AI13" i="16" s="1"/>
  <c r="AW22" i="16"/>
  <c r="AW21" i="16"/>
  <c r="J127" i="13"/>
  <c r="J10" i="16"/>
  <c r="J13" i="16" s="1"/>
  <c r="P10" i="16"/>
  <c r="P13" i="16" s="1"/>
  <c r="S21" i="16"/>
  <c r="S22" i="16"/>
  <c r="S10" i="16"/>
  <c r="S13" i="16" s="1"/>
  <c r="U10" i="16"/>
  <c r="U13" i="16" s="1"/>
  <c r="AW10" i="16"/>
  <c r="AW13" i="16" s="1"/>
  <c r="M127" i="12"/>
  <c r="L120" i="12"/>
  <c r="L127" i="12" s="1"/>
  <c r="L116" i="12"/>
  <c r="D116" i="12"/>
  <c r="D120" i="12"/>
  <c r="D127" i="12" s="1"/>
  <c r="Y50" i="16"/>
  <c r="Y46" i="16"/>
  <c r="AE33" i="16"/>
  <c r="AM10" i="16"/>
  <c r="AM13" i="16" s="1"/>
  <c r="AO22" i="16"/>
  <c r="AO21" i="16"/>
  <c r="K127" i="13"/>
  <c r="L138" i="12"/>
  <c r="H138" i="12"/>
  <c r="AO10" i="16"/>
  <c r="AO13" i="16" s="1"/>
  <c r="U260" i="15"/>
  <c r="AR260" i="15"/>
  <c r="H138" i="13"/>
  <c r="AQ22" i="16"/>
  <c r="H116" i="12"/>
  <c r="H138" i="11"/>
  <c r="D260" i="15"/>
  <c r="AW260" i="14"/>
  <c r="AR260" i="14"/>
  <c r="N116" i="13"/>
  <c r="H127" i="12"/>
  <c r="L260" i="15"/>
  <c r="AB260" i="15"/>
  <c r="AS260" i="15"/>
  <c r="J260" i="14"/>
  <c r="M116" i="13"/>
  <c r="L116" i="13"/>
  <c r="N116" i="11"/>
  <c r="J116" i="11"/>
  <c r="I127" i="10"/>
  <c r="N121" i="10"/>
  <c r="N127" i="10" s="1"/>
  <c r="N116" i="10"/>
  <c r="F127" i="10"/>
  <c r="J116" i="10"/>
  <c r="J120" i="10"/>
  <c r="J127" i="10" s="1"/>
  <c r="J116" i="13"/>
  <c r="L138" i="11"/>
  <c r="H9" i="20"/>
  <c r="L121" i="11"/>
  <c r="L127" i="11" s="1"/>
  <c r="L116" i="11"/>
  <c r="H116" i="11"/>
  <c r="H120" i="11"/>
  <c r="H127" i="11" s="1"/>
  <c r="N138" i="10"/>
  <c r="J138" i="10"/>
  <c r="G127" i="10"/>
  <c r="H116" i="10"/>
  <c r="H10" i="20" s="1"/>
  <c r="AC260" i="14"/>
  <c r="N138" i="13"/>
  <c r="J138" i="13"/>
  <c r="H127" i="13"/>
  <c r="I116" i="13"/>
  <c r="I120" i="13"/>
  <c r="I127" i="13" s="1"/>
  <c r="J127" i="12"/>
  <c r="N116" i="12"/>
  <c r="J116" i="12"/>
  <c r="L127" i="10"/>
  <c r="O127" i="10"/>
  <c r="M260" i="15"/>
  <c r="R260" i="15"/>
  <c r="Z260" i="15"/>
  <c r="AK260" i="14"/>
  <c r="AS260" i="14"/>
  <c r="I138" i="13"/>
  <c r="N121" i="13"/>
  <c r="N127" i="13" s="1"/>
  <c r="H116" i="13"/>
  <c r="H7" i="20" s="1"/>
  <c r="N138" i="12"/>
  <c r="J138" i="12"/>
  <c r="F121" i="12"/>
  <c r="F127" i="12" s="1"/>
  <c r="I127" i="12"/>
  <c r="N138" i="11"/>
  <c r="J138" i="11"/>
  <c r="K127" i="10"/>
  <c r="AJ260" i="15"/>
  <c r="AX260" i="15"/>
  <c r="D259" i="14"/>
  <c r="AZ259" i="14" s="1"/>
  <c r="BA14" i="14"/>
  <c r="T260" i="14"/>
  <c r="AH260" i="14"/>
  <c r="O138" i="13"/>
  <c r="G138" i="13"/>
  <c r="S31" i="20" s="1"/>
  <c r="T32" i="20" s="1"/>
  <c r="O116" i="13"/>
  <c r="G116" i="13"/>
  <c r="O127" i="12"/>
  <c r="G127" i="12"/>
  <c r="O138" i="11"/>
  <c r="G138" i="11"/>
  <c r="O116" i="11"/>
  <c r="G116" i="11"/>
  <c r="I116" i="10"/>
  <c r="I138" i="12"/>
  <c r="I116" i="12"/>
  <c r="I138" i="10"/>
  <c r="O116" i="10"/>
  <c r="G116" i="10"/>
  <c r="D259" i="15"/>
  <c r="AZ259" i="15" s="1"/>
  <c r="BA14" i="15"/>
  <c r="T260" i="15"/>
  <c r="AH260" i="15"/>
  <c r="D260" i="14"/>
  <c r="R260" i="14"/>
  <c r="AJ260" i="14"/>
  <c r="AX260" i="14"/>
  <c r="O127" i="13"/>
  <c r="G127" i="13"/>
  <c r="O138" i="12"/>
  <c r="G138" i="12"/>
  <c r="O116" i="12"/>
  <c r="G116" i="12"/>
  <c r="O127" i="11"/>
  <c r="G127" i="11"/>
  <c r="O138" i="10"/>
  <c r="G138" i="10"/>
  <c r="AR24" i="17" l="1"/>
  <c r="AR34" i="17"/>
  <c r="AR40" i="17" s="1"/>
  <c r="AR45" i="17"/>
  <c r="AR51" i="17" s="1"/>
  <c r="AA33" i="16"/>
  <c r="AA44" i="16"/>
  <c r="AA23" i="16"/>
  <c r="AF33" i="16"/>
  <c r="AF23" i="16"/>
  <c r="AF44" i="16"/>
  <c r="AJ44" i="17"/>
  <c r="AJ23" i="17"/>
  <c r="AJ33" i="17"/>
  <c r="D33" i="17"/>
  <c r="D44" i="17"/>
  <c r="D23" i="17"/>
  <c r="K21" i="17"/>
  <c r="K22" i="17"/>
  <c r="AL34" i="16"/>
  <c r="AL40" i="16" s="1"/>
  <c r="AL24" i="16"/>
  <c r="AL45" i="16"/>
  <c r="AL51" i="16" s="1"/>
  <c r="AB24" i="17"/>
  <c r="AB34" i="17"/>
  <c r="AB40" i="17" s="1"/>
  <c r="AB45" i="17"/>
  <c r="AB51" i="17" s="1"/>
  <c r="AT24" i="18"/>
  <c r="AT45" i="18"/>
  <c r="AT51" i="18" s="1"/>
  <c r="AT34" i="18"/>
  <c r="AT40" i="18" s="1"/>
  <c r="AC39" i="18"/>
  <c r="AQ24" i="16"/>
  <c r="AQ34" i="16"/>
  <c r="AQ40" i="16" s="1"/>
  <c r="AQ45" i="16"/>
  <c r="AQ51" i="16" s="1"/>
  <c r="S45" i="16"/>
  <c r="S51" i="16" s="1"/>
  <c r="S34" i="16"/>
  <c r="S40" i="16" s="1"/>
  <c r="S24" i="16"/>
  <c r="AA45" i="16"/>
  <c r="AA51" i="16" s="1"/>
  <c r="AA24" i="16"/>
  <c r="AA34" i="16"/>
  <c r="AA40" i="16" s="1"/>
  <c r="AU33" i="16"/>
  <c r="AU23" i="16"/>
  <c r="AU44" i="16"/>
  <c r="AX35" i="18"/>
  <c r="AX39" i="18"/>
  <c r="R34" i="17"/>
  <c r="R40" i="17" s="1"/>
  <c r="R24" i="17"/>
  <c r="R45" i="17"/>
  <c r="R51" i="17" s="1"/>
  <c r="AD44" i="18"/>
  <c r="AD23" i="18"/>
  <c r="AD33" i="18"/>
  <c r="AR44" i="18"/>
  <c r="AR23" i="18"/>
  <c r="AR33" i="18"/>
  <c r="AW24" i="17"/>
  <c r="AW45" i="17"/>
  <c r="AW51" i="17" s="1"/>
  <c r="AW34" i="17"/>
  <c r="AW40" i="17" s="1"/>
  <c r="Y34" i="18"/>
  <c r="Y40" i="18" s="1"/>
  <c r="Y24" i="18"/>
  <c r="Y45" i="18"/>
  <c r="Y51" i="18" s="1"/>
  <c r="AB33" i="17"/>
  <c r="AB23" i="17"/>
  <c r="AB44" i="17"/>
  <c r="AF24" i="18"/>
  <c r="AF34" i="18"/>
  <c r="AF40" i="18" s="1"/>
  <c r="AF45" i="18"/>
  <c r="AF51" i="18" s="1"/>
  <c r="W23" i="18"/>
  <c r="W44" i="18"/>
  <c r="W33" i="18"/>
  <c r="AS34" i="18"/>
  <c r="AS40" i="18" s="1"/>
  <c r="AS45" i="18"/>
  <c r="AS51" i="18" s="1"/>
  <c r="AS24" i="18"/>
  <c r="AZ260" i="14"/>
  <c r="AO45" i="16"/>
  <c r="AO51" i="16" s="1"/>
  <c r="AO24" i="16"/>
  <c r="AO34" i="16"/>
  <c r="AO40" i="16" s="1"/>
  <c r="S23" i="16"/>
  <c r="S44" i="16"/>
  <c r="S33" i="16"/>
  <c r="AH23" i="16"/>
  <c r="AH33" i="16"/>
  <c r="AH44" i="16"/>
  <c r="H45" i="16"/>
  <c r="H51" i="16" s="1"/>
  <c r="H34" i="16"/>
  <c r="H40" i="16" s="1"/>
  <c r="H24" i="16"/>
  <c r="L34" i="16"/>
  <c r="L40" i="16" s="1"/>
  <c r="L24" i="16"/>
  <c r="L45" i="16"/>
  <c r="L51" i="16" s="1"/>
  <c r="N45" i="16"/>
  <c r="N51" i="16" s="1"/>
  <c r="N24" i="16"/>
  <c r="N34" i="16"/>
  <c r="N40" i="16" s="1"/>
  <c r="AN21" i="17"/>
  <c r="AN22" i="17"/>
  <c r="AD45" i="16"/>
  <c r="AD51" i="16" s="1"/>
  <c r="AD34" i="16"/>
  <c r="AD40" i="16" s="1"/>
  <c r="AD24" i="16"/>
  <c r="AV21" i="17"/>
  <c r="AV22" i="17"/>
  <c r="AS45" i="16"/>
  <c r="AS51" i="16" s="1"/>
  <c r="AS24" i="16"/>
  <c r="AS34" i="16"/>
  <c r="AS40" i="16" s="1"/>
  <c r="D44" i="16"/>
  <c r="D23" i="16"/>
  <c r="D33" i="16"/>
  <c r="AX50" i="18"/>
  <c r="AX46" i="18"/>
  <c r="Z34" i="18"/>
  <c r="Z40" i="18" s="1"/>
  <c r="Z45" i="18"/>
  <c r="Z51" i="18" s="1"/>
  <c r="Z24" i="18"/>
  <c r="N23" i="17"/>
  <c r="N44" i="17"/>
  <c r="N33" i="17"/>
  <c r="H44" i="16"/>
  <c r="H33" i="16"/>
  <c r="H23" i="16"/>
  <c r="X39" i="17"/>
  <c r="F44" i="18"/>
  <c r="F33" i="18"/>
  <c r="F23" i="18"/>
  <c r="N45" i="17"/>
  <c r="N51" i="17" s="1"/>
  <c r="N24" i="17"/>
  <c r="N34" i="17"/>
  <c r="N40" i="17" s="1"/>
  <c r="AC45" i="18"/>
  <c r="AC51" i="18" s="1"/>
  <c r="AC24" i="18"/>
  <c r="AC34" i="18"/>
  <c r="AC40" i="18" s="1"/>
  <c r="W44" i="16"/>
  <c r="W23" i="16"/>
  <c r="W33" i="16"/>
  <c r="AR24" i="18"/>
  <c r="AR45" i="18"/>
  <c r="AR51" i="18" s="1"/>
  <c r="AR34" i="18"/>
  <c r="AR40" i="18" s="1"/>
  <c r="S34" i="17"/>
  <c r="S40" i="17" s="1"/>
  <c r="S24" i="17"/>
  <c r="S45" i="17"/>
  <c r="S51" i="17" s="1"/>
  <c r="AW23" i="18"/>
  <c r="AW33" i="18"/>
  <c r="AW44" i="18"/>
  <c r="AK33" i="16"/>
  <c r="AK23" i="16"/>
  <c r="AK44" i="16"/>
  <c r="AE44" i="17"/>
  <c r="AE33" i="17"/>
  <c r="AE23" i="17"/>
  <c r="AR33" i="17"/>
  <c r="AR23" i="17"/>
  <c r="AR44" i="17"/>
  <c r="Y23" i="18"/>
  <c r="Y33" i="18"/>
  <c r="Y44" i="18"/>
  <c r="AJ33" i="18"/>
  <c r="AJ44" i="18"/>
  <c r="AJ23" i="18"/>
  <c r="T33" i="18"/>
  <c r="T23" i="18"/>
  <c r="T44" i="18"/>
  <c r="Y34" i="17"/>
  <c r="Y40" i="17" s="1"/>
  <c r="Y24" i="17"/>
  <c r="Y45" i="17"/>
  <c r="Y51" i="17" s="1"/>
  <c r="AS33" i="18"/>
  <c r="AS44" i="18"/>
  <c r="AS23" i="18"/>
  <c r="L45" i="18"/>
  <c r="L51" i="18" s="1"/>
  <c r="L24" i="18"/>
  <c r="L34" i="18"/>
  <c r="L40" i="18" s="1"/>
  <c r="I23" i="18"/>
  <c r="I44" i="18"/>
  <c r="I33" i="18"/>
  <c r="AC50" i="18"/>
  <c r="AN22" i="16"/>
  <c r="AN21" i="16"/>
  <c r="Q21" i="16"/>
  <c r="Q22" i="16"/>
  <c r="AH34" i="16"/>
  <c r="AH40" i="16" s="1"/>
  <c r="AH24" i="16"/>
  <c r="AH45" i="16"/>
  <c r="AH51" i="16" s="1"/>
  <c r="O21" i="17"/>
  <c r="O22" i="17"/>
  <c r="L33" i="16"/>
  <c r="L44" i="16"/>
  <c r="L23" i="16"/>
  <c r="J24" i="16"/>
  <c r="J45" i="16"/>
  <c r="J51" i="16" s="1"/>
  <c r="J34" i="16"/>
  <c r="J40" i="16" s="1"/>
  <c r="AC10" i="17"/>
  <c r="AC13" i="17" s="1"/>
  <c r="AD23" i="16"/>
  <c r="AD44" i="16"/>
  <c r="AD33" i="16"/>
  <c r="AA22" i="17"/>
  <c r="AI22" i="17"/>
  <c r="U22" i="16"/>
  <c r="U21" i="16"/>
  <c r="AU22" i="17"/>
  <c r="M22" i="17"/>
  <c r="AA21" i="18"/>
  <c r="AA22" i="18"/>
  <c r="Z33" i="18"/>
  <c r="Z44" i="18"/>
  <c r="Z23" i="18"/>
  <c r="J33" i="17"/>
  <c r="J44" i="17"/>
  <c r="J23" i="17"/>
  <c r="AQ44" i="16"/>
  <c r="AQ33" i="16"/>
  <c r="AQ23" i="16"/>
  <c r="X50" i="17"/>
  <c r="AQ39" i="18"/>
  <c r="AQ35" i="18"/>
  <c r="J34" i="18"/>
  <c r="J40" i="18" s="1"/>
  <c r="J45" i="18"/>
  <c r="J51" i="18" s="1"/>
  <c r="J24" i="18"/>
  <c r="U45" i="18"/>
  <c r="U51" i="18" s="1"/>
  <c r="U24" i="18"/>
  <c r="U34" i="18"/>
  <c r="U40" i="18" s="1"/>
  <c r="W45" i="16"/>
  <c r="W51" i="16" s="1"/>
  <c r="W34" i="16"/>
  <c r="W40" i="16" s="1"/>
  <c r="W24" i="16"/>
  <c r="AK34" i="18"/>
  <c r="AK40" i="18" s="1"/>
  <c r="AK24" i="18"/>
  <c r="AK45" i="18"/>
  <c r="AK51" i="18" s="1"/>
  <c r="S44" i="17"/>
  <c r="S23" i="17"/>
  <c r="S33" i="17"/>
  <c r="X50" i="18"/>
  <c r="X46" i="18"/>
  <c r="AK24" i="16"/>
  <c r="AK34" i="16"/>
  <c r="AK40" i="16" s="1"/>
  <c r="AK45" i="16"/>
  <c r="AK51" i="16" s="1"/>
  <c r="AN45" i="18"/>
  <c r="AN51" i="18" s="1"/>
  <c r="AN34" i="18"/>
  <c r="AN40" i="18" s="1"/>
  <c r="AN24" i="18"/>
  <c r="AJ45" i="18"/>
  <c r="AJ51" i="18" s="1"/>
  <c r="AJ24" i="18"/>
  <c r="AJ34" i="18"/>
  <c r="AJ40" i="18" s="1"/>
  <c r="T45" i="18"/>
  <c r="T51" i="18" s="1"/>
  <c r="T24" i="18"/>
  <c r="T34" i="18"/>
  <c r="T40" i="18" s="1"/>
  <c r="Y23" i="17"/>
  <c r="Y33" i="17"/>
  <c r="Y44" i="17"/>
  <c r="AG34" i="18"/>
  <c r="AG40" i="18" s="1"/>
  <c r="AG24" i="18"/>
  <c r="AG45" i="18"/>
  <c r="AG51" i="18" s="1"/>
  <c r="H23" i="18"/>
  <c r="H33" i="18"/>
  <c r="H44" i="18"/>
  <c r="U50" i="18"/>
  <c r="Q50" i="17"/>
  <c r="M39" i="18"/>
  <c r="M35" i="18"/>
  <c r="T21" i="16"/>
  <c r="T22" i="16"/>
  <c r="M21" i="16"/>
  <c r="M22" i="16"/>
  <c r="J35" i="16"/>
  <c r="J39" i="16"/>
  <c r="F23" i="16"/>
  <c r="F44" i="16"/>
  <c r="F33" i="16"/>
  <c r="AF33" i="17"/>
  <c r="AF44" i="17"/>
  <c r="AF23" i="17"/>
  <c r="AF23" i="18"/>
  <c r="AF33" i="18"/>
  <c r="AF44" i="18"/>
  <c r="H24" i="17"/>
  <c r="H34" i="17"/>
  <c r="H40" i="17" s="1"/>
  <c r="H45" i="17"/>
  <c r="H51" i="17" s="1"/>
  <c r="AO23" i="16"/>
  <c r="AO44" i="16"/>
  <c r="AO33" i="16"/>
  <c r="AF24" i="16"/>
  <c r="AF34" i="16"/>
  <c r="AF40" i="16" s="1"/>
  <c r="AF45" i="16"/>
  <c r="AF51" i="16" s="1"/>
  <c r="AU34" i="16"/>
  <c r="AU40" i="16" s="1"/>
  <c r="AU45" i="16"/>
  <c r="AU51" i="16" s="1"/>
  <c r="AU24" i="16"/>
  <c r="AE34" i="17"/>
  <c r="AE40" i="17" s="1"/>
  <c r="AE45" i="17"/>
  <c r="AE51" i="17" s="1"/>
  <c r="AE24" i="17"/>
  <c r="U39" i="18"/>
  <c r="AE35" i="16"/>
  <c r="AE39" i="16"/>
  <c r="AA23" i="17"/>
  <c r="AA44" i="17"/>
  <c r="AA33" i="17"/>
  <c r="J45" i="17"/>
  <c r="J51" i="17" s="1"/>
  <c r="J24" i="17"/>
  <c r="J34" i="17"/>
  <c r="J40" i="17" s="1"/>
  <c r="J33" i="18"/>
  <c r="J23" i="18"/>
  <c r="J44" i="18"/>
  <c r="AY21" i="17"/>
  <c r="AY22" i="17"/>
  <c r="AO44" i="18"/>
  <c r="AO23" i="18"/>
  <c r="AO33" i="18"/>
  <c r="H24" i="18"/>
  <c r="H34" i="18"/>
  <c r="H40" i="18" s="1"/>
  <c r="H45" i="18"/>
  <c r="H51" i="18" s="1"/>
  <c r="AP21" i="16"/>
  <c r="AP22" i="16"/>
  <c r="AE46" i="16"/>
  <c r="AE50" i="16"/>
  <c r="AI21" i="16"/>
  <c r="AI22" i="16"/>
  <c r="S7" i="20"/>
  <c r="T11" i="20" s="1"/>
  <c r="T45" i="20" s="1"/>
  <c r="X34" i="16"/>
  <c r="X40" i="16" s="1"/>
  <c r="X45" i="16"/>
  <c r="X51" i="16" s="1"/>
  <c r="X24" i="16"/>
  <c r="AG23" i="16"/>
  <c r="AG44" i="16"/>
  <c r="AG33" i="16"/>
  <c r="V23" i="17"/>
  <c r="V33" i="17"/>
  <c r="V44" i="17"/>
  <c r="I24" i="16"/>
  <c r="I34" i="16"/>
  <c r="I40" i="16" s="1"/>
  <c r="I45" i="16"/>
  <c r="I51" i="16" s="1"/>
  <c r="P22" i="17"/>
  <c r="P21" i="17"/>
  <c r="AG22" i="17"/>
  <c r="AG21" i="17"/>
  <c r="AX22" i="17"/>
  <c r="AX21" i="17"/>
  <c r="AP45" i="17"/>
  <c r="AP51" i="17" s="1"/>
  <c r="AP34" i="17"/>
  <c r="AP40" i="17" s="1"/>
  <c r="AP24" i="17"/>
  <c r="E21" i="17"/>
  <c r="E22" i="17"/>
  <c r="AL34" i="17"/>
  <c r="AL40" i="17" s="1"/>
  <c r="AL24" i="17"/>
  <c r="AL45" i="17"/>
  <c r="AL51" i="17" s="1"/>
  <c r="I50" i="17"/>
  <c r="AO44" i="17"/>
  <c r="AO33" i="17"/>
  <c r="AO23" i="17"/>
  <c r="AS23" i="17"/>
  <c r="AS33" i="17"/>
  <c r="AS44" i="17"/>
  <c r="N44" i="18"/>
  <c r="N33" i="18"/>
  <c r="N23" i="18"/>
  <c r="R33" i="18"/>
  <c r="R44" i="18"/>
  <c r="R23" i="18"/>
  <c r="AK24" i="17"/>
  <c r="AK45" i="17"/>
  <c r="AK51" i="17" s="1"/>
  <c r="AK34" i="17"/>
  <c r="AK40" i="17" s="1"/>
  <c r="R24" i="16"/>
  <c r="R45" i="16"/>
  <c r="R51" i="16" s="1"/>
  <c r="R34" i="16"/>
  <c r="R40" i="16" s="1"/>
  <c r="S21" i="18"/>
  <c r="S22" i="18"/>
  <c r="AO24" i="18"/>
  <c r="AO45" i="18"/>
  <c r="AO51" i="18" s="1"/>
  <c r="AO34" i="18"/>
  <c r="AO40" i="18" s="1"/>
  <c r="P24" i="18"/>
  <c r="P34" i="18"/>
  <c r="P40" i="18" s="1"/>
  <c r="P45" i="18"/>
  <c r="P51" i="18" s="1"/>
  <c r="M50" i="17"/>
  <c r="AB33" i="18"/>
  <c r="AB23" i="18"/>
  <c r="AB44" i="18"/>
  <c r="Z33" i="17"/>
  <c r="Z44" i="17"/>
  <c r="Z23" i="17"/>
  <c r="O23" i="18"/>
  <c r="O44" i="18"/>
  <c r="O33" i="18"/>
  <c r="M50" i="18"/>
  <c r="AW45" i="16"/>
  <c r="AW51" i="16" s="1"/>
  <c r="AW24" i="16"/>
  <c r="AW34" i="16"/>
  <c r="AW40" i="16" s="1"/>
  <c r="AM33" i="16"/>
  <c r="AM23" i="16"/>
  <c r="AM44" i="16"/>
  <c r="AW23" i="17"/>
  <c r="AW44" i="17"/>
  <c r="AW33" i="17"/>
  <c r="L34" i="17"/>
  <c r="L40" i="17" s="1"/>
  <c r="L45" i="17"/>
  <c r="L51" i="17" s="1"/>
  <c r="L24" i="17"/>
  <c r="W24" i="18"/>
  <c r="W34" i="18"/>
  <c r="W40" i="18" s="1"/>
  <c r="W45" i="18"/>
  <c r="W51" i="18" s="1"/>
  <c r="AE23" i="18"/>
  <c r="AE44" i="18"/>
  <c r="AE33" i="18"/>
  <c r="AJ21" i="16"/>
  <c r="AJ22" i="16"/>
  <c r="AL33" i="16"/>
  <c r="AL23" i="16"/>
  <c r="AL44" i="16"/>
  <c r="AR23" i="16"/>
  <c r="AR33" i="16"/>
  <c r="AR44" i="16"/>
  <c r="F21" i="17"/>
  <c r="F22" i="17"/>
  <c r="I34" i="18"/>
  <c r="I40" i="18" s="1"/>
  <c r="I45" i="18"/>
  <c r="I51" i="18" s="1"/>
  <c r="I24" i="18"/>
  <c r="K21" i="16"/>
  <c r="K22" i="16"/>
  <c r="AG24" i="16"/>
  <c r="AG45" i="16"/>
  <c r="AG51" i="16" s="1"/>
  <c r="AG34" i="16"/>
  <c r="AG40" i="16" s="1"/>
  <c r="P23" i="16"/>
  <c r="P44" i="16"/>
  <c r="P33" i="16"/>
  <c r="G27" i="17"/>
  <c r="F30" i="17"/>
  <c r="AL44" i="17"/>
  <c r="AL23" i="17"/>
  <c r="AL33" i="17"/>
  <c r="M45" i="18"/>
  <c r="M51" i="18" s="1"/>
  <c r="M24" i="18"/>
  <c r="M34" i="18"/>
  <c r="M40" i="18" s="1"/>
  <c r="AK23" i="18"/>
  <c r="AK44" i="18"/>
  <c r="AK33" i="18"/>
  <c r="R44" i="16"/>
  <c r="R23" i="16"/>
  <c r="R33" i="16"/>
  <c r="AN33" i="18"/>
  <c r="AN44" i="18"/>
  <c r="AN23" i="18"/>
  <c r="P23" i="18"/>
  <c r="P33" i="18"/>
  <c r="P44" i="18"/>
  <c r="AG23" i="18"/>
  <c r="AG44" i="18"/>
  <c r="AG33" i="18"/>
  <c r="Q39" i="17"/>
  <c r="AZ260" i="15"/>
  <c r="AX21" i="16"/>
  <c r="AX22" i="16"/>
  <c r="AB22" i="16"/>
  <c r="AB21" i="16"/>
  <c r="AV34" i="16"/>
  <c r="AV40" i="16" s="1"/>
  <c r="AV45" i="16"/>
  <c r="AV51" i="16" s="1"/>
  <c r="AV24" i="16"/>
  <c r="X23" i="16"/>
  <c r="X33" i="16"/>
  <c r="X44" i="16"/>
  <c r="AY44" i="16"/>
  <c r="AY23" i="16"/>
  <c r="AY33" i="16"/>
  <c r="AC24" i="16"/>
  <c r="AC34" i="16"/>
  <c r="AC40" i="16" s="1"/>
  <c r="AC45" i="16"/>
  <c r="AC51" i="16" s="1"/>
  <c r="V45" i="17"/>
  <c r="V51" i="17" s="1"/>
  <c r="V24" i="17"/>
  <c r="V34" i="17"/>
  <c r="V40" i="17" s="1"/>
  <c r="I23" i="16"/>
  <c r="I44" i="16"/>
  <c r="I33" i="16"/>
  <c r="I45" i="17"/>
  <c r="I51" i="17" s="1"/>
  <c r="I34" i="17"/>
  <c r="I24" i="17"/>
  <c r="AQ21" i="17"/>
  <c r="AQ22" i="17"/>
  <c r="AP23" i="17"/>
  <c r="AP33" i="17"/>
  <c r="AP44" i="17"/>
  <c r="V44" i="18"/>
  <c r="V23" i="18"/>
  <c r="V33" i="18"/>
  <c r="K21" i="18"/>
  <c r="K22" i="18"/>
  <c r="T34" i="17"/>
  <c r="T40" i="17" s="1"/>
  <c r="T45" i="17"/>
  <c r="T51" i="17" s="1"/>
  <c r="T24" i="17"/>
  <c r="AZ10" i="17"/>
  <c r="AH50" i="17"/>
  <c r="AC35" i="17"/>
  <c r="F27" i="18"/>
  <c r="E30" i="18"/>
  <c r="AK50" i="17"/>
  <c r="AK46" i="17"/>
  <c r="AH45" i="17"/>
  <c r="AH51" i="17" s="1"/>
  <c r="AH24" i="17"/>
  <c r="AH34" i="17"/>
  <c r="AH40" i="17" s="1"/>
  <c r="AP24" i="18"/>
  <c r="AP45" i="18"/>
  <c r="AP51" i="18" s="1"/>
  <c r="AP34" i="18"/>
  <c r="AP40" i="18" s="1"/>
  <c r="AT22" i="17"/>
  <c r="AT21" i="17"/>
  <c r="D46" i="18"/>
  <c r="D50" i="18"/>
  <c r="N50" i="16"/>
  <c r="AL33" i="18"/>
  <c r="AL44" i="18"/>
  <c r="AL23" i="18"/>
  <c r="AQ46" i="18"/>
  <c r="M39" i="17"/>
  <c r="AB45" i="18"/>
  <c r="AB51" i="18" s="1"/>
  <c r="AB24" i="18"/>
  <c r="AB34" i="18"/>
  <c r="AB40" i="18" s="1"/>
  <c r="Z24" i="17"/>
  <c r="Z34" i="17"/>
  <c r="Z40" i="17" s="1"/>
  <c r="Z45" i="17"/>
  <c r="Z51" i="17" s="1"/>
  <c r="AI34" i="18"/>
  <c r="AI40" i="18" s="1"/>
  <c r="AI45" i="18"/>
  <c r="AI51" i="18" s="1"/>
  <c r="AI24" i="18"/>
  <c r="G24" i="18"/>
  <c r="G34" i="18"/>
  <c r="G40" i="18" s="1"/>
  <c r="G45" i="18"/>
  <c r="G51" i="18" s="1"/>
  <c r="S8" i="20"/>
  <c r="W22" i="17"/>
  <c r="W21" i="17"/>
  <c r="AR24" i="16"/>
  <c r="AR34" i="16"/>
  <c r="AR40" i="16" s="1"/>
  <c r="AR45" i="16"/>
  <c r="AR51" i="16" s="1"/>
  <c r="AT33" i="16"/>
  <c r="AT23" i="16"/>
  <c r="AT44" i="16"/>
  <c r="AM23" i="17"/>
  <c r="AM44" i="17"/>
  <c r="AM33" i="17"/>
  <c r="R33" i="17"/>
  <c r="R44" i="17"/>
  <c r="R23" i="17"/>
  <c r="AY33" i="18"/>
  <c r="AY23" i="18"/>
  <c r="AY44" i="18"/>
  <c r="X35" i="18"/>
  <c r="X39" i="18"/>
  <c r="Q23" i="18"/>
  <c r="Q44" i="18"/>
  <c r="Q33" i="18"/>
  <c r="H8" i="20"/>
  <c r="G21" i="16"/>
  <c r="G22" i="16"/>
  <c r="AS23" i="16"/>
  <c r="AS33" i="16"/>
  <c r="AS44" i="16"/>
  <c r="Q34" i="17"/>
  <c r="Q40" i="17" s="1"/>
  <c r="Q45" i="17"/>
  <c r="Q51" i="17" s="1"/>
  <c r="Q24" i="17"/>
  <c r="AM21" i="18"/>
  <c r="AM22" i="18"/>
  <c r="F34" i="16"/>
  <c r="F40" i="16" s="1"/>
  <c r="F24" i="16"/>
  <c r="F45" i="16"/>
  <c r="F51" i="16" s="1"/>
  <c r="D24" i="16"/>
  <c r="D45" i="16"/>
  <c r="D51" i="16" s="1"/>
  <c r="D34" i="16"/>
  <c r="D40" i="16" s="1"/>
  <c r="L33" i="18"/>
  <c r="L23" i="18"/>
  <c r="L44" i="18"/>
  <c r="G22" i="17"/>
  <c r="G21" i="17"/>
  <c r="AI44" i="17"/>
  <c r="AI33" i="17"/>
  <c r="AI23" i="17"/>
  <c r="AU33" i="17"/>
  <c r="AU23" i="17"/>
  <c r="AU44" i="17"/>
  <c r="D35" i="18"/>
  <c r="D39" i="18"/>
  <c r="AS24" i="17"/>
  <c r="AS45" i="17"/>
  <c r="AS51" i="17" s="1"/>
  <c r="AS34" i="17"/>
  <c r="AS40" i="17" s="1"/>
  <c r="R34" i="18"/>
  <c r="R40" i="18" s="1"/>
  <c r="R45" i="18"/>
  <c r="R51" i="18" s="1"/>
  <c r="R24" i="18"/>
  <c r="O24" i="18"/>
  <c r="O34" i="18"/>
  <c r="O40" i="18" s="1"/>
  <c r="O45" i="18"/>
  <c r="O51" i="18" s="1"/>
  <c r="V21" i="16"/>
  <c r="V22" i="16"/>
  <c r="AW33" i="16"/>
  <c r="AW23" i="16"/>
  <c r="AW44" i="16"/>
  <c r="O21" i="16"/>
  <c r="O22" i="16"/>
  <c r="Z21" i="16"/>
  <c r="Z22" i="16"/>
  <c r="AM45" i="16"/>
  <c r="AM51" i="16" s="1"/>
  <c r="AM34" i="16"/>
  <c r="AM40" i="16" s="1"/>
  <c r="AM24" i="16"/>
  <c r="AZ10" i="16"/>
  <c r="D13" i="16"/>
  <c r="AY24" i="16"/>
  <c r="AY34" i="16"/>
  <c r="AY40" i="16" s="1"/>
  <c r="AY45" i="16"/>
  <c r="AY51" i="16" s="1"/>
  <c r="AC33" i="16"/>
  <c r="AC23" i="16"/>
  <c r="AC44" i="16"/>
  <c r="AV33" i="16"/>
  <c r="AV44" i="16"/>
  <c r="AV23" i="16"/>
  <c r="H27" i="16"/>
  <c r="G30" i="16"/>
  <c r="AT34" i="16"/>
  <c r="AT40" i="16" s="1"/>
  <c r="AT24" i="16"/>
  <c r="AT45" i="16"/>
  <c r="AT51" i="16" s="1"/>
  <c r="AJ24" i="17"/>
  <c r="AJ45" i="17"/>
  <c r="AJ51" i="17" s="1"/>
  <c r="AJ34" i="17"/>
  <c r="AJ40" i="17" s="1"/>
  <c r="AM34" i="17"/>
  <c r="AM40" i="17" s="1"/>
  <c r="AM24" i="17"/>
  <c r="AM45" i="17"/>
  <c r="AM51" i="17" s="1"/>
  <c r="E21" i="18"/>
  <c r="E22" i="18"/>
  <c r="T33" i="17"/>
  <c r="T23" i="17"/>
  <c r="T44" i="17"/>
  <c r="AU10" i="18"/>
  <c r="AH39" i="17"/>
  <c r="AY34" i="18"/>
  <c r="AY40" i="18" s="1"/>
  <c r="AY24" i="18"/>
  <c r="AY45" i="18"/>
  <c r="AY51" i="18" s="1"/>
  <c r="J50" i="16"/>
  <c r="D22" i="17"/>
  <c r="AO22" i="17"/>
  <c r="X22" i="17"/>
  <c r="AK39" i="17"/>
  <c r="AK35" i="17"/>
  <c r="U21" i="17"/>
  <c r="U22" i="17"/>
  <c r="AP23" i="18"/>
  <c r="AP44" i="18"/>
  <c r="AP33" i="18"/>
  <c r="AF22" i="17"/>
  <c r="L33" i="17"/>
  <c r="L44" i="17"/>
  <c r="L23" i="17"/>
  <c r="N35" i="16"/>
  <c r="N39" i="16"/>
  <c r="AL34" i="18"/>
  <c r="AL40" i="18" s="1"/>
  <c r="AL24" i="18"/>
  <c r="AL45" i="18"/>
  <c r="AL51" i="18" s="1"/>
  <c r="AT33" i="18"/>
  <c r="AT44" i="18"/>
  <c r="AT23" i="18"/>
  <c r="Q34" i="18"/>
  <c r="Q40" i="18" s="1"/>
  <c r="Q24" i="18"/>
  <c r="Q45" i="18"/>
  <c r="Q51" i="18" s="1"/>
  <c r="AE24" i="18"/>
  <c r="AE34" i="18"/>
  <c r="AE40" i="18" s="1"/>
  <c r="AE45" i="18"/>
  <c r="AE51" i="18" s="1"/>
  <c r="H33" i="17"/>
  <c r="H23" i="17"/>
  <c r="H44" i="17"/>
  <c r="AI33" i="18"/>
  <c r="AI44" i="18"/>
  <c r="AI23" i="18"/>
  <c r="G23" i="18"/>
  <c r="G44" i="18"/>
  <c r="G33" i="18"/>
  <c r="AI46" i="18" l="1"/>
  <c r="AI50" i="18"/>
  <c r="AL39" i="18"/>
  <c r="AL35" i="18"/>
  <c r="AQ24" i="17"/>
  <c r="AQ45" i="17"/>
  <c r="AQ51" i="17" s="1"/>
  <c r="AQ34" i="17"/>
  <c r="AQ40" i="17" s="1"/>
  <c r="F45" i="17"/>
  <c r="F51" i="17" s="1"/>
  <c r="F24" i="17"/>
  <c r="F34" i="17"/>
  <c r="F40" i="17" s="1"/>
  <c r="R50" i="18"/>
  <c r="R46" i="18"/>
  <c r="AF35" i="17"/>
  <c r="AF39" i="17"/>
  <c r="H50" i="18"/>
  <c r="H46" i="18"/>
  <c r="U24" i="16"/>
  <c r="U45" i="16"/>
  <c r="U51" i="16" s="1"/>
  <c r="U34" i="16"/>
  <c r="U40" i="16" s="1"/>
  <c r="I35" i="18"/>
  <c r="I39" i="18"/>
  <c r="AV33" i="17"/>
  <c r="AV44" i="17"/>
  <c r="AV23" i="17"/>
  <c r="T50" i="17"/>
  <c r="T46" i="17"/>
  <c r="R46" i="17"/>
  <c r="R50" i="17"/>
  <c r="AQ44" i="17"/>
  <c r="AQ23" i="17"/>
  <c r="AQ33" i="17"/>
  <c r="AX45" i="16"/>
  <c r="AX51" i="16" s="1"/>
  <c r="AX34" i="16"/>
  <c r="AX40" i="16" s="1"/>
  <c r="AX24" i="16"/>
  <c r="AG24" i="17"/>
  <c r="AG34" i="17"/>
  <c r="AG40" i="17" s="1"/>
  <c r="AG45" i="17"/>
  <c r="AG51" i="17" s="1"/>
  <c r="F35" i="16"/>
  <c r="F39" i="16"/>
  <c r="Z50" i="18"/>
  <c r="Z46" i="18"/>
  <c r="I46" i="18"/>
  <c r="I50" i="18"/>
  <c r="D35" i="16"/>
  <c r="D39" i="16"/>
  <c r="AF35" i="16"/>
  <c r="AF39" i="16"/>
  <c r="H46" i="17"/>
  <c r="H50" i="17"/>
  <c r="U45" i="17"/>
  <c r="U51" i="17" s="1"/>
  <c r="U34" i="17"/>
  <c r="U40" i="17" s="1"/>
  <c r="U24" i="17"/>
  <c r="J46" i="16"/>
  <c r="AV46" i="16"/>
  <c r="AV50" i="16"/>
  <c r="E21" i="16"/>
  <c r="E22" i="16"/>
  <c r="O44" i="16"/>
  <c r="O23" i="16"/>
  <c r="O33" i="16"/>
  <c r="G34" i="17"/>
  <c r="G40" i="17" s="1"/>
  <c r="G45" i="17"/>
  <c r="G51" i="17" s="1"/>
  <c r="G24" i="17"/>
  <c r="AS50" i="16"/>
  <c r="AS46" i="16"/>
  <c r="R35" i="17"/>
  <c r="R39" i="17"/>
  <c r="N46" i="16"/>
  <c r="AH46" i="17"/>
  <c r="V35" i="18"/>
  <c r="V39" i="18"/>
  <c r="X35" i="16"/>
  <c r="X39" i="16"/>
  <c r="AX44" i="16"/>
  <c r="AX23" i="16"/>
  <c r="AX33" i="16"/>
  <c r="P35" i="18"/>
  <c r="P39" i="18"/>
  <c r="AK39" i="18"/>
  <c r="AK35" i="18"/>
  <c r="AL50" i="17"/>
  <c r="AL46" i="17"/>
  <c r="AR50" i="16"/>
  <c r="AR46" i="16"/>
  <c r="AE39" i="18"/>
  <c r="AE35" i="18"/>
  <c r="Z46" i="17"/>
  <c r="Z50" i="17"/>
  <c r="AO39" i="17"/>
  <c r="E33" i="17"/>
  <c r="E23" i="17"/>
  <c r="E44" i="17"/>
  <c r="P23" i="17"/>
  <c r="P44" i="17"/>
  <c r="P33" i="17"/>
  <c r="AG39" i="16"/>
  <c r="AG35" i="16"/>
  <c r="AI33" i="16"/>
  <c r="AI44" i="16"/>
  <c r="AI23" i="16"/>
  <c r="AO39" i="18"/>
  <c r="AO35" i="18"/>
  <c r="U35" i="18"/>
  <c r="F50" i="16"/>
  <c r="F46" i="16"/>
  <c r="Z35" i="18"/>
  <c r="Z39" i="18"/>
  <c r="AA34" i="17"/>
  <c r="AA40" i="17" s="1"/>
  <c r="AA24" i="17"/>
  <c r="AA45" i="17"/>
  <c r="AA51" i="17" s="1"/>
  <c r="Q34" i="16"/>
  <c r="Q40" i="16" s="1"/>
  <c r="Q24" i="16"/>
  <c r="Q45" i="16"/>
  <c r="Q51" i="16" s="1"/>
  <c r="Y46" i="18"/>
  <c r="Y50" i="18"/>
  <c r="AE46" i="17"/>
  <c r="AE50" i="17"/>
  <c r="F50" i="18"/>
  <c r="F46" i="18"/>
  <c r="S35" i="16"/>
  <c r="S39" i="16"/>
  <c r="AB50" i="17"/>
  <c r="AB46" i="17"/>
  <c r="AC35" i="18"/>
  <c r="AZ21" i="17"/>
  <c r="U33" i="17"/>
  <c r="U23" i="17"/>
  <c r="U44" i="17"/>
  <c r="T35" i="17"/>
  <c r="T39" i="17"/>
  <c r="AV35" i="16"/>
  <c r="AV39" i="16"/>
  <c r="AW46" i="16"/>
  <c r="AW50" i="16"/>
  <c r="AU50" i="17"/>
  <c r="L46" i="18"/>
  <c r="L50" i="18"/>
  <c r="AS35" i="16"/>
  <c r="AS39" i="16"/>
  <c r="AM39" i="17"/>
  <c r="AM35" i="17"/>
  <c r="I40" i="17"/>
  <c r="I35" i="17"/>
  <c r="AK46" i="18"/>
  <c r="AK50" i="18"/>
  <c r="K34" i="16"/>
  <c r="K40" i="16" s="1"/>
  <c r="K24" i="16"/>
  <c r="K45" i="16"/>
  <c r="K51" i="16" s="1"/>
  <c r="AR39" i="16"/>
  <c r="AR35" i="16"/>
  <c r="AE46" i="18"/>
  <c r="AE50" i="18"/>
  <c r="AW39" i="17"/>
  <c r="AW35" i="17"/>
  <c r="Z35" i="17"/>
  <c r="Z39" i="17"/>
  <c r="N35" i="18"/>
  <c r="N39" i="18"/>
  <c r="AO46" i="17"/>
  <c r="AO50" i="17"/>
  <c r="P24" i="17"/>
  <c r="P45" i="17"/>
  <c r="P51" i="17" s="1"/>
  <c r="P34" i="17"/>
  <c r="P40" i="17" s="1"/>
  <c r="AG46" i="16"/>
  <c r="AG50" i="16"/>
  <c r="AF50" i="18"/>
  <c r="AF46" i="18"/>
  <c r="AQ35" i="16"/>
  <c r="AQ39" i="16"/>
  <c r="AA34" i="18"/>
  <c r="AA40" i="18" s="1"/>
  <c r="AA24" i="18"/>
  <c r="AA45" i="18"/>
  <c r="AA51" i="18" s="1"/>
  <c r="AD39" i="16"/>
  <c r="AD35" i="16"/>
  <c r="L50" i="16"/>
  <c r="L46" i="16"/>
  <c r="Q33" i="16"/>
  <c r="Q23" i="16"/>
  <c r="Q44" i="16"/>
  <c r="Y35" i="18"/>
  <c r="Y39" i="18"/>
  <c r="AK46" i="16"/>
  <c r="AK50" i="16"/>
  <c r="D50" i="16"/>
  <c r="D46" i="16"/>
  <c r="S50" i="16"/>
  <c r="S46" i="16"/>
  <c r="AR35" i="18"/>
  <c r="AR39" i="18"/>
  <c r="AA46" i="16"/>
  <c r="AA50" i="16"/>
  <c r="AP46" i="18"/>
  <c r="AP50" i="18"/>
  <c r="I27" i="16"/>
  <c r="H30" i="16"/>
  <c r="Q35" i="18"/>
  <c r="Q39" i="18"/>
  <c r="AB24" i="16"/>
  <c r="AB45" i="16"/>
  <c r="AB51" i="16" s="1"/>
  <c r="AB34" i="16"/>
  <c r="AB40" i="16" s="1"/>
  <c r="AJ24" i="16"/>
  <c r="AJ45" i="16"/>
  <c r="AJ51" i="16" s="1"/>
  <c r="AJ34" i="16"/>
  <c r="AJ40" i="16" s="1"/>
  <c r="S33" i="18"/>
  <c r="S44" i="18"/>
  <c r="S23" i="18"/>
  <c r="AG23" i="17"/>
  <c r="AG44" i="17"/>
  <c r="AG33" i="17"/>
  <c r="T45" i="16"/>
  <c r="T51" i="16" s="1"/>
  <c r="T34" i="16"/>
  <c r="T40" i="16" s="1"/>
  <c r="T24" i="16"/>
  <c r="AS35" i="18"/>
  <c r="AS39" i="18"/>
  <c r="AU39" i="16"/>
  <c r="AU35" i="16"/>
  <c r="P50" i="18"/>
  <c r="P46" i="18"/>
  <c r="F23" i="17"/>
  <c r="F44" i="17"/>
  <c r="F33" i="17"/>
  <c r="E45" i="17"/>
  <c r="E51" i="17" s="1"/>
  <c r="E24" i="17"/>
  <c r="E34" i="17"/>
  <c r="E40" i="17" s="1"/>
  <c r="J35" i="18"/>
  <c r="J39" i="18"/>
  <c r="AE39" i="17"/>
  <c r="AE35" i="17"/>
  <c r="N46" i="17"/>
  <c r="N50" i="17"/>
  <c r="AT50" i="18"/>
  <c r="AT46" i="18"/>
  <c r="E45" i="18"/>
  <c r="E51" i="18" s="1"/>
  <c r="E24" i="18"/>
  <c r="E34" i="18"/>
  <c r="E40" i="18" s="1"/>
  <c r="AC46" i="16"/>
  <c r="AC50" i="16"/>
  <c r="Q35" i="17"/>
  <c r="AO46" i="18"/>
  <c r="AO50" i="18"/>
  <c r="AF35" i="18"/>
  <c r="AF39" i="18"/>
  <c r="AD46" i="16"/>
  <c r="AD50" i="16"/>
  <c r="AN24" i="17"/>
  <c r="AN45" i="17"/>
  <c r="AN51" i="17" s="1"/>
  <c r="AN34" i="17"/>
  <c r="AN40" i="17" s="1"/>
  <c r="AJ39" i="17"/>
  <c r="AJ35" i="17"/>
  <c r="G46" i="18"/>
  <c r="G50" i="18"/>
  <c r="AT39" i="18"/>
  <c r="AT35" i="18"/>
  <c r="L39" i="17"/>
  <c r="L35" i="17"/>
  <c r="E44" i="18"/>
  <c r="E23" i="18"/>
  <c r="E33" i="18"/>
  <c r="AW39" i="16"/>
  <c r="AW35" i="16"/>
  <c r="AU35" i="17"/>
  <c r="AU39" i="17"/>
  <c r="L39" i="18"/>
  <c r="L35" i="18"/>
  <c r="AM24" i="18"/>
  <c r="AM45" i="18"/>
  <c r="AM51" i="18" s="1"/>
  <c r="AM34" i="18"/>
  <c r="AM40" i="18" s="1"/>
  <c r="G45" i="16"/>
  <c r="G51" i="16" s="1"/>
  <c r="G34" i="16"/>
  <c r="G40" i="16" s="1"/>
  <c r="G24" i="16"/>
  <c r="AY46" i="18"/>
  <c r="AY50" i="18"/>
  <c r="W34" i="17"/>
  <c r="W40" i="17" s="1"/>
  <c r="W24" i="17"/>
  <c r="W45" i="17"/>
  <c r="W51" i="17" s="1"/>
  <c r="AT44" i="17"/>
  <c r="AT33" i="17"/>
  <c r="AT23" i="17"/>
  <c r="AP46" i="17"/>
  <c r="AP50" i="17"/>
  <c r="I39" i="16"/>
  <c r="I35" i="16"/>
  <c r="AN46" i="18"/>
  <c r="AN50" i="18"/>
  <c r="P35" i="16"/>
  <c r="P39" i="16"/>
  <c r="AL46" i="16"/>
  <c r="AL50" i="16"/>
  <c r="M46" i="18"/>
  <c r="AS46" i="17"/>
  <c r="AS50" i="17"/>
  <c r="AP45" i="16"/>
  <c r="AP51" i="16" s="1"/>
  <c r="AP34" i="16"/>
  <c r="AP40" i="16" s="1"/>
  <c r="AP24" i="16"/>
  <c r="AY45" i="17"/>
  <c r="AY51" i="17" s="1"/>
  <c r="AY24" i="17"/>
  <c r="AY34" i="17"/>
  <c r="AY40" i="17" s="1"/>
  <c r="AA39" i="17"/>
  <c r="AO35" i="16"/>
  <c r="AO39" i="16"/>
  <c r="Q46" i="17"/>
  <c r="M45" i="17"/>
  <c r="M24" i="17"/>
  <c r="M34" i="17"/>
  <c r="O34" i="17"/>
  <c r="O40" i="17" s="1"/>
  <c r="O24" i="17"/>
  <c r="O45" i="17"/>
  <c r="O51" i="17" s="1"/>
  <c r="AN45" i="16"/>
  <c r="AN51" i="16" s="1"/>
  <c r="AN24" i="16"/>
  <c r="AN34" i="16"/>
  <c r="AN40" i="16" s="1"/>
  <c r="AR50" i="17"/>
  <c r="AR46" i="17"/>
  <c r="AK35" i="16"/>
  <c r="AK39" i="16"/>
  <c r="AN33" i="17"/>
  <c r="AN23" i="17"/>
  <c r="AN44" i="17"/>
  <c r="W46" i="18"/>
  <c r="W50" i="18"/>
  <c r="AR46" i="18"/>
  <c r="AR50" i="18"/>
  <c r="K34" i="17"/>
  <c r="K40" i="17" s="1"/>
  <c r="K24" i="17"/>
  <c r="K45" i="17"/>
  <c r="K51" i="17" s="1"/>
  <c r="AZ22" i="17"/>
  <c r="D24" i="17"/>
  <c r="D45" i="17"/>
  <c r="D51" i="17" s="1"/>
  <c r="D34" i="17"/>
  <c r="D40" i="17" s="1"/>
  <c r="AI50" i="17"/>
  <c r="AI46" i="17"/>
  <c r="AT35" i="16"/>
  <c r="AT39" i="16"/>
  <c r="K34" i="18"/>
  <c r="K40" i="18" s="1"/>
  <c r="K24" i="18"/>
  <c r="K45" i="18"/>
  <c r="K51" i="18" s="1"/>
  <c r="AY46" i="16"/>
  <c r="AY50" i="16"/>
  <c r="AM35" i="16"/>
  <c r="AM39" i="16"/>
  <c r="V35" i="17"/>
  <c r="V39" i="17"/>
  <c r="AJ46" i="18"/>
  <c r="AJ50" i="18"/>
  <c r="AH35" i="16"/>
  <c r="AH39" i="16"/>
  <c r="AD50" i="18"/>
  <c r="AD46" i="18"/>
  <c r="D50" i="17"/>
  <c r="D46" i="17"/>
  <c r="AI35" i="18"/>
  <c r="AI39" i="18"/>
  <c r="O45" i="16"/>
  <c r="O51" i="16" s="1"/>
  <c r="O34" i="16"/>
  <c r="O40" i="16" s="1"/>
  <c r="O24" i="16"/>
  <c r="R35" i="18"/>
  <c r="R39" i="18"/>
  <c r="H35" i="18"/>
  <c r="H39" i="18"/>
  <c r="AJ35" i="18"/>
  <c r="AJ39" i="18"/>
  <c r="F35" i="18"/>
  <c r="F39" i="18"/>
  <c r="G39" i="18"/>
  <c r="G35" i="18"/>
  <c r="W44" i="17"/>
  <c r="W33" i="17"/>
  <c r="W23" i="17"/>
  <c r="V50" i="18"/>
  <c r="V46" i="18"/>
  <c r="G30" i="17"/>
  <c r="H27" i="17"/>
  <c r="AW46" i="17"/>
  <c r="AW50" i="17"/>
  <c r="AB46" i="18"/>
  <c r="AB50" i="18"/>
  <c r="AQ46" i="16"/>
  <c r="AQ50" i="16"/>
  <c r="L35" i="16"/>
  <c r="L39" i="16"/>
  <c r="T46" i="18"/>
  <c r="T50" i="18"/>
  <c r="W39" i="18"/>
  <c r="W35" i="18"/>
  <c r="AF34" i="17"/>
  <c r="AF40" i="17" s="1"/>
  <c r="AF24" i="17"/>
  <c r="AF45" i="17"/>
  <c r="AF51" i="17" s="1"/>
  <c r="X24" i="17"/>
  <c r="X45" i="17"/>
  <c r="X34" i="17"/>
  <c r="AH35" i="17"/>
  <c r="AC35" i="16"/>
  <c r="AC39" i="16"/>
  <c r="V34" i="16"/>
  <c r="V40" i="16" s="1"/>
  <c r="V24" i="16"/>
  <c r="V45" i="16"/>
  <c r="V51" i="16" s="1"/>
  <c r="AM23" i="18"/>
  <c r="AM44" i="18"/>
  <c r="AM33" i="18"/>
  <c r="G33" i="16"/>
  <c r="G23" i="16"/>
  <c r="G44" i="16"/>
  <c r="AT46" i="16"/>
  <c r="AT50" i="16"/>
  <c r="AT45" i="17"/>
  <c r="AT51" i="17" s="1"/>
  <c r="AT24" i="17"/>
  <c r="AT34" i="17"/>
  <c r="AT40" i="17" s="1"/>
  <c r="AP35" i="17"/>
  <c r="AP39" i="17"/>
  <c r="I46" i="16"/>
  <c r="I50" i="16"/>
  <c r="AY35" i="16"/>
  <c r="AY39" i="16"/>
  <c r="AG35" i="18"/>
  <c r="AG39" i="18"/>
  <c r="AN35" i="18"/>
  <c r="AN39" i="18"/>
  <c r="P50" i="16"/>
  <c r="P46" i="16"/>
  <c r="AM50" i="16"/>
  <c r="AM46" i="16"/>
  <c r="O39" i="18"/>
  <c r="O35" i="18"/>
  <c r="AB35" i="18"/>
  <c r="AB39" i="18"/>
  <c r="AS39" i="17"/>
  <c r="AS35" i="17"/>
  <c r="AX23" i="17"/>
  <c r="AX44" i="17"/>
  <c r="AX33" i="17"/>
  <c r="AP44" i="16"/>
  <c r="AP23" i="16"/>
  <c r="AP33" i="16"/>
  <c r="AY44" i="17"/>
  <c r="AY33" i="17"/>
  <c r="AY23" i="17"/>
  <c r="AA46" i="17"/>
  <c r="AA50" i="17"/>
  <c r="AO46" i="16"/>
  <c r="AO50" i="16"/>
  <c r="M34" i="16"/>
  <c r="M40" i="16" s="1"/>
  <c r="M45" i="16"/>
  <c r="M51" i="16" s="1"/>
  <c r="M24" i="16"/>
  <c r="Y50" i="17"/>
  <c r="Y46" i="17"/>
  <c r="J46" i="17"/>
  <c r="J50" i="17"/>
  <c r="AU34" i="17"/>
  <c r="AU40" i="17" s="1"/>
  <c r="AU24" i="17"/>
  <c r="AU45" i="17"/>
  <c r="AU51" i="17" s="1"/>
  <c r="AD22" i="17"/>
  <c r="AD21" i="17"/>
  <c r="O44" i="17"/>
  <c r="O23" i="17"/>
  <c r="O33" i="17"/>
  <c r="T35" i="18"/>
  <c r="T39" i="18"/>
  <c r="AW50" i="18"/>
  <c r="AW46" i="18"/>
  <c r="H35" i="16"/>
  <c r="H39" i="16"/>
  <c r="AD35" i="18"/>
  <c r="AD39" i="18"/>
  <c r="AU50" i="16"/>
  <c r="AU46" i="16"/>
  <c r="K44" i="17"/>
  <c r="K23" i="17"/>
  <c r="K33" i="17"/>
  <c r="AJ46" i="17"/>
  <c r="AJ50" i="17"/>
  <c r="AU13" i="18"/>
  <c r="AZ10" i="18"/>
  <c r="Z23" i="16"/>
  <c r="Z33" i="16"/>
  <c r="Z44" i="16"/>
  <c r="G27" i="18"/>
  <c r="F30" i="18"/>
  <c r="AL35" i="17"/>
  <c r="AL39" i="17"/>
  <c r="N35" i="17"/>
  <c r="N39" i="17"/>
  <c r="G44" i="17"/>
  <c r="G33" i="17"/>
  <c r="G23" i="17"/>
  <c r="Q46" i="18"/>
  <c r="Q50" i="18"/>
  <c r="K33" i="18"/>
  <c r="K44" i="18"/>
  <c r="K23" i="18"/>
  <c r="X46" i="16"/>
  <c r="X50" i="16"/>
  <c r="R46" i="16"/>
  <c r="R50" i="16"/>
  <c r="AJ33" i="16"/>
  <c r="AJ23" i="16"/>
  <c r="AJ44" i="16"/>
  <c r="AI34" i="16"/>
  <c r="AI40" i="16" s="1"/>
  <c r="AI24" i="16"/>
  <c r="AI45" i="16"/>
  <c r="AI51" i="16" s="1"/>
  <c r="T44" i="16"/>
  <c r="T33" i="16"/>
  <c r="T23" i="16"/>
  <c r="S46" i="17"/>
  <c r="S50" i="17"/>
  <c r="AI34" i="17"/>
  <c r="AI40" i="17" s="1"/>
  <c r="AI45" i="17"/>
  <c r="AI51" i="17" s="1"/>
  <c r="AI24" i="17"/>
  <c r="W46" i="16"/>
  <c r="W50" i="16"/>
  <c r="D39" i="17"/>
  <c r="D35" i="17"/>
  <c r="H35" i="17"/>
  <c r="H39" i="17"/>
  <c r="L50" i="17"/>
  <c r="L46" i="17"/>
  <c r="AM46" i="17"/>
  <c r="AM50" i="17"/>
  <c r="K23" i="16"/>
  <c r="K44" i="16"/>
  <c r="K33" i="16"/>
  <c r="N50" i="18"/>
  <c r="N46" i="18"/>
  <c r="I46" i="17"/>
  <c r="AA33" i="18"/>
  <c r="AA44" i="18"/>
  <c r="AA23" i="18"/>
  <c r="AN44" i="16"/>
  <c r="AN23" i="16"/>
  <c r="AN33" i="16"/>
  <c r="AB35" i="17"/>
  <c r="AB39" i="17"/>
  <c r="AA35" i="16"/>
  <c r="AA39" i="16"/>
  <c r="AP35" i="18"/>
  <c r="AP39" i="18"/>
  <c r="AO24" i="17"/>
  <c r="AO34" i="17"/>
  <c r="AO40" i="17" s="1"/>
  <c r="AO45" i="17"/>
  <c r="AO51" i="17" s="1"/>
  <c r="Z45" i="16"/>
  <c r="Z51" i="16" s="1"/>
  <c r="Z34" i="16"/>
  <c r="Z40" i="16" s="1"/>
  <c r="Z24" i="16"/>
  <c r="V23" i="16"/>
  <c r="V33" i="16"/>
  <c r="V44" i="16"/>
  <c r="AI39" i="17"/>
  <c r="AY35" i="18"/>
  <c r="AY39" i="18"/>
  <c r="AL50" i="18"/>
  <c r="AL46" i="18"/>
  <c r="AB44" i="16"/>
  <c r="AB23" i="16"/>
  <c r="AB33" i="16"/>
  <c r="AG46" i="18"/>
  <c r="AG50" i="18"/>
  <c r="R35" i="16"/>
  <c r="R39" i="16"/>
  <c r="AL35" i="16"/>
  <c r="AL39" i="16"/>
  <c r="O46" i="18"/>
  <c r="O50" i="18"/>
  <c r="S34" i="18"/>
  <c r="S40" i="18" s="1"/>
  <c r="S24" i="18"/>
  <c r="S45" i="18"/>
  <c r="S51" i="18" s="1"/>
  <c r="AX45" i="17"/>
  <c r="AX51" i="17" s="1"/>
  <c r="AX24" i="17"/>
  <c r="AX34" i="17"/>
  <c r="AX40" i="17" s="1"/>
  <c r="V46" i="17"/>
  <c r="V50" i="17"/>
  <c r="J50" i="18"/>
  <c r="J46" i="18"/>
  <c r="AF50" i="17"/>
  <c r="AF46" i="17"/>
  <c r="M33" i="16"/>
  <c r="M23" i="16"/>
  <c r="M44" i="16"/>
  <c r="U46" i="18"/>
  <c r="Y39" i="17"/>
  <c r="Y35" i="17"/>
  <c r="S39" i="17"/>
  <c r="S35" i="17"/>
  <c r="J35" i="17"/>
  <c r="J39" i="17"/>
  <c r="U23" i="16"/>
  <c r="U44" i="16"/>
  <c r="U33" i="16"/>
  <c r="AC46" i="18"/>
  <c r="AS46" i="18"/>
  <c r="AS50" i="18"/>
  <c r="AR39" i="17"/>
  <c r="AR35" i="17"/>
  <c r="AW39" i="18"/>
  <c r="AW35" i="18"/>
  <c r="W35" i="16"/>
  <c r="W39" i="16"/>
  <c r="H50" i="16"/>
  <c r="H46" i="16"/>
  <c r="AV45" i="17"/>
  <c r="AV51" i="17" s="1"/>
  <c r="AV24" i="17"/>
  <c r="AV34" i="17"/>
  <c r="AV40" i="17" s="1"/>
  <c r="AH46" i="16"/>
  <c r="AH50" i="16"/>
  <c r="AF50" i="16"/>
  <c r="AF46" i="16"/>
  <c r="K50" i="16" l="1"/>
  <c r="K46" i="16"/>
  <c r="K39" i="18"/>
  <c r="K35" i="18"/>
  <c r="AP46" i="16"/>
  <c r="AP50" i="16"/>
  <c r="AM35" i="18"/>
  <c r="AM39" i="18"/>
  <c r="E46" i="18"/>
  <c r="E50" i="18"/>
  <c r="AQ46" i="17"/>
  <c r="AQ50" i="17"/>
  <c r="M46" i="16"/>
  <c r="M50" i="16"/>
  <c r="V50" i="16"/>
  <c r="V46" i="16"/>
  <c r="AN35" i="16"/>
  <c r="AN39" i="16"/>
  <c r="AP39" i="16"/>
  <c r="AP35" i="16"/>
  <c r="M40" i="17"/>
  <c r="M35" i="17"/>
  <c r="E39" i="18"/>
  <c r="E35" i="18"/>
  <c r="Q50" i="16"/>
  <c r="Q46" i="16"/>
  <c r="P46" i="17"/>
  <c r="P50" i="17"/>
  <c r="AQ35" i="17"/>
  <c r="AQ39" i="17"/>
  <c r="AV50" i="17"/>
  <c r="AV46" i="17"/>
  <c r="AB50" i="16"/>
  <c r="AB46" i="16"/>
  <c r="V39" i="16"/>
  <c r="V35" i="16"/>
  <c r="K35" i="16"/>
  <c r="K39" i="16"/>
  <c r="AJ50" i="16"/>
  <c r="AJ46" i="16"/>
  <c r="K46" i="18"/>
  <c r="K50" i="18"/>
  <c r="G39" i="16"/>
  <c r="G35" i="16"/>
  <c r="I30" i="16"/>
  <c r="J27" i="16"/>
  <c r="AV35" i="17"/>
  <c r="AV39" i="17"/>
  <c r="AV21" i="18"/>
  <c r="AV22" i="18"/>
  <c r="AX39" i="17"/>
  <c r="AX35" i="17"/>
  <c r="AX39" i="16"/>
  <c r="AX35" i="16"/>
  <c r="AX50" i="17"/>
  <c r="AX46" i="17"/>
  <c r="AT35" i="17"/>
  <c r="AT39" i="17"/>
  <c r="AA39" i="18"/>
  <c r="AA35" i="18"/>
  <c r="T46" i="16"/>
  <c r="T50" i="16"/>
  <c r="H27" i="18"/>
  <c r="G30" i="18"/>
  <c r="K35" i="17"/>
  <c r="K39" i="17"/>
  <c r="AD23" i="17"/>
  <c r="AZ23" i="17" s="1"/>
  <c r="AD44" i="17"/>
  <c r="AD33" i="17"/>
  <c r="I27" i="17"/>
  <c r="H30" i="17"/>
  <c r="AN39" i="17"/>
  <c r="AN35" i="17"/>
  <c r="AT46" i="17"/>
  <c r="AT50" i="17"/>
  <c r="U46" i="17"/>
  <c r="U50" i="17"/>
  <c r="AX46" i="16"/>
  <c r="AX50" i="16"/>
  <c r="O46" i="16"/>
  <c r="O50" i="16"/>
  <c r="M39" i="16"/>
  <c r="M35" i="16"/>
  <c r="AG39" i="17"/>
  <c r="AG35" i="17"/>
  <c r="AJ39" i="16"/>
  <c r="AJ35" i="16"/>
  <c r="AM46" i="18"/>
  <c r="AM50" i="18"/>
  <c r="AN50" i="17"/>
  <c r="AN46" i="17"/>
  <c r="AG46" i="17"/>
  <c r="AG50" i="17"/>
  <c r="AA46" i="18"/>
  <c r="AA50" i="18"/>
  <c r="T35" i="16"/>
  <c r="T39" i="16"/>
  <c r="O50" i="17"/>
  <c r="O46" i="17"/>
  <c r="AI35" i="16"/>
  <c r="AI39" i="16"/>
  <c r="U39" i="16"/>
  <c r="U35" i="16"/>
  <c r="G39" i="17"/>
  <c r="G35" i="17"/>
  <c r="Z46" i="16"/>
  <c r="Z50" i="16"/>
  <c r="AD34" i="17"/>
  <c r="AD40" i="17" s="1"/>
  <c r="AD24" i="17"/>
  <c r="AD45" i="17"/>
  <c r="AD51" i="17" s="1"/>
  <c r="AY35" i="17"/>
  <c r="AY39" i="17"/>
  <c r="AA35" i="17"/>
  <c r="F35" i="17"/>
  <c r="F39" i="17"/>
  <c r="S46" i="18"/>
  <c r="S50" i="18"/>
  <c r="AU46" i="17"/>
  <c r="AO35" i="17"/>
  <c r="E24" i="16"/>
  <c r="AZ24" i="16" s="1"/>
  <c r="E34" i="16"/>
  <c r="E40" i="16" s="1"/>
  <c r="E45" i="16"/>
  <c r="E51" i="16" s="1"/>
  <c r="AZ22" i="16"/>
  <c r="AN46" i="16"/>
  <c r="AN50" i="16"/>
  <c r="O35" i="17"/>
  <c r="O39" i="17"/>
  <c r="W39" i="17"/>
  <c r="W35" i="17"/>
  <c r="AZ24" i="17"/>
  <c r="M51" i="17"/>
  <c r="M46" i="17"/>
  <c r="Q35" i="16"/>
  <c r="Q39" i="16"/>
  <c r="E46" i="17"/>
  <c r="E50" i="17"/>
  <c r="X40" i="17"/>
  <c r="X35" i="17"/>
  <c r="W50" i="17"/>
  <c r="W46" i="17"/>
  <c r="AI50" i="16"/>
  <c r="AI46" i="16"/>
  <c r="O35" i="16"/>
  <c r="O39" i="16"/>
  <c r="X51" i="17"/>
  <c r="X46" i="17"/>
  <c r="E35" i="17"/>
  <c r="E39" i="17"/>
  <c r="U50" i="16"/>
  <c r="U46" i="16"/>
  <c r="AB39" i="16"/>
  <c r="AB35" i="16"/>
  <c r="AI35" i="17"/>
  <c r="G46" i="17"/>
  <c r="G50" i="17"/>
  <c r="Z35" i="16"/>
  <c r="Z39" i="16"/>
  <c r="K46" i="17"/>
  <c r="K50" i="17"/>
  <c r="AY46" i="17"/>
  <c r="AY50" i="17"/>
  <c r="G46" i="16"/>
  <c r="G50" i="16"/>
  <c r="F46" i="17"/>
  <c r="F50" i="17"/>
  <c r="S39" i="18"/>
  <c r="S35" i="18"/>
  <c r="U35" i="17"/>
  <c r="U39" i="17"/>
  <c r="P39" i="17"/>
  <c r="P35" i="17"/>
  <c r="E23" i="16"/>
  <c r="AZ23" i="16" s="1"/>
  <c r="E44" i="16"/>
  <c r="E33" i="16"/>
  <c r="AZ21" i="16"/>
  <c r="AD46" i="17" l="1"/>
  <c r="AD50" i="17"/>
  <c r="AV24" i="18"/>
  <c r="AZ24" i="18" s="1"/>
  <c r="AV45" i="18"/>
  <c r="AV51" i="18" s="1"/>
  <c r="AV34" i="18"/>
  <c r="AV40" i="18" s="1"/>
  <c r="AZ22" i="18"/>
  <c r="AV44" i="18"/>
  <c r="AV23" i="18"/>
  <c r="AZ23" i="18" s="1"/>
  <c r="AV33" i="18"/>
  <c r="AZ21" i="18"/>
  <c r="E39" i="16"/>
  <c r="E35" i="16"/>
  <c r="I30" i="17"/>
  <c r="J27" i="17"/>
  <c r="I27" i="18"/>
  <c r="H30" i="18"/>
  <c r="E46" i="16"/>
  <c r="E50" i="16"/>
  <c r="AD35" i="17"/>
  <c r="AD39" i="17"/>
  <c r="K27" i="16"/>
  <c r="J30" i="16"/>
  <c r="J30" i="17" l="1"/>
  <c r="K27" i="17"/>
  <c r="AV46" i="18"/>
  <c r="AV50" i="18"/>
  <c r="L27" i="16"/>
  <c r="K30" i="16"/>
  <c r="AV35" i="18"/>
  <c r="AV39" i="18"/>
  <c r="I30" i="18"/>
  <c r="J27" i="18"/>
  <c r="K27" i="18" l="1"/>
  <c r="J30" i="18"/>
  <c r="K30" i="17"/>
  <c r="L27" i="17"/>
  <c r="M27" i="16"/>
  <c r="L30" i="16"/>
  <c r="M27" i="17" l="1"/>
  <c r="L30" i="17"/>
  <c r="K30" i="18"/>
  <c r="L27" i="18"/>
  <c r="M30" i="16"/>
  <c r="N27" i="16"/>
  <c r="M27" i="18" l="1"/>
  <c r="L30" i="18"/>
  <c r="M30" i="17"/>
  <c r="N27" i="17"/>
  <c r="O27" i="16"/>
  <c r="N30" i="16"/>
  <c r="O27" i="17" l="1"/>
  <c r="N30" i="17"/>
  <c r="N27" i="18"/>
  <c r="M30" i="18"/>
  <c r="P27" i="16"/>
  <c r="O30" i="16"/>
  <c r="O27" i="18" l="1"/>
  <c r="N30" i="18"/>
  <c r="O30" i="17"/>
  <c r="P27" i="17"/>
  <c r="P30" i="16"/>
  <c r="Q27" i="16"/>
  <c r="P30" i="17" l="1"/>
  <c r="Q27" i="17"/>
  <c r="P27" i="18"/>
  <c r="O30" i="18"/>
  <c r="Q30" i="16"/>
  <c r="R27" i="16"/>
  <c r="Q27" i="18" l="1"/>
  <c r="P30" i="18"/>
  <c r="R27" i="17"/>
  <c r="Q30" i="17"/>
  <c r="R30" i="16"/>
  <c r="S27" i="16"/>
  <c r="S27" i="17" l="1"/>
  <c r="R30" i="17"/>
  <c r="Q30" i="18"/>
  <c r="R27" i="18"/>
  <c r="T27" i="16"/>
  <c r="S30" i="16"/>
  <c r="S27" i="18" l="1"/>
  <c r="R30" i="18"/>
  <c r="S30" i="17"/>
  <c r="T27" i="17"/>
  <c r="T30" i="16"/>
  <c r="U27" i="16"/>
  <c r="U27" i="17" l="1"/>
  <c r="T30" i="17"/>
  <c r="S30" i="18"/>
  <c r="T27" i="18"/>
  <c r="U30" i="16"/>
  <c r="V27" i="16"/>
  <c r="U27" i="18" l="1"/>
  <c r="T30" i="18"/>
  <c r="U30" i="17"/>
  <c r="V27" i="17"/>
  <c r="W27" i="16"/>
  <c r="V30" i="16"/>
  <c r="W27" i="17" l="1"/>
  <c r="V30" i="17"/>
  <c r="V27" i="18"/>
  <c r="U30" i="18"/>
  <c r="W30" i="16"/>
  <c r="X27" i="16"/>
  <c r="W27" i="18" l="1"/>
  <c r="V30" i="18"/>
  <c r="W30" i="17"/>
  <c r="X27" i="17"/>
  <c r="Y27" i="16"/>
  <c r="X30" i="16"/>
  <c r="X30" i="17" l="1"/>
  <c r="Y27" i="17"/>
  <c r="X27" i="18"/>
  <c r="W30" i="18"/>
  <c r="Y30" i="16"/>
  <c r="Z27" i="16"/>
  <c r="Y27" i="18" l="1"/>
  <c r="X30" i="18"/>
  <c r="Y30" i="17"/>
  <c r="Z27" i="17"/>
  <c r="Z30" i="16"/>
  <c r="AA27" i="16"/>
  <c r="Z30" i="17" l="1"/>
  <c r="AA27" i="17"/>
  <c r="Y30" i="18"/>
  <c r="Z27" i="18"/>
  <c r="AB27" i="16"/>
  <c r="AA30" i="16"/>
  <c r="AA27" i="18" l="1"/>
  <c r="Z30" i="18"/>
  <c r="AB27" i="17"/>
  <c r="AA30" i="17"/>
  <c r="AB30" i="16"/>
  <c r="AC27" i="16"/>
  <c r="AC27" i="17" l="1"/>
  <c r="AB30" i="17"/>
  <c r="AD27" i="16"/>
  <c r="AC30" i="16"/>
  <c r="AA30" i="18"/>
  <c r="AB27" i="18"/>
  <c r="AC30" i="17" l="1"/>
  <c r="AD27" i="17"/>
  <c r="AC27" i="18"/>
  <c r="AB30" i="18"/>
  <c r="AD30" i="16"/>
  <c r="AE27" i="16"/>
  <c r="AF27" i="16" l="1"/>
  <c r="AE30" i="16"/>
  <c r="AD27" i="18"/>
  <c r="AC30" i="18"/>
  <c r="AE27" i="17"/>
  <c r="AD30" i="17"/>
  <c r="AF30" i="16" l="1"/>
  <c r="AG27" i="16"/>
  <c r="AE30" i="17"/>
  <c r="AF27" i="17"/>
  <c r="AE27" i="18"/>
  <c r="AD30" i="18"/>
  <c r="AF27" i="18" l="1"/>
  <c r="AE30" i="18"/>
  <c r="AF30" i="17"/>
  <c r="AG27" i="17"/>
  <c r="AG30" i="16"/>
  <c r="AH27" i="16"/>
  <c r="AG27" i="18" l="1"/>
  <c r="AF30" i="18"/>
  <c r="AH30" i="16"/>
  <c r="AI27" i="16"/>
  <c r="AG30" i="17"/>
  <c r="AH27" i="17"/>
  <c r="AG30" i="18" l="1"/>
  <c r="AH27" i="18"/>
  <c r="AI27" i="17"/>
  <c r="AH30" i="17"/>
  <c r="AI30" i="16"/>
  <c r="AJ27" i="16"/>
  <c r="AK27" i="16" l="1"/>
  <c r="AJ30" i="16"/>
  <c r="AJ27" i="17"/>
  <c r="AI30" i="17"/>
  <c r="AI27" i="18"/>
  <c r="AH30" i="18"/>
  <c r="AK30" i="16" l="1"/>
  <c r="AL27" i="16"/>
  <c r="AI30" i="18"/>
  <c r="AJ27" i="18"/>
  <c r="AJ30" i="17"/>
  <c r="AK27" i="17"/>
  <c r="AK30" i="17" l="1"/>
  <c r="AL27" i="17"/>
  <c r="AJ30" i="18"/>
  <c r="AK27" i="18"/>
  <c r="AL30" i="16"/>
  <c r="AM27" i="16"/>
  <c r="AN27" i="16" l="1"/>
  <c r="AM30" i="16"/>
  <c r="AL27" i="18"/>
  <c r="AK30" i="18"/>
  <c r="AL30" i="17"/>
  <c r="AM27" i="17"/>
  <c r="AN30" i="16" l="1"/>
  <c r="AO27" i="16"/>
  <c r="AN27" i="17"/>
  <c r="AM30" i="17"/>
  <c r="AL30" i="18"/>
  <c r="AM27" i="18"/>
  <c r="AM30" i="18" l="1"/>
  <c r="AN27" i="18"/>
  <c r="AN30" i="17"/>
  <c r="AO27" i="17"/>
  <c r="AP27" i="16"/>
  <c r="AO30" i="16"/>
  <c r="AQ27" i="16" l="1"/>
  <c r="AP30" i="16"/>
  <c r="AO30" i="17"/>
  <c r="AP27" i="17"/>
  <c r="AO27" i="18"/>
  <c r="AN30" i="18"/>
  <c r="AQ30" i="16" l="1"/>
  <c r="AR27" i="16"/>
  <c r="AO30" i="18"/>
  <c r="AP27" i="18"/>
  <c r="AQ27" i="17"/>
  <c r="AP30" i="17"/>
  <c r="AQ30" i="17" l="1"/>
  <c r="AR27" i="17"/>
  <c r="AQ27" i="18"/>
  <c r="AP30" i="18"/>
  <c r="AR30" i="16"/>
  <c r="AS27" i="16"/>
  <c r="AS30" i="16" l="1"/>
  <c r="AT27" i="16"/>
  <c r="AQ30" i="18"/>
  <c r="AR27" i="18"/>
  <c r="AS27" i="17"/>
  <c r="AR30" i="17"/>
  <c r="AT27" i="17" l="1"/>
  <c r="AS30" i="17"/>
  <c r="AR30" i="18"/>
  <c r="AS27" i="18"/>
  <c r="AT30" i="16"/>
  <c r="AU27" i="16"/>
  <c r="AT30" i="17" l="1"/>
  <c r="AU27" i="17"/>
  <c r="AV27" i="16"/>
  <c r="AU30" i="16"/>
  <c r="AT27" i="18"/>
  <c r="AS30" i="18"/>
  <c r="AU27" i="18" l="1"/>
  <c r="AT30" i="18"/>
  <c r="AV30" i="16"/>
  <c r="AW27" i="16"/>
  <c r="AV27" i="17"/>
  <c r="AU30" i="17"/>
  <c r="AV27" i="18" l="1"/>
  <c r="AU30" i="18"/>
  <c r="AV30" i="17"/>
  <c r="AW27" i="17"/>
  <c r="AX27" i="16"/>
  <c r="AW30" i="16"/>
  <c r="AW27" i="18" l="1"/>
  <c r="AV30" i="18"/>
  <c r="AY27" i="16"/>
  <c r="AY30" i="16" s="1"/>
  <c r="AZ30" i="16" s="1"/>
  <c r="AX30" i="16"/>
  <c r="AW30" i="17"/>
  <c r="AX27" i="17"/>
  <c r="AW30" i="18" l="1"/>
  <c r="AX27" i="18"/>
  <c r="AY27" i="17"/>
  <c r="AY30" i="17" s="1"/>
  <c r="AZ30" i="17" s="1"/>
  <c r="AX30" i="17"/>
  <c r="AX30" i="18" l="1"/>
  <c r="AY27" i="18"/>
  <c r="AY30" i="18" s="1"/>
  <c r="AZ30" i="18" s="1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 s="1"/>
  <c r="G41" i="5"/>
  <c r="H41" i="5"/>
  <c r="G42" i="5"/>
  <c r="H42" i="5"/>
  <c r="G43" i="5"/>
  <c r="H43" i="5"/>
  <c r="G44" i="5"/>
  <c r="H44" i="5" s="1"/>
  <c r="G45" i="5"/>
  <c r="H45" i="5"/>
  <c r="G46" i="5"/>
  <c r="H46" i="5"/>
  <c r="G47" i="5"/>
  <c r="H47" i="5"/>
  <c r="G48" i="5"/>
  <c r="H48" i="5" s="1"/>
  <c r="G49" i="5"/>
  <c r="H49" i="5"/>
  <c r="G50" i="5"/>
  <c r="H50" i="5"/>
  <c r="G51" i="5"/>
  <c r="H51" i="5"/>
  <c r="G52" i="5"/>
  <c r="H52" i="5" s="1"/>
  <c r="G53" i="5"/>
  <c r="H53" i="5"/>
  <c r="G54" i="5"/>
  <c r="H54" i="5"/>
  <c r="G55" i="5"/>
  <c r="H55" i="5"/>
  <c r="G56" i="5"/>
  <c r="H56" i="5" s="1"/>
  <c r="G57" i="5"/>
  <c r="H57" i="5"/>
  <c r="G58" i="5"/>
  <c r="H58" i="5"/>
  <c r="G59" i="5"/>
  <c r="H59" i="5"/>
  <c r="G60" i="5"/>
  <c r="H60" i="5" s="1"/>
  <c r="G61" i="5"/>
  <c r="H61" i="5"/>
  <c r="G62" i="5"/>
  <c r="H62" i="5"/>
  <c r="G63" i="5"/>
  <c r="H63" i="5"/>
  <c r="G64" i="5"/>
  <c r="H64" i="5" s="1"/>
  <c r="G65" i="5"/>
  <c r="H65" i="5"/>
  <c r="G66" i="5"/>
  <c r="H66" i="5"/>
  <c r="G67" i="5"/>
  <c r="H67" i="5"/>
  <c r="G68" i="5"/>
  <c r="H68" i="5" s="1"/>
  <c r="G69" i="5"/>
  <c r="H69" i="5"/>
  <c r="G70" i="5"/>
  <c r="H70" i="5"/>
  <c r="G71" i="5"/>
  <c r="H71" i="5"/>
  <c r="G72" i="5"/>
  <c r="H72" i="5" s="1"/>
  <c r="G73" i="5"/>
  <c r="H73" i="5"/>
  <c r="G74" i="5"/>
  <c r="H74" i="5"/>
  <c r="G75" i="5"/>
  <c r="H75" i="5"/>
  <c r="G76" i="5"/>
  <c r="H76" i="5" s="1"/>
  <c r="G77" i="5"/>
  <c r="H77" i="5"/>
  <c r="G78" i="5"/>
  <c r="H78" i="5"/>
  <c r="G79" i="5"/>
  <c r="H79" i="5"/>
  <c r="G80" i="5"/>
  <c r="H80" i="5" s="1"/>
  <c r="G81" i="5"/>
  <c r="H81" i="5"/>
  <c r="G82" i="5"/>
  <c r="H82" i="5"/>
  <c r="G83" i="5"/>
  <c r="H83" i="5"/>
  <c r="G84" i="5"/>
  <c r="H84" i="5" s="1"/>
  <c r="G85" i="5"/>
  <c r="H85" i="5"/>
  <c r="G86" i="5"/>
  <c r="H86" i="5"/>
  <c r="G87" i="5"/>
  <c r="H87" i="5"/>
  <c r="G88" i="5"/>
  <c r="H88" i="5" s="1"/>
  <c r="G89" i="5"/>
  <c r="H89" i="5"/>
  <c r="G90" i="5"/>
  <c r="H90" i="5"/>
  <c r="G91" i="5"/>
  <c r="H91" i="5"/>
  <c r="G92" i="5"/>
  <c r="H92" i="5" s="1"/>
  <c r="G93" i="5"/>
  <c r="H93" i="5"/>
  <c r="G94" i="5"/>
  <c r="H94" i="5"/>
  <c r="G95" i="5"/>
  <c r="H95" i="5"/>
  <c r="G96" i="5"/>
  <c r="H96" i="5" s="1"/>
  <c r="G97" i="5"/>
  <c r="H97" i="5"/>
  <c r="G98" i="5"/>
  <c r="H98" i="5"/>
  <c r="G99" i="5"/>
  <c r="H99" i="5"/>
  <c r="G100" i="5"/>
  <c r="H100" i="5" s="1"/>
  <c r="G101" i="5"/>
  <c r="H101" i="5"/>
  <c r="G102" i="5"/>
  <c r="H102" i="5"/>
  <c r="G103" i="5"/>
  <c r="H103" i="5"/>
  <c r="G104" i="5"/>
  <c r="H104" i="5" s="1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<sst xmlns="http://schemas.openxmlformats.org/spreadsheetml/2006/main" count="2529" uniqueCount="414">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</sst>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03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5" borderId="0" xfId="0" applyFill="1"/>
    <xf numFmtId="0" fontId="0" fillId="0" borderId="0" xfId="0" applyFill="1"/>
    <xf numFmtId="0" fontId="2" fillId="0" borderId="0" xfId="0" applyFont="1"/>
    <xf numFmtId="0" fontId="2" fillId="0" borderId="0" xfId="0" applyFont="1" applyFill="1"/>
    <xf numFmtId="0" fontId="0" fillId="6" borderId="0" xfId="0" applyFill="1"/>
    <xf numFmtId="0" fontId="0" fillId="0" borderId="0" xfId="0" applyFill="1" applyBorder="1"/>
    <xf numFmtId="0" fontId="0" fillId="0" borderId="5" xfId="0" applyBorder="1"/>
    <xf numFmtId="0" fontId="0" fillId="0" borderId="11" xfId="0" applyBorder="1"/>
    <xf numFmtId="0" fontId="0" fillId="0" borderId="6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right"/>
    </xf>
    <xf numFmtId="0" fontId="0" fillId="0" borderId="8" xfId="0" applyFill="1" applyBorder="1"/>
    <xf numFmtId="0" fontId="0" fillId="5" borderId="13" xfId="0" applyFill="1" applyBorder="1" applyAlignment="1">
      <alignment horizontal="right"/>
    </xf>
    <xf numFmtId="0" fontId="0" fillId="7" borderId="8" xfId="0" applyFill="1" applyBorder="1"/>
    <xf numFmtId="0" fontId="0" fillId="0" borderId="13" xfId="0" applyBorder="1"/>
    <xf numFmtId="0" fontId="0" fillId="5" borderId="0" xfId="0" applyFill="1" applyAlignment="1">
      <alignment horizontal="right"/>
    </xf>
    <xf numFmtId="0" fontId="0" fillId="7" borderId="0" xfId="0" applyFill="1" applyBorder="1"/>
    <xf numFmtId="0" fontId="0" fillId="2" borderId="0" xfId="0" applyFill="1" applyBorder="1"/>
    <xf numFmtId="0" fontId="0" fillId="7" borderId="13" xfId="0" applyFill="1" applyBorder="1"/>
    <xf numFmtId="0" fontId="0" fillId="5" borderId="9" xfId="0" applyFill="1" applyBorder="1" applyAlignment="1">
      <alignment horizontal="right"/>
    </xf>
    <xf numFmtId="0" fontId="0" fillId="7" borderId="9" xfId="0" applyFill="1" applyBorder="1"/>
    <xf numFmtId="0" fontId="0" fillId="0" borderId="9" xfId="0" applyBorder="1"/>
    <xf numFmtId="0" fontId="0" fillId="0" borderId="8" xfId="0" applyBorder="1"/>
    <xf numFmtId="0" fontId="0" fillId="5" borderId="1" xfId="0" applyFill="1" applyBorder="1" applyAlignment="1">
      <alignment horizontal="right"/>
    </xf>
    <xf numFmtId="0" fontId="0" fillId="3" borderId="0" xfId="0" applyFill="1" applyBorder="1"/>
    <xf numFmtId="0" fontId="0" fillId="0" borderId="3" xfId="0" applyBorder="1"/>
    <xf numFmtId="0" fontId="0" fillId="8" borderId="8" xfId="0" applyFill="1" applyBorder="1"/>
    <xf numFmtId="0" fontId="0" fillId="8" borderId="0" xfId="0" applyFill="1" applyBorder="1"/>
    <xf numFmtId="0" fontId="0" fillId="5" borderId="6" xfId="0" applyFill="1" applyBorder="1" applyAlignment="1">
      <alignment horizontal="right"/>
    </xf>
    <xf numFmtId="0" fontId="0" fillId="9" borderId="8" xfId="0" applyFill="1" applyBorder="1" applyAlignment="1">
      <alignment horizontal="right"/>
    </xf>
    <xf numFmtId="0" fontId="0" fillId="5" borderId="13" xfId="0" applyFill="1" applyBorder="1"/>
    <xf numFmtId="10" fontId="0" fillId="0" borderId="13" xfId="0" applyNumberFormat="1" applyBorder="1"/>
    <xf numFmtId="0" fontId="0" fillId="5" borderId="9" xfId="0" applyFill="1" applyBorder="1"/>
    <xf numFmtId="0" fontId="0" fillId="5" borderId="8" xfId="0" applyFill="1" applyBorder="1"/>
    <xf numFmtId="0" fontId="0" fillId="6" borderId="9" xfId="0" applyFill="1" applyBorder="1"/>
    <xf numFmtId="0" fontId="0" fillId="0" borderId="9" xfId="0" applyFill="1" applyBorder="1"/>
    <xf numFmtId="0" fontId="0" fillId="0" borderId="10" xfId="0" applyFill="1" applyBorder="1"/>
    <xf numFmtId="0" fontId="0" fillId="6" borderId="8" xfId="0" applyFill="1" applyBorder="1"/>
    <xf numFmtId="0" fontId="0" fillId="0" borderId="15" xfId="0" applyFill="1" applyBorder="1"/>
    <xf numFmtId="0" fontId="0" fillId="0" borderId="0" xfId="0" applyFill="1" applyBorder="1" applyAlignment="1">
      <alignment horizontal="left"/>
    </xf>
    <xf numFmtId="0" fontId="0" fillId="7" borderId="13" xfId="0" applyFill="1" applyBorder="1" applyAlignment="1">
      <alignment horizontal="right"/>
    </xf>
    <xf numFmtId="0" fontId="0" fillId="0" borderId="13" xfId="0" applyFill="1" applyBorder="1"/>
    <xf numFmtId="0" fontId="4" fillId="0" borderId="9" xfId="0" applyFont="1" applyFill="1" applyBorder="1"/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4" fillId="0" borderId="0" xfId="0" applyFont="1" applyFill="1" applyBorder="1" applyAlignment="1"/>
    <xf numFmtId="0" fontId="4" fillId="5" borderId="13" xfId="0" applyFont="1" applyFill="1" applyBorder="1" applyAlignment="1">
      <alignment horizontal="right"/>
    </xf>
    <xf numFmtId="0" fontId="4" fillId="7" borderId="13" xfId="0" applyFont="1" applyFill="1" applyBorder="1" applyAlignment="1"/>
    <xf numFmtId="0" fontId="0" fillId="0" borderId="5" xfId="0" applyFill="1" applyBorder="1"/>
    <xf numFmtId="0" fontId="1" fillId="0" borderId="0" xfId="0" applyFont="1" applyBorder="1"/>
    <xf numFmtId="0" fontId="0" fillId="0" borderId="9" xfId="0" applyFill="1" applyBorder="1" applyAlignment="1">
      <alignment horizontal="right"/>
    </xf>
    <xf numFmtId="10" fontId="0" fillId="5" borderId="13" xfId="0" applyNumberFormat="1" applyFill="1" applyBorder="1"/>
    <xf numFmtId="0" fontId="0" fillId="5" borderId="0" xfId="0" applyFill="1" applyBorder="1" applyAlignment="1">
      <alignment horizontal="right"/>
    </xf>
    <xf numFmtId="10" fontId="0" fillId="0" borderId="0" xfId="0" applyNumberFormat="1" applyFill="1" applyBorder="1"/>
    <xf numFmtId="0" fontId="0" fillId="0" borderId="12" xfId="0" applyFill="1" applyBorder="1"/>
    <xf numFmtId="0" fontId="0" fillId="5" borderId="8" xfId="0" applyFill="1" applyBorder="1" applyAlignment="1">
      <alignment horizontal="right"/>
    </xf>
    <xf numFmtId="10" fontId="0" fillId="0" borderId="8" xfId="0" applyNumberFormat="1" applyFill="1" applyBorder="1"/>
    <xf numFmtId="0" fontId="0" fillId="6" borderId="9" xfId="0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0" borderId="8" xfId="0" applyNumberFormat="1" applyFill="1" applyBorder="1"/>
    <xf numFmtId="0" fontId="1" fillId="0" borderId="0" xfId="0" applyFont="1" applyFill="1" applyBorder="1" applyAlignment="1"/>
    <xf numFmtId="0" fontId="0" fillId="0" borderId="2" xfId="0" applyBorder="1"/>
    <xf numFmtId="0" fontId="0" fillId="5" borderId="0" xfId="0" applyFill="1" applyBorder="1"/>
    <xf numFmtId="0" fontId="0" fillId="0" borderId="7" xfId="0" applyBorder="1"/>
    <xf numFmtId="0" fontId="0" fillId="0" borderId="4" xfId="0" applyBorder="1"/>
    <xf numFmtId="0" fontId="0" fillId="0" borderId="3" xfId="0" applyFill="1" applyBorder="1"/>
    <xf numFmtId="0" fontId="0" fillId="6" borderId="13" xfId="0" applyFill="1" applyBorder="1" applyAlignment="1">
      <alignment horizontal="right"/>
    </xf>
    <xf numFmtId="0" fontId="0" fillId="10" borderId="0" xfId="0" applyFill="1"/>
    <xf numFmtId="0" fontId="4" fillId="10" borderId="0" xfId="0" applyFont="1" applyFill="1"/>
    <xf numFmtId="0" fontId="4" fillId="0" borderId="0" xfId="0" applyFont="1" applyFill="1"/>
    <xf numFmtId="0" fontId="4" fillId="5" borderId="0" xfId="0" applyFont="1" applyFill="1"/>
    <xf numFmtId="0" fontId="0" fillId="6" borderId="0" xfId="0" applyNumberFormat="1" applyFill="1" applyAlignment="1"/>
    <xf numFmtId="0" fontId="0" fillId="0" borderId="0" xfId="0" applyAlignment="1">
      <alignment horizontal="right"/>
    </xf>
    <xf numFmtId="0" fontId="0" fillId="6" borderId="0" xfId="0" applyFill="1" applyBorder="1"/>
    <xf numFmtId="0" fontId="0" fillId="0" borderId="0" xfId="0" applyNumberFormat="1"/>
    <xf numFmtId="0" fontId="7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NumberFormat="1" applyFont="1" applyAlignment="1">
      <alignment horizontal="left"/>
    </xf>
    <xf numFmtId="1" fontId="0" fillId="0" borderId="10" xfId="0" applyNumberFormat="1" applyBorder="1"/>
    <xf numFmtId="164" fontId="0" fillId="0" borderId="10" xfId="0" applyNumberFormat="1" applyBorder="1"/>
    <xf numFmtId="1" fontId="0" fillId="0" borderId="12" xfId="0" applyNumberFormat="1" applyBorder="1"/>
    <xf numFmtId="164" fontId="0" fillId="0" borderId="12" xfId="0" applyNumberFormat="1" applyBorder="1"/>
    <xf numFmtId="1" fontId="0" fillId="0" borderId="15" xfId="0" applyNumberFormat="1" applyBorder="1"/>
    <xf numFmtId="164" fontId="0" fillId="0" borderId="15" xfId="0" applyNumberFormat="1" applyBorder="1"/>
    <xf numFmtId="164" fontId="0" fillId="0" borderId="13" xfId="0" applyNumberFormat="1" applyBorder="1"/>
    <xf numFmtId="1" fontId="0" fillId="0" borderId="5" xfId="0" applyNumberFormat="1" applyBorder="1"/>
    <xf numFmtId="1" fontId="0" fillId="0" borderId="10" xfId="0" applyNumberFormat="1" applyFill="1" applyBorder="1"/>
    <xf numFmtId="1" fontId="0" fillId="0" borderId="12" xfId="0" applyNumberFormat="1" applyFill="1" applyBorder="1"/>
    <xf numFmtId="1" fontId="0" fillId="0" borderId="15" xfId="0" applyNumberFormat="1" applyFill="1" applyBorder="1"/>
    <xf numFmtId="0" fontId="0" fillId="0" borderId="9" xfId="0" applyBorder="1" applyAlignment="1">
      <alignment horizontal="right"/>
    </xf>
    <xf numFmtId="164" fontId="0" fillId="0" borderId="0" xfId="0" applyNumberFormat="1"/>
    <xf numFmtId="0" fontId="13" fillId="0" borderId="0" xfId="0" applyFont="1"/>
    <xf numFmtId="164" fontId="0" fillId="0" borderId="27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2007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337</v>
      </c>
      <c r="D8">
        <v>2</v>
      </c>
      <c r="E8" t="s">
        <v>338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-348</v>
      </c>
      <c r="D6" s="15">
        <v>1257</v>
      </c>
      <c r="E6" s="15" t="s">
        <v>166</v>
      </c>
      <c r="F6" s="15" t="s">
        <v>6</v>
      </c>
      <c r="G6" s="15">
        <f t="shared" ref="G6:G15" si="0">$D6+$C6</f>
        <v>909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-201</v>
      </c>
      <c r="D10" s="15">
        <v>913</v>
      </c>
      <c r="E10" s="15" t="s">
        <v>166</v>
      </c>
      <c r="F10" s="15" t="s">
        <v>6</v>
      </c>
      <c r="G10" s="15">
        <f t="shared" si="0"/>
        <v>712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-803</v>
      </c>
      <c r="D12" s="15">
        <v>4981</v>
      </c>
      <c r="E12" s="15" t="s">
        <v>166</v>
      </c>
      <c r="F12" s="15" t="s">
        <v>6</v>
      </c>
      <c r="G12" s="15">
        <f t="shared" si="0"/>
        <v>4178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-3</v>
      </c>
      <c r="D21" s="15">
        <v>22</v>
      </c>
      <c r="E21" s="15"/>
      <c r="F21" s="15" t="s">
        <v>6</v>
      </c>
      <c r="G21" s="15">
        <f t="shared" ref="G21:G30" si="2">$D21+$C21</f>
        <v>19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-1</v>
      </c>
      <c r="D25" s="15">
        <v>29</v>
      </c>
      <c r="E25" s="15"/>
      <c r="F25" s="15" t="s">
        <v>6</v>
      </c>
      <c r="G25" s="15">
        <f t="shared" si="2"/>
        <v>28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-27</v>
      </c>
      <c r="D27" s="15">
        <v>112</v>
      </c>
      <c r="E27" s="15"/>
      <c r="F27" s="15" t="s">
        <v>6</v>
      </c>
      <c r="G27" s="15">
        <f t="shared" si="2"/>
        <v>85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163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40000</v>
      </c>
      <c r="E39" s="15" t="s">
        <v>166</v>
      </c>
      <c r="F39" s="15" t="s">
        <v>6</v>
      </c>
      <c r="G39" s="15">
        <f t="shared" si="3"/>
        <v>40000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43000</v>
      </c>
      <c r="E76" s="15" t="s">
        <v>166</v>
      </c>
      <c r="F76" s="15" t="s">
        <v>6</v>
      </c>
      <c r="G76" s="15">
        <f t="shared" si="5"/>
        <v>43000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2645.185908907335</v>
      </c>
      <c r="D6" s="87">
        <v>2645.185908907335</v>
      </c>
      <c r="E6" s="87">
        <v>2645.185908907335</v>
      </c>
      <c r="F6" s="87">
        <v>2645.185908907335</v>
      </c>
      <c r="G6" s="87">
        <v>2645.185908907335</v>
      </c>
      <c r="H6" s="87">
        <v>2645.185908907335</v>
      </c>
      <c r="I6" s="87">
        <v>2645.185908907335</v>
      </c>
      <c r="J6" s="87">
        <v>2645.185908907335</v>
      </c>
      <c r="K6" s="87">
        <v>2645.185908907335</v>
      </c>
      <c r="L6" s="87">
        <v>2645.185908907335</v>
      </c>
      <c r="M6" s="87">
        <v>2645.185908907335</v>
      </c>
      <c r="N6" s="87">
        <v>2645.185908907335</v>
      </c>
    </row>
    <row r="7" spans="2:14" x14ac:dyDescent="0.2">
      <c r="B7" s="36" t="s">
        <v>105</v>
      </c>
      <c r="C7" s="88">
        <v>3298.8255177956808</v>
      </c>
      <c r="D7" s="89">
        <v>3298.8255177956808</v>
      </c>
      <c r="E7" s="89">
        <v>3298.8255177956808</v>
      </c>
      <c r="F7" s="89">
        <v>3298.8255177956808</v>
      </c>
      <c r="G7" s="89">
        <v>3298.8255177956808</v>
      </c>
      <c r="H7" s="89">
        <v>3298.8255177956808</v>
      </c>
      <c r="I7" s="89">
        <v>3298.8255177956808</v>
      </c>
      <c r="J7" s="89">
        <v>3298.8255177956808</v>
      </c>
      <c r="K7" s="89">
        <v>3298.8255177956808</v>
      </c>
      <c r="L7" s="89">
        <v>3298.8255177956808</v>
      </c>
      <c r="M7" s="89">
        <v>3298.8255177956808</v>
      </c>
      <c r="N7" s="89">
        <v>3298.8255177956808</v>
      </c>
    </row>
    <row r="8" spans="2:14" x14ac:dyDescent="0.2">
      <c r="B8" s="36" t="s">
        <v>106</v>
      </c>
      <c r="C8" s="88">
        <v>2821.3350495185555</v>
      </c>
      <c r="D8" s="89">
        <v>2821.3350495185555</v>
      </c>
      <c r="E8" s="89">
        <v>2821.3350495185555</v>
      </c>
      <c r="F8" s="89">
        <v>2821.3350495185555</v>
      </c>
      <c r="G8" s="89">
        <v>2821.3350495185555</v>
      </c>
      <c r="H8" s="89">
        <v>2821.3350495185555</v>
      </c>
      <c r="I8" s="89">
        <v>2821.3350495185555</v>
      </c>
      <c r="J8" s="89">
        <v>2821.3350495185555</v>
      </c>
      <c r="K8" s="89">
        <v>2821.3350495185555</v>
      </c>
      <c r="L8" s="89">
        <v>2821.3350495185555</v>
      </c>
      <c r="M8" s="89">
        <v>2821.3350495185555</v>
      </c>
      <c r="N8" s="89">
        <v>2821.3350495185555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1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1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1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1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1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1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2002</v>
      </c>
      <c r="E28" s="49"/>
      <c r="F28" s="45">
        <f>basic_info!$D$5-4</f>
        <v>2003</v>
      </c>
      <c r="G28" s="49"/>
      <c r="H28" s="45">
        <f>basic_info!$D$5-3</f>
        <v>2004</v>
      </c>
      <c r="I28" s="49"/>
      <c r="J28" s="45">
        <f>basic_info!$D$5-2</f>
        <v>2005</v>
      </c>
      <c r="K28" s="49"/>
      <c r="L28" s="45">
        <f>basic_info!$D$5-1</f>
        <v>2006</v>
      </c>
      <c r="N28" s="45">
        <f>basic_info!$D$5</f>
        <v>2007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2007</v>
      </c>
      <c r="D30" s="44">
        <v>0.78584368908792024</v>
      </c>
      <c r="E30" s="35">
        <v>0</v>
      </c>
      <c r="F30" s="47">
        <v>0.78609720553568063</v>
      </c>
      <c r="G30" s="46">
        <v>0</v>
      </c>
      <c r="H30" s="47">
        <v>0.73078852244812054</v>
      </c>
      <c r="I30" s="46">
        <v>0</v>
      </c>
      <c r="J30" s="47">
        <v>0.79541919266908367</v>
      </c>
      <c r="K30" s="46"/>
      <c r="L30" s="47">
        <v>0.76138148527371097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2008</v>
      </c>
      <c r="D31" s="76"/>
      <c r="E31" s="75"/>
      <c r="F31" s="69">
        <v>0.7399849637887721</v>
      </c>
      <c r="G31" s="79">
        <v>0</v>
      </c>
      <c r="H31" s="61">
        <v>0.69782766257496576</v>
      </c>
      <c r="I31" s="62">
        <v>0</v>
      </c>
      <c r="J31" s="61">
        <v>0.7777456783815756</v>
      </c>
      <c r="K31" s="62"/>
      <c r="L31" s="61">
        <v>0.76161556793937901</v>
      </c>
      <c r="M31" s="62"/>
      <c r="N31" s="63">
        <v>0.94501843727299595</v>
      </c>
      <c r="O31" s="89"/>
      <c r="P31" s="63">
        <f>O31+M31+K31+I31+G31</f>
        <v>0</v>
      </c>
    </row>
    <row r="32" spans="2:33" x14ac:dyDescent="0.2">
      <c r="B32" s="36"/>
      <c r="C32" s="47">
        <f>basic_info!$D$5+2</f>
        <v>2009</v>
      </c>
      <c r="D32" s="76"/>
      <c r="E32" s="75"/>
      <c r="F32" s="75"/>
      <c r="G32" s="75"/>
      <c r="H32" s="69">
        <v>0.64606856993436812</v>
      </c>
      <c r="I32" s="79">
        <v>0</v>
      </c>
      <c r="J32" s="61">
        <v>0.72055098531842476</v>
      </c>
      <c r="K32" s="62">
        <v>400000</v>
      </c>
      <c r="L32" s="61">
        <v>0.71377004027579827</v>
      </c>
      <c r="M32" s="62"/>
      <c r="N32" s="63">
        <v>0.86435813324293276</v>
      </c>
      <c r="O32" s="89"/>
      <c r="P32" s="63">
        <f>O32+M32+K32+I32</f>
        <v>400000</v>
      </c>
    </row>
    <row r="33" spans="2:17" x14ac:dyDescent="0.2">
      <c r="B33" s="36"/>
      <c r="C33" s="47">
        <f>basic_info!$D$5+3</f>
        <v>2010</v>
      </c>
      <c r="D33" s="76"/>
      <c r="E33" s="75"/>
      <c r="F33" s="75"/>
      <c r="G33" s="75"/>
      <c r="H33" s="75"/>
      <c r="I33" s="75"/>
      <c r="J33" s="69">
        <v>0.6808876388132572</v>
      </c>
      <c r="K33" s="79">
        <v>400000</v>
      </c>
      <c r="L33" s="61">
        <v>0.71201828987937288</v>
      </c>
      <c r="M33" s="62"/>
      <c r="N33" s="63">
        <v>0.87454112416799612</v>
      </c>
      <c r="O33" s="89"/>
      <c r="P33" s="63">
        <f>O33+M33+K33</f>
        <v>400000</v>
      </c>
    </row>
    <row r="34" spans="2:17" x14ac:dyDescent="0.2">
      <c r="B34" s="36"/>
      <c r="C34" s="47">
        <f>basic_info!$D$5+4</f>
        <v>2011</v>
      </c>
      <c r="D34" s="76"/>
      <c r="E34" s="75"/>
      <c r="F34" s="75"/>
      <c r="G34" s="75"/>
      <c r="H34" s="75"/>
      <c r="I34" s="75"/>
      <c r="J34" s="75"/>
      <c r="K34" s="75"/>
      <c r="L34" s="69">
        <v>0.66759713542461396</v>
      </c>
      <c r="M34" s="79">
        <v>400000</v>
      </c>
      <c r="N34" s="63">
        <v>0.81134172439645946</v>
      </c>
      <c r="O34" s="89">
        <v>100000</v>
      </c>
      <c r="P34" s="63">
        <f>O34+M34</f>
        <v>500000</v>
      </c>
    </row>
    <row r="35" spans="2:17" x14ac:dyDescent="0.2">
      <c r="B35" s="37"/>
      <c r="C35" s="72">
        <f>basic_info!$D$5+5</f>
        <v>2012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0.77419792761206629</v>
      </c>
      <c r="O35" s="89">
        <v>100000</v>
      </c>
      <c r="P35" s="65">
        <f>O35</f>
        <v>100000</v>
      </c>
    </row>
    <row r="36" spans="2:17" x14ac:dyDescent="0.2">
      <c r="B36" s="41" t="s">
        <v>113</v>
      </c>
      <c r="C36" s="36">
        <f>basic_info!$D$5</f>
        <v>2007</v>
      </c>
      <c r="D36" s="44">
        <v>1.0290085296932949</v>
      </c>
      <c r="E36" s="35">
        <v>0</v>
      </c>
      <c r="F36" s="73">
        <v>1.1054417090410307</v>
      </c>
      <c r="G36" s="74">
        <v>0</v>
      </c>
      <c r="H36" s="73">
        <v>1.1101569663340529</v>
      </c>
      <c r="I36" s="74">
        <v>0</v>
      </c>
      <c r="J36" s="73">
        <v>1.0946302598191511</v>
      </c>
      <c r="K36" s="74">
        <v>300000</v>
      </c>
      <c r="L36" s="66">
        <v>1.0366480005182297</v>
      </c>
      <c r="M36" s="67"/>
      <c r="N36" s="68"/>
      <c r="O36" s="71" t="s">
        <v>162</v>
      </c>
      <c r="P36" s="41">
        <f>M36+K36+I36+E36+G36</f>
        <v>300000</v>
      </c>
      <c r="Q36" s="70"/>
    </row>
    <row r="37" spans="2:17" x14ac:dyDescent="0.2">
      <c r="B37" s="36"/>
      <c r="C37" s="47">
        <f>basic_info!$D$5+1</f>
        <v>2008</v>
      </c>
      <c r="D37" s="76"/>
      <c r="E37" s="75"/>
      <c r="F37" s="69">
        <v>1.0257547201122916</v>
      </c>
      <c r="G37" s="79">
        <v>0</v>
      </c>
      <c r="H37" s="61">
        <v>1.1300023102276531</v>
      </c>
      <c r="I37" s="62">
        <v>0</v>
      </c>
      <c r="J37" s="61">
        <v>1.0547878477209383</v>
      </c>
      <c r="K37" s="62">
        <v>300000</v>
      </c>
      <c r="L37" s="61">
        <v>0.98750252831704477</v>
      </c>
      <c r="M37" s="62"/>
      <c r="N37" s="61">
        <v>1.0498900180253841</v>
      </c>
      <c r="O37" s="89"/>
      <c r="P37" s="63">
        <f>O37+M37+K37+I37+G37</f>
        <v>300000</v>
      </c>
    </row>
    <row r="38" spans="2:17" x14ac:dyDescent="0.2">
      <c r="B38" s="36"/>
      <c r="C38" s="47">
        <f>basic_info!$D$5+2</f>
        <v>2009</v>
      </c>
      <c r="D38" s="76"/>
      <c r="E38" s="75"/>
      <c r="F38" s="75"/>
      <c r="G38" s="75"/>
      <c r="H38" s="69">
        <v>1.051191025570035</v>
      </c>
      <c r="I38" s="79">
        <v>0</v>
      </c>
      <c r="J38" s="61">
        <v>1.0390313119782215</v>
      </c>
      <c r="K38" s="62">
        <v>300000</v>
      </c>
      <c r="L38" s="61">
        <v>0.93822729942509209</v>
      </c>
      <c r="M38" s="62"/>
      <c r="N38" s="61">
        <v>1.0511225064186411</v>
      </c>
      <c r="O38" s="89"/>
      <c r="P38" s="63">
        <f>O38+M38+K38+I38</f>
        <v>300000</v>
      </c>
    </row>
    <row r="39" spans="2:17" x14ac:dyDescent="0.2">
      <c r="B39" s="36"/>
      <c r="C39" s="47">
        <f>basic_info!$D$5+3</f>
        <v>2010</v>
      </c>
      <c r="D39" s="76"/>
      <c r="E39" s="75"/>
      <c r="F39" s="75"/>
      <c r="G39" s="75"/>
      <c r="H39" s="75"/>
      <c r="I39" s="75"/>
      <c r="J39" s="69">
        <v>0.95771333889663224</v>
      </c>
      <c r="K39" s="79">
        <v>300000</v>
      </c>
      <c r="L39" s="61">
        <v>0.89726357364389364</v>
      </c>
      <c r="M39" s="62"/>
      <c r="N39" s="61">
        <v>0.95780442275518196</v>
      </c>
      <c r="O39" s="89"/>
      <c r="P39" s="63">
        <f>O39+M39+K39</f>
        <v>300000</v>
      </c>
    </row>
    <row r="40" spans="2:17" x14ac:dyDescent="0.2">
      <c r="B40" s="36"/>
      <c r="C40" s="47">
        <f>basic_info!$D$5+4</f>
        <v>2011</v>
      </c>
      <c r="D40" s="76"/>
      <c r="E40" s="75"/>
      <c r="F40" s="75"/>
      <c r="G40" s="75"/>
      <c r="H40" s="75"/>
      <c r="I40" s="75"/>
      <c r="J40" s="75"/>
      <c r="K40" s="75"/>
      <c r="L40" s="69">
        <v>0.89032073213160046</v>
      </c>
      <c r="M40" s="79"/>
      <c r="N40" s="61">
        <v>0.91383547859681491</v>
      </c>
      <c r="O40" s="89">
        <v>100000</v>
      </c>
      <c r="P40" s="63">
        <f>O40+M40</f>
        <v>100000</v>
      </c>
    </row>
    <row r="41" spans="2:17" x14ac:dyDescent="0.2">
      <c r="B41" s="37"/>
      <c r="C41" s="72">
        <f>basic_info!$D$5+5</f>
        <v>2012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0.87400841210782521</v>
      </c>
      <c r="O41" s="89">
        <v>100000</v>
      </c>
      <c r="P41" s="64">
        <f>O41</f>
        <v>100000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8.3333333333333321</v>
      </c>
      <c r="D47" s="92">
        <v>8.3333333333333321</v>
      </c>
      <c r="E47" s="92">
        <v>8.3333333333333321</v>
      </c>
      <c r="F47" s="92">
        <v>8.3333333333333321</v>
      </c>
      <c r="G47" s="92">
        <v>8.3333333333333321</v>
      </c>
      <c r="H47" s="92">
        <v>8.3333333333333321</v>
      </c>
      <c r="I47" s="92">
        <v>8.3333333333333321</v>
      </c>
      <c r="J47" s="92">
        <v>8.3333333333333321</v>
      </c>
      <c r="K47" s="92">
        <v>8.3333333333333321</v>
      </c>
      <c r="L47" s="92">
        <v>8.3333333333333321</v>
      </c>
      <c r="M47" s="92">
        <v>8.3333333333333321</v>
      </c>
      <c r="N47" s="92">
        <v>8.3333333333333321</v>
      </c>
      <c r="O47" s="33">
        <f>SUM(C47:N47)</f>
        <v>99.999999999999957</v>
      </c>
    </row>
    <row r="48" spans="2:17" x14ac:dyDescent="0.2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topLeftCell="A8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6.4877632736100974</v>
      </c>
      <c r="D6" s="93">
        <v>0</v>
      </c>
      <c r="E6" s="93">
        <v>17.568227992703552</v>
      </c>
      <c r="F6" s="93">
        <v>21.221</v>
      </c>
      <c r="G6" s="93">
        <v>54.723008733686356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>
        <v>0</v>
      </c>
      <c r="D7" s="93">
        <v>29.542355255302351</v>
      </c>
      <c r="E7" s="93">
        <v>0</v>
      </c>
      <c r="F7" s="93">
        <v>67.921000000000006</v>
      </c>
      <c r="G7" s="93">
        <v>2.5366447446976395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>
        <v>0</v>
      </c>
      <c r="D8" s="93">
        <v>12.98526388193039</v>
      </c>
      <c r="E8" s="93">
        <v>0</v>
      </c>
      <c r="F8" s="93">
        <v>45.344999999999999</v>
      </c>
      <c r="G8" s="93">
        <v>41.669736118069608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50</v>
      </c>
      <c r="F19" s="44">
        <f>100-$E$19</f>
        <v>50</v>
      </c>
      <c r="G19" s="94">
        <v>25</v>
      </c>
      <c r="H19" s="33">
        <f>100-$G$19</f>
        <v>75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9.9340677426410409</v>
      </c>
      <c r="D27" s="93">
        <v>100</v>
      </c>
      <c r="E27" s="93">
        <v>100</v>
      </c>
      <c r="F27" s="93">
        <v>0</v>
      </c>
      <c r="G27" s="93">
        <v>100</v>
      </c>
      <c r="H27" s="93">
        <v>0</v>
      </c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90.065932257358952</v>
      </c>
      <c r="D28" s="93">
        <v>0</v>
      </c>
      <c r="E28" s="93">
        <v>0</v>
      </c>
      <c r="F28" s="93">
        <v>100</v>
      </c>
      <c r="G28" s="93">
        <v>0</v>
      </c>
      <c r="H28" s="93">
        <v>100</v>
      </c>
      <c r="I28" s="95">
        <v>0</v>
      </c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38.306341113842322</v>
      </c>
      <c r="D36" s="93">
        <v>38.306341113842322</v>
      </c>
      <c r="E36" s="93">
        <v>38.306341113842322</v>
      </c>
      <c r="F36" s="93">
        <v>38.306341113842322</v>
      </c>
      <c r="G36" s="93">
        <v>38.306341113842322</v>
      </c>
      <c r="H36" s="93">
        <v>38.306341113842322</v>
      </c>
      <c r="I36" s="93">
        <v>38.306341113842322</v>
      </c>
      <c r="J36" s="93">
        <v>38.306341113842322</v>
      </c>
      <c r="K36" s="93">
        <v>38.306341113842322</v>
      </c>
      <c r="L36" s="93">
        <v>38.306341113842322</v>
      </c>
      <c r="M36" s="93">
        <v>38.306341113842322</v>
      </c>
      <c r="N36" s="95">
        <v>38.306341113842322</v>
      </c>
    </row>
    <row r="37" spans="2:14" x14ac:dyDescent="0.2">
      <c r="B37" s="45" t="s">
        <v>59</v>
      </c>
      <c r="C37" s="94">
        <v>45.857219391613704</v>
      </c>
      <c r="D37" s="94">
        <v>45.857219391613704</v>
      </c>
      <c r="E37" s="94">
        <v>45.857219391613704</v>
      </c>
      <c r="F37" s="94">
        <v>45.857219391613704</v>
      </c>
      <c r="G37" s="94">
        <v>45.857219391613704</v>
      </c>
      <c r="H37" s="94">
        <v>45.857219391613704</v>
      </c>
      <c r="I37" s="94">
        <v>45.857219391613704</v>
      </c>
      <c r="J37" s="94">
        <v>45.857219391613704</v>
      </c>
      <c r="K37" s="94">
        <v>45.857219391613704</v>
      </c>
      <c r="L37" s="94">
        <v>45.857219391613704</v>
      </c>
      <c r="M37" s="94">
        <v>45.857219391613704</v>
      </c>
      <c r="N37" s="89">
        <v>45.857219391613704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1.3172144857704811</v>
      </c>
      <c r="E6" s="89">
        <v>2.2089422831729237</v>
      </c>
      <c r="F6" s="89">
        <v>1.0657419985782832</v>
      </c>
      <c r="G6" s="89">
        <v>2.8205274402832208</v>
      </c>
      <c r="H6" s="89">
        <v>2.6148142510466403</v>
      </c>
      <c r="I6" s="89">
        <v>3.1102384212555538</v>
      </c>
      <c r="J6" s="89">
        <v>3.27769125719044</v>
      </c>
      <c r="K6" s="89">
        <v>1.1064203443352318</v>
      </c>
      <c r="L6" s="89">
        <v>2.4844480340554176</v>
      </c>
      <c r="M6" s="89">
        <v>2.8021261223447178</v>
      </c>
      <c r="N6" s="89">
        <v>2.6118094573988833</v>
      </c>
      <c r="O6" s="89">
        <v>3.0642400591836267</v>
      </c>
    </row>
    <row r="7" spans="2:15" x14ac:dyDescent="0.2">
      <c r="C7" s="36" t="s">
        <v>127</v>
      </c>
      <c r="D7" s="89">
        <v>1.6109397077404535</v>
      </c>
      <c r="E7" s="89">
        <v>2.721029548653116</v>
      </c>
      <c r="F7" s="89">
        <v>1.7263567704091383</v>
      </c>
      <c r="G7" s="89">
        <v>2.4137800665528601</v>
      </c>
      <c r="H7" s="89">
        <v>2.343292558429996</v>
      </c>
      <c r="I7" s="89">
        <v>1.5816737051801395</v>
      </c>
      <c r="J7" s="89">
        <v>2.1113016825198256</v>
      </c>
      <c r="K7" s="89">
        <v>2.2942418856215694</v>
      </c>
      <c r="L7" s="89">
        <v>2.402945003102281</v>
      </c>
      <c r="M7" s="89">
        <v>1.9676566212198137</v>
      </c>
      <c r="N7" s="89">
        <v>2.763453423931832</v>
      </c>
      <c r="O7" s="89">
        <v>2.8528846442806839</v>
      </c>
    </row>
    <row r="8" spans="2:15" x14ac:dyDescent="0.2">
      <c r="C8" s="36" t="s">
        <v>128</v>
      </c>
      <c r="D8" s="89">
        <v>2.5407988527636638</v>
      </c>
      <c r="E8" s="89">
        <v>2.6587625966067443</v>
      </c>
      <c r="F8" s="89">
        <v>1.4024242692029041</v>
      </c>
      <c r="G8" s="89">
        <v>2.2219401502554197</v>
      </c>
      <c r="H8" s="89">
        <v>1.230890403892505</v>
      </c>
      <c r="I8" s="89">
        <v>2.4972403053761698</v>
      </c>
      <c r="J8" s="89">
        <v>3.1437761695441209</v>
      </c>
      <c r="K8" s="89">
        <v>2.7968420881625553</v>
      </c>
      <c r="L8" s="89">
        <v>2.5185002134389274</v>
      </c>
      <c r="M8" s="89">
        <v>1.2359135176655132</v>
      </c>
      <c r="N8" s="89">
        <v>3.0004700347759079</v>
      </c>
      <c r="O8" s="89">
        <v>1.2576526860383817</v>
      </c>
    </row>
    <row r="9" spans="2:15" x14ac:dyDescent="0.2">
      <c r="C9" s="36" t="s">
        <v>129</v>
      </c>
      <c r="D9" s="89">
        <v>1.5221538946675146</v>
      </c>
      <c r="E9" s="89">
        <v>1.9401055030247134</v>
      </c>
      <c r="F9" s="89">
        <v>1.9683780656432013</v>
      </c>
      <c r="G9" s="89">
        <v>1.4207913693229817</v>
      </c>
      <c r="H9" s="89">
        <v>2.0603895262253209</v>
      </c>
      <c r="I9" s="89">
        <v>2.8903786769154105</v>
      </c>
      <c r="J9" s="89">
        <v>3.4672266554660554</v>
      </c>
      <c r="K9" s="89">
        <v>2.1170677559100008</v>
      </c>
      <c r="L9" s="89">
        <v>2.3003239913833204</v>
      </c>
      <c r="M9" s="89">
        <v>2.2370584083164387</v>
      </c>
      <c r="N9" s="89">
        <v>1.2521991506091459</v>
      </c>
      <c r="O9" s="89">
        <v>1.9848797899986304</v>
      </c>
    </row>
    <row r="10" spans="2:15" x14ac:dyDescent="0.2">
      <c r="C10" s="36" t="s">
        <v>130</v>
      </c>
      <c r="D10" s="89">
        <v>2.7714283664990131</v>
      </c>
      <c r="E10" s="89">
        <v>3.5162188997407102</v>
      </c>
      <c r="F10" s="89">
        <v>2.3239353997552081</v>
      </c>
      <c r="G10" s="89">
        <v>3.1280032532875648</v>
      </c>
      <c r="H10" s="89">
        <v>1.3078909326036929</v>
      </c>
      <c r="I10" s="89">
        <v>2.3904466741414687</v>
      </c>
      <c r="J10" s="89">
        <v>2.8704673157254144</v>
      </c>
      <c r="K10" s="89">
        <v>1.534527369380859</v>
      </c>
      <c r="L10" s="89">
        <v>2.2436010512429263</v>
      </c>
      <c r="M10" s="89">
        <v>3.3698828452564715</v>
      </c>
      <c r="N10" s="89">
        <v>2.9339971233631985</v>
      </c>
      <c r="O10" s="89">
        <v>2.1830183360882303</v>
      </c>
    </row>
    <row r="11" spans="2:15" x14ac:dyDescent="0.2">
      <c r="C11" s="36" t="s">
        <v>131</v>
      </c>
      <c r="D11" s="89">
        <v>2.8832793497095941</v>
      </c>
      <c r="E11" s="89">
        <v>3.480249189575038</v>
      </c>
      <c r="F11" s="89">
        <v>3.2336783038220034</v>
      </c>
      <c r="G11" s="89">
        <v>3.5768468428802889</v>
      </c>
      <c r="H11" s="89">
        <v>1.9631020879832621</v>
      </c>
      <c r="I11" s="89">
        <v>3.0745730087631045</v>
      </c>
      <c r="J11" s="89">
        <v>2.3716243662170244</v>
      </c>
      <c r="K11" s="89">
        <v>3.1738230504659124</v>
      </c>
      <c r="L11" s="89">
        <v>3.0797826796306094</v>
      </c>
      <c r="M11" s="89">
        <v>3.5046458178408937</v>
      </c>
      <c r="N11" s="89">
        <v>2.9272272033322873</v>
      </c>
      <c r="O11" s="89">
        <v>2.6732763284246852</v>
      </c>
    </row>
    <row r="12" spans="2:15" x14ac:dyDescent="0.2">
      <c r="C12" s="37" t="s">
        <v>132</v>
      </c>
      <c r="D12" s="89">
        <v>3.3799741307746207</v>
      </c>
      <c r="E12" s="89">
        <v>1.9837689820462461</v>
      </c>
      <c r="F12" s="89">
        <v>3.2637096464725728</v>
      </c>
      <c r="G12" s="89">
        <v>1.7095384989799971</v>
      </c>
      <c r="H12" s="89">
        <v>3.3008539304562654</v>
      </c>
      <c r="I12" s="89">
        <v>1.3899527280700503</v>
      </c>
      <c r="J12" s="89">
        <v>1.6294995597517756</v>
      </c>
      <c r="K12" s="89">
        <v>1.3987074862268347</v>
      </c>
      <c r="L12" s="89">
        <v>3.1829122777657486</v>
      </c>
      <c r="M12" s="89">
        <v>1.2438605116508303</v>
      </c>
      <c r="N12" s="89">
        <v>2.2433246509540163</v>
      </c>
      <c r="O12" s="89">
        <v>3.5976612054260722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2.4593921555373726</v>
      </c>
      <c r="E15" s="89">
        <v>3.5530946880872323</v>
      </c>
      <c r="F15" s="89">
        <v>3.414846623406202</v>
      </c>
      <c r="G15" s="89">
        <v>1.7491444518316492</v>
      </c>
      <c r="H15" s="89">
        <v>3.3923209662400713</v>
      </c>
      <c r="I15" s="89">
        <v>1.2754586782076922</v>
      </c>
      <c r="J15" s="89">
        <v>1.1861635167358611</v>
      </c>
      <c r="K15" s="89">
        <v>2.6181908980868975</v>
      </c>
      <c r="L15" s="89">
        <v>3.1454593685071832</v>
      </c>
      <c r="M15" s="89">
        <v>3.3457863995427624</v>
      </c>
      <c r="N15" s="89">
        <v>3.1028127869948321</v>
      </c>
      <c r="O15" s="89">
        <v>1.2772820282256618</v>
      </c>
    </row>
    <row r="16" spans="2:15" x14ac:dyDescent="0.2">
      <c r="C16" s="36" t="s">
        <v>127</v>
      </c>
      <c r="D16" s="89">
        <v>3.3299194026498671</v>
      </c>
      <c r="E16" s="89">
        <v>1.2635270277194457</v>
      </c>
      <c r="F16" s="89">
        <v>2.5350905531120471</v>
      </c>
      <c r="G16" s="89">
        <v>1.004580355811461</v>
      </c>
      <c r="H16" s="89">
        <v>2.8952294317795615</v>
      </c>
      <c r="I16" s="89">
        <v>3.5404131131125602</v>
      </c>
      <c r="J16" s="89">
        <v>1.0234319986646625</v>
      </c>
      <c r="K16" s="89">
        <v>1.0262388475876234</v>
      </c>
      <c r="L16" s="89">
        <v>3.3221068398166134</v>
      </c>
      <c r="M16" s="89">
        <v>3.4307047558822044</v>
      </c>
      <c r="N16" s="89">
        <v>1.0613840332956384</v>
      </c>
      <c r="O16" s="89">
        <v>2.8389564409810188</v>
      </c>
    </row>
    <row r="17" spans="2:15" x14ac:dyDescent="0.2">
      <c r="C17" s="36" t="s">
        <v>128</v>
      </c>
      <c r="D17" s="89">
        <v>2.933058040350832</v>
      </c>
      <c r="E17" s="89">
        <v>2.8913111980308575</v>
      </c>
      <c r="F17" s="89">
        <v>2.0390993701980227</v>
      </c>
      <c r="G17" s="89">
        <v>2.0949881923906641</v>
      </c>
      <c r="H17" s="89">
        <v>3.3300816829063487</v>
      </c>
      <c r="I17" s="89">
        <v>3.114548774569585</v>
      </c>
      <c r="J17" s="89">
        <v>3.1954150981607454</v>
      </c>
      <c r="K17" s="89">
        <v>3.1730104100295873</v>
      </c>
      <c r="L17" s="89">
        <v>1.2877750134606942</v>
      </c>
      <c r="M17" s="89">
        <v>2.3128313010453501</v>
      </c>
      <c r="N17" s="89">
        <v>2.9259400417125052</v>
      </c>
      <c r="O17" s="89">
        <v>1.6627342872523485</v>
      </c>
    </row>
    <row r="18" spans="2:15" x14ac:dyDescent="0.2">
      <c r="C18" s="36" t="s">
        <v>129</v>
      </c>
      <c r="D18" s="89">
        <v>2.2650998575126797</v>
      </c>
      <c r="E18" s="89">
        <v>2.8405645389196827</v>
      </c>
      <c r="F18" s="89">
        <v>2.7568946662509601</v>
      </c>
      <c r="G18" s="89">
        <v>2.9380407533644251</v>
      </c>
      <c r="H18" s="89">
        <v>2.161140626882514</v>
      </c>
      <c r="I18" s="89">
        <v>2.1480307839900989</v>
      </c>
      <c r="J18" s="89">
        <v>2.657515131887072</v>
      </c>
      <c r="K18" s="89">
        <v>1.2363209883754356</v>
      </c>
      <c r="L18" s="89">
        <v>1.5250037861674108</v>
      </c>
      <c r="M18" s="89">
        <v>3.0088985215894009</v>
      </c>
      <c r="N18" s="89">
        <v>3.5974912995226824</v>
      </c>
      <c r="O18" s="89">
        <v>1.4077330157340133</v>
      </c>
    </row>
    <row r="19" spans="2:15" x14ac:dyDescent="0.2">
      <c r="C19" s="36" t="s">
        <v>130</v>
      </c>
      <c r="D19" s="89">
        <v>1.9640899708771253</v>
      </c>
      <c r="E19" s="89">
        <v>2.9482042105327535</v>
      </c>
      <c r="F19" s="89">
        <v>2.6881431263102233</v>
      </c>
      <c r="G19" s="89">
        <v>2.1669862565377636</v>
      </c>
      <c r="H19" s="89">
        <v>1.3793331699805071</v>
      </c>
      <c r="I19" s="89">
        <v>2.4303829606108347</v>
      </c>
      <c r="J19" s="89">
        <v>3.4572890082964203</v>
      </c>
      <c r="K19" s="89">
        <v>1.4352002698222721</v>
      </c>
      <c r="L19" s="89">
        <v>1.7696265387692942</v>
      </c>
      <c r="M19" s="89">
        <v>3.5157488259241498</v>
      </c>
      <c r="N19" s="89">
        <v>3.0846850925150719</v>
      </c>
      <c r="O19" s="89">
        <v>2.0446270499509742</v>
      </c>
    </row>
    <row r="20" spans="2:15" x14ac:dyDescent="0.2">
      <c r="C20" s="36" t="s">
        <v>131</v>
      </c>
      <c r="D20" s="89">
        <v>2.6999347954152242</v>
      </c>
      <c r="E20" s="89">
        <v>2.8439426291974925</v>
      </c>
      <c r="F20" s="89">
        <v>1.7286475188586565</v>
      </c>
      <c r="G20" s="89">
        <v>1.5291974528679053</v>
      </c>
      <c r="H20" s="89">
        <v>1.4048766558551231</v>
      </c>
      <c r="I20" s="89">
        <v>2.0846074592191117</v>
      </c>
      <c r="J20" s="89">
        <v>2.0429210462401599</v>
      </c>
      <c r="K20" s="89">
        <v>2.7519661689558688</v>
      </c>
      <c r="L20" s="89">
        <v>2.3653094317310606</v>
      </c>
      <c r="M20" s="89">
        <v>2.9442413153166744</v>
      </c>
      <c r="N20" s="89">
        <v>2.4835249456622073</v>
      </c>
      <c r="O20" s="89">
        <v>1.3442348129746677</v>
      </c>
    </row>
    <row r="21" spans="2:15" x14ac:dyDescent="0.2">
      <c r="C21" s="37" t="s">
        <v>132</v>
      </c>
      <c r="D21" s="89">
        <v>1.4463693878498436</v>
      </c>
      <c r="E21" s="89">
        <v>2.9381766414307213</v>
      </c>
      <c r="F21" s="89">
        <v>3.0117825144270514</v>
      </c>
      <c r="G21" s="89">
        <v>2.8711651790906103</v>
      </c>
      <c r="H21" s="89">
        <v>2.4014313162509948</v>
      </c>
      <c r="I21" s="89">
        <v>2.5061440305062508</v>
      </c>
      <c r="J21" s="89">
        <v>3.4843206356523528</v>
      </c>
      <c r="K21" s="89">
        <v>1.7482000215774667</v>
      </c>
      <c r="L21" s="89">
        <v>1.2034483529940374</v>
      </c>
      <c r="M21" s="89">
        <v>2.023138043143403</v>
      </c>
      <c r="N21" s="89">
        <v>1.0165674550316477</v>
      </c>
      <c r="O21" s="89">
        <v>2.9021236115218572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1.6298967640977797</v>
      </c>
      <c r="E24" s="89">
        <v>3.4700276538642147</v>
      </c>
      <c r="F24" s="89">
        <v>1.996539395331443</v>
      </c>
      <c r="G24" s="89">
        <v>2.3467258096820682</v>
      </c>
      <c r="H24" s="89">
        <v>2.70631385196089</v>
      </c>
      <c r="I24" s="89">
        <v>1.8229537613842193</v>
      </c>
      <c r="J24" s="89">
        <v>2.2094593939030638</v>
      </c>
      <c r="K24" s="89">
        <v>2.05428094719657</v>
      </c>
      <c r="L24" s="89">
        <v>3.5287645662180727</v>
      </c>
      <c r="M24" s="89">
        <v>1.6626274026234413</v>
      </c>
      <c r="N24" s="89">
        <v>3.4054540362638037</v>
      </c>
      <c r="O24" s="89">
        <v>3.5355486307885156</v>
      </c>
    </row>
    <row r="25" spans="2:15" x14ac:dyDescent="0.2">
      <c r="C25" s="36" t="s">
        <v>127</v>
      </c>
      <c r="D25" s="89">
        <v>2.7880802698450839</v>
      </c>
      <c r="E25" s="89">
        <v>1.697329364800741</v>
      </c>
      <c r="F25" s="89">
        <v>3.5835099060414484</v>
      </c>
      <c r="G25" s="89">
        <v>2.2960308542776962</v>
      </c>
      <c r="H25" s="89">
        <v>3.4854214761033164</v>
      </c>
      <c r="I25" s="89">
        <v>1.1814480600803259</v>
      </c>
      <c r="J25" s="89">
        <v>1.397958223004184</v>
      </c>
      <c r="K25" s="89">
        <v>1.1875966600564412</v>
      </c>
      <c r="L25" s="89">
        <v>1.4639861506708853</v>
      </c>
      <c r="M25" s="89">
        <v>3.2038837111094272</v>
      </c>
      <c r="N25" s="89">
        <v>2.7288116601629815</v>
      </c>
      <c r="O25" s="89">
        <v>2.0268854216006722</v>
      </c>
    </row>
    <row r="26" spans="2:15" x14ac:dyDescent="0.2">
      <c r="C26" s="36" t="s">
        <v>128</v>
      </c>
      <c r="D26" s="89">
        <v>2.2158441466863001</v>
      </c>
      <c r="E26" s="89">
        <v>3.5924559346124623</v>
      </c>
      <c r="F26" s="89">
        <v>2.2289135654281766</v>
      </c>
      <c r="G26" s="89">
        <v>2.9467041884955636</v>
      </c>
      <c r="H26" s="89">
        <v>2.4936092984398939</v>
      </c>
      <c r="I26" s="89">
        <v>2.9165082246875693</v>
      </c>
      <c r="J26" s="89">
        <v>1.591905840842454</v>
      </c>
      <c r="K26" s="89">
        <v>2.1381336386772727</v>
      </c>
      <c r="L26" s="89">
        <v>1.4036117119455174</v>
      </c>
      <c r="M26" s="89">
        <v>3.2005949540023284</v>
      </c>
      <c r="N26" s="89">
        <v>1.6189856078057685</v>
      </c>
      <c r="O26" s="89">
        <v>1.3114660043303665</v>
      </c>
    </row>
    <row r="27" spans="2:15" x14ac:dyDescent="0.2">
      <c r="C27" s="36" t="s">
        <v>129</v>
      </c>
      <c r="D27" s="89">
        <v>2.0116102173235149</v>
      </c>
      <c r="E27" s="89">
        <v>1.3518410769476739</v>
      </c>
      <c r="F27" s="89">
        <v>3.2337365759956707</v>
      </c>
      <c r="G27" s="89">
        <v>1.6719466086437471</v>
      </c>
      <c r="H27" s="89">
        <v>1.5825698263389127</v>
      </c>
      <c r="I27" s="89">
        <v>2.3489201515105398</v>
      </c>
      <c r="J27" s="89">
        <v>2.616289903309287</v>
      </c>
      <c r="K27" s="89">
        <v>2.3011884328567134</v>
      </c>
      <c r="L27" s="89">
        <v>3.0540377350694681</v>
      </c>
      <c r="M27" s="89">
        <v>3.4509723334994256</v>
      </c>
      <c r="N27" s="89">
        <v>1.8233002786491666</v>
      </c>
      <c r="O27" s="89">
        <v>2.3842614239528448</v>
      </c>
    </row>
    <row r="28" spans="2:15" x14ac:dyDescent="0.2">
      <c r="C28" s="36" t="s">
        <v>130</v>
      </c>
      <c r="D28" s="89">
        <v>1.8473609626047163</v>
      </c>
      <c r="E28" s="89">
        <v>2.2003864337365044</v>
      </c>
      <c r="F28" s="89">
        <v>2.8827863352068213</v>
      </c>
      <c r="G28" s="89">
        <v>1.6207607161667146</v>
      </c>
      <c r="H28" s="89">
        <v>2.0727962814997429</v>
      </c>
      <c r="I28" s="89">
        <v>1.3061461751061061</v>
      </c>
      <c r="J28" s="89">
        <v>1.5458999786291252</v>
      </c>
      <c r="K28" s="89">
        <v>1.4536047825172538</v>
      </c>
      <c r="L28" s="89">
        <v>2.1715387605683114</v>
      </c>
      <c r="M28" s="89">
        <v>3.19895053708305</v>
      </c>
      <c r="N28" s="89">
        <v>3.0081950869031635</v>
      </c>
      <c r="O28" s="89">
        <v>2.7031042969387613</v>
      </c>
    </row>
    <row r="29" spans="2:15" x14ac:dyDescent="0.2">
      <c r="C29" s="36" t="s">
        <v>131</v>
      </c>
      <c r="D29" s="89">
        <v>2.7940867698514533</v>
      </c>
      <c r="E29" s="89">
        <v>2.5808380047488821</v>
      </c>
      <c r="F29" s="89">
        <v>1.3608876062577804</v>
      </c>
      <c r="G29" s="89">
        <v>2.4322060331226916</v>
      </c>
      <c r="H29" s="89">
        <v>1.7935672218950094</v>
      </c>
      <c r="I29" s="89">
        <v>1.1726618099086521</v>
      </c>
      <c r="J29" s="89">
        <v>2.851483130898079</v>
      </c>
      <c r="K29" s="89">
        <v>1.6902646306238838</v>
      </c>
      <c r="L29" s="89">
        <v>2.8889561262608989</v>
      </c>
      <c r="M29" s="89">
        <v>2.5993265597953497</v>
      </c>
      <c r="N29" s="89">
        <v>2.9931034829406742</v>
      </c>
      <c r="O29" s="89">
        <v>2.6329537214579206</v>
      </c>
    </row>
    <row r="30" spans="2:15" x14ac:dyDescent="0.2">
      <c r="C30" s="37" t="s">
        <v>132</v>
      </c>
      <c r="D30" s="89">
        <v>2.9350442699835888</v>
      </c>
      <c r="E30" s="89">
        <v>1.4433517773641251</v>
      </c>
      <c r="F30" s="89">
        <v>2.9089330799700197</v>
      </c>
      <c r="G30" s="89">
        <v>2.7200514290292857</v>
      </c>
      <c r="H30" s="89">
        <v>2.988127543737221</v>
      </c>
      <c r="I30" s="89">
        <v>1.9804009885552563</v>
      </c>
      <c r="J30" s="89">
        <v>1.8347470912302675</v>
      </c>
      <c r="K30" s="89">
        <v>2.890892566092317</v>
      </c>
      <c r="L30" s="89">
        <v>1.7458460169548324</v>
      </c>
      <c r="M30" s="89">
        <v>3.1164303180876307</v>
      </c>
      <c r="N30" s="89">
        <v>1.2690758300674574</v>
      </c>
      <c r="O30" s="89">
        <v>1.2462441377728024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3.2789808229489101</v>
      </c>
      <c r="E33" s="89">
        <v>3.1208116013437706</v>
      </c>
      <c r="F33" s="89">
        <v>1.0920700698535435</v>
      </c>
      <c r="G33" s="89">
        <v>3.0059743950370321</v>
      </c>
      <c r="H33" s="89">
        <v>3.3411214654369652</v>
      </c>
      <c r="I33" s="89">
        <v>3.263893780542892</v>
      </c>
      <c r="J33" s="89">
        <v>1.947795672954973</v>
      </c>
      <c r="K33" s="89">
        <v>1.9781520545031175</v>
      </c>
      <c r="L33" s="89">
        <v>1.8453812967053786</v>
      </c>
      <c r="M33" s="89">
        <v>1.3123664615271791</v>
      </c>
      <c r="N33" s="89">
        <v>2.551083471595422</v>
      </c>
      <c r="O33" s="89">
        <v>1.9624962024572374</v>
      </c>
    </row>
    <row r="34" spans="3:15" x14ac:dyDescent="0.2">
      <c r="C34" s="36" t="s">
        <v>127</v>
      </c>
      <c r="D34" s="89">
        <v>1.0441254681377408</v>
      </c>
      <c r="E34" s="89">
        <v>2.1919776997543341</v>
      </c>
      <c r="F34" s="89">
        <v>1.4013571729763181</v>
      </c>
      <c r="G34" s="89">
        <v>2.0909554872645861</v>
      </c>
      <c r="H34" s="89">
        <v>2.155914929623008</v>
      </c>
      <c r="I34" s="89">
        <v>3.1438126010213554</v>
      </c>
      <c r="J34" s="89">
        <v>3.2767192020287697</v>
      </c>
      <c r="K34" s="89">
        <v>2.7820068974884911</v>
      </c>
      <c r="L34" s="89">
        <v>2.6028958457034044</v>
      </c>
      <c r="M34" s="89">
        <v>2.767739768802099</v>
      </c>
      <c r="N34" s="89">
        <v>1.1493190739826793</v>
      </c>
      <c r="O34" s="89">
        <v>1.9864107325411902</v>
      </c>
    </row>
    <row r="35" spans="3:15" x14ac:dyDescent="0.2">
      <c r="C35" s="36" t="s">
        <v>128</v>
      </c>
      <c r="D35" s="89">
        <v>2.2850723521536809</v>
      </c>
      <c r="E35" s="89">
        <v>3.5917911697369949</v>
      </c>
      <c r="F35" s="89">
        <v>3.2338212361673793</v>
      </c>
      <c r="G35" s="89">
        <v>2.038690621630062</v>
      </c>
      <c r="H35" s="89">
        <v>1.9792405641950901</v>
      </c>
      <c r="I35" s="89">
        <v>1.2036134231067481</v>
      </c>
      <c r="J35" s="89">
        <v>1.1298759237604636</v>
      </c>
      <c r="K35" s="89">
        <v>3.4415778545082869</v>
      </c>
      <c r="L35" s="89">
        <v>2.8061675976633005</v>
      </c>
      <c r="M35" s="89">
        <v>2.4207422499335332</v>
      </c>
      <c r="N35" s="89">
        <v>1.4958091090612922</v>
      </c>
      <c r="O35" s="89">
        <v>2.7741517774315532</v>
      </c>
    </row>
    <row r="36" spans="3:15" x14ac:dyDescent="0.2">
      <c r="C36" s="36" t="s">
        <v>129</v>
      </c>
      <c r="D36" s="89">
        <v>2.5096815689678067</v>
      </c>
      <c r="E36" s="89">
        <v>2.1973476018385787</v>
      </c>
      <c r="F36" s="89">
        <v>3.5268385915408409</v>
      </c>
      <c r="G36" s="89">
        <v>2.7664925923950614</v>
      </c>
      <c r="H36" s="89">
        <v>2.1049584045153047</v>
      </c>
      <c r="I36" s="89">
        <v>1.165273122364971</v>
      </c>
      <c r="J36" s="89">
        <v>1.9819843063728879</v>
      </c>
      <c r="K36" s="89">
        <v>1.8042545607320455</v>
      </c>
      <c r="L36" s="89">
        <v>3.5552327675662272</v>
      </c>
      <c r="M36" s="89">
        <v>1.7417553019234422</v>
      </c>
      <c r="N36" s="89">
        <v>1.2617164807289836</v>
      </c>
      <c r="O36" s="89">
        <v>1.1848940908993184</v>
      </c>
    </row>
    <row r="37" spans="3:15" x14ac:dyDescent="0.2">
      <c r="C37" s="36" t="s">
        <v>130</v>
      </c>
      <c r="D37" s="89">
        <v>3.2732212085889749</v>
      </c>
      <c r="E37" s="89">
        <v>3.0247523406709615</v>
      </c>
      <c r="F37" s="89">
        <v>1.4112941217089268</v>
      </c>
      <c r="G37" s="89">
        <v>2.0757401182614976</v>
      </c>
      <c r="H37" s="89">
        <v>3.148312878721053</v>
      </c>
      <c r="I37" s="89">
        <v>3.5279679246432765</v>
      </c>
      <c r="J37" s="89">
        <v>2.6158502955762897</v>
      </c>
      <c r="K37" s="89">
        <v>1.3660319384760538</v>
      </c>
      <c r="L37" s="89">
        <v>2.8644630839404885</v>
      </c>
      <c r="M37" s="89">
        <v>2.6977551547527776</v>
      </c>
      <c r="N37" s="89">
        <v>2.0210019991193695</v>
      </c>
      <c r="O37" s="89">
        <v>3.4614487150157798</v>
      </c>
    </row>
    <row r="38" spans="3:15" x14ac:dyDescent="0.2">
      <c r="C38" s="36" t="s">
        <v>131</v>
      </c>
      <c r="D38" s="89">
        <v>1.1727390152193962</v>
      </c>
      <c r="E38" s="89">
        <v>2.5488903430002905</v>
      </c>
      <c r="F38" s="89">
        <v>3.3492486500886955</v>
      </c>
      <c r="G38" s="89">
        <v>3.0907874239238855</v>
      </c>
      <c r="H38" s="89">
        <v>2.2842495109328809</v>
      </c>
      <c r="I38" s="89">
        <v>3.2069091031973134</v>
      </c>
      <c r="J38" s="89">
        <v>2.4200604594329755</v>
      </c>
      <c r="K38" s="89">
        <v>2.6918407916604945</v>
      </c>
      <c r="L38" s="89">
        <v>1.0277596739413057</v>
      </c>
      <c r="M38" s="89">
        <v>2.6679999716157248</v>
      </c>
      <c r="N38" s="89">
        <v>2.2789044989077585</v>
      </c>
      <c r="O38" s="89">
        <v>2.9298538541610326</v>
      </c>
    </row>
    <row r="39" spans="3:15" x14ac:dyDescent="0.2">
      <c r="C39" s="37" t="s">
        <v>132</v>
      </c>
      <c r="D39" s="89">
        <v>3.375656618083593</v>
      </c>
      <c r="E39" s="89">
        <v>2.4593005783953572</v>
      </c>
      <c r="F39" s="89">
        <v>1.7751543941620485</v>
      </c>
      <c r="G39" s="89">
        <v>2.7300465915973349</v>
      </c>
      <c r="H39" s="89">
        <v>2.4726764282107387</v>
      </c>
      <c r="I39" s="89">
        <v>2.016306692444283</v>
      </c>
      <c r="J39" s="89">
        <v>3.1854050248228973</v>
      </c>
      <c r="K39" s="89">
        <v>1.7968985477776309</v>
      </c>
      <c r="L39" s="89">
        <v>3.1877388502185764</v>
      </c>
      <c r="M39" s="89">
        <v>3.5726363064723228</v>
      </c>
      <c r="N39" s="89">
        <v>1.8592438615824975</v>
      </c>
      <c r="O39" s="89">
        <v>1.2408456517058628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customWidth="1"/>
    <col min="7" max="7" width="2.7109375" customWidth="1"/>
    <col min="8" max="8" width="11.140625" customWidth="1"/>
    <col min="11" max="12" width="4.7109375" customWidth="1"/>
    <col min="18" max="18" width="2.7109375" customWidth="1"/>
    <col min="19" max="19" width="14.7109375" customWidth="1"/>
    <col min="20" max="20" width="16.7109375" customWidth="1"/>
    <col min="21" max="21" width="4.7109375" customWidth="1"/>
  </cols>
  <sheetData>
    <row r="1" spans="1:20" x14ac:dyDescent="0.2">
      <c r="A1" s="180"/>
    </row>
    <row r="2" spans="1:20" ht="15.75" x14ac:dyDescent="0.25">
      <c r="C2" s="181" t="s">
        <v>165</v>
      </c>
      <c r="D2" s="181"/>
      <c r="E2" s="181"/>
      <c r="F2" s="181"/>
      <c r="G2" s="181"/>
      <c r="H2" s="181"/>
    </row>
    <row r="3" spans="1:20" ht="18.75" x14ac:dyDescent="0.25">
      <c r="C3" s="182" t="s">
        <v>413</v>
      </c>
      <c r="D3" s="182"/>
      <c r="E3" s="182"/>
      <c r="F3" s="182"/>
      <c r="G3" s="182"/>
    </row>
    <row r="5" spans="1:20" ht="15.75" x14ac:dyDescent="0.25">
      <c r="A5" s="183" t="s">
        <v>352</v>
      </c>
      <c r="B5" s="184"/>
      <c r="G5" s="185"/>
      <c r="L5" s="183" t="s">
        <v>353</v>
      </c>
      <c r="M5" s="184"/>
      <c r="R5" s="185"/>
    </row>
    <row r="6" spans="1:20" x14ac:dyDescent="0.2">
      <c r="A6" s="186" t="s">
        <v>354</v>
      </c>
      <c r="B6" s="184"/>
      <c r="G6" s="187"/>
      <c r="H6" s="114"/>
      <c r="L6" s="186" t="s">
        <v>355</v>
      </c>
      <c r="M6" s="184"/>
      <c r="S6" s="128"/>
    </row>
    <row r="7" spans="1:20" x14ac:dyDescent="0.2">
      <c r="A7" s="184"/>
      <c r="B7" s="184" t="s">
        <v>356</v>
      </c>
      <c r="G7" s="187"/>
      <c r="H7" s="188">
        <f>SUM(ORA!$D$116:$O$116)</f>
        <v>28301.480674917122</v>
      </c>
      <c r="L7" s="184"/>
      <c r="M7" s="184" t="s">
        <v>356</v>
      </c>
      <c r="S7" s="189">
        <f>SUM(ORA!$D$127:$O$127)</f>
        <v>110777202.12024081</v>
      </c>
    </row>
    <row r="8" spans="1:20" x14ac:dyDescent="0.2">
      <c r="A8" s="184"/>
      <c r="B8" s="184" t="s">
        <v>357</v>
      </c>
      <c r="G8" s="187"/>
      <c r="H8" s="190">
        <f>SUM(POJ!$D$116:$O$116)</f>
        <v>33987.722512498432</v>
      </c>
      <c r="L8" s="184"/>
      <c r="M8" s="184" t="s">
        <v>357</v>
      </c>
      <c r="S8" s="191">
        <f>SUM(POJ!$D$127:$O$127)</f>
        <v>129138056.85966727</v>
      </c>
    </row>
    <row r="9" spans="1:20" x14ac:dyDescent="0.2">
      <c r="A9" s="184"/>
      <c r="B9" s="184" t="s">
        <v>358</v>
      </c>
      <c r="G9" s="187"/>
      <c r="H9" s="190">
        <f>SUM(ROJ!$D$116:$O$116)</f>
        <v>107138.24272386011</v>
      </c>
      <c r="L9" s="184"/>
      <c r="M9" s="184" t="s">
        <v>358</v>
      </c>
      <c r="S9" s="191">
        <f>SUM(ROJ!$D$127:$O$127)</f>
        <v>385845204.23357594</v>
      </c>
    </row>
    <row r="10" spans="1:20" x14ac:dyDescent="0.2">
      <c r="A10" s="184"/>
      <c r="B10" s="184" t="s">
        <v>359</v>
      </c>
      <c r="G10" s="187"/>
      <c r="H10" s="192">
        <f>SUM(FCOJ!$D$116:$O$116)</f>
        <v>91443.063269509119</v>
      </c>
      <c r="L10" s="184"/>
      <c r="M10" s="184" t="s">
        <v>359</v>
      </c>
      <c r="S10" s="193">
        <f>SUM(FCOJ!$D$127:$O$127)</f>
        <v>317298220.27082747</v>
      </c>
    </row>
    <row r="11" spans="1:20" x14ac:dyDescent="0.2">
      <c r="A11" s="184"/>
      <c r="B11" s="184"/>
      <c r="G11" s="187"/>
      <c r="M11" s="184" t="s">
        <v>360</v>
      </c>
      <c r="T11" s="194">
        <f>SUM($S$7:$S$10)</f>
        <v>943058683.48431158</v>
      </c>
    </row>
    <row r="12" spans="1:20" x14ac:dyDescent="0.2">
      <c r="A12" s="186" t="s">
        <v>361</v>
      </c>
      <c r="B12" s="184"/>
      <c r="G12" s="187"/>
    </row>
    <row r="13" spans="1:20" x14ac:dyDescent="0.2">
      <c r="A13" s="184"/>
      <c r="B13" s="184" t="s">
        <v>362</v>
      </c>
      <c r="G13" s="187"/>
      <c r="H13" s="195">
        <f>SUM(grove!$C$48:$AX$53)</f>
        <v>410794.81607499899</v>
      </c>
      <c r="L13" s="186" t="s">
        <v>363</v>
      </c>
      <c r="M13" s="184"/>
    </row>
    <row r="14" spans="1:20" x14ac:dyDescent="0.2">
      <c r="A14" s="184"/>
      <c r="B14" s="184" t="s">
        <v>364</v>
      </c>
      <c r="G14" s="187"/>
      <c r="H14" s="188">
        <f>raw_materials!$P$30</f>
        <v>0</v>
      </c>
      <c r="L14" s="184"/>
      <c r="M14" s="184" t="s">
        <v>365</v>
      </c>
      <c r="S14" s="189">
        <f>SUM(grove!$C$58:$AX$63)</f>
        <v>573890665.99109721</v>
      </c>
    </row>
    <row r="15" spans="1:20" x14ac:dyDescent="0.2">
      <c r="A15" s="184"/>
      <c r="B15" s="184" t="s">
        <v>366</v>
      </c>
      <c r="G15" s="187"/>
      <c r="H15" s="192">
        <f>raw_materials!$P$36</f>
        <v>300000</v>
      </c>
      <c r="L15" s="184"/>
      <c r="M15" s="184" t="s">
        <v>367</v>
      </c>
      <c r="S15" s="191">
        <f>(raw_materials!D30*raw_materials!E30+raw_materials!F30*raw_materials!G30+raw_materials!H30*raw_materials!I30+raw_materials!J30*raw_materials!K30+raw_materials!L30*raw_materials!M30)*2000</f>
        <v>0</v>
      </c>
    </row>
    <row r="16" spans="1:20" x14ac:dyDescent="0.2">
      <c r="A16" s="184"/>
      <c r="B16" s="184" t="s">
        <v>368</v>
      </c>
      <c r="G16" s="187"/>
      <c r="H16" s="196">
        <v>35469.112721371057</v>
      </c>
      <c r="L16" s="184"/>
      <c r="M16" s="184" t="s">
        <v>369</v>
      </c>
      <c r="S16" s="191">
        <f>(raw_materials!D36*raw_materials!E36+raw_materials!F36*raw_materials!G36+raw_materials!H36*raw_materials!I36+raw_materials!J36*raw_materials!K36+raw_materials!L36*raw_materials!M36)*2000</f>
        <v>656778155.89149058</v>
      </c>
    </row>
    <row r="17" spans="1:21" x14ac:dyDescent="0.2">
      <c r="A17" s="184"/>
      <c r="B17" s="184" t="s">
        <v>370</v>
      </c>
      <c r="G17" s="187"/>
      <c r="H17" s="197">
        <v>38428.329563453401</v>
      </c>
      <c r="L17" s="184"/>
      <c r="M17" s="184" t="s">
        <v>371</v>
      </c>
      <c r="S17" s="191">
        <v>99307538.431196809</v>
      </c>
    </row>
    <row r="18" spans="1:21" x14ac:dyDescent="0.2">
      <c r="A18" s="184"/>
      <c r="B18" s="184" t="s">
        <v>372</v>
      </c>
      <c r="G18" s="187"/>
      <c r="H18" s="198">
        <v>278215.43058191374</v>
      </c>
      <c r="L18" s="184"/>
      <c r="M18" s="184" t="s">
        <v>373</v>
      </c>
      <c r="S18" s="193">
        <v>77575414.015506595</v>
      </c>
    </row>
    <row r="19" spans="1:21" x14ac:dyDescent="0.2">
      <c r="A19" s="184"/>
      <c r="B19" s="184" t="s">
        <v>374</v>
      </c>
      <c r="G19" s="187"/>
      <c r="H19" s="197">
        <v>318936.20438425645</v>
      </c>
      <c r="L19" s="184"/>
      <c r="M19" s="184" t="s">
        <v>375</v>
      </c>
      <c r="S19" s="199" t="s">
        <v>376</v>
      </c>
      <c r="T19" s="200">
        <f>SUM($S$14:$S$18)</f>
        <v>1407551774.3292911</v>
      </c>
      <c r="U19" t="s">
        <v>377</v>
      </c>
    </row>
    <row r="20" spans="1:21" x14ac:dyDescent="0.2">
      <c r="A20" s="184"/>
      <c r="B20" s="184" t="s">
        <v>378</v>
      </c>
      <c r="G20" s="187"/>
      <c r="H20" s="192">
        <v>149359.58949228923</v>
      </c>
      <c r="L20" s="184"/>
      <c r="M20" s="184"/>
    </row>
    <row r="21" spans="1:21" x14ac:dyDescent="0.2">
      <c r="A21" s="184"/>
      <c r="B21" s="184"/>
      <c r="G21" s="187"/>
      <c r="L21" s="186" t="s">
        <v>379</v>
      </c>
      <c r="M21" s="184"/>
      <c r="S21" s="128"/>
    </row>
    <row r="22" spans="1:21" x14ac:dyDescent="0.2">
      <c r="A22" s="186" t="s">
        <v>380</v>
      </c>
      <c r="B22" s="184"/>
      <c r="G22" s="187"/>
      <c r="L22" s="184"/>
      <c r="M22" s="184" t="s">
        <v>381</v>
      </c>
      <c r="S22" s="191">
        <v>70938225.442742139</v>
      </c>
    </row>
    <row r="23" spans="1:21" x14ac:dyDescent="0.2">
      <c r="A23" s="184"/>
      <c r="B23" s="184" t="s">
        <v>382</v>
      </c>
      <c r="G23" s="187"/>
      <c r="H23" s="188">
        <f>SUM(raw_materials!$O$31:$O$35)</f>
        <v>200000</v>
      </c>
      <c r="L23" s="184"/>
      <c r="M23" s="184" t="s">
        <v>383</v>
      </c>
      <c r="S23" s="191">
        <v>38428329.563453391</v>
      </c>
    </row>
    <row r="24" spans="1:21" x14ac:dyDescent="0.2">
      <c r="A24" s="184"/>
      <c r="B24" s="184" t="s">
        <v>384</v>
      </c>
      <c r="G24" s="187"/>
      <c r="H24" s="192">
        <f>SUM(raw_materials!$O$37:$O$41)</f>
        <v>200000</v>
      </c>
      <c r="L24" s="184"/>
      <c r="M24" s="184" t="s">
        <v>385</v>
      </c>
      <c r="S24" s="193">
        <v>180840029.87824401</v>
      </c>
    </row>
    <row r="25" spans="1:21" x14ac:dyDescent="0.2">
      <c r="A25" s="184"/>
      <c r="B25" s="184"/>
      <c r="G25" s="187"/>
      <c r="L25" s="184"/>
      <c r="M25" s="184" t="s">
        <v>386</v>
      </c>
      <c r="S25" s="199" t="s">
        <v>376</v>
      </c>
      <c r="T25" s="200">
        <f>SUM($S$22:$S$24)</f>
        <v>290206584.88443953</v>
      </c>
      <c r="U25" t="s">
        <v>377</v>
      </c>
    </row>
    <row r="26" spans="1:21" x14ac:dyDescent="0.2">
      <c r="A26" s="186" t="s">
        <v>387</v>
      </c>
      <c r="B26" s="184"/>
      <c r="G26" s="187"/>
      <c r="L26" s="184"/>
      <c r="M26" s="184"/>
    </row>
    <row r="27" spans="1:21" x14ac:dyDescent="0.2">
      <c r="A27" s="184"/>
      <c r="B27" s="184" t="s">
        <v>388</v>
      </c>
      <c r="G27" s="187"/>
      <c r="H27" s="188">
        <f>SUMIF(facilities!$C$6:$C$15,"&gt;0",facilities!$C$6:$C$15)</f>
        <v>0</v>
      </c>
      <c r="L27" s="186" t="s">
        <v>389</v>
      </c>
      <c r="M27" s="184"/>
    </row>
    <row r="28" spans="1:21" x14ac:dyDescent="0.2">
      <c r="A28" s="184"/>
      <c r="B28" s="184" t="s">
        <v>390</v>
      </c>
      <c r="G28" s="187"/>
      <c r="H28" s="190">
        <f>SUMIF(facilities!$C$36:$C$106,"&gt;0",facilities!$C$36:$C$106)</f>
        <v>0</v>
      </c>
      <c r="L28" s="184"/>
      <c r="M28" s="184" t="s">
        <v>391</v>
      </c>
      <c r="S28" s="189">
        <v>86167008</v>
      </c>
    </row>
    <row r="29" spans="1:21" x14ac:dyDescent="0.2">
      <c r="A29" s="184"/>
      <c r="B29" s="184" t="s">
        <v>392</v>
      </c>
      <c r="G29" s="187"/>
      <c r="H29" s="190">
        <f>SUMIF(facilities!$C$6:$C$15,"&lt;0",facilities!$C$6:$C$15)</f>
        <v>-1352</v>
      </c>
      <c r="L29" s="184"/>
      <c r="M29" s="184" t="s">
        <v>393</v>
      </c>
      <c r="S29" s="191">
        <v>26691486.900000006</v>
      </c>
    </row>
    <row r="30" spans="1:21" x14ac:dyDescent="0.2">
      <c r="A30" s="184"/>
      <c r="B30" s="184" t="s">
        <v>394</v>
      </c>
      <c r="G30" s="187"/>
      <c r="H30" s="192">
        <f>SUMIF(facilities!$C$36:$C$106,"&lt;0",facilities!$C$36:$C$106)</f>
        <v>0</v>
      </c>
      <c r="L30" s="184"/>
      <c r="M30" s="184" t="s">
        <v>395</v>
      </c>
      <c r="S30" s="191">
        <v>183204134.95989174</v>
      </c>
    </row>
    <row r="31" spans="1:21" x14ac:dyDescent="0.2">
      <c r="L31" s="184"/>
      <c r="M31" s="184" t="s">
        <v>396</v>
      </c>
      <c r="S31" s="193">
        <f>SUM(ORA!D138:O138)+SUM(POJ!D138:O138)+SUM(ROJ!D138:O138)+SUM(FCOJ!D138:O138)</f>
        <v>230724298.39429283</v>
      </c>
    </row>
    <row r="32" spans="1:21" x14ac:dyDescent="0.2">
      <c r="A32" s="186" t="s">
        <v>397</v>
      </c>
      <c r="B32" s="184"/>
      <c r="G32" s="187"/>
      <c r="L32" s="184"/>
      <c r="M32" s="184" t="s">
        <v>398</v>
      </c>
      <c r="S32" s="116" t="s">
        <v>376</v>
      </c>
      <c r="T32" s="200">
        <f>SUM($S$28:$S$31)</f>
        <v>526786928.2541846</v>
      </c>
      <c r="U32" t="s">
        <v>377</v>
      </c>
    </row>
    <row r="33" spans="1:21" x14ac:dyDescent="0.2">
      <c r="A33" s="184"/>
      <c r="B33" s="184" t="s">
        <v>399</v>
      </c>
      <c r="G33" s="187"/>
      <c r="H33" s="188">
        <f>COUNTIF(facilities!$H$6:$H$15,"=new")</f>
        <v>0</v>
      </c>
      <c r="M33" s="184"/>
    </row>
    <row r="34" spans="1:21" x14ac:dyDescent="0.2">
      <c r="A34" s="184"/>
      <c r="B34" s="184" t="s">
        <v>400</v>
      </c>
      <c r="G34" s="187"/>
      <c r="H34" s="190">
        <f>COUNTIF(facilities!$H$36:$H$106,"=new")</f>
        <v>0</v>
      </c>
      <c r="L34" s="186" t="s">
        <v>401</v>
      </c>
      <c r="M34" s="184"/>
    </row>
    <row r="35" spans="1:21" x14ac:dyDescent="0.2">
      <c r="B35" s="184" t="s">
        <v>18</v>
      </c>
      <c r="H35" s="192">
        <f>SUMIF(facilities!$C$21:$C$30,"&gt;0",facilities!$C$21:$C$30)</f>
        <v>0</v>
      </c>
      <c r="L35" s="184"/>
      <c r="M35" s="184" t="s">
        <v>402</v>
      </c>
      <c r="S35" s="189">
        <v>41877500</v>
      </c>
    </row>
    <row r="36" spans="1:21" x14ac:dyDescent="0.2">
      <c r="L36" s="184"/>
      <c r="M36" s="184" t="s">
        <v>403</v>
      </c>
      <c r="S36" s="191">
        <f>H33*12000000-H38*70/100*12000000</f>
        <v>0</v>
      </c>
    </row>
    <row r="37" spans="1:21" x14ac:dyDescent="0.2">
      <c r="A37" s="186" t="s">
        <v>404</v>
      </c>
      <c r="L37" s="184"/>
      <c r="M37" s="184" t="s">
        <v>405</v>
      </c>
      <c r="S37" s="191">
        <f>H27*8000+H29*70/100*8000</f>
        <v>-7571200</v>
      </c>
    </row>
    <row r="38" spans="1:21" x14ac:dyDescent="0.2">
      <c r="B38" s="184" t="s">
        <v>399</v>
      </c>
      <c r="H38" s="188">
        <f>COUNTIF(facilities!$H$6:$H$15,"=sold")</f>
        <v>0</v>
      </c>
      <c r="L38" s="184"/>
      <c r="M38" s="184" t="s">
        <v>406</v>
      </c>
      <c r="S38" s="191">
        <v>68950000</v>
      </c>
    </row>
    <row r="39" spans="1:21" x14ac:dyDescent="0.2">
      <c r="B39" s="184" t="s">
        <v>400</v>
      </c>
      <c r="H39" s="190">
        <f>COUNTIF(facilities!$H$36:$H$106,"=sold")</f>
        <v>0</v>
      </c>
      <c r="L39" s="184"/>
      <c r="M39" s="184" t="s">
        <v>407</v>
      </c>
      <c r="S39" s="191">
        <f>H34*9000000-H39*80/100*9000000</f>
        <v>0</v>
      </c>
    </row>
    <row r="40" spans="1:21" x14ac:dyDescent="0.2">
      <c r="B40" s="184" t="s">
        <v>18</v>
      </c>
      <c r="H40" s="192">
        <f>-SUMIF(facilities!$C$21:$C$30,"&lt;0",facilities!$C$21:$C$30)</f>
        <v>31</v>
      </c>
      <c r="L40" s="184"/>
      <c r="M40" s="184" t="s">
        <v>408</v>
      </c>
      <c r="S40" s="191">
        <f>H28*6000+H30*80/100*6000</f>
        <v>0</v>
      </c>
    </row>
    <row r="41" spans="1:21" x14ac:dyDescent="0.2">
      <c r="L41" s="184"/>
      <c r="M41" s="184" t="s">
        <v>409</v>
      </c>
      <c r="S41" s="191">
        <v>60070</v>
      </c>
    </row>
    <row r="42" spans="1:21" x14ac:dyDescent="0.2">
      <c r="L42" s="184"/>
      <c r="M42" s="184" t="s">
        <v>410</v>
      </c>
      <c r="S42" s="193">
        <f>H35*100000-H40*60/100*100000</f>
        <v>-1860000.0000000002</v>
      </c>
    </row>
    <row r="43" spans="1:21" x14ac:dyDescent="0.2">
      <c r="L43" s="184"/>
      <c r="M43" s="184" t="s">
        <v>411</v>
      </c>
      <c r="S43" s="178" t="s">
        <v>376</v>
      </c>
      <c r="T43" s="200">
        <f>SUM($S$35:$S$42)</f>
        <v>101456370</v>
      </c>
      <c r="U43" t="s">
        <v>377</v>
      </c>
    </row>
    <row r="44" spans="1:21" x14ac:dyDescent="0.2">
      <c r="L44" s="184"/>
      <c r="S44" s="114"/>
    </row>
    <row r="45" spans="1:21" ht="14.25" thickBot="1" x14ac:dyDescent="0.3">
      <c r="L45" s="201" t="s">
        <v>412</v>
      </c>
      <c r="M45" s="184"/>
      <c r="T45" s="202">
        <f>$T$11-$T$19-$T$25-$T$32-$T$43</f>
        <v>-1382942973.9836035</v>
      </c>
    </row>
    <row r="46" spans="1:21" ht="13.5" thickTop="1" x14ac:dyDescent="0.2">
      <c r="M46" s="184"/>
    </row>
    <row r="316" spans="1:1" x14ac:dyDescent="0.2">
      <c r="A316" s="180"/>
    </row>
    <row r="317" spans="1:1" x14ac:dyDescent="0.2">
      <c r="A317" s="180"/>
    </row>
    <row r="318" spans="1:1" x14ac:dyDescent="0.2">
      <c r="A318" s="180"/>
    </row>
    <row r="319" spans="1:1" x14ac:dyDescent="0.2">
      <c r="A319" s="180"/>
    </row>
    <row r="320" spans="1:1" x14ac:dyDescent="0.2">
      <c r="A320" s="180"/>
    </row>
    <row r="321" spans="1:1" x14ac:dyDescent="0.2">
      <c r="A321" s="180"/>
    </row>
    <row r="322" spans="1:1" x14ac:dyDescent="0.2">
      <c r="A322" s="180"/>
    </row>
    <row r="323" spans="1:1" x14ac:dyDescent="0.2">
      <c r="A323" s="180"/>
    </row>
    <row r="325" spans="1:1" x14ac:dyDescent="0.2">
      <c r="A325" s="180"/>
    </row>
    <row r="326" spans="1:1" x14ac:dyDescent="0.2">
      <c r="A326" s="180"/>
    </row>
    <row r="327" spans="1:1" x14ac:dyDescent="0.2">
      <c r="A327" s="180"/>
    </row>
    <row r="328" spans="1:1" x14ac:dyDescent="0.2">
      <c r="A328" s="180"/>
    </row>
    <row r="329" spans="1:1" x14ac:dyDescent="0.2">
      <c r="A329" s="180"/>
    </row>
    <row r="330" spans="1:1" x14ac:dyDescent="0.2">
      <c r="A330" s="180"/>
    </row>
    <row r="331" spans="1:1" x14ac:dyDescent="0.2">
      <c r="A331" s="180"/>
    </row>
    <row r="332" spans="1:1" x14ac:dyDescent="0.2">
      <c r="A332" s="180"/>
    </row>
    <row r="334" spans="1:1" x14ac:dyDescent="0.2">
      <c r="A334" s="180"/>
    </row>
    <row r="335" spans="1:1" x14ac:dyDescent="0.2">
      <c r="A335" s="180"/>
    </row>
    <row r="336" spans="1:1" x14ac:dyDescent="0.2">
      <c r="A336" s="180"/>
    </row>
    <row r="337" spans="1:1" x14ac:dyDescent="0.2">
      <c r="A337" s="180"/>
    </row>
    <row r="338" spans="1:1" x14ac:dyDescent="0.2">
      <c r="A338" s="180"/>
    </row>
    <row r="339" spans="1:1" x14ac:dyDescent="0.2">
      <c r="A339" s="180"/>
    </row>
    <row r="340" spans="1:1" x14ac:dyDescent="0.2">
      <c r="A340" s="180"/>
    </row>
    <row r="341" spans="1:1" x14ac:dyDescent="0.2">
      <c r="A341" s="180"/>
    </row>
    <row r="343" spans="1:1" x14ac:dyDescent="0.2">
      <c r="A343" s="180"/>
    </row>
    <row r="344" spans="1:1" x14ac:dyDescent="0.2">
      <c r="A344" s="180"/>
    </row>
    <row r="345" spans="1:1" x14ac:dyDescent="0.2">
      <c r="A345" s="180"/>
    </row>
    <row r="346" spans="1:1" x14ac:dyDescent="0.2">
      <c r="A346" s="180"/>
    </row>
    <row r="347" spans="1:1" x14ac:dyDescent="0.2">
      <c r="A347" s="180"/>
    </row>
    <row r="348" spans="1:1" x14ac:dyDescent="0.2">
      <c r="A348" s="180"/>
    </row>
    <row r="349" spans="1:1" x14ac:dyDescent="0.2">
      <c r="A349" s="180"/>
    </row>
    <row r="350" spans="1:1" x14ac:dyDescent="0.2">
      <c r="A350" s="180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topLeftCell="A25" workbookViewId="0">
      <selection activeCell="C38" sqref="C38:AX43"/>
    </sheetView>
  </sheetViews>
  <sheetFormatPr defaultRowHeight="12.75" x14ac:dyDescent="0.2"/>
  <cols>
    <col min="1" max="1" width="4.7109375" customWidth="1"/>
    <col min="2" max="2" width="15.7109375" customWidth="1"/>
  </cols>
  <sheetData>
    <row r="2" spans="2:14" x14ac:dyDescent="0.2">
      <c r="B2" s="1" t="s">
        <v>313</v>
      </c>
    </row>
    <row r="3" spans="2:14" x14ac:dyDescent="0.2">
      <c r="B3" s="107" t="s">
        <v>314</v>
      </c>
    </row>
    <row r="4" spans="2:14" x14ac:dyDescent="0.2">
      <c r="B4" s="173" t="s">
        <v>91</v>
      </c>
      <c r="C4" s="173" t="s">
        <v>92</v>
      </c>
      <c r="D4" s="173" t="s">
        <v>93</v>
      </c>
      <c r="E4" s="173" t="s">
        <v>94</v>
      </c>
      <c r="F4" s="173" t="s">
        <v>95</v>
      </c>
      <c r="G4" s="173" t="s">
        <v>96</v>
      </c>
      <c r="H4" s="173" t="s">
        <v>97</v>
      </c>
      <c r="I4" s="173" t="s">
        <v>98</v>
      </c>
      <c r="J4" s="173" t="s">
        <v>99</v>
      </c>
      <c r="K4" s="173" t="s">
        <v>100</v>
      </c>
      <c r="L4" s="173" t="s">
        <v>101</v>
      </c>
      <c r="M4" s="173" t="s">
        <v>102</v>
      </c>
      <c r="N4" s="173" t="s">
        <v>103</v>
      </c>
    </row>
    <row r="5" spans="2:14" x14ac:dyDescent="0.2">
      <c r="B5" s="174" t="s">
        <v>104</v>
      </c>
      <c r="C5">
        <v>0.59531439043588119</v>
      </c>
      <c r="D5">
        <v>0.71378738811185805</v>
      </c>
      <c r="E5">
        <v>0.59930573589088654</v>
      </c>
      <c r="F5">
        <v>0.55040138279150796</v>
      </c>
      <c r="G5">
        <v>0.87607761541326024</v>
      </c>
      <c r="H5">
        <v>0.68458097003058638</v>
      </c>
      <c r="I5">
        <v>0.58567426507695219</v>
      </c>
      <c r="J5">
        <v>0.69531431449917791</v>
      </c>
      <c r="K5">
        <v>0.70234800261253016</v>
      </c>
      <c r="L5">
        <v>0.62120125905290124</v>
      </c>
      <c r="M5">
        <v>0.68793758834607155</v>
      </c>
      <c r="N5">
        <v>0.57000133364798355</v>
      </c>
    </row>
    <row r="6" spans="2:14" x14ac:dyDescent="0.2">
      <c r="B6" s="174" t="s">
        <v>105</v>
      </c>
      <c r="C6">
        <v>0.65315187563363286</v>
      </c>
      <c r="D6">
        <v>0.70641383030318816</v>
      </c>
      <c r="E6">
        <v>0.70586375366556442</v>
      </c>
      <c r="F6">
        <v>0.78230268092188293</v>
      </c>
      <c r="G6">
        <v>0.72096650847566823</v>
      </c>
      <c r="H6">
        <v>0.71076959971629083</v>
      </c>
      <c r="I6">
        <v>0.7306791737028927</v>
      </c>
      <c r="J6">
        <v>0.64030155947615619</v>
      </c>
      <c r="K6">
        <v>0.67980714658764962</v>
      </c>
      <c r="L6">
        <v>0.66152458808629644</v>
      </c>
      <c r="M6">
        <v>0.69631914065437051</v>
      </c>
      <c r="N6">
        <v>0.66244614711519412</v>
      </c>
    </row>
    <row r="7" spans="2:14" x14ac:dyDescent="0.2">
      <c r="B7" s="174" t="s">
        <v>106</v>
      </c>
      <c r="C7">
        <v>0.73437379721568852</v>
      </c>
      <c r="D7">
        <v>0.74841217999593757</v>
      </c>
      <c r="E7">
        <v>0.70947339142042221</v>
      </c>
      <c r="F7">
        <v>0.68699769776866459</v>
      </c>
      <c r="G7">
        <v>0.67995333424505433</v>
      </c>
      <c r="H7">
        <v>0.69325322204054252</v>
      </c>
      <c r="I7">
        <v>0.76602907688106248</v>
      </c>
      <c r="J7">
        <v>0.98832954827531172</v>
      </c>
      <c r="K7">
        <v>0.71280005836054972</v>
      </c>
      <c r="L7">
        <v>0.73996974376066527</v>
      </c>
      <c r="M7">
        <v>0.79783576835689252</v>
      </c>
      <c r="N7">
        <v>0.79064304550554998</v>
      </c>
    </row>
    <row r="8" spans="2:14" x14ac:dyDescent="0.2">
      <c r="B8" s="174" t="s">
        <v>107</v>
      </c>
      <c r="C8">
        <v>0.83290653707383666</v>
      </c>
      <c r="D8">
        <v>0.77731742717880448</v>
      </c>
      <c r="E8">
        <v>0.72858036722459818</v>
      </c>
      <c r="F8">
        <v>0.97098033875211176</v>
      </c>
      <c r="G8">
        <v>0.72572548672423876</v>
      </c>
      <c r="H8">
        <v>0.67511046658776208</v>
      </c>
      <c r="I8">
        <v>0.66444001431472099</v>
      </c>
      <c r="J8">
        <v>0.67156164095132287</v>
      </c>
      <c r="K8">
        <v>0.70874928060606512</v>
      </c>
      <c r="L8">
        <v>0.66179297330109244</v>
      </c>
      <c r="M8">
        <v>0.68554240549427936</v>
      </c>
      <c r="N8">
        <v>0.69883887829719726</v>
      </c>
    </row>
    <row r="9" spans="2:14" x14ac:dyDescent="0.2">
      <c r="B9" s="174" t="s">
        <v>108</v>
      </c>
      <c r="C9">
        <v>2.0848712301254273</v>
      </c>
      <c r="D9">
        <v>2.0373619592189791</v>
      </c>
      <c r="E9">
        <v>2.0412362074851989</v>
      </c>
      <c r="F9">
        <v>2.0643241560459136</v>
      </c>
      <c r="G9">
        <v>2.0346782302856448</v>
      </c>
      <c r="H9">
        <v>2.073512247800827</v>
      </c>
      <c r="I9">
        <v>2.1010714745521546</v>
      </c>
      <c r="J9">
        <v>2.104959956407547</v>
      </c>
      <c r="K9">
        <v>2.0773460245132447</v>
      </c>
      <c r="L9">
        <v>2.076783279180527</v>
      </c>
      <c r="M9">
        <v>2.0224351382255557</v>
      </c>
      <c r="N9">
        <v>2.0723386919498443</v>
      </c>
    </row>
    <row r="10" spans="2:14" x14ac:dyDescent="0.2">
      <c r="B10" s="174" t="s">
        <v>109</v>
      </c>
      <c r="C10">
        <v>0.69580063819885252</v>
      </c>
      <c r="D10">
        <v>0.61464697718620298</v>
      </c>
      <c r="E10">
        <v>0.69416142702102668</v>
      </c>
      <c r="F10">
        <v>0.66620767712593076</v>
      </c>
      <c r="G10">
        <v>0.66205012798309326</v>
      </c>
      <c r="H10">
        <v>0.6073291718959809</v>
      </c>
      <c r="I10">
        <v>0.66682285070419312</v>
      </c>
      <c r="J10">
        <v>0.62109938263893127</v>
      </c>
      <c r="K10">
        <v>0.60374708175659186</v>
      </c>
      <c r="L10">
        <v>0.68812209963798521</v>
      </c>
      <c r="M10">
        <v>0.63179270029067991</v>
      </c>
      <c r="N10">
        <v>0.62914393544197089</v>
      </c>
    </row>
    <row r="11" spans="2:14" x14ac:dyDescent="0.2">
      <c r="B11" s="175"/>
      <c r="C11" s="106"/>
      <c r="D11" s="106"/>
      <c r="E11" s="106"/>
      <c r="F11" s="106"/>
      <c r="G11" s="106"/>
    </row>
    <row r="12" spans="2:14" x14ac:dyDescent="0.2">
      <c r="B12" s="108" t="s">
        <v>315</v>
      </c>
      <c r="C12" s="106"/>
      <c r="D12" s="106"/>
      <c r="E12" s="106"/>
      <c r="F12" s="106"/>
      <c r="G12" s="106"/>
    </row>
    <row r="13" spans="2:14" x14ac:dyDescent="0.2">
      <c r="B13" s="174" t="s">
        <v>316</v>
      </c>
      <c r="C13" s="174" t="s">
        <v>92</v>
      </c>
      <c r="D13" s="174" t="s">
        <v>93</v>
      </c>
      <c r="E13" s="173" t="s">
        <v>94</v>
      </c>
      <c r="F13" s="173" t="s">
        <v>95</v>
      </c>
      <c r="G13" s="173" t="s">
        <v>96</v>
      </c>
      <c r="H13" s="173" t="s">
        <v>97</v>
      </c>
      <c r="I13" s="173" t="s">
        <v>98</v>
      </c>
      <c r="J13" s="173" t="s">
        <v>99</v>
      </c>
      <c r="K13" s="173" t="s">
        <v>100</v>
      </c>
      <c r="L13" s="173" t="s">
        <v>101</v>
      </c>
      <c r="M13" s="173" t="s">
        <v>102</v>
      </c>
      <c r="N13" s="173" t="s">
        <v>103</v>
      </c>
    </row>
    <row r="14" spans="2:14" x14ac:dyDescent="0.2">
      <c r="B14" s="173" t="s">
        <v>317</v>
      </c>
      <c r="C14" s="106">
        <v>0.34577530606918105</v>
      </c>
      <c r="D14" s="106">
        <v>0.34705878030031606</v>
      </c>
      <c r="E14" s="106">
        <v>0.34833864306948314</v>
      </c>
      <c r="F14" s="106">
        <v>0.3496112930767083</v>
      </c>
      <c r="G14" s="106">
        <v>0.3508731493174117</v>
      </c>
      <c r="H14">
        <v>0.35212066115870055</v>
      </c>
      <c r="I14">
        <v>0.35335031833020059</v>
      </c>
      <c r="J14">
        <v>0.35455866080131621</v>
      </c>
      <c r="K14">
        <v>0.35574228851712397</v>
      </c>
      <c r="L14">
        <v>0.35689787096550568</v>
      </c>
      <c r="M14">
        <v>0.35802215654860164</v>
      </c>
      <c r="N14">
        <v>0.35911198173221209</v>
      </c>
    </row>
    <row r="15" spans="2:14" x14ac:dyDescent="0.2">
      <c r="B15" s="173" t="s">
        <v>318</v>
      </c>
      <c r="C15">
        <v>1.0145037575698712</v>
      </c>
      <c r="D15">
        <v>1.0171935502254232</v>
      </c>
      <c r="E15">
        <v>1.0198757742959257</v>
      </c>
      <c r="F15">
        <v>1.0225428824929443</v>
      </c>
      <c r="G15">
        <v>1.0251873700613507</v>
      </c>
      <c r="H15">
        <v>1.0278017958963326</v>
      </c>
      <c r="I15">
        <v>1.0303788034813022</v>
      </c>
      <c r="J15">
        <v>1.0329111415877898</v>
      </c>
      <c r="K15">
        <v>1.0353916846790772</v>
      </c>
      <c r="L15">
        <v>1.0378134529601539</v>
      </c>
      <c r="M15">
        <v>1.0401696320175862</v>
      </c>
      <c r="N15">
        <v>1.0424535919940312</v>
      </c>
    </row>
    <row r="16" spans="2:14" x14ac:dyDescent="0.2">
      <c r="B16" s="106"/>
    </row>
    <row r="17" spans="2:14" x14ac:dyDescent="0.2">
      <c r="B17" s="107" t="s">
        <v>319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6" t="s">
        <v>104</v>
      </c>
      <c r="C19">
        <f>C5</f>
        <v>0.59531439043588119</v>
      </c>
      <c r="D19">
        <f t="shared" ref="D19:N20" si="0">D5</f>
        <v>0.71378738811185805</v>
      </c>
      <c r="E19">
        <f t="shared" si="0"/>
        <v>0.59930573589088654</v>
      </c>
      <c r="F19">
        <f t="shared" si="0"/>
        <v>0.55040138279150796</v>
      </c>
      <c r="G19">
        <f t="shared" si="0"/>
        <v>0.87607761541326024</v>
      </c>
      <c r="H19">
        <f t="shared" si="0"/>
        <v>0.68458097003058638</v>
      </c>
      <c r="I19">
        <f t="shared" si="0"/>
        <v>0.58567426507695219</v>
      </c>
      <c r="J19">
        <f t="shared" si="0"/>
        <v>0.69531431449917791</v>
      </c>
      <c r="K19">
        <f t="shared" si="0"/>
        <v>0.70234800261253016</v>
      </c>
      <c r="L19">
        <f t="shared" si="0"/>
        <v>0.62120125905290124</v>
      </c>
      <c r="M19">
        <f t="shared" si="0"/>
        <v>0.68793758834607155</v>
      </c>
      <c r="N19">
        <f t="shared" si="0"/>
        <v>0.57000133364798355</v>
      </c>
    </row>
    <row r="20" spans="2:14" x14ac:dyDescent="0.2">
      <c r="B20" s="176" t="s">
        <v>105</v>
      </c>
      <c r="C20">
        <f>C6</f>
        <v>0.65315187563363286</v>
      </c>
      <c r="D20">
        <f t="shared" si="0"/>
        <v>0.70641383030318816</v>
      </c>
      <c r="E20">
        <f t="shared" si="0"/>
        <v>0.70586375366556442</v>
      </c>
      <c r="F20">
        <f t="shared" si="0"/>
        <v>0.78230268092188293</v>
      </c>
      <c r="G20">
        <f t="shared" si="0"/>
        <v>0.72096650847566823</v>
      </c>
      <c r="H20">
        <f t="shared" si="0"/>
        <v>0.71076959971629083</v>
      </c>
      <c r="I20">
        <f t="shared" si="0"/>
        <v>0.7306791737028927</v>
      </c>
      <c r="J20">
        <f t="shared" si="0"/>
        <v>0.64030155947615619</v>
      </c>
      <c r="K20">
        <f t="shared" si="0"/>
        <v>0.67980714658764962</v>
      </c>
      <c r="L20">
        <f t="shared" si="0"/>
        <v>0.66152458808629644</v>
      </c>
      <c r="M20">
        <f t="shared" si="0"/>
        <v>0.69631914065437051</v>
      </c>
      <c r="N20">
        <f t="shared" si="0"/>
        <v>0.66244614711519412</v>
      </c>
    </row>
    <row r="21" spans="2:14" x14ac:dyDescent="0.2">
      <c r="B21" s="176" t="s">
        <v>106</v>
      </c>
      <c r="C21">
        <f t="shared" ref="C21:N22" si="1">C7</f>
        <v>0.73437379721568852</v>
      </c>
      <c r="D21">
        <f t="shared" si="1"/>
        <v>0.74841217999593757</v>
      </c>
      <c r="E21">
        <f t="shared" si="1"/>
        <v>0.70947339142042221</v>
      </c>
      <c r="F21">
        <f t="shared" si="1"/>
        <v>0.68699769776866459</v>
      </c>
      <c r="G21">
        <f t="shared" si="1"/>
        <v>0.67995333424505433</v>
      </c>
      <c r="H21">
        <f t="shared" si="1"/>
        <v>0.69325322204054252</v>
      </c>
      <c r="I21">
        <f t="shared" si="1"/>
        <v>0.76602907688106248</v>
      </c>
      <c r="J21">
        <f t="shared" si="1"/>
        <v>0.98832954827531172</v>
      </c>
      <c r="K21">
        <f t="shared" si="1"/>
        <v>0.71280005836054972</v>
      </c>
      <c r="L21">
        <f t="shared" si="1"/>
        <v>0.73996974376066527</v>
      </c>
      <c r="M21">
        <f t="shared" si="1"/>
        <v>0.79783576835689252</v>
      </c>
      <c r="N21">
        <f t="shared" si="1"/>
        <v>0.79064304550554998</v>
      </c>
    </row>
    <row r="22" spans="2:14" x14ac:dyDescent="0.2">
      <c r="B22" s="176" t="s">
        <v>107</v>
      </c>
      <c r="C22">
        <f t="shared" si="1"/>
        <v>0.83290653707383666</v>
      </c>
      <c r="D22">
        <f t="shared" si="1"/>
        <v>0.77731742717880448</v>
      </c>
      <c r="E22">
        <f t="shared" si="1"/>
        <v>0.72858036722459818</v>
      </c>
      <c r="F22">
        <f t="shared" si="1"/>
        <v>0.97098033875211176</v>
      </c>
      <c r="G22">
        <f t="shared" si="1"/>
        <v>0.72572548672423876</v>
      </c>
      <c r="H22">
        <f t="shared" si="1"/>
        <v>0.67511046658776208</v>
      </c>
      <c r="I22">
        <f t="shared" si="1"/>
        <v>0.66444001431472099</v>
      </c>
      <c r="J22">
        <f t="shared" si="1"/>
        <v>0.67156164095132287</v>
      </c>
      <c r="K22">
        <f t="shared" si="1"/>
        <v>0.70874928060606512</v>
      </c>
      <c r="L22">
        <f t="shared" si="1"/>
        <v>0.66179297330109244</v>
      </c>
      <c r="M22">
        <f t="shared" si="1"/>
        <v>0.68554240549427936</v>
      </c>
      <c r="N22">
        <f t="shared" si="1"/>
        <v>0.69883887829719726</v>
      </c>
    </row>
    <row r="23" spans="2:14" x14ac:dyDescent="0.2">
      <c r="B23" s="176" t="s">
        <v>108</v>
      </c>
      <c r="C23">
        <f>C9*C14</f>
        <v>0.72089698771144961</v>
      </c>
      <c r="D23">
        <f t="shared" ref="D23:N24" si="2">D9*D14</f>
        <v>0.70708435659680113</v>
      </c>
      <c r="E23">
        <f t="shared" si="2"/>
        <v>0.71104145069969216</v>
      </c>
      <c r="F23">
        <f t="shared" si="2"/>
        <v>0.72171103752469645</v>
      </c>
      <c r="G23">
        <f t="shared" si="2"/>
        <v>0.71391395850790207</v>
      </c>
      <c r="H23">
        <f t="shared" si="2"/>
        <v>0.7301265036162905</v>
      </c>
      <c r="I23">
        <f t="shared" si="2"/>
        <v>0.74241427436750773</v>
      </c>
      <c r="J23">
        <f t="shared" si="2"/>
        <v>0.74633178318425675</v>
      </c>
      <c r="K23">
        <f t="shared" si="2"/>
        <v>0.7389998288022912</v>
      </c>
      <c r="L23">
        <f t="shared" si="2"/>
        <v>0.74119953079629153</v>
      </c>
      <c r="M23">
        <f t="shared" si="2"/>
        <v>0.72407658966718269</v>
      </c>
      <c r="N23">
        <f t="shared" si="2"/>
        <v>0.74420165448644882</v>
      </c>
    </row>
    <row r="24" spans="2:14" x14ac:dyDescent="0.2">
      <c r="B24" s="176" t="s">
        <v>109</v>
      </c>
      <c r="C24">
        <f>C10*C15</f>
        <v>0.70589236197225036</v>
      </c>
      <c r="D24">
        <f t="shared" si="2"/>
        <v>0.62521494085935858</v>
      </c>
      <c r="E24">
        <f t="shared" si="2"/>
        <v>0.70795842286943433</v>
      </c>
      <c r="F24">
        <f t="shared" si="2"/>
        <v>0.68122591850727798</v>
      </c>
      <c r="G24">
        <f t="shared" si="2"/>
        <v>0.67872542955576809</v>
      </c>
      <c r="H24">
        <f t="shared" si="2"/>
        <v>0.62421401357492168</v>
      </c>
      <c r="I24">
        <f t="shared" si="2"/>
        <v>0.68708013104257748</v>
      </c>
      <c r="J24">
        <f t="shared" si="2"/>
        <v>0.64154047236105005</v>
      </c>
      <c r="K24">
        <f t="shared" si="2"/>
        <v>0.62511470810003422</v>
      </c>
      <c r="L24">
        <f t="shared" si="2"/>
        <v>0.71414237228348854</v>
      </c>
      <c r="M24">
        <f t="shared" si="2"/>
        <v>0.6571715805727536</v>
      </c>
      <c r="N24">
        <f t="shared" si="2"/>
        <v>0.65585335538274347</v>
      </c>
    </row>
    <row r="25" spans="2:14" x14ac:dyDescent="0.2">
      <c r="B25" s="175"/>
    </row>
    <row r="26" spans="2:14" x14ac:dyDescent="0.2">
      <c r="B26" s="108" t="s">
        <v>320</v>
      </c>
    </row>
    <row r="27" spans="2:14" x14ac:dyDescent="0.2">
      <c r="B27" s="105" t="s">
        <v>321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>
        <f>IF(C19&lt;=raw_materials!$D17,raw_materials!$C17,IF(C19&lt;=raw_materials!$F17,raw_materials!$E17,IF(C19&lt;=raw_materials!$H17,raw_materials!$G17,0)))</f>
        <v>1</v>
      </c>
      <c r="D28">
        <f>IF(D19&lt;=raw_materials!$D17,raw_materials!$C17,IF(D19&lt;=raw_materials!$F17,raw_materials!$E17,IF(D19&lt;=raw_materials!$H17,raw_materials!$G17,0)))</f>
        <v>1</v>
      </c>
      <c r="E28">
        <f>IF(E19&lt;=raw_materials!$D17,raw_materials!$C17,IF(E19&lt;=raw_materials!$F17,raw_materials!$E17,IF(E19&lt;=raw_materials!$H17,raw_materials!$G17,0)))</f>
        <v>1</v>
      </c>
      <c r="F28">
        <f>IF(F19&lt;=raw_materials!$D17,raw_materials!$C17,IF(F19&lt;=raw_materials!$F17,raw_materials!$E17,IF(F19&lt;=raw_materials!$H17,raw_materials!$G17,0)))</f>
        <v>1</v>
      </c>
      <c r="G28">
        <f>IF(G19&lt;=raw_materials!$D17,raw_materials!$C17,IF(G19&lt;=raw_materials!$F17,raw_materials!$E17,IF(G19&lt;=raw_materials!$H17,raw_materials!$G17,0)))</f>
        <v>1</v>
      </c>
      <c r="H28">
        <f>IF(H19&lt;=raw_materials!$D17,raw_materials!$C17,IF(H19&lt;=raw_materials!$F17,raw_materials!$E17,IF(H19&lt;=raw_materials!$H17,raw_materials!$G17,0)))</f>
        <v>1</v>
      </c>
      <c r="I28">
        <f>IF(I19&lt;=raw_materials!$D17,raw_materials!$C17,IF(I19&lt;=raw_materials!$F17,raw_materials!$E17,IF(I19&lt;=raw_materials!$H17,raw_materials!$G17,0)))</f>
        <v>1</v>
      </c>
      <c r="J28">
        <f>IF(J19&lt;=raw_materials!$D17,raw_materials!$C17,IF(J19&lt;=raw_materials!$F17,raw_materials!$E17,IF(J19&lt;=raw_materials!$H17,raw_materials!$G17,0)))</f>
        <v>1</v>
      </c>
      <c r="K28">
        <f>IF(K19&lt;=raw_materials!$D17,raw_materials!$C17,IF(K19&lt;=raw_materials!$F17,raw_materials!$E17,IF(K19&lt;=raw_materials!$H17,raw_materials!$G17,0)))</f>
        <v>1</v>
      </c>
      <c r="L28">
        <f>IF(L19&lt;=raw_materials!$D17,raw_materials!$C17,IF(L19&lt;=raw_materials!$F17,raw_materials!$E17,IF(L19&lt;=raw_materials!$H17,raw_materials!$G17,0)))</f>
        <v>1</v>
      </c>
      <c r="M28">
        <f>IF(M19&lt;=raw_materials!$D17,raw_materials!$C17,IF(M19&lt;=raw_materials!$F17,raw_materials!$E17,IF(M19&lt;=raw_materials!$H17,raw_materials!$G17,0)))</f>
        <v>1</v>
      </c>
      <c r="N28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>
        <f>IF(C20&lt;=raw_materials!$D18,raw_materials!$C18,IF(C20&lt;=raw_materials!$F18,raw_materials!$E18,IF(C20&lt;=raw_materials!$H18,raw_materials!$G18,0)))</f>
        <v>1</v>
      </c>
      <c r="D29">
        <f>IF(D20&lt;=raw_materials!$D18,raw_materials!$C18,IF(D20&lt;=raw_materials!$F18,raw_materials!$E18,IF(D20&lt;=raw_materials!$H18,raw_materials!$G18,0)))</f>
        <v>1</v>
      </c>
      <c r="E29">
        <f>IF(E20&lt;=raw_materials!$D18,raw_materials!$C18,IF(E20&lt;=raw_materials!$F18,raw_materials!$E18,IF(E20&lt;=raw_materials!$H18,raw_materials!$G18,0)))</f>
        <v>1</v>
      </c>
      <c r="F29">
        <f>IF(F20&lt;=raw_materials!$D18,raw_materials!$C18,IF(F20&lt;=raw_materials!$F18,raw_materials!$E18,IF(F20&lt;=raw_materials!$H18,raw_materials!$G18,0)))</f>
        <v>1</v>
      </c>
      <c r="G29">
        <f>IF(G20&lt;=raw_materials!$D18,raw_materials!$C18,IF(G20&lt;=raw_materials!$F18,raw_materials!$E18,IF(G20&lt;=raw_materials!$H18,raw_materials!$G18,0)))</f>
        <v>1</v>
      </c>
      <c r="H29">
        <f>IF(H20&lt;=raw_materials!$D18,raw_materials!$C18,IF(H20&lt;=raw_materials!$F18,raw_materials!$E18,IF(H20&lt;=raw_materials!$H18,raw_materials!$G18,0)))</f>
        <v>1</v>
      </c>
      <c r="I29">
        <f>IF(I20&lt;=raw_materials!$D18,raw_materials!$C18,IF(I20&lt;=raw_materials!$F18,raw_materials!$E18,IF(I20&lt;=raw_materials!$H18,raw_materials!$G18,0)))</f>
        <v>1</v>
      </c>
      <c r="J29">
        <f>IF(J20&lt;=raw_materials!$D18,raw_materials!$C18,IF(J20&lt;=raw_materials!$F18,raw_materials!$E18,IF(J20&lt;=raw_materials!$H18,raw_materials!$G18,0)))</f>
        <v>1</v>
      </c>
      <c r="K29">
        <f>IF(K20&lt;=raw_materials!$D18,raw_materials!$C18,IF(K20&lt;=raw_materials!$F18,raw_materials!$E18,IF(K20&lt;=raw_materials!$H18,raw_materials!$G18,0)))</f>
        <v>1</v>
      </c>
      <c r="L29">
        <f>IF(L20&lt;=raw_materials!$D18,raw_materials!$C18,IF(L20&lt;=raw_materials!$F18,raw_materials!$E18,IF(L20&lt;=raw_materials!$H18,raw_materials!$G18,0)))</f>
        <v>1</v>
      </c>
      <c r="M29">
        <f>IF(M20&lt;=raw_materials!$D18,raw_materials!$C18,IF(M20&lt;=raw_materials!$F18,raw_materials!$E18,IF(M20&lt;=raw_materials!$H18,raw_materials!$G18,0)))</f>
        <v>1</v>
      </c>
      <c r="N29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>
        <f>IF(C21&lt;=raw_materials!$D19,raw_materials!$C19,IF(C21&lt;=raw_materials!$F19,raw_materials!$E19,IF(C21&lt;=raw_materials!$H19,raw_materials!$G19,0)))</f>
        <v>1</v>
      </c>
      <c r="D30">
        <f>IF(D21&lt;=raw_materials!$D19,raw_materials!$C19,IF(D21&lt;=raw_materials!$F19,raw_materials!$E19,IF(D21&lt;=raw_materials!$H19,raw_materials!$G19,0)))</f>
        <v>1</v>
      </c>
      <c r="E30">
        <f>IF(E21&lt;=raw_materials!$D19,raw_materials!$C19,IF(E21&lt;=raw_materials!$F19,raw_materials!$E19,IF(E21&lt;=raw_materials!$H19,raw_materials!$G19,0)))</f>
        <v>1</v>
      </c>
      <c r="F30">
        <f>IF(F21&lt;=raw_materials!$D19,raw_materials!$C19,IF(F21&lt;=raw_materials!$F19,raw_materials!$E19,IF(F21&lt;=raw_materials!$H19,raw_materials!$G19,0)))</f>
        <v>1</v>
      </c>
      <c r="G30">
        <f>IF(G21&lt;=raw_materials!$D19,raw_materials!$C19,IF(G21&lt;=raw_materials!$F19,raw_materials!$E19,IF(G21&lt;=raw_materials!$H19,raw_materials!$G19,0)))</f>
        <v>1</v>
      </c>
      <c r="H30">
        <f>IF(H21&lt;=raw_materials!$D19,raw_materials!$C19,IF(H21&lt;=raw_materials!$F19,raw_materials!$E19,IF(H21&lt;=raw_materials!$H19,raw_materials!$G19,0)))</f>
        <v>1</v>
      </c>
      <c r="I30">
        <f>IF(I21&lt;=raw_materials!$D19,raw_materials!$C19,IF(I21&lt;=raw_materials!$F19,raw_materials!$E19,IF(I21&lt;=raw_materials!$H19,raw_materials!$G19,0)))</f>
        <v>1</v>
      </c>
      <c r="J30">
        <f>IF(J21&lt;=raw_materials!$D19,raw_materials!$C19,IF(J21&lt;=raw_materials!$F19,raw_materials!$E19,IF(J21&lt;=raw_materials!$H19,raw_materials!$G19,0)))</f>
        <v>1</v>
      </c>
      <c r="K30">
        <f>IF(K21&lt;=raw_materials!$D19,raw_materials!$C19,IF(K21&lt;=raw_materials!$F19,raw_materials!$E19,IF(K21&lt;=raw_materials!$H19,raw_materials!$G19,0)))</f>
        <v>1</v>
      </c>
      <c r="L30">
        <f>IF(L21&lt;=raw_materials!$D19,raw_materials!$C19,IF(L21&lt;=raw_materials!$F19,raw_materials!$E19,IF(L21&lt;=raw_materials!$H19,raw_materials!$G19,0)))</f>
        <v>1</v>
      </c>
      <c r="M30">
        <f>IF(M21&lt;=raw_materials!$D19,raw_materials!$C19,IF(M21&lt;=raw_materials!$F19,raw_materials!$E19,IF(M21&lt;=raw_materials!$H19,raw_materials!$G19,0)))</f>
        <v>1</v>
      </c>
      <c r="N30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>
        <f>IF(C22&lt;=raw_materials!$D20,raw_materials!$C20,IF(C22&lt;=raw_materials!$F20,raw_materials!$E20,IF(C22&lt;=raw_materials!$H20,raw_materials!$G20,0)))</f>
        <v>1</v>
      </c>
      <c r="D31">
        <f>IF(D22&lt;=raw_materials!$D20,raw_materials!$C20,IF(D22&lt;=raw_materials!$F20,raw_materials!$E20,IF(D22&lt;=raw_materials!$H20,raw_materials!$G20,0)))</f>
        <v>1</v>
      </c>
      <c r="E31">
        <f>IF(E22&lt;=raw_materials!$D20,raw_materials!$C20,IF(E22&lt;=raw_materials!$F20,raw_materials!$E20,IF(E22&lt;=raw_materials!$H20,raw_materials!$G20,0)))</f>
        <v>1</v>
      </c>
      <c r="F31">
        <f>IF(F22&lt;=raw_materials!$D20,raw_materials!$C20,IF(F22&lt;=raw_materials!$F20,raw_materials!$E20,IF(F22&lt;=raw_materials!$H20,raw_materials!$G20,0)))</f>
        <v>1</v>
      </c>
      <c r="G31">
        <f>IF(G22&lt;=raw_materials!$D20,raw_materials!$C20,IF(G22&lt;=raw_materials!$F20,raw_materials!$E20,IF(G22&lt;=raw_materials!$H20,raw_materials!$G20,0)))</f>
        <v>1</v>
      </c>
      <c r="H31">
        <f>IF(H22&lt;=raw_materials!$D20,raw_materials!$C20,IF(H22&lt;=raw_materials!$F20,raw_materials!$E20,IF(H22&lt;=raw_materials!$H20,raw_materials!$G20,0)))</f>
        <v>1</v>
      </c>
      <c r="I31">
        <f>IF(I22&lt;=raw_materials!$D20,raw_materials!$C20,IF(I22&lt;=raw_materials!$F20,raw_materials!$E20,IF(I22&lt;=raw_materials!$H20,raw_materials!$G20,0)))</f>
        <v>1</v>
      </c>
      <c r="J31">
        <f>IF(J22&lt;=raw_materials!$D20,raw_materials!$C20,IF(J22&lt;=raw_materials!$F20,raw_materials!$E20,IF(J22&lt;=raw_materials!$H20,raw_materials!$G20,0)))</f>
        <v>1</v>
      </c>
      <c r="K31">
        <f>IF(K22&lt;=raw_materials!$D20,raw_materials!$C20,IF(K22&lt;=raw_materials!$F20,raw_materials!$E20,IF(K22&lt;=raw_materials!$H20,raw_materials!$G20,0)))</f>
        <v>1</v>
      </c>
      <c r="L31">
        <f>IF(L22&lt;=raw_materials!$D20,raw_materials!$C20,IF(L22&lt;=raw_materials!$F20,raw_materials!$E20,IF(L22&lt;=raw_materials!$H20,raw_materials!$G20,0)))</f>
        <v>1</v>
      </c>
      <c r="M31">
        <f>IF(M22&lt;=raw_materials!$D20,raw_materials!$C20,IF(M22&lt;=raw_materials!$F20,raw_materials!$E20,IF(M22&lt;=raw_materials!$H20,raw_materials!$G20,0)))</f>
        <v>1</v>
      </c>
      <c r="N31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>
        <f>IF(C23&lt;=raw_materials!$D21,raw_materials!$C21,IF(C23&lt;=raw_materials!$F21,raw_materials!$E21,IF(C23&lt;=raw_materials!$H21,raw_materials!$G21,0)))</f>
        <v>1</v>
      </c>
      <c r="D32">
        <f>IF(D23&lt;=raw_materials!$D21,raw_materials!$C21,IF(D23&lt;=raw_materials!$F21,raw_materials!$E21,IF(D23&lt;=raw_materials!$H21,raw_materials!$G21,0)))</f>
        <v>1</v>
      </c>
      <c r="E32">
        <f>IF(E23&lt;=raw_materials!$D21,raw_materials!$C21,IF(E23&lt;=raw_materials!$F21,raw_materials!$E21,IF(E23&lt;=raw_materials!$H21,raw_materials!$G21,0)))</f>
        <v>1</v>
      </c>
      <c r="F32">
        <f>IF(F23&lt;=raw_materials!$D21,raw_materials!$C21,IF(F23&lt;=raw_materials!$F21,raw_materials!$E21,IF(F23&lt;=raw_materials!$H21,raw_materials!$G21,0)))</f>
        <v>1</v>
      </c>
      <c r="G32">
        <f>IF(G23&lt;=raw_materials!$D21,raw_materials!$C21,IF(G23&lt;=raw_materials!$F21,raw_materials!$E21,IF(G23&lt;=raw_materials!$H21,raw_materials!$G21,0)))</f>
        <v>1</v>
      </c>
      <c r="H32">
        <f>IF(H23&lt;=raw_materials!$D21,raw_materials!$C21,IF(H23&lt;=raw_materials!$F21,raw_materials!$E21,IF(H23&lt;=raw_materials!$H21,raw_materials!$G21,0)))</f>
        <v>1</v>
      </c>
      <c r="I32">
        <f>IF(I23&lt;=raw_materials!$D21,raw_materials!$C21,IF(I23&lt;=raw_materials!$F21,raw_materials!$E21,IF(I23&lt;=raw_materials!$H21,raw_materials!$G21,0)))</f>
        <v>1</v>
      </c>
      <c r="J32">
        <f>IF(J23&lt;=raw_materials!$D21,raw_materials!$C21,IF(J23&lt;=raw_materials!$F21,raw_materials!$E21,IF(J23&lt;=raw_materials!$H21,raw_materials!$G21,0)))</f>
        <v>1</v>
      </c>
      <c r="K32">
        <f>IF(K23&lt;=raw_materials!$D21,raw_materials!$C21,IF(K23&lt;=raw_materials!$F21,raw_materials!$E21,IF(K23&lt;=raw_materials!$H21,raw_materials!$G21,0)))</f>
        <v>1</v>
      </c>
      <c r="L32">
        <f>IF(L23&lt;=raw_materials!$D21,raw_materials!$C21,IF(L23&lt;=raw_materials!$F21,raw_materials!$E21,IF(L23&lt;=raw_materials!$H21,raw_materials!$G21,0)))</f>
        <v>1</v>
      </c>
      <c r="M32">
        <f>IF(M23&lt;=raw_materials!$D21,raw_materials!$C21,IF(M23&lt;=raw_materials!$F21,raw_materials!$E21,IF(M23&lt;=raw_materials!$H21,raw_materials!$G21,0)))</f>
        <v>1</v>
      </c>
      <c r="N32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>
        <f>IF(C24&lt;=raw_materials!$D22,raw_materials!$C22,IF(C24&lt;=raw_materials!$F22,raw_materials!$E22,IF(C24&lt;=raw_materials!$H22,raw_materials!$G22,0)))</f>
        <v>1</v>
      </c>
      <c r="D33">
        <f>IF(D24&lt;=raw_materials!$D22,raw_materials!$C22,IF(D24&lt;=raw_materials!$F22,raw_materials!$E22,IF(D24&lt;=raw_materials!$H22,raw_materials!$G22,0)))</f>
        <v>1</v>
      </c>
      <c r="E33">
        <f>IF(E24&lt;=raw_materials!$D22,raw_materials!$C22,IF(E24&lt;=raw_materials!$F22,raw_materials!$E22,IF(E24&lt;=raw_materials!$H22,raw_materials!$G22,0)))</f>
        <v>1</v>
      </c>
      <c r="F33">
        <f>IF(F24&lt;=raw_materials!$D22,raw_materials!$C22,IF(F24&lt;=raw_materials!$F22,raw_materials!$E22,IF(F24&lt;=raw_materials!$H22,raw_materials!$G22,0)))</f>
        <v>1</v>
      </c>
      <c r="G33">
        <f>IF(G24&lt;=raw_materials!$D22,raw_materials!$C22,IF(G24&lt;=raw_materials!$F22,raw_materials!$E22,IF(G24&lt;=raw_materials!$H22,raw_materials!$G22,0)))</f>
        <v>1</v>
      </c>
      <c r="H33">
        <f>IF(H24&lt;=raw_materials!$D22,raw_materials!$C22,IF(H24&lt;=raw_materials!$F22,raw_materials!$E22,IF(H24&lt;=raw_materials!$H22,raw_materials!$G22,0)))</f>
        <v>1</v>
      </c>
      <c r="I33">
        <f>IF(I24&lt;=raw_materials!$D22,raw_materials!$C22,IF(I24&lt;=raw_materials!$F22,raw_materials!$E22,IF(I24&lt;=raw_materials!$H22,raw_materials!$G22,0)))</f>
        <v>1</v>
      </c>
      <c r="J33">
        <f>IF(J24&lt;=raw_materials!$D22,raw_materials!$C22,IF(J24&lt;=raw_materials!$F22,raw_materials!$E22,IF(J24&lt;=raw_materials!$H22,raw_materials!$G22,0)))</f>
        <v>1</v>
      </c>
      <c r="K33">
        <f>IF(K24&lt;=raw_materials!$D22,raw_materials!$C22,IF(K24&lt;=raw_materials!$F22,raw_materials!$E22,IF(K24&lt;=raw_materials!$H22,raw_materials!$G22,0)))</f>
        <v>1</v>
      </c>
      <c r="L33">
        <f>IF(L24&lt;=raw_materials!$D22,raw_materials!$C22,IF(L24&lt;=raw_materials!$F22,raw_materials!$E22,IF(L24&lt;=raw_materials!$H22,raw_materials!$G22,0)))</f>
        <v>1</v>
      </c>
      <c r="M33">
        <f>IF(M24&lt;=raw_materials!$D22,raw_materials!$C22,IF(M24&lt;=raw_materials!$F22,raw_materials!$E22,IF(M24&lt;=raw_materials!$H22,raw_materials!$G22,0)))</f>
        <v>1</v>
      </c>
      <c r="N33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7" t="s">
        <v>322</v>
      </c>
    </row>
    <row r="36" spans="2:50" x14ac:dyDescent="0.2">
      <c r="B36" s="173" t="s">
        <v>274</v>
      </c>
      <c r="C36" s="173" t="s">
        <v>92</v>
      </c>
      <c r="D36" s="106"/>
      <c r="E36" s="106"/>
      <c r="F36" s="106"/>
      <c r="G36" s="173" t="s">
        <v>93</v>
      </c>
      <c r="H36" s="106"/>
      <c r="I36" s="106"/>
      <c r="J36" s="106"/>
      <c r="K36" s="173" t="s">
        <v>94</v>
      </c>
      <c r="L36" s="106"/>
      <c r="M36" s="106"/>
      <c r="N36" s="106"/>
      <c r="O36" s="173" t="s">
        <v>95</v>
      </c>
      <c r="P36" s="106"/>
      <c r="Q36" s="106"/>
      <c r="R36" s="106"/>
      <c r="S36" s="173" t="s">
        <v>96</v>
      </c>
      <c r="T36" s="106"/>
      <c r="U36" s="106"/>
      <c r="V36" s="106"/>
      <c r="W36" s="173" t="s">
        <v>97</v>
      </c>
      <c r="X36" s="106"/>
      <c r="Y36" s="106"/>
      <c r="Z36" s="106"/>
      <c r="AA36" s="173" t="s">
        <v>98</v>
      </c>
      <c r="AB36" s="106"/>
      <c r="AC36" s="106"/>
      <c r="AD36" s="106"/>
      <c r="AE36" s="173" t="s">
        <v>99</v>
      </c>
      <c r="AF36" s="106"/>
      <c r="AG36" s="106"/>
      <c r="AH36" s="106"/>
      <c r="AI36" s="173" t="s">
        <v>100</v>
      </c>
      <c r="AJ36" s="106"/>
      <c r="AK36" s="106"/>
      <c r="AL36" s="106"/>
      <c r="AM36" s="173" t="s">
        <v>101</v>
      </c>
      <c r="AN36" s="106"/>
      <c r="AO36" s="106"/>
      <c r="AP36" s="106"/>
      <c r="AQ36" s="173" t="s">
        <v>102</v>
      </c>
      <c r="AR36" s="106"/>
      <c r="AS36" s="106"/>
      <c r="AT36" s="106"/>
      <c r="AU36" s="173" t="s">
        <v>103</v>
      </c>
      <c r="AV36" s="106"/>
      <c r="AW36" s="106"/>
      <c r="AX36" s="106"/>
    </row>
    <row r="37" spans="2:50" x14ac:dyDescent="0.2">
      <c r="B37" s="173" t="s">
        <v>323</v>
      </c>
      <c r="C37" s="173">
        <v>1</v>
      </c>
      <c r="D37" s="173">
        <v>2</v>
      </c>
      <c r="E37" s="173">
        <v>3</v>
      </c>
      <c r="F37" s="173">
        <v>4</v>
      </c>
      <c r="G37" s="173">
        <v>1</v>
      </c>
      <c r="H37" s="173">
        <v>2</v>
      </c>
      <c r="I37" s="173">
        <v>3</v>
      </c>
      <c r="J37" s="173">
        <v>4</v>
      </c>
      <c r="K37" s="173">
        <v>1</v>
      </c>
      <c r="L37" s="173">
        <v>2</v>
      </c>
      <c r="M37" s="173">
        <v>3</v>
      </c>
      <c r="N37" s="173">
        <v>4</v>
      </c>
      <c r="O37" s="173">
        <v>1</v>
      </c>
      <c r="P37" s="173">
        <v>2</v>
      </c>
      <c r="Q37" s="173">
        <v>3</v>
      </c>
      <c r="R37" s="173">
        <v>4</v>
      </c>
      <c r="S37" s="173">
        <v>1</v>
      </c>
      <c r="T37" s="173">
        <v>2</v>
      </c>
      <c r="U37" s="173">
        <v>3</v>
      </c>
      <c r="V37" s="173">
        <v>4</v>
      </c>
      <c r="W37" s="173">
        <v>1</v>
      </c>
      <c r="X37" s="173">
        <v>2</v>
      </c>
      <c r="Y37" s="173">
        <v>3</v>
      </c>
      <c r="Z37" s="173">
        <v>4</v>
      </c>
      <c r="AA37" s="173">
        <v>1</v>
      </c>
      <c r="AB37" s="173">
        <v>2</v>
      </c>
      <c r="AC37" s="173">
        <v>3</v>
      </c>
      <c r="AD37" s="173">
        <v>4</v>
      </c>
      <c r="AE37" s="173">
        <v>1</v>
      </c>
      <c r="AF37" s="173">
        <v>2</v>
      </c>
      <c r="AG37" s="173">
        <v>3</v>
      </c>
      <c r="AH37" s="173">
        <v>4</v>
      </c>
      <c r="AI37" s="173">
        <v>1</v>
      </c>
      <c r="AJ37" s="173">
        <v>2</v>
      </c>
      <c r="AK37" s="173">
        <v>3</v>
      </c>
      <c r="AL37" s="173">
        <v>4</v>
      </c>
      <c r="AM37" s="173">
        <v>1</v>
      </c>
      <c r="AN37" s="173">
        <v>2</v>
      </c>
      <c r="AO37" s="173">
        <v>3</v>
      </c>
      <c r="AP37" s="173">
        <v>4</v>
      </c>
      <c r="AQ37" s="173">
        <v>1</v>
      </c>
      <c r="AR37" s="173">
        <v>2</v>
      </c>
      <c r="AS37" s="173">
        <v>3</v>
      </c>
      <c r="AT37" s="173">
        <v>4</v>
      </c>
      <c r="AU37" s="173">
        <v>1</v>
      </c>
      <c r="AV37" s="173">
        <v>2</v>
      </c>
      <c r="AW37" s="173">
        <v>3</v>
      </c>
      <c r="AX37" s="173">
        <v>4</v>
      </c>
    </row>
    <row r="38" spans="2:50" x14ac:dyDescent="0.2">
      <c r="B38" s="173" t="s">
        <v>104</v>
      </c>
      <c r="C38">
        <v>25054.902514011505</v>
      </c>
      <c r="D38">
        <v>25109.81675262624</v>
      </c>
      <c r="E38">
        <v>25164.733912812586</v>
      </c>
      <c r="F38">
        <v>17653.751630931863</v>
      </c>
      <c r="G38">
        <v>25274.541764850626</v>
      </c>
      <c r="H38">
        <v>17730.590384044619</v>
      </c>
      <c r="I38">
        <v>17768.978908664292</v>
      </c>
      <c r="J38">
        <v>25439.055203174696</v>
      </c>
      <c r="K38">
        <v>25493.804885647136</v>
      </c>
      <c r="L38">
        <v>25548.495829201689</v>
      </c>
      <c r="M38">
        <v>25603.119238151201</v>
      </c>
      <c r="N38">
        <v>25657.666324691218</v>
      </c>
      <c r="O38">
        <v>25712.128310447646</v>
      </c>
      <c r="P38">
        <v>25766.496428023554</v>
      </c>
      <c r="Q38">
        <v>25820.761922544945</v>
      </c>
      <c r="R38">
        <v>25874.916053205223</v>
      </c>
      <c r="S38">
        <v>10371.580037923221</v>
      </c>
      <c r="T38">
        <v>10393.142135723308</v>
      </c>
      <c r="U38">
        <v>10414.649238940299</v>
      </c>
      <c r="V38">
        <v>26090.24469980675</v>
      </c>
      <c r="W38">
        <v>26143.711499307632</v>
      </c>
      <c r="X38">
        <v>26197.014871775551</v>
      </c>
      <c r="Y38">
        <v>26250.146217950878</v>
      </c>
      <c r="Z38">
        <v>26303.096964916222</v>
      </c>
      <c r="AA38">
        <v>26355.858567616488</v>
      </c>
      <c r="AB38">
        <v>26408.422510375025</v>
      </c>
      <c r="AC38">
        <v>26460.780308405316</v>
      </c>
      <c r="AD38">
        <v>26512.923509318131</v>
      </c>
      <c r="AE38">
        <v>26564.8436946238</v>
      </c>
      <c r="AF38">
        <v>26616.532481229282</v>
      </c>
      <c r="AG38">
        <v>26667.981522929855</v>
      </c>
      <c r="AH38">
        <v>26719.182511895149</v>
      </c>
      <c r="AI38">
        <v>18739.089026104397</v>
      </c>
      <c r="AJ38">
        <v>18774.565110730822</v>
      </c>
      <c r="AK38">
        <v>18809.850283509291</v>
      </c>
      <c r="AL38">
        <v>18844.938846722496</v>
      </c>
      <c r="AM38">
        <v>18879.825134649927</v>
      </c>
      <c r="AN38">
        <v>27020.719306543244</v>
      </c>
      <c r="AO38">
        <v>27069.954839740756</v>
      </c>
      <c r="AP38">
        <v>27118.877415268147</v>
      </c>
      <c r="AQ38">
        <v>27167.47913646403</v>
      </c>
      <c r="AR38">
        <v>27215.752159530173</v>
      </c>
      <c r="AS38">
        <v>27263.688694937566</v>
      </c>
      <c r="AT38">
        <v>27311.281008823513</v>
      </c>
      <c r="AU38">
        <v>27358.521424379818</v>
      </c>
      <c r="AV38">
        <v>27405.40232323145</v>
      </c>
      <c r="AW38">
        <v>27451.916146805794</v>
      </c>
      <c r="AX38">
        <v>27498.055397691911</v>
      </c>
    </row>
    <row r="39" spans="2:50" x14ac:dyDescent="0.2">
      <c r="B39" s="173" t="s">
        <v>105</v>
      </c>
      <c r="C39">
        <v>15032.941508406904</v>
      </c>
      <c r="D39">
        <v>15065.890051575743</v>
      </c>
      <c r="E39">
        <v>15098.84034768755</v>
      </c>
      <c r="F39">
        <v>15131.787112227312</v>
      </c>
      <c r="G39">
        <v>15164.725058910377</v>
      </c>
      <c r="H39">
        <v>15197.648900609674</v>
      </c>
      <c r="I39">
        <v>15230.553350283679</v>
      </c>
      <c r="J39">
        <v>10684.403185333371</v>
      </c>
      <c r="K39">
        <v>15296.282931388283</v>
      </c>
      <c r="L39">
        <v>15329.097497521014</v>
      </c>
      <c r="M39">
        <v>15361.87154289072</v>
      </c>
      <c r="N39">
        <v>15394.599794814729</v>
      </c>
      <c r="O39">
        <v>1542.7276986268589</v>
      </c>
      <c r="P39">
        <v>15459.897856814132</v>
      </c>
      <c r="Q39">
        <v>15492.457153526968</v>
      </c>
      <c r="R39">
        <v>15524.949631923135</v>
      </c>
      <c r="S39">
        <v>6222.9480227539325</v>
      </c>
      <c r="T39">
        <v>15589.713203584963</v>
      </c>
      <c r="U39">
        <v>15621.973858410449</v>
      </c>
      <c r="V39">
        <v>15654.14681988405</v>
      </c>
      <c r="W39">
        <v>15686.226899584581</v>
      </c>
      <c r="X39">
        <v>15718.208923065331</v>
      </c>
      <c r="Y39">
        <v>15750.087730770527</v>
      </c>
      <c r="Z39">
        <v>15781.858178949733</v>
      </c>
      <c r="AA39">
        <v>15813.515140569893</v>
      </c>
      <c r="AB39">
        <v>15845.053506225015</v>
      </c>
      <c r="AC39">
        <v>6350.5872740172754</v>
      </c>
      <c r="AD39">
        <v>15907.754105590879</v>
      </c>
      <c r="AE39">
        <v>15938.90621677428</v>
      </c>
      <c r="AF39">
        <v>15969.919488737569</v>
      </c>
      <c r="AG39">
        <v>16000.788913757913</v>
      </c>
      <c r="AH39">
        <v>16031.509507137089</v>
      </c>
      <c r="AI39">
        <v>16062.076308089485</v>
      </c>
      <c r="AJ39">
        <v>16092.48438062642</v>
      </c>
      <c r="AK39">
        <v>16122.728814436536</v>
      </c>
      <c r="AL39">
        <v>16152.80472576214</v>
      </c>
      <c r="AM39">
        <v>16182.707258271368</v>
      </c>
      <c r="AN39">
        <v>16212.431583925947</v>
      </c>
      <c r="AO39">
        <v>16241.972903844453</v>
      </c>
      <c r="AP39">
        <v>16271.326449160888</v>
      </c>
      <c r="AQ39">
        <v>11410.341237314891</v>
      </c>
      <c r="AR39">
        <v>16329.451295718105</v>
      </c>
      <c r="AS39">
        <v>16358.213216962538</v>
      </c>
      <c r="AT39">
        <v>16386.768605294106</v>
      </c>
      <c r="AU39">
        <v>16415.112854627889</v>
      </c>
      <c r="AV39">
        <v>16443.241393938872</v>
      </c>
      <c r="AW39">
        <v>16471.149688083475</v>
      </c>
      <c r="AX39">
        <v>16498.833238615145</v>
      </c>
    </row>
    <row r="40" spans="2:50" x14ac:dyDescent="0.2">
      <c r="B40" s="173" t="s">
        <v>106</v>
      </c>
      <c r="C40">
        <v>3507.6863519616104</v>
      </c>
      <c r="D40">
        <v>5021.9633505252477</v>
      </c>
      <c r="E40">
        <v>5032.946782562517</v>
      </c>
      <c r="F40">
        <v>5043.9290374091042</v>
      </c>
      <c r="G40">
        <v>5054.9083529701256</v>
      </c>
      <c r="H40">
        <v>5065.8829668698918</v>
      </c>
      <c r="I40">
        <v>5076.851116761226</v>
      </c>
      <c r="J40">
        <v>5087.8110406349388</v>
      </c>
      <c r="K40">
        <v>5098.7609771294274</v>
      </c>
      <c r="L40">
        <v>5109.6991658403376</v>
      </c>
      <c r="M40">
        <v>5120.6238476302397</v>
      </c>
      <c r="N40">
        <v>5131.5332649382435</v>
      </c>
      <c r="O40">
        <v>5142.4256620895294</v>
      </c>
      <c r="P40">
        <v>5153.2992856047113</v>
      </c>
      <c r="Q40">
        <v>5164.1523845089887</v>
      </c>
      <c r="R40">
        <v>5174.9832106410449</v>
      </c>
      <c r="S40">
        <v>5185.7900189616103</v>
      </c>
      <c r="T40">
        <v>5196.5710678616542</v>
      </c>
      <c r="U40">
        <v>5207.3246194701496</v>
      </c>
      <c r="V40">
        <v>5218.0489399613498</v>
      </c>
      <c r="W40">
        <v>5228.7422998615266</v>
      </c>
      <c r="X40">
        <v>5239.40297435511</v>
      </c>
      <c r="Y40">
        <v>5250.0292435901756</v>
      </c>
      <c r="Z40">
        <v>5260.6193929832443</v>
      </c>
      <c r="AA40">
        <v>5271.1717135232975</v>
      </c>
      <c r="AB40">
        <v>5281.6845020750052</v>
      </c>
      <c r="AC40">
        <v>2116.8624246724253</v>
      </c>
      <c r="AD40">
        <v>5302.5847018636268</v>
      </c>
      <c r="AE40">
        <v>531.29687389247601</v>
      </c>
      <c r="AF40">
        <v>532.3306496245857</v>
      </c>
      <c r="AG40">
        <v>5333.5963045859717</v>
      </c>
      <c r="AH40">
        <v>5343.8365023790293</v>
      </c>
      <c r="AI40">
        <v>5354.0254360298286</v>
      </c>
      <c r="AJ40">
        <v>3754.9130221461646</v>
      </c>
      <c r="AK40">
        <v>5374.2429381455113</v>
      </c>
      <c r="AL40">
        <v>5384.2682419207131</v>
      </c>
      <c r="AM40">
        <v>3775.9650269299855</v>
      </c>
      <c r="AN40">
        <v>5404.1438613086484</v>
      </c>
      <c r="AO40">
        <v>5413.9909679481507</v>
      </c>
      <c r="AP40">
        <v>5423.7754830536296</v>
      </c>
      <c r="AQ40">
        <v>5433.4958272928061</v>
      </c>
      <c r="AR40">
        <v>544.31504319060355</v>
      </c>
      <c r="AS40">
        <v>5452.7377389875128</v>
      </c>
      <c r="AT40">
        <v>5462.2562017647024</v>
      </c>
      <c r="AU40">
        <v>5471.7042848759638</v>
      </c>
      <c r="AV40">
        <v>5481.0804646462902</v>
      </c>
      <c r="AW40">
        <v>2196.1532917444638</v>
      </c>
      <c r="AX40">
        <v>5499.611079538382</v>
      </c>
    </row>
    <row r="41" spans="2:50" x14ac:dyDescent="0.2">
      <c r="B41" s="173" t="s">
        <v>107</v>
      </c>
      <c r="C41">
        <v>3006.5883016813805</v>
      </c>
      <c r="D41">
        <v>3013.1780103151486</v>
      </c>
      <c r="E41">
        <v>301.97680695375101</v>
      </c>
      <c r="F41">
        <v>3026.3574224454624</v>
      </c>
      <c r="G41">
        <v>3032.9450117820752</v>
      </c>
      <c r="H41">
        <v>3039.5297801219349</v>
      </c>
      <c r="I41">
        <v>3046.1106700567357</v>
      </c>
      <c r="J41">
        <v>1221.0746497523855</v>
      </c>
      <c r="K41">
        <v>3059.2565862776564</v>
      </c>
      <c r="L41">
        <v>3065.8194995042027</v>
      </c>
      <c r="M41">
        <v>3072.3743085781439</v>
      </c>
      <c r="N41">
        <v>3078.9199589629461</v>
      </c>
      <c r="O41">
        <v>3085.4553972537178</v>
      </c>
      <c r="P41">
        <v>3091.9795713628264</v>
      </c>
      <c r="Q41">
        <v>309.84914307053936</v>
      </c>
      <c r="R41">
        <v>310.49899263846271</v>
      </c>
      <c r="S41">
        <v>3111.4740113769658</v>
      </c>
      <c r="T41">
        <v>3117.9426407169926</v>
      </c>
      <c r="U41">
        <v>3124.3947716820899</v>
      </c>
      <c r="V41">
        <v>3130.8293639768099</v>
      </c>
      <c r="W41">
        <v>3137.2453799169161</v>
      </c>
      <c r="X41">
        <v>3143.6417846130662</v>
      </c>
      <c r="Y41">
        <v>3150.0175461541053</v>
      </c>
      <c r="Z41">
        <v>3156.3716357899466</v>
      </c>
      <c r="AA41">
        <v>3162.7030281139782</v>
      </c>
      <c r="AB41">
        <v>3169.010701245003</v>
      </c>
      <c r="AC41">
        <v>3175.2936370086377</v>
      </c>
      <c r="AD41">
        <v>3181.5508211181759</v>
      </c>
      <c r="AE41">
        <v>3187.7812433548561</v>
      </c>
      <c r="AF41">
        <v>3193.9838977475138</v>
      </c>
      <c r="AG41">
        <v>3200.1577827515825</v>
      </c>
      <c r="AH41">
        <v>3206.3019014274178</v>
      </c>
      <c r="AI41">
        <v>3212.4152616178967</v>
      </c>
      <c r="AJ41">
        <v>3218.496876125284</v>
      </c>
      <c r="AK41">
        <v>3224.5457628873069</v>
      </c>
      <c r="AL41">
        <v>3230.5609451524278</v>
      </c>
      <c r="AM41">
        <v>3236.5414516542737</v>
      </c>
      <c r="AN41">
        <v>3242.486316785189</v>
      </c>
      <c r="AO41">
        <v>3248.3945807688906</v>
      </c>
      <c r="AP41">
        <v>3254.2652898321776</v>
      </c>
      <c r="AQ41">
        <v>3260.0974963756835</v>
      </c>
      <c r="AR41">
        <v>3265.8902591436208</v>
      </c>
      <c r="AS41">
        <v>3271.6426433925076</v>
      </c>
      <c r="AT41">
        <v>3277.3537210588215</v>
      </c>
      <c r="AU41">
        <v>3283.0225709255783</v>
      </c>
      <c r="AV41">
        <v>3288.648278787774</v>
      </c>
      <c r="AW41">
        <v>3294.2299376166952</v>
      </c>
      <c r="AX41">
        <v>3299.7666477230291</v>
      </c>
    </row>
    <row r="42" spans="2:50" x14ac:dyDescent="0.2">
      <c r="B42" s="173" t="s">
        <v>108</v>
      </c>
      <c r="C42">
        <v>10000000</v>
      </c>
      <c r="D42">
        <v>10000000</v>
      </c>
      <c r="E42">
        <v>10000000</v>
      </c>
      <c r="F42">
        <v>10000000</v>
      </c>
      <c r="G42">
        <v>10000000</v>
      </c>
      <c r="H42">
        <v>10000000</v>
      </c>
      <c r="I42">
        <v>10000000</v>
      </c>
      <c r="J42">
        <v>10000000</v>
      </c>
      <c r="K42">
        <v>10000000</v>
      </c>
      <c r="L42">
        <v>10000000</v>
      </c>
      <c r="M42">
        <v>10000000</v>
      </c>
      <c r="N42">
        <v>10000000</v>
      </c>
      <c r="O42">
        <v>10000000</v>
      </c>
      <c r="P42">
        <v>10000000</v>
      </c>
      <c r="Q42">
        <v>10000000</v>
      </c>
      <c r="R42">
        <v>10000000</v>
      </c>
      <c r="S42">
        <v>10000000</v>
      </c>
      <c r="T42">
        <v>10000000</v>
      </c>
      <c r="U42">
        <v>10000000</v>
      </c>
      <c r="V42">
        <v>10000000</v>
      </c>
      <c r="W42">
        <v>10000000</v>
      </c>
      <c r="X42">
        <v>10000000</v>
      </c>
      <c r="Y42">
        <v>10000000</v>
      </c>
      <c r="Z42">
        <v>10000000</v>
      </c>
      <c r="AA42">
        <v>10000000</v>
      </c>
      <c r="AB42">
        <v>10000000</v>
      </c>
      <c r="AC42">
        <v>10000000</v>
      </c>
      <c r="AD42">
        <v>10000000</v>
      </c>
      <c r="AE42">
        <v>10000000</v>
      </c>
      <c r="AF42">
        <v>10000000</v>
      </c>
      <c r="AG42">
        <v>10000000</v>
      </c>
      <c r="AH42">
        <v>10000000</v>
      </c>
      <c r="AI42">
        <v>10000000</v>
      </c>
      <c r="AJ42">
        <v>10000000</v>
      </c>
      <c r="AK42">
        <v>10000000</v>
      </c>
      <c r="AL42">
        <v>10000000</v>
      </c>
      <c r="AM42">
        <v>10000000</v>
      </c>
      <c r="AN42">
        <v>10000000</v>
      </c>
      <c r="AO42">
        <v>10000000</v>
      </c>
      <c r="AP42">
        <v>10000000</v>
      </c>
      <c r="AQ42">
        <v>10000000</v>
      </c>
      <c r="AR42">
        <v>10000000</v>
      </c>
      <c r="AS42">
        <v>10000000</v>
      </c>
      <c r="AT42">
        <v>10000000</v>
      </c>
      <c r="AU42">
        <v>10000000</v>
      </c>
      <c r="AV42">
        <v>10000000</v>
      </c>
      <c r="AW42">
        <v>10000000</v>
      </c>
      <c r="AX42">
        <v>10000000</v>
      </c>
    </row>
    <row r="43" spans="2:50" x14ac:dyDescent="0.2">
      <c r="B43" s="173" t="s">
        <v>109</v>
      </c>
      <c r="C43">
        <v>10000000</v>
      </c>
      <c r="D43">
        <v>10000000</v>
      </c>
      <c r="E43">
        <v>10000000</v>
      </c>
      <c r="F43">
        <v>10000000</v>
      </c>
      <c r="G43">
        <v>10000000</v>
      </c>
      <c r="H43">
        <v>10000000</v>
      </c>
      <c r="I43">
        <v>10000000</v>
      </c>
      <c r="J43">
        <v>10000000</v>
      </c>
      <c r="K43">
        <v>10000000</v>
      </c>
      <c r="L43">
        <v>10000000</v>
      </c>
      <c r="M43">
        <v>10000000</v>
      </c>
      <c r="N43">
        <v>10000000</v>
      </c>
      <c r="O43">
        <v>10000000</v>
      </c>
      <c r="P43">
        <v>10000000</v>
      </c>
      <c r="Q43">
        <v>10000000</v>
      </c>
      <c r="R43">
        <v>10000000</v>
      </c>
      <c r="S43">
        <v>10000000</v>
      </c>
      <c r="T43">
        <v>10000000</v>
      </c>
      <c r="U43">
        <v>10000000</v>
      </c>
      <c r="V43">
        <v>10000000</v>
      </c>
      <c r="W43">
        <v>10000000</v>
      </c>
      <c r="X43">
        <v>10000000</v>
      </c>
      <c r="Y43">
        <v>10000000</v>
      </c>
      <c r="Z43">
        <v>10000000</v>
      </c>
      <c r="AA43">
        <v>10000000</v>
      </c>
      <c r="AB43">
        <v>10000000</v>
      </c>
      <c r="AC43">
        <v>10000000</v>
      </c>
      <c r="AD43">
        <v>10000000</v>
      </c>
      <c r="AE43">
        <v>10000000</v>
      </c>
      <c r="AF43">
        <v>10000000</v>
      </c>
      <c r="AG43">
        <v>10000000</v>
      </c>
      <c r="AH43">
        <v>10000000</v>
      </c>
      <c r="AI43">
        <v>10000000</v>
      </c>
      <c r="AJ43">
        <v>10000000</v>
      </c>
      <c r="AK43">
        <v>10000000</v>
      </c>
      <c r="AL43">
        <v>10000000</v>
      </c>
      <c r="AM43">
        <v>10000000</v>
      </c>
      <c r="AN43">
        <v>10000000</v>
      </c>
      <c r="AO43">
        <v>10000000</v>
      </c>
      <c r="AP43">
        <v>10000000</v>
      </c>
      <c r="AQ43">
        <v>10000000</v>
      </c>
      <c r="AR43">
        <v>10000000</v>
      </c>
      <c r="AS43">
        <v>10000000</v>
      </c>
      <c r="AT43">
        <v>10000000</v>
      </c>
      <c r="AU43">
        <v>10000000</v>
      </c>
      <c r="AV43">
        <v>10000000</v>
      </c>
      <c r="AW43">
        <v>10000000</v>
      </c>
      <c r="AX43">
        <v>10000000</v>
      </c>
    </row>
    <row r="45" spans="2:50" x14ac:dyDescent="0.2">
      <c r="B45" s="107" t="s">
        <v>324</v>
      </c>
    </row>
    <row r="46" spans="2:50" x14ac:dyDescent="0.2">
      <c r="B46" s="105" t="s">
        <v>274</v>
      </c>
      <c r="C46" s="105" t="s">
        <v>92</v>
      </c>
      <c r="D46" s="106"/>
      <c r="E46" s="106"/>
      <c r="F46" s="106"/>
      <c r="G46" s="105" t="s">
        <v>93</v>
      </c>
      <c r="H46" s="106"/>
      <c r="I46" s="106"/>
      <c r="J46" s="106"/>
      <c r="K46" s="105" t="s">
        <v>94</v>
      </c>
      <c r="L46" s="106"/>
      <c r="M46" s="106"/>
      <c r="N46" s="106"/>
      <c r="O46" s="105" t="s">
        <v>95</v>
      </c>
      <c r="P46" s="106"/>
      <c r="Q46" s="106"/>
      <c r="R46" s="106"/>
      <c r="S46" s="105" t="s">
        <v>96</v>
      </c>
      <c r="T46" s="106"/>
      <c r="U46" s="106"/>
      <c r="V46" s="106"/>
      <c r="W46" s="105" t="s">
        <v>97</v>
      </c>
      <c r="X46" s="106"/>
      <c r="Y46" s="106"/>
      <c r="Z46" s="106"/>
      <c r="AA46" s="105" t="s">
        <v>98</v>
      </c>
      <c r="AB46" s="106"/>
      <c r="AC46" s="106"/>
      <c r="AD46" s="106"/>
      <c r="AE46" s="105" t="s">
        <v>99</v>
      </c>
      <c r="AF46" s="106"/>
      <c r="AG46" s="106"/>
      <c r="AH46" s="106"/>
      <c r="AI46" s="105" t="s">
        <v>100</v>
      </c>
      <c r="AJ46" s="106"/>
      <c r="AK46" s="106"/>
      <c r="AL46" s="106"/>
      <c r="AM46" s="105" t="s">
        <v>101</v>
      </c>
      <c r="AN46" s="106"/>
      <c r="AO46" s="106"/>
      <c r="AP46" s="106"/>
      <c r="AQ46" s="105" t="s">
        <v>102</v>
      </c>
      <c r="AR46" s="106"/>
      <c r="AS46" s="106"/>
      <c r="AT46" s="106"/>
      <c r="AU46" s="105" t="s">
        <v>103</v>
      </c>
      <c r="AV46" s="106"/>
      <c r="AW46" s="106"/>
    </row>
    <row r="47" spans="2:50" x14ac:dyDescent="0.2">
      <c r="B47" s="105" t="s">
        <v>325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>
        <v>2645.185908907335</v>
      </c>
      <c r="D48">
        <v>2645.185908907335</v>
      </c>
      <c r="E48">
        <v>2645.185908907335</v>
      </c>
      <c r="F48">
        <v>2645.185908907335</v>
      </c>
      <c r="G48">
        <v>2645.185908907335</v>
      </c>
      <c r="H48">
        <v>2645.185908907335</v>
      </c>
      <c r="I48">
        <v>2645.185908907335</v>
      </c>
      <c r="J48">
        <v>2645.185908907335</v>
      </c>
      <c r="K48">
        <v>2645.185908907335</v>
      </c>
      <c r="L48">
        <v>2645.185908907335</v>
      </c>
      <c r="M48">
        <v>2645.185908907335</v>
      </c>
      <c r="N48">
        <v>2645.185908907335</v>
      </c>
      <c r="O48">
        <v>2645.185908907335</v>
      </c>
      <c r="P48">
        <v>2645.185908907335</v>
      </c>
      <c r="Q48">
        <v>2645.185908907335</v>
      </c>
      <c r="R48">
        <v>2645.185908907335</v>
      </c>
      <c r="S48">
        <v>2645.185908907335</v>
      </c>
      <c r="T48">
        <v>2645.185908907335</v>
      </c>
      <c r="U48">
        <v>2645.185908907335</v>
      </c>
      <c r="V48">
        <v>2645.185908907335</v>
      </c>
      <c r="W48">
        <v>2645.185908907335</v>
      </c>
      <c r="X48">
        <v>2645.185908907335</v>
      </c>
      <c r="Y48">
        <v>2645.185908907335</v>
      </c>
      <c r="Z48">
        <v>2645.185908907335</v>
      </c>
      <c r="AA48">
        <v>2645.185908907335</v>
      </c>
      <c r="AB48">
        <v>2645.185908907335</v>
      </c>
      <c r="AC48">
        <v>2645.185908907335</v>
      </c>
      <c r="AD48">
        <v>2645.185908907335</v>
      </c>
      <c r="AE48">
        <v>2645.185908907335</v>
      </c>
      <c r="AF48">
        <v>2645.185908907335</v>
      </c>
      <c r="AG48">
        <v>2645.185908907335</v>
      </c>
      <c r="AH48">
        <v>2645.185908907335</v>
      </c>
      <c r="AI48">
        <v>2645.185908907335</v>
      </c>
      <c r="AJ48">
        <v>2645.185908907335</v>
      </c>
      <c r="AK48">
        <v>2645.185908907335</v>
      </c>
      <c r="AL48">
        <v>2645.185908907335</v>
      </c>
      <c r="AM48">
        <v>2645.185908907335</v>
      </c>
      <c r="AN48">
        <v>2645.185908907335</v>
      </c>
      <c r="AO48">
        <v>2645.185908907335</v>
      </c>
      <c r="AP48">
        <v>2645.185908907335</v>
      </c>
      <c r="AQ48">
        <v>2645.185908907335</v>
      </c>
      <c r="AR48">
        <v>2645.185908907335</v>
      </c>
      <c r="AS48">
        <v>2645.185908907335</v>
      </c>
      <c r="AT48">
        <v>2645.185908907335</v>
      </c>
      <c r="AU48">
        <v>2645.185908907335</v>
      </c>
      <c r="AV48">
        <v>2645.185908907335</v>
      </c>
      <c r="AW48">
        <v>2645.185908907335</v>
      </c>
      <c r="AX48">
        <v>2645.185908907335</v>
      </c>
    </row>
    <row r="49" spans="2:51" x14ac:dyDescent="0.2">
      <c r="B49" s="105" t="s">
        <v>105</v>
      </c>
      <c r="C49">
        <v>3298.8255177956808</v>
      </c>
      <c r="D49">
        <v>3298.8255177956808</v>
      </c>
      <c r="E49">
        <v>3298.8255177956808</v>
      </c>
      <c r="F49">
        <v>3298.8255177956808</v>
      </c>
      <c r="G49">
        <v>3298.8255177956808</v>
      </c>
      <c r="H49">
        <v>3298.8255177956808</v>
      </c>
      <c r="I49">
        <v>3298.8255177956808</v>
      </c>
      <c r="J49">
        <v>3298.8255177956808</v>
      </c>
      <c r="K49">
        <v>3298.8255177956808</v>
      </c>
      <c r="L49">
        <v>3298.8255177956808</v>
      </c>
      <c r="M49">
        <v>3298.8255177956808</v>
      </c>
      <c r="N49">
        <v>3298.8255177956808</v>
      </c>
      <c r="O49">
        <v>1542.7276986268589</v>
      </c>
      <c r="P49">
        <v>3298.8255177956808</v>
      </c>
      <c r="Q49">
        <v>3298.8255177956808</v>
      </c>
      <c r="R49">
        <v>3298.8255177956808</v>
      </c>
      <c r="S49">
        <v>3298.8255177956808</v>
      </c>
      <c r="T49">
        <v>3298.8255177956808</v>
      </c>
      <c r="U49">
        <v>3298.8255177956808</v>
      </c>
      <c r="V49">
        <v>3298.8255177956808</v>
      </c>
      <c r="W49">
        <v>3298.8255177956808</v>
      </c>
      <c r="X49">
        <v>3298.8255177956808</v>
      </c>
      <c r="Y49">
        <v>3298.8255177956808</v>
      </c>
      <c r="Z49">
        <v>3298.8255177956808</v>
      </c>
      <c r="AA49">
        <v>3298.8255177956808</v>
      </c>
      <c r="AB49">
        <v>3298.8255177956808</v>
      </c>
      <c r="AC49">
        <v>3298.8255177956808</v>
      </c>
      <c r="AD49">
        <v>3298.8255177956808</v>
      </c>
      <c r="AE49">
        <v>3298.8255177956808</v>
      </c>
      <c r="AF49">
        <v>3298.8255177956808</v>
      </c>
      <c r="AG49">
        <v>3298.8255177956808</v>
      </c>
      <c r="AH49">
        <v>3298.8255177956808</v>
      </c>
      <c r="AI49">
        <v>3298.8255177956808</v>
      </c>
      <c r="AJ49">
        <v>3298.8255177956808</v>
      </c>
      <c r="AK49">
        <v>3298.8255177956808</v>
      </c>
      <c r="AL49">
        <v>3298.8255177956808</v>
      </c>
      <c r="AM49">
        <v>3298.8255177956808</v>
      </c>
      <c r="AN49">
        <v>3298.8255177956808</v>
      </c>
      <c r="AO49">
        <v>3298.8255177956808</v>
      </c>
      <c r="AP49">
        <v>3298.8255177956808</v>
      </c>
      <c r="AQ49">
        <v>3298.8255177956808</v>
      </c>
      <c r="AR49">
        <v>3298.8255177956808</v>
      </c>
      <c r="AS49">
        <v>3298.8255177956808</v>
      </c>
      <c r="AT49">
        <v>3298.8255177956808</v>
      </c>
      <c r="AU49">
        <v>3298.8255177956808</v>
      </c>
      <c r="AV49">
        <v>3298.8255177956808</v>
      </c>
      <c r="AW49">
        <v>3298.8255177956808</v>
      </c>
      <c r="AX49">
        <v>3298.8255177956808</v>
      </c>
    </row>
    <row r="50" spans="2:51" x14ac:dyDescent="0.2">
      <c r="B50" s="105" t="s">
        <v>106</v>
      </c>
      <c r="C50">
        <v>2821.3350495185555</v>
      </c>
      <c r="D50">
        <v>2821.3350495185555</v>
      </c>
      <c r="E50">
        <v>2821.3350495185555</v>
      </c>
      <c r="F50">
        <v>2821.3350495185555</v>
      </c>
      <c r="G50">
        <v>2821.3350495185555</v>
      </c>
      <c r="H50">
        <v>2821.3350495185555</v>
      </c>
      <c r="I50">
        <v>2821.3350495185555</v>
      </c>
      <c r="J50">
        <v>2821.3350495185555</v>
      </c>
      <c r="K50">
        <v>2821.3350495185555</v>
      </c>
      <c r="L50">
        <v>2821.3350495185555</v>
      </c>
      <c r="M50">
        <v>2821.3350495185555</v>
      </c>
      <c r="N50">
        <v>2821.3350495185555</v>
      </c>
      <c r="O50">
        <v>2821.3350495185555</v>
      </c>
      <c r="P50">
        <v>2821.3350495185555</v>
      </c>
      <c r="Q50">
        <v>2821.3350495185555</v>
      </c>
      <c r="R50">
        <v>2821.3350495185555</v>
      </c>
      <c r="S50">
        <v>2821.3350495185555</v>
      </c>
      <c r="T50">
        <v>2821.3350495185555</v>
      </c>
      <c r="U50">
        <v>2821.3350495185555</v>
      </c>
      <c r="V50">
        <v>2821.3350495185555</v>
      </c>
      <c r="W50">
        <v>2821.3350495185555</v>
      </c>
      <c r="X50">
        <v>2821.3350495185555</v>
      </c>
      <c r="Y50">
        <v>2821.3350495185555</v>
      </c>
      <c r="Z50">
        <v>2821.3350495185555</v>
      </c>
      <c r="AA50">
        <v>2821.3350495185555</v>
      </c>
      <c r="AB50">
        <v>2821.3350495185555</v>
      </c>
      <c r="AC50">
        <v>2116.8624246724253</v>
      </c>
      <c r="AD50">
        <v>2821.3350495185555</v>
      </c>
      <c r="AE50">
        <v>531.29687389247601</v>
      </c>
      <c r="AF50">
        <v>532.3306496245857</v>
      </c>
      <c r="AG50">
        <v>2821.3350495185555</v>
      </c>
      <c r="AH50">
        <v>2821.3350495185555</v>
      </c>
      <c r="AI50">
        <v>2821.3350495185555</v>
      </c>
      <c r="AJ50">
        <v>2821.3350495185555</v>
      </c>
      <c r="AK50">
        <v>2821.3350495185555</v>
      </c>
      <c r="AL50">
        <v>2821.3350495185555</v>
      </c>
      <c r="AM50">
        <v>2821.3350495185555</v>
      </c>
      <c r="AN50">
        <v>2821.3350495185555</v>
      </c>
      <c r="AO50">
        <v>2821.3350495185555</v>
      </c>
      <c r="AP50">
        <v>2821.3350495185555</v>
      </c>
      <c r="AQ50">
        <v>2821.3350495185555</v>
      </c>
      <c r="AR50">
        <v>544.31504319060355</v>
      </c>
      <c r="AS50">
        <v>2821.3350495185555</v>
      </c>
      <c r="AT50">
        <v>2821.3350495185555</v>
      </c>
      <c r="AU50">
        <v>2821.3350495185555</v>
      </c>
      <c r="AV50">
        <v>2821.3350495185555</v>
      </c>
      <c r="AW50">
        <v>2196.1532917444638</v>
      </c>
      <c r="AX50">
        <v>2821.3350495185555</v>
      </c>
      <c r="AY50" s="115"/>
    </row>
    <row r="51" spans="2:51" x14ac:dyDescent="0.2">
      <c r="B51" s="105" t="s">
        <v>107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 s="9"/>
    </row>
    <row r="52" spans="2:51" x14ac:dyDescent="0.2">
      <c r="B52" s="105" t="s">
        <v>108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</row>
    <row r="53" spans="2:51" x14ac:dyDescent="0.2">
      <c r="B53" s="105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</row>
    <row r="55" spans="2:51" x14ac:dyDescent="0.2">
      <c r="B55" s="53" t="s">
        <v>326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</row>
    <row r="56" spans="2:51" x14ac:dyDescent="0.2">
      <c r="B56" s="109" t="s">
        <v>274</v>
      </c>
      <c r="C56" s="109" t="s">
        <v>92</v>
      </c>
      <c r="D56" s="106"/>
      <c r="E56" s="106"/>
      <c r="F56" s="106"/>
      <c r="G56" s="109" t="s">
        <v>93</v>
      </c>
      <c r="H56" s="106"/>
      <c r="I56" s="106"/>
      <c r="J56" s="106"/>
      <c r="K56" s="109" t="s">
        <v>94</v>
      </c>
      <c r="L56" s="106"/>
      <c r="M56" s="106"/>
      <c r="N56" s="106"/>
      <c r="O56" s="109" t="s">
        <v>95</v>
      </c>
      <c r="P56" s="106"/>
      <c r="Q56" s="106"/>
      <c r="R56" s="106"/>
      <c r="S56" s="109" t="s">
        <v>96</v>
      </c>
      <c r="T56" s="106"/>
      <c r="U56" s="106"/>
      <c r="V56" s="106"/>
      <c r="W56" s="109" t="s">
        <v>97</v>
      </c>
      <c r="X56" s="106"/>
      <c r="Y56" s="106"/>
      <c r="Z56" s="106"/>
      <c r="AA56" s="109" t="s">
        <v>98</v>
      </c>
      <c r="AB56" s="106"/>
      <c r="AC56" s="106"/>
      <c r="AD56" s="106"/>
      <c r="AE56" s="109" t="s">
        <v>99</v>
      </c>
      <c r="AF56" s="106"/>
      <c r="AG56" s="106"/>
      <c r="AH56" s="106"/>
      <c r="AI56" s="109" t="s">
        <v>100</v>
      </c>
      <c r="AJ56" s="106"/>
      <c r="AK56" s="106"/>
      <c r="AL56" s="106"/>
      <c r="AM56" s="109" t="s">
        <v>101</v>
      </c>
      <c r="AN56" s="106"/>
      <c r="AO56" s="106"/>
      <c r="AP56" s="106"/>
      <c r="AQ56" s="109" t="s">
        <v>102</v>
      </c>
      <c r="AR56" s="106"/>
      <c r="AS56" s="106"/>
      <c r="AT56" s="106"/>
      <c r="AU56" s="109" t="s">
        <v>103</v>
      </c>
      <c r="AV56" s="106"/>
      <c r="AW56" s="106"/>
    </row>
    <row r="57" spans="2:51" x14ac:dyDescent="0.2">
      <c r="B57" s="109" t="s">
        <v>325</v>
      </c>
      <c r="C57" s="109">
        <v>1</v>
      </c>
      <c r="D57" s="109">
        <v>2</v>
      </c>
      <c r="E57" s="109">
        <v>3</v>
      </c>
      <c r="F57" s="109">
        <v>4</v>
      </c>
      <c r="G57" s="109">
        <v>1</v>
      </c>
      <c r="H57" s="109">
        <v>2</v>
      </c>
      <c r="I57" s="109">
        <v>3</v>
      </c>
      <c r="J57" s="109">
        <v>4</v>
      </c>
      <c r="K57" s="109">
        <v>1</v>
      </c>
      <c r="L57" s="109">
        <v>2</v>
      </c>
      <c r="M57" s="109">
        <v>3</v>
      </c>
      <c r="N57" s="109">
        <v>4</v>
      </c>
      <c r="O57" s="109">
        <v>1</v>
      </c>
      <c r="P57" s="109">
        <v>2</v>
      </c>
      <c r="Q57" s="109">
        <v>3</v>
      </c>
      <c r="R57" s="109">
        <v>4</v>
      </c>
      <c r="S57" s="109">
        <v>1</v>
      </c>
      <c r="T57" s="109">
        <v>2</v>
      </c>
      <c r="U57" s="109">
        <v>3</v>
      </c>
      <c r="V57" s="109">
        <v>4</v>
      </c>
      <c r="W57" s="109">
        <v>1</v>
      </c>
      <c r="X57" s="109">
        <v>2</v>
      </c>
      <c r="Y57" s="109">
        <v>3</v>
      </c>
      <c r="Z57" s="109">
        <v>4</v>
      </c>
      <c r="AA57" s="109">
        <v>1</v>
      </c>
      <c r="AB57" s="109">
        <v>2</v>
      </c>
      <c r="AC57" s="109">
        <v>3</v>
      </c>
      <c r="AD57" s="109">
        <v>4</v>
      </c>
      <c r="AE57" s="109">
        <v>1</v>
      </c>
      <c r="AF57" s="109">
        <v>2</v>
      </c>
      <c r="AG57" s="109">
        <v>3</v>
      </c>
      <c r="AH57" s="109">
        <v>4</v>
      </c>
      <c r="AI57" s="109">
        <v>1</v>
      </c>
      <c r="AJ57" s="109">
        <v>2</v>
      </c>
      <c r="AK57" s="109">
        <v>3</v>
      </c>
      <c r="AL57" s="109">
        <v>4</v>
      </c>
      <c r="AM57" s="109">
        <v>1</v>
      </c>
      <c r="AN57" s="109">
        <v>2</v>
      </c>
      <c r="AO57" s="109">
        <v>3</v>
      </c>
      <c r="AP57" s="109">
        <v>4</v>
      </c>
      <c r="AQ57" s="109">
        <v>1</v>
      </c>
      <c r="AR57" s="109">
        <v>2</v>
      </c>
      <c r="AS57" s="109">
        <v>3</v>
      </c>
      <c r="AT57" s="109">
        <v>4</v>
      </c>
      <c r="AU57" s="109">
        <v>1</v>
      </c>
      <c r="AV57" s="109">
        <v>2</v>
      </c>
      <c r="AW57" s="109">
        <v>3</v>
      </c>
      <c r="AX57" s="109">
        <v>4</v>
      </c>
    </row>
    <row r="58" spans="2:51" x14ac:dyDescent="0.2">
      <c r="B58" s="109" t="s">
        <v>104</v>
      </c>
      <c r="C58">
        <v>3149434.4739015051</v>
      </c>
      <c r="D58">
        <v>3149434.4739015051</v>
      </c>
      <c r="E58">
        <v>3149434.4739015051</v>
      </c>
      <c r="F58">
        <v>3149434.4739015051</v>
      </c>
      <c r="G58">
        <v>3776200.6819785163</v>
      </c>
      <c r="H58">
        <v>3776200.6819785163</v>
      </c>
      <c r="I58">
        <v>3776200.6819785163</v>
      </c>
      <c r="J58">
        <v>3776200.6819785163</v>
      </c>
      <c r="K58">
        <v>3170550.1754118283</v>
      </c>
      <c r="L58">
        <v>3170550.1754118283</v>
      </c>
      <c r="M58">
        <v>3170550.1754118283</v>
      </c>
      <c r="N58">
        <v>3170550.1754118283</v>
      </c>
      <c r="O58">
        <v>2911827.9640064179</v>
      </c>
      <c r="P58">
        <v>2911827.9640064179</v>
      </c>
      <c r="Q58">
        <v>2911827.9640064179</v>
      </c>
      <c r="R58">
        <v>2911827.9640064179</v>
      </c>
      <c r="S58">
        <v>4634776.3268005913</v>
      </c>
      <c r="T58">
        <v>4634776.3268005913</v>
      </c>
      <c r="U58">
        <v>4634776.3268005913</v>
      </c>
      <c r="V58">
        <v>4634776.3268005913</v>
      </c>
      <c r="W58">
        <v>3621687.8708620435</v>
      </c>
      <c r="X58">
        <v>3621687.8708620435</v>
      </c>
      <c r="Y58">
        <v>3621687.8708620435</v>
      </c>
      <c r="Z58">
        <v>3621687.8708620435</v>
      </c>
      <c r="AA58">
        <v>3098434.6263824264</v>
      </c>
      <c r="AB58">
        <v>3098434.6263824264</v>
      </c>
      <c r="AC58">
        <v>3098434.6263824264</v>
      </c>
      <c r="AD58">
        <v>3098434.6263824264</v>
      </c>
      <c r="AE58">
        <v>3678471.253949577</v>
      </c>
      <c r="AF58">
        <v>3678471.253949577</v>
      </c>
      <c r="AG58">
        <v>3678471.253949577</v>
      </c>
      <c r="AH58">
        <v>3678471.253949577</v>
      </c>
      <c r="AI58">
        <v>3715682.0793197541</v>
      </c>
      <c r="AJ58">
        <v>3715682.0793197541</v>
      </c>
      <c r="AK58">
        <v>3715682.0793197541</v>
      </c>
      <c r="AL58">
        <v>3715682.0793197541</v>
      </c>
      <c r="AM58">
        <v>3286385.6340844589</v>
      </c>
      <c r="AN58">
        <v>3286385.6340844589</v>
      </c>
      <c r="AO58">
        <v>3286385.6340844589</v>
      </c>
      <c r="AP58">
        <v>3286385.6340844589</v>
      </c>
      <c r="AQ58">
        <v>3639445.6298014466</v>
      </c>
      <c r="AR58">
        <v>3639445.6298014466</v>
      </c>
      <c r="AS58">
        <v>3639445.6298014466</v>
      </c>
      <c r="AT58">
        <v>3639445.6298014466</v>
      </c>
      <c r="AU58">
        <v>3015518.9916480691</v>
      </c>
      <c r="AV58">
        <v>3015518.9916480691</v>
      </c>
      <c r="AW58">
        <v>3015518.9916480691</v>
      </c>
      <c r="AX58">
        <v>3015518.9916480691</v>
      </c>
    </row>
    <row r="59" spans="2:51" x14ac:dyDescent="0.2">
      <c r="B59" s="109" t="s">
        <v>105</v>
      </c>
      <c r="C59">
        <v>4309268.1486726776</v>
      </c>
      <c r="D59">
        <v>4309268.1486726776</v>
      </c>
      <c r="E59">
        <v>4309268.1486726776</v>
      </c>
      <c r="F59">
        <v>4309268.1486726776</v>
      </c>
      <c r="G59">
        <v>4660671.9390558898</v>
      </c>
      <c r="H59">
        <v>4660671.9390558898</v>
      </c>
      <c r="I59">
        <v>4660671.9390558898</v>
      </c>
      <c r="J59">
        <v>4660671.9390558898</v>
      </c>
      <c r="K59">
        <v>4657042.7253580168</v>
      </c>
      <c r="L59">
        <v>4657042.7253580168</v>
      </c>
      <c r="M59">
        <v>4657042.7253580168</v>
      </c>
      <c r="N59">
        <v>4657042.7253580168</v>
      </c>
      <c r="O59">
        <v>2413760.0291364766</v>
      </c>
      <c r="P59">
        <v>5161360.0929301595</v>
      </c>
      <c r="Q59">
        <v>5161360.0929301595</v>
      </c>
      <c r="R59">
        <v>5161360.0929301595</v>
      </c>
      <c r="S59">
        <v>4756685.4312711805</v>
      </c>
      <c r="T59">
        <v>4756685.4312711805</v>
      </c>
      <c r="U59">
        <v>4756685.4312711805</v>
      </c>
      <c r="V59">
        <v>4756685.4312711805</v>
      </c>
      <c r="W59">
        <v>4689409.7856350439</v>
      </c>
      <c r="X59">
        <v>4689409.7856350439</v>
      </c>
      <c r="Y59">
        <v>4689409.7856350439</v>
      </c>
      <c r="Z59">
        <v>4689409.7856350439</v>
      </c>
      <c r="AA59">
        <v>4820766.2070659306</v>
      </c>
      <c r="AB59">
        <v>4820766.2070659306</v>
      </c>
      <c r="AC59">
        <v>4820766.2070659306</v>
      </c>
      <c r="AD59">
        <v>4820766.2070659306</v>
      </c>
      <c r="AE59">
        <v>4224486.246968626</v>
      </c>
      <c r="AF59">
        <v>4224486.246968626</v>
      </c>
      <c r="AG59">
        <v>4224486.246968626</v>
      </c>
      <c r="AH59">
        <v>4224486.246968626</v>
      </c>
      <c r="AI59">
        <v>4485130.3246864155</v>
      </c>
      <c r="AJ59">
        <v>4485130.3246864155</v>
      </c>
      <c r="AK59">
        <v>4485130.3246864155</v>
      </c>
      <c r="AL59">
        <v>4485130.3246864155</v>
      </c>
      <c r="AM59">
        <v>4364508.3836567029</v>
      </c>
      <c r="AN59">
        <v>4364508.3836567029</v>
      </c>
      <c r="AO59">
        <v>4364508.3836567029</v>
      </c>
      <c r="AP59">
        <v>4364508.3836567029</v>
      </c>
      <c r="AQ59">
        <v>4594070.6994403945</v>
      </c>
      <c r="AR59">
        <v>4594070.6994403945</v>
      </c>
      <c r="AS59">
        <v>4594070.6994403945</v>
      </c>
      <c r="AT59">
        <v>4594070.6994403945</v>
      </c>
      <c r="AU59">
        <v>4370588.5085380673</v>
      </c>
      <c r="AV59">
        <v>4370588.5085380673</v>
      </c>
      <c r="AW59">
        <v>4370588.5085380673</v>
      </c>
      <c r="AX59">
        <v>4370588.5085380673</v>
      </c>
    </row>
    <row r="60" spans="2:51" x14ac:dyDescent="0.2">
      <c r="B60" s="109" t="s">
        <v>106</v>
      </c>
      <c r="C60">
        <v>4143829.0670653088</v>
      </c>
      <c r="D60">
        <v>4143829.0670653088</v>
      </c>
      <c r="E60">
        <v>4143829.0670653088</v>
      </c>
      <c r="F60">
        <v>4143829.0670653088</v>
      </c>
      <c r="G60">
        <v>4223043.0298182573</v>
      </c>
      <c r="H60">
        <v>4223043.0298182573</v>
      </c>
      <c r="I60">
        <v>4223043.0298182573</v>
      </c>
      <c r="J60">
        <v>4223043.0298182573</v>
      </c>
      <c r="K60">
        <v>4003324.2918304685</v>
      </c>
      <c r="L60">
        <v>4003324.2918304685</v>
      </c>
      <c r="M60">
        <v>4003324.2918304685</v>
      </c>
      <c r="N60">
        <v>4003324.2918304685</v>
      </c>
      <c r="O60">
        <v>3876501.367306578</v>
      </c>
      <c r="P60">
        <v>3876501.367306578</v>
      </c>
      <c r="Q60">
        <v>3876501.367306578</v>
      </c>
      <c r="R60">
        <v>3876501.367306578</v>
      </c>
      <c r="S60">
        <v>3836752.3478851547</v>
      </c>
      <c r="T60">
        <v>3836752.3478851547</v>
      </c>
      <c r="U60">
        <v>3836752.3478851547</v>
      </c>
      <c r="V60">
        <v>3836752.3478851547</v>
      </c>
      <c r="W60">
        <v>3911799.2270693043</v>
      </c>
      <c r="X60">
        <v>3911799.2270693043</v>
      </c>
      <c r="Y60">
        <v>3911799.2270693043</v>
      </c>
      <c r="Z60">
        <v>3911799.2270693043</v>
      </c>
      <c r="AA60">
        <v>4322449.3671097718</v>
      </c>
      <c r="AB60">
        <v>4322449.3671097718</v>
      </c>
      <c r="AC60">
        <v>3243156.3381120511</v>
      </c>
      <c r="AD60">
        <v>4322449.3671097718</v>
      </c>
      <c r="AE60">
        <v>1050192.798748472</v>
      </c>
      <c r="AF60">
        <v>1052236.2209531399</v>
      </c>
      <c r="AG60">
        <v>5576817.5900479564</v>
      </c>
      <c r="AH60">
        <v>5576817.5900479564</v>
      </c>
      <c r="AI60">
        <v>4022095.5759029817</v>
      </c>
      <c r="AJ60">
        <v>4022095.5759029817</v>
      </c>
      <c r="AK60">
        <v>4022095.5759029817</v>
      </c>
      <c r="AL60">
        <v>4022095.5759029817</v>
      </c>
      <c r="AM60">
        <v>4175405.1473104591</v>
      </c>
      <c r="AN60">
        <v>4175405.1473104591</v>
      </c>
      <c r="AO60">
        <v>4175405.1473104591</v>
      </c>
      <c r="AP60">
        <v>4175405.1473104591</v>
      </c>
      <c r="AQ60">
        <v>4501924.0340497363</v>
      </c>
      <c r="AR60">
        <v>868548.0214243806</v>
      </c>
      <c r="AS60">
        <v>4501924.0340497363</v>
      </c>
      <c r="AT60">
        <v>4501924.0340497363</v>
      </c>
      <c r="AU60">
        <v>4461337.8718858045</v>
      </c>
      <c r="AV60">
        <v>4461337.8718858045</v>
      </c>
      <c r="AW60">
        <v>3472746.6539637633</v>
      </c>
      <c r="AX60">
        <v>4461337.8718858045</v>
      </c>
    </row>
    <row r="61" spans="2:51" x14ac:dyDescent="0.2">
      <c r="B61" s="109" t="s">
        <v>107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</row>
    <row r="62" spans="2:51" x14ac:dyDescent="0.2">
      <c r="B62" s="109" t="s">
        <v>108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</row>
    <row r="63" spans="2:51" x14ac:dyDescent="0.2">
      <c r="B63" s="109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</row>
    <row r="64" spans="2:51" x14ac:dyDescent="0.2">
      <c r="B64" s="106"/>
    </row>
    <row r="65" spans="1:14" x14ac:dyDescent="0.2">
      <c r="B65" s="108" t="s">
        <v>327</v>
      </c>
    </row>
    <row r="66" spans="1:14" x14ac:dyDescent="0.2">
      <c r="B66" s="105" t="s">
        <v>328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2">
      <c r="B68" s="105" t="s">
        <v>330</v>
      </c>
      <c r="C68">
        <v>24999.999999999996</v>
      </c>
      <c r="D68">
        <v>24999.999999999996</v>
      </c>
      <c r="E68">
        <v>24999.999999999996</v>
      </c>
      <c r="F68">
        <v>24999.999999999996</v>
      </c>
      <c r="G68">
        <v>24999.999999999996</v>
      </c>
      <c r="H68">
        <v>24999.999999999996</v>
      </c>
      <c r="I68">
        <v>24999.999999999996</v>
      </c>
      <c r="J68">
        <v>24999.999999999996</v>
      </c>
      <c r="K68">
        <v>24999.999999999996</v>
      </c>
      <c r="L68">
        <v>24999.999999999996</v>
      </c>
      <c r="M68">
        <v>24999.999999999996</v>
      </c>
      <c r="N68">
        <v>24999.999999999996</v>
      </c>
    </row>
    <row r="70" spans="1:14" x14ac:dyDescent="0.2">
      <c r="B70" s="108" t="s">
        <v>331</v>
      </c>
    </row>
    <row r="71" spans="1:14" x14ac:dyDescent="0.2">
      <c r="A71" s="109" t="s">
        <v>121</v>
      </c>
      <c r="B71" s="109" t="s">
        <v>332</v>
      </c>
      <c r="C71" s="109" t="s">
        <v>22</v>
      </c>
      <c r="D71" s="109" t="s">
        <v>59</v>
      </c>
    </row>
    <row r="72" spans="1:14" x14ac:dyDescent="0.2">
      <c r="A72" s="109" t="s">
        <v>104</v>
      </c>
      <c r="B72" s="109" t="s">
        <v>92</v>
      </c>
      <c r="C72">
        <v>802623.00326668285</v>
      </c>
      <c r="D72">
        <v>5661994.8313588686</v>
      </c>
    </row>
    <row r="73" spans="1:14" x14ac:dyDescent="0.2">
      <c r="B73" s="109" t="s">
        <v>93</v>
      </c>
      <c r="C73">
        <v>802623.00326668285</v>
      </c>
      <c r="D73">
        <v>5661994.8313588686</v>
      </c>
    </row>
    <row r="74" spans="1:14" x14ac:dyDescent="0.2">
      <c r="B74" s="109" t="s">
        <v>94</v>
      </c>
      <c r="C74">
        <v>802623.00326668285</v>
      </c>
      <c r="D74">
        <v>5661994.8313588686</v>
      </c>
    </row>
    <row r="75" spans="1:14" x14ac:dyDescent="0.2">
      <c r="B75" s="109" t="s">
        <v>95</v>
      </c>
      <c r="C75">
        <v>802623.00326668285</v>
      </c>
      <c r="D75">
        <v>5661994.8313588686</v>
      </c>
    </row>
    <row r="76" spans="1:14" x14ac:dyDescent="0.2">
      <c r="B76" s="109" t="s">
        <v>96</v>
      </c>
      <c r="C76">
        <v>802623.00326668285</v>
      </c>
      <c r="D76">
        <v>5661994.8313588686</v>
      </c>
    </row>
    <row r="77" spans="1:14" x14ac:dyDescent="0.2">
      <c r="B77" s="109" t="s">
        <v>97</v>
      </c>
      <c r="C77">
        <v>802623.00326668285</v>
      </c>
      <c r="D77">
        <v>5661994.8313588686</v>
      </c>
    </row>
    <row r="78" spans="1:14" x14ac:dyDescent="0.2">
      <c r="B78" s="109" t="s">
        <v>98</v>
      </c>
      <c r="C78">
        <v>802623.00326668285</v>
      </c>
      <c r="D78">
        <v>5661994.8313588686</v>
      </c>
    </row>
    <row r="79" spans="1:14" x14ac:dyDescent="0.2">
      <c r="B79" s="109" t="s">
        <v>99</v>
      </c>
      <c r="C79">
        <v>802623.00326668285</v>
      </c>
      <c r="D79">
        <v>5661994.8313588686</v>
      </c>
    </row>
    <row r="80" spans="1:14" x14ac:dyDescent="0.2">
      <c r="B80" s="109" t="s">
        <v>100</v>
      </c>
      <c r="C80">
        <v>802623.00326668285</v>
      </c>
      <c r="D80">
        <v>5661994.8313588686</v>
      </c>
    </row>
    <row r="81" spans="2:50" x14ac:dyDescent="0.2">
      <c r="B81" s="109" t="s">
        <v>101</v>
      </c>
      <c r="C81">
        <v>802623.00326668285</v>
      </c>
      <c r="D81">
        <v>5661994.8313588686</v>
      </c>
    </row>
    <row r="82" spans="2:50" x14ac:dyDescent="0.2">
      <c r="B82" s="109" t="s">
        <v>102</v>
      </c>
      <c r="C82">
        <v>802623.00326668285</v>
      </c>
      <c r="D82">
        <v>5661994.8313588686</v>
      </c>
    </row>
    <row r="83" spans="2:50" x14ac:dyDescent="0.2">
      <c r="B83" s="109" t="s">
        <v>103</v>
      </c>
      <c r="C83">
        <v>802623.00326668285</v>
      </c>
      <c r="D83">
        <v>5661994.8313588686</v>
      </c>
    </row>
    <row r="85" spans="2:50" x14ac:dyDescent="0.2">
      <c r="B85" s="107" t="s">
        <v>333</v>
      </c>
    </row>
    <row r="86" spans="2:50" x14ac:dyDescent="0.2">
      <c r="B86" s="105" t="s">
        <v>274</v>
      </c>
      <c r="C86" s="105" t="s">
        <v>92</v>
      </c>
      <c r="D86" s="106"/>
      <c r="E86" s="106"/>
      <c r="F86" s="106"/>
      <c r="G86" s="105" t="s">
        <v>93</v>
      </c>
      <c r="H86" s="106"/>
      <c r="I86" s="106"/>
      <c r="J86" s="106"/>
      <c r="K86" s="105" t="s">
        <v>94</v>
      </c>
      <c r="L86" s="106"/>
      <c r="M86" s="106"/>
      <c r="N86" s="106"/>
      <c r="O86" s="105" t="s">
        <v>95</v>
      </c>
      <c r="P86" s="106"/>
      <c r="Q86" s="106"/>
      <c r="R86" s="106"/>
      <c r="S86" s="105" t="s">
        <v>96</v>
      </c>
      <c r="T86" s="106"/>
      <c r="U86" s="106"/>
      <c r="V86" s="106"/>
      <c r="W86" s="105" t="s">
        <v>97</v>
      </c>
      <c r="X86" s="106"/>
      <c r="Y86" s="106"/>
      <c r="Z86" s="106"/>
      <c r="AA86" s="105" t="s">
        <v>98</v>
      </c>
      <c r="AB86" s="106"/>
      <c r="AC86" s="106"/>
      <c r="AD86" s="106"/>
      <c r="AE86" s="105" t="s">
        <v>99</v>
      </c>
      <c r="AF86" s="106"/>
      <c r="AG86" s="106"/>
      <c r="AH86" s="106"/>
      <c r="AI86" s="105" t="s">
        <v>100</v>
      </c>
      <c r="AJ86" s="106"/>
      <c r="AK86" s="106"/>
      <c r="AL86" s="106"/>
      <c r="AM86" s="105" t="s">
        <v>101</v>
      </c>
      <c r="AN86" s="106"/>
      <c r="AO86" s="106"/>
      <c r="AP86" s="106"/>
      <c r="AQ86" s="105" t="s">
        <v>102</v>
      </c>
      <c r="AR86" s="106"/>
      <c r="AS86" s="106"/>
      <c r="AT86" s="106"/>
      <c r="AU86" s="105" t="s">
        <v>103</v>
      </c>
      <c r="AV86" s="106"/>
      <c r="AW86" s="106"/>
    </row>
    <row r="87" spans="2:50" x14ac:dyDescent="0.2">
      <c r="B87" s="105" t="s">
        <v>334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>
        <f>C48+$C$67/4</f>
        <v>2645.185908907335</v>
      </c>
      <c r="D88">
        <f>D48+$C$67/4</f>
        <v>2645.185908907335</v>
      </c>
      <c r="E88">
        <f>E48+$C$67/4</f>
        <v>2645.185908907335</v>
      </c>
      <c r="F88">
        <f>F48+$C$67/4</f>
        <v>2645.185908907335</v>
      </c>
      <c r="G88">
        <f>G48+$D$67/4</f>
        <v>2645.185908907335</v>
      </c>
      <c r="H88">
        <f>H48+$D$67/4</f>
        <v>2645.185908907335</v>
      </c>
      <c r="I88">
        <f>I48+$D$67/4</f>
        <v>2645.185908907335</v>
      </c>
      <c r="J88">
        <f>J48+$D$67/4</f>
        <v>2645.185908907335</v>
      </c>
      <c r="K88">
        <f>K48+$E$67/4</f>
        <v>2645.185908907335</v>
      </c>
      <c r="L88">
        <f>L48+$E$67/4</f>
        <v>2645.185908907335</v>
      </c>
      <c r="M88">
        <f>M48+$E$67/4</f>
        <v>2645.185908907335</v>
      </c>
      <c r="N88">
        <f>N48+$E$67/4</f>
        <v>2645.185908907335</v>
      </c>
      <c r="O88">
        <f>O48+$F$67/4</f>
        <v>2645.185908907335</v>
      </c>
      <c r="P88">
        <f>P48+$F$67/4</f>
        <v>2645.185908907335</v>
      </c>
      <c r="Q88">
        <f>Q48+$F$67/4</f>
        <v>2645.185908907335</v>
      </c>
      <c r="R88">
        <f>R48+$F$67/4</f>
        <v>2645.185908907335</v>
      </c>
      <c r="S88">
        <f>S48+$G$67/4</f>
        <v>2645.185908907335</v>
      </c>
      <c r="T88">
        <f>T48+$G$67/4</f>
        <v>2645.185908907335</v>
      </c>
      <c r="U88">
        <f>U48+$G$67/4</f>
        <v>2645.185908907335</v>
      </c>
      <c r="V88">
        <f>V48+$G$67/4</f>
        <v>2645.185908907335</v>
      </c>
      <c r="W88">
        <f>W48+$H$67/4</f>
        <v>2645.185908907335</v>
      </c>
      <c r="X88">
        <f>X48+$H$67/4</f>
        <v>2645.185908907335</v>
      </c>
      <c r="Y88">
        <f>Y48+$H$67/4</f>
        <v>2645.185908907335</v>
      </c>
      <c r="Z88">
        <f>Z48+$H$67/4</f>
        <v>2645.185908907335</v>
      </c>
      <c r="AA88">
        <f>AA48+$I$67/4</f>
        <v>2645.185908907335</v>
      </c>
      <c r="AB88">
        <f>AB48+$I$67/4</f>
        <v>2645.185908907335</v>
      </c>
      <c r="AC88">
        <f>AC48+$I$67/4</f>
        <v>2645.185908907335</v>
      </c>
      <c r="AD88">
        <f>AD48+$I$67/4</f>
        <v>2645.185908907335</v>
      </c>
      <c r="AE88">
        <f>AE48+$J$67/4</f>
        <v>2645.185908907335</v>
      </c>
      <c r="AF88">
        <f>AF48+$J$67/4</f>
        <v>2645.185908907335</v>
      </c>
      <c r="AG88">
        <f>AG48+$J$67/4</f>
        <v>2645.185908907335</v>
      </c>
      <c r="AH88">
        <f>AH48+$J$67/4</f>
        <v>2645.185908907335</v>
      </c>
      <c r="AI88">
        <f>AI48+$K$67/4</f>
        <v>2645.185908907335</v>
      </c>
      <c r="AJ88">
        <f>AJ48+$K$67/4</f>
        <v>2645.185908907335</v>
      </c>
      <c r="AK88">
        <f>AK48+$K$67/4</f>
        <v>2645.185908907335</v>
      </c>
      <c r="AL88">
        <f>AL48+$K$67/4</f>
        <v>2645.185908907335</v>
      </c>
      <c r="AM88">
        <f>AM48+$L$67/4</f>
        <v>2645.185908907335</v>
      </c>
      <c r="AN88">
        <f>AN48+$L$67/4</f>
        <v>2645.185908907335</v>
      </c>
      <c r="AO88">
        <f>AO48+$L$67/4</f>
        <v>2645.185908907335</v>
      </c>
      <c r="AP88">
        <f>AP48+$L$67/4</f>
        <v>2645.185908907335</v>
      </c>
      <c r="AQ88">
        <f>AQ48+$M$67/4</f>
        <v>2645.185908907335</v>
      </c>
      <c r="AR88">
        <f>AR48+$M$67/4</f>
        <v>2645.185908907335</v>
      </c>
      <c r="AS88">
        <f>AS48+$M$67/4</f>
        <v>2645.185908907335</v>
      </c>
      <c r="AT88">
        <f>AT48+$M$67/4</f>
        <v>2645.185908907335</v>
      </c>
      <c r="AU88">
        <f>AU48+$N$67/4</f>
        <v>2645.185908907335</v>
      </c>
      <c r="AV88">
        <f>AV48+$N$67/4</f>
        <v>2645.185908907335</v>
      </c>
      <c r="AW88">
        <f>AW48+$N$67/4</f>
        <v>2645.185908907335</v>
      </c>
      <c r="AX88">
        <f>AX48+$N$67/4</f>
        <v>2645.185908907335</v>
      </c>
    </row>
    <row r="89" spans="2:50" x14ac:dyDescent="0.2">
      <c r="B89" s="105" t="s">
        <v>105</v>
      </c>
      <c r="C89">
        <f>C49</f>
        <v>3298.8255177956808</v>
      </c>
      <c r="D89">
        <f t="shared" ref="D89:AX93" si="3">D49</f>
        <v>3298.8255177956808</v>
      </c>
      <c r="E89">
        <f t="shared" si="3"/>
        <v>3298.8255177956808</v>
      </c>
      <c r="F89">
        <f t="shared" si="3"/>
        <v>3298.8255177956808</v>
      </c>
      <c r="G89">
        <f t="shared" si="3"/>
        <v>3298.8255177956808</v>
      </c>
      <c r="H89">
        <f t="shared" si="3"/>
        <v>3298.8255177956808</v>
      </c>
      <c r="I89">
        <f t="shared" si="3"/>
        <v>3298.8255177956808</v>
      </c>
      <c r="J89">
        <f t="shared" si="3"/>
        <v>3298.8255177956808</v>
      </c>
      <c r="K89">
        <f t="shared" si="3"/>
        <v>3298.8255177956808</v>
      </c>
      <c r="L89">
        <f t="shared" si="3"/>
        <v>3298.8255177956808</v>
      </c>
      <c r="M89">
        <f t="shared" si="3"/>
        <v>3298.8255177956808</v>
      </c>
      <c r="N89">
        <f t="shared" si="3"/>
        <v>3298.8255177956808</v>
      </c>
      <c r="O89">
        <f t="shared" si="3"/>
        <v>1542.7276986268589</v>
      </c>
      <c r="P89">
        <f t="shared" si="3"/>
        <v>3298.8255177956808</v>
      </c>
      <c r="Q89">
        <f t="shared" si="3"/>
        <v>3298.8255177956808</v>
      </c>
      <c r="R89">
        <f t="shared" si="3"/>
        <v>3298.8255177956808</v>
      </c>
      <c r="S89">
        <f t="shared" si="3"/>
        <v>3298.8255177956808</v>
      </c>
      <c r="T89">
        <f t="shared" si="3"/>
        <v>3298.8255177956808</v>
      </c>
      <c r="U89">
        <f t="shared" si="3"/>
        <v>3298.8255177956808</v>
      </c>
      <c r="V89">
        <f t="shared" si="3"/>
        <v>3298.8255177956808</v>
      </c>
      <c r="W89">
        <f t="shared" si="3"/>
        <v>3298.8255177956808</v>
      </c>
      <c r="X89">
        <f t="shared" si="3"/>
        <v>3298.8255177956808</v>
      </c>
      <c r="Y89">
        <f t="shared" si="3"/>
        <v>3298.8255177956808</v>
      </c>
      <c r="Z89">
        <f t="shared" si="3"/>
        <v>3298.8255177956808</v>
      </c>
      <c r="AA89">
        <f t="shared" si="3"/>
        <v>3298.8255177956808</v>
      </c>
      <c r="AB89">
        <f t="shared" si="3"/>
        <v>3298.8255177956808</v>
      </c>
      <c r="AC89">
        <f t="shared" si="3"/>
        <v>3298.8255177956808</v>
      </c>
      <c r="AD89">
        <f t="shared" si="3"/>
        <v>3298.8255177956808</v>
      </c>
      <c r="AE89">
        <f t="shared" si="3"/>
        <v>3298.8255177956808</v>
      </c>
      <c r="AF89">
        <f t="shared" si="3"/>
        <v>3298.8255177956808</v>
      </c>
      <c r="AG89">
        <f t="shared" si="3"/>
        <v>3298.8255177956808</v>
      </c>
      <c r="AH89">
        <f t="shared" si="3"/>
        <v>3298.8255177956808</v>
      </c>
      <c r="AI89">
        <f t="shared" si="3"/>
        <v>3298.8255177956808</v>
      </c>
      <c r="AJ89">
        <f t="shared" si="3"/>
        <v>3298.8255177956808</v>
      </c>
      <c r="AK89">
        <f t="shared" si="3"/>
        <v>3298.8255177956808</v>
      </c>
      <c r="AL89">
        <f t="shared" si="3"/>
        <v>3298.8255177956808</v>
      </c>
      <c r="AM89">
        <f t="shared" si="3"/>
        <v>3298.8255177956808</v>
      </c>
      <c r="AN89">
        <f t="shared" si="3"/>
        <v>3298.8255177956808</v>
      </c>
      <c r="AO89">
        <f t="shared" si="3"/>
        <v>3298.8255177956808</v>
      </c>
      <c r="AP89">
        <f t="shared" si="3"/>
        <v>3298.8255177956808</v>
      </c>
      <c r="AQ89">
        <f t="shared" si="3"/>
        <v>3298.8255177956808</v>
      </c>
      <c r="AR89">
        <f t="shared" si="3"/>
        <v>3298.8255177956808</v>
      </c>
      <c r="AS89">
        <f t="shared" si="3"/>
        <v>3298.8255177956808</v>
      </c>
      <c r="AT89">
        <f t="shared" si="3"/>
        <v>3298.8255177956808</v>
      </c>
      <c r="AU89">
        <f t="shared" si="3"/>
        <v>3298.8255177956808</v>
      </c>
      <c r="AV89">
        <f t="shared" si="3"/>
        <v>3298.8255177956808</v>
      </c>
      <c r="AW89">
        <f t="shared" si="3"/>
        <v>3298.8255177956808</v>
      </c>
      <c r="AX89">
        <f t="shared" si="3"/>
        <v>3298.8255177956808</v>
      </c>
    </row>
    <row r="90" spans="2:50" x14ac:dyDescent="0.2">
      <c r="B90" s="105" t="s">
        <v>106</v>
      </c>
      <c r="C90">
        <f t="shared" ref="C90:R93" si="4">C50</f>
        <v>2821.3350495185555</v>
      </c>
      <c r="D90">
        <f t="shared" si="4"/>
        <v>2821.3350495185555</v>
      </c>
      <c r="E90">
        <f t="shared" si="4"/>
        <v>2821.3350495185555</v>
      </c>
      <c r="F90">
        <f t="shared" si="4"/>
        <v>2821.3350495185555</v>
      </c>
      <c r="G90">
        <f t="shared" si="4"/>
        <v>2821.3350495185555</v>
      </c>
      <c r="H90">
        <f t="shared" si="4"/>
        <v>2821.3350495185555</v>
      </c>
      <c r="I90">
        <f t="shared" si="4"/>
        <v>2821.3350495185555</v>
      </c>
      <c r="J90">
        <f t="shared" si="4"/>
        <v>2821.3350495185555</v>
      </c>
      <c r="K90">
        <f t="shared" si="4"/>
        <v>2821.3350495185555</v>
      </c>
      <c r="L90">
        <f t="shared" si="4"/>
        <v>2821.3350495185555</v>
      </c>
      <c r="M90">
        <f t="shared" si="4"/>
        <v>2821.3350495185555</v>
      </c>
      <c r="N90">
        <f t="shared" si="4"/>
        <v>2821.3350495185555</v>
      </c>
      <c r="O90">
        <f t="shared" si="4"/>
        <v>2821.3350495185555</v>
      </c>
      <c r="P90">
        <f t="shared" si="4"/>
        <v>2821.3350495185555</v>
      </c>
      <c r="Q90">
        <f t="shared" si="4"/>
        <v>2821.3350495185555</v>
      </c>
      <c r="R90">
        <f t="shared" si="4"/>
        <v>2821.3350495185555</v>
      </c>
      <c r="S90">
        <f t="shared" si="3"/>
        <v>2821.3350495185555</v>
      </c>
      <c r="T90">
        <f t="shared" si="3"/>
        <v>2821.3350495185555</v>
      </c>
      <c r="U90">
        <f t="shared" si="3"/>
        <v>2821.3350495185555</v>
      </c>
      <c r="V90">
        <f t="shared" si="3"/>
        <v>2821.3350495185555</v>
      </c>
      <c r="W90">
        <f t="shared" si="3"/>
        <v>2821.3350495185555</v>
      </c>
      <c r="X90">
        <f t="shared" si="3"/>
        <v>2821.3350495185555</v>
      </c>
      <c r="Y90">
        <f t="shared" si="3"/>
        <v>2821.3350495185555</v>
      </c>
      <c r="Z90">
        <f t="shared" si="3"/>
        <v>2821.3350495185555</v>
      </c>
      <c r="AA90">
        <f t="shared" si="3"/>
        <v>2821.3350495185555</v>
      </c>
      <c r="AB90">
        <f t="shared" si="3"/>
        <v>2821.3350495185555</v>
      </c>
      <c r="AC90">
        <f t="shared" si="3"/>
        <v>2116.8624246724253</v>
      </c>
      <c r="AD90">
        <f t="shared" si="3"/>
        <v>2821.3350495185555</v>
      </c>
      <c r="AE90">
        <f t="shared" si="3"/>
        <v>531.29687389247601</v>
      </c>
      <c r="AF90">
        <f t="shared" si="3"/>
        <v>532.3306496245857</v>
      </c>
      <c r="AG90">
        <f t="shared" si="3"/>
        <v>2821.3350495185555</v>
      </c>
      <c r="AH90">
        <f t="shared" si="3"/>
        <v>2821.3350495185555</v>
      </c>
      <c r="AI90">
        <f t="shared" si="3"/>
        <v>2821.3350495185555</v>
      </c>
      <c r="AJ90">
        <f t="shared" si="3"/>
        <v>2821.3350495185555</v>
      </c>
      <c r="AK90">
        <f t="shared" si="3"/>
        <v>2821.3350495185555</v>
      </c>
      <c r="AL90">
        <f t="shared" si="3"/>
        <v>2821.3350495185555</v>
      </c>
      <c r="AM90">
        <f t="shared" si="3"/>
        <v>2821.3350495185555</v>
      </c>
      <c r="AN90">
        <f t="shared" si="3"/>
        <v>2821.3350495185555</v>
      </c>
      <c r="AO90">
        <f t="shared" si="3"/>
        <v>2821.3350495185555</v>
      </c>
      <c r="AP90">
        <f t="shared" si="3"/>
        <v>2821.3350495185555</v>
      </c>
      <c r="AQ90">
        <f t="shared" si="3"/>
        <v>2821.3350495185555</v>
      </c>
      <c r="AR90">
        <f t="shared" si="3"/>
        <v>544.31504319060355</v>
      </c>
      <c r="AS90">
        <f t="shared" si="3"/>
        <v>2821.3350495185555</v>
      </c>
      <c r="AT90">
        <f t="shared" si="3"/>
        <v>2821.3350495185555</v>
      </c>
      <c r="AU90">
        <f t="shared" si="3"/>
        <v>2821.3350495185555</v>
      </c>
      <c r="AV90">
        <f t="shared" si="3"/>
        <v>2821.3350495185555</v>
      </c>
      <c r="AW90">
        <f t="shared" si="3"/>
        <v>2196.1532917444638</v>
      </c>
      <c r="AX90">
        <f t="shared" si="3"/>
        <v>2821.3350495185555</v>
      </c>
    </row>
    <row r="91" spans="2:50" x14ac:dyDescent="0.2">
      <c r="B91" s="105" t="s">
        <v>107</v>
      </c>
      <c r="C91">
        <f t="shared" si="4"/>
        <v>0</v>
      </c>
      <c r="D91">
        <f t="shared" si="3"/>
        <v>0</v>
      </c>
      <c r="E91">
        <f t="shared" si="3"/>
        <v>0</v>
      </c>
      <c r="F91">
        <f t="shared" si="3"/>
        <v>0</v>
      </c>
      <c r="G91">
        <f t="shared" si="3"/>
        <v>0</v>
      </c>
      <c r="H91">
        <f t="shared" si="3"/>
        <v>0</v>
      </c>
      <c r="I91">
        <f t="shared" si="3"/>
        <v>0</v>
      </c>
      <c r="J91">
        <f t="shared" si="3"/>
        <v>0</v>
      </c>
      <c r="K91">
        <f t="shared" si="3"/>
        <v>0</v>
      </c>
      <c r="L91">
        <f t="shared" si="3"/>
        <v>0</v>
      </c>
      <c r="M91">
        <f t="shared" si="3"/>
        <v>0</v>
      </c>
      <c r="N91">
        <f t="shared" si="3"/>
        <v>0</v>
      </c>
      <c r="O91">
        <f t="shared" si="3"/>
        <v>0</v>
      </c>
      <c r="P91">
        <f t="shared" si="3"/>
        <v>0</v>
      </c>
      <c r="Q91">
        <f t="shared" si="3"/>
        <v>0</v>
      </c>
      <c r="R91">
        <f t="shared" si="3"/>
        <v>0</v>
      </c>
      <c r="S91">
        <f t="shared" si="3"/>
        <v>0</v>
      </c>
      <c r="T91">
        <f t="shared" si="3"/>
        <v>0</v>
      </c>
      <c r="U91">
        <f t="shared" si="3"/>
        <v>0</v>
      </c>
      <c r="V91">
        <f t="shared" si="3"/>
        <v>0</v>
      </c>
      <c r="W91">
        <f t="shared" si="3"/>
        <v>0</v>
      </c>
      <c r="X91">
        <f t="shared" si="3"/>
        <v>0</v>
      </c>
      <c r="Y91">
        <f t="shared" si="3"/>
        <v>0</v>
      </c>
      <c r="Z91">
        <f t="shared" si="3"/>
        <v>0</v>
      </c>
      <c r="AA91">
        <f t="shared" si="3"/>
        <v>0</v>
      </c>
      <c r="AB91">
        <f t="shared" si="3"/>
        <v>0</v>
      </c>
      <c r="AC91">
        <f t="shared" si="3"/>
        <v>0</v>
      </c>
      <c r="AD91">
        <f t="shared" si="3"/>
        <v>0</v>
      </c>
      <c r="AE91">
        <f t="shared" si="3"/>
        <v>0</v>
      </c>
      <c r="AF91">
        <f t="shared" si="3"/>
        <v>0</v>
      </c>
      <c r="AG91">
        <f t="shared" si="3"/>
        <v>0</v>
      </c>
      <c r="AH91">
        <f t="shared" si="3"/>
        <v>0</v>
      </c>
      <c r="AI91">
        <f t="shared" si="3"/>
        <v>0</v>
      </c>
      <c r="AJ91">
        <f t="shared" si="3"/>
        <v>0</v>
      </c>
      <c r="AK91">
        <f t="shared" si="3"/>
        <v>0</v>
      </c>
      <c r="AL91">
        <f t="shared" si="3"/>
        <v>0</v>
      </c>
      <c r="AM91">
        <f t="shared" si="3"/>
        <v>0</v>
      </c>
      <c r="AN91">
        <f t="shared" si="3"/>
        <v>0</v>
      </c>
      <c r="AO91">
        <f t="shared" si="3"/>
        <v>0</v>
      </c>
      <c r="AP91">
        <f t="shared" si="3"/>
        <v>0</v>
      </c>
      <c r="AQ91">
        <f t="shared" si="3"/>
        <v>0</v>
      </c>
      <c r="AR91">
        <f t="shared" si="3"/>
        <v>0</v>
      </c>
      <c r="AS91">
        <f t="shared" si="3"/>
        <v>0</v>
      </c>
      <c r="AT91">
        <f t="shared" si="3"/>
        <v>0</v>
      </c>
      <c r="AU91">
        <f t="shared" si="3"/>
        <v>0</v>
      </c>
      <c r="AV91">
        <f t="shared" si="3"/>
        <v>0</v>
      </c>
      <c r="AW91">
        <f t="shared" si="3"/>
        <v>0</v>
      </c>
      <c r="AX91">
        <f t="shared" si="3"/>
        <v>0</v>
      </c>
    </row>
    <row r="92" spans="2:50" x14ac:dyDescent="0.2">
      <c r="B92" s="105" t="s">
        <v>108</v>
      </c>
      <c r="C92">
        <f t="shared" si="4"/>
        <v>0</v>
      </c>
      <c r="D92">
        <f t="shared" si="4"/>
        <v>0</v>
      </c>
      <c r="E92">
        <f t="shared" si="4"/>
        <v>0</v>
      </c>
      <c r="F92">
        <f t="shared" si="4"/>
        <v>0</v>
      </c>
      <c r="G92">
        <f t="shared" si="4"/>
        <v>0</v>
      </c>
      <c r="H92">
        <f t="shared" si="4"/>
        <v>0</v>
      </c>
      <c r="I92">
        <f t="shared" si="4"/>
        <v>0</v>
      </c>
      <c r="J92">
        <f t="shared" si="4"/>
        <v>0</v>
      </c>
      <c r="K92">
        <f t="shared" si="4"/>
        <v>0</v>
      </c>
      <c r="L92">
        <f t="shared" si="4"/>
        <v>0</v>
      </c>
      <c r="M92">
        <f t="shared" si="4"/>
        <v>0</v>
      </c>
      <c r="N92">
        <f t="shared" si="4"/>
        <v>0</v>
      </c>
      <c r="O92">
        <f t="shared" si="4"/>
        <v>0</v>
      </c>
      <c r="P92">
        <f t="shared" si="4"/>
        <v>0</v>
      </c>
      <c r="Q92">
        <f t="shared" si="4"/>
        <v>0</v>
      </c>
      <c r="R92">
        <f t="shared" si="4"/>
        <v>0</v>
      </c>
      <c r="S92">
        <f t="shared" si="3"/>
        <v>0</v>
      </c>
      <c r="T92">
        <f t="shared" si="3"/>
        <v>0</v>
      </c>
      <c r="U92">
        <f t="shared" si="3"/>
        <v>0</v>
      </c>
      <c r="V92">
        <f t="shared" si="3"/>
        <v>0</v>
      </c>
      <c r="W92">
        <f t="shared" si="3"/>
        <v>0</v>
      </c>
      <c r="X92">
        <f t="shared" si="3"/>
        <v>0</v>
      </c>
      <c r="Y92">
        <f t="shared" si="3"/>
        <v>0</v>
      </c>
      <c r="Z92">
        <f t="shared" si="3"/>
        <v>0</v>
      </c>
      <c r="AA92">
        <f t="shared" si="3"/>
        <v>0</v>
      </c>
      <c r="AB92">
        <f t="shared" si="3"/>
        <v>0</v>
      </c>
      <c r="AC92">
        <f t="shared" si="3"/>
        <v>0</v>
      </c>
      <c r="AD92">
        <f t="shared" si="3"/>
        <v>0</v>
      </c>
      <c r="AE92">
        <f t="shared" si="3"/>
        <v>0</v>
      </c>
      <c r="AF92">
        <f t="shared" si="3"/>
        <v>0</v>
      </c>
      <c r="AG92">
        <f t="shared" si="3"/>
        <v>0</v>
      </c>
      <c r="AH92">
        <f t="shared" si="3"/>
        <v>0</v>
      </c>
      <c r="AI92">
        <f t="shared" si="3"/>
        <v>0</v>
      </c>
      <c r="AJ92">
        <f t="shared" si="3"/>
        <v>0</v>
      </c>
      <c r="AK92">
        <f t="shared" si="3"/>
        <v>0</v>
      </c>
      <c r="AL92">
        <f t="shared" si="3"/>
        <v>0</v>
      </c>
      <c r="AM92">
        <f t="shared" si="3"/>
        <v>0</v>
      </c>
      <c r="AN92">
        <f t="shared" si="3"/>
        <v>0</v>
      </c>
      <c r="AO92">
        <f t="shared" si="3"/>
        <v>0</v>
      </c>
      <c r="AP92">
        <f t="shared" si="3"/>
        <v>0</v>
      </c>
      <c r="AQ92">
        <f t="shared" si="3"/>
        <v>0</v>
      </c>
      <c r="AR92">
        <f t="shared" si="3"/>
        <v>0</v>
      </c>
      <c r="AS92">
        <f t="shared" si="3"/>
        <v>0</v>
      </c>
      <c r="AT92">
        <f t="shared" si="3"/>
        <v>0</v>
      </c>
      <c r="AU92">
        <f t="shared" si="3"/>
        <v>0</v>
      </c>
      <c r="AV92">
        <f t="shared" si="3"/>
        <v>0</v>
      </c>
      <c r="AW92">
        <f t="shared" si="3"/>
        <v>0</v>
      </c>
      <c r="AX92">
        <f t="shared" si="3"/>
        <v>0</v>
      </c>
    </row>
    <row r="93" spans="2:50" x14ac:dyDescent="0.2">
      <c r="B93" s="105" t="s">
        <v>109</v>
      </c>
      <c r="C93">
        <f t="shared" si="4"/>
        <v>0</v>
      </c>
      <c r="D93">
        <f t="shared" si="4"/>
        <v>0</v>
      </c>
      <c r="E93">
        <f t="shared" si="4"/>
        <v>0</v>
      </c>
      <c r="F93">
        <f t="shared" si="4"/>
        <v>0</v>
      </c>
      <c r="G93">
        <f t="shared" si="4"/>
        <v>0</v>
      </c>
      <c r="H93">
        <f t="shared" si="4"/>
        <v>0</v>
      </c>
      <c r="I93">
        <f t="shared" si="4"/>
        <v>0</v>
      </c>
      <c r="J93">
        <f t="shared" si="4"/>
        <v>0</v>
      </c>
      <c r="K93">
        <f t="shared" si="4"/>
        <v>0</v>
      </c>
      <c r="L93">
        <f t="shared" si="4"/>
        <v>0</v>
      </c>
      <c r="M93">
        <f t="shared" si="4"/>
        <v>0</v>
      </c>
      <c r="N93">
        <f t="shared" si="4"/>
        <v>0</v>
      </c>
      <c r="O93">
        <f t="shared" si="4"/>
        <v>0</v>
      </c>
      <c r="P93">
        <f t="shared" si="4"/>
        <v>0</v>
      </c>
      <c r="Q93">
        <f t="shared" si="4"/>
        <v>0</v>
      </c>
      <c r="R93">
        <f t="shared" si="4"/>
        <v>0</v>
      </c>
      <c r="S93">
        <f t="shared" si="3"/>
        <v>0</v>
      </c>
      <c r="T93">
        <f t="shared" si="3"/>
        <v>0</v>
      </c>
      <c r="U93">
        <f t="shared" si="3"/>
        <v>0</v>
      </c>
      <c r="V93">
        <f t="shared" si="3"/>
        <v>0</v>
      </c>
      <c r="W93">
        <f t="shared" si="3"/>
        <v>0</v>
      </c>
      <c r="X93">
        <f t="shared" si="3"/>
        <v>0</v>
      </c>
      <c r="Y93">
        <f t="shared" si="3"/>
        <v>0</v>
      </c>
      <c r="Z93">
        <f t="shared" si="3"/>
        <v>0</v>
      </c>
      <c r="AA93">
        <f t="shared" si="3"/>
        <v>0</v>
      </c>
      <c r="AB93">
        <f t="shared" si="3"/>
        <v>0</v>
      </c>
      <c r="AC93">
        <f t="shared" si="3"/>
        <v>0</v>
      </c>
      <c r="AD93">
        <f t="shared" si="3"/>
        <v>0</v>
      </c>
      <c r="AE93">
        <f t="shared" si="3"/>
        <v>0</v>
      </c>
      <c r="AF93">
        <f t="shared" si="3"/>
        <v>0</v>
      </c>
      <c r="AG93">
        <f t="shared" si="3"/>
        <v>0</v>
      </c>
      <c r="AH93">
        <f t="shared" si="3"/>
        <v>0</v>
      </c>
      <c r="AI93">
        <f t="shared" si="3"/>
        <v>0</v>
      </c>
      <c r="AJ93">
        <f t="shared" si="3"/>
        <v>0</v>
      </c>
      <c r="AK93">
        <f t="shared" si="3"/>
        <v>0</v>
      </c>
      <c r="AL93">
        <f t="shared" si="3"/>
        <v>0</v>
      </c>
      <c r="AM93">
        <f t="shared" si="3"/>
        <v>0</v>
      </c>
      <c r="AN93">
        <f t="shared" si="3"/>
        <v>0</v>
      </c>
      <c r="AO93">
        <f t="shared" si="3"/>
        <v>0</v>
      </c>
      <c r="AP93">
        <f t="shared" si="3"/>
        <v>0</v>
      </c>
      <c r="AQ93">
        <f t="shared" si="3"/>
        <v>0</v>
      </c>
      <c r="AR93">
        <f t="shared" si="3"/>
        <v>0</v>
      </c>
      <c r="AS93">
        <f t="shared" si="3"/>
        <v>0</v>
      </c>
      <c r="AT93">
        <f t="shared" si="3"/>
        <v>0</v>
      </c>
      <c r="AU93">
        <f t="shared" si="3"/>
        <v>0</v>
      </c>
      <c r="AV93">
        <f t="shared" si="3"/>
        <v>0</v>
      </c>
      <c r="AW93">
        <f t="shared" si="3"/>
        <v>0</v>
      </c>
      <c r="AX93">
        <f t="shared" si="3"/>
        <v>0</v>
      </c>
    </row>
    <row r="94" spans="2:50" x14ac:dyDescent="0.2">
      <c r="B94" s="106"/>
    </row>
    <row r="95" spans="2:50" x14ac:dyDescent="0.2">
      <c r="B95" s="53" t="s">
        <v>335</v>
      </c>
    </row>
    <row r="96" spans="2:50" x14ac:dyDescent="0.2">
      <c r="B96" s="29"/>
      <c r="C96" s="109" t="s">
        <v>92</v>
      </c>
      <c r="D96" s="106"/>
      <c r="E96" s="106"/>
      <c r="F96" s="106"/>
      <c r="G96" s="109" t="s">
        <v>93</v>
      </c>
      <c r="H96" s="106"/>
      <c r="I96" s="106"/>
      <c r="J96" s="106"/>
      <c r="K96" s="109" t="s">
        <v>94</v>
      </c>
      <c r="L96" s="106"/>
      <c r="M96" s="106"/>
      <c r="N96" s="106"/>
      <c r="O96" s="109" t="s">
        <v>95</v>
      </c>
      <c r="P96" s="106"/>
      <c r="Q96" s="106"/>
      <c r="R96" s="106"/>
      <c r="S96" s="109" t="s">
        <v>96</v>
      </c>
      <c r="T96" s="106"/>
      <c r="U96" s="106"/>
      <c r="V96" s="106"/>
      <c r="W96" s="109" t="s">
        <v>97</v>
      </c>
      <c r="X96" s="106"/>
      <c r="Y96" s="106"/>
      <c r="Z96" s="106"/>
      <c r="AA96" s="109" t="s">
        <v>98</v>
      </c>
      <c r="AB96" s="106"/>
      <c r="AC96" s="106"/>
      <c r="AD96" s="106"/>
      <c r="AE96" s="109" t="s">
        <v>99</v>
      </c>
      <c r="AF96" s="106"/>
      <c r="AG96" s="106"/>
      <c r="AH96" s="106"/>
      <c r="AI96" s="109" t="s">
        <v>100</v>
      </c>
      <c r="AJ96" s="106"/>
      <c r="AK96" s="106"/>
      <c r="AL96" s="106"/>
      <c r="AM96" s="109" t="s">
        <v>101</v>
      </c>
      <c r="AN96" s="106"/>
      <c r="AO96" s="106"/>
      <c r="AP96" s="106"/>
      <c r="AQ96" s="109" t="s">
        <v>102</v>
      </c>
      <c r="AR96" s="106"/>
      <c r="AS96" s="106"/>
      <c r="AT96" s="106"/>
      <c r="AU96" s="109" t="s">
        <v>103</v>
      </c>
      <c r="AV96" s="106"/>
      <c r="AW96" s="106"/>
    </row>
    <row r="97" spans="1:50" x14ac:dyDescent="0.2">
      <c r="A97" s="177" t="s">
        <v>121</v>
      </c>
      <c r="B97" s="177" t="s">
        <v>336</v>
      </c>
      <c r="C97" s="109">
        <v>1</v>
      </c>
      <c r="D97" s="109">
        <v>2</v>
      </c>
      <c r="E97" s="109">
        <v>3</v>
      </c>
      <c r="F97" s="109">
        <v>4</v>
      </c>
      <c r="G97" s="109">
        <v>1</v>
      </c>
      <c r="H97" s="109">
        <v>2</v>
      </c>
      <c r="I97" s="109">
        <v>3</v>
      </c>
      <c r="J97" s="109">
        <v>4</v>
      </c>
      <c r="K97" s="109">
        <v>1</v>
      </c>
      <c r="L97" s="109">
        <v>2</v>
      </c>
      <c r="M97" s="109">
        <v>3</v>
      </c>
      <c r="N97" s="109">
        <v>4</v>
      </c>
      <c r="O97" s="109">
        <v>1</v>
      </c>
      <c r="P97" s="109">
        <v>2</v>
      </c>
      <c r="Q97" s="109">
        <v>3</v>
      </c>
      <c r="R97" s="109">
        <v>4</v>
      </c>
      <c r="S97" s="109">
        <v>1</v>
      </c>
      <c r="T97" s="109">
        <v>2</v>
      </c>
      <c r="U97" s="109">
        <v>3</v>
      </c>
      <c r="V97" s="109">
        <v>4</v>
      </c>
      <c r="W97" s="109">
        <v>1</v>
      </c>
      <c r="X97" s="109">
        <v>2</v>
      </c>
      <c r="Y97" s="109">
        <v>3</v>
      </c>
      <c r="Z97" s="109">
        <v>4</v>
      </c>
      <c r="AA97" s="109">
        <v>1</v>
      </c>
      <c r="AB97" s="109">
        <v>2</v>
      </c>
      <c r="AC97" s="109">
        <v>3</v>
      </c>
      <c r="AD97" s="109">
        <v>4</v>
      </c>
      <c r="AE97" s="109">
        <v>1</v>
      </c>
      <c r="AF97" s="109">
        <v>2</v>
      </c>
      <c r="AG97" s="109">
        <v>3</v>
      </c>
      <c r="AH97" s="109">
        <v>4</v>
      </c>
      <c r="AI97" s="109">
        <v>1</v>
      </c>
      <c r="AJ97" s="109">
        <v>2</v>
      </c>
      <c r="AK97" s="109">
        <v>3</v>
      </c>
      <c r="AL97" s="109">
        <v>4</v>
      </c>
      <c r="AM97" s="109">
        <v>1</v>
      </c>
      <c r="AN97" s="109">
        <v>2</v>
      </c>
      <c r="AO97" s="109">
        <v>3</v>
      </c>
      <c r="AP97" s="109">
        <v>4</v>
      </c>
      <c r="AQ97" s="109">
        <v>1</v>
      </c>
      <c r="AR97" s="109">
        <v>2</v>
      </c>
      <c r="AS97" s="109">
        <v>3</v>
      </c>
      <c r="AT97" s="109">
        <v>4</v>
      </c>
      <c r="AU97" s="109">
        <v>1</v>
      </c>
      <c r="AV97" s="109">
        <v>2</v>
      </c>
      <c r="AW97" s="109">
        <v>3</v>
      </c>
      <c r="AX97" s="109">
        <v>4</v>
      </c>
    </row>
    <row r="98" spans="1:50" x14ac:dyDescent="0.2">
      <c r="A98" s="109" t="s">
        <v>104</v>
      </c>
      <c r="B98" s="109" t="s">
        <v>5</v>
      </c>
      <c r="C98">
        <v>17140.746383689937</v>
      </c>
      <c r="D98">
        <v>17140.746383689937</v>
      </c>
      <c r="E98">
        <v>17140.746383689937</v>
      </c>
      <c r="F98">
        <v>17140.746383689937</v>
      </c>
      <c r="G98">
        <v>17140.746383689937</v>
      </c>
      <c r="H98">
        <v>17140.746383689937</v>
      </c>
      <c r="I98">
        <v>17140.746383689937</v>
      </c>
      <c r="J98">
        <v>17140.746383689937</v>
      </c>
      <c r="K98">
        <v>17140.746383689937</v>
      </c>
      <c r="L98">
        <v>17140.746383689937</v>
      </c>
      <c r="M98">
        <v>17140.746383689937</v>
      </c>
      <c r="N98">
        <v>17140.746383689937</v>
      </c>
      <c r="O98">
        <v>17140.746383689937</v>
      </c>
      <c r="P98">
        <v>17140.746383689937</v>
      </c>
      <c r="Q98">
        <v>17140.746383689937</v>
      </c>
      <c r="R98">
        <v>17140.746383689937</v>
      </c>
      <c r="S98">
        <v>17140.746383689937</v>
      </c>
      <c r="T98">
        <v>17140.746383689937</v>
      </c>
      <c r="U98">
        <v>17140.746383689937</v>
      </c>
      <c r="V98">
        <v>17140.746383689937</v>
      </c>
      <c r="W98">
        <v>17140.746383689937</v>
      </c>
      <c r="X98">
        <v>17140.746383689937</v>
      </c>
      <c r="Y98">
        <v>17140.746383689937</v>
      </c>
      <c r="Z98">
        <v>17140.746383689937</v>
      </c>
      <c r="AA98">
        <v>17140.746383689937</v>
      </c>
      <c r="AB98">
        <v>17140.746383689937</v>
      </c>
      <c r="AC98">
        <v>17140.746383689937</v>
      </c>
      <c r="AD98">
        <v>17140.746383689937</v>
      </c>
      <c r="AE98">
        <v>17140.746383689937</v>
      </c>
      <c r="AF98">
        <v>17140.746383689937</v>
      </c>
      <c r="AG98">
        <v>17140.746383689937</v>
      </c>
      <c r="AH98">
        <v>17140.746383689937</v>
      </c>
      <c r="AI98">
        <v>17140.746383689937</v>
      </c>
      <c r="AJ98">
        <v>17140.746383689937</v>
      </c>
      <c r="AK98">
        <v>17140.746383689937</v>
      </c>
      <c r="AL98">
        <v>17140.746383689937</v>
      </c>
      <c r="AM98">
        <v>17140.746383689937</v>
      </c>
      <c r="AN98">
        <v>17140.746383689937</v>
      </c>
      <c r="AO98">
        <v>17140.746383689937</v>
      </c>
      <c r="AP98">
        <v>17140.746383689937</v>
      </c>
      <c r="AQ98">
        <v>17140.746383689937</v>
      </c>
      <c r="AR98">
        <v>17140.746383689937</v>
      </c>
      <c r="AS98">
        <v>17140.746383689937</v>
      </c>
      <c r="AT98">
        <v>17140.746383689937</v>
      </c>
      <c r="AU98">
        <v>17140.746383689937</v>
      </c>
      <c r="AV98">
        <v>17140.746383689937</v>
      </c>
      <c r="AW98">
        <v>17140.746383689937</v>
      </c>
      <c r="AX98">
        <v>17140.746383689937</v>
      </c>
    </row>
    <row r="99" spans="1:50" x14ac:dyDescent="0.2">
      <c r="B99" s="109" t="s">
        <v>10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</row>
    <row r="100" spans="1:50" x14ac:dyDescent="0.2">
      <c r="B100" s="109" t="s">
        <v>12</v>
      </c>
      <c r="C100">
        <v>118696.81344581487</v>
      </c>
      <c r="D100">
        <v>118696.81344581487</v>
      </c>
      <c r="E100">
        <v>118696.81344581487</v>
      </c>
      <c r="F100">
        <v>118696.81344581487</v>
      </c>
      <c r="G100">
        <v>118696.81344581487</v>
      </c>
      <c r="H100">
        <v>118696.81344581487</v>
      </c>
      <c r="I100">
        <v>118696.81344581487</v>
      </c>
      <c r="J100">
        <v>118696.81344581487</v>
      </c>
      <c r="K100">
        <v>118696.81344581487</v>
      </c>
      <c r="L100">
        <v>118696.81344581487</v>
      </c>
      <c r="M100">
        <v>118696.81344581487</v>
      </c>
      <c r="N100">
        <v>118696.81344581487</v>
      </c>
      <c r="O100">
        <v>118696.81344581487</v>
      </c>
      <c r="P100">
        <v>118696.81344581487</v>
      </c>
      <c r="Q100">
        <v>118696.81344581487</v>
      </c>
      <c r="R100">
        <v>118696.81344581487</v>
      </c>
      <c r="S100">
        <v>118696.81344581487</v>
      </c>
      <c r="T100">
        <v>118696.81344581487</v>
      </c>
      <c r="U100">
        <v>118696.81344581487</v>
      </c>
      <c r="V100">
        <v>118696.81344581487</v>
      </c>
      <c r="W100">
        <v>118696.81344581487</v>
      </c>
      <c r="X100">
        <v>118696.81344581487</v>
      </c>
      <c r="Y100">
        <v>118696.81344581487</v>
      </c>
      <c r="Z100">
        <v>118696.81344581487</v>
      </c>
      <c r="AA100">
        <v>118696.81344581487</v>
      </c>
      <c r="AB100">
        <v>118696.81344581487</v>
      </c>
      <c r="AC100">
        <v>118696.81344581487</v>
      </c>
      <c r="AD100">
        <v>118696.81344581487</v>
      </c>
      <c r="AE100">
        <v>118696.81344581487</v>
      </c>
      <c r="AF100">
        <v>118696.81344581487</v>
      </c>
      <c r="AG100">
        <v>118696.81344581487</v>
      </c>
      <c r="AH100">
        <v>118696.81344581487</v>
      </c>
      <c r="AI100">
        <v>118696.81344581487</v>
      </c>
      <c r="AJ100">
        <v>118696.81344581487</v>
      </c>
      <c r="AK100">
        <v>118696.81344581487</v>
      </c>
      <c r="AL100">
        <v>118696.81344581487</v>
      </c>
      <c r="AM100">
        <v>118696.81344581487</v>
      </c>
      <c r="AN100">
        <v>118696.81344581487</v>
      </c>
      <c r="AO100">
        <v>118696.81344581487</v>
      </c>
      <c r="AP100">
        <v>118696.81344581487</v>
      </c>
      <c r="AQ100">
        <v>118696.81344581487</v>
      </c>
      <c r="AR100">
        <v>118696.81344581487</v>
      </c>
      <c r="AS100">
        <v>118696.81344581487</v>
      </c>
      <c r="AT100">
        <v>118696.81344581487</v>
      </c>
      <c r="AU100">
        <v>118696.81344581487</v>
      </c>
      <c r="AV100">
        <v>118696.81344581487</v>
      </c>
      <c r="AW100">
        <v>118696.81344581487</v>
      </c>
      <c r="AX100">
        <v>118696.81344581487</v>
      </c>
    </row>
    <row r="101" spans="1:50" x14ac:dyDescent="0.2">
      <c r="B101" s="109" t="s">
        <v>22</v>
      </c>
      <c r="C101">
        <v>181412.21354085114</v>
      </c>
      <c r="D101">
        <v>181412.21354085114</v>
      </c>
      <c r="E101">
        <v>181412.21354085114</v>
      </c>
      <c r="F101">
        <v>181412.21354085114</v>
      </c>
      <c r="G101">
        <v>181412.21354085114</v>
      </c>
      <c r="H101">
        <v>181412.21354085114</v>
      </c>
      <c r="I101">
        <v>181412.21354085114</v>
      </c>
      <c r="J101">
        <v>181412.21354085114</v>
      </c>
      <c r="K101">
        <v>181412.21354085114</v>
      </c>
      <c r="L101">
        <v>181412.21354085114</v>
      </c>
      <c r="M101">
        <v>181412.21354085114</v>
      </c>
      <c r="N101">
        <v>181412.21354085114</v>
      </c>
      <c r="O101">
        <v>181412.21354085114</v>
      </c>
      <c r="P101">
        <v>181412.21354085114</v>
      </c>
      <c r="Q101">
        <v>181412.21354085114</v>
      </c>
      <c r="R101">
        <v>181412.21354085114</v>
      </c>
      <c r="S101">
        <v>181412.21354085114</v>
      </c>
      <c r="T101">
        <v>181412.21354085114</v>
      </c>
      <c r="U101">
        <v>181412.21354085114</v>
      </c>
      <c r="V101">
        <v>181412.21354085114</v>
      </c>
      <c r="W101">
        <v>181412.21354085114</v>
      </c>
      <c r="X101">
        <v>181412.21354085114</v>
      </c>
      <c r="Y101">
        <v>181412.21354085114</v>
      </c>
      <c r="Z101">
        <v>181412.21354085114</v>
      </c>
      <c r="AA101">
        <v>181412.21354085114</v>
      </c>
      <c r="AB101">
        <v>181412.21354085114</v>
      </c>
      <c r="AC101">
        <v>181412.21354085114</v>
      </c>
      <c r="AD101">
        <v>181412.21354085114</v>
      </c>
      <c r="AE101">
        <v>181412.21354085114</v>
      </c>
      <c r="AF101">
        <v>181412.21354085114</v>
      </c>
      <c r="AG101">
        <v>181412.21354085114</v>
      </c>
      <c r="AH101">
        <v>181412.21354085114</v>
      </c>
      <c r="AI101">
        <v>181412.21354085114</v>
      </c>
      <c r="AJ101">
        <v>181412.21354085114</v>
      </c>
      <c r="AK101">
        <v>181412.21354085114</v>
      </c>
      <c r="AL101">
        <v>181412.21354085114</v>
      </c>
      <c r="AM101">
        <v>181412.21354085114</v>
      </c>
      <c r="AN101">
        <v>181412.21354085114</v>
      </c>
      <c r="AO101">
        <v>181412.21354085114</v>
      </c>
      <c r="AP101">
        <v>181412.21354085114</v>
      </c>
      <c r="AQ101">
        <v>181412.21354085114</v>
      </c>
      <c r="AR101">
        <v>181412.21354085114</v>
      </c>
      <c r="AS101">
        <v>181412.21354085114</v>
      </c>
      <c r="AT101">
        <v>181412.21354085114</v>
      </c>
      <c r="AU101">
        <v>181412.21354085114</v>
      </c>
      <c r="AV101">
        <v>181412.21354085114</v>
      </c>
      <c r="AW101">
        <v>181412.21354085114</v>
      </c>
      <c r="AX101">
        <v>181412.21354085114</v>
      </c>
    </row>
    <row r="102" spans="1:50" x14ac:dyDescent="0.2">
      <c r="B102" s="109" t="s">
        <v>59</v>
      </c>
      <c r="C102">
        <v>363994.71594969271</v>
      </c>
      <c r="D102">
        <v>363994.71594969271</v>
      </c>
      <c r="E102">
        <v>363994.71594969271</v>
      </c>
      <c r="F102">
        <v>363994.71594969271</v>
      </c>
      <c r="G102">
        <v>363994.71594969271</v>
      </c>
      <c r="H102">
        <v>363994.71594969271</v>
      </c>
      <c r="I102">
        <v>363994.71594969271</v>
      </c>
      <c r="J102">
        <v>363994.71594969271</v>
      </c>
      <c r="K102">
        <v>363994.71594969271</v>
      </c>
      <c r="L102">
        <v>363994.71594969271</v>
      </c>
      <c r="M102">
        <v>363994.71594969271</v>
      </c>
      <c r="N102">
        <v>363994.71594969271</v>
      </c>
      <c r="O102">
        <v>363994.71594969271</v>
      </c>
      <c r="P102">
        <v>363994.71594969271</v>
      </c>
      <c r="Q102">
        <v>363994.71594969271</v>
      </c>
      <c r="R102">
        <v>363994.71594969271</v>
      </c>
      <c r="S102">
        <v>363994.71594969271</v>
      </c>
      <c r="T102">
        <v>363994.71594969271</v>
      </c>
      <c r="U102">
        <v>363994.71594969271</v>
      </c>
      <c r="V102">
        <v>363994.71594969271</v>
      </c>
      <c r="W102">
        <v>363994.71594969271</v>
      </c>
      <c r="X102">
        <v>363994.71594969271</v>
      </c>
      <c r="Y102">
        <v>363994.71594969271</v>
      </c>
      <c r="Z102">
        <v>363994.71594969271</v>
      </c>
      <c r="AA102">
        <v>363994.71594969271</v>
      </c>
      <c r="AB102">
        <v>363994.71594969271</v>
      </c>
      <c r="AC102">
        <v>363994.71594969271</v>
      </c>
      <c r="AD102">
        <v>363994.71594969271</v>
      </c>
      <c r="AE102">
        <v>363994.71594969271</v>
      </c>
      <c r="AF102">
        <v>363994.71594969271</v>
      </c>
      <c r="AG102">
        <v>363994.71594969271</v>
      </c>
      <c r="AH102">
        <v>363994.71594969271</v>
      </c>
      <c r="AI102">
        <v>363994.71594969271</v>
      </c>
      <c r="AJ102">
        <v>363994.71594969271</v>
      </c>
      <c r="AK102">
        <v>363994.71594969271</v>
      </c>
      <c r="AL102">
        <v>363994.71594969271</v>
      </c>
      <c r="AM102">
        <v>363994.71594969271</v>
      </c>
      <c r="AN102">
        <v>363994.71594969271</v>
      </c>
      <c r="AO102">
        <v>363994.71594969271</v>
      </c>
      <c r="AP102">
        <v>363994.71594969271</v>
      </c>
      <c r="AQ102">
        <v>363994.71594969271</v>
      </c>
      <c r="AR102">
        <v>363994.71594969271</v>
      </c>
      <c r="AS102">
        <v>363994.71594969271</v>
      </c>
      <c r="AT102">
        <v>363994.71594969271</v>
      </c>
      <c r="AU102">
        <v>363994.71594969271</v>
      </c>
      <c r="AV102">
        <v>363994.71594969271</v>
      </c>
      <c r="AW102">
        <v>363994.71594969271</v>
      </c>
      <c r="AX102">
        <v>363994.71594969271</v>
      </c>
    </row>
    <row r="103" spans="1:50" x14ac:dyDescent="0.2">
      <c r="B103" t="s">
        <v>278</v>
      </c>
      <c r="C103" s="109">
        <f>SUM(C$98:C$102)</f>
        <v>681244.4893200486</v>
      </c>
      <c r="D103" s="109">
        <f t="shared" ref="D103:AX103" si="5">SUM(D$98:D$102)</f>
        <v>681244.4893200486</v>
      </c>
      <c r="E103" s="109">
        <f t="shared" si="5"/>
        <v>681244.4893200486</v>
      </c>
      <c r="F103" s="109">
        <f t="shared" si="5"/>
        <v>681244.4893200486</v>
      </c>
      <c r="G103" s="109">
        <f t="shared" si="5"/>
        <v>681244.4893200486</v>
      </c>
      <c r="H103" s="109">
        <f t="shared" si="5"/>
        <v>681244.4893200486</v>
      </c>
      <c r="I103" s="109">
        <f t="shared" si="5"/>
        <v>681244.4893200486</v>
      </c>
      <c r="J103" s="109">
        <f t="shared" si="5"/>
        <v>681244.4893200486</v>
      </c>
      <c r="K103" s="109">
        <f t="shared" si="5"/>
        <v>681244.4893200486</v>
      </c>
      <c r="L103" s="109">
        <f t="shared" si="5"/>
        <v>681244.4893200486</v>
      </c>
      <c r="M103" s="109">
        <f t="shared" si="5"/>
        <v>681244.4893200486</v>
      </c>
      <c r="N103" s="109">
        <f t="shared" si="5"/>
        <v>681244.4893200486</v>
      </c>
      <c r="O103" s="109">
        <f t="shared" si="5"/>
        <v>681244.4893200486</v>
      </c>
      <c r="P103" s="109">
        <f t="shared" si="5"/>
        <v>681244.4893200486</v>
      </c>
      <c r="Q103" s="109">
        <f t="shared" si="5"/>
        <v>681244.4893200486</v>
      </c>
      <c r="R103" s="109">
        <f t="shared" si="5"/>
        <v>681244.4893200486</v>
      </c>
      <c r="S103" s="109">
        <f t="shared" si="5"/>
        <v>681244.4893200486</v>
      </c>
      <c r="T103" s="109">
        <f t="shared" si="5"/>
        <v>681244.4893200486</v>
      </c>
      <c r="U103" s="109">
        <f t="shared" si="5"/>
        <v>681244.4893200486</v>
      </c>
      <c r="V103" s="109">
        <f t="shared" si="5"/>
        <v>681244.4893200486</v>
      </c>
      <c r="W103" s="109">
        <f t="shared" si="5"/>
        <v>681244.4893200486</v>
      </c>
      <c r="X103" s="109">
        <f t="shared" si="5"/>
        <v>681244.4893200486</v>
      </c>
      <c r="Y103" s="109">
        <f t="shared" si="5"/>
        <v>681244.4893200486</v>
      </c>
      <c r="Z103" s="109">
        <f t="shared" si="5"/>
        <v>681244.4893200486</v>
      </c>
      <c r="AA103" s="109">
        <f t="shared" si="5"/>
        <v>681244.4893200486</v>
      </c>
      <c r="AB103" s="109">
        <f t="shared" si="5"/>
        <v>681244.4893200486</v>
      </c>
      <c r="AC103" s="109">
        <f t="shared" si="5"/>
        <v>681244.4893200486</v>
      </c>
      <c r="AD103" s="109">
        <f t="shared" si="5"/>
        <v>681244.4893200486</v>
      </c>
      <c r="AE103" s="109">
        <f t="shared" si="5"/>
        <v>681244.4893200486</v>
      </c>
      <c r="AF103" s="109">
        <f t="shared" si="5"/>
        <v>681244.4893200486</v>
      </c>
      <c r="AG103" s="109">
        <f t="shared" si="5"/>
        <v>681244.4893200486</v>
      </c>
      <c r="AH103" s="109">
        <f t="shared" si="5"/>
        <v>681244.4893200486</v>
      </c>
      <c r="AI103" s="109">
        <f t="shared" si="5"/>
        <v>681244.4893200486</v>
      </c>
      <c r="AJ103" s="109">
        <f t="shared" si="5"/>
        <v>681244.4893200486</v>
      </c>
      <c r="AK103" s="109">
        <f t="shared" si="5"/>
        <v>681244.4893200486</v>
      </c>
      <c r="AL103" s="109">
        <f t="shared" si="5"/>
        <v>681244.4893200486</v>
      </c>
      <c r="AM103" s="109">
        <f t="shared" si="5"/>
        <v>681244.4893200486</v>
      </c>
      <c r="AN103" s="109">
        <f t="shared" si="5"/>
        <v>681244.4893200486</v>
      </c>
      <c r="AO103" s="109">
        <f t="shared" si="5"/>
        <v>681244.4893200486</v>
      </c>
      <c r="AP103" s="109">
        <f t="shared" si="5"/>
        <v>681244.4893200486</v>
      </c>
      <c r="AQ103" s="109">
        <f t="shared" si="5"/>
        <v>681244.4893200486</v>
      </c>
      <c r="AR103" s="109">
        <f t="shared" si="5"/>
        <v>681244.4893200486</v>
      </c>
      <c r="AS103" s="109">
        <f t="shared" si="5"/>
        <v>681244.4893200486</v>
      </c>
      <c r="AT103" s="109">
        <f t="shared" si="5"/>
        <v>681244.4893200486</v>
      </c>
      <c r="AU103" s="109">
        <f t="shared" si="5"/>
        <v>681244.4893200486</v>
      </c>
      <c r="AV103" s="109">
        <f t="shared" si="5"/>
        <v>681244.4893200486</v>
      </c>
      <c r="AW103" s="109">
        <f t="shared" si="5"/>
        <v>681244.4893200486</v>
      </c>
      <c r="AX103" s="109">
        <f t="shared" si="5"/>
        <v>681244.4893200486</v>
      </c>
    </row>
    <row r="104" spans="1:50" x14ac:dyDescent="0.2">
      <c r="A104" s="109" t="s">
        <v>105</v>
      </c>
      <c r="B104" s="109" t="s">
        <v>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</row>
    <row r="105" spans="1:50" x14ac:dyDescent="0.2">
      <c r="B105" s="109" t="s">
        <v>10</v>
      </c>
      <c r="C105">
        <v>75254.809202240431</v>
      </c>
      <c r="D105">
        <v>75254.809202240431</v>
      </c>
      <c r="E105">
        <v>75254.809202240431</v>
      </c>
      <c r="F105">
        <v>75254.809202240431</v>
      </c>
      <c r="G105">
        <v>75254.809202240431</v>
      </c>
      <c r="H105">
        <v>75254.809202240431</v>
      </c>
      <c r="I105">
        <v>75254.809202240431</v>
      </c>
      <c r="J105">
        <v>75254.809202240431</v>
      </c>
      <c r="K105">
        <v>75254.809202240431</v>
      </c>
      <c r="L105">
        <v>75254.809202240431</v>
      </c>
      <c r="M105">
        <v>75254.809202240431</v>
      </c>
      <c r="N105">
        <v>75254.809202240431</v>
      </c>
      <c r="O105">
        <v>35193.640277389924</v>
      </c>
      <c r="P105">
        <v>75254.809202240431</v>
      </c>
      <c r="Q105">
        <v>75254.809202240431</v>
      </c>
      <c r="R105">
        <v>75254.809202240431</v>
      </c>
      <c r="S105">
        <v>75254.809202240431</v>
      </c>
      <c r="T105">
        <v>75254.809202240431</v>
      </c>
      <c r="U105">
        <v>75254.809202240431</v>
      </c>
      <c r="V105">
        <v>75254.809202240431</v>
      </c>
      <c r="W105">
        <v>75254.809202240431</v>
      </c>
      <c r="X105">
        <v>75254.809202240431</v>
      </c>
      <c r="Y105">
        <v>75254.809202240431</v>
      </c>
      <c r="Z105">
        <v>75254.809202240431</v>
      </c>
      <c r="AA105">
        <v>75254.809202240431</v>
      </c>
      <c r="AB105">
        <v>75254.809202240431</v>
      </c>
      <c r="AC105">
        <v>75254.809202240431</v>
      </c>
      <c r="AD105">
        <v>75254.809202240431</v>
      </c>
      <c r="AE105">
        <v>75254.809202240431</v>
      </c>
      <c r="AF105">
        <v>75254.809202240431</v>
      </c>
      <c r="AG105">
        <v>75254.809202240431</v>
      </c>
      <c r="AH105">
        <v>75254.809202240431</v>
      </c>
      <c r="AI105">
        <v>75254.809202240431</v>
      </c>
      <c r="AJ105">
        <v>75254.809202240431</v>
      </c>
      <c r="AK105">
        <v>75254.809202240431</v>
      </c>
      <c r="AL105">
        <v>75254.809202240431</v>
      </c>
      <c r="AM105">
        <v>75254.809202240431</v>
      </c>
      <c r="AN105">
        <v>75254.809202240431</v>
      </c>
      <c r="AO105">
        <v>75254.809202240431</v>
      </c>
      <c r="AP105">
        <v>75254.809202240431</v>
      </c>
      <c r="AQ105">
        <v>75254.809202240431</v>
      </c>
      <c r="AR105">
        <v>75254.809202240431</v>
      </c>
      <c r="AS105">
        <v>75254.809202240431</v>
      </c>
      <c r="AT105">
        <v>75254.809202240431</v>
      </c>
      <c r="AU105">
        <v>75254.809202240431</v>
      </c>
      <c r="AV105">
        <v>75254.809202240431</v>
      </c>
      <c r="AW105">
        <v>75254.809202240431</v>
      </c>
      <c r="AX105">
        <v>75254.809202240431</v>
      </c>
    </row>
    <row r="106" spans="1:50" x14ac:dyDescent="0.2">
      <c r="B106" s="109" t="s">
        <v>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</row>
    <row r="107" spans="1:50" x14ac:dyDescent="0.2">
      <c r="B107" s="109" t="s">
        <v>22</v>
      </c>
      <c r="C107">
        <v>764535.92142181087</v>
      </c>
      <c r="D107">
        <v>764535.92142181087</v>
      </c>
      <c r="E107">
        <v>764535.92142181087</v>
      </c>
      <c r="F107">
        <v>764535.92142181087</v>
      </c>
      <c r="G107">
        <v>764535.92142181087</v>
      </c>
      <c r="H107">
        <v>764535.92142181087</v>
      </c>
      <c r="I107">
        <v>764535.92142181087</v>
      </c>
      <c r="J107">
        <v>764535.92142181087</v>
      </c>
      <c r="K107">
        <v>764535.92142181087</v>
      </c>
      <c r="L107">
        <v>764535.92142181087</v>
      </c>
      <c r="M107">
        <v>764535.92142181087</v>
      </c>
      <c r="N107">
        <v>764535.92142181087</v>
      </c>
      <c r="O107">
        <v>357542.62728050357</v>
      </c>
      <c r="P107">
        <v>764535.92142181087</v>
      </c>
      <c r="Q107">
        <v>764535.92142181087</v>
      </c>
      <c r="R107">
        <v>764535.92142181087</v>
      </c>
      <c r="S107">
        <v>764535.92142181087</v>
      </c>
      <c r="T107">
        <v>764535.92142181087</v>
      </c>
      <c r="U107">
        <v>764535.92142181087</v>
      </c>
      <c r="V107">
        <v>764535.92142181087</v>
      </c>
      <c r="W107">
        <v>764535.92142181087</v>
      </c>
      <c r="X107">
        <v>764535.92142181087</v>
      </c>
      <c r="Y107">
        <v>764535.92142181087</v>
      </c>
      <c r="Z107">
        <v>764535.92142181087</v>
      </c>
      <c r="AA107">
        <v>764535.92142181087</v>
      </c>
      <c r="AB107">
        <v>764535.92142181087</v>
      </c>
      <c r="AC107">
        <v>764535.92142181087</v>
      </c>
      <c r="AD107">
        <v>764535.92142181087</v>
      </c>
      <c r="AE107">
        <v>764535.92142181087</v>
      </c>
      <c r="AF107">
        <v>764535.92142181087</v>
      </c>
      <c r="AG107">
        <v>764535.92142181087</v>
      </c>
      <c r="AH107">
        <v>764535.92142181087</v>
      </c>
      <c r="AI107">
        <v>764535.92142181087</v>
      </c>
      <c r="AJ107">
        <v>764535.92142181087</v>
      </c>
      <c r="AK107">
        <v>764535.92142181087</v>
      </c>
      <c r="AL107">
        <v>764535.92142181087</v>
      </c>
      <c r="AM107">
        <v>764535.92142181087</v>
      </c>
      <c r="AN107">
        <v>764535.92142181087</v>
      </c>
      <c r="AO107">
        <v>764535.92142181087</v>
      </c>
      <c r="AP107">
        <v>764535.92142181087</v>
      </c>
      <c r="AQ107">
        <v>764535.92142181087</v>
      </c>
      <c r="AR107">
        <v>764535.92142181087</v>
      </c>
      <c r="AS107">
        <v>764535.92142181087</v>
      </c>
      <c r="AT107">
        <v>764535.92142181087</v>
      </c>
      <c r="AU107">
        <v>764535.92142181087</v>
      </c>
      <c r="AV107">
        <v>764535.92142181087</v>
      </c>
      <c r="AW107">
        <v>764535.92142181087</v>
      </c>
      <c r="AX107">
        <v>764535.92142181087</v>
      </c>
    </row>
    <row r="108" spans="1:50" x14ac:dyDescent="0.2">
      <c r="B108" s="109" t="s">
        <v>59</v>
      </c>
      <c r="C108">
        <v>49153.328980258048</v>
      </c>
      <c r="D108">
        <v>49153.328980258048</v>
      </c>
      <c r="E108">
        <v>49153.328980258048</v>
      </c>
      <c r="F108">
        <v>49153.328980258048</v>
      </c>
      <c r="G108">
        <v>49153.328980258048</v>
      </c>
      <c r="H108">
        <v>49153.328980258048</v>
      </c>
      <c r="I108">
        <v>49153.328980258048</v>
      </c>
      <c r="J108">
        <v>49153.328980258048</v>
      </c>
      <c r="K108">
        <v>49153.328980258048</v>
      </c>
      <c r="L108">
        <v>49153.328980258048</v>
      </c>
      <c r="M108">
        <v>49153.328980258048</v>
      </c>
      <c r="N108">
        <v>49153.328980258048</v>
      </c>
      <c r="O108">
        <v>22987.030289565944</v>
      </c>
      <c r="P108">
        <v>49153.328980258048</v>
      </c>
      <c r="Q108">
        <v>49153.328980258048</v>
      </c>
      <c r="R108">
        <v>49153.328980258048</v>
      </c>
      <c r="S108">
        <v>49153.328980258048</v>
      </c>
      <c r="T108">
        <v>49153.328980258048</v>
      </c>
      <c r="U108">
        <v>49153.328980258048</v>
      </c>
      <c r="V108">
        <v>49153.328980258048</v>
      </c>
      <c r="W108">
        <v>49153.328980258048</v>
      </c>
      <c r="X108">
        <v>49153.328980258048</v>
      </c>
      <c r="Y108">
        <v>49153.328980258048</v>
      </c>
      <c r="Z108">
        <v>49153.328980258048</v>
      </c>
      <c r="AA108">
        <v>49153.328980258048</v>
      </c>
      <c r="AB108">
        <v>49153.328980258048</v>
      </c>
      <c r="AC108">
        <v>49153.328980258048</v>
      </c>
      <c r="AD108">
        <v>49153.328980258048</v>
      </c>
      <c r="AE108">
        <v>49153.328980258048</v>
      </c>
      <c r="AF108">
        <v>49153.328980258048</v>
      </c>
      <c r="AG108">
        <v>49153.328980258048</v>
      </c>
      <c r="AH108">
        <v>49153.328980258048</v>
      </c>
      <c r="AI108">
        <v>49153.328980258048</v>
      </c>
      <c r="AJ108">
        <v>49153.328980258048</v>
      </c>
      <c r="AK108">
        <v>49153.328980258048</v>
      </c>
      <c r="AL108">
        <v>49153.328980258048</v>
      </c>
      <c r="AM108">
        <v>49153.328980258048</v>
      </c>
      <c r="AN108">
        <v>49153.328980258048</v>
      </c>
      <c r="AO108">
        <v>49153.328980258048</v>
      </c>
      <c r="AP108">
        <v>49153.328980258048</v>
      </c>
      <c r="AQ108">
        <v>49153.328980258048</v>
      </c>
      <c r="AR108">
        <v>49153.328980258048</v>
      </c>
      <c r="AS108">
        <v>49153.328980258048</v>
      </c>
      <c r="AT108">
        <v>49153.328980258048</v>
      </c>
      <c r="AU108">
        <v>49153.328980258048</v>
      </c>
      <c r="AV108">
        <v>49153.328980258048</v>
      </c>
      <c r="AW108">
        <v>49153.328980258048</v>
      </c>
      <c r="AX108">
        <v>49153.328980258048</v>
      </c>
    </row>
    <row r="109" spans="1:50" x14ac:dyDescent="0.2">
      <c r="B109" s="106" t="s">
        <v>278</v>
      </c>
      <c r="C109" s="109">
        <f>SUM(C$104:C$108)</f>
        <v>888944.05960430938</v>
      </c>
      <c r="D109" s="109">
        <f t="shared" ref="D109:AX109" si="6">SUM(D$104:D$108)</f>
        <v>888944.05960430938</v>
      </c>
      <c r="E109" s="109">
        <f t="shared" si="6"/>
        <v>888944.05960430938</v>
      </c>
      <c r="F109" s="109">
        <f t="shared" si="6"/>
        <v>888944.05960430938</v>
      </c>
      <c r="G109" s="109">
        <f t="shared" si="6"/>
        <v>888944.05960430938</v>
      </c>
      <c r="H109" s="109">
        <f t="shared" si="6"/>
        <v>888944.05960430938</v>
      </c>
      <c r="I109" s="109">
        <f t="shared" si="6"/>
        <v>888944.05960430938</v>
      </c>
      <c r="J109" s="109">
        <f t="shared" si="6"/>
        <v>888944.05960430938</v>
      </c>
      <c r="K109" s="109">
        <f t="shared" si="6"/>
        <v>888944.05960430938</v>
      </c>
      <c r="L109" s="109">
        <f t="shared" si="6"/>
        <v>888944.05960430938</v>
      </c>
      <c r="M109" s="109">
        <f t="shared" si="6"/>
        <v>888944.05960430938</v>
      </c>
      <c r="N109" s="109">
        <f t="shared" si="6"/>
        <v>888944.05960430938</v>
      </c>
      <c r="O109" s="109">
        <f t="shared" si="6"/>
        <v>415723.29784745944</v>
      </c>
      <c r="P109" s="109">
        <f t="shared" si="6"/>
        <v>888944.05960430938</v>
      </c>
      <c r="Q109" s="109">
        <f t="shared" si="6"/>
        <v>888944.05960430938</v>
      </c>
      <c r="R109" s="109">
        <f t="shared" si="6"/>
        <v>888944.05960430938</v>
      </c>
      <c r="S109" s="109">
        <f t="shared" si="6"/>
        <v>888944.05960430938</v>
      </c>
      <c r="T109" s="109">
        <f t="shared" si="6"/>
        <v>888944.05960430938</v>
      </c>
      <c r="U109" s="109">
        <f t="shared" si="6"/>
        <v>888944.05960430938</v>
      </c>
      <c r="V109" s="109">
        <f t="shared" si="6"/>
        <v>888944.05960430938</v>
      </c>
      <c r="W109" s="109">
        <f t="shared" si="6"/>
        <v>888944.05960430938</v>
      </c>
      <c r="X109" s="109">
        <f t="shared" si="6"/>
        <v>888944.05960430938</v>
      </c>
      <c r="Y109" s="109">
        <f t="shared" si="6"/>
        <v>888944.05960430938</v>
      </c>
      <c r="Z109" s="109">
        <f t="shared" si="6"/>
        <v>888944.05960430938</v>
      </c>
      <c r="AA109" s="109">
        <f t="shared" si="6"/>
        <v>888944.05960430938</v>
      </c>
      <c r="AB109" s="109">
        <f t="shared" si="6"/>
        <v>888944.05960430938</v>
      </c>
      <c r="AC109" s="109">
        <f t="shared" si="6"/>
        <v>888944.05960430938</v>
      </c>
      <c r="AD109" s="109">
        <f t="shared" si="6"/>
        <v>888944.05960430938</v>
      </c>
      <c r="AE109" s="109">
        <f t="shared" si="6"/>
        <v>888944.05960430938</v>
      </c>
      <c r="AF109" s="109">
        <f t="shared" si="6"/>
        <v>888944.05960430938</v>
      </c>
      <c r="AG109" s="109">
        <f t="shared" si="6"/>
        <v>888944.05960430938</v>
      </c>
      <c r="AH109" s="109">
        <f t="shared" si="6"/>
        <v>888944.05960430938</v>
      </c>
      <c r="AI109" s="109">
        <f t="shared" si="6"/>
        <v>888944.05960430938</v>
      </c>
      <c r="AJ109" s="109">
        <f t="shared" si="6"/>
        <v>888944.05960430938</v>
      </c>
      <c r="AK109" s="109">
        <f t="shared" si="6"/>
        <v>888944.05960430938</v>
      </c>
      <c r="AL109" s="109">
        <f t="shared" si="6"/>
        <v>888944.05960430938</v>
      </c>
      <c r="AM109" s="109">
        <f t="shared" si="6"/>
        <v>888944.05960430938</v>
      </c>
      <c r="AN109" s="109">
        <f t="shared" si="6"/>
        <v>888944.05960430938</v>
      </c>
      <c r="AO109" s="109">
        <f t="shared" si="6"/>
        <v>888944.05960430938</v>
      </c>
      <c r="AP109" s="109">
        <f t="shared" si="6"/>
        <v>888944.05960430938</v>
      </c>
      <c r="AQ109" s="109">
        <f t="shared" si="6"/>
        <v>888944.05960430938</v>
      </c>
      <c r="AR109" s="109">
        <f t="shared" si="6"/>
        <v>888944.05960430938</v>
      </c>
      <c r="AS109" s="109">
        <f t="shared" si="6"/>
        <v>888944.05960430938</v>
      </c>
      <c r="AT109" s="109">
        <f t="shared" si="6"/>
        <v>888944.05960430938</v>
      </c>
      <c r="AU109" s="109">
        <f t="shared" si="6"/>
        <v>888944.05960430938</v>
      </c>
      <c r="AV109" s="109">
        <f t="shared" si="6"/>
        <v>888944.05960430938</v>
      </c>
      <c r="AW109" s="109">
        <f t="shared" si="6"/>
        <v>888944.05960430938</v>
      </c>
      <c r="AX109" s="109">
        <f t="shared" si="6"/>
        <v>888944.05960430938</v>
      </c>
    </row>
    <row r="110" spans="1:50" x14ac:dyDescent="0.2">
      <c r="A110" s="109" t="s">
        <v>106</v>
      </c>
      <c r="B110" s="109" t="s">
        <v>5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</row>
    <row r="111" spans="1:50" x14ac:dyDescent="0.2">
      <c r="B111" s="109" t="s">
        <v>10</v>
      </c>
      <c r="C111">
        <v>97605.045388610786</v>
      </c>
      <c r="D111">
        <v>97605.045388610786</v>
      </c>
      <c r="E111">
        <v>97605.045388610786</v>
      </c>
      <c r="F111">
        <v>97605.045388610786</v>
      </c>
      <c r="G111">
        <v>97605.045388610786</v>
      </c>
      <c r="H111">
        <v>97605.045388610786</v>
      </c>
      <c r="I111">
        <v>97605.045388610786</v>
      </c>
      <c r="J111">
        <v>97605.045388610786</v>
      </c>
      <c r="K111">
        <v>97605.045388610786</v>
      </c>
      <c r="L111">
        <v>97605.045388610786</v>
      </c>
      <c r="M111">
        <v>97605.045388610786</v>
      </c>
      <c r="N111">
        <v>97605.045388610786</v>
      </c>
      <c r="O111">
        <v>97605.045388610786</v>
      </c>
      <c r="P111">
        <v>97605.045388610786</v>
      </c>
      <c r="Q111">
        <v>97605.045388610786</v>
      </c>
      <c r="R111">
        <v>97605.045388610786</v>
      </c>
      <c r="S111">
        <v>97605.045388610786</v>
      </c>
      <c r="T111">
        <v>97605.045388610786</v>
      </c>
      <c r="U111">
        <v>97605.045388610786</v>
      </c>
      <c r="V111">
        <v>97605.045388610786</v>
      </c>
      <c r="W111">
        <v>97605.045388610786</v>
      </c>
      <c r="X111">
        <v>97605.045388610786</v>
      </c>
      <c r="Y111">
        <v>97605.045388610786</v>
      </c>
      <c r="Z111">
        <v>97605.045388610786</v>
      </c>
      <c r="AA111">
        <v>97605.045388610786</v>
      </c>
      <c r="AB111">
        <v>97605.045388610786</v>
      </c>
      <c r="AC111">
        <v>73233.575387246077</v>
      </c>
      <c r="AD111">
        <v>97605.045388610786</v>
      </c>
      <c r="AE111">
        <v>18380.396011438374</v>
      </c>
      <c r="AF111">
        <v>18416.159834409853</v>
      </c>
      <c r="AG111">
        <v>97605.045388610786</v>
      </c>
      <c r="AH111">
        <v>97605.045388610786</v>
      </c>
      <c r="AI111">
        <v>97605.045388610786</v>
      </c>
      <c r="AJ111">
        <v>97605.045388610786</v>
      </c>
      <c r="AK111">
        <v>97605.045388610786</v>
      </c>
      <c r="AL111">
        <v>97605.045388610786</v>
      </c>
      <c r="AM111">
        <v>97605.045388610786</v>
      </c>
      <c r="AN111">
        <v>97605.045388610786</v>
      </c>
      <c r="AO111">
        <v>97605.045388610786</v>
      </c>
      <c r="AP111">
        <v>97605.045388610786</v>
      </c>
      <c r="AQ111">
        <v>97605.045388610786</v>
      </c>
      <c r="AR111">
        <v>18830.764004930385</v>
      </c>
      <c r="AS111">
        <v>97605.045388610786</v>
      </c>
      <c r="AT111">
        <v>97605.045388610786</v>
      </c>
      <c r="AU111">
        <v>97605.045388610786</v>
      </c>
      <c r="AV111">
        <v>97605.045388610786</v>
      </c>
      <c r="AW111">
        <v>75976.669895212879</v>
      </c>
      <c r="AX111">
        <v>97605.045388610786</v>
      </c>
    </row>
    <row r="112" spans="1:50" x14ac:dyDescent="0.2">
      <c r="B112" s="109" t="s">
        <v>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</row>
    <row r="113" spans="1:50" x14ac:dyDescent="0.2">
      <c r="B113" s="109" t="s">
        <v>22</v>
      </c>
      <c r="C113">
        <v>27019.542067672468</v>
      </c>
      <c r="D113">
        <v>27019.542067672468</v>
      </c>
      <c r="E113">
        <v>27019.542067672468</v>
      </c>
      <c r="F113">
        <v>27019.542067672468</v>
      </c>
      <c r="G113">
        <v>27019.542067672468</v>
      </c>
      <c r="H113">
        <v>27019.542067672468</v>
      </c>
      <c r="I113">
        <v>27019.542067672468</v>
      </c>
      <c r="J113">
        <v>27019.542067672468</v>
      </c>
      <c r="K113">
        <v>27019.542067672468</v>
      </c>
      <c r="L113">
        <v>27019.542067672468</v>
      </c>
      <c r="M113">
        <v>27019.542067672468</v>
      </c>
      <c r="N113">
        <v>27019.542067672468</v>
      </c>
      <c r="O113">
        <v>27019.542067672468</v>
      </c>
      <c r="P113">
        <v>27019.542067672468</v>
      </c>
      <c r="Q113">
        <v>27019.542067672468</v>
      </c>
      <c r="R113">
        <v>27019.542067672468</v>
      </c>
      <c r="S113">
        <v>27019.542067672468</v>
      </c>
      <c r="T113">
        <v>27019.542067672468</v>
      </c>
      <c r="U113">
        <v>27019.542067672468</v>
      </c>
      <c r="V113">
        <v>27019.542067672468</v>
      </c>
      <c r="W113">
        <v>27019.542067672468</v>
      </c>
      <c r="X113">
        <v>27019.542067672468</v>
      </c>
      <c r="Y113">
        <v>27019.542067672468</v>
      </c>
      <c r="Z113">
        <v>27019.542067672468</v>
      </c>
      <c r="AA113">
        <v>27019.542067672468</v>
      </c>
      <c r="AB113">
        <v>27019.542067672468</v>
      </c>
      <c r="AC113">
        <v>20272.903547798061</v>
      </c>
      <c r="AD113">
        <v>27019.542067672468</v>
      </c>
      <c r="AE113">
        <v>5088.1579048933927</v>
      </c>
      <c r="AF113">
        <v>5098.0582344863078</v>
      </c>
      <c r="AG113">
        <v>27019.542067672468</v>
      </c>
      <c r="AH113">
        <v>27019.542067672468</v>
      </c>
      <c r="AI113">
        <v>27019.542067672468</v>
      </c>
      <c r="AJ113">
        <v>27019.542067672468</v>
      </c>
      <c r="AK113">
        <v>27019.542067672468</v>
      </c>
      <c r="AL113">
        <v>27019.542067672468</v>
      </c>
      <c r="AM113">
        <v>27019.542067672468</v>
      </c>
      <c r="AN113">
        <v>27019.542067672468</v>
      </c>
      <c r="AO113">
        <v>27019.542067672468</v>
      </c>
      <c r="AP113">
        <v>27019.542067672468</v>
      </c>
      <c r="AQ113">
        <v>27019.542067672468</v>
      </c>
      <c r="AR113">
        <v>5212.8311417905352</v>
      </c>
      <c r="AS113">
        <v>27019.542067672468</v>
      </c>
      <c r="AT113">
        <v>27019.542067672468</v>
      </c>
      <c r="AU113">
        <v>27019.542067672468</v>
      </c>
      <c r="AV113">
        <v>27019.542067672468</v>
      </c>
      <c r="AW113">
        <v>21032.26139818905</v>
      </c>
      <c r="AX113">
        <v>27019.542067672468</v>
      </c>
    </row>
    <row r="114" spans="1:50" x14ac:dyDescent="0.2">
      <c r="B114" s="109" t="s">
        <v>59</v>
      </c>
      <c r="C114">
        <v>416671.34603536985</v>
      </c>
      <c r="D114">
        <v>416671.34603536985</v>
      </c>
      <c r="E114">
        <v>416671.34603536985</v>
      </c>
      <c r="F114">
        <v>416671.34603536985</v>
      </c>
      <c r="G114">
        <v>416671.34603536985</v>
      </c>
      <c r="H114">
        <v>416671.34603536985</v>
      </c>
      <c r="I114">
        <v>416671.34603536985</v>
      </c>
      <c r="J114">
        <v>416671.34603536985</v>
      </c>
      <c r="K114">
        <v>416671.34603536985</v>
      </c>
      <c r="L114">
        <v>416671.34603536985</v>
      </c>
      <c r="M114">
        <v>416671.34603536985</v>
      </c>
      <c r="N114">
        <v>416671.34603536985</v>
      </c>
      <c r="O114">
        <v>416671.34603536985</v>
      </c>
      <c r="P114">
        <v>416671.34603536985</v>
      </c>
      <c r="Q114">
        <v>416671.34603536985</v>
      </c>
      <c r="R114">
        <v>416671.34603536985</v>
      </c>
      <c r="S114">
        <v>416671.34603536985</v>
      </c>
      <c r="T114">
        <v>416671.34603536985</v>
      </c>
      <c r="U114">
        <v>416671.34603536985</v>
      </c>
      <c r="V114">
        <v>416671.34603536985</v>
      </c>
      <c r="W114">
        <v>416671.34603536985</v>
      </c>
      <c r="X114">
        <v>416671.34603536985</v>
      </c>
      <c r="Y114">
        <v>416671.34603536985</v>
      </c>
      <c r="Z114">
        <v>416671.34603536985</v>
      </c>
      <c r="AA114">
        <v>416671.34603536985</v>
      </c>
      <c r="AB114">
        <v>416671.34603536985</v>
      </c>
      <c r="AC114">
        <v>312630.68737988797</v>
      </c>
      <c r="AD114">
        <v>416671.34603536985</v>
      </c>
      <c r="AE114">
        <v>78465.045697758847</v>
      </c>
      <c r="AF114">
        <v>78617.719775185527</v>
      </c>
      <c r="AG114">
        <v>416671.34603536985</v>
      </c>
      <c r="AH114">
        <v>416671.34603536985</v>
      </c>
      <c r="AI114">
        <v>416671.34603536985</v>
      </c>
      <c r="AJ114">
        <v>416671.34603536985</v>
      </c>
      <c r="AK114">
        <v>416671.34603536985</v>
      </c>
      <c r="AL114">
        <v>416671.34603536985</v>
      </c>
      <c r="AM114">
        <v>416671.34603536985</v>
      </c>
      <c r="AN114">
        <v>416671.34603536985</v>
      </c>
      <c r="AO114">
        <v>416671.34603536985</v>
      </c>
      <c r="AP114">
        <v>416671.34603536985</v>
      </c>
      <c r="AQ114">
        <v>416671.34603536985</v>
      </c>
      <c r="AR114">
        <v>80387.645470264688</v>
      </c>
      <c r="AS114">
        <v>416671.34603536985</v>
      </c>
      <c r="AT114">
        <v>416671.34603536985</v>
      </c>
      <c r="AU114">
        <v>416671.34603536985</v>
      </c>
      <c r="AV114">
        <v>416671.34603536985</v>
      </c>
      <c r="AW114">
        <v>324340.82876024459</v>
      </c>
      <c r="AX114">
        <v>416671.34603536985</v>
      </c>
    </row>
    <row r="115" spans="1:50" x14ac:dyDescent="0.2">
      <c r="B115" t="s">
        <v>278</v>
      </c>
      <c r="C115" s="109">
        <f>SUM(C$110:C$114)</f>
        <v>541295.93349165306</v>
      </c>
      <c r="D115" s="109">
        <f t="shared" ref="D115:AX115" si="7">SUM(D$110:D$114)</f>
        <v>541295.93349165306</v>
      </c>
      <c r="E115" s="109">
        <f t="shared" si="7"/>
        <v>541295.93349165306</v>
      </c>
      <c r="F115" s="109">
        <f t="shared" si="7"/>
        <v>541295.93349165306</v>
      </c>
      <c r="G115" s="109">
        <f t="shared" si="7"/>
        <v>541295.93349165306</v>
      </c>
      <c r="H115" s="109">
        <f t="shared" si="7"/>
        <v>541295.93349165306</v>
      </c>
      <c r="I115" s="109">
        <f t="shared" si="7"/>
        <v>541295.93349165306</v>
      </c>
      <c r="J115" s="109">
        <f t="shared" si="7"/>
        <v>541295.93349165306</v>
      </c>
      <c r="K115" s="109">
        <f t="shared" si="7"/>
        <v>541295.93349165306</v>
      </c>
      <c r="L115" s="109">
        <f t="shared" si="7"/>
        <v>541295.93349165306</v>
      </c>
      <c r="M115" s="109">
        <f t="shared" si="7"/>
        <v>541295.93349165306</v>
      </c>
      <c r="N115" s="109">
        <f t="shared" si="7"/>
        <v>541295.93349165306</v>
      </c>
      <c r="O115" s="109">
        <f t="shared" si="7"/>
        <v>541295.93349165306</v>
      </c>
      <c r="P115" s="109">
        <f t="shared" si="7"/>
        <v>541295.93349165306</v>
      </c>
      <c r="Q115" s="109">
        <f t="shared" si="7"/>
        <v>541295.93349165306</v>
      </c>
      <c r="R115" s="109">
        <f t="shared" si="7"/>
        <v>541295.93349165306</v>
      </c>
      <c r="S115" s="109">
        <f t="shared" si="7"/>
        <v>541295.93349165306</v>
      </c>
      <c r="T115" s="109">
        <f t="shared" si="7"/>
        <v>541295.93349165306</v>
      </c>
      <c r="U115" s="109">
        <f t="shared" si="7"/>
        <v>541295.93349165306</v>
      </c>
      <c r="V115" s="109">
        <f t="shared" si="7"/>
        <v>541295.93349165306</v>
      </c>
      <c r="W115" s="109">
        <f t="shared" si="7"/>
        <v>541295.93349165306</v>
      </c>
      <c r="X115" s="109">
        <f t="shared" si="7"/>
        <v>541295.93349165306</v>
      </c>
      <c r="Y115" s="109">
        <f t="shared" si="7"/>
        <v>541295.93349165306</v>
      </c>
      <c r="Z115" s="109">
        <f t="shared" si="7"/>
        <v>541295.93349165306</v>
      </c>
      <c r="AA115" s="109">
        <f t="shared" si="7"/>
        <v>541295.93349165306</v>
      </c>
      <c r="AB115" s="109">
        <f t="shared" si="7"/>
        <v>541295.93349165306</v>
      </c>
      <c r="AC115" s="109">
        <f t="shared" si="7"/>
        <v>406137.16631493211</v>
      </c>
      <c r="AD115" s="109">
        <f t="shared" si="7"/>
        <v>541295.93349165306</v>
      </c>
      <c r="AE115" s="109">
        <f t="shared" si="7"/>
        <v>101933.59961409061</v>
      </c>
      <c r="AF115" s="109">
        <f t="shared" si="7"/>
        <v>102131.93784408169</v>
      </c>
      <c r="AG115" s="109">
        <f t="shared" si="7"/>
        <v>541295.93349165306</v>
      </c>
      <c r="AH115" s="109">
        <f t="shared" si="7"/>
        <v>541295.93349165306</v>
      </c>
      <c r="AI115" s="109">
        <f t="shared" si="7"/>
        <v>541295.93349165306</v>
      </c>
      <c r="AJ115" s="109">
        <f t="shared" si="7"/>
        <v>541295.93349165306</v>
      </c>
      <c r="AK115" s="109">
        <f t="shared" si="7"/>
        <v>541295.93349165306</v>
      </c>
      <c r="AL115" s="109">
        <f t="shared" si="7"/>
        <v>541295.93349165306</v>
      </c>
      <c r="AM115" s="109">
        <f t="shared" si="7"/>
        <v>541295.93349165306</v>
      </c>
      <c r="AN115" s="109">
        <f t="shared" si="7"/>
        <v>541295.93349165306</v>
      </c>
      <c r="AO115" s="109">
        <f t="shared" si="7"/>
        <v>541295.93349165306</v>
      </c>
      <c r="AP115" s="109">
        <f t="shared" si="7"/>
        <v>541295.93349165306</v>
      </c>
      <c r="AQ115" s="109">
        <f t="shared" si="7"/>
        <v>541295.93349165306</v>
      </c>
      <c r="AR115" s="109">
        <f t="shared" si="7"/>
        <v>104431.24061698561</v>
      </c>
      <c r="AS115" s="109">
        <f t="shared" si="7"/>
        <v>541295.93349165306</v>
      </c>
      <c r="AT115" s="109">
        <f t="shared" si="7"/>
        <v>541295.93349165306</v>
      </c>
      <c r="AU115" s="109">
        <f t="shared" si="7"/>
        <v>541295.93349165306</v>
      </c>
      <c r="AV115" s="109">
        <f t="shared" si="7"/>
        <v>541295.93349165306</v>
      </c>
      <c r="AW115" s="109">
        <f t="shared" si="7"/>
        <v>421349.76005364652</v>
      </c>
      <c r="AX115" s="109">
        <f t="shared" si="7"/>
        <v>541295.93349165306</v>
      </c>
    </row>
    <row r="116" spans="1:50" x14ac:dyDescent="0.2">
      <c r="A116" s="109" t="s">
        <v>107</v>
      </c>
      <c r="B116" s="109" t="s">
        <v>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</row>
    <row r="117" spans="1:50" x14ac:dyDescent="0.2">
      <c r="B117" s="109" t="s">
        <v>10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</row>
    <row r="118" spans="1:50" x14ac:dyDescent="0.2">
      <c r="B118" s="109" t="s">
        <v>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</row>
    <row r="119" spans="1:50" x14ac:dyDescent="0.2">
      <c r="B119" s="109" t="s">
        <v>22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</row>
    <row r="120" spans="1:50" x14ac:dyDescent="0.2">
      <c r="B120" s="109" t="s">
        <v>59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</row>
    <row r="121" spans="1:50" x14ac:dyDescent="0.2">
      <c r="B121" t="s">
        <v>278</v>
      </c>
      <c r="C121" s="109">
        <f>SUM(C$116:C$120)</f>
        <v>0</v>
      </c>
      <c r="D121" s="109">
        <f t="shared" ref="D121:AX121" si="8">SUM(D$116:D$120)</f>
        <v>0</v>
      </c>
      <c r="E121" s="109">
        <f t="shared" si="8"/>
        <v>0</v>
      </c>
      <c r="F121" s="109">
        <f t="shared" si="8"/>
        <v>0</v>
      </c>
      <c r="G121" s="109">
        <f t="shared" si="8"/>
        <v>0</v>
      </c>
      <c r="H121" s="109">
        <f t="shared" si="8"/>
        <v>0</v>
      </c>
      <c r="I121" s="109">
        <f t="shared" si="8"/>
        <v>0</v>
      </c>
      <c r="J121" s="109">
        <f t="shared" si="8"/>
        <v>0</v>
      </c>
      <c r="K121" s="109">
        <f t="shared" si="8"/>
        <v>0</v>
      </c>
      <c r="L121" s="109">
        <f t="shared" si="8"/>
        <v>0</v>
      </c>
      <c r="M121" s="109">
        <f t="shared" si="8"/>
        <v>0</v>
      </c>
      <c r="N121" s="109">
        <f t="shared" si="8"/>
        <v>0</v>
      </c>
      <c r="O121" s="109">
        <f t="shared" si="8"/>
        <v>0</v>
      </c>
      <c r="P121" s="109">
        <f t="shared" si="8"/>
        <v>0</v>
      </c>
      <c r="Q121" s="109">
        <f t="shared" si="8"/>
        <v>0</v>
      </c>
      <c r="R121" s="109">
        <f t="shared" si="8"/>
        <v>0</v>
      </c>
      <c r="S121" s="109">
        <f t="shared" si="8"/>
        <v>0</v>
      </c>
      <c r="T121" s="109">
        <f t="shared" si="8"/>
        <v>0</v>
      </c>
      <c r="U121" s="109">
        <f t="shared" si="8"/>
        <v>0</v>
      </c>
      <c r="V121" s="109">
        <f t="shared" si="8"/>
        <v>0</v>
      </c>
      <c r="W121" s="109">
        <f t="shared" si="8"/>
        <v>0</v>
      </c>
      <c r="X121" s="109">
        <f t="shared" si="8"/>
        <v>0</v>
      </c>
      <c r="Y121" s="109">
        <f t="shared" si="8"/>
        <v>0</v>
      </c>
      <c r="Z121" s="109">
        <f t="shared" si="8"/>
        <v>0</v>
      </c>
      <c r="AA121" s="109">
        <f t="shared" si="8"/>
        <v>0</v>
      </c>
      <c r="AB121" s="109">
        <f t="shared" si="8"/>
        <v>0</v>
      </c>
      <c r="AC121" s="109">
        <f t="shared" si="8"/>
        <v>0</v>
      </c>
      <c r="AD121" s="109">
        <f t="shared" si="8"/>
        <v>0</v>
      </c>
      <c r="AE121" s="109">
        <f t="shared" si="8"/>
        <v>0</v>
      </c>
      <c r="AF121" s="109">
        <f t="shared" si="8"/>
        <v>0</v>
      </c>
      <c r="AG121" s="109">
        <f t="shared" si="8"/>
        <v>0</v>
      </c>
      <c r="AH121" s="109">
        <f t="shared" si="8"/>
        <v>0</v>
      </c>
      <c r="AI121" s="109">
        <f t="shared" si="8"/>
        <v>0</v>
      </c>
      <c r="AJ121" s="109">
        <f t="shared" si="8"/>
        <v>0</v>
      </c>
      <c r="AK121" s="109">
        <f t="shared" si="8"/>
        <v>0</v>
      </c>
      <c r="AL121" s="109">
        <f t="shared" si="8"/>
        <v>0</v>
      </c>
      <c r="AM121" s="109">
        <f t="shared" si="8"/>
        <v>0</v>
      </c>
      <c r="AN121" s="109">
        <f t="shared" si="8"/>
        <v>0</v>
      </c>
      <c r="AO121" s="109">
        <f t="shared" si="8"/>
        <v>0</v>
      </c>
      <c r="AP121" s="109">
        <f t="shared" si="8"/>
        <v>0</v>
      </c>
      <c r="AQ121" s="109">
        <f t="shared" si="8"/>
        <v>0</v>
      </c>
      <c r="AR121" s="109">
        <f t="shared" si="8"/>
        <v>0</v>
      </c>
      <c r="AS121" s="109">
        <f t="shared" si="8"/>
        <v>0</v>
      </c>
      <c r="AT121" s="109">
        <f t="shared" si="8"/>
        <v>0</v>
      </c>
      <c r="AU121" s="109">
        <f t="shared" si="8"/>
        <v>0</v>
      </c>
      <c r="AV121" s="109">
        <f t="shared" si="8"/>
        <v>0</v>
      </c>
      <c r="AW121" s="109">
        <f t="shared" si="8"/>
        <v>0</v>
      </c>
      <c r="AX121" s="109">
        <f t="shared" si="8"/>
        <v>0</v>
      </c>
    </row>
    <row r="122" spans="1:50" x14ac:dyDescent="0.2">
      <c r="A122" s="109" t="s">
        <v>108</v>
      </c>
      <c r="B122" s="109" t="s">
        <v>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</row>
    <row r="123" spans="1:50" x14ac:dyDescent="0.2">
      <c r="B123" s="109" t="s">
        <v>10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</row>
    <row r="124" spans="1:50" x14ac:dyDescent="0.2">
      <c r="B124" s="109" t="s">
        <v>12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</row>
    <row r="125" spans="1:50" x14ac:dyDescent="0.2">
      <c r="B125" s="109" t="s">
        <v>22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</row>
    <row r="126" spans="1:50" x14ac:dyDescent="0.2">
      <c r="B126" s="109" t="s">
        <v>59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</row>
    <row r="127" spans="1:50" x14ac:dyDescent="0.2">
      <c r="B127" t="s">
        <v>278</v>
      </c>
      <c r="C127" s="109">
        <f>SUM(C$122:C$126)</f>
        <v>0</v>
      </c>
      <c r="D127" s="109">
        <f t="shared" ref="D127:AX127" si="9">SUM(D$122:D$126)</f>
        <v>0</v>
      </c>
      <c r="E127" s="109">
        <f t="shared" si="9"/>
        <v>0</v>
      </c>
      <c r="F127" s="109">
        <f t="shared" si="9"/>
        <v>0</v>
      </c>
      <c r="G127" s="109">
        <f t="shared" si="9"/>
        <v>0</v>
      </c>
      <c r="H127" s="109">
        <f t="shared" si="9"/>
        <v>0</v>
      </c>
      <c r="I127" s="109">
        <f t="shared" si="9"/>
        <v>0</v>
      </c>
      <c r="J127" s="109">
        <f t="shared" si="9"/>
        <v>0</v>
      </c>
      <c r="K127" s="109">
        <f t="shared" si="9"/>
        <v>0</v>
      </c>
      <c r="L127" s="109">
        <f t="shared" si="9"/>
        <v>0</v>
      </c>
      <c r="M127" s="109">
        <f t="shared" si="9"/>
        <v>0</v>
      </c>
      <c r="N127" s="109">
        <f t="shared" si="9"/>
        <v>0</v>
      </c>
      <c r="O127" s="109">
        <f t="shared" si="9"/>
        <v>0</v>
      </c>
      <c r="P127" s="109">
        <f t="shared" si="9"/>
        <v>0</v>
      </c>
      <c r="Q127" s="109">
        <f t="shared" si="9"/>
        <v>0</v>
      </c>
      <c r="R127" s="109">
        <f t="shared" si="9"/>
        <v>0</v>
      </c>
      <c r="S127" s="109">
        <f t="shared" si="9"/>
        <v>0</v>
      </c>
      <c r="T127" s="109">
        <f t="shared" si="9"/>
        <v>0</v>
      </c>
      <c r="U127" s="109">
        <f t="shared" si="9"/>
        <v>0</v>
      </c>
      <c r="V127" s="109">
        <f t="shared" si="9"/>
        <v>0</v>
      </c>
      <c r="W127" s="109">
        <f t="shared" si="9"/>
        <v>0</v>
      </c>
      <c r="X127" s="109">
        <f t="shared" si="9"/>
        <v>0</v>
      </c>
      <c r="Y127" s="109">
        <f t="shared" si="9"/>
        <v>0</v>
      </c>
      <c r="Z127" s="109">
        <f t="shared" si="9"/>
        <v>0</v>
      </c>
      <c r="AA127" s="109">
        <f t="shared" si="9"/>
        <v>0</v>
      </c>
      <c r="AB127" s="109">
        <f t="shared" si="9"/>
        <v>0</v>
      </c>
      <c r="AC127" s="109">
        <f t="shared" si="9"/>
        <v>0</v>
      </c>
      <c r="AD127" s="109">
        <f t="shared" si="9"/>
        <v>0</v>
      </c>
      <c r="AE127" s="109">
        <f t="shared" si="9"/>
        <v>0</v>
      </c>
      <c r="AF127" s="109">
        <f t="shared" si="9"/>
        <v>0</v>
      </c>
      <c r="AG127" s="109">
        <f t="shared" si="9"/>
        <v>0</v>
      </c>
      <c r="AH127" s="109">
        <f t="shared" si="9"/>
        <v>0</v>
      </c>
      <c r="AI127" s="109">
        <f t="shared" si="9"/>
        <v>0</v>
      </c>
      <c r="AJ127" s="109">
        <f t="shared" si="9"/>
        <v>0</v>
      </c>
      <c r="AK127" s="109">
        <f t="shared" si="9"/>
        <v>0</v>
      </c>
      <c r="AL127" s="109">
        <f t="shared" si="9"/>
        <v>0</v>
      </c>
      <c r="AM127" s="109">
        <f t="shared" si="9"/>
        <v>0</v>
      </c>
      <c r="AN127" s="109">
        <f t="shared" si="9"/>
        <v>0</v>
      </c>
      <c r="AO127" s="109">
        <f t="shared" si="9"/>
        <v>0</v>
      </c>
      <c r="AP127" s="109">
        <f t="shared" si="9"/>
        <v>0</v>
      </c>
      <c r="AQ127" s="109">
        <f t="shared" si="9"/>
        <v>0</v>
      </c>
      <c r="AR127" s="109">
        <f t="shared" si="9"/>
        <v>0</v>
      </c>
      <c r="AS127" s="109">
        <f t="shared" si="9"/>
        <v>0</v>
      </c>
      <c r="AT127" s="109">
        <f t="shared" si="9"/>
        <v>0</v>
      </c>
      <c r="AU127" s="109">
        <f t="shared" si="9"/>
        <v>0</v>
      </c>
      <c r="AV127" s="109">
        <f t="shared" si="9"/>
        <v>0</v>
      </c>
      <c r="AW127" s="109">
        <f t="shared" si="9"/>
        <v>0</v>
      </c>
      <c r="AX127" s="109">
        <f t="shared" si="9"/>
        <v>0</v>
      </c>
    </row>
    <row r="128" spans="1:50" x14ac:dyDescent="0.2">
      <c r="A128" s="109" t="s">
        <v>109</v>
      </c>
      <c r="B128" s="109" t="s">
        <v>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</row>
    <row r="129" spans="2:50" x14ac:dyDescent="0.2">
      <c r="B129" s="109" t="s">
        <v>10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</row>
    <row r="130" spans="2:50" x14ac:dyDescent="0.2">
      <c r="B130" s="109" t="s">
        <v>12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</row>
    <row r="131" spans="2:50" x14ac:dyDescent="0.2">
      <c r="B131" s="109" t="s">
        <v>22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</row>
    <row r="132" spans="2:50" x14ac:dyDescent="0.2">
      <c r="B132" s="109" t="s">
        <v>59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</row>
    <row r="133" spans="2:50" x14ac:dyDescent="0.2">
      <c r="B133" t="s">
        <v>278</v>
      </c>
      <c r="C133" s="109">
        <f>SUM(C$128:C$132)</f>
        <v>0</v>
      </c>
      <c r="D133" s="109">
        <f t="shared" ref="D133:AX133" si="10">SUM(D$128:D$132)</f>
        <v>0</v>
      </c>
      <c r="E133" s="109">
        <f t="shared" si="10"/>
        <v>0</v>
      </c>
      <c r="F133" s="109">
        <f t="shared" si="10"/>
        <v>0</v>
      </c>
      <c r="G133" s="109">
        <f t="shared" si="10"/>
        <v>0</v>
      </c>
      <c r="H133" s="109">
        <f t="shared" si="10"/>
        <v>0</v>
      </c>
      <c r="I133" s="109">
        <f t="shared" si="10"/>
        <v>0</v>
      </c>
      <c r="J133" s="109">
        <f t="shared" si="10"/>
        <v>0</v>
      </c>
      <c r="K133" s="109">
        <f t="shared" si="10"/>
        <v>0</v>
      </c>
      <c r="L133" s="109">
        <f t="shared" si="10"/>
        <v>0</v>
      </c>
      <c r="M133" s="109">
        <f t="shared" si="10"/>
        <v>0</v>
      </c>
      <c r="N133" s="109">
        <f t="shared" si="10"/>
        <v>0</v>
      </c>
      <c r="O133" s="109">
        <f t="shared" si="10"/>
        <v>0</v>
      </c>
      <c r="P133" s="109">
        <f t="shared" si="10"/>
        <v>0</v>
      </c>
      <c r="Q133" s="109">
        <f t="shared" si="10"/>
        <v>0</v>
      </c>
      <c r="R133" s="109">
        <f t="shared" si="10"/>
        <v>0</v>
      </c>
      <c r="S133" s="109">
        <f t="shared" si="10"/>
        <v>0</v>
      </c>
      <c r="T133" s="109">
        <f t="shared" si="10"/>
        <v>0</v>
      </c>
      <c r="U133" s="109">
        <f t="shared" si="10"/>
        <v>0</v>
      </c>
      <c r="V133" s="109">
        <f t="shared" si="10"/>
        <v>0</v>
      </c>
      <c r="W133" s="109">
        <f t="shared" si="10"/>
        <v>0</v>
      </c>
      <c r="X133" s="109">
        <f t="shared" si="10"/>
        <v>0</v>
      </c>
      <c r="Y133" s="109">
        <f t="shared" si="10"/>
        <v>0</v>
      </c>
      <c r="Z133" s="109">
        <f t="shared" si="10"/>
        <v>0</v>
      </c>
      <c r="AA133" s="109">
        <f t="shared" si="10"/>
        <v>0</v>
      </c>
      <c r="AB133" s="109">
        <f t="shared" si="10"/>
        <v>0</v>
      </c>
      <c r="AC133" s="109">
        <f t="shared" si="10"/>
        <v>0</v>
      </c>
      <c r="AD133" s="109">
        <f t="shared" si="10"/>
        <v>0</v>
      </c>
      <c r="AE133" s="109">
        <f t="shared" si="10"/>
        <v>0</v>
      </c>
      <c r="AF133" s="109">
        <f t="shared" si="10"/>
        <v>0</v>
      </c>
      <c r="AG133" s="109">
        <f t="shared" si="10"/>
        <v>0</v>
      </c>
      <c r="AH133" s="109">
        <f t="shared" si="10"/>
        <v>0</v>
      </c>
      <c r="AI133" s="109">
        <f t="shared" si="10"/>
        <v>0</v>
      </c>
      <c r="AJ133" s="109">
        <f t="shared" si="10"/>
        <v>0</v>
      </c>
      <c r="AK133" s="109">
        <f t="shared" si="10"/>
        <v>0</v>
      </c>
      <c r="AL133" s="109">
        <f t="shared" si="10"/>
        <v>0</v>
      </c>
      <c r="AM133" s="109">
        <f t="shared" si="10"/>
        <v>0</v>
      </c>
      <c r="AN133" s="109">
        <f t="shared" si="10"/>
        <v>0</v>
      </c>
      <c r="AO133" s="109">
        <f t="shared" si="10"/>
        <v>0</v>
      </c>
      <c r="AP133" s="109">
        <f t="shared" si="10"/>
        <v>0</v>
      </c>
      <c r="AQ133" s="109">
        <f t="shared" si="10"/>
        <v>0</v>
      </c>
      <c r="AR133" s="109">
        <f t="shared" si="10"/>
        <v>0</v>
      </c>
      <c r="AS133" s="109">
        <f t="shared" si="10"/>
        <v>0</v>
      </c>
      <c r="AT133" s="109">
        <f t="shared" si="10"/>
        <v>0</v>
      </c>
      <c r="AU133" s="109">
        <f t="shared" si="10"/>
        <v>0</v>
      </c>
      <c r="AV133" s="109">
        <f t="shared" si="10"/>
        <v>0</v>
      </c>
      <c r="AW133" s="109">
        <f t="shared" si="10"/>
        <v>0</v>
      </c>
      <c r="AX133" s="109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11" t="s">
        <v>5</v>
      </c>
      <c r="E2" s="114"/>
    </row>
    <row r="3" spans="1:52" x14ac:dyDescent="0.2">
      <c r="A3" t="s">
        <v>286</v>
      </c>
      <c r="B3" s="111">
        <v>1257</v>
      </c>
      <c r="E3" s="114"/>
    </row>
    <row r="4" spans="1:52" x14ac:dyDescent="0.2">
      <c r="A4" s="1"/>
      <c r="C4" s="9" t="s">
        <v>287</v>
      </c>
    </row>
    <row r="5" spans="1:52" x14ac:dyDescent="0.2">
      <c r="B5" s="110"/>
      <c r="C5" s="115">
        <v>0</v>
      </c>
      <c r="D5" s="115">
        <v>1</v>
      </c>
      <c r="E5" s="115">
        <v>2</v>
      </c>
      <c r="F5" s="115">
        <v>3</v>
      </c>
      <c r="G5" s="115">
        <v>4</v>
      </c>
      <c r="H5" s="115">
        <v>5</v>
      </c>
      <c r="I5" s="115">
        <v>6</v>
      </c>
      <c r="J5" s="115">
        <v>7</v>
      </c>
      <c r="K5" s="115">
        <v>8</v>
      </c>
      <c r="L5" s="115">
        <v>9</v>
      </c>
      <c r="M5" s="115">
        <v>10</v>
      </c>
      <c r="N5" s="115">
        <v>11</v>
      </c>
      <c r="O5" s="115">
        <v>12</v>
      </c>
      <c r="P5" s="115">
        <v>13</v>
      </c>
      <c r="Q5" s="115">
        <v>14</v>
      </c>
      <c r="R5" s="115">
        <v>15</v>
      </c>
      <c r="S5" s="115">
        <v>16</v>
      </c>
      <c r="T5" s="115">
        <v>17</v>
      </c>
      <c r="U5" s="115">
        <v>18</v>
      </c>
      <c r="V5" s="115">
        <v>19</v>
      </c>
      <c r="W5" s="115">
        <v>20</v>
      </c>
      <c r="X5" s="115">
        <v>21</v>
      </c>
      <c r="Y5" s="115">
        <v>22</v>
      </c>
      <c r="Z5" s="115">
        <v>23</v>
      </c>
      <c r="AA5" s="115">
        <v>24</v>
      </c>
      <c r="AB5" s="115">
        <v>25</v>
      </c>
      <c r="AC5" s="115">
        <v>26</v>
      </c>
      <c r="AD5" s="115">
        <v>27</v>
      </c>
      <c r="AE5" s="115">
        <v>28</v>
      </c>
      <c r="AF5" s="115">
        <v>29</v>
      </c>
      <c r="AG5" s="115">
        <v>30</v>
      </c>
      <c r="AH5" s="115">
        <v>31</v>
      </c>
      <c r="AI5" s="115">
        <v>32</v>
      </c>
      <c r="AJ5" s="115">
        <v>33</v>
      </c>
      <c r="AK5" s="115">
        <v>34</v>
      </c>
      <c r="AL5" s="115">
        <v>35</v>
      </c>
      <c r="AM5" s="115">
        <v>36</v>
      </c>
      <c r="AN5" s="115">
        <v>37</v>
      </c>
      <c r="AO5" s="115">
        <v>38</v>
      </c>
      <c r="AP5" s="115">
        <v>39</v>
      </c>
      <c r="AQ5" s="115">
        <v>40</v>
      </c>
      <c r="AR5" s="115">
        <v>41</v>
      </c>
      <c r="AS5" s="115">
        <v>42</v>
      </c>
      <c r="AT5" s="115">
        <v>43</v>
      </c>
      <c r="AU5" s="115">
        <v>44</v>
      </c>
      <c r="AV5" s="115">
        <v>45</v>
      </c>
      <c r="AW5" s="115">
        <v>46</v>
      </c>
      <c r="AX5" s="115">
        <v>47</v>
      </c>
      <c r="AY5" s="115">
        <v>48</v>
      </c>
    </row>
    <row r="6" spans="1:52" x14ac:dyDescent="0.2">
      <c r="A6" s="1" t="s">
        <v>304</v>
      </c>
      <c r="B6" s="117"/>
      <c r="C6" s="116" t="s">
        <v>288</v>
      </c>
      <c r="D6" s="115" t="s">
        <v>289</v>
      </c>
      <c r="E6" s="115" t="s">
        <v>289</v>
      </c>
      <c r="F6" s="115" t="s">
        <v>289</v>
      </c>
      <c r="G6" s="115" t="s">
        <v>289</v>
      </c>
      <c r="H6" s="115" t="s">
        <v>289</v>
      </c>
      <c r="I6" s="115" t="s">
        <v>289</v>
      </c>
      <c r="J6" s="115" t="s">
        <v>289</v>
      </c>
      <c r="K6" s="115" t="s">
        <v>289</v>
      </c>
      <c r="L6" s="115" t="s">
        <v>289</v>
      </c>
      <c r="M6" s="115" t="s">
        <v>289</v>
      </c>
      <c r="N6" s="115" t="s">
        <v>289</v>
      </c>
      <c r="O6" s="115" t="s">
        <v>289</v>
      </c>
      <c r="P6" s="115" t="s">
        <v>289</v>
      </c>
      <c r="Q6" s="115" t="s">
        <v>289</v>
      </c>
      <c r="R6" s="115" t="s">
        <v>289</v>
      </c>
      <c r="S6" s="115" t="s">
        <v>289</v>
      </c>
      <c r="T6" s="115" t="s">
        <v>289</v>
      </c>
      <c r="U6" s="115" t="s">
        <v>289</v>
      </c>
      <c r="V6" s="115" t="s">
        <v>289</v>
      </c>
      <c r="W6" s="115" t="s">
        <v>289</v>
      </c>
      <c r="X6" s="115" t="s">
        <v>289</v>
      </c>
      <c r="Y6" s="115" t="s">
        <v>289</v>
      </c>
      <c r="Z6" s="115" t="s">
        <v>289</v>
      </c>
      <c r="AA6" s="115" t="s">
        <v>289</v>
      </c>
      <c r="AB6" s="115" t="s">
        <v>289</v>
      </c>
      <c r="AC6" s="115" t="s">
        <v>289</v>
      </c>
      <c r="AD6" s="115" t="s">
        <v>289</v>
      </c>
      <c r="AE6" s="115" t="s">
        <v>289</v>
      </c>
      <c r="AF6" s="115" t="s">
        <v>289</v>
      </c>
      <c r="AG6" s="115" t="s">
        <v>289</v>
      </c>
      <c r="AH6" s="115" t="s">
        <v>289</v>
      </c>
      <c r="AI6" s="115" t="s">
        <v>289</v>
      </c>
      <c r="AJ6" s="115" t="s">
        <v>289</v>
      </c>
      <c r="AK6" s="115" t="s">
        <v>289</v>
      </c>
      <c r="AL6" s="115" t="s">
        <v>289</v>
      </c>
      <c r="AM6" s="115" t="s">
        <v>289</v>
      </c>
      <c r="AN6" s="115" t="s">
        <v>289</v>
      </c>
      <c r="AO6" s="115" t="s">
        <v>289</v>
      </c>
      <c r="AP6" s="115" t="s">
        <v>289</v>
      </c>
      <c r="AQ6" s="115" t="s">
        <v>289</v>
      </c>
      <c r="AR6" s="115" t="s">
        <v>289</v>
      </c>
      <c r="AS6" s="115" t="s">
        <v>289</v>
      </c>
      <c r="AT6" s="115" t="s">
        <v>289</v>
      </c>
      <c r="AU6" s="115" t="s">
        <v>289</v>
      </c>
      <c r="AV6" s="115" t="s">
        <v>289</v>
      </c>
      <c r="AW6" s="115" t="s">
        <v>289</v>
      </c>
      <c r="AX6" s="115" t="s">
        <v>289</v>
      </c>
      <c r="AY6" s="9" t="s">
        <v>290</v>
      </c>
      <c r="AZ6" s="145" t="s">
        <v>150</v>
      </c>
    </row>
    <row r="7" spans="1:52" x14ac:dyDescent="0.2">
      <c r="A7" s="118" t="s">
        <v>125</v>
      </c>
      <c r="B7" s="146">
        <v>1</v>
      </c>
      <c r="C7" s="147" t="s">
        <v>293</v>
      </c>
      <c r="D7" s="147">
        <v>171.61339991679952</v>
      </c>
      <c r="E7" s="147">
        <v>171.61339991679952</v>
      </c>
      <c r="F7" s="147">
        <v>171.61339991679952</v>
      </c>
      <c r="G7" s="147">
        <v>171.61339991679952</v>
      </c>
      <c r="H7" s="147">
        <v>171.61339991679952</v>
      </c>
      <c r="I7" s="147">
        <v>171.61339991679952</v>
      </c>
      <c r="J7" s="147">
        <v>171.61339991679952</v>
      </c>
      <c r="K7" s="147">
        <v>171.61339991679952</v>
      </c>
      <c r="L7" s="147">
        <v>171.61339991679952</v>
      </c>
      <c r="M7" s="147">
        <v>171.61339991679952</v>
      </c>
      <c r="N7" s="147">
        <v>171.61339991679952</v>
      </c>
      <c r="O7" s="147">
        <v>171.61339991679952</v>
      </c>
      <c r="P7" s="147">
        <v>171.61339991679952</v>
      </c>
      <c r="Q7" s="147">
        <v>171.61339991679952</v>
      </c>
      <c r="R7" s="147">
        <v>171.61339991679952</v>
      </c>
      <c r="S7" s="147">
        <v>171.61339991679952</v>
      </c>
      <c r="T7" s="147">
        <v>171.61339991679952</v>
      </c>
      <c r="U7" s="147">
        <v>171.61339991679952</v>
      </c>
      <c r="V7" s="147">
        <v>171.61339991679952</v>
      </c>
      <c r="W7" s="147">
        <v>171.61339991679952</v>
      </c>
      <c r="X7" s="147">
        <v>171.61339991679952</v>
      </c>
      <c r="Y7" s="147">
        <v>171.61339991679952</v>
      </c>
      <c r="Z7" s="147">
        <v>171.61339991679952</v>
      </c>
      <c r="AA7" s="147">
        <v>171.61339991679952</v>
      </c>
      <c r="AB7" s="147">
        <v>171.61339991679952</v>
      </c>
      <c r="AC7" s="147">
        <v>171.61339991679952</v>
      </c>
      <c r="AD7" s="147">
        <v>171.61339991679952</v>
      </c>
      <c r="AE7" s="147">
        <v>171.61339991679952</v>
      </c>
      <c r="AF7" s="147">
        <v>171.61339991679952</v>
      </c>
      <c r="AG7" s="147">
        <v>171.61339991679952</v>
      </c>
      <c r="AH7" s="147">
        <v>171.61339991679952</v>
      </c>
      <c r="AI7" s="147">
        <v>171.61339991679952</v>
      </c>
      <c r="AJ7" s="147">
        <v>171.61339991679952</v>
      </c>
      <c r="AK7" s="147">
        <v>171.61339991679952</v>
      </c>
      <c r="AL7" s="147">
        <v>171.61339991679952</v>
      </c>
      <c r="AM7" s="147">
        <v>171.61339991679952</v>
      </c>
      <c r="AN7" s="147">
        <v>171.61339991679952</v>
      </c>
      <c r="AO7" s="147">
        <v>171.61339991679952</v>
      </c>
      <c r="AP7" s="147">
        <v>171.61339991679952</v>
      </c>
      <c r="AQ7" s="147">
        <v>171.61339991679952</v>
      </c>
      <c r="AR7" s="147">
        <v>171.61339991679952</v>
      </c>
      <c r="AS7" s="147">
        <v>171.61339991679952</v>
      </c>
      <c r="AT7" s="147">
        <v>171.61339991679952</v>
      </c>
      <c r="AU7" s="147">
        <v>171.61339991679952</v>
      </c>
      <c r="AV7" s="147">
        <v>171.61339991679952</v>
      </c>
      <c r="AW7" s="147">
        <v>171.61339991679952</v>
      </c>
      <c r="AX7" s="147">
        <v>171.61339991679952</v>
      </c>
      <c r="AY7" s="147">
        <v>171.61339991679952</v>
      </c>
      <c r="AZ7" s="110"/>
    </row>
    <row r="8" spans="1:52" x14ac:dyDescent="0.2">
      <c r="A8" s="148"/>
      <c r="B8" s="149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50"/>
    </row>
    <row r="9" spans="1:52" x14ac:dyDescent="0.2">
      <c r="A9" s="1" t="s">
        <v>294</v>
      </c>
      <c r="B9" s="151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  <c r="AY9" s="110"/>
      <c r="AZ9" s="110"/>
    </row>
    <row r="10" spans="1:52" x14ac:dyDescent="0.2">
      <c r="A10" s="152" t="s">
        <v>125</v>
      </c>
      <c r="B10" s="153">
        <v>1</v>
      </c>
      <c r="C10" s="147" t="s">
        <v>293</v>
      </c>
      <c r="D10" s="147">
        <f t="shared" ref="D10:AY10" si="0">MAX(SUM(D$14:D$16)+D$7-$B$3,0)</f>
        <v>0</v>
      </c>
      <c r="E10" s="147">
        <f t="shared" si="0"/>
        <v>0</v>
      </c>
      <c r="F10" s="147">
        <f t="shared" si="0"/>
        <v>0</v>
      </c>
      <c r="G10" s="147">
        <f t="shared" si="0"/>
        <v>0</v>
      </c>
      <c r="H10" s="147">
        <f t="shared" si="0"/>
        <v>0</v>
      </c>
      <c r="I10" s="147">
        <f t="shared" si="0"/>
        <v>0</v>
      </c>
      <c r="J10" s="147">
        <f t="shared" si="0"/>
        <v>0</v>
      </c>
      <c r="K10" s="147">
        <f t="shared" si="0"/>
        <v>0</v>
      </c>
      <c r="L10" s="147">
        <f t="shared" si="0"/>
        <v>0</v>
      </c>
      <c r="M10" s="147">
        <f t="shared" si="0"/>
        <v>0</v>
      </c>
      <c r="N10" s="147">
        <f t="shared" si="0"/>
        <v>0</v>
      </c>
      <c r="O10" s="147">
        <f t="shared" si="0"/>
        <v>0</v>
      </c>
      <c r="P10" s="147">
        <f t="shared" si="0"/>
        <v>0</v>
      </c>
      <c r="Q10" s="147">
        <f t="shared" si="0"/>
        <v>0</v>
      </c>
      <c r="R10" s="147">
        <f t="shared" si="0"/>
        <v>0</v>
      </c>
      <c r="S10" s="147">
        <f t="shared" si="0"/>
        <v>0</v>
      </c>
      <c r="T10" s="147">
        <f t="shared" si="0"/>
        <v>0</v>
      </c>
      <c r="U10" s="147">
        <f t="shared" si="0"/>
        <v>0</v>
      </c>
      <c r="V10" s="147">
        <f t="shared" si="0"/>
        <v>0</v>
      </c>
      <c r="W10" s="147">
        <f t="shared" si="0"/>
        <v>0</v>
      </c>
      <c r="X10" s="147">
        <f t="shared" si="0"/>
        <v>0</v>
      </c>
      <c r="Y10" s="147">
        <f t="shared" si="0"/>
        <v>0</v>
      </c>
      <c r="Z10" s="147">
        <f t="shared" si="0"/>
        <v>0</v>
      </c>
      <c r="AA10" s="147">
        <f t="shared" si="0"/>
        <v>0</v>
      </c>
      <c r="AB10" s="147">
        <f t="shared" si="0"/>
        <v>0</v>
      </c>
      <c r="AC10" s="147">
        <f t="shared" si="0"/>
        <v>0</v>
      </c>
      <c r="AD10" s="147">
        <f t="shared" si="0"/>
        <v>0</v>
      </c>
      <c r="AE10" s="147">
        <f t="shared" si="0"/>
        <v>0</v>
      </c>
      <c r="AF10" s="147">
        <f t="shared" si="0"/>
        <v>0</v>
      </c>
      <c r="AG10" s="147">
        <f t="shared" si="0"/>
        <v>0</v>
      </c>
      <c r="AH10" s="147">
        <f t="shared" si="0"/>
        <v>0</v>
      </c>
      <c r="AI10" s="147">
        <f t="shared" si="0"/>
        <v>0</v>
      </c>
      <c r="AJ10" s="147">
        <f t="shared" si="0"/>
        <v>0</v>
      </c>
      <c r="AK10" s="147">
        <f t="shared" si="0"/>
        <v>0</v>
      </c>
      <c r="AL10" s="147">
        <f t="shared" si="0"/>
        <v>0</v>
      </c>
      <c r="AM10" s="147">
        <f t="shared" si="0"/>
        <v>0</v>
      </c>
      <c r="AN10" s="147">
        <f t="shared" si="0"/>
        <v>0</v>
      </c>
      <c r="AO10" s="147">
        <f t="shared" si="0"/>
        <v>0</v>
      </c>
      <c r="AP10" s="147">
        <f t="shared" si="0"/>
        <v>0</v>
      </c>
      <c r="AQ10" s="147">
        <f t="shared" si="0"/>
        <v>0</v>
      </c>
      <c r="AR10" s="147">
        <f t="shared" si="0"/>
        <v>0</v>
      </c>
      <c r="AS10" s="147">
        <f t="shared" si="0"/>
        <v>0</v>
      </c>
      <c r="AT10" s="147">
        <f t="shared" si="0"/>
        <v>0</v>
      </c>
      <c r="AU10" s="147">
        <f t="shared" si="0"/>
        <v>0</v>
      </c>
      <c r="AV10" s="147">
        <f t="shared" si="0"/>
        <v>0</v>
      </c>
      <c r="AW10" s="147">
        <f t="shared" si="0"/>
        <v>0</v>
      </c>
      <c r="AX10" s="147">
        <f t="shared" si="0"/>
        <v>0</v>
      </c>
      <c r="AY10" s="147">
        <f t="shared" si="0"/>
        <v>0</v>
      </c>
      <c r="AZ10" s="154">
        <f>SUM($D10:$AY10)</f>
        <v>0</v>
      </c>
    </row>
    <row r="11" spans="1:52" x14ac:dyDescent="0.2">
      <c r="C11" s="114"/>
    </row>
    <row r="12" spans="1:52" x14ac:dyDescent="0.2">
      <c r="A12" s="155" t="s">
        <v>295</v>
      </c>
      <c r="B12" s="149"/>
      <c r="C12" s="114"/>
    </row>
    <row r="13" spans="1:52" x14ac:dyDescent="0.2">
      <c r="A13" s="125" t="s">
        <v>125</v>
      </c>
      <c r="B13" s="126">
        <v>1</v>
      </c>
      <c r="C13" s="127">
        <v>320.4677712891235</v>
      </c>
      <c r="D13" s="141">
        <f t="shared" ref="D13:AY13" si="1">D$7-D$10</f>
        <v>171.61339991679952</v>
      </c>
      <c r="E13" s="141">
        <f t="shared" si="1"/>
        <v>171.61339991679952</v>
      </c>
      <c r="F13" s="141">
        <f t="shared" si="1"/>
        <v>171.61339991679952</v>
      </c>
      <c r="G13" s="141">
        <f t="shared" si="1"/>
        <v>171.61339991679952</v>
      </c>
      <c r="H13" s="141">
        <f t="shared" si="1"/>
        <v>171.61339991679952</v>
      </c>
      <c r="I13" s="141">
        <f t="shared" si="1"/>
        <v>171.61339991679952</v>
      </c>
      <c r="J13" s="141">
        <f t="shared" si="1"/>
        <v>171.61339991679952</v>
      </c>
      <c r="K13" s="141">
        <f t="shared" si="1"/>
        <v>171.61339991679952</v>
      </c>
      <c r="L13" s="141">
        <f t="shared" si="1"/>
        <v>171.61339991679952</v>
      </c>
      <c r="M13" s="141">
        <f t="shared" si="1"/>
        <v>171.61339991679952</v>
      </c>
      <c r="N13" s="141">
        <f t="shared" si="1"/>
        <v>171.61339991679952</v>
      </c>
      <c r="O13" s="141">
        <f t="shared" si="1"/>
        <v>171.61339991679952</v>
      </c>
      <c r="P13" s="141">
        <f t="shared" si="1"/>
        <v>171.61339991679952</v>
      </c>
      <c r="Q13" s="141">
        <f t="shared" si="1"/>
        <v>171.61339991679952</v>
      </c>
      <c r="R13" s="141">
        <f t="shared" si="1"/>
        <v>171.61339991679952</v>
      </c>
      <c r="S13" s="141">
        <f t="shared" si="1"/>
        <v>171.61339991679952</v>
      </c>
      <c r="T13" s="141">
        <f t="shared" si="1"/>
        <v>171.61339991679952</v>
      </c>
      <c r="U13" s="141">
        <f t="shared" si="1"/>
        <v>171.61339991679952</v>
      </c>
      <c r="V13" s="141">
        <f t="shared" si="1"/>
        <v>171.61339991679952</v>
      </c>
      <c r="W13" s="141">
        <f t="shared" si="1"/>
        <v>171.61339991679952</v>
      </c>
      <c r="X13" s="141">
        <f t="shared" si="1"/>
        <v>171.61339991679952</v>
      </c>
      <c r="Y13" s="141">
        <f t="shared" si="1"/>
        <v>171.61339991679952</v>
      </c>
      <c r="Z13" s="141">
        <f t="shared" si="1"/>
        <v>171.61339991679952</v>
      </c>
      <c r="AA13" s="141">
        <f t="shared" si="1"/>
        <v>171.61339991679952</v>
      </c>
      <c r="AB13" s="141">
        <f t="shared" si="1"/>
        <v>171.61339991679952</v>
      </c>
      <c r="AC13" s="141">
        <f t="shared" si="1"/>
        <v>171.61339991679952</v>
      </c>
      <c r="AD13" s="141">
        <f t="shared" si="1"/>
        <v>171.61339991679952</v>
      </c>
      <c r="AE13" s="141">
        <f t="shared" si="1"/>
        <v>171.61339991679952</v>
      </c>
      <c r="AF13" s="141">
        <f t="shared" si="1"/>
        <v>171.61339991679952</v>
      </c>
      <c r="AG13" s="141">
        <f t="shared" si="1"/>
        <v>171.61339991679952</v>
      </c>
      <c r="AH13" s="141">
        <f t="shared" si="1"/>
        <v>171.61339991679952</v>
      </c>
      <c r="AI13" s="141">
        <f t="shared" si="1"/>
        <v>171.61339991679952</v>
      </c>
      <c r="AJ13" s="141">
        <f t="shared" si="1"/>
        <v>171.61339991679952</v>
      </c>
      <c r="AK13" s="141">
        <f t="shared" si="1"/>
        <v>171.61339991679952</v>
      </c>
      <c r="AL13" s="141">
        <f t="shared" si="1"/>
        <v>171.61339991679952</v>
      </c>
      <c r="AM13" s="141">
        <f t="shared" si="1"/>
        <v>171.61339991679952</v>
      </c>
      <c r="AN13" s="141">
        <f t="shared" si="1"/>
        <v>171.61339991679952</v>
      </c>
      <c r="AO13" s="141">
        <f t="shared" si="1"/>
        <v>171.61339991679952</v>
      </c>
      <c r="AP13" s="141">
        <f t="shared" si="1"/>
        <v>171.61339991679952</v>
      </c>
      <c r="AQ13" s="141">
        <f t="shared" si="1"/>
        <v>171.61339991679952</v>
      </c>
      <c r="AR13" s="141">
        <f t="shared" si="1"/>
        <v>171.61339991679952</v>
      </c>
      <c r="AS13" s="141">
        <f t="shared" si="1"/>
        <v>171.61339991679952</v>
      </c>
      <c r="AT13" s="141">
        <f t="shared" si="1"/>
        <v>171.61339991679952</v>
      </c>
      <c r="AU13" s="141">
        <f t="shared" si="1"/>
        <v>171.61339991679952</v>
      </c>
      <c r="AV13" s="141">
        <f t="shared" si="1"/>
        <v>171.61339991679952</v>
      </c>
      <c r="AW13" s="141">
        <f t="shared" si="1"/>
        <v>171.61339991679952</v>
      </c>
      <c r="AX13" s="141">
        <f t="shared" si="1"/>
        <v>171.61339991679952</v>
      </c>
      <c r="AY13" s="141">
        <f t="shared" si="1"/>
        <v>171.61339991679952</v>
      </c>
      <c r="AZ13" s="113"/>
    </row>
    <row r="14" spans="1:52" x14ac:dyDescent="0.2">
      <c r="A14" s="114"/>
      <c r="B14" s="123">
        <v>2</v>
      </c>
      <c r="C14" s="114">
        <v>0</v>
      </c>
      <c r="D14" s="110">
        <f>IF(C$20="Yes",C13,0)</f>
        <v>0</v>
      </c>
      <c r="E14" s="110">
        <f t="shared" ref="E14:AY17" si="2">IF(D$20="Yes",D13,0)</f>
        <v>0</v>
      </c>
      <c r="F14" s="110">
        <f t="shared" si="2"/>
        <v>0</v>
      </c>
      <c r="G14" s="110">
        <f t="shared" si="2"/>
        <v>0</v>
      </c>
      <c r="H14" s="110">
        <f t="shared" si="2"/>
        <v>0</v>
      </c>
      <c r="I14" s="110">
        <f t="shared" si="2"/>
        <v>0</v>
      </c>
      <c r="J14" s="110">
        <f t="shared" si="2"/>
        <v>0</v>
      </c>
      <c r="K14" s="110">
        <f t="shared" si="2"/>
        <v>0</v>
      </c>
      <c r="L14" s="110">
        <f t="shared" si="2"/>
        <v>0</v>
      </c>
      <c r="M14" s="110">
        <f t="shared" si="2"/>
        <v>0</v>
      </c>
      <c r="N14" s="110">
        <f t="shared" si="2"/>
        <v>0</v>
      </c>
      <c r="O14" s="110">
        <f t="shared" si="2"/>
        <v>0</v>
      </c>
      <c r="P14" s="110">
        <f t="shared" si="2"/>
        <v>0</v>
      </c>
      <c r="Q14" s="110">
        <f t="shared" si="2"/>
        <v>0</v>
      </c>
      <c r="R14" s="110">
        <f t="shared" si="2"/>
        <v>0</v>
      </c>
      <c r="S14" s="110">
        <f t="shared" si="2"/>
        <v>0</v>
      </c>
      <c r="T14" s="110">
        <f t="shared" si="2"/>
        <v>0</v>
      </c>
      <c r="U14" s="110">
        <f t="shared" si="2"/>
        <v>0</v>
      </c>
      <c r="V14" s="110">
        <f t="shared" si="2"/>
        <v>0</v>
      </c>
      <c r="W14" s="110">
        <f t="shared" si="2"/>
        <v>0</v>
      </c>
      <c r="X14" s="110">
        <f t="shared" si="2"/>
        <v>171.61339991679952</v>
      </c>
      <c r="Y14" s="110">
        <f t="shared" si="2"/>
        <v>0</v>
      </c>
      <c r="Z14" s="110">
        <f t="shared" si="2"/>
        <v>0</v>
      </c>
      <c r="AA14" s="110">
        <f t="shared" si="2"/>
        <v>0</v>
      </c>
      <c r="AB14" s="110">
        <f t="shared" si="2"/>
        <v>0</v>
      </c>
      <c r="AC14" s="110">
        <f t="shared" si="2"/>
        <v>0</v>
      </c>
      <c r="AD14" s="110">
        <f t="shared" si="2"/>
        <v>0</v>
      </c>
      <c r="AE14" s="110">
        <f t="shared" si="2"/>
        <v>0</v>
      </c>
      <c r="AF14" s="110">
        <f t="shared" si="2"/>
        <v>0</v>
      </c>
      <c r="AG14" s="110">
        <f t="shared" si="2"/>
        <v>0</v>
      </c>
      <c r="AH14" s="110">
        <f t="shared" si="2"/>
        <v>171.61339991679952</v>
      </c>
      <c r="AI14" s="110">
        <f t="shared" si="2"/>
        <v>0</v>
      </c>
      <c r="AJ14" s="110">
        <f t="shared" si="2"/>
        <v>0</v>
      </c>
      <c r="AK14" s="110">
        <f t="shared" si="2"/>
        <v>0</v>
      </c>
      <c r="AL14" s="110">
        <f t="shared" si="2"/>
        <v>0</v>
      </c>
      <c r="AM14" s="110">
        <f t="shared" si="2"/>
        <v>0</v>
      </c>
      <c r="AN14" s="110">
        <f t="shared" si="2"/>
        <v>0</v>
      </c>
      <c r="AO14" s="110">
        <f t="shared" si="2"/>
        <v>0</v>
      </c>
      <c r="AP14" s="110">
        <f t="shared" si="2"/>
        <v>0</v>
      </c>
      <c r="AQ14" s="110">
        <f t="shared" si="2"/>
        <v>0</v>
      </c>
      <c r="AR14" s="110">
        <f t="shared" si="2"/>
        <v>0</v>
      </c>
      <c r="AS14" s="110">
        <f t="shared" si="2"/>
        <v>0</v>
      </c>
      <c r="AT14" s="110">
        <f t="shared" si="2"/>
        <v>0</v>
      </c>
      <c r="AU14" s="110">
        <f t="shared" si="2"/>
        <v>171.61339991679952</v>
      </c>
      <c r="AV14" s="110">
        <f t="shared" si="2"/>
        <v>0</v>
      </c>
      <c r="AW14" s="110">
        <f t="shared" si="2"/>
        <v>0</v>
      </c>
      <c r="AX14" s="110">
        <f t="shared" si="2"/>
        <v>0</v>
      </c>
      <c r="AY14" s="110">
        <f t="shared" si="2"/>
        <v>0</v>
      </c>
      <c r="AZ14" s="113"/>
    </row>
    <row r="15" spans="1:52" x14ac:dyDescent="0.2">
      <c r="A15" s="114"/>
      <c r="B15" s="130">
        <v>3</v>
      </c>
      <c r="C15" s="114">
        <v>0</v>
      </c>
      <c r="D15" s="110">
        <f>IF(C$20="Yes",C14,0)</f>
        <v>0</v>
      </c>
      <c r="E15" s="110">
        <f t="shared" si="2"/>
        <v>0</v>
      </c>
      <c r="F15" s="110">
        <f t="shared" si="2"/>
        <v>0</v>
      </c>
      <c r="G15" s="110">
        <f t="shared" si="2"/>
        <v>0</v>
      </c>
      <c r="H15" s="110">
        <f t="shared" si="2"/>
        <v>0</v>
      </c>
      <c r="I15" s="110">
        <f t="shared" si="2"/>
        <v>0</v>
      </c>
      <c r="J15" s="110">
        <f t="shared" si="2"/>
        <v>0</v>
      </c>
      <c r="K15" s="110">
        <f t="shared" si="2"/>
        <v>0</v>
      </c>
      <c r="L15" s="110">
        <f t="shared" si="2"/>
        <v>0</v>
      </c>
      <c r="M15" s="110">
        <f t="shared" si="2"/>
        <v>0</v>
      </c>
      <c r="N15" s="110">
        <f t="shared" si="2"/>
        <v>0</v>
      </c>
      <c r="O15" s="110">
        <f t="shared" si="2"/>
        <v>0</v>
      </c>
      <c r="P15" s="110">
        <f t="shared" si="2"/>
        <v>0</v>
      </c>
      <c r="Q15" s="110">
        <f t="shared" si="2"/>
        <v>0</v>
      </c>
      <c r="R15" s="110">
        <f t="shared" si="2"/>
        <v>0</v>
      </c>
      <c r="S15" s="110">
        <f t="shared" si="2"/>
        <v>0</v>
      </c>
      <c r="T15" s="110">
        <f t="shared" si="2"/>
        <v>0</v>
      </c>
      <c r="U15" s="110">
        <f t="shared" si="2"/>
        <v>0</v>
      </c>
      <c r="V15" s="110">
        <f t="shared" si="2"/>
        <v>0</v>
      </c>
      <c r="W15" s="110">
        <f t="shared" si="2"/>
        <v>0</v>
      </c>
      <c r="X15" s="110">
        <f t="shared" si="2"/>
        <v>0</v>
      </c>
      <c r="Y15" s="110">
        <f t="shared" si="2"/>
        <v>0</v>
      </c>
      <c r="Z15" s="110">
        <f t="shared" si="2"/>
        <v>0</v>
      </c>
      <c r="AA15" s="110">
        <f t="shared" si="2"/>
        <v>0</v>
      </c>
      <c r="AB15" s="110">
        <f t="shared" si="2"/>
        <v>0</v>
      </c>
      <c r="AC15" s="110">
        <f t="shared" si="2"/>
        <v>0</v>
      </c>
      <c r="AD15" s="110">
        <f t="shared" si="2"/>
        <v>0</v>
      </c>
      <c r="AE15" s="110">
        <f t="shared" si="2"/>
        <v>0</v>
      </c>
      <c r="AF15" s="110">
        <f t="shared" si="2"/>
        <v>0</v>
      </c>
      <c r="AG15" s="110">
        <f t="shared" si="2"/>
        <v>0</v>
      </c>
      <c r="AH15" s="110">
        <f t="shared" si="2"/>
        <v>0</v>
      </c>
      <c r="AI15" s="110">
        <f t="shared" si="2"/>
        <v>0</v>
      </c>
      <c r="AJ15" s="110">
        <f t="shared" si="2"/>
        <v>0</v>
      </c>
      <c r="AK15" s="110">
        <f t="shared" si="2"/>
        <v>0</v>
      </c>
      <c r="AL15" s="110">
        <f t="shared" si="2"/>
        <v>0</v>
      </c>
      <c r="AM15" s="110">
        <f t="shared" si="2"/>
        <v>0</v>
      </c>
      <c r="AN15" s="110">
        <f t="shared" si="2"/>
        <v>0</v>
      </c>
      <c r="AO15" s="110">
        <f t="shared" si="2"/>
        <v>0</v>
      </c>
      <c r="AP15" s="110">
        <f t="shared" si="2"/>
        <v>0</v>
      </c>
      <c r="AQ15" s="110">
        <f t="shared" si="2"/>
        <v>0</v>
      </c>
      <c r="AR15" s="110">
        <f t="shared" si="2"/>
        <v>0</v>
      </c>
      <c r="AS15" s="110">
        <f t="shared" si="2"/>
        <v>0</v>
      </c>
      <c r="AT15" s="110">
        <f t="shared" si="2"/>
        <v>0</v>
      </c>
      <c r="AU15" s="110">
        <f t="shared" si="2"/>
        <v>0</v>
      </c>
      <c r="AV15" s="110">
        <f t="shared" si="2"/>
        <v>0</v>
      </c>
      <c r="AW15" s="110">
        <f t="shared" si="2"/>
        <v>0</v>
      </c>
      <c r="AX15" s="110">
        <f t="shared" si="2"/>
        <v>0</v>
      </c>
      <c r="AY15" s="110">
        <f t="shared" si="2"/>
        <v>0</v>
      </c>
      <c r="AZ15" s="113"/>
    </row>
    <row r="16" spans="1:52" x14ac:dyDescent="0.2">
      <c r="A16" s="114"/>
      <c r="B16" s="133">
        <v>4</v>
      </c>
      <c r="C16" s="114">
        <v>0</v>
      </c>
      <c r="D16" s="110">
        <f>IF(C$20="Yes",C15,0)</f>
        <v>0</v>
      </c>
      <c r="E16" s="110">
        <f t="shared" si="2"/>
        <v>0</v>
      </c>
      <c r="F16" s="110">
        <f t="shared" si="2"/>
        <v>0</v>
      </c>
      <c r="G16" s="110">
        <f t="shared" si="2"/>
        <v>0</v>
      </c>
      <c r="H16" s="110">
        <f t="shared" si="2"/>
        <v>0</v>
      </c>
      <c r="I16" s="110">
        <f t="shared" si="2"/>
        <v>0</v>
      </c>
      <c r="J16" s="110">
        <f t="shared" si="2"/>
        <v>0</v>
      </c>
      <c r="K16" s="110">
        <f t="shared" si="2"/>
        <v>0</v>
      </c>
      <c r="L16" s="110">
        <f t="shared" si="2"/>
        <v>0</v>
      </c>
      <c r="M16" s="110">
        <f t="shared" si="2"/>
        <v>0</v>
      </c>
      <c r="N16" s="110">
        <f t="shared" si="2"/>
        <v>0</v>
      </c>
      <c r="O16" s="110">
        <f t="shared" si="2"/>
        <v>0</v>
      </c>
      <c r="P16" s="110">
        <f t="shared" si="2"/>
        <v>0</v>
      </c>
      <c r="Q16" s="110">
        <f t="shared" si="2"/>
        <v>0</v>
      </c>
      <c r="R16" s="110">
        <f t="shared" si="2"/>
        <v>0</v>
      </c>
      <c r="S16" s="110">
        <f t="shared" si="2"/>
        <v>0</v>
      </c>
      <c r="T16" s="110">
        <f t="shared" si="2"/>
        <v>0</v>
      </c>
      <c r="U16" s="110">
        <f t="shared" si="2"/>
        <v>0</v>
      </c>
      <c r="V16" s="110">
        <f t="shared" si="2"/>
        <v>0</v>
      </c>
      <c r="W16" s="110">
        <f t="shared" si="2"/>
        <v>0</v>
      </c>
      <c r="X16" s="110">
        <f t="shared" si="2"/>
        <v>0</v>
      </c>
      <c r="Y16" s="110">
        <f t="shared" si="2"/>
        <v>0</v>
      </c>
      <c r="Z16" s="110">
        <f t="shared" si="2"/>
        <v>0</v>
      </c>
      <c r="AA16" s="110">
        <f t="shared" si="2"/>
        <v>0</v>
      </c>
      <c r="AB16" s="110">
        <f t="shared" si="2"/>
        <v>0</v>
      </c>
      <c r="AC16" s="110">
        <f t="shared" si="2"/>
        <v>0</v>
      </c>
      <c r="AD16" s="110">
        <f t="shared" si="2"/>
        <v>0</v>
      </c>
      <c r="AE16" s="110">
        <f t="shared" si="2"/>
        <v>0</v>
      </c>
      <c r="AF16" s="110">
        <f t="shared" si="2"/>
        <v>0</v>
      </c>
      <c r="AG16" s="110">
        <f t="shared" si="2"/>
        <v>0</v>
      </c>
      <c r="AH16" s="110">
        <f t="shared" si="2"/>
        <v>0</v>
      </c>
      <c r="AI16" s="110">
        <f t="shared" si="2"/>
        <v>0</v>
      </c>
      <c r="AJ16" s="110">
        <f t="shared" si="2"/>
        <v>0</v>
      </c>
      <c r="AK16" s="110">
        <f t="shared" si="2"/>
        <v>0</v>
      </c>
      <c r="AL16" s="110">
        <f t="shared" si="2"/>
        <v>0</v>
      </c>
      <c r="AM16" s="110">
        <f t="shared" si="2"/>
        <v>0</v>
      </c>
      <c r="AN16" s="110">
        <f t="shared" si="2"/>
        <v>0</v>
      </c>
      <c r="AO16" s="110">
        <f t="shared" si="2"/>
        <v>0</v>
      </c>
      <c r="AP16" s="110">
        <f t="shared" si="2"/>
        <v>0</v>
      </c>
      <c r="AQ16" s="110">
        <f t="shared" si="2"/>
        <v>0</v>
      </c>
      <c r="AR16" s="110">
        <f t="shared" si="2"/>
        <v>0</v>
      </c>
      <c r="AS16" s="110">
        <f t="shared" si="2"/>
        <v>0</v>
      </c>
      <c r="AT16" s="110">
        <f t="shared" si="2"/>
        <v>0</v>
      </c>
      <c r="AU16" s="110">
        <f t="shared" si="2"/>
        <v>0</v>
      </c>
      <c r="AV16" s="110">
        <f t="shared" si="2"/>
        <v>0</v>
      </c>
      <c r="AW16" s="110">
        <f t="shared" si="2"/>
        <v>0</v>
      </c>
      <c r="AX16" s="110">
        <f t="shared" si="2"/>
        <v>0</v>
      </c>
      <c r="AY16" s="110">
        <f t="shared" si="2"/>
        <v>0</v>
      </c>
      <c r="AZ16" s="131"/>
    </row>
    <row r="17" spans="1:52" x14ac:dyDescent="0.2">
      <c r="A17" s="128"/>
      <c r="B17" s="135" t="s">
        <v>296</v>
      </c>
      <c r="C17" s="128">
        <v>0</v>
      </c>
      <c r="D17" s="117">
        <f>IF(C$20="Yes",C16,0)</f>
        <v>0</v>
      </c>
      <c r="E17" s="117">
        <f t="shared" si="2"/>
        <v>0</v>
      </c>
      <c r="F17" s="117">
        <f t="shared" si="2"/>
        <v>0</v>
      </c>
      <c r="G17" s="117">
        <f t="shared" si="2"/>
        <v>0</v>
      </c>
      <c r="H17" s="117">
        <f t="shared" si="2"/>
        <v>0</v>
      </c>
      <c r="I17" s="117">
        <f t="shared" si="2"/>
        <v>0</v>
      </c>
      <c r="J17" s="117">
        <f t="shared" si="2"/>
        <v>0</v>
      </c>
      <c r="K17" s="117">
        <f t="shared" si="2"/>
        <v>0</v>
      </c>
      <c r="L17" s="117">
        <f t="shared" si="2"/>
        <v>0</v>
      </c>
      <c r="M17" s="117">
        <f t="shared" si="2"/>
        <v>0</v>
      </c>
      <c r="N17" s="117">
        <f t="shared" si="2"/>
        <v>0</v>
      </c>
      <c r="O17" s="117">
        <f t="shared" si="2"/>
        <v>0</v>
      </c>
      <c r="P17" s="117">
        <f t="shared" si="2"/>
        <v>0</v>
      </c>
      <c r="Q17" s="117">
        <f t="shared" si="2"/>
        <v>0</v>
      </c>
      <c r="R17" s="117">
        <f t="shared" si="2"/>
        <v>0</v>
      </c>
      <c r="S17" s="117">
        <f t="shared" si="2"/>
        <v>0</v>
      </c>
      <c r="T17" s="117">
        <f t="shared" si="2"/>
        <v>0</v>
      </c>
      <c r="U17" s="117">
        <f t="shared" si="2"/>
        <v>0</v>
      </c>
      <c r="V17" s="117">
        <f t="shared" si="2"/>
        <v>0</v>
      </c>
      <c r="W17" s="117">
        <f t="shared" si="2"/>
        <v>0</v>
      </c>
      <c r="X17" s="117">
        <f t="shared" si="2"/>
        <v>0</v>
      </c>
      <c r="Y17" s="117">
        <f t="shared" si="2"/>
        <v>0</v>
      </c>
      <c r="Z17" s="117">
        <f t="shared" si="2"/>
        <v>0</v>
      </c>
      <c r="AA17" s="117">
        <f t="shared" si="2"/>
        <v>0</v>
      </c>
      <c r="AB17" s="117">
        <f t="shared" si="2"/>
        <v>0</v>
      </c>
      <c r="AC17" s="117">
        <f t="shared" si="2"/>
        <v>0</v>
      </c>
      <c r="AD17" s="117">
        <f t="shared" si="2"/>
        <v>0</v>
      </c>
      <c r="AE17" s="117">
        <f t="shared" si="2"/>
        <v>0</v>
      </c>
      <c r="AF17" s="117">
        <f t="shared" si="2"/>
        <v>0</v>
      </c>
      <c r="AG17" s="117">
        <f t="shared" si="2"/>
        <v>0</v>
      </c>
      <c r="AH17" s="117">
        <f t="shared" si="2"/>
        <v>0</v>
      </c>
      <c r="AI17" s="117">
        <f t="shared" si="2"/>
        <v>0</v>
      </c>
      <c r="AJ17" s="117">
        <f t="shared" si="2"/>
        <v>0</v>
      </c>
      <c r="AK17" s="117">
        <f t="shared" si="2"/>
        <v>0</v>
      </c>
      <c r="AL17" s="117">
        <f t="shared" si="2"/>
        <v>0</v>
      </c>
      <c r="AM17" s="117">
        <f t="shared" si="2"/>
        <v>0</v>
      </c>
      <c r="AN17" s="117">
        <f t="shared" si="2"/>
        <v>0</v>
      </c>
      <c r="AO17" s="117">
        <f t="shared" si="2"/>
        <v>0</v>
      </c>
      <c r="AP17" s="117">
        <f t="shared" si="2"/>
        <v>0</v>
      </c>
      <c r="AQ17" s="117">
        <f t="shared" si="2"/>
        <v>0</v>
      </c>
      <c r="AR17" s="117">
        <f t="shared" si="2"/>
        <v>0</v>
      </c>
      <c r="AS17" s="117">
        <f t="shared" si="2"/>
        <v>0</v>
      </c>
      <c r="AT17" s="117">
        <f t="shared" si="2"/>
        <v>0</v>
      </c>
      <c r="AU17" s="117">
        <f t="shared" si="2"/>
        <v>0</v>
      </c>
      <c r="AV17" s="117">
        <f t="shared" si="2"/>
        <v>0</v>
      </c>
      <c r="AW17" s="117">
        <f t="shared" si="2"/>
        <v>0</v>
      </c>
      <c r="AX17" s="117">
        <f t="shared" si="2"/>
        <v>0</v>
      </c>
      <c r="AY17" s="117">
        <f t="shared" si="2"/>
        <v>0</v>
      </c>
      <c r="AZ17" s="154">
        <f>SUM($D$17:$AY$17)</f>
        <v>0</v>
      </c>
    </row>
    <row r="18" spans="1:52" x14ac:dyDescent="0.2">
      <c r="A18" s="110"/>
      <c r="B18" s="156"/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1"/>
      <c r="AX18" s="141"/>
      <c r="AY18" s="141"/>
      <c r="AZ18" s="110"/>
    </row>
    <row r="19" spans="1:52" x14ac:dyDescent="0.2">
      <c r="A19" s="1" t="s">
        <v>116</v>
      </c>
      <c r="B19" s="110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</row>
    <row r="20" spans="1:52" s="114" customFormat="1" x14ac:dyDescent="0.2">
      <c r="A20" s="118" t="s">
        <v>305</v>
      </c>
      <c r="B20" s="157" t="s">
        <v>306</v>
      </c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0"/>
      <c r="T20" s="120"/>
      <c r="U20" s="120"/>
      <c r="V20" s="120"/>
      <c r="W20" s="120" t="s">
        <v>339</v>
      </c>
      <c r="X20" s="120"/>
      <c r="Y20" s="120"/>
      <c r="Z20" s="120"/>
      <c r="AA20" s="120"/>
      <c r="AB20" s="120"/>
      <c r="AC20" s="120"/>
      <c r="AD20" s="120"/>
      <c r="AE20" s="120"/>
      <c r="AF20" s="120"/>
      <c r="AG20" s="120" t="s">
        <v>339</v>
      </c>
      <c r="AH20" s="120"/>
      <c r="AI20" s="120"/>
      <c r="AJ20" s="120"/>
      <c r="AK20" s="120"/>
      <c r="AL20" s="120"/>
      <c r="AM20" s="120"/>
      <c r="AN20" s="120"/>
      <c r="AO20" s="120"/>
      <c r="AP20" s="120"/>
      <c r="AQ20" s="120"/>
      <c r="AR20" s="120"/>
      <c r="AS20" s="120"/>
      <c r="AT20" s="120" t="s">
        <v>339</v>
      </c>
      <c r="AU20" s="120"/>
      <c r="AV20" s="120"/>
      <c r="AW20" s="120"/>
      <c r="AX20" s="120"/>
      <c r="AY20" s="120"/>
      <c r="AZ20" s="111"/>
    </row>
    <row r="21" spans="1:52" s="114" customFormat="1" x14ac:dyDescent="0.2">
      <c r="A21" s="158" t="s">
        <v>133</v>
      </c>
      <c r="B21" s="159">
        <f>shipping_manufacturing!$C$19/100</f>
        <v>1</v>
      </c>
      <c r="C21" s="159" t="s">
        <v>293</v>
      </c>
      <c r="D21" s="110">
        <f>IF(C$20="Yes",0,SUM(C$13:C$16)*$B$21)</f>
        <v>320.4677712891235</v>
      </c>
      <c r="E21" s="110">
        <f t="shared" ref="E21:AY21" si="3">IF(D$20="Yes",0,SUM(D$13:D$16)*$B$21)</f>
        <v>171.61339991679952</v>
      </c>
      <c r="F21" s="110">
        <f t="shared" si="3"/>
        <v>171.61339991679952</v>
      </c>
      <c r="G21" s="110">
        <f t="shared" si="3"/>
        <v>171.61339991679952</v>
      </c>
      <c r="H21" s="110">
        <f t="shared" si="3"/>
        <v>171.61339991679952</v>
      </c>
      <c r="I21" s="110">
        <f t="shared" si="3"/>
        <v>171.61339991679952</v>
      </c>
      <c r="J21" s="110">
        <f t="shared" si="3"/>
        <v>171.61339991679952</v>
      </c>
      <c r="K21" s="110">
        <f t="shared" si="3"/>
        <v>171.61339991679952</v>
      </c>
      <c r="L21" s="110">
        <f t="shared" si="3"/>
        <v>171.61339991679952</v>
      </c>
      <c r="M21" s="110">
        <f t="shared" si="3"/>
        <v>171.61339991679952</v>
      </c>
      <c r="N21" s="110">
        <f t="shared" si="3"/>
        <v>171.61339991679952</v>
      </c>
      <c r="O21" s="110">
        <f t="shared" si="3"/>
        <v>171.61339991679952</v>
      </c>
      <c r="P21" s="110">
        <f t="shared" si="3"/>
        <v>171.61339991679952</v>
      </c>
      <c r="Q21" s="110">
        <f t="shared" si="3"/>
        <v>171.61339991679952</v>
      </c>
      <c r="R21" s="110">
        <f t="shared" si="3"/>
        <v>171.61339991679952</v>
      </c>
      <c r="S21" s="110">
        <f t="shared" si="3"/>
        <v>171.61339991679952</v>
      </c>
      <c r="T21" s="110">
        <f t="shared" si="3"/>
        <v>171.61339991679952</v>
      </c>
      <c r="U21" s="110">
        <f t="shared" si="3"/>
        <v>171.61339991679952</v>
      </c>
      <c r="V21" s="110">
        <f t="shared" si="3"/>
        <v>171.61339991679952</v>
      </c>
      <c r="W21" s="110">
        <f t="shared" si="3"/>
        <v>171.61339991679952</v>
      </c>
      <c r="X21" s="110">
        <f t="shared" si="3"/>
        <v>0</v>
      </c>
      <c r="Y21" s="110">
        <f t="shared" si="3"/>
        <v>343.22679983359905</v>
      </c>
      <c r="Z21" s="110">
        <f t="shared" si="3"/>
        <v>171.61339991679952</v>
      </c>
      <c r="AA21" s="110">
        <f t="shared" si="3"/>
        <v>171.61339991679952</v>
      </c>
      <c r="AB21" s="110">
        <f t="shared" si="3"/>
        <v>171.61339991679952</v>
      </c>
      <c r="AC21" s="110">
        <f t="shared" si="3"/>
        <v>171.61339991679952</v>
      </c>
      <c r="AD21" s="110">
        <f t="shared" si="3"/>
        <v>171.61339991679952</v>
      </c>
      <c r="AE21" s="110">
        <f t="shared" si="3"/>
        <v>171.61339991679952</v>
      </c>
      <c r="AF21" s="110">
        <f t="shared" si="3"/>
        <v>171.61339991679952</v>
      </c>
      <c r="AG21" s="110">
        <f t="shared" si="3"/>
        <v>171.61339991679952</v>
      </c>
      <c r="AH21" s="110">
        <f t="shared" si="3"/>
        <v>0</v>
      </c>
      <c r="AI21" s="110">
        <f t="shared" si="3"/>
        <v>343.22679983359905</v>
      </c>
      <c r="AJ21" s="110">
        <f t="shared" si="3"/>
        <v>171.61339991679952</v>
      </c>
      <c r="AK21" s="110">
        <f t="shared" si="3"/>
        <v>171.61339991679952</v>
      </c>
      <c r="AL21" s="110">
        <f t="shared" si="3"/>
        <v>171.61339991679952</v>
      </c>
      <c r="AM21" s="110">
        <f t="shared" si="3"/>
        <v>171.61339991679952</v>
      </c>
      <c r="AN21" s="110">
        <f t="shared" si="3"/>
        <v>171.61339991679952</v>
      </c>
      <c r="AO21" s="110">
        <f t="shared" si="3"/>
        <v>171.61339991679952</v>
      </c>
      <c r="AP21" s="110">
        <f t="shared" si="3"/>
        <v>171.61339991679952</v>
      </c>
      <c r="AQ21" s="110">
        <f t="shared" si="3"/>
        <v>171.61339991679952</v>
      </c>
      <c r="AR21" s="110">
        <f t="shared" si="3"/>
        <v>171.61339991679952</v>
      </c>
      <c r="AS21" s="110">
        <f t="shared" si="3"/>
        <v>171.61339991679952</v>
      </c>
      <c r="AT21" s="110">
        <f t="shared" si="3"/>
        <v>171.61339991679952</v>
      </c>
      <c r="AU21" s="110">
        <f t="shared" si="3"/>
        <v>0</v>
      </c>
      <c r="AV21" s="110">
        <f t="shared" si="3"/>
        <v>343.22679983359905</v>
      </c>
      <c r="AW21" s="110">
        <f t="shared" si="3"/>
        <v>171.61339991679952</v>
      </c>
      <c r="AX21" s="110">
        <f t="shared" si="3"/>
        <v>171.61339991679952</v>
      </c>
      <c r="AY21" s="110">
        <f t="shared" si="3"/>
        <v>171.61339991679952</v>
      </c>
      <c r="AZ21" s="160">
        <f>SUM($D21:$AY21)</f>
        <v>8386.2975673787041</v>
      </c>
    </row>
    <row r="22" spans="1:52" s="114" customFormat="1" x14ac:dyDescent="0.2">
      <c r="A22" s="161" t="s">
        <v>123</v>
      </c>
      <c r="B22" s="162">
        <f>1-$B$21</f>
        <v>0</v>
      </c>
      <c r="C22" s="162" t="s">
        <v>293</v>
      </c>
      <c r="D22" s="117">
        <f>IF(C$20="Yes",0,SUM(C$13:C$16)*$B$22)</f>
        <v>0</v>
      </c>
      <c r="E22" s="117">
        <f t="shared" ref="E22:AY22" si="4">IF(D$20="Yes",0,SUM(D$13:D$16)*$B$22)</f>
        <v>0</v>
      </c>
      <c r="F22" s="117">
        <f t="shared" si="4"/>
        <v>0</v>
      </c>
      <c r="G22" s="117">
        <f t="shared" si="4"/>
        <v>0</v>
      </c>
      <c r="H22" s="117">
        <f t="shared" si="4"/>
        <v>0</v>
      </c>
      <c r="I22" s="117">
        <f t="shared" si="4"/>
        <v>0</v>
      </c>
      <c r="J22" s="117">
        <f t="shared" si="4"/>
        <v>0</v>
      </c>
      <c r="K22" s="117">
        <f t="shared" si="4"/>
        <v>0</v>
      </c>
      <c r="L22" s="117">
        <f t="shared" si="4"/>
        <v>0</v>
      </c>
      <c r="M22" s="117">
        <f t="shared" si="4"/>
        <v>0</v>
      </c>
      <c r="N22" s="117">
        <f t="shared" si="4"/>
        <v>0</v>
      </c>
      <c r="O22" s="117">
        <f t="shared" si="4"/>
        <v>0</v>
      </c>
      <c r="P22" s="117">
        <f t="shared" si="4"/>
        <v>0</v>
      </c>
      <c r="Q22" s="117">
        <f t="shared" si="4"/>
        <v>0</v>
      </c>
      <c r="R22" s="117">
        <f t="shared" si="4"/>
        <v>0</v>
      </c>
      <c r="S22" s="117">
        <f t="shared" si="4"/>
        <v>0</v>
      </c>
      <c r="T22" s="117">
        <f t="shared" si="4"/>
        <v>0</v>
      </c>
      <c r="U22" s="117">
        <f t="shared" si="4"/>
        <v>0</v>
      </c>
      <c r="V22" s="117">
        <f t="shared" si="4"/>
        <v>0</v>
      </c>
      <c r="W22" s="117">
        <f t="shared" si="4"/>
        <v>0</v>
      </c>
      <c r="X22" s="117">
        <f t="shared" si="4"/>
        <v>0</v>
      </c>
      <c r="Y22" s="117">
        <f t="shared" si="4"/>
        <v>0</v>
      </c>
      <c r="Z22" s="117">
        <f t="shared" si="4"/>
        <v>0</v>
      </c>
      <c r="AA22" s="117">
        <f t="shared" si="4"/>
        <v>0</v>
      </c>
      <c r="AB22" s="117">
        <f t="shared" si="4"/>
        <v>0</v>
      </c>
      <c r="AC22" s="117">
        <f t="shared" si="4"/>
        <v>0</v>
      </c>
      <c r="AD22" s="117">
        <f t="shared" si="4"/>
        <v>0</v>
      </c>
      <c r="AE22" s="117">
        <f t="shared" si="4"/>
        <v>0</v>
      </c>
      <c r="AF22" s="117">
        <f t="shared" si="4"/>
        <v>0</v>
      </c>
      <c r="AG22" s="117">
        <f t="shared" si="4"/>
        <v>0</v>
      </c>
      <c r="AH22" s="117">
        <f t="shared" si="4"/>
        <v>0</v>
      </c>
      <c r="AI22" s="117">
        <f t="shared" si="4"/>
        <v>0</v>
      </c>
      <c r="AJ22" s="117">
        <f t="shared" si="4"/>
        <v>0</v>
      </c>
      <c r="AK22" s="117">
        <f t="shared" si="4"/>
        <v>0</v>
      </c>
      <c r="AL22" s="117">
        <f t="shared" si="4"/>
        <v>0</v>
      </c>
      <c r="AM22" s="117">
        <f t="shared" si="4"/>
        <v>0</v>
      </c>
      <c r="AN22" s="117">
        <f t="shared" si="4"/>
        <v>0</v>
      </c>
      <c r="AO22" s="117">
        <f t="shared" si="4"/>
        <v>0</v>
      </c>
      <c r="AP22" s="117">
        <f t="shared" si="4"/>
        <v>0</v>
      </c>
      <c r="AQ22" s="117">
        <f t="shared" si="4"/>
        <v>0</v>
      </c>
      <c r="AR22" s="117">
        <f t="shared" si="4"/>
        <v>0</v>
      </c>
      <c r="AS22" s="117">
        <f t="shared" si="4"/>
        <v>0</v>
      </c>
      <c r="AT22" s="117">
        <f t="shared" si="4"/>
        <v>0</v>
      </c>
      <c r="AU22" s="117">
        <f t="shared" si="4"/>
        <v>0</v>
      </c>
      <c r="AV22" s="117">
        <f t="shared" si="4"/>
        <v>0</v>
      </c>
      <c r="AW22" s="117">
        <f t="shared" si="4"/>
        <v>0</v>
      </c>
      <c r="AX22" s="117">
        <f t="shared" si="4"/>
        <v>0</v>
      </c>
      <c r="AY22" s="117">
        <f t="shared" si="4"/>
        <v>0</v>
      </c>
      <c r="AZ22" s="144">
        <f t="shared" ref="AZ22:AZ30" si="5">SUM($D22:$AY22)</f>
        <v>0</v>
      </c>
    </row>
    <row r="23" spans="1:52" x14ac:dyDescent="0.2">
      <c r="A23" s="163" t="s">
        <v>307</v>
      </c>
      <c r="B23" s="127">
        <v>2000</v>
      </c>
      <c r="C23" t="s">
        <v>293</v>
      </c>
      <c r="D23">
        <f>D$21*$B$23</f>
        <v>640935.54257824703</v>
      </c>
      <c r="E23">
        <f t="shared" ref="E23:AY23" si="6">E$21*$B$23</f>
        <v>343226.79983359907</v>
      </c>
      <c r="F23">
        <f t="shared" si="6"/>
        <v>343226.79983359907</v>
      </c>
      <c r="G23">
        <f t="shared" si="6"/>
        <v>343226.79983359907</v>
      </c>
      <c r="H23">
        <f t="shared" si="6"/>
        <v>343226.79983359907</v>
      </c>
      <c r="I23">
        <f t="shared" si="6"/>
        <v>343226.79983359907</v>
      </c>
      <c r="J23">
        <f t="shared" si="6"/>
        <v>343226.79983359907</v>
      </c>
      <c r="K23">
        <f t="shared" si="6"/>
        <v>343226.79983359907</v>
      </c>
      <c r="L23">
        <f t="shared" si="6"/>
        <v>343226.79983359907</v>
      </c>
      <c r="M23">
        <f t="shared" si="6"/>
        <v>343226.79983359907</v>
      </c>
      <c r="N23">
        <f t="shared" si="6"/>
        <v>343226.79983359907</v>
      </c>
      <c r="O23">
        <f t="shared" si="6"/>
        <v>343226.79983359907</v>
      </c>
      <c r="P23">
        <f t="shared" si="6"/>
        <v>343226.79983359907</v>
      </c>
      <c r="Q23">
        <f t="shared" si="6"/>
        <v>343226.79983359907</v>
      </c>
      <c r="R23">
        <f t="shared" si="6"/>
        <v>343226.79983359907</v>
      </c>
      <c r="S23">
        <f t="shared" si="6"/>
        <v>343226.79983359907</v>
      </c>
      <c r="T23">
        <f t="shared" si="6"/>
        <v>343226.79983359907</v>
      </c>
      <c r="U23">
        <f t="shared" si="6"/>
        <v>343226.79983359907</v>
      </c>
      <c r="V23">
        <f t="shared" si="6"/>
        <v>343226.79983359907</v>
      </c>
      <c r="W23">
        <f t="shared" si="6"/>
        <v>343226.79983359907</v>
      </c>
      <c r="X23">
        <f t="shared" si="6"/>
        <v>0</v>
      </c>
      <c r="Y23">
        <f t="shared" si="6"/>
        <v>686453.59966719814</v>
      </c>
      <c r="Z23">
        <f t="shared" si="6"/>
        <v>343226.79983359907</v>
      </c>
      <c r="AA23">
        <f t="shared" si="6"/>
        <v>343226.79983359907</v>
      </c>
      <c r="AB23">
        <f t="shared" si="6"/>
        <v>343226.79983359907</v>
      </c>
      <c r="AC23">
        <f t="shared" si="6"/>
        <v>343226.79983359907</v>
      </c>
      <c r="AD23">
        <f t="shared" si="6"/>
        <v>343226.79983359907</v>
      </c>
      <c r="AE23">
        <f t="shared" si="6"/>
        <v>343226.79983359907</v>
      </c>
      <c r="AF23">
        <f t="shared" si="6"/>
        <v>343226.79983359907</v>
      </c>
      <c r="AG23">
        <f t="shared" si="6"/>
        <v>343226.79983359907</v>
      </c>
      <c r="AH23">
        <f t="shared" si="6"/>
        <v>0</v>
      </c>
      <c r="AI23">
        <f t="shared" si="6"/>
        <v>686453.59966719814</v>
      </c>
      <c r="AJ23">
        <f t="shared" si="6"/>
        <v>343226.79983359907</v>
      </c>
      <c r="AK23">
        <f t="shared" si="6"/>
        <v>343226.79983359907</v>
      </c>
      <c r="AL23">
        <f t="shared" si="6"/>
        <v>343226.79983359907</v>
      </c>
      <c r="AM23">
        <f t="shared" si="6"/>
        <v>343226.79983359907</v>
      </c>
      <c r="AN23">
        <f t="shared" si="6"/>
        <v>343226.79983359907</v>
      </c>
      <c r="AO23">
        <f t="shared" si="6"/>
        <v>343226.79983359907</v>
      </c>
      <c r="AP23">
        <f t="shared" si="6"/>
        <v>343226.79983359907</v>
      </c>
      <c r="AQ23">
        <f t="shared" si="6"/>
        <v>343226.79983359907</v>
      </c>
      <c r="AR23">
        <f t="shared" si="6"/>
        <v>343226.79983359907</v>
      </c>
      <c r="AS23">
        <f t="shared" si="6"/>
        <v>343226.79983359907</v>
      </c>
      <c r="AT23">
        <f t="shared" si="6"/>
        <v>343226.79983359907</v>
      </c>
      <c r="AU23">
        <f t="shared" si="6"/>
        <v>0</v>
      </c>
      <c r="AV23">
        <f t="shared" si="6"/>
        <v>686453.59966719814</v>
      </c>
      <c r="AW23">
        <f t="shared" si="6"/>
        <v>343226.79983359907</v>
      </c>
      <c r="AX23">
        <f t="shared" si="6"/>
        <v>343226.79983359907</v>
      </c>
      <c r="AY23">
        <f t="shared" si="6"/>
        <v>343226.79983359907</v>
      </c>
      <c r="AZ23" s="142">
        <f t="shared" si="5"/>
        <v>16772595.134757416</v>
      </c>
    </row>
    <row r="24" spans="1:52" s="114" customFormat="1" x14ac:dyDescent="0.2">
      <c r="A24" s="164" t="s">
        <v>308</v>
      </c>
      <c r="B24" s="165">
        <v>1000</v>
      </c>
      <c r="C24" s="159" t="s">
        <v>293</v>
      </c>
      <c r="D24" s="110">
        <f>D$22*$B$24</f>
        <v>0</v>
      </c>
      <c r="E24" s="110">
        <f t="shared" ref="E24:AY24" si="7">E$22*$B$24</f>
        <v>0</v>
      </c>
      <c r="F24" s="110">
        <f t="shared" si="7"/>
        <v>0</v>
      </c>
      <c r="G24" s="110">
        <f t="shared" si="7"/>
        <v>0</v>
      </c>
      <c r="H24" s="110">
        <f t="shared" si="7"/>
        <v>0</v>
      </c>
      <c r="I24" s="110">
        <f t="shared" si="7"/>
        <v>0</v>
      </c>
      <c r="J24" s="110">
        <f t="shared" si="7"/>
        <v>0</v>
      </c>
      <c r="K24" s="110">
        <f t="shared" si="7"/>
        <v>0</v>
      </c>
      <c r="L24" s="110">
        <f t="shared" si="7"/>
        <v>0</v>
      </c>
      <c r="M24" s="110">
        <f t="shared" si="7"/>
        <v>0</v>
      </c>
      <c r="N24" s="110">
        <f t="shared" si="7"/>
        <v>0</v>
      </c>
      <c r="O24" s="110">
        <f t="shared" si="7"/>
        <v>0</v>
      </c>
      <c r="P24" s="110">
        <f t="shared" si="7"/>
        <v>0</v>
      </c>
      <c r="Q24" s="110">
        <f t="shared" si="7"/>
        <v>0</v>
      </c>
      <c r="R24" s="110">
        <f t="shared" si="7"/>
        <v>0</v>
      </c>
      <c r="S24" s="110">
        <f t="shared" si="7"/>
        <v>0</v>
      </c>
      <c r="T24" s="110">
        <f t="shared" si="7"/>
        <v>0</v>
      </c>
      <c r="U24" s="110">
        <f t="shared" si="7"/>
        <v>0</v>
      </c>
      <c r="V24" s="110">
        <f t="shared" si="7"/>
        <v>0</v>
      </c>
      <c r="W24" s="110">
        <f t="shared" si="7"/>
        <v>0</v>
      </c>
      <c r="X24" s="110">
        <f t="shared" si="7"/>
        <v>0</v>
      </c>
      <c r="Y24" s="110">
        <f t="shared" si="7"/>
        <v>0</v>
      </c>
      <c r="Z24" s="110">
        <f t="shared" si="7"/>
        <v>0</v>
      </c>
      <c r="AA24" s="110">
        <f t="shared" si="7"/>
        <v>0</v>
      </c>
      <c r="AB24" s="110">
        <f t="shared" si="7"/>
        <v>0</v>
      </c>
      <c r="AC24" s="110">
        <f t="shared" si="7"/>
        <v>0</v>
      </c>
      <c r="AD24" s="110">
        <f t="shared" si="7"/>
        <v>0</v>
      </c>
      <c r="AE24" s="110">
        <f t="shared" si="7"/>
        <v>0</v>
      </c>
      <c r="AF24" s="110">
        <f t="shared" si="7"/>
        <v>0</v>
      </c>
      <c r="AG24" s="110">
        <f t="shared" si="7"/>
        <v>0</v>
      </c>
      <c r="AH24" s="110">
        <f t="shared" si="7"/>
        <v>0</v>
      </c>
      <c r="AI24" s="110">
        <f t="shared" si="7"/>
        <v>0</v>
      </c>
      <c r="AJ24" s="110">
        <f t="shared" si="7"/>
        <v>0</v>
      </c>
      <c r="AK24" s="110">
        <f t="shared" si="7"/>
        <v>0</v>
      </c>
      <c r="AL24" s="110">
        <f t="shared" si="7"/>
        <v>0</v>
      </c>
      <c r="AM24" s="110">
        <f t="shared" si="7"/>
        <v>0</v>
      </c>
      <c r="AN24" s="110">
        <f t="shared" si="7"/>
        <v>0</v>
      </c>
      <c r="AO24" s="110">
        <f t="shared" si="7"/>
        <v>0</v>
      </c>
      <c r="AP24" s="110">
        <f t="shared" si="7"/>
        <v>0</v>
      </c>
      <c r="AQ24" s="110">
        <f t="shared" si="7"/>
        <v>0</v>
      </c>
      <c r="AR24" s="110">
        <f t="shared" si="7"/>
        <v>0</v>
      </c>
      <c r="AS24" s="110">
        <f t="shared" si="7"/>
        <v>0</v>
      </c>
      <c r="AT24" s="110">
        <f t="shared" si="7"/>
        <v>0</v>
      </c>
      <c r="AU24" s="110">
        <f t="shared" si="7"/>
        <v>0</v>
      </c>
      <c r="AV24" s="110">
        <f t="shared" si="7"/>
        <v>0</v>
      </c>
      <c r="AW24" s="110">
        <f t="shared" si="7"/>
        <v>0</v>
      </c>
      <c r="AX24" s="110">
        <f t="shared" si="7"/>
        <v>0</v>
      </c>
      <c r="AY24" s="110">
        <f t="shared" si="7"/>
        <v>0</v>
      </c>
      <c r="AZ24" s="144">
        <f t="shared" si="5"/>
        <v>0</v>
      </c>
    </row>
    <row r="25" spans="1:52" x14ac:dyDescent="0.2"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  <c r="AH25" s="141"/>
      <c r="AI25" s="141"/>
      <c r="AJ25" s="141"/>
      <c r="AK25" s="141"/>
      <c r="AL25" s="141"/>
      <c r="AM25" s="141"/>
      <c r="AN25" s="141"/>
      <c r="AO25" s="141"/>
      <c r="AP25" s="141"/>
      <c r="AQ25" s="141"/>
      <c r="AR25" s="141"/>
      <c r="AS25" s="141"/>
      <c r="AT25" s="141"/>
      <c r="AU25" s="141"/>
      <c r="AV25" s="141"/>
      <c r="AW25" s="141"/>
      <c r="AX25" s="141"/>
      <c r="AY25" s="141"/>
      <c r="AZ25" s="110"/>
    </row>
    <row r="26" spans="1:52" x14ac:dyDescent="0.2">
      <c r="A26" s="166" t="s">
        <v>18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</row>
    <row r="27" spans="1:52" x14ac:dyDescent="0.2">
      <c r="B27" s="138" t="s">
        <v>309</v>
      </c>
      <c r="C27" s="127">
        <v>11</v>
      </c>
      <c r="D27" s="127">
        <f>C$27-C$28+C$29</f>
        <v>11</v>
      </c>
      <c r="E27" s="127">
        <f t="shared" ref="E27:AY27" si="8">D27-D28+D29</f>
        <v>11</v>
      </c>
      <c r="F27" s="127">
        <f t="shared" si="8"/>
        <v>16</v>
      </c>
      <c r="G27" s="127">
        <f t="shared" si="8"/>
        <v>16</v>
      </c>
      <c r="H27" s="127">
        <f t="shared" si="8"/>
        <v>16</v>
      </c>
      <c r="I27" s="127">
        <f t="shared" si="8"/>
        <v>16</v>
      </c>
      <c r="J27" s="127">
        <f t="shared" si="8"/>
        <v>16</v>
      </c>
      <c r="K27" s="127">
        <f t="shared" si="8"/>
        <v>16</v>
      </c>
      <c r="L27" s="127">
        <f t="shared" si="8"/>
        <v>16</v>
      </c>
      <c r="M27" s="127">
        <f t="shared" si="8"/>
        <v>16</v>
      </c>
      <c r="N27" s="127">
        <f t="shared" si="8"/>
        <v>16</v>
      </c>
      <c r="O27" s="127">
        <f t="shared" si="8"/>
        <v>16</v>
      </c>
      <c r="P27" s="127">
        <f t="shared" si="8"/>
        <v>16</v>
      </c>
      <c r="Q27" s="127">
        <f t="shared" si="8"/>
        <v>16</v>
      </c>
      <c r="R27" s="127">
        <f t="shared" si="8"/>
        <v>16</v>
      </c>
      <c r="S27" s="127">
        <f t="shared" si="8"/>
        <v>16</v>
      </c>
      <c r="T27" s="127">
        <f t="shared" si="8"/>
        <v>16</v>
      </c>
      <c r="U27" s="127">
        <f t="shared" si="8"/>
        <v>16</v>
      </c>
      <c r="V27" s="127">
        <f t="shared" si="8"/>
        <v>16</v>
      </c>
      <c r="W27" s="127">
        <f t="shared" si="8"/>
        <v>16</v>
      </c>
      <c r="X27" s="127">
        <f t="shared" si="8"/>
        <v>16</v>
      </c>
      <c r="Y27" s="127">
        <f t="shared" si="8"/>
        <v>22</v>
      </c>
      <c r="Z27" s="127">
        <f t="shared" si="8"/>
        <v>10</v>
      </c>
      <c r="AA27" s="127">
        <f t="shared" si="8"/>
        <v>16</v>
      </c>
      <c r="AB27" s="127">
        <f t="shared" si="8"/>
        <v>16</v>
      </c>
      <c r="AC27" s="127">
        <f t="shared" si="8"/>
        <v>16</v>
      </c>
      <c r="AD27" s="127">
        <f t="shared" si="8"/>
        <v>16</v>
      </c>
      <c r="AE27" s="127">
        <f t="shared" si="8"/>
        <v>16</v>
      </c>
      <c r="AF27" s="127">
        <f t="shared" si="8"/>
        <v>16</v>
      </c>
      <c r="AG27" s="127">
        <f t="shared" si="8"/>
        <v>16</v>
      </c>
      <c r="AH27" s="127">
        <f t="shared" si="8"/>
        <v>16</v>
      </c>
      <c r="AI27" s="127">
        <f t="shared" si="8"/>
        <v>22</v>
      </c>
      <c r="AJ27" s="127">
        <f t="shared" si="8"/>
        <v>10</v>
      </c>
      <c r="AK27" s="127">
        <f t="shared" si="8"/>
        <v>16</v>
      </c>
      <c r="AL27" s="127">
        <f t="shared" si="8"/>
        <v>16</v>
      </c>
      <c r="AM27" s="127">
        <f t="shared" si="8"/>
        <v>16</v>
      </c>
      <c r="AN27" s="127">
        <f t="shared" si="8"/>
        <v>16</v>
      </c>
      <c r="AO27" s="127">
        <f t="shared" si="8"/>
        <v>16</v>
      </c>
      <c r="AP27" s="127">
        <f t="shared" si="8"/>
        <v>16</v>
      </c>
      <c r="AQ27" s="127">
        <f t="shared" si="8"/>
        <v>16</v>
      </c>
      <c r="AR27" s="127">
        <f t="shared" si="8"/>
        <v>16</v>
      </c>
      <c r="AS27" s="127">
        <f t="shared" si="8"/>
        <v>16</v>
      </c>
      <c r="AT27" s="127">
        <f t="shared" si="8"/>
        <v>16</v>
      </c>
      <c r="AU27" s="127">
        <f t="shared" si="8"/>
        <v>16</v>
      </c>
      <c r="AV27" s="127">
        <f t="shared" si="8"/>
        <v>22</v>
      </c>
      <c r="AW27" s="127">
        <f t="shared" si="8"/>
        <v>10</v>
      </c>
      <c r="AX27" s="127">
        <f t="shared" si="8"/>
        <v>16</v>
      </c>
      <c r="AY27" s="167">
        <f t="shared" si="8"/>
        <v>16</v>
      </c>
      <c r="AZ27" s="110"/>
    </row>
    <row r="28" spans="1:52" x14ac:dyDescent="0.2">
      <c r="B28" s="168" t="s">
        <v>310</v>
      </c>
      <c r="C28" s="114">
        <v>11</v>
      </c>
      <c r="D28" s="114">
        <v>11</v>
      </c>
      <c r="E28" s="114">
        <v>6</v>
      </c>
      <c r="F28" s="114">
        <v>6</v>
      </c>
      <c r="G28" s="114">
        <v>6</v>
      </c>
      <c r="H28" s="114">
        <v>6</v>
      </c>
      <c r="I28" s="114">
        <v>6</v>
      </c>
      <c r="J28" s="114">
        <v>6</v>
      </c>
      <c r="K28" s="114">
        <v>6</v>
      </c>
      <c r="L28" s="114">
        <v>6</v>
      </c>
      <c r="M28" s="114">
        <v>6</v>
      </c>
      <c r="N28" s="114">
        <v>6</v>
      </c>
      <c r="O28" s="114">
        <v>6</v>
      </c>
      <c r="P28" s="114">
        <v>6</v>
      </c>
      <c r="Q28" s="114">
        <v>6</v>
      </c>
      <c r="R28" s="114">
        <v>6</v>
      </c>
      <c r="S28" s="114">
        <v>6</v>
      </c>
      <c r="T28" s="114">
        <v>6</v>
      </c>
      <c r="U28" s="114">
        <v>6</v>
      </c>
      <c r="V28" s="114">
        <v>6</v>
      </c>
      <c r="W28" s="114">
        <v>6</v>
      </c>
      <c r="X28" s="114">
        <v>0</v>
      </c>
      <c r="Y28" s="114">
        <v>12</v>
      </c>
      <c r="Z28" s="114">
        <v>6</v>
      </c>
      <c r="AA28" s="114">
        <v>6</v>
      </c>
      <c r="AB28" s="114">
        <v>6</v>
      </c>
      <c r="AC28" s="114">
        <v>6</v>
      </c>
      <c r="AD28" s="114">
        <v>6</v>
      </c>
      <c r="AE28" s="114">
        <v>6</v>
      </c>
      <c r="AF28" s="114">
        <v>6</v>
      </c>
      <c r="AG28" s="114">
        <v>6</v>
      </c>
      <c r="AH28" s="114">
        <v>0</v>
      </c>
      <c r="AI28" s="114">
        <v>12</v>
      </c>
      <c r="AJ28" s="114">
        <v>6</v>
      </c>
      <c r="AK28" s="114">
        <v>6</v>
      </c>
      <c r="AL28" s="114">
        <v>6</v>
      </c>
      <c r="AM28" s="114">
        <v>6</v>
      </c>
      <c r="AN28" s="114">
        <v>6</v>
      </c>
      <c r="AO28" s="114">
        <v>6</v>
      </c>
      <c r="AP28" s="114">
        <v>6</v>
      </c>
      <c r="AQ28" s="114">
        <v>6</v>
      </c>
      <c r="AR28" s="114">
        <v>6</v>
      </c>
      <c r="AS28" s="114">
        <v>6</v>
      </c>
      <c r="AT28" s="114">
        <v>6</v>
      </c>
      <c r="AU28" s="114">
        <v>0</v>
      </c>
      <c r="AV28" s="114">
        <v>12</v>
      </c>
      <c r="AW28" s="114">
        <v>6</v>
      </c>
      <c r="AX28" s="114">
        <v>6</v>
      </c>
      <c r="AY28" s="169">
        <v>6</v>
      </c>
      <c r="AZ28" s="110"/>
    </row>
    <row r="29" spans="1:52" x14ac:dyDescent="0.2">
      <c r="B29" s="139" t="s">
        <v>311</v>
      </c>
      <c r="C29" s="128">
        <v>11</v>
      </c>
      <c r="D29" s="128">
        <f>C$28</f>
        <v>11</v>
      </c>
      <c r="E29" s="128">
        <f t="shared" ref="E29:AY29" si="9">D$28</f>
        <v>11</v>
      </c>
      <c r="F29" s="128">
        <f t="shared" si="9"/>
        <v>6</v>
      </c>
      <c r="G29" s="128">
        <f t="shared" si="9"/>
        <v>6</v>
      </c>
      <c r="H29" s="128">
        <f t="shared" si="9"/>
        <v>6</v>
      </c>
      <c r="I29" s="128">
        <f t="shared" si="9"/>
        <v>6</v>
      </c>
      <c r="J29" s="128">
        <f t="shared" si="9"/>
        <v>6</v>
      </c>
      <c r="K29" s="128">
        <f t="shared" si="9"/>
        <v>6</v>
      </c>
      <c r="L29" s="128">
        <f t="shared" si="9"/>
        <v>6</v>
      </c>
      <c r="M29" s="128">
        <f t="shared" si="9"/>
        <v>6</v>
      </c>
      <c r="N29" s="128">
        <f t="shared" si="9"/>
        <v>6</v>
      </c>
      <c r="O29" s="128">
        <f t="shared" si="9"/>
        <v>6</v>
      </c>
      <c r="P29" s="128">
        <f t="shared" si="9"/>
        <v>6</v>
      </c>
      <c r="Q29" s="128">
        <f t="shared" si="9"/>
        <v>6</v>
      </c>
      <c r="R29" s="128">
        <f t="shared" si="9"/>
        <v>6</v>
      </c>
      <c r="S29" s="128">
        <f t="shared" si="9"/>
        <v>6</v>
      </c>
      <c r="T29" s="128">
        <f t="shared" si="9"/>
        <v>6</v>
      </c>
      <c r="U29" s="128">
        <f t="shared" si="9"/>
        <v>6</v>
      </c>
      <c r="V29" s="128">
        <f t="shared" si="9"/>
        <v>6</v>
      </c>
      <c r="W29" s="128">
        <f t="shared" si="9"/>
        <v>6</v>
      </c>
      <c r="X29" s="128">
        <f t="shared" si="9"/>
        <v>6</v>
      </c>
      <c r="Y29" s="128">
        <f t="shared" si="9"/>
        <v>0</v>
      </c>
      <c r="Z29" s="128">
        <f t="shared" si="9"/>
        <v>12</v>
      </c>
      <c r="AA29" s="128">
        <f t="shared" si="9"/>
        <v>6</v>
      </c>
      <c r="AB29" s="128">
        <f t="shared" si="9"/>
        <v>6</v>
      </c>
      <c r="AC29" s="128">
        <f t="shared" si="9"/>
        <v>6</v>
      </c>
      <c r="AD29" s="128">
        <f t="shared" si="9"/>
        <v>6</v>
      </c>
      <c r="AE29" s="128">
        <f t="shared" si="9"/>
        <v>6</v>
      </c>
      <c r="AF29" s="128">
        <f t="shared" si="9"/>
        <v>6</v>
      </c>
      <c r="AG29" s="128">
        <f t="shared" si="9"/>
        <v>6</v>
      </c>
      <c r="AH29" s="128">
        <f t="shared" si="9"/>
        <v>6</v>
      </c>
      <c r="AI29" s="128">
        <f t="shared" si="9"/>
        <v>0</v>
      </c>
      <c r="AJ29" s="128">
        <f t="shared" si="9"/>
        <v>12</v>
      </c>
      <c r="AK29" s="128">
        <f t="shared" si="9"/>
        <v>6</v>
      </c>
      <c r="AL29" s="128">
        <f t="shared" si="9"/>
        <v>6</v>
      </c>
      <c r="AM29" s="128">
        <f t="shared" si="9"/>
        <v>6</v>
      </c>
      <c r="AN29" s="128">
        <f t="shared" si="9"/>
        <v>6</v>
      </c>
      <c r="AO29" s="128">
        <f t="shared" si="9"/>
        <v>6</v>
      </c>
      <c r="AP29" s="128">
        <f t="shared" si="9"/>
        <v>6</v>
      </c>
      <c r="AQ29" s="128">
        <f t="shared" si="9"/>
        <v>6</v>
      </c>
      <c r="AR29" s="128">
        <f t="shared" si="9"/>
        <v>6</v>
      </c>
      <c r="AS29" s="128">
        <f t="shared" si="9"/>
        <v>6</v>
      </c>
      <c r="AT29" s="128">
        <f t="shared" si="9"/>
        <v>6</v>
      </c>
      <c r="AU29" s="128">
        <f t="shared" si="9"/>
        <v>6</v>
      </c>
      <c r="AV29" s="128">
        <f t="shared" si="9"/>
        <v>0</v>
      </c>
      <c r="AW29" s="128">
        <f t="shared" si="9"/>
        <v>12</v>
      </c>
      <c r="AX29" s="128">
        <f t="shared" si="9"/>
        <v>6</v>
      </c>
      <c r="AY29" s="170">
        <f t="shared" si="9"/>
        <v>6</v>
      </c>
      <c r="AZ29" s="171"/>
    </row>
    <row r="30" spans="1:52" x14ac:dyDescent="0.2">
      <c r="A30" s="172" t="s">
        <v>312</v>
      </c>
      <c r="B30" s="147">
        <v>10</v>
      </c>
      <c r="C30" s="120" t="s">
        <v>293</v>
      </c>
      <c r="D30" s="120">
        <f>D$27*$B$30</f>
        <v>110</v>
      </c>
      <c r="E30" s="120">
        <f t="shared" ref="E30:AY30" si="10">E$27*$B$30</f>
        <v>110</v>
      </c>
      <c r="F30" s="120">
        <f t="shared" si="10"/>
        <v>160</v>
      </c>
      <c r="G30" s="120">
        <f t="shared" si="10"/>
        <v>160</v>
      </c>
      <c r="H30" s="120">
        <f t="shared" si="10"/>
        <v>160</v>
      </c>
      <c r="I30" s="120">
        <f t="shared" si="10"/>
        <v>160</v>
      </c>
      <c r="J30" s="120">
        <f t="shared" si="10"/>
        <v>160</v>
      </c>
      <c r="K30" s="120">
        <f t="shared" si="10"/>
        <v>160</v>
      </c>
      <c r="L30" s="120">
        <f t="shared" si="10"/>
        <v>160</v>
      </c>
      <c r="M30" s="120">
        <f t="shared" si="10"/>
        <v>160</v>
      </c>
      <c r="N30" s="120">
        <f t="shared" si="10"/>
        <v>160</v>
      </c>
      <c r="O30" s="120">
        <f t="shared" si="10"/>
        <v>160</v>
      </c>
      <c r="P30" s="120">
        <f t="shared" si="10"/>
        <v>160</v>
      </c>
      <c r="Q30" s="120">
        <f t="shared" si="10"/>
        <v>160</v>
      </c>
      <c r="R30" s="120">
        <f>R$27*$B$30</f>
        <v>160</v>
      </c>
      <c r="S30" s="120">
        <f t="shared" si="10"/>
        <v>160</v>
      </c>
      <c r="T30" s="120">
        <f t="shared" si="10"/>
        <v>160</v>
      </c>
      <c r="U30" s="120">
        <f t="shared" si="10"/>
        <v>160</v>
      </c>
      <c r="V30" s="120">
        <f t="shared" si="10"/>
        <v>160</v>
      </c>
      <c r="W30" s="120">
        <f t="shared" si="10"/>
        <v>160</v>
      </c>
      <c r="X30" s="120">
        <f t="shared" si="10"/>
        <v>160</v>
      </c>
      <c r="Y30" s="120">
        <f t="shared" si="10"/>
        <v>220</v>
      </c>
      <c r="Z30" s="120">
        <f t="shared" si="10"/>
        <v>100</v>
      </c>
      <c r="AA30" s="120">
        <f t="shared" si="10"/>
        <v>160</v>
      </c>
      <c r="AB30" s="120">
        <f t="shared" si="10"/>
        <v>160</v>
      </c>
      <c r="AC30" s="120">
        <f t="shared" si="10"/>
        <v>160</v>
      </c>
      <c r="AD30" s="120">
        <f t="shared" si="10"/>
        <v>160</v>
      </c>
      <c r="AE30" s="120">
        <f>AE$27*$B$30</f>
        <v>160</v>
      </c>
      <c r="AF30" s="120">
        <f t="shared" si="10"/>
        <v>160</v>
      </c>
      <c r="AG30" s="120">
        <f t="shared" si="10"/>
        <v>160</v>
      </c>
      <c r="AH30" s="120">
        <f t="shared" si="10"/>
        <v>160</v>
      </c>
      <c r="AI30" s="120">
        <f t="shared" si="10"/>
        <v>220</v>
      </c>
      <c r="AJ30" s="120">
        <f t="shared" si="10"/>
        <v>100</v>
      </c>
      <c r="AK30" s="120">
        <f t="shared" si="10"/>
        <v>160</v>
      </c>
      <c r="AL30" s="120">
        <f t="shared" si="10"/>
        <v>160</v>
      </c>
      <c r="AM30" s="120">
        <f t="shared" si="10"/>
        <v>160</v>
      </c>
      <c r="AN30" s="120">
        <f t="shared" si="10"/>
        <v>160</v>
      </c>
      <c r="AO30" s="120">
        <f t="shared" si="10"/>
        <v>160</v>
      </c>
      <c r="AP30" s="120">
        <f t="shared" si="10"/>
        <v>160</v>
      </c>
      <c r="AQ30" s="120">
        <f t="shared" si="10"/>
        <v>160</v>
      </c>
      <c r="AR30" s="120">
        <f t="shared" si="10"/>
        <v>160</v>
      </c>
      <c r="AS30" s="120">
        <f t="shared" si="10"/>
        <v>160</v>
      </c>
      <c r="AT30" s="120">
        <f t="shared" si="10"/>
        <v>160</v>
      </c>
      <c r="AU30" s="120">
        <f t="shared" si="10"/>
        <v>160</v>
      </c>
      <c r="AV30" s="120">
        <f t="shared" si="10"/>
        <v>220</v>
      </c>
      <c r="AW30" s="120">
        <f t="shared" si="10"/>
        <v>100</v>
      </c>
      <c r="AX30" s="120">
        <f t="shared" si="10"/>
        <v>160</v>
      </c>
      <c r="AY30" s="120">
        <f t="shared" si="10"/>
        <v>160</v>
      </c>
      <c r="AZ30" s="144">
        <f t="shared" si="5"/>
        <v>7580</v>
      </c>
    </row>
    <row r="32" spans="1:52" x14ac:dyDescent="0.2">
      <c r="A32" s="1" t="s">
        <v>300</v>
      </c>
    </row>
    <row r="33" spans="1:52" x14ac:dyDescent="0.2">
      <c r="A33" s="138" t="s">
        <v>22</v>
      </c>
      <c r="B33" s="138" t="s">
        <v>341</v>
      </c>
      <c r="C33" s="127"/>
      <c r="D33" s="127">
        <f>D$21*shipping_manufacturing!$D$27/100</f>
        <v>320.4677712891235</v>
      </c>
      <c r="E33" s="127">
        <f>E$21*shipping_manufacturing!$D$27/100</f>
        <v>171.61339991679952</v>
      </c>
      <c r="F33" s="127">
        <f>F$21*shipping_manufacturing!$D$27/100</f>
        <v>171.61339991679952</v>
      </c>
      <c r="G33" s="127">
        <f>G$21*shipping_manufacturing!$D$27/100</f>
        <v>171.61339991679952</v>
      </c>
      <c r="H33" s="127">
        <f>H$21*shipping_manufacturing!$D$27/100</f>
        <v>171.61339991679952</v>
      </c>
      <c r="I33" s="127">
        <f>I$21*shipping_manufacturing!$D$27/100</f>
        <v>171.61339991679952</v>
      </c>
      <c r="J33" s="127">
        <f>J$21*shipping_manufacturing!$D$27/100</f>
        <v>171.61339991679952</v>
      </c>
      <c r="K33" s="127">
        <f>K$21*shipping_manufacturing!$D$27/100</f>
        <v>171.61339991679952</v>
      </c>
      <c r="L33" s="127">
        <f>L$21*shipping_manufacturing!$D$27/100</f>
        <v>171.61339991679952</v>
      </c>
      <c r="M33" s="127">
        <f>M$21*shipping_manufacturing!$D$27/100</f>
        <v>171.61339991679952</v>
      </c>
      <c r="N33" s="127">
        <f>N$21*shipping_manufacturing!$D$27/100</f>
        <v>171.61339991679952</v>
      </c>
      <c r="O33" s="127">
        <f>O$21*shipping_manufacturing!$D$27/100</f>
        <v>171.61339991679952</v>
      </c>
      <c r="P33" s="127">
        <f>P$21*shipping_manufacturing!$D$27/100</f>
        <v>171.61339991679952</v>
      </c>
      <c r="Q33" s="127">
        <f>Q$21*shipping_manufacturing!$D$27/100</f>
        <v>171.61339991679952</v>
      </c>
      <c r="R33" s="127">
        <f>R$21*shipping_manufacturing!$D$27/100</f>
        <v>171.61339991679952</v>
      </c>
      <c r="S33" s="127">
        <f>S$21*shipping_manufacturing!$D$27/100</f>
        <v>171.61339991679952</v>
      </c>
      <c r="T33" s="127">
        <f>T$21*shipping_manufacturing!$D$27/100</f>
        <v>171.61339991679952</v>
      </c>
      <c r="U33" s="127">
        <f>U$21*shipping_manufacturing!$D$27/100</f>
        <v>171.61339991679952</v>
      </c>
      <c r="V33" s="127">
        <f>V$21*shipping_manufacturing!$D$27/100</f>
        <v>171.61339991679952</v>
      </c>
      <c r="W33" s="127">
        <f>W$21*shipping_manufacturing!$D$27/100</f>
        <v>171.61339991679952</v>
      </c>
      <c r="X33" s="127">
        <f>X$21*shipping_manufacturing!$D$27/100</f>
        <v>0</v>
      </c>
      <c r="Y33" s="127">
        <f>Y$21*shipping_manufacturing!$D$27/100</f>
        <v>343.22679983359905</v>
      </c>
      <c r="Z33" s="127">
        <f>Z$21*shipping_manufacturing!$D$27/100</f>
        <v>171.61339991679952</v>
      </c>
      <c r="AA33" s="127">
        <f>AA$21*shipping_manufacturing!$D$27/100</f>
        <v>171.61339991679952</v>
      </c>
      <c r="AB33" s="127">
        <f>AB$21*shipping_manufacturing!$D$27/100</f>
        <v>171.61339991679952</v>
      </c>
      <c r="AC33" s="127">
        <f>AC$21*shipping_manufacturing!$D$27/100</f>
        <v>171.61339991679952</v>
      </c>
      <c r="AD33" s="127">
        <f>AD$21*shipping_manufacturing!$D$27/100</f>
        <v>171.61339991679952</v>
      </c>
      <c r="AE33" s="127">
        <f>AE$21*shipping_manufacturing!$D$27/100</f>
        <v>171.61339991679952</v>
      </c>
      <c r="AF33" s="127">
        <f>AF$21*shipping_manufacturing!$D$27/100</f>
        <v>171.61339991679952</v>
      </c>
      <c r="AG33" s="127">
        <f>AG$21*shipping_manufacturing!$D$27/100</f>
        <v>171.61339991679952</v>
      </c>
      <c r="AH33" s="127">
        <f>AH$21*shipping_manufacturing!$D$27/100</f>
        <v>0</v>
      </c>
      <c r="AI33" s="127">
        <f>AI$21*shipping_manufacturing!$D$27/100</f>
        <v>343.22679983359905</v>
      </c>
      <c r="AJ33" s="127">
        <f>AJ$21*shipping_manufacturing!$D$27/100</f>
        <v>171.61339991679952</v>
      </c>
      <c r="AK33" s="127">
        <f>AK$21*shipping_manufacturing!$D$27/100</f>
        <v>171.61339991679952</v>
      </c>
      <c r="AL33" s="127">
        <f>AL$21*shipping_manufacturing!$D$27/100</f>
        <v>171.61339991679952</v>
      </c>
      <c r="AM33" s="127">
        <f>AM$21*shipping_manufacturing!$D$27/100</f>
        <v>171.61339991679952</v>
      </c>
      <c r="AN33" s="127">
        <f>AN$21*shipping_manufacturing!$D$27/100</f>
        <v>171.61339991679952</v>
      </c>
      <c r="AO33" s="127">
        <f>AO$21*shipping_manufacturing!$D$27/100</f>
        <v>171.61339991679952</v>
      </c>
      <c r="AP33" s="127">
        <f>AP$21*shipping_manufacturing!$D$27/100</f>
        <v>171.61339991679952</v>
      </c>
      <c r="AQ33" s="127">
        <f>AQ$21*shipping_manufacturing!$D$27/100</f>
        <v>171.61339991679952</v>
      </c>
      <c r="AR33" s="127">
        <f>AR$21*shipping_manufacturing!$D$27/100</f>
        <v>171.61339991679952</v>
      </c>
      <c r="AS33" s="127">
        <f>AS$21*shipping_manufacturing!$D$27/100</f>
        <v>171.61339991679952</v>
      </c>
      <c r="AT33" s="127">
        <f>AT$21*shipping_manufacturing!$D$27/100</f>
        <v>171.61339991679952</v>
      </c>
      <c r="AU33" s="127">
        <f>AU$21*shipping_manufacturing!$D$27/100</f>
        <v>0</v>
      </c>
      <c r="AV33" s="127">
        <f>AV$21*shipping_manufacturing!$D$27/100</f>
        <v>343.22679983359905</v>
      </c>
      <c r="AW33" s="127">
        <f>AW$21*shipping_manufacturing!$D$27/100</f>
        <v>171.61339991679952</v>
      </c>
      <c r="AX33" s="127">
        <f>AX$21*shipping_manufacturing!$D$27/100</f>
        <v>171.61339991679952</v>
      </c>
      <c r="AY33" s="127">
        <f>AY$21*shipping_manufacturing!$D$27/100</f>
        <v>171.61339991679952</v>
      </c>
    </row>
    <row r="34" spans="1:52" x14ac:dyDescent="0.2">
      <c r="A34" s="116" t="s">
        <v>340</v>
      </c>
      <c r="B34" s="168" t="s">
        <v>342</v>
      </c>
      <c r="C34" s="114"/>
      <c r="D34" s="114">
        <f>D$22*shipping_manufacturing!$E$27/100</f>
        <v>0</v>
      </c>
      <c r="E34" s="114">
        <f>E$22*shipping_manufacturing!$E$27/100</f>
        <v>0</v>
      </c>
      <c r="F34" s="114">
        <f>F$22*shipping_manufacturing!$E$27/100</f>
        <v>0</v>
      </c>
      <c r="G34" s="114">
        <f>G$22*shipping_manufacturing!$E$27/100</f>
        <v>0</v>
      </c>
      <c r="H34" s="114">
        <f>H$22*shipping_manufacturing!$E$27/100</f>
        <v>0</v>
      </c>
      <c r="I34" s="114">
        <f>I$22*shipping_manufacturing!$E$27/100</f>
        <v>0</v>
      </c>
      <c r="J34" s="114">
        <f>J$22*shipping_manufacturing!$E$27/100</f>
        <v>0</v>
      </c>
      <c r="K34" s="114">
        <f>K$22*shipping_manufacturing!$E$27/100</f>
        <v>0</v>
      </c>
      <c r="L34" s="114">
        <f>L$22*shipping_manufacturing!$E$27/100</f>
        <v>0</v>
      </c>
      <c r="M34" s="114">
        <f>M$22*shipping_manufacturing!$E$27/100</f>
        <v>0</v>
      </c>
      <c r="N34" s="114">
        <f>N$22*shipping_manufacturing!$E$27/100</f>
        <v>0</v>
      </c>
      <c r="O34" s="114">
        <f>O$22*shipping_manufacturing!$E$27/100</f>
        <v>0</v>
      </c>
      <c r="P34" s="114">
        <f>P$22*shipping_manufacturing!$E$27/100</f>
        <v>0</v>
      </c>
      <c r="Q34" s="114">
        <f>Q$22*shipping_manufacturing!$E$27/100</f>
        <v>0</v>
      </c>
      <c r="R34" s="114">
        <f>R$22*shipping_manufacturing!$E$27/100</f>
        <v>0</v>
      </c>
      <c r="S34" s="114">
        <f>S$22*shipping_manufacturing!$E$27/100</f>
        <v>0</v>
      </c>
      <c r="T34" s="114">
        <f>T$22*shipping_manufacturing!$E$27/100</f>
        <v>0</v>
      </c>
      <c r="U34" s="114">
        <f>U$22*shipping_manufacturing!$E$27/100</f>
        <v>0</v>
      </c>
      <c r="V34" s="114">
        <f>V$22*shipping_manufacturing!$E$27/100</f>
        <v>0</v>
      </c>
      <c r="W34" s="114">
        <f>W$22*shipping_manufacturing!$E$27/100</f>
        <v>0</v>
      </c>
      <c r="X34" s="114">
        <f>X$22*shipping_manufacturing!$E$27/100</f>
        <v>0</v>
      </c>
      <c r="Y34" s="114">
        <f>Y$22*shipping_manufacturing!$E$27/100</f>
        <v>0</v>
      </c>
      <c r="Z34" s="114">
        <f>Z$22*shipping_manufacturing!$E$27/100</f>
        <v>0</v>
      </c>
      <c r="AA34" s="114">
        <f>AA$22*shipping_manufacturing!$E$27/100</f>
        <v>0</v>
      </c>
      <c r="AB34" s="114">
        <f>AB$22*shipping_manufacturing!$E$27/100</f>
        <v>0</v>
      </c>
      <c r="AC34" s="114">
        <f>AC$22*shipping_manufacturing!$E$27/100</f>
        <v>0</v>
      </c>
      <c r="AD34" s="114">
        <f>AD$22*shipping_manufacturing!$E$27/100</f>
        <v>0</v>
      </c>
      <c r="AE34" s="114">
        <f>AE$22*shipping_manufacturing!$E$27/100</f>
        <v>0</v>
      </c>
      <c r="AF34" s="114">
        <f>AF$22*shipping_manufacturing!$E$27/100</f>
        <v>0</v>
      </c>
      <c r="AG34" s="114">
        <f>AG$22*shipping_manufacturing!$E$27/100</f>
        <v>0</v>
      </c>
      <c r="AH34" s="114">
        <f>AH$22*shipping_manufacturing!$E$27/100</f>
        <v>0</v>
      </c>
      <c r="AI34" s="114">
        <f>AI$22*shipping_manufacturing!$E$27/100</f>
        <v>0</v>
      </c>
      <c r="AJ34" s="114">
        <f>AJ$22*shipping_manufacturing!$E$27/100</f>
        <v>0</v>
      </c>
      <c r="AK34" s="114">
        <f>AK$22*shipping_manufacturing!$E$27/100</f>
        <v>0</v>
      </c>
      <c r="AL34" s="114">
        <f>AL$22*shipping_manufacturing!$E$27/100</f>
        <v>0</v>
      </c>
      <c r="AM34" s="114">
        <f>AM$22*shipping_manufacturing!$E$27/100</f>
        <v>0</v>
      </c>
      <c r="AN34" s="114">
        <f>AN$22*shipping_manufacturing!$E$27/100</f>
        <v>0</v>
      </c>
      <c r="AO34" s="114">
        <f>AO$22*shipping_manufacturing!$E$27/100</f>
        <v>0</v>
      </c>
      <c r="AP34" s="114">
        <f>AP$22*shipping_manufacturing!$E$27/100</f>
        <v>0</v>
      </c>
      <c r="AQ34" s="114">
        <f>AQ$22*shipping_manufacturing!$E$27/100</f>
        <v>0</v>
      </c>
      <c r="AR34" s="114">
        <f>AR$22*shipping_manufacturing!$E$27/100</f>
        <v>0</v>
      </c>
      <c r="AS34" s="114">
        <f>AS$22*shipping_manufacturing!$E$27/100</f>
        <v>0</v>
      </c>
      <c r="AT34" s="114">
        <f>AT$22*shipping_manufacturing!$E$27/100</f>
        <v>0</v>
      </c>
      <c r="AU34" s="114">
        <f>AU$22*shipping_manufacturing!$E$27/100</f>
        <v>0</v>
      </c>
      <c r="AV34" s="114">
        <f>AV$22*shipping_manufacturing!$E$27/100</f>
        <v>0</v>
      </c>
      <c r="AW34" s="114">
        <f>AW$22*shipping_manufacturing!$E$27/100</f>
        <v>0</v>
      </c>
      <c r="AX34" s="114">
        <f>AX$22*shipping_manufacturing!$E$27/100</f>
        <v>0</v>
      </c>
      <c r="AY34" s="114">
        <f>AY$22*shipping_manufacturing!$E$27/100</f>
        <v>0</v>
      </c>
    </row>
    <row r="35" spans="1:52" x14ac:dyDescent="0.2">
      <c r="A35" s="114">
        <v>1335</v>
      </c>
      <c r="B35" s="168" t="s">
        <v>343</v>
      </c>
      <c r="C35" s="114"/>
      <c r="D35" s="114">
        <f>SUM(D33:D34)</f>
        <v>320.4677712891235</v>
      </c>
      <c r="E35" s="114">
        <f t="shared" ref="E35:AY35" si="11">SUM(E33:E34)</f>
        <v>171.61339991679952</v>
      </c>
      <c r="F35" s="114">
        <f t="shared" si="11"/>
        <v>171.61339991679952</v>
      </c>
      <c r="G35" s="114">
        <f t="shared" si="11"/>
        <v>171.61339991679952</v>
      </c>
      <c r="H35" s="114">
        <f t="shared" si="11"/>
        <v>171.61339991679952</v>
      </c>
      <c r="I35" s="114">
        <f t="shared" si="11"/>
        <v>171.61339991679952</v>
      </c>
      <c r="J35" s="114">
        <f t="shared" si="11"/>
        <v>171.61339991679952</v>
      </c>
      <c r="K35" s="114">
        <f t="shared" si="11"/>
        <v>171.61339991679952</v>
      </c>
      <c r="L35" s="114">
        <f t="shared" si="11"/>
        <v>171.61339991679952</v>
      </c>
      <c r="M35" s="114">
        <f t="shared" si="11"/>
        <v>171.61339991679952</v>
      </c>
      <c r="N35" s="114">
        <f t="shared" si="11"/>
        <v>171.61339991679952</v>
      </c>
      <c r="O35" s="114">
        <f t="shared" si="11"/>
        <v>171.61339991679952</v>
      </c>
      <c r="P35" s="114">
        <f t="shared" si="11"/>
        <v>171.61339991679952</v>
      </c>
      <c r="Q35" s="114">
        <f t="shared" si="11"/>
        <v>171.61339991679952</v>
      </c>
      <c r="R35" s="114">
        <f t="shared" si="11"/>
        <v>171.61339991679952</v>
      </c>
      <c r="S35" s="114">
        <f t="shared" si="11"/>
        <v>171.61339991679952</v>
      </c>
      <c r="T35" s="114">
        <f t="shared" si="11"/>
        <v>171.61339991679952</v>
      </c>
      <c r="U35" s="114">
        <f t="shared" si="11"/>
        <v>171.61339991679952</v>
      </c>
      <c r="V35" s="114">
        <f t="shared" si="11"/>
        <v>171.61339991679952</v>
      </c>
      <c r="W35" s="114">
        <f t="shared" si="11"/>
        <v>171.61339991679952</v>
      </c>
      <c r="X35" s="114">
        <f t="shared" si="11"/>
        <v>0</v>
      </c>
      <c r="Y35" s="114">
        <f t="shared" si="11"/>
        <v>343.22679983359905</v>
      </c>
      <c r="Z35" s="114">
        <f t="shared" si="11"/>
        <v>171.61339991679952</v>
      </c>
      <c r="AA35" s="114">
        <f t="shared" si="11"/>
        <v>171.61339991679952</v>
      </c>
      <c r="AB35" s="114">
        <f t="shared" si="11"/>
        <v>171.61339991679952</v>
      </c>
      <c r="AC35" s="114">
        <f t="shared" si="11"/>
        <v>171.61339991679952</v>
      </c>
      <c r="AD35" s="114">
        <f t="shared" si="11"/>
        <v>171.61339991679952</v>
      </c>
      <c r="AE35" s="114">
        <f t="shared" si="11"/>
        <v>171.61339991679952</v>
      </c>
      <c r="AF35" s="114">
        <f t="shared" si="11"/>
        <v>171.61339991679952</v>
      </c>
      <c r="AG35" s="114">
        <f t="shared" si="11"/>
        <v>171.61339991679952</v>
      </c>
      <c r="AH35" s="114">
        <f t="shared" si="11"/>
        <v>0</v>
      </c>
      <c r="AI35" s="114">
        <f t="shared" si="11"/>
        <v>343.22679983359905</v>
      </c>
      <c r="AJ35" s="114">
        <f t="shared" si="11"/>
        <v>171.61339991679952</v>
      </c>
      <c r="AK35" s="114">
        <f t="shared" si="11"/>
        <v>171.61339991679952</v>
      </c>
      <c r="AL35" s="114">
        <f t="shared" si="11"/>
        <v>171.61339991679952</v>
      </c>
      <c r="AM35" s="114">
        <f t="shared" si="11"/>
        <v>171.61339991679952</v>
      </c>
      <c r="AN35" s="114">
        <f t="shared" si="11"/>
        <v>171.61339991679952</v>
      </c>
      <c r="AO35" s="114">
        <f t="shared" si="11"/>
        <v>171.61339991679952</v>
      </c>
      <c r="AP35" s="114">
        <f t="shared" si="11"/>
        <v>171.61339991679952</v>
      </c>
      <c r="AQ35" s="114">
        <f t="shared" si="11"/>
        <v>171.61339991679952</v>
      </c>
      <c r="AR35" s="114">
        <f t="shared" si="11"/>
        <v>171.61339991679952</v>
      </c>
      <c r="AS35" s="114">
        <f t="shared" si="11"/>
        <v>171.61339991679952</v>
      </c>
      <c r="AT35" s="114">
        <f t="shared" si="11"/>
        <v>171.61339991679952</v>
      </c>
      <c r="AU35" s="114">
        <f t="shared" si="11"/>
        <v>0</v>
      </c>
      <c r="AV35" s="114">
        <f t="shared" si="11"/>
        <v>343.22679983359905</v>
      </c>
      <c r="AW35" s="114">
        <f t="shared" si="11"/>
        <v>171.61339991679952</v>
      </c>
      <c r="AX35" s="114">
        <f t="shared" si="11"/>
        <v>171.61339991679952</v>
      </c>
      <c r="AY35" s="114">
        <f t="shared" si="11"/>
        <v>171.61339991679952</v>
      </c>
    </row>
    <row r="36" spans="1:52" x14ac:dyDescent="0.2">
      <c r="A36" s="114"/>
      <c r="B36" s="168" t="s">
        <v>344</v>
      </c>
      <c r="C36" s="114"/>
      <c r="D36" s="114">
        <v>320.4677712891235</v>
      </c>
      <c r="E36" s="114">
        <v>171.61339991679952</v>
      </c>
      <c r="F36" s="114">
        <v>171.61339991679952</v>
      </c>
      <c r="G36" s="114">
        <v>171.61339991679952</v>
      </c>
      <c r="H36" s="114">
        <v>171.61339991679952</v>
      </c>
      <c r="I36" s="114">
        <v>171.61339991679952</v>
      </c>
      <c r="J36" s="114">
        <v>171.61339991679952</v>
      </c>
      <c r="K36" s="114">
        <v>171.61339991679952</v>
      </c>
      <c r="L36" s="114">
        <v>171.61339991679952</v>
      </c>
      <c r="M36" s="114">
        <v>171.61339991679952</v>
      </c>
      <c r="N36" s="114">
        <v>171.61339991679952</v>
      </c>
      <c r="O36" s="114">
        <v>171.61339991679952</v>
      </c>
      <c r="P36" s="114">
        <v>171.61339991679952</v>
      </c>
      <c r="Q36" s="114">
        <v>171.61339991679952</v>
      </c>
      <c r="R36" s="114">
        <v>171.61339991679952</v>
      </c>
      <c r="S36" s="114">
        <v>171.61339991679952</v>
      </c>
      <c r="T36" s="114">
        <v>171.61339991679952</v>
      </c>
      <c r="U36" s="114">
        <v>171.61339991679952</v>
      </c>
      <c r="V36" s="114">
        <v>171.61339991679952</v>
      </c>
      <c r="W36" s="114">
        <v>171.61339991679952</v>
      </c>
      <c r="X36" s="114"/>
      <c r="Y36" s="114">
        <v>343.22679983359905</v>
      </c>
      <c r="Z36" s="114">
        <v>171.61339991679952</v>
      </c>
      <c r="AA36" s="114">
        <v>171.61339991679952</v>
      </c>
      <c r="AB36" s="114">
        <v>171.61339991679952</v>
      </c>
      <c r="AC36" s="114">
        <v>171.61339991679952</v>
      </c>
      <c r="AD36" s="114">
        <v>171.61339991679952</v>
      </c>
      <c r="AE36" s="114">
        <v>171.61339991679952</v>
      </c>
      <c r="AF36" s="114">
        <v>171.61339991679952</v>
      </c>
      <c r="AG36" s="114">
        <v>171.61339991679952</v>
      </c>
      <c r="AH36" s="114"/>
      <c r="AI36" s="114">
        <v>343.22679983359905</v>
      </c>
      <c r="AJ36" s="114">
        <v>171.61339991679952</v>
      </c>
      <c r="AK36" s="114">
        <v>171.61339991679952</v>
      </c>
      <c r="AL36" s="114">
        <v>171.61339991679952</v>
      </c>
      <c r="AM36" s="114">
        <v>171.61339991679952</v>
      </c>
      <c r="AN36" s="114">
        <v>171.61339991679952</v>
      </c>
      <c r="AO36" s="114">
        <v>171.61339991679952</v>
      </c>
      <c r="AP36" s="114">
        <v>171.61339991679952</v>
      </c>
      <c r="AQ36" s="114">
        <v>171.61339991679952</v>
      </c>
      <c r="AR36" s="114">
        <v>171.61339991679952</v>
      </c>
      <c r="AS36" s="114">
        <v>171.61339991679952</v>
      </c>
      <c r="AT36" s="114">
        <v>171.61339991679952</v>
      </c>
      <c r="AU36" s="114"/>
      <c r="AV36" s="114">
        <v>343.22679983359905</v>
      </c>
      <c r="AW36" s="114">
        <v>171.61339991679952</v>
      </c>
      <c r="AX36" s="114">
        <v>171.61339991679952</v>
      </c>
      <c r="AY36" s="114">
        <v>171.61339991679952</v>
      </c>
    </row>
    <row r="37" spans="1:52" x14ac:dyDescent="0.2">
      <c r="A37" s="114"/>
      <c r="B37" s="168" t="s">
        <v>345</v>
      </c>
      <c r="C37" s="114"/>
      <c r="D37" s="114">
        <v>0</v>
      </c>
      <c r="E37" s="114">
        <v>0</v>
      </c>
      <c r="F37" s="114">
        <v>0</v>
      </c>
      <c r="G37" s="114">
        <v>0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0</v>
      </c>
      <c r="O37" s="114">
        <v>0</v>
      </c>
      <c r="P37" s="114">
        <v>0</v>
      </c>
      <c r="Q37" s="114">
        <v>0</v>
      </c>
      <c r="R37" s="114">
        <v>0</v>
      </c>
      <c r="S37" s="114">
        <v>0</v>
      </c>
      <c r="T37" s="114">
        <v>0</v>
      </c>
      <c r="U37" s="114">
        <v>0</v>
      </c>
      <c r="V37" s="114">
        <v>0</v>
      </c>
      <c r="W37" s="114">
        <v>0</v>
      </c>
      <c r="X37" s="114"/>
      <c r="Y37" s="114">
        <v>0</v>
      </c>
      <c r="Z37" s="114">
        <v>0</v>
      </c>
      <c r="AA37" s="114">
        <v>0</v>
      </c>
      <c r="AB37" s="114">
        <v>0</v>
      </c>
      <c r="AC37" s="114">
        <v>0</v>
      </c>
      <c r="AD37" s="114">
        <v>0</v>
      </c>
      <c r="AE37" s="114">
        <v>0</v>
      </c>
      <c r="AF37" s="114">
        <v>0</v>
      </c>
      <c r="AG37" s="114">
        <v>0</v>
      </c>
      <c r="AH37" s="114"/>
      <c r="AI37" s="114">
        <v>0</v>
      </c>
      <c r="AJ37" s="114">
        <v>0</v>
      </c>
      <c r="AK37" s="114">
        <v>0</v>
      </c>
      <c r="AL37" s="114">
        <v>0</v>
      </c>
      <c r="AM37" s="114">
        <v>0</v>
      </c>
      <c r="AN37" s="114">
        <v>0</v>
      </c>
      <c r="AO37" s="114">
        <v>0</v>
      </c>
      <c r="AP37" s="114">
        <v>0</v>
      </c>
      <c r="AQ37" s="114">
        <v>0</v>
      </c>
      <c r="AR37" s="114">
        <v>0</v>
      </c>
      <c r="AS37" s="114">
        <v>0</v>
      </c>
      <c r="AT37" s="114">
        <v>0</v>
      </c>
      <c r="AU37" s="114"/>
      <c r="AV37" s="114">
        <v>0</v>
      </c>
      <c r="AW37" s="114">
        <v>0</v>
      </c>
      <c r="AX37" s="114">
        <v>0</v>
      </c>
      <c r="AY37" s="114">
        <v>0</v>
      </c>
    </row>
    <row r="38" spans="1:52" x14ac:dyDescent="0.2">
      <c r="A38" s="114"/>
      <c r="B38" s="168" t="s">
        <v>346</v>
      </c>
      <c r="C38" s="114"/>
      <c r="D38" s="114">
        <v>11</v>
      </c>
      <c r="E38" s="114">
        <v>6</v>
      </c>
      <c r="F38" s="114">
        <v>6</v>
      </c>
      <c r="G38" s="114">
        <v>6</v>
      </c>
      <c r="H38" s="114">
        <v>6</v>
      </c>
      <c r="I38" s="114">
        <v>6</v>
      </c>
      <c r="J38" s="114">
        <v>6</v>
      </c>
      <c r="K38" s="114">
        <v>6</v>
      </c>
      <c r="L38" s="114">
        <v>6</v>
      </c>
      <c r="M38" s="114">
        <v>6</v>
      </c>
      <c r="N38" s="114">
        <v>6</v>
      </c>
      <c r="O38" s="114">
        <v>6</v>
      </c>
      <c r="P38" s="114">
        <v>6</v>
      </c>
      <c r="Q38" s="114">
        <v>6</v>
      </c>
      <c r="R38" s="114">
        <v>6</v>
      </c>
      <c r="S38" s="114">
        <v>6</v>
      </c>
      <c r="T38" s="114">
        <v>6</v>
      </c>
      <c r="U38" s="114">
        <v>6</v>
      </c>
      <c r="V38" s="114">
        <v>6</v>
      </c>
      <c r="W38" s="114">
        <v>6</v>
      </c>
      <c r="X38" s="114"/>
      <c r="Y38" s="114">
        <v>12</v>
      </c>
      <c r="Z38" s="114">
        <v>6</v>
      </c>
      <c r="AA38" s="114">
        <v>6</v>
      </c>
      <c r="AB38" s="114">
        <v>6</v>
      </c>
      <c r="AC38" s="114">
        <v>6</v>
      </c>
      <c r="AD38" s="114">
        <v>6</v>
      </c>
      <c r="AE38" s="114">
        <v>6</v>
      </c>
      <c r="AF38" s="114">
        <v>6</v>
      </c>
      <c r="AG38" s="114">
        <v>6</v>
      </c>
      <c r="AH38" s="114"/>
      <c r="AI38" s="114">
        <v>12</v>
      </c>
      <c r="AJ38" s="114">
        <v>6</v>
      </c>
      <c r="AK38" s="114">
        <v>6</v>
      </c>
      <c r="AL38" s="114">
        <v>6</v>
      </c>
      <c r="AM38" s="114">
        <v>6</v>
      </c>
      <c r="AN38" s="114">
        <v>6</v>
      </c>
      <c r="AO38" s="114">
        <v>6</v>
      </c>
      <c r="AP38" s="114">
        <v>6</v>
      </c>
      <c r="AQ38" s="114">
        <v>6</v>
      </c>
      <c r="AR38" s="114">
        <v>6</v>
      </c>
      <c r="AS38" s="114">
        <v>6</v>
      </c>
      <c r="AT38" s="114">
        <v>6</v>
      </c>
      <c r="AU38" s="114"/>
      <c r="AV38" s="114">
        <v>12</v>
      </c>
      <c r="AW38" s="114">
        <v>6</v>
      </c>
      <c r="AX38" s="114">
        <v>6</v>
      </c>
      <c r="AY38" s="114">
        <v>6</v>
      </c>
    </row>
    <row r="39" spans="1:52" x14ac:dyDescent="0.2">
      <c r="A39" s="114"/>
      <c r="B39" s="168" t="s">
        <v>347</v>
      </c>
      <c r="C39" s="114"/>
      <c r="D39" s="114">
        <f>D33-D36</f>
        <v>0</v>
      </c>
      <c r="E39" s="114">
        <f t="shared" ref="E39:AY39" si="12">E33-E36</f>
        <v>0</v>
      </c>
      <c r="F39" s="114">
        <f t="shared" si="12"/>
        <v>0</v>
      </c>
      <c r="G39" s="114">
        <f t="shared" si="12"/>
        <v>0</v>
      </c>
      <c r="H39" s="114">
        <f t="shared" si="12"/>
        <v>0</v>
      </c>
      <c r="I39" s="114">
        <f t="shared" si="12"/>
        <v>0</v>
      </c>
      <c r="J39" s="114">
        <f t="shared" si="12"/>
        <v>0</v>
      </c>
      <c r="K39" s="114">
        <f t="shared" si="12"/>
        <v>0</v>
      </c>
      <c r="L39" s="114">
        <f t="shared" si="12"/>
        <v>0</v>
      </c>
      <c r="M39" s="114">
        <f t="shared" si="12"/>
        <v>0</v>
      </c>
      <c r="N39" s="114">
        <f t="shared" si="12"/>
        <v>0</v>
      </c>
      <c r="O39" s="114">
        <f t="shared" si="12"/>
        <v>0</v>
      </c>
      <c r="P39" s="114">
        <f t="shared" si="12"/>
        <v>0</v>
      </c>
      <c r="Q39" s="114">
        <f t="shared" si="12"/>
        <v>0</v>
      </c>
      <c r="R39" s="114">
        <f t="shared" si="12"/>
        <v>0</v>
      </c>
      <c r="S39" s="114">
        <f t="shared" si="12"/>
        <v>0</v>
      </c>
      <c r="T39" s="114">
        <f t="shared" si="12"/>
        <v>0</v>
      </c>
      <c r="U39" s="114">
        <f t="shared" si="12"/>
        <v>0</v>
      </c>
      <c r="V39" s="114">
        <f t="shared" si="12"/>
        <v>0</v>
      </c>
      <c r="W39" s="114">
        <f t="shared" si="12"/>
        <v>0</v>
      </c>
      <c r="X39" s="114">
        <f t="shared" si="12"/>
        <v>0</v>
      </c>
      <c r="Y39" s="114">
        <f t="shared" si="12"/>
        <v>0</v>
      </c>
      <c r="Z39" s="114">
        <f t="shared" si="12"/>
        <v>0</v>
      </c>
      <c r="AA39" s="114">
        <f t="shared" si="12"/>
        <v>0</v>
      </c>
      <c r="AB39" s="114">
        <f t="shared" si="12"/>
        <v>0</v>
      </c>
      <c r="AC39" s="114">
        <f t="shared" si="12"/>
        <v>0</v>
      </c>
      <c r="AD39" s="114">
        <f t="shared" si="12"/>
        <v>0</v>
      </c>
      <c r="AE39" s="114">
        <f t="shared" si="12"/>
        <v>0</v>
      </c>
      <c r="AF39" s="114">
        <f t="shared" si="12"/>
        <v>0</v>
      </c>
      <c r="AG39" s="114">
        <f t="shared" si="12"/>
        <v>0</v>
      </c>
      <c r="AH39" s="114">
        <f t="shared" si="12"/>
        <v>0</v>
      </c>
      <c r="AI39" s="114">
        <f t="shared" si="12"/>
        <v>0</v>
      </c>
      <c r="AJ39" s="114">
        <f t="shared" si="12"/>
        <v>0</v>
      </c>
      <c r="AK39" s="114">
        <f t="shared" si="12"/>
        <v>0</v>
      </c>
      <c r="AL39" s="114">
        <f t="shared" si="12"/>
        <v>0</v>
      </c>
      <c r="AM39" s="114">
        <f t="shared" si="12"/>
        <v>0</v>
      </c>
      <c r="AN39" s="114">
        <f t="shared" si="12"/>
        <v>0</v>
      </c>
      <c r="AO39" s="114">
        <f t="shared" si="12"/>
        <v>0</v>
      </c>
      <c r="AP39" s="114">
        <f t="shared" si="12"/>
        <v>0</v>
      </c>
      <c r="AQ39" s="114">
        <f t="shared" si="12"/>
        <v>0</v>
      </c>
      <c r="AR39" s="114">
        <f t="shared" si="12"/>
        <v>0</v>
      </c>
      <c r="AS39" s="114">
        <f t="shared" si="12"/>
        <v>0</v>
      </c>
      <c r="AT39" s="114">
        <f t="shared" si="12"/>
        <v>0</v>
      </c>
      <c r="AU39" s="114">
        <f t="shared" si="12"/>
        <v>0</v>
      </c>
      <c r="AV39" s="114">
        <f t="shared" si="12"/>
        <v>0</v>
      </c>
      <c r="AW39" s="114">
        <f t="shared" si="12"/>
        <v>0</v>
      </c>
      <c r="AX39" s="114">
        <f t="shared" si="12"/>
        <v>0</v>
      </c>
      <c r="AY39" s="114">
        <f t="shared" si="12"/>
        <v>0</v>
      </c>
    </row>
    <row r="40" spans="1:52" x14ac:dyDescent="0.2">
      <c r="A40" s="114"/>
      <c r="B40" s="168" t="s">
        <v>348</v>
      </c>
      <c r="C40" s="114"/>
      <c r="D40" s="114">
        <f>D34-D37</f>
        <v>0</v>
      </c>
      <c r="E40" s="114">
        <f t="shared" ref="E40:AY40" si="13">E34-E37</f>
        <v>0</v>
      </c>
      <c r="F40" s="114">
        <f t="shared" si="13"/>
        <v>0</v>
      </c>
      <c r="G40" s="114">
        <f t="shared" si="13"/>
        <v>0</v>
      </c>
      <c r="H40" s="114">
        <f t="shared" si="13"/>
        <v>0</v>
      </c>
      <c r="I40" s="114">
        <f t="shared" si="13"/>
        <v>0</v>
      </c>
      <c r="J40" s="114">
        <f t="shared" si="13"/>
        <v>0</v>
      </c>
      <c r="K40" s="114">
        <f t="shared" si="13"/>
        <v>0</v>
      </c>
      <c r="L40" s="114">
        <f t="shared" si="13"/>
        <v>0</v>
      </c>
      <c r="M40" s="114">
        <f t="shared" si="13"/>
        <v>0</v>
      </c>
      <c r="N40" s="114">
        <f t="shared" si="13"/>
        <v>0</v>
      </c>
      <c r="O40" s="114">
        <f t="shared" si="13"/>
        <v>0</v>
      </c>
      <c r="P40" s="114">
        <f t="shared" si="13"/>
        <v>0</v>
      </c>
      <c r="Q40" s="114">
        <f t="shared" si="13"/>
        <v>0</v>
      </c>
      <c r="R40" s="114">
        <f t="shared" si="13"/>
        <v>0</v>
      </c>
      <c r="S40" s="114">
        <f t="shared" si="13"/>
        <v>0</v>
      </c>
      <c r="T40" s="114">
        <f t="shared" si="13"/>
        <v>0</v>
      </c>
      <c r="U40" s="114">
        <f t="shared" si="13"/>
        <v>0</v>
      </c>
      <c r="V40" s="114">
        <f t="shared" si="13"/>
        <v>0</v>
      </c>
      <c r="W40" s="114">
        <f t="shared" si="13"/>
        <v>0</v>
      </c>
      <c r="X40" s="114">
        <f t="shared" si="13"/>
        <v>0</v>
      </c>
      <c r="Y40" s="114">
        <f t="shared" si="13"/>
        <v>0</v>
      </c>
      <c r="Z40" s="114">
        <f t="shared" si="13"/>
        <v>0</v>
      </c>
      <c r="AA40" s="114">
        <f t="shared" si="13"/>
        <v>0</v>
      </c>
      <c r="AB40" s="114">
        <f t="shared" si="13"/>
        <v>0</v>
      </c>
      <c r="AC40" s="114">
        <f t="shared" si="13"/>
        <v>0</v>
      </c>
      <c r="AD40" s="114">
        <f t="shared" si="13"/>
        <v>0</v>
      </c>
      <c r="AE40" s="114">
        <f t="shared" si="13"/>
        <v>0</v>
      </c>
      <c r="AF40" s="114">
        <f t="shared" si="13"/>
        <v>0</v>
      </c>
      <c r="AG40" s="114">
        <f t="shared" si="13"/>
        <v>0</v>
      </c>
      <c r="AH40" s="114">
        <f t="shared" si="13"/>
        <v>0</v>
      </c>
      <c r="AI40" s="114">
        <f t="shared" si="13"/>
        <v>0</v>
      </c>
      <c r="AJ40" s="114">
        <f t="shared" si="13"/>
        <v>0</v>
      </c>
      <c r="AK40" s="114">
        <f t="shared" si="13"/>
        <v>0</v>
      </c>
      <c r="AL40" s="114">
        <f t="shared" si="13"/>
        <v>0</v>
      </c>
      <c r="AM40" s="114">
        <f t="shared" si="13"/>
        <v>0</v>
      </c>
      <c r="AN40" s="114">
        <f t="shared" si="13"/>
        <v>0</v>
      </c>
      <c r="AO40" s="114">
        <f t="shared" si="13"/>
        <v>0</v>
      </c>
      <c r="AP40" s="114">
        <f t="shared" si="13"/>
        <v>0</v>
      </c>
      <c r="AQ40" s="114">
        <f t="shared" si="13"/>
        <v>0</v>
      </c>
      <c r="AR40" s="114">
        <f t="shared" si="13"/>
        <v>0</v>
      </c>
      <c r="AS40" s="114">
        <f t="shared" si="13"/>
        <v>0</v>
      </c>
      <c r="AT40" s="114">
        <f t="shared" si="13"/>
        <v>0</v>
      </c>
      <c r="AU40" s="114">
        <f t="shared" si="13"/>
        <v>0</v>
      </c>
      <c r="AV40" s="114">
        <f t="shared" si="13"/>
        <v>0</v>
      </c>
      <c r="AW40" s="114">
        <f t="shared" si="13"/>
        <v>0</v>
      </c>
      <c r="AX40" s="114">
        <f t="shared" si="13"/>
        <v>0</v>
      </c>
      <c r="AY40" s="114">
        <f t="shared" si="13"/>
        <v>0</v>
      </c>
    </row>
    <row r="41" spans="1:52" x14ac:dyDescent="0.2">
      <c r="A41" s="114"/>
      <c r="B41" s="168" t="s">
        <v>349</v>
      </c>
      <c r="C41" s="114"/>
      <c r="D41" s="114">
        <v>1</v>
      </c>
      <c r="E41" s="114">
        <v>2</v>
      </c>
      <c r="F41" s="114">
        <v>2</v>
      </c>
      <c r="G41" s="114">
        <v>2</v>
      </c>
      <c r="H41" s="114">
        <v>1</v>
      </c>
      <c r="I41" s="114">
        <v>3</v>
      </c>
      <c r="J41" s="114">
        <v>2</v>
      </c>
      <c r="K41" s="114">
        <v>1</v>
      </c>
      <c r="L41" s="114">
        <v>1</v>
      </c>
      <c r="M41" s="114">
        <v>1</v>
      </c>
      <c r="N41" s="114">
        <v>2</v>
      </c>
      <c r="O41" s="114">
        <v>1</v>
      </c>
      <c r="P41" s="114">
        <v>1</v>
      </c>
      <c r="Q41" s="114">
        <v>2</v>
      </c>
      <c r="R41" s="114">
        <v>1</v>
      </c>
      <c r="S41" s="114">
        <v>3</v>
      </c>
      <c r="T41" s="114">
        <v>1</v>
      </c>
      <c r="U41" s="114">
        <v>1</v>
      </c>
      <c r="V41" s="114">
        <v>2</v>
      </c>
      <c r="W41" s="114">
        <v>1</v>
      </c>
      <c r="X41" s="114">
        <v>3</v>
      </c>
      <c r="Y41" s="114">
        <v>2</v>
      </c>
      <c r="Z41" s="114">
        <v>1</v>
      </c>
      <c r="AA41" s="114">
        <v>1</v>
      </c>
      <c r="AB41" s="114">
        <v>2</v>
      </c>
      <c r="AC41" s="114">
        <v>1</v>
      </c>
      <c r="AD41" s="114">
        <v>1</v>
      </c>
      <c r="AE41" s="114">
        <v>1</v>
      </c>
      <c r="AF41" s="114">
        <v>1</v>
      </c>
      <c r="AG41" s="114">
        <v>2</v>
      </c>
      <c r="AH41" s="114">
        <v>3</v>
      </c>
      <c r="AI41" s="114">
        <v>1</v>
      </c>
      <c r="AJ41" s="114">
        <v>1</v>
      </c>
      <c r="AK41" s="114">
        <v>2</v>
      </c>
      <c r="AL41" s="114">
        <v>1</v>
      </c>
      <c r="AM41" s="114">
        <v>2</v>
      </c>
      <c r="AN41" s="114">
        <v>1</v>
      </c>
      <c r="AO41" s="114">
        <v>1</v>
      </c>
      <c r="AP41" s="114">
        <v>1</v>
      </c>
      <c r="AQ41" s="114">
        <v>1</v>
      </c>
      <c r="AR41" s="114">
        <v>2</v>
      </c>
      <c r="AS41" s="114">
        <v>1</v>
      </c>
      <c r="AT41" s="114">
        <v>1</v>
      </c>
      <c r="AU41" s="114">
        <v>1</v>
      </c>
      <c r="AV41" s="114">
        <v>1</v>
      </c>
      <c r="AW41" s="114">
        <v>2</v>
      </c>
      <c r="AX41" s="114">
        <v>2</v>
      </c>
      <c r="AY41" s="114">
        <v>1</v>
      </c>
    </row>
    <row r="42" spans="1:52" x14ac:dyDescent="0.2">
      <c r="A42" s="114"/>
      <c r="B42" s="179" t="s">
        <v>350</v>
      </c>
      <c r="C42" s="114"/>
      <c r="D42" s="114">
        <v>528660</v>
      </c>
      <c r="E42" s="114">
        <v>288360</v>
      </c>
      <c r="F42" s="114">
        <v>288360</v>
      </c>
      <c r="G42" s="114">
        <v>288360</v>
      </c>
      <c r="H42" s="114">
        <v>288360</v>
      </c>
      <c r="I42" s="114">
        <v>288360</v>
      </c>
      <c r="J42" s="114">
        <v>288360</v>
      </c>
      <c r="K42" s="114">
        <v>288360</v>
      </c>
      <c r="L42" s="114">
        <v>288360</v>
      </c>
      <c r="M42" s="114">
        <v>288360</v>
      </c>
      <c r="N42" s="114">
        <v>288360</v>
      </c>
      <c r="O42" s="114">
        <v>288360</v>
      </c>
      <c r="P42" s="114">
        <v>288360</v>
      </c>
      <c r="Q42" s="114">
        <v>288360</v>
      </c>
      <c r="R42" s="114">
        <v>288360</v>
      </c>
      <c r="S42" s="114">
        <v>288360</v>
      </c>
      <c r="T42" s="114">
        <v>288360</v>
      </c>
      <c r="U42" s="114">
        <v>288360</v>
      </c>
      <c r="V42" s="114">
        <v>288360</v>
      </c>
      <c r="W42" s="114">
        <v>288360</v>
      </c>
      <c r="X42" s="114">
        <v>0</v>
      </c>
      <c r="Y42" s="114">
        <v>576720</v>
      </c>
      <c r="Z42" s="114">
        <v>288360</v>
      </c>
      <c r="AA42" s="114">
        <v>288360</v>
      </c>
      <c r="AB42" s="114">
        <v>288360</v>
      </c>
      <c r="AC42" s="114">
        <v>288360</v>
      </c>
      <c r="AD42" s="114">
        <v>288360</v>
      </c>
      <c r="AE42" s="114">
        <v>288360</v>
      </c>
      <c r="AF42" s="114">
        <v>288360</v>
      </c>
      <c r="AG42" s="114">
        <v>288360</v>
      </c>
      <c r="AH42" s="114">
        <v>0</v>
      </c>
      <c r="AI42" s="114">
        <v>576720</v>
      </c>
      <c r="AJ42" s="114">
        <v>288360</v>
      </c>
      <c r="AK42" s="114">
        <v>288360</v>
      </c>
      <c r="AL42" s="114">
        <v>288360</v>
      </c>
      <c r="AM42" s="114">
        <v>288360</v>
      </c>
      <c r="AN42" s="114">
        <v>288360</v>
      </c>
      <c r="AO42" s="114">
        <v>288360</v>
      </c>
      <c r="AP42" s="114">
        <v>288360</v>
      </c>
      <c r="AQ42" s="114">
        <v>288360</v>
      </c>
      <c r="AR42" s="114">
        <v>288360</v>
      </c>
      <c r="AS42" s="114">
        <v>288360</v>
      </c>
      <c r="AT42" s="114">
        <v>288360</v>
      </c>
      <c r="AU42" s="114">
        <v>0</v>
      </c>
      <c r="AV42" s="114">
        <v>576720</v>
      </c>
      <c r="AW42" s="114">
        <v>288360</v>
      </c>
      <c r="AX42" s="114">
        <v>288360</v>
      </c>
      <c r="AY42" s="114">
        <v>288360</v>
      </c>
      <c r="AZ42">
        <f>SUM($D$42:$AY$42)</f>
        <v>14081580</v>
      </c>
    </row>
    <row r="43" spans="1:52" x14ac:dyDescent="0.2">
      <c r="A43" s="114"/>
      <c r="B43" s="179" t="s">
        <v>351</v>
      </c>
      <c r="C43" s="114"/>
      <c r="D43" s="114">
        <v>0</v>
      </c>
      <c r="E43" s="114">
        <v>0</v>
      </c>
      <c r="F43" s="114">
        <v>0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114">
        <v>0</v>
      </c>
      <c r="M43" s="114">
        <v>0</v>
      </c>
      <c r="N43" s="114">
        <v>0</v>
      </c>
      <c r="O43" s="114">
        <v>0</v>
      </c>
      <c r="P43" s="114">
        <v>0</v>
      </c>
      <c r="Q43" s="114">
        <v>0</v>
      </c>
      <c r="R43" s="114">
        <v>0</v>
      </c>
      <c r="S43" s="114">
        <v>0</v>
      </c>
      <c r="T43" s="114">
        <v>0</v>
      </c>
      <c r="U43" s="114">
        <v>0</v>
      </c>
      <c r="V43" s="114">
        <v>0</v>
      </c>
      <c r="W43" s="114">
        <v>0</v>
      </c>
      <c r="X43" s="114">
        <v>0</v>
      </c>
      <c r="Y43" s="114">
        <v>0</v>
      </c>
      <c r="Z43" s="114">
        <v>0</v>
      </c>
      <c r="AA43" s="114">
        <v>0</v>
      </c>
      <c r="AB43" s="114">
        <v>0</v>
      </c>
      <c r="AC43" s="114">
        <v>0</v>
      </c>
      <c r="AD43" s="114">
        <v>0</v>
      </c>
      <c r="AE43" s="114">
        <v>0</v>
      </c>
      <c r="AF43" s="114">
        <v>0</v>
      </c>
      <c r="AG43" s="114">
        <v>0</v>
      </c>
      <c r="AH43" s="114">
        <v>0</v>
      </c>
      <c r="AI43" s="114">
        <v>0</v>
      </c>
      <c r="AJ43" s="114">
        <v>0</v>
      </c>
      <c r="AK43" s="114">
        <v>0</v>
      </c>
      <c r="AL43" s="114">
        <v>0</v>
      </c>
      <c r="AM43" s="114">
        <v>0</v>
      </c>
      <c r="AN43" s="114">
        <v>0</v>
      </c>
      <c r="AO43" s="114">
        <v>0</v>
      </c>
      <c r="AP43" s="114">
        <v>0</v>
      </c>
      <c r="AQ43" s="114">
        <v>0</v>
      </c>
      <c r="AR43" s="114">
        <v>0</v>
      </c>
      <c r="AS43" s="114">
        <v>0</v>
      </c>
      <c r="AT43" s="114">
        <v>0</v>
      </c>
      <c r="AU43" s="114">
        <v>0</v>
      </c>
      <c r="AV43" s="114">
        <v>0</v>
      </c>
      <c r="AW43" s="114">
        <v>0</v>
      </c>
      <c r="AX43" s="114">
        <v>0</v>
      </c>
      <c r="AY43" s="114">
        <v>0</v>
      </c>
      <c r="AZ43">
        <f>SUM($D$43:$AY$43)</f>
        <v>0</v>
      </c>
    </row>
    <row r="44" spans="1:52" x14ac:dyDescent="0.2">
      <c r="A44" s="138" t="s">
        <v>59</v>
      </c>
      <c r="B44" s="138" t="s">
        <v>341</v>
      </c>
      <c r="C44" s="127"/>
      <c r="D44" s="127">
        <f>D$21*shipping_manufacturing!$D$28/100</f>
        <v>0</v>
      </c>
      <c r="E44" s="127">
        <f>E$21*shipping_manufacturing!$D$28/100</f>
        <v>0</v>
      </c>
      <c r="F44" s="127">
        <f>F$21*shipping_manufacturing!$D$28/100</f>
        <v>0</v>
      </c>
      <c r="G44" s="127">
        <f>G$21*shipping_manufacturing!$D$28/100</f>
        <v>0</v>
      </c>
      <c r="H44" s="127">
        <f>H$21*shipping_manufacturing!$D$28/100</f>
        <v>0</v>
      </c>
      <c r="I44" s="127">
        <f>I$21*shipping_manufacturing!$D$28/100</f>
        <v>0</v>
      </c>
      <c r="J44" s="127">
        <f>J$21*shipping_manufacturing!$D$28/100</f>
        <v>0</v>
      </c>
      <c r="K44" s="127">
        <f>K$21*shipping_manufacturing!$D$28/100</f>
        <v>0</v>
      </c>
      <c r="L44" s="127">
        <f>L$21*shipping_manufacturing!$D$28/100</f>
        <v>0</v>
      </c>
      <c r="M44" s="127">
        <f>M$21*shipping_manufacturing!$D$28/100</f>
        <v>0</v>
      </c>
      <c r="N44" s="127">
        <f>N$21*shipping_manufacturing!$D$28/100</f>
        <v>0</v>
      </c>
      <c r="O44" s="127">
        <f>O$21*shipping_manufacturing!$D$28/100</f>
        <v>0</v>
      </c>
      <c r="P44" s="127">
        <f>P$21*shipping_manufacturing!$D$28/100</f>
        <v>0</v>
      </c>
      <c r="Q44" s="127">
        <f>Q$21*shipping_manufacturing!$D$28/100</f>
        <v>0</v>
      </c>
      <c r="R44" s="127">
        <f>R$21*shipping_manufacturing!$D$28/100</f>
        <v>0</v>
      </c>
      <c r="S44" s="127">
        <f>S$21*shipping_manufacturing!$D$28/100</f>
        <v>0</v>
      </c>
      <c r="T44" s="127">
        <f>T$21*shipping_manufacturing!$D$28/100</f>
        <v>0</v>
      </c>
      <c r="U44" s="127">
        <f>U$21*shipping_manufacturing!$D$28/100</f>
        <v>0</v>
      </c>
      <c r="V44" s="127">
        <f>V$21*shipping_manufacturing!$D$28/100</f>
        <v>0</v>
      </c>
      <c r="W44" s="127">
        <f>W$21*shipping_manufacturing!$D$28/100</f>
        <v>0</v>
      </c>
      <c r="X44" s="127">
        <f>X$21*shipping_manufacturing!$D$28/100</f>
        <v>0</v>
      </c>
      <c r="Y44" s="127">
        <f>Y$21*shipping_manufacturing!$D$28/100</f>
        <v>0</v>
      </c>
      <c r="Z44" s="127">
        <f>Z$21*shipping_manufacturing!$D$28/100</f>
        <v>0</v>
      </c>
      <c r="AA44" s="127">
        <f>AA$21*shipping_manufacturing!$D$28/100</f>
        <v>0</v>
      </c>
      <c r="AB44" s="127">
        <f>AB$21*shipping_manufacturing!$D$28/100</f>
        <v>0</v>
      </c>
      <c r="AC44" s="127">
        <f>AC$21*shipping_manufacturing!$D$28/100</f>
        <v>0</v>
      </c>
      <c r="AD44" s="127">
        <f>AD$21*shipping_manufacturing!$D$28/100</f>
        <v>0</v>
      </c>
      <c r="AE44" s="127">
        <f>AE$21*shipping_manufacturing!$D$28/100</f>
        <v>0</v>
      </c>
      <c r="AF44" s="127">
        <f>AF$21*shipping_manufacturing!$D$28/100</f>
        <v>0</v>
      </c>
      <c r="AG44" s="127">
        <f>AG$21*shipping_manufacturing!$D$28/100</f>
        <v>0</v>
      </c>
      <c r="AH44" s="127">
        <f>AH$21*shipping_manufacturing!$D$28/100</f>
        <v>0</v>
      </c>
      <c r="AI44" s="127">
        <f>AI$21*shipping_manufacturing!$D$28/100</f>
        <v>0</v>
      </c>
      <c r="AJ44" s="127">
        <f>AJ$21*shipping_manufacturing!$D$28/100</f>
        <v>0</v>
      </c>
      <c r="AK44" s="127">
        <f>AK$21*shipping_manufacturing!$D$28/100</f>
        <v>0</v>
      </c>
      <c r="AL44" s="127">
        <f>AL$21*shipping_manufacturing!$D$28/100</f>
        <v>0</v>
      </c>
      <c r="AM44" s="127">
        <f>AM$21*shipping_manufacturing!$D$28/100</f>
        <v>0</v>
      </c>
      <c r="AN44" s="127">
        <f>AN$21*shipping_manufacturing!$D$28/100</f>
        <v>0</v>
      </c>
      <c r="AO44" s="127">
        <f>AO$21*shipping_manufacturing!$D$28/100</f>
        <v>0</v>
      </c>
      <c r="AP44" s="127">
        <f>AP$21*shipping_manufacturing!$D$28/100</f>
        <v>0</v>
      </c>
      <c r="AQ44" s="127">
        <f>AQ$21*shipping_manufacturing!$D$28/100</f>
        <v>0</v>
      </c>
      <c r="AR44" s="127">
        <f>AR$21*shipping_manufacturing!$D$28/100</f>
        <v>0</v>
      </c>
      <c r="AS44" s="127">
        <f>AS$21*shipping_manufacturing!$D$28/100</f>
        <v>0</v>
      </c>
      <c r="AT44" s="127">
        <f>AT$21*shipping_manufacturing!$D$28/100</f>
        <v>0</v>
      </c>
      <c r="AU44" s="127">
        <f>AU$21*shipping_manufacturing!$D$28/100</f>
        <v>0</v>
      </c>
      <c r="AV44" s="127">
        <f>AV$21*shipping_manufacturing!$D$28/100</f>
        <v>0</v>
      </c>
      <c r="AW44" s="127">
        <f>AW$21*shipping_manufacturing!$D$28/100</f>
        <v>0</v>
      </c>
      <c r="AX44" s="127">
        <f>AX$21*shipping_manufacturing!$D$28/100</f>
        <v>0</v>
      </c>
      <c r="AY44" s="127">
        <f>AY$21*shipping_manufacturing!$D$28/100</f>
        <v>0</v>
      </c>
    </row>
    <row r="45" spans="1:52" x14ac:dyDescent="0.2">
      <c r="A45" s="116" t="s">
        <v>340</v>
      </c>
      <c r="B45" s="168" t="s">
        <v>342</v>
      </c>
      <c r="C45" s="114"/>
      <c r="D45" s="114">
        <f>D$22*shipping_manufacturing!$E$28/100</f>
        <v>0</v>
      </c>
      <c r="E45" s="114">
        <f>E$22*shipping_manufacturing!$E$28/100</f>
        <v>0</v>
      </c>
      <c r="F45" s="114">
        <f>F$22*shipping_manufacturing!$E$28/100</f>
        <v>0</v>
      </c>
      <c r="G45" s="114">
        <f>G$22*shipping_manufacturing!$E$28/100</f>
        <v>0</v>
      </c>
      <c r="H45" s="114">
        <f>H$22*shipping_manufacturing!$E$28/100</f>
        <v>0</v>
      </c>
      <c r="I45" s="114">
        <f>I$22*shipping_manufacturing!$E$28/100</f>
        <v>0</v>
      </c>
      <c r="J45" s="114">
        <f>J$22*shipping_manufacturing!$E$28/100</f>
        <v>0</v>
      </c>
      <c r="K45" s="114">
        <f>K$22*shipping_manufacturing!$E$28/100</f>
        <v>0</v>
      </c>
      <c r="L45" s="114">
        <f>L$22*shipping_manufacturing!$E$28/100</f>
        <v>0</v>
      </c>
      <c r="M45" s="114">
        <f>M$22*shipping_manufacturing!$E$28/100</f>
        <v>0</v>
      </c>
      <c r="N45" s="114">
        <f>N$22*shipping_manufacturing!$E$28/100</f>
        <v>0</v>
      </c>
      <c r="O45" s="114">
        <f>O$22*shipping_manufacturing!$E$28/100</f>
        <v>0</v>
      </c>
      <c r="P45" s="114">
        <f>P$22*shipping_manufacturing!$E$28/100</f>
        <v>0</v>
      </c>
      <c r="Q45" s="114">
        <f>Q$22*shipping_manufacturing!$E$28/100</f>
        <v>0</v>
      </c>
      <c r="R45" s="114">
        <f>R$22*shipping_manufacturing!$E$28/100</f>
        <v>0</v>
      </c>
      <c r="S45" s="114">
        <f>S$22*shipping_manufacturing!$E$28/100</f>
        <v>0</v>
      </c>
      <c r="T45" s="114">
        <f>T$22*shipping_manufacturing!$E$28/100</f>
        <v>0</v>
      </c>
      <c r="U45" s="114">
        <f>U$22*shipping_manufacturing!$E$28/100</f>
        <v>0</v>
      </c>
      <c r="V45" s="114">
        <f>V$22*shipping_manufacturing!$E$28/100</f>
        <v>0</v>
      </c>
      <c r="W45" s="114">
        <f>W$22*shipping_manufacturing!$E$28/100</f>
        <v>0</v>
      </c>
      <c r="X45" s="114">
        <f>X$22*shipping_manufacturing!$E$28/100</f>
        <v>0</v>
      </c>
      <c r="Y45" s="114">
        <f>Y$22*shipping_manufacturing!$E$28/100</f>
        <v>0</v>
      </c>
      <c r="Z45" s="114">
        <f>Z$22*shipping_manufacturing!$E$28/100</f>
        <v>0</v>
      </c>
      <c r="AA45" s="114">
        <f>AA$22*shipping_manufacturing!$E$28/100</f>
        <v>0</v>
      </c>
      <c r="AB45" s="114">
        <f>AB$22*shipping_manufacturing!$E$28/100</f>
        <v>0</v>
      </c>
      <c r="AC45" s="114">
        <f>AC$22*shipping_manufacturing!$E$28/100</f>
        <v>0</v>
      </c>
      <c r="AD45" s="114">
        <f>AD$22*shipping_manufacturing!$E$28/100</f>
        <v>0</v>
      </c>
      <c r="AE45" s="114">
        <f>AE$22*shipping_manufacturing!$E$28/100</f>
        <v>0</v>
      </c>
      <c r="AF45" s="114">
        <f>AF$22*shipping_manufacturing!$E$28/100</f>
        <v>0</v>
      </c>
      <c r="AG45" s="114">
        <f>AG$22*shipping_manufacturing!$E$28/100</f>
        <v>0</v>
      </c>
      <c r="AH45" s="114">
        <f>AH$22*shipping_manufacturing!$E$28/100</f>
        <v>0</v>
      </c>
      <c r="AI45" s="114">
        <f>AI$22*shipping_manufacturing!$E$28/100</f>
        <v>0</v>
      </c>
      <c r="AJ45" s="114">
        <f>AJ$22*shipping_manufacturing!$E$28/100</f>
        <v>0</v>
      </c>
      <c r="AK45" s="114">
        <f>AK$22*shipping_manufacturing!$E$28/100</f>
        <v>0</v>
      </c>
      <c r="AL45" s="114">
        <f>AL$22*shipping_manufacturing!$E$28/100</f>
        <v>0</v>
      </c>
      <c r="AM45" s="114">
        <f>AM$22*shipping_manufacturing!$E$28/100</f>
        <v>0</v>
      </c>
      <c r="AN45" s="114">
        <f>AN$22*shipping_manufacturing!$E$28/100</f>
        <v>0</v>
      </c>
      <c r="AO45" s="114">
        <f>AO$22*shipping_manufacturing!$E$28/100</f>
        <v>0</v>
      </c>
      <c r="AP45" s="114">
        <f>AP$22*shipping_manufacturing!$E$28/100</f>
        <v>0</v>
      </c>
      <c r="AQ45" s="114">
        <f>AQ$22*shipping_manufacturing!$E$28/100</f>
        <v>0</v>
      </c>
      <c r="AR45" s="114">
        <f>AR$22*shipping_manufacturing!$E$28/100</f>
        <v>0</v>
      </c>
      <c r="AS45" s="114">
        <f>AS$22*shipping_manufacturing!$E$28/100</f>
        <v>0</v>
      </c>
      <c r="AT45" s="114">
        <f>AT$22*shipping_manufacturing!$E$28/100</f>
        <v>0</v>
      </c>
      <c r="AU45" s="114">
        <f>AU$22*shipping_manufacturing!$E$28/100</f>
        <v>0</v>
      </c>
      <c r="AV45" s="114">
        <f>AV$22*shipping_manufacturing!$E$28/100</f>
        <v>0</v>
      </c>
      <c r="AW45" s="114">
        <f>AW$22*shipping_manufacturing!$E$28/100</f>
        <v>0</v>
      </c>
      <c r="AX45" s="114">
        <f>AX$22*shipping_manufacturing!$E$28/100</f>
        <v>0</v>
      </c>
      <c r="AY45" s="114">
        <f>AY$22*shipping_manufacturing!$E$28/100</f>
        <v>0</v>
      </c>
    </row>
    <row r="46" spans="1:52" x14ac:dyDescent="0.2">
      <c r="A46" s="114">
        <v>718</v>
      </c>
      <c r="B46" s="168" t="s">
        <v>343</v>
      </c>
      <c r="C46" s="114"/>
      <c r="D46" s="114">
        <f>SUM(D44:D45)</f>
        <v>0</v>
      </c>
      <c r="E46" s="114">
        <f t="shared" ref="E46:AY46" si="14">SUM(E44:E45)</f>
        <v>0</v>
      </c>
      <c r="F46" s="114">
        <f t="shared" si="14"/>
        <v>0</v>
      </c>
      <c r="G46" s="114">
        <f t="shared" si="14"/>
        <v>0</v>
      </c>
      <c r="H46" s="114">
        <f t="shared" si="14"/>
        <v>0</v>
      </c>
      <c r="I46" s="114">
        <f t="shared" si="14"/>
        <v>0</v>
      </c>
      <c r="J46" s="114">
        <f t="shared" si="14"/>
        <v>0</v>
      </c>
      <c r="K46" s="114">
        <f t="shared" si="14"/>
        <v>0</v>
      </c>
      <c r="L46" s="114">
        <f t="shared" si="14"/>
        <v>0</v>
      </c>
      <c r="M46" s="114">
        <f t="shared" si="14"/>
        <v>0</v>
      </c>
      <c r="N46" s="114">
        <f t="shared" si="14"/>
        <v>0</v>
      </c>
      <c r="O46" s="114">
        <f t="shared" si="14"/>
        <v>0</v>
      </c>
      <c r="P46" s="114">
        <f t="shared" si="14"/>
        <v>0</v>
      </c>
      <c r="Q46" s="114">
        <f t="shared" si="14"/>
        <v>0</v>
      </c>
      <c r="R46" s="114">
        <f t="shared" si="14"/>
        <v>0</v>
      </c>
      <c r="S46" s="114">
        <f t="shared" si="14"/>
        <v>0</v>
      </c>
      <c r="T46" s="114">
        <f t="shared" si="14"/>
        <v>0</v>
      </c>
      <c r="U46" s="114">
        <f t="shared" si="14"/>
        <v>0</v>
      </c>
      <c r="V46" s="114">
        <f t="shared" si="14"/>
        <v>0</v>
      </c>
      <c r="W46" s="114">
        <f t="shared" si="14"/>
        <v>0</v>
      </c>
      <c r="X46" s="114">
        <f t="shared" si="14"/>
        <v>0</v>
      </c>
      <c r="Y46" s="114">
        <f t="shared" si="14"/>
        <v>0</v>
      </c>
      <c r="Z46" s="114">
        <f t="shared" si="14"/>
        <v>0</v>
      </c>
      <c r="AA46" s="114">
        <f t="shared" si="14"/>
        <v>0</v>
      </c>
      <c r="AB46" s="114">
        <f t="shared" si="14"/>
        <v>0</v>
      </c>
      <c r="AC46" s="114">
        <f t="shared" si="14"/>
        <v>0</v>
      </c>
      <c r="AD46" s="114">
        <f t="shared" si="14"/>
        <v>0</v>
      </c>
      <c r="AE46" s="114">
        <f t="shared" si="14"/>
        <v>0</v>
      </c>
      <c r="AF46" s="114">
        <f t="shared" si="14"/>
        <v>0</v>
      </c>
      <c r="AG46" s="114">
        <f t="shared" si="14"/>
        <v>0</v>
      </c>
      <c r="AH46" s="114">
        <f t="shared" si="14"/>
        <v>0</v>
      </c>
      <c r="AI46" s="114">
        <f t="shared" si="14"/>
        <v>0</v>
      </c>
      <c r="AJ46" s="114">
        <f t="shared" si="14"/>
        <v>0</v>
      </c>
      <c r="AK46" s="114">
        <f t="shared" si="14"/>
        <v>0</v>
      </c>
      <c r="AL46" s="114">
        <f t="shared" si="14"/>
        <v>0</v>
      </c>
      <c r="AM46" s="114">
        <f t="shared" si="14"/>
        <v>0</v>
      </c>
      <c r="AN46" s="114">
        <f t="shared" si="14"/>
        <v>0</v>
      </c>
      <c r="AO46" s="114">
        <f t="shared" si="14"/>
        <v>0</v>
      </c>
      <c r="AP46" s="114">
        <f t="shared" si="14"/>
        <v>0</v>
      </c>
      <c r="AQ46" s="114">
        <f t="shared" si="14"/>
        <v>0</v>
      </c>
      <c r="AR46" s="114">
        <f t="shared" si="14"/>
        <v>0</v>
      </c>
      <c r="AS46" s="114">
        <f t="shared" si="14"/>
        <v>0</v>
      </c>
      <c r="AT46" s="114">
        <f t="shared" si="14"/>
        <v>0</v>
      </c>
      <c r="AU46" s="114">
        <f t="shared" si="14"/>
        <v>0</v>
      </c>
      <c r="AV46" s="114">
        <f t="shared" si="14"/>
        <v>0</v>
      </c>
      <c r="AW46" s="114">
        <f t="shared" si="14"/>
        <v>0</v>
      </c>
      <c r="AX46" s="114">
        <f t="shared" si="14"/>
        <v>0</v>
      </c>
      <c r="AY46" s="114">
        <f t="shared" si="14"/>
        <v>0</v>
      </c>
    </row>
    <row r="47" spans="1:52" x14ac:dyDescent="0.2">
      <c r="A47" s="114"/>
      <c r="B47" s="168" t="s">
        <v>344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4"/>
      <c r="AF47" s="114"/>
      <c r="AG47" s="114"/>
      <c r="AH47" s="114"/>
      <c r="AI47" s="114"/>
      <c r="AJ47" s="114"/>
      <c r="AK47" s="114"/>
      <c r="AL47" s="114"/>
      <c r="AM47" s="114"/>
      <c r="AN47" s="114"/>
      <c r="AO47" s="114"/>
      <c r="AP47" s="114"/>
      <c r="AQ47" s="114"/>
      <c r="AR47" s="114"/>
      <c r="AS47" s="114"/>
      <c r="AT47" s="114"/>
      <c r="AU47" s="114"/>
      <c r="AV47" s="114"/>
      <c r="AW47" s="114"/>
      <c r="AX47" s="114"/>
      <c r="AY47" s="114"/>
    </row>
    <row r="48" spans="1:52" x14ac:dyDescent="0.2">
      <c r="A48" s="114"/>
      <c r="B48" s="168" t="s">
        <v>345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4"/>
      <c r="AF48" s="114"/>
      <c r="AG48" s="114"/>
      <c r="AH48" s="114"/>
      <c r="AI48" s="114"/>
      <c r="AJ48" s="114"/>
      <c r="AK48" s="114"/>
      <c r="AL48" s="114"/>
      <c r="AM48" s="114"/>
      <c r="AN48" s="114"/>
      <c r="AO48" s="114"/>
      <c r="AP48" s="114"/>
      <c r="AQ48" s="114"/>
      <c r="AR48" s="114"/>
      <c r="AS48" s="114"/>
      <c r="AT48" s="114"/>
      <c r="AU48" s="114"/>
      <c r="AV48" s="114"/>
      <c r="AW48" s="114"/>
      <c r="AX48" s="114"/>
      <c r="AY48" s="114"/>
    </row>
    <row r="49" spans="1:52" x14ac:dyDescent="0.2">
      <c r="A49" s="114"/>
      <c r="B49" s="168" t="s">
        <v>346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4"/>
      <c r="AF49" s="114"/>
      <c r="AG49" s="114"/>
      <c r="AH49" s="114"/>
      <c r="AI49" s="114"/>
      <c r="AJ49" s="114"/>
      <c r="AK49" s="114"/>
      <c r="AL49" s="114"/>
      <c r="AM49" s="114"/>
      <c r="AN49" s="114"/>
      <c r="AO49" s="114"/>
      <c r="AP49" s="114"/>
      <c r="AQ49" s="114"/>
      <c r="AR49" s="114"/>
      <c r="AS49" s="114"/>
      <c r="AT49" s="114"/>
      <c r="AU49" s="114"/>
      <c r="AV49" s="114"/>
      <c r="AW49" s="114"/>
      <c r="AX49" s="114"/>
      <c r="AY49" s="114"/>
    </row>
    <row r="50" spans="1:52" x14ac:dyDescent="0.2">
      <c r="A50" s="114"/>
      <c r="B50" s="168" t="s">
        <v>347</v>
      </c>
      <c r="C50" s="114"/>
      <c r="D50" s="114">
        <f>D44-D47</f>
        <v>0</v>
      </c>
      <c r="E50" s="114">
        <f t="shared" ref="E50:AY50" si="15">E44-E47</f>
        <v>0</v>
      </c>
      <c r="F50" s="114">
        <f t="shared" si="15"/>
        <v>0</v>
      </c>
      <c r="G50" s="114">
        <f t="shared" si="15"/>
        <v>0</v>
      </c>
      <c r="H50" s="114">
        <f t="shared" si="15"/>
        <v>0</v>
      </c>
      <c r="I50" s="114">
        <f t="shared" si="15"/>
        <v>0</v>
      </c>
      <c r="J50" s="114">
        <f t="shared" si="15"/>
        <v>0</v>
      </c>
      <c r="K50" s="114">
        <f t="shared" si="15"/>
        <v>0</v>
      </c>
      <c r="L50" s="114">
        <f t="shared" si="15"/>
        <v>0</v>
      </c>
      <c r="M50" s="114">
        <f t="shared" si="15"/>
        <v>0</v>
      </c>
      <c r="N50" s="114">
        <f t="shared" si="15"/>
        <v>0</v>
      </c>
      <c r="O50" s="114">
        <f t="shared" si="15"/>
        <v>0</v>
      </c>
      <c r="P50" s="114">
        <f t="shared" si="15"/>
        <v>0</v>
      </c>
      <c r="Q50" s="114">
        <f t="shared" si="15"/>
        <v>0</v>
      </c>
      <c r="R50" s="114">
        <f t="shared" si="15"/>
        <v>0</v>
      </c>
      <c r="S50" s="114">
        <f t="shared" si="15"/>
        <v>0</v>
      </c>
      <c r="T50" s="114">
        <f t="shared" si="15"/>
        <v>0</v>
      </c>
      <c r="U50" s="114">
        <f t="shared" si="15"/>
        <v>0</v>
      </c>
      <c r="V50" s="114">
        <f t="shared" si="15"/>
        <v>0</v>
      </c>
      <c r="W50" s="114">
        <f t="shared" si="15"/>
        <v>0</v>
      </c>
      <c r="X50" s="114">
        <f t="shared" si="15"/>
        <v>0</v>
      </c>
      <c r="Y50" s="114">
        <f t="shared" si="15"/>
        <v>0</v>
      </c>
      <c r="Z50" s="114">
        <f t="shared" si="15"/>
        <v>0</v>
      </c>
      <c r="AA50" s="114">
        <f t="shared" si="15"/>
        <v>0</v>
      </c>
      <c r="AB50" s="114">
        <f t="shared" si="15"/>
        <v>0</v>
      </c>
      <c r="AC50" s="114">
        <f t="shared" si="15"/>
        <v>0</v>
      </c>
      <c r="AD50" s="114">
        <f t="shared" si="15"/>
        <v>0</v>
      </c>
      <c r="AE50" s="114">
        <f t="shared" si="15"/>
        <v>0</v>
      </c>
      <c r="AF50" s="114">
        <f t="shared" si="15"/>
        <v>0</v>
      </c>
      <c r="AG50" s="114">
        <f t="shared" si="15"/>
        <v>0</v>
      </c>
      <c r="AH50" s="114">
        <f t="shared" si="15"/>
        <v>0</v>
      </c>
      <c r="AI50" s="114">
        <f t="shared" si="15"/>
        <v>0</v>
      </c>
      <c r="AJ50" s="114">
        <f t="shared" si="15"/>
        <v>0</v>
      </c>
      <c r="AK50" s="114">
        <f t="shared" si="15"/>
        <v>0</v>
      </c>
      <c r="AL50" s="114">
        <f t="shared" si="15"/>
        <v>0</v>
      </c>
      <c r="AM50" s="114">
        <f t="shared" si="15"/>
        <v>0</v>
      </c>
      <c r="AN50" s="114">
        <f t="shared" si="15"/>
        <v>0</v>
      </c>
      <c r="AO50" s="114">
        <f t="shared" si="15"/>
        <v>0</v>
      </c>
      <c r="AP50" s="114">
        <f t="shared" si="15"/>
        <v>0</v>
      </c>
      <c r="AQ50" s="114">
        <f t="shared" si="15"/>
        <v>0</v>
      </c>
      <c r="AR50" s="114">
        <f t="shared" si="15"/>
        <v>0</v>
      </c>
      <c r="AS50" s="114">
        <f t="shared" si="15"/>
        <v>0</v>
      </c>
      <c r="AT50" s="114">
        <f t="shared" si="15"/>
        <v>0</v>
      </c>
      <c r="AU50" s="114">
        <f t="shared" si="15"/>
        <v>0</v>
      </c>
      <c r="AV50" s="114">
        <f t="shared" si="15"/>
        <v>0</v>
      </c>
      <c r="AW50" s="114">
        <f t="shared" si="15"/>
        <v>0</v>
      </c>
      <c r="AX50" s="114">
        <f t="shared" si="15"/>
        <v>0</v>
      </c>
      <c r="AY50" s="114">
        <f t="shared" si="15"/>
        <v>0</v>
      </c>
    </row>
    <row r="51" spans="1:52" x14ac:dyDescent="0.2">
      <c r="A51" s="114"/>
      <c r="B51" s="168" t="s">
        <v>348</v>
      </c>
      <c r="C51" s="114"/>
      <c r="D51" s="114">
        <f>D45-D48</f>
        <v>0</v>
      </c>
      <c r="E51" s="114">
        <f t="shared" ref="E51:AY51" si="16">E45-E48</f>
        <v>0</v>
      </c>
      <c r="F51" s="114">
        <f t="shared" si="16"/>
        <v>0</v>
      </c>
      <c r="G51" s="114">
        <f t="shared" si="16"/>
        <v>0</v>
      </c>
      <c r="H51" s="114">
        <f t="shared" si="16"/>
        <v>0</v>
      </c>
      <c r="I51" s="114">
        <f t="shared" si="16"/>
        <v>0</v>
      </c>
      <c r="J51" s="114">
        <f t="shared" si="16"/>
        <v>0</v>
      </c>
      <c r="K51" s="114">
        <f t="shared" si="16"/>
        <v>0</v>
      </c>
      <c r="L51" s="114">
        <f t="shared" si="16"/>
        <v>0</v>
      </c>
      <c r="M51" s="114">
        <f t="shared" si="16"/>
        <v>0</v>
      </c>
      <c r="N51" s="114">
        <f t="shared" si="16"/>
        <v>0</v>
      </c>
      <c r="O51" s="114">
        <f t="shared" si="16"/>
        <v>0</v>
      </c>
      <c r="P51" s="114">
        <f t="shared" si="16"/>
        <v>0</v>
      </c>
      <c r="Q51" s="114">
        <f t="shared" si="16"/>
        <v>0</v>
      </c>
      <c r="R51" s="114">
        <f t="shared" si="16"/>
        <v>0</v>
      </c>
      <c r="S51" s="114">
        <f t="shared" si="16"/>
        <v>0</v>
      </c>
      <c r="T51" s="114">
        <f t="shared" si="16"/>
        <v>0</v>
      </c>
      <c r="U51" s="114">
        <f t="shared" si="16"/>
        <v>0</v>
      </c>
      <c r="V51" s="114">
        <f t="shared" si="16"/>
        <v>0</v>
      </c>
      <c r="W51" s="114">
        <f t="shared" si="16"/>
        <v>0</v>
      </c>
      <c r="X51" s="114">
        <f t="shared" si="16"/>
        <v>0</v>
      </c>
      <c r="Y51" s="114">
        <f t="shared" si="16"/>
        <v>0</v>
      </c>
      <c r="Z51" s="114">
        <f t="shared" si="16"/>
        <v>0</v>
      </c>
      <c r="AA51" s="114">
        <f t="shared" si="16"/>
        <v>0</v>
      </c>
      <c r="AB51" s="114">
        <f t="shared" si="16"/>
        <v>0</v>
      </c>
      <c r="AC51" s="114">
        <f t="shared" si="16"/>
        <v>0</v>
      </c>
      <c r="AD51" s="114">
        <f t="shared" si="16"/>
        <v>0</v>
      </c>
      <c r="AE51" s="114">
        <f t="shared" si="16"/>
        <v>0</v>
      </c>
      <c r="AF51" s="114">
        <f t="shared" si="16"/>
        <v>0</v>
      </c>
      <c r="AG51" s="114">
        <f t="shared" si="16"/>
        <v>0</v>
      </c>
      <c r="AH51" s="114">
        <f t="shared" si="16"/>
        <v>0</v>
      </c>
      <c r="AI51" s="114">
        <f t="shared" si="16"/>
        <v>0</v>
      </c>
      <c r="AJ51" s="114">
        <f t="shared" si="16"/>
        <v>0</v>
      </c>
      <c r="AK51" s="114">
        <f t="shared" si="16"/>
        <v>0</v>
      </c>
      <c r="AL51" s="114">
        <f t="shared" si="16"/>
        <v>0</v>
      </c>
      <c r="AM51" s="114">
        <f t="shared" si="16"/>
        <v>0</v>
      </c>
      <c r="AN51" s="114">
        <f t="shared" si="16"/>
        <v>0</v>
      </c>
      <c r="AO51" s="114">
        <f t="shared" si="16"/>
        <v>0</v>
      </c>
      <c r="AP51" s="114">
        <f t="shared" si="16"/>
        <v>0</v>
      </c>
      <c r="AQ51" s="114">
        <f t="shared" si="16"/>
        <v>0</v>
      </c>
      <c r="AR51" s="114">
        <f t="shared" si="16"/>
        <v>0</v>
      </c>
      <c r="AS51" s="114">
        <f t="shared" si="16"/>
        <v>0</v>
      </c>
      <c r="AT51" s="114">
        <f t="shared" si="16"/>
        <v>0</v>
      </c>
      <c r="AU51" s="114">
        <f t="shared" si="16"/>
        <v>0</v>
      </c>
      <c r="AV51" s="114">
        <f t="shared" si="16"/>
        <v>0</v>
      </c>
      <c r="AW51" s="114">
        <f t="shared" si="16"/>
        <v>0</v>
      </c>
      <c r="AX51" s="114">
        <f t="shared" si="16"/>
        <v>0</v>
      </c>
      <c r="AY51" s="114">
        <f t="shared" si="16"/>
        <v>0</v>
      </c>
    </row>
    <row r="52" spans="1:52" x14ac:dyDescent="0.2">
      <c r="A52" s="114"/>
      <c r="B52" s="168" t="s">
        <v>349</v>
      </c>
      <c r="C52" s="114"/>
      <c r="D52" s="114">
        <v>2</v>
      </c>
      <c r="E52" s="114">
        <v>1</v>
      </c>
      <c r="F52" s="114">
        <v>1</v>
      </c>
      <c r="G52" s="114">
        <v>1</v>
      </c>
      <c r="H52" s="114">
        <v>1</v>
      </c>
      <c r="I52" s="114">
        <v>1</v>
      </c>
      <c r="J52" s="114">
        <v>2</v>
      </c>
      <c r="K52" s="114">
        <v>2</v>
      </c>
      <c r="L52" s="114">
        <v>1</v>
      </c>
      <c r="M52" s="114">
        <v>1</v>
      </c>
      <c r="N52" s="114">
        <v>1</v>
      </c>
      <c r="O52" s="114">
        <v>2</v>
      </c>
      <c r="P52" s="114">
        <v>1</v>
      </c>
      <c r="Q52" s="114">
        <v>1</v>
      </c>
      <c r="R52" s="114">
        <v>2</v>
      </c>
      <c r="S52" s="114">
        <v>1</v>
      </c>
      <c r="T52" s="114">
        <v>2</v>
      </c>
      <c r="U52" s="114">
        <v>1</v>
      </c>
      <c r="V52" s="114">
        <v>2</v>
      </c>
      <c r="W52" s="114">
        <v>1</v>
      </c>
      <c r="X52" s="114">
        <v>1</v>
      </c>
      <c r="Y52" s="114">
        <v>1</v>
      </c>
      <c r="Z52" s="114">
        <v>2</v>
      </c>
      <c r="AA52" s="114">
        <v>2</v>
      </c>
      <c r="AB52" s="114">
        <v>1</v>
      </c>
      <c r="AC52" s="114">
        <v>2</v>
      </c>
      <c r="AD52" s="114">
        <v>1</v>
      </c>
      <c r="AE52" s="114">
        <v>1</v>
      </c>
      <c r="AF52" s="114">
        <v>1</v>
      </c>
      <c r="AG52" s="114">
        <v>1</v>
      </c>
      <c r="AH52" s="114">
        <v>3</v>
      </c>
      <c r="AI52" s="114">
        <v>1</v>
      </c>
      <c r="AJ52" s="114">
        <v>1</v>
      </c>
      <c r="AK52" s="114">
        <v>1</v>
      </c>
      <c r="AL52" s="114">
        <v>2</v>
      </c>
      <c r="AM52" s="114">
        <v>1</v>
      </c>
      <c r="AN52" s="114">
        <v>3</v>
      </c>
      <c r="AO52" s="114">
        <v>1</v>
      </c>
      <c r="AP52" s="114">
        <v>2</v>
      </c>
      <c r="AQ52" s="114">
        <v>2</v>
      </c>
      <c r="AR52" s="114">
        <v>1</v>
      </c>
      <c r="AS52" s="114">
        <v>1</v>
      </c>
      <c r="AT52" s="114">
        <v>1</v>
      </c>
      <c r="AU52" s="114">
        <v>1</v>
      </c>
      <c r="AV52" s="114">
        <v>1</v>
      </c>
      <c r="AW52" s="114">
        <v>1</v>
      </c>
      <c r="AX52" s="114">
        <v>1</v>
      </c>
      <c r="AY52" s="114">
        <v>1</v>
      </c>
    </row>
    <row r="53" spans="1:52" x14ac:dyDescent="0.2">
      <c r="A53" s="114"/>
      <c r="B53" s="179" t="s">
        <v>350</v>
      </c>
      <c r="C53" s="114"/>
      <c r="D53" s="114">
        <v>0</v>
      </c>
      <c r="E53" s="114">
        <v>0</v>
      </c>
      <c r="F53" s="114">
        <v>0</v>
      </c>
      <c r="G53" s="114">
        <v>0</v>
      </c>
      <c r="H53" s="114">
        <v>0</v>
      </c>
      <c r="I53" s="114">
        <v>0</v>
      </c>
      <c r="J53" s="114">
        <v>0</v>
      </c>
      <c r="K53" s="114">
        <v>0</v>
      </c>
      <c r="L53" s="114">
        <v>0</v>
      </c>
      <c r="M53" s="114">
        <v>0</v>
      </c>
      <c r="N53" s="114">
        <v>0</v>
      </c>
      <c r="O53" s="114">
        <v>0</v>
      </c>
      <c r="P53" s="114">
        <v>0</v>
      </c>
      <c r="Q53" s="114">
        <v>0</v>
      </c>
      <c r="R53" s="114">
        <v>0</v>
      </c>
      <c r="S53" s="114">
        <v>0</v>
      </c>
      <c r="T53" s="114">
        <v>0</v>
      </c>
      <c r="U53" s="114">
        <v>0</v>
      </c>
      <c r="V53" s="114">
        <v>0</v>
      </c>
      <c r="W53" s="114">
        <v>0</v>
      </c>
      <c r="X53" s="114">
        <v>0</v>
      </c>
      <c r="Y53" s="114">
        <v>0</v>
      </c>
      <c r="Z53" s="114">
        <v>0</v>
      </c>
      <c r="AA53" s="114">
        <v>0</v>
      </c>
      <c r="AB53" s="114">
        <v>0</v>
      </c>
      <c r="AC53" s="114">
        <v>0</v>
      </c>
      <c r="AD53" s="114">
        <v>0</v>
      </c>
      <c r="AE53" s="114">
        <v>0</v>
      </c>
      <c r="AF53" s="114">
        <v>0</v>
      </c>
      <c r="AG53" s="114">
        <v>0</v>
      </c>
      <c r="AH53" s="114">
        <v>0</v>
      </c>
      <c r="AI53" s="114">
        <v>0</v>
      </c>
      <c r="AJ53" s="114">
        <v>0</v>
      </c>
      <c r="AK53" s="114">
        <v>0</v>
      </c>
      <c r="AL53" s="114">
        <v>0</v>
      </c>
      <c r="AM53" s="114">
        <v>0</v>
      </c>
      <c r="AN53" s="114">
        <v>0</v>
      </c>
      <c r="AO53" s="114">
        <v>0</v>
      </c>
      <c r="AP53" s="114">
        <v>0</v>
      </c>
      <c r="AQ53" s="114">
        <v>0</v>
      </c>
      <c r="AR53" s="114">
        <v>0</v>
      </c>
      <c r="AS53" s="114">
        <v>0</v>
      </c>
      <c r="AT53" s="114">
        <v>0</v>
      </c>
      <c r="AU53" s="114">
        <v>0</v>
      </c>
      <c r="AV53" s="114">
        <v>0</v>
      </c>
      <c r="AW53" s="114">
        <v>0</v>
      </c>
      <c r="AX53" s="114">
        <v>0</v>
      </c>
      <c r="AY53" s="114">
        <v>0</v>
      </c>
      <c r="AZ53">
        <f>SUM($D$53:$AY$53)</f>
        <v>0</v>
      </c>
    </row>
    <row r="54" spans="1:52" x14ac:dyDescent="0.2">
      <c r="A54" s="128"/>
      <c r="B54" s="143" t="s">
        <v>351</v>
      </c>
      <c r="C54" s="128"/>
      <c r="D54" s="128">
        <v>0</v>
      </c>
      <c r="E54" s="128">
        <v>0</v>
      </c>
      <c r="F54" s="128">
        <v>0</v>
      </c>
      <c r="G54" s="128">
        <v>0</v>
      </c>
      <c r="H54" s="128">
        <v>0</v>
      </c>
      <c r="I54" s="128">
        <v>0</v>
      </c>
      <c r="J54" s="128">
        <v>0</v>
      </c>
      <c r="K54" s="128">
        <v>0</v>
      </c>
      <c r="L54" s="128">
        <v>0</v>
      </c>
      <c r="M54" s="128">
        <v>0</v>
      </c>
      <c r="N54" s="128">
        <v>0</v>
      </c>
      <c r="O54" s="128">
        <v>0</v>
      </c>
      <c r="P54" s="128">
        <v>0</v>
      </c>
      <c r="Q54" s="128">
        <v>0</v>
      </c>
      <c r="R54" s="128">
        <v>0</v>
      </c>
      <c r="S54" s="128">
        <v>0</v>
      </c>
      <c r="T54" s="128">
        <v>0</v>
      </c>
      <c r="U54" s="128">
        <v>0</v>
      </c>
      <c r="V54" s="128">
        <v>0</v>
      </c>
      <c r="W54" s="128">
        <v>0</v>
      </c>
      <c r="X54" s="128">
        <v>0</v>
      </c>
      <c r="Y54" s="128">
        <v>0</v>
      </c>
      <c r="Z54" s="128">
        <v>0</v>
      </c>
      <c r="AA54" s="128">
        <v>0</v>
      </c>
      <c r="AB54" s="128">
        <v>0</v>
      </c>
      <c r="AC54" s="128">
        <v>0</v>
      </c>
      <c r="AD54" s="128">
        <v>0</v>
      </c>
      <c r="AE54" s="128">
        <v>0</v>
      </c>
      <c r="AF54" s="128">
        <v>0</v>
      </c>
      <c r="AG54" s="128">
        <v>0</v>
      </c>
      <c r="AH54" s="128">
        <v>0</v>
      </c>
      <c r="AI54" s="128">
        <v>0</v>
      </c>
      <c r="AJ54" s="128">
        <v>0</v>
      </c>
      <c r="AK54" s="128">
        <v>0</v>
      </c>
      <c r="AL54" s="128">
        <v>0</v>
      </c>
      <c r="AM54" s="128">
        <v>0</v>
      </c>
      <c r="AN54" s="128">
        <v>0</v>
      </c>
      <c r="AO54" s="128">
        <v>0</v>
      </c>
      <c r="AP54" s="128">
        <v>0</v>
      </c>
      <c r="AQ54" s="128">
        <v>0</v>
      </c>
      <c r="AR54" s="128">
        <v>0</v>
      </c>
      <c r="AS54" s="128">
        <v>0</v>
      </c>
      <c r="AT54" s="128">
        <v>0</v>
      </c>
      <c r="AU54" s="128">
        <v>0</v>
      </c>
      <c r="AV54" s="128">
        <v>0</v>
      </c>
      <c r="AW54" s="128">
        <v>0</v>
      </c>
      <c r="AX54" s="128">
        <v>0</v>
      </c>
      <c r="AY54" s="128">
        <v>0</v>
      </c>
      <c r="AZ54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11" t="s">
        <v>10</v>
      </c>
      <c r="E2" s="114"/>
    </row>
    <row r="3" spans="1:52" x14ac:dyDescent="0.2">
      <c r="A3" t="s">
        <v>286</v>
      </c>
      <c r="B3" s="111">
        <v>913</v>
      </c>
      <c r="E3" s="114"/>
    </row>
    <row r="4" spans="1:52" x14ac:dyDescent="0.2">
      <c r="A4" s="1"/>
      <c r="C4" s="9" t="s">
        <v>287</v>
      </c>
    </row>
    <row r="5" spans="1:52" x14ac:dyDescent="0.2">
      <c r="B5" s="110"/>
      <c r="C5" s="115">
        <v>0</v>
      </c>
      <c r="D5" s="115">
        <v>1</v>
      </c>
      <c r="E5" s="115">
        <v>2</v>
      </c>
      <c r="F5" s="115">
        <v>3</v>
      </c>
      <c r="G5" s="115">
        <v>4</v>
      </c>
      <c r="H5" s="115">
        <v>5</v>
      </c>
      <c r="I5" s="115">
        <v>6</v>
      </c>
      <c r="J5" s="115">
        <v>7</v>
      </c>
      <c r="K5" s="115">
        <v>8</v>
      </c>
      <c r="L5" s="115">
        <v>9</v>
      </c>
      <c r="M5" s="115">
        <v>10</v>
      </c>
      <c r="N5" s="115">
        <v>11</v>
      </c>
      <c r="O5" s="115">
        <v>12</v>
      </c>
      <c r="P5" s="115">
        <v>13</v>
      </c>
      <c r="Q5" s="115">
        <v>14</v>
      </c>
      <c r="R5" s="115">
        <v>15</v>
      </c>
      <c r="S5" s="115">
        <v>16</v>
      </c>
      <c r="T5" s="115">
        <v>17</v>
      </c>
      <c r="U5" s="115">
        <v>18</v>
      </c>
      <c r="V5" s="115">
        <v>19</v>
      </c>
      <c r="W5" s="115">
        <v>20</v>
      </c>
      <c r="X5" s="115">
        <v>21</v>
      </c>
      <c r="Y5" s="115">
        <v>22</v>
      </c>
      <c r="Z5" s="115">
        <v>23</v>
      </c>
      <c r="AA5" s="115">
        <v>24</v>
      </c>
      <c r="AB5" s="115">
        <v>25</v>
      </c>
      <c r="AC5" s="115">
        <v>26</v>
      </c>
      <c r="AD5" s="115">
        <v>27</v>
      </c>
      <c r="AE5" s="115">
        <v>28</v>
      </c>
      <c r="AF5" s="115">
        <v>29</v>
      </c>
      <c r="AG5" s="115">
        <v>30</v>
      </c>
      <c r="AH5" s="115">
        <v>31</v>
      </c>
      <c r="AI5" s="115">
        <v>32</v>
      </c>
      <c r="AJ5" s="115">
        <v>33</v>
      </c>
      <c r="AK5" s="115">
        <v>34</v>
      </c>
      <c r="AL5" s="115">
        <v>35</v>
      </c>
      <c r="AM5" s="115">
        <v>36</v>
      </c>
      <c r="AN5" s="115">
        <v>37</v>
      </c>
      <c r="AO5" s="115">
        <v>38</v>
      </c>
      <c r="AP5" s="115">
        <v>39</v>
      </c>
      <c r="AQ5" s="115">
        <v>40</v>
      </c>
      <c r="AR5" s="115">
        <v>41</v>
      </c>
      <c r="AS5" s="115">
        <v>42</v>
      </c>
      <c r="AT5" s="115">
        <v>43</v>
      </c>
      <c r="AU5" s="115">
        <v>44</v>
      </c>
      <c r="AV5" s="115">
        <v>45</v>
      </c>
      <c r="AW5" s="115">
        <v>46</v>
      </c>
      <c r="AX5" s="115">
        <v>47</v>
      </c>
      <c r="AY5" s="115">
        <v>48</v>
      </c>
    </row>
    <row r="6" spans="1:52" x14ac:dyDescent="0.2">
      <c r="A6" s="1" t="s">
        <v>304</v>
      </c>
      <c r="B6" s="117"/>
      <c r="C6" s="116" t="s">
        <v>288</v>
      </c>
      <c r="D6" s="115" t="s">
        <v>289</v>
      </c>
      <c r="E6" s="115" t="s">
        <v>289</v>
      </c>
      <c r="F6" s="115" t="s">
        <v>289</v>
      </c>
      <c r="G6" s="115" t="s">
        <v>289</v>
      </c>
      <c r="H6" s="115" t="s">
        <v>289</v>
      </c>
      <c r="I6" s="115" t="s">
        <v>289</v>
      </c>
      <c r="J6" s="115" t="s">
        <v>289</v>
      </c>
      <c r="K6" s="115" t="s">
        <v>289</v>
      </c>
      <c r="L6" s="115" t="s">
        <v>289</v>
      </c>
      <c r="M6" s="115" t="s">
        <v>289</v>
      </c>
      <c r="N6" s="115" t="s">
        <v>289</v>
      </c>
      <c r="O6" s="115" t="s">
        <v>289</v>
      </c>
      <c r="P6" s="115" t="s">
        <v>289</v>
      </c>
      <c r="Q6" s="115" t="s">
        <v>289</v>
      </c>
      <c r="R6" s="115" t="s">
        <v>289</v>
      </c>
      <c r="S6" s="115" t="s">
        <v>289</v>
      </c>
      <c r="T6" s="115" t="s">
        <v>289</v>
      </c>
      <c r="U6" s="115" t="s">
        <v>289</v>
      </c>
      <c r="V6" s="115" t="s">
        <v>289</v>
      </c>
      <c r="W6" s="115" t="s">
        <v>289</v>
      </c>
      <c r="X6" s="115" t="s">
        <v>289</v>
      </c>
      <c r="Y6" s="115" t="s">
        <v>289</v>
      </c>
      <c r="Z6" s="115" t="s">
        <v>289</v>
      </c>
      <c r="AA6" s="115" t="s">
        <v>289</v>
      </c>
      <c r="AB6" s="115" t="s">
        <v>289</v>
      </c>
      <c r="AC6" s="115" t="s">
        <v>289</v>
      </c>
      <c r="AD6" s="115" t="s">
        <v>289</v>
      </c>
      <c r="AE6" s="115" t="s">
        <v>289</v>
      </c>
      <c r="AF6" s="115" t="s">
        <v>289</v>
      </c>
      <c r="AG6" s="115" t="s">
        <v>289</v>
      </c>
      <c r="AH6" s="115" t="s">
        <v>289</v>
      </c>
      <c r="AI6" s="115" t="s">
        <v>289</v>
      </c>
      <c r="AJ6" s="115" t="s">
        <v>289</v>
      </c>
      <c r="AK6" s="115" t="s">
        <v>289</v>
      </c>
      <c r="AL6" s="115" t="s">
        <v>289</v>
      </c>
      <c r="AM6" s="115" t="s">
        <v>289</v>
      </c>
      <c r="AN6" s="115" t="s">
        <v>289</v>
      </c>
      <c r="AO6" s="115" t="s">
        <v>289</v>
      </c>
      <c r="AP6" s="115" t="s">
        <v>289</v>
      </c>
      <c r="AQ6" s="115" t="s">
        <v>289</v>
      </c>
      <c r="AR6" s="115" t="s">
        <v>289</v>
      </c>
      <c r="AS6" s="115" t="s">
        <v>289</v>
      </c>
      <c r="AT6" s="115" t="s">
        <v>289</v>
      </c>
      <c r="AU6" s="115" t="s">
        <v>289</v>
      </c>
      <c r="AV6" s="115" t="s">
        <v>289</v>
      </c>
      <c r="AW6" s="115" t="s">
        <v>289</v>
      </c>
      <c r="AX6" s="115" t="s">
        <v>289</v>
      </c>
      <c r="AY6" s="9" t="s">
        <v>290</v>
      </c>
      <c r="AZ6" s="145" t="s">
        <v>150</v>
      </c>
    </row>
    <row r="7" spans="1:52" x14ac:dyDescent="0.2">
      <c r="A7" s="118" t="s">
        <v>125</v>
      </c>
      <c r="B7" s="146">
        <v>1</v>
      </c>
      <c r="C7" s="147" t="s">
        <v>293</v>
      </c>
      <c r="D7" s="147">
        <v>1340.908554893143</v>
      </c>
      <c r="E7" s="147">
        <v>1340.908554893143</v>
      </c>
      <c r="F7" s="147">
        <v>1340.908554893143</v>
      </c>
      <c r="G7" s="147">
        <v>1340.908554893143</v>
      </c>
      <c r="H7" s="147">
        <v>1340.908554893143</v>
      </c>
      <c r="I7" s="147">
        <v>1340.908554893143</v>
      </c>
      <c r="J7" s="147">
        <v>1340.908554893143</v>
      </c>
      <c r="K7" s="147">
        <v>1340.908554893143</v>
      </c>
      <c r="L7" s="147">
        <v>1340.908554893143</v>
      </c>
      <c r="M7" s="147">
        <v>1340.908554893143</v>
      </c>
      <c r="N7" s="147">
        <v>1340.908554893143</v>
      </c>
      <c r="O7" s="147">
        <v>1340.908554893143</v>
      </c>
      <c r="P7" s="147">
        <v>822.11589852367274</v>
      </c>
      <c r="Q7" s="147">
        <v>1340.908554893143</v>
      </c>
      <c r="R7" s="147">
        <v>1340.908554893143</v>
      </c>
      <c r="S7" s="147">
        <v>1340.908554893143</v>
      </c>
      <c r="T7" s="147">
        <v>1340.908554893143</v>
      </c>
      <c r="U7" s="147">
        <v>1340.908554893143</v>
      </c>
      <c r="V7" s="147">
        <v>1340.908554893143</v>
      </c>
      <c r="W7" s="147">
        <v>1340.908554893143</v>
      </c>
      <c r="X7" s="147">
        <v>1340.908554893143</v>
      </c>
      <c r="Y7" s="147">
        <v>1340.908554893143</v>
      </c>
      <c r="Z7" s="147">
        <v>1340.908554893143</v>
      </c>
      <c r="AA7" s="147">
        <v>1340.908554893143</v>
      </c>
      <c r="AB7" s="147">
        <v>1340.908554893143</v>
      </c>
      <c r="AC7" s="147">
        <v>1340.908554893143</v>
      </c>
      <c r="AD7" s="147">
        <v>1249.4309255809117</v>
      </c>
      <c r="AE7" s="147">
        <v>1340.908554893143</v>
      </c>
      <c r="AF7" s="147">
        <v>1043.5410547911522</v>
      </c>
      <c r="AG7" s="147">
        <v>1043.6752932979141</v>
      </c>
      <c r="AH7" s="147">
        <v>1340.908554893143</v>
      </c>
      <c r="AI7" s="147">
        <v>1340.908554893143</v>
      </c>
      <c r="AJ7" s="147">
        <v>1340.908554893143</v>
      </c>
      <c r="AK7" s="147">
        <v>1340.908554893143</v>
      </c>
      <c r="AL7" s="147">
        <v>1340.908554893143</v>
      </c>
      <c r="AM7" s="147">
        <v>1340.908554893143</v>
      </c>
      <c r="AN7" s="147">
        <v>1340.908554893143</v>
      </c>
      <c r="AO7" s="147">
        <v>1340.908554893143</v>
      </c>
      <c r="AP7" s="147">
        <v>1340.908554893143</v>
      </c>
      <c r="AQ7" s="147">
        <v>1340.908554893143</v>
      </c>
      <c r="AR7" s="147">
        <v>1340.908554893143</v>
      </c>
      <c r="AS7" s="147">
        <v>1045.2314984271104</v>
      </c>
      <c r="AT7" s="147">
        <v>1340.908554893143</v>
      </c>
      <c r="AU7" s="147">
        <v>1340.908554893143</v>
      </c>
      <c r="AV7" s="147">
        <v>1340.908554893143</v>
      </c>
      <c r="AW7" s="147">
        <v>1340.908554893143</v>
      </c>
      <c r="AX7" s="147">
        <v>1259.7270539044864</v>
      </c>
      <c r="AY7" s="147">
        <v>1340.908554893143</v>
      </c>
      <c r="AZ7" s="110"/>
    </row>
    <row r="8" spans="1:52" x14ac:dyDescent="0.2">
      <c r="A8" s="148"/>
      <c r="B8" s="149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50"/>
    </row>
    <row r="9" spans="1:52" x14ac:dyDescent="0.2">
      <c r="A9" s="1" t="s">
        <v>294</v>
      </c>
      <c r="B9" s="151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  <c r="AY9" s="110"/>
      <c r="AZ9" s="110"/>
    </row>
    <row r="10" spans="1:52" x14ac:dyDescent="0.2">
      <c r="A10" s="152" t="s">
        <v>125</v>
      </c>
      <c r="B10" s="153">
        <v>1</v>
      </c>
      <c r="C10" s="147" t="s">
        <v>293</v>
      </c>
      <c r="D10" s="147">
        <f t="shared" ref="D10:AY10" si="0">MAX(SUM(D$14:D$16)+D$7-$B$3,0)</f>
        <v>427.90855489314299</v>
      </c>
      <c r="E10" s="147">
        <f t="shared" si="0"/>
        <v>427.90855489314299</v>
      </c>
      <c r="F10" s="147">
        <f t="shared" si="0"/>
        <v>427.90855489314299</v>
      </c>
      <c r="G10" s="147">
        <f t="shared" si="0"/>
        <v>427.90855489314299</v>
      </c>
      <c r="H10" s="147">
        <f t="shared" si="0"/>
        <v>427.90855489314299</v>
      </c>
      <c r="I10" s="147">
        <f t="shared" si="0"/>
        <v>427.90855489314299</v>
      </c>
      <c r="J10" s="147">
        <f t="shared" si="0"/>
        <v>427.90855489314299</v>
      </c>
      <c r="K10" s="147">
        <f t="shared" si="0"/>
        <v>427.90855489314299</v>
      </c>
      <c r="L10" s="147">
        <f t="shared" si="0"/>
        <v>427.90855489314299</v>
      </c>
      <c r="M10" s="147">
        <f t="shared" si="0"/>
        <v>427.90855489314299</v>
      </c>
      <c r="N10" s="147">
        <f t="shared" si="0"/>
        <v>427.90855489314299</v>
      </c>
      <c r="O10" s="147">
        <f t="shared" si="0"/>
        <v>427.90855489314299</v>
      </c>
      <c r="P10" s="147">
        <f t="shared" si="0"/>
        <v>0</v>
      </c>
      <c r="Q10" s="147">
        <f t="shared" si="0"/>
        <v>427.90855489314299</v>
      </c>
      <c r="R10" s="147">
        <f t="shared" si="0"/>
        <v>427.90855489314299</v>
      </c>
      <c r="S10" s="147">
        <f t="shared" si="0"/>
        <v>427.90855489314299</v>
      </c>
      <c r="T10" s="147">
        <f t="shared" si="0"/>
        <v>427.90855489314299</v>
      </c>
      <c r="U10" s="147">
        <f t="shared" si="0"/>
        <v>427.90855489314299</v>
      </c>
      <c r="V10" s="147">
        <f t="shared" si="0"/>
        <v>427.90855489314299</v>
      </c>
      <c r="W10" s="147">
        <f t="shared" si="0"/>
        <v>427.90855489314299</v>
      </c>
      <c r="X10" s="147">
        <f t="shared" si="0"/>
        <v>427.90855489314299</v>
      </c>
      <c r="Y10" s="147">
        <f t="shared" si="0"/>
        <v>427.90855489314299</v>
      </c>
      <c r="Z10" s="147">
        <f t="shared" si="0"/>
        <v>427.90855489314299</v>
      </c>
      <c r="AA10" s="147">
        <f t="shared" si="0"/>
        <v>427.90855489314299</v>
      </c>
      <c r="AB10" s="147">
        <f t="shared" si="0"/>
        <v>427.90855489314299</v>
      </c>
      <c r="AC10" s="147">
        <f t="shared" si="0"/>
        <v>1340.908554893143</v>
      </c>
      <c r="AD10" s="147">
        <f t="shared" si="0"/>
        <v>336.43092558091166</v>
      </c>
      <c r="AE10" s="147">
        <f t="shared" si="0"/>
        <v>427.90855489314299</v>
      </c>
      <c r="AF10" s="147">
        <f t="shared" si="0"/>
        <v>130.54105479115219</v>
      </c>
      <c r="AG10" s="147">
        <f t="shared" si="0"/>
        <v>130.6752932979141</v>
      </c>
      <c r="AH10" s="147">
        <f t="shared" si="0"/>
        <v>427.90855489314299</v>
      </c>
      <c r="AI10" s="147">
        <f t="shared" si="0"/>
        <v>427.90855489314299</v>
      </c>
      <c r="AJ10" s="147">
        <f t="shared" si="0"/>
        <v>427.90855489314299</v>
      </c>
      <c r="AK10" s="147">
        <f t="shared" si="0"/>
        <v>427.90855489314299</v>
      </c>
      <c r="AL10" s="147">
        <f t="shared" si="0"/>
        <v>427.90855489314299</v>
      </c>
      <c r="AM10" s="147">
        <f t="shared" si="0"/>
        <v>427.90855489314299</v>
      </c>
      <c r="AN10" s="147">
        <f t="shared" si="0"/>
        <v>427.90855489314299</v>
      </c>
      <c r="AO10" s="147">
        <f t="shared" si="0"/>
        <v>427.90855489314299</v>
      </c>
      <c r="AP10" s="147">
        <f t="shared" si="0"/>
        <v>427.90855489314299</v>
      </c>
      <c r="AQ10" s="147">
        <f t="shared" si="0"/>
        <v>427.90855489314299</v>
      </c>
      <c r="AR10" s="147">
        <f t="shared" si="0"/>
        <v>427.90855489314299</v>
      </c>
      <c r="AS10" s="147">
        <f t="shared" si="0"/>
        <v>132.23149842711041</v>
      </c>
      <c r="AT10" s="147">
        <f t="shared" si="0"/>
        <v>427.90855489314299</v>
      </c>
      <c r="AU10" s="147">
        <f t="shared" si="0"/>
        <v>427.90855489314299</v>
      </c>
      <c r="AV10" s="147">
        <f t="shared" si="0"/>
        <v>427.90855489314299</v>
      </c>
      <c r="AW10" s="147">
        <f t="shared" si="0"/>
        <v>427.90855489314299</v>
      </c>
      <c r="AX10" s="147">
        <f t="shared" si="0"/>
        <v>346.72705390448641</v>
      </c>
      <c r="AY10" s="147">
        <f t="shared" si="0"/>
        <v>427.90855489314299</v>
      </c>
      <c r="AZ10" s="154">
        <f>SUM($D10:$AY10)</f>
        <v>19961.765131513595</v>
      </c>
    </row>
    <row r="11" spans="1:52" x14ac:dyDescent="0.2">
      <c r="C11" s="114"/>
    </row>
    <row r="12" spans="1:52" x14ac:dyDescent="0.2">
      <c r="A12" s="155" t="s">
        <v>295</v>
      </c>
      <c r="B12" s="149"/>
      <c r="C12" s="114"/>
    </row>
    <row r="13" spans="1:52" x14ac:dyDescent="0.2">
      <c r="A13" s="125" t="s">
        <v>125</v>
      </c>
      <c r="B13" s="126">
        <v>1</v>
      </c>
      <c r="C13" s="127">
        <v>913</v>
      </c>
      <c r="D13" s="141">
        <f t="shared" ref="D13:AY13" si="1">D$7-D$10</f>
        <v>913</v>
      </c>
      <c r="E13" s="141">
        <f t="shared" si="1"/>
        <v>913</v>
      </c>
      <c r="F13" s="141">
        <f t="shared" si="1"/>
        <v>913</v>
      </c>
      <c r="G13" s="141">
        <f t="shared" si="1"/>
        <v>913</v>
      </c>
      <c r="H13" s="141">
        <f t="shared" si="1"/>
        <v>913</v>
      </c>
      <c r="I13" s="141">
        <f t="shared" si="1"/>
        <v>913</v>
      </c>
      <c r="J13" s="141">
        <f t="shared" si="1"/>
        <v>913</v>
      </c>
      <c r="K13" s="141">
        <f t="shared" si="1"/>
        <v>913</v>
      </c>
      <c r="L13" s="141">
        <f t="shared" si="1"/>
        <v>913</v>
      </c>
      <c r="M13" s="141">
        <f t="shared" si="1"/>
        <v>913</v>
      </c>
      <c r="N13" s="141">
        <f t="shared" si="1"/>
        <v>913</v>
      </c>
      <c r="O13" s="141">
        <f t="shared" si="1"/>
        <v>913</v>
      </c>
      <c r="P13" s="141">
        <f t="shared" si="1"/>
        <v>822.11589852367274</v>
      </c>
      <c r="Q13" s="141">
        <f t="shared" si="1"/>
        <v>913</v>
      </c>
      <c r="R13" s="141">
        <f t="shared" si="1"/>
        <v>913</v>
      </c>
      <c r="S13" s="141">
        <f t="shared" si="1"/>
        <v>913</v>
      </c>
      <c r="T13" s="141">
        <f t="shared" si="1"/>
        <v>913</v>
      </c>
      <c r="U13" s="141">
        <f t="shared" si="1"/>
        <v>913</v>
      </c>
      <c r="V13" s="141">
        <f t="shared" si="1"/>
        <v>913</v>
      </c>
      <c r="W13" s="141">
        <f t="shared" si="1"/>
        <v>913</v>
      </c>
      <c r="X13" s="141">
        <f t="shared" si="1"/>
        <v>913</v>
      </c>
      <c r="Y13" s="141">
        <f t="shared" si="1"/>
        <v>913</v>
      </c>
      <c r="Z13" s="141">
        <f t="shared" si="1"/>
        <v>913</v>
      </c>
      <c r="AA13" s="141">
        <f t="shared" si="1"/>
        <v>913</v>
      </c>
      <c r="AB13" s="141">
        <f t="shared" si="1"/>
        <v>913</v>
      </c>
      <c r="AC13" s="141">
        <f t="shared" si="1"/>
        <v>0</v>
      </c>
      <c r="AD13" s="141">
        <f t="shared" si="1"/>
        <v>913</v>
      </c>
      <c r="AE13" s="141">
        <f t="shared" si="1"/>
        <v>913</v>
      </c>
      <c r="AF13" s="141">
        <f t="shared" si="1"/>
        <v>913</v>
      </c>
      <c r="AG13" s="141">
        <f t="shared" si="1"/>
        <v>913</v>
      </c>
      <c r="AH13" s="141">
        <f t="shared" si="1"/>
        <v>913</v>
      </c>
      <c r="AI13" s="141">
        <f t="shared" si="1"/>
        <v>913</v>
      </c>
      <c r="AJ13" s="141">
        <f t="shared" si="1"/>
        <v>913</v>
      </c>
      <c r="AK13" s="141">
        <f t="shared" si="1"/>
        <v>913</v>
      </c>
      <c r="AL13" s="141">
        <f t="shared" si="1"/>
        <v>913</v>
      </c>
      <c r="AM13" s="141">
        <f t="shared" si="1"/>
        <v>913</v>
      </c>
      <c r="AN13" s="141">
        <f t="shared" si="1"/>
        <v>913</v>
      </c>
      <c r="AO13" s="141">
        <f t="shared" si="1"/>
        <v>913</v>
      </c>
      <c r="AP13" s="141">
        <f t="shared" si="1"/>
        <v>913</v>
      </c>
      <c r="AQ13" s="141">
        <f t="shared" si="1"/>
        <v>913</v>
      </c>
      <c r="AR13" s="141">
        <f t="shared" si="1"/>
        <v>913</v>
      </c>
      <c r="AS13" s="141">
        <f t="shared" si="1"/>
        <v>913</v>
      </c>
      <c r="AT13" s="141">
        <f t="shared" si="1"/>
        <v>913</v>
      </c>
      <c r="AU13" s="141">
        <f t="shared" si="1"/>
        <v>913</v>
      </c>
      <c r="AV13" s="141">
        <f t="shared" si="1"/>
        <v>913</v>
      </c>
      <c r="AW13" s="141">
        <f t="shared" si="1"/>
        <v>913</v>
      </c>
      <c r="AX13" s="141">
        <f t="shared" si="1"/>
        <v>913</v>
      </c>
      <c r="AY13" s="141">
        <f t="shared" si="1"/>
        <v>913</v>
      </c>
      <c r="AZ13" s="113"/>
    </row>
    <row r="14" spans="1:52" x14ac:dyDescent="0.2">
      <c r="A14" s="114"/>
      <c r="B14" s="123">
        <v>2</v>
      </c>
      <c r="C14" s="114">
        <v>0</v>
      </c>
      <c r="D14" s="110">
        <f>IF(C$20="Yes",C13,0)</f>
        <v>0</v>
      </c>
      <c r="E14" s="110">
        <f t="shared" ref="E14:AY17" si="2">IF(D$20="Yes",D13,0)</f>
        <v>0</v>
      </c>
      <c r="F14" s="110">
        <f t="shared" si="2"/>
        <v>0</v>
      </c>
      <c r="G14" s="110">
        <f t="shared" si="2"/>
        <v>0</v>
      </c>
      <c r="H14" s="110">
        <f t="shared" si="2"/>
        <v>0</v>
      </c>
      <c r="I14" s="110">
        <f t="shared" si="2"/>
        <v>0</v>
      </c>
      <c r="J14" s="110">
        <f t="shared" si="2"/>
        <v>0</v>
      </c>
      <c r="K14" s="110">
        <f t="shared" si="2"/>
        <v>0</v>
      </c>
      <c r="L14" s="110">
        <f t="shared" si="2"/>
        <v>0</v>
      </c>
      <c r="M14" s="110">
        <f t="shared" si="2"/>
        <v>0</v>
      </c>
      <c r="N14" s="110">
        <f t="shared" si="2"/>
        <v>0</v>
      </c>
      <c r="O14" s="110">
        <f t="shared" si="2"/>
        <v>0</v>
      </c>
      <c r="P14" s="110">
        <f t="shared" si="2"/>
        <v>0</v>
      </c>
      <c r="Q14" s="110">
        <f t="shared" si="2"/>
        <v>0</v>
      </c>
      <c r="R14" s="110">
        <f t="shared" si="2"/>
        <v>0</v>
      </c>
      <c r="S14" s="110">
        <f t="shared" si="2"/>
        <v>0</v>
      </c>
      <c r="T14" s="110">
        <f t="shared" si="2"/>
        <v>0</v>
      </c>
      <c r="U14" s="110">
        <f t="shared" si="2"/>
        <v>0</v>
      </c>
      <c r="V14" s="110">
        <f t="shared" si="2"/>
        <v>0</v>
      </c>
      <c r="W14" s="110">
        <f t="shared" si="2"/>
        <v>0</v>
      </c>
      <c r="X14" s="110">
        <f t="shared" si="2"/>
        <v>0</v>
      </c>
      <c r="Y14" s="110">
        <f t="shared" si="2"/>
        <v>0</v>
      </c>
      <c r="Z14" s="110">
        <f t="shared" si="2"/>
        <v>0</v>
      </c>
      <c r="AA14" s="110">
        <f t="shared" si="2"/>
        <v>0</v>
      </c>
      <c r="AB14" s="110">
        <f t="shared" si="2"/>
        <v>0</v>
      </c>
      <c r="AC14" s="110">
        <f t="shared" si="2"/>
        <v>913</v>
      </c>
      <c r="AD14" s="110">
        <f t="shared" si="2"/>
        <v>0</v>
      </c>
      <c r="AE14" s="110">
        <f t="shared" si="2"/>
        <v>0</v>
      </c>
      <c r="AF14" s="110">
        <f t="shared" si="2"/>
        <v>0</v>
      </c>
      <c r="AG14" s="110">
        <f t="shared" si="2"/>
        <v>0</v>
      </c>
      <c r="AH14" s="110">
        <f t="shared" si="2"/>
        <v>0</v>
      </c>
      <c r="AI14" s="110">
        <f t="shared" si="2"/>
        <v>0</v>
      </c>
      <c r="AJ14" s="110">
        <f t="shared" si="2"/>
        <v>0</v>
      </c>
      <c r="AK14" s="110">
        <f t="shared" si="2"/>
        <v>0</v>
      </c>
      <c r="AL14" s="110">
        <f t="shared" si="2"/>
        <v>0</v>
      </c>
      <c r="AM14" s="110">
        <f t="shared" si="2"/>
        <v>0</v>
      </c>
      <c r="AN14" s="110">
        <f t="shared" si="2"/>
        <v>0</v>
      </c>
      <c r="AO14" s="110">
        <f t="shared" si="2"/>
        <v>0</v>
      </c>
      <c r="AP14" s="110">
        <f t="shared" si="2"/>
        <v>0</v>
      </c>
      <c r="AQ14" s="110">
        <f t="shared" si="2"/>
        <v>0</v>
      </c>
      <c r="AR14" s="110">
        <f t="shared" si="2"/>
        <v>0</v>
      </c>
      <c r="AS14" s="110">
        <f t="shared" si="2"/>
        <v>0</v>
      </c>
      <c r="AT14" s="110">
        <f t="shared" si="2"/>
        <v>0</v>
      </c>
      <c r="AU14" s="110">
        <f t="shared" si="2"/>
        <v>0</v>
      </c>
      <c r="AV14" s="110">
        <f t="shared" si="2"/>
        <v>0</v>
      </c>
      <c r="AW14" s="110">
        <f t="shared" si="2"/>
        <v>0</v>
      </c>
      <c r="AX14" s="110">
        <f t="shared" si="2"/>
        <v>0</v>
      </c>
      <c r="AY14" s="110">
        <f t="shared" si="2"/>
        <v>0</v>
      </c>
      <c r="AZ14" s="113"/>
    </row>
    <row r="15" spans="1:52" x14ac:dyDescent="0.2">
      <c r="A15" s="114"/>
      <c r="B15" s="130">
        <v>3</v>
      </c>
      <c r="C15" s="114">
        <v>0</v>
      </c>
      <c r="D15" s="110">
        <f>IF(C$20="Yes",C14,0)</f>
        <v>0</v>
      </c>
      <c r="E15" s="110">
        <f t="shared" si="2"/>
        <v>0</v>
      </c>
      <c r="F15" s="110">
        <f t="shared" si="2"/>
        <v>0</v>
      </c>
      <c r="G15" s="110">
        <f t="shared" si="2"/>
        <v>0</v>
      </c>
      <c r="H15" s="110">
        <f t="shared" si="2"/>
        <v>0</v>
      </c>
      <c r="I15" s="110">
        <f t="shared" si="2"/>
        <v>0</v>
      </c>
      <c r="J15" s="110">
        <f t="shared" si="2"/>
        <v>0</v>
      </c>
      <c r="K15" s="110">
        <f t="shared" si="2"/>
        <v>0</v>
      </c>
      <c r="L15" s="110">
        <f t="shared" si="2"/>
        <v>0</v>
      </c>
      <c r="M15" s="110">
        <f t="shared" si="2"/>
        <v>0</v>
      </c>
      <c r="N15" s="110">
        <f t="shared" si="2"/>
        <v>0</v>
      </c>
      <c r="O15" s="110">
        <f t="shared" si="2"/>
        <v>0</v>
      </c>
      <c r="P15" s="110">
        <f t="shared" si="2"/>
        <v>0</v>
      </c>
      <c r="Q15" s="110">
        <f t="shared" si="2"/>
        <v>0</v>
      </c>
      <c r="R15" s="110">
        <f t="shared" si="2"/>
        <v>0</v>
      </c>
      <c r="S15" s="110">
        <f t="shared" si="2"/>
        <v>0</v>
      </c>
      <c r="T15" s="110">
        <f t="shared" si="2"/>
        <v>0</v>
      </c>
      <c r="U15" s="110">
        <f t="shared" si="2"/>
        <v>0</v>
      </c>
      <c r="V15" s="110">
        <f t="shared" si="2"/>
        <v>0</v>
      </c>
      <c r="W15" s="110">
        <f t="shared" si="2"/>
        <v>0</v>
      </c>
      <c r="X15" s="110">
        <f t="shared" si="2"/>
        <v>0</v>
      </c>
      <c r="Y15" s="110">
        <f t="shared" si="2"/>
        <v>0</v>
      </c>
      <c r="Z15" s="110">
        <f t="shared" si="2"/>
        <v>0</v>
      </c>
      <c r="AA15" s="110">
        <f t="shared" si="2"/>
        <v>0</v>
      </c>
      <c r="AB15" s="110">
        <f t="shared" si="2"/>
        <v>0</v>
      </c>
      <c r="AC15" s="110">
        <f t="shared" si="2"/>
        <v>0</v>
      </c>
      <c r="AD15" s="110">
        <f t="shared" si="2"/>
        <v>0</v>
      </c>
      <c r="AE15" s="110">
        <f t="shared" si="2"/>
        <v>0</v>
      </c>
      <c r="AF15" s="110">
        <f t="shared" si="2"/>
        <v>0</v>
      </c>
      <c r="AG15" s="110">
        <f t="shared" si="2"/>
        <v>0</v>
      </c>
      <c r="AH15" s="110">
        <f t="shared" si="2"/>
        <v>0</v>
      </c>
      <c r="AI15" s="110">
        <f t="shared" si="2"/>
        <v>0</v>
      </c>
      <c r="AJ15" s="110">
        <f t="shared" si="2"/>
        <v>0</v>
      </c>
      <c r="AK15" s="110">
        <f t="shared" si="2"/>
        <v>0</v>
      </c>
      <c r="AL15" s="110">
        <f t="shared" si="2"/>
        <v>0</v>
      </c>
      <c r="AM15" s="110">
        <f t="shared" si="2"/>
        <v>0</v>
      </c>
      <c r="AN15" s="110">
        <f t="shared" si="2"/>
        <v>0</v>
      </c>
      <c r="AO15" s="110">
        <f t="shared" si="2"/>
        <v>0</v>
      </c>
      <c r="AP15" s="110">
        <f t="shared" si="2"/>
        <v>0</v>
      </c>
      <c r="AQ15" s="110">
        <f t="shared" si="2"/>
        <v>0</v>
      </c>
      <c r="AR15" s="110">
        <f t="shared" si="2"/>
        <v>0</v>
      </c>
      <c r="AS15" s="110">
        <f t="shared" si="2"/>
        <v>0</v>
      </c>
      <c r="AT15" s="110">
        <f t="shared" si="2"/>
        <v>0</v>
      </c>
      <c r="AU15" s="110">
        <f t="shared" si="2"/>
        <v>0</v>
      </c>
      <c r="AV15" s="110">
        <f t="shared" si="2"/>
        <v>0</v>
      </c>
      <c r="AW15" s="110">
        <f t="shared" si="2"/>
        <v>0</v>
      </c>
      <c r="AX15" s="110">
        <f t="shared" si="2"/>
        <v>0</v>
      </c>
      <c r="AY15" s="110">
        <f t="shared" si="2"/>
        <v>0</v>
      </c>
      <c r="AZ15" s="113"/>
    </row>
    <row r="16" spans="1:52" x14ac:dyDescent="0.2">
      <c r="A16" s="114"/>
      <c r="B16" s="133">
        <v>4</v>
      </c>
      <c r="C16" s="114">
        <v>0</v>
      </c>
      <c r="D16" s="110">
        <f>IF(C$20="Yes",C15,0)</f>
        <v>0</v>
      </c>
      <c r="E16" s="110">
        <f t="shared" si="2"/>
        <v>0</v>
      </c>
      <c r="F16" s="110">
        <f t="shared" si="2"/>
        <v>0</v>
      </c>
      <c r="G16" s="110">
        <f t="shared" si="2"/>
        <v>0</v>
      </c>
      <c r="H16" s="110">
        <f t="shared" si="2"/>
        <v>0</v>
      </c>
      <c r="I16" s="110">
        <f t="shared" si="2"/>
        <v>0</v>
      </c>
      <c r="J16" s="110">
        <f t="shared" si="2"/>
        <v>0</v>
      </c>
      <c r="K16" s="110">
        <f t="shared" si="2"/>
        <v>0</v>
      </c>
      <c r="L16" s="110">
        <f t="shared" si="2"/>
        <v>0</v>
      </c>
      <c r="M16" s="110">
        <f t="shared" si="2"/>
        <v>0</v>
      </c>
      <c r="N16" s="110">
        <f t="shared" si="2"/>
        <v>0</v>
      </c>
      <c r="O16" s="110">
        <f t="shared" si="2"/>
        <v>0</v>
      </c>
      <c r="P16" s="110">
        <f t="shared" si="2"/>
        <v>0</v>
      </c>
      <c r="Q16" s="110">
        <f t="shared" si="2"/>
        <v>0</v>
      </c>
      <c r="R16" s="110">
        <f t="shared" si="2"/>
        <v>0</v>
      </c>
      <c r="S16" s="110">
        <f t="shared" si="2"/>
        <v>0</v>
      </c>
      <c r="T16" s="110">
        <f t="shared" si="2"/>
        <v>0</v>
      </c>
      <c r="U16" s="110">
        <f t="shared" si="2"/>
        <v>0</v>
      </c>
      <c r="V16" s="110">
        <f t="shared" si="2"/>
        <v>0</v>
      </c>
      <c r="W16" s="110">
        <f t="shared" si="2"/>
        <v>0</v>
      </c>
      <c r="X16" s="110">
        <f t="shared" si="2"/>
        <v>0</v>
      </c>
      <c r="Y16" s="110">
        <f t="shared" si="2"/>
        <v>0</v>
      </c>
      <c r="Z16" s="110">
        <f t="shared" si="2"/>
        <v>0</v>
      </c>
      <c r="AA16" s="110">
        <f t="shared" si="2"/>
        <v>0</v>
      </c>
      <c r="AB16" s="110">
        <f t="shared" si="2"/>
        <v>0</v>
      </c>
      <c r="AC16" s="110">
        <f t="shared" si="2"/>
        <v>0</v>
      </c>
      <c r="AD16" s="110">
        <f t="shared" si="2"/>
        <v>0</v>
      </c>
      <c r="AE16" s="110">
        <f t="shared" si="2"/>
        <v>0</v>
      </c>
      <c r="AF16" s="110">
        <f t="shared" si="2"/>
        <v>0</v>
      </c>
      <c r="AG16" s="110">
        <f t="shared" si="2"/>
        <v>0</v>
      </c>
      <c r="AH16" s="110">
        <f t="shared" si="2"/>
        <v>0</v>
      </c>
      <c r="AI16" s="110">
        <f t="shared" si="2"/>
        <v>0</v>
      </c>
      <c r="AJ16" s="110">
        <f t="shared" si="2"/>
        <v>0</v>
      </c>
      <c r="AK16" s="110">
        <f t="shared" si="2"/>
        <v>0</v>
      </c>
      <c r="AL16" s="110">
        <f t="shared" si="2"/>
        <v>0</v>
      </c>
      <c r="AM16" s="110">
        <f t="shared" si="2"/>
        <v>0</v>
      </c>
      <c r="AN16" s="110">
        <f t="shared" si="2"/>
        <v>0</v>
      </c>
      <c r="AO16" s="110">
        <f t="shared" si="2"/>
        <v>0</v>
      </c>
      <c r="AP16" s="110">
        <f t="shared" si="2"/>
        <v>0</v>
      </c>
      <c r="AQ16" s="110">
        <f t="shared" si="2"/>
        <v>0</v>
      </c>
      <c r="AR16" s="110">
        <f t="shared" si="2"/>
        <v>0</v>
      </c>
      <c r="AS16" s="110">
        <f t="shared" si="2"/>
        <v>0</v>
      </c>
      <c r="AT16" s="110">
        <f t="shared" si="2"/>
        <v>0</v>
      </c>
      <c r="AU16" s="110">
        <f t="shared" si="2"/>
        <v>0</v>
      </c>
      <c r="AV16" s="110">
        <f t="shared" si="2"/>
        <v>0</v>
      </c>
      <c r="AW16" s="110">
        <f t="shared" si="2"/>
        <v>0</v>
      </c>
      <c r="AX16" s="110">
        <f t="shared" si="2"/>
        <v>0</v>
      </c>
      <c r="AY16" s="110">
        <f t="shared" si="2"/>
        <v>0</v>
      </c>
      <c r="AZ16" s="131"/>
    </row>
    <row r="17" spans="1:52" x14ac:dyDescent="0.2">
      <c r="A17" s="128"/>
      <c r="B17" s="135" t="s">
        <v>296</v>
      </c>
      <c r="C17" s="128">
        <v>0</v>
      </c>
      <c r="D17" s="117">
        <f>IF(C$20="Yes",C16,0)</f>
        <v>0</v>
      </c>
      <c r="E17" s="117">
        <f t="shared" si="2"/>
        <v>0</v>
      </c>
      <c r="F17" s="117">
        <f t="shared" si="2"/>
        <v>0</v>
      </c>
      <c r="G17" s="117">
        <f t="shared" si="2"/>
        <v>0</v>
      </c>
      <c r="H17" s="117">
        <f t="shared" si="2"/>
        <v>0</v>
      </c>
      <c r="I17" s="117">
        <f t="shared" si="2"/>
        <v>0</v>
      </c>
      <c r="J17" s="117">
        <f t="shared" si="2"/>
        <v>0</v>
      </c>
      <c r="K17" s="117">
        <f t="shared" si="2"/>
        <v>0</v>
      </c>
      <c r="L17" s="117">
        <f t="shared" si="2"/>
        <v>0</v>
      </c>
      <c r="M17" s="117">
        <f t="shared" si="2"/>
        <v>0</v>
      </c>
      <c r="N17" s="117">
        <f t="shared" si="2"/>
        <v>0</v>
      </c>
      <c r="O17" s="117">
        <f t="shared" si="2"/>
        <v>0</v>
      </c>
      <c r="P17" s="117">
        <f t="shared" si="2"/>
        <v>0</v>
      </c>
      <c r="Q17" s="117">
        <f t="shared" si="2"/>
        <v>0</v>
      </c>
      <c r="R17" s="117">
        <f t="shared" si="2"/>
        <v>0</v>
      </c>
      <c r="S17" s="117">
        <f t="shared" si="2"/>
        <v>0</v>
      </c>
      <c r="T17" s="117">
        <f t="shared" si="2"/>
        <v>0</v>
      </c>
      <c r="U17" s="117">
        <f t="shared" si="2"/>
        <v>0</v>
      </c>
      <c r="V17" s="117">
        <f t="shared" si="2"/>
        <v>0</v>
      </c>
      <c r="W17" s="117">
        <f t="shared" si="2"/>
        <v>0</v>
      </c>
      <c r="X17" s="117">
        <f t="shared" si="2"/>
        <v>0</v>
      </c>
      <c r="Y17" s="117">
        <f t="shared" si="2"/>
        <v>0</v>
      </c>
      <c r="Z17" s="117">
        <f t="shared" si="2"/>
        <v>0</v>
      </c>
      <c r="AA17" s="117">
        <f t="shared" si="2"/>
        <v>0</v>
      </c>
      <c r="AB17" s="117">
        <f t="shared" si="2"/>
        <v>0</v>
      </c>
      <c r="AC17" s="117">
        <f t="shared" si="2"/>
        <v>0</v>
      </c>
      <c r="AD17" s="117">
        <f t="shared" si="2"/>
        <v>0</v>
      </c>
      <c r="AE17" s="117">
        <f t="shared" si="2"/>
        <v>0</v>
      </c>
      <c r="AF17" s="117">
        <f t="shared" si="2"/>
        <v>0</v>
      </c>
      <c r="AG17" s="117">
        <f t="shared" si="2"/>
        <v>0</v>
      </c>
      <c r="AH17" s="117">
        <f t="shared" si="2"/>
        <v>0</v>
      </c>
      <c r="AI17" s="117">
        <f t="shared" si="2"/>
        <v>0</v>
      </c>
      <c r="AJ17" s="117">
        <f t="shared" si="2"/>
        <v>0</v>
      </c>
      <c r="AK17" s="117">
        <f t="shared" si="2"/>
        <v>0</v>
      </c>
      <c r="AL17" s="117">
        <f t="shared" si="2"/>
        <v>0</v>
      </c>
      <c r="AM17" s="117">
        <f t="shared" si="2"/>
        <v>0</v>
      </c>
      <c r="AN17" s="117">
        <f t="shared" si="2"/>
        <v>0</v>
      </c>
      <c r="AO17" s="117">
        <f t="shared" si="2"/>
        <v>0</v>
      </c>
      <c r="AP17" s="117">
        <f t="shared" si="2"/>
        <v>0</v>
      </c>
      <c r="AQ17" s="117">
        <f t="shared" si="2"/>
        <v>0</v>
      </c>
      <c r="AR17" s="117">
        <f t="shared" si="2"/>
        <v>0</v>
      </c>
      <c r="AS17" s="117">
        <f t="shared" si="2"/>
        <v>0</v>
      </c>
      <c r="AT17" s="117">
        <f t="shared" si="2"/>
        <v>0</v>
      </c>
      <c r="AU17" s="117">
        <f t="shared" si="2"/>
        <v>0</v>
      </c>
      <c r="AV17" s="117">
        <f t="shared" si="2"/>
        <v>0</v>
      </c>
      <c r="AW17" s="117">
        <f t="shared" si="2"/>
        <v>0</v>
      </c>
      <c r="AX17" s="117">
        <f t="shared" si="2"/>
        <v>0</v>
      </c>
      <c r="AY17" s="117">
        <f t="shared" si="2"/>
        <v>0</v>
      </c>
      <c r="AZ17" s="154">
        <f>SUM($D$17:$AY$17)</f>
        <v>0</v>
      </c>
    </row>
    <row r="18" spans="1:52" x14ac:dyDescent="0.2">
      <c r="A18" s="110"/>
      <c r="B18" s="156"/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1"/>
      <c r="AX18" s="141"/>
      <c r="AY18" s="141"/>
      <c r="AZ18" s="110"/>
    </row>
    <row r="19" spans="1:52" x14ac:dyDescent="0.2">
      <c r="A19" s="1" t="s">
        <v>116</v>
      </c>
      <c r="B19" s="110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</row>
    <row r="20" spans="1:52" s="114" customFormat="1" x14ac:dyDescent="0.2">
      <c r="A20" s="118" t="s">
        <v>305</v>
      </c>
      <c r="B20" s="157" t="s">
        <v>306</v>
      </c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 t="s">
        <v>339</v>
      </c>
      <c r="AC20" s="120"/>
      <c r="AD20" s="120"/>
      <c r="AE20" s="120"/>
      <c r="AF20" s="120"/>
      <c r="AG20" s="120"/>
      <c r="AH20" s="120"/>
      <c r="AI20" s="120"/>
      <c r="AJ20" s="120"/>
      <c r="AK20" s="120"/>
      <c r="AL20" s="120"/>
      <c r="AM20" s="120"/>
      <c r="AN20" s="120"/>
      <c r="AO20" s="120"/>
      <c r="AP20" s="120"/>
      <c r="AQ20" s="120"/>
      <c r="AR20" s="120"/>
      <c r="AS20" s="120"/>
      <c r="AT20" s="120"/>
      <c r="AU20" s="120"/>
      <c r="AV20" s="120"/>
      <c r="AW20" s="120"/>
      <c r="AX20" s="120"/>
      <c r="AY20" s="120"/>
      <c r="AZ20" s="111"/>
    </row>
    <row r="21" spans="1:52" s="114" customFormat="1" x14ac:dyDescent="0.2">
      <c r="A21" s="158" t="s">
        <v>133</v>
      </c>
      <c r="B21" s="159">
        <f>shipping_manufacturing!$E$19/100</f>
        <v>0.5</v>
      </c>
      <c r="C21" s="159" t="s">
        <v>293</v>
      </c>
      <c r="D21" s="110">
        <f>IF(C$20="Yes",0,SUM(C$13:C$16)*$B$21)</f>
        <v>456.5</v>
      </c>
      <c r="E21" s="110">
        <f t="shared" ref="E21:AY21" si="3">IF(D$20="Yes",0,SUM(D$13:D$16)*$B$21)</f>
        <v>456.5</v>
      </c>
      <c r="F21" s="110">
        <f t="shared" si="3"/>
        <v>456.5</v>
      </c>
      <c r="G21" s="110">
        <f t="shared" si="3"/>
        <v>456.5</v>
      </c>
      <c r="H21" s="110">
        <f t="shared" si="3"/>
        <v>456.5</v>
      </c>
      <c r="I21" s="110">
        <f t="shared" si="3"/>
        <v>456.5</v>
      </c>
      <c r="J21" s="110">
        <f t="shared" si="3"/>
        <v>456.5</v>
      </c>
      <c r="K21" s="110">
        <f t="shared" si="3"/>
        <v>456.5</v>
      </c>
      <c r="L21" s="110">
        <f t="shared" si="3"/>
        <v>456.5</v>
      </c>
      <c r="M21" s="110">
        <f t="shared" si="3"/>
        <v>456.5</v>
      </c>
      <c r="N21" s="110">
        <f t="shared" si="3"/>
        <v>456.5</v>
      </c>
      <c r="O21" s="110">
        <f t="shared" si="3"/>
        <v>456.5</v>
      </c>
      <c r="P21" s="110">
        <f t="shared" si="3"/>
        <v>456.5</v>
      </c>
      <c r="Q21" s="110">
        <f t="shared" si="3"/>
        <v>411.05794926183637</v>
      </c>
      <c r="R21" s="110">
        <f t="shared" si="3"/>
        <v>456.5</v>
      </c>
      <c r="S21" s="110">
        <f t="shared" si="3"/>
        <v>456.5</v>
      </c>
      <c r="T21" s="110">
        <f t="shared" si="3"/>
        <v>456.5</v>
      </c>
      <c r="U21" s="110">
        <f t="shared" si="3"/>
        <v>456.5</v>
      </c>
      <c r="V21" s="110">
        <f t="shared" si="3"/>
        <v>456.5</v>
      </c>
      <c r="W21" s="110">
        <f t="shared" si="3"/>
        <v>456.5</v>
      </c>
      <c r="X21" s="110">
        <f t="shared" si="3"/>
        <v>456.5</v>
      </c>
      <c r="Y21" s="110">
        <f t="shared" si="3"/>
        <v>456.5</v>
      </c>
      <c r="Z21" s="110">
        <f t="shared" si="3"/>
        <v>456.5</v>
      </c>
      <c r="AA21" s="110">
        <f t="shared" si="3"/>
        <v>456.5</v>
      </c>
      <c r="AB21" s="110">
        <f t="shared" si="3"/>
        <v>456.5</v>
      </c>
      <c r="AC21" s="110">
        <f t="shared" si="3"/>
        <v>0</v>
      </c>
      <c r="AD21" s="110">
        <f t="shared" si="3"/>
        <v>456.5</v>
      </c>
      <c r="AE21" s="110">
        <f t="shared" si="3"/>
        <v>456.5</v>
      </c>
      <c r="AF21" s="110">
        <f t="shared" si="3"/>
        <v>456.5</v>
      </c>
      <c r="AG21" s="110">
        <f t="shared" si="3"/>
        <v>456.5</v>
      </c>
      <c r="AH21" s="110">
        <f t="shared" si="3"/>
        <v>456.5</v>
      </c>
      <c r="AI21" s="110">
        <f t="shared" si="3"/>
        <v>456.5</v>
      </c>
      <c r="AJ21" s="110">
        <f t="shared" si="3"/>
        <v>456.5</v>
      </c>
      <c r="AK21" s="110">
        <f t="shared" si="3"/>
        <v>456.5</v>
      </c>
      <c r="AL21" s="110">
        <f t="shared" si="3"/>
        <v>456.5</v>
      </c>
      <c r="AM21" s="110">
        <f t="shared" si="3"/>
        <v>456.5</v>
      </c>
      <c r="AN21" s="110">
        <f t="shared" si="3"/>
        <v>456.5</v>
      </c>
      <c r="AO21" s="110">
        <f t="shared" si="3"/>
        <v>456.5</v>
      </c>
      <c r="AP21" s="110">
        <f t="shared" si="3"/>
        <v>456.5</v>
      </c>
      <c r="AQ21" s="110">
        <f t="shared" si="3"/>
        <v>456.5</v>
      </c>
      <c r="AR21" s="110">
        <f t="shared" si="3"/>
        <v>456.5</v>
      </c>
      <c r="AS21" s="110">
        <f t="shared" si="3"/>
        <v>456.5</v>
      </c>
      <c r="AT21" s="110">
        <f t="shared" si="3"/>
        <v>456.5</v>
      </c>
      <c r="AU21" s="110">
        <f t="shared" si="3"/>
        <v>456.5</v>
      </c>
      <c r="AV21" s="110">
        <f t="shared" si="3"/>
        <v>456.5</v>
      </c>
      <c r="AW21" s="110">
        <f t="shared" si="3"/>
        <v>456.5</v>
      </c>
      <c r="AX21" s="110">
        <f t="shared" si="3"/>
        <v>456.5</v>
      </c>
      <c r="AY21" s="110">
        <f t="shared" si="3"/>
        <v>456.5</v>
      </c>
      <c r="AZ21" s="160">
        <f>SUM($D21:$AY21)</f>
        <v>21410.057949261834</v>
      </c>
    </row>
    <row r="22" spans="1:52" s="114" customFormat="1" x14ac:dyDescent="0.2">
      <c r="A22" s="161" t="s">
        <v>123</v>
      </c>
      <c r="B22" s="162">
        <f>1-$B$21</f>
        <v>0.5</v>
      </c>
      <c r="C22" s="162" t="s">
        <v>293</v>
      </c>
      <c r="D22" s="117">
        <f>IF(C$20="Yes",0,SUM(C$13:C$16)*$B$22)</f>
        <v>456.5</v>
      </c>
      <c r="E22" s="117">
        <f t="shared" ref="E22:AY22" si="4">IF(D$20="Yes",0,SUM(D$13:D$16)*$B$22)</f>
        <v>456.5</v>
      </c>
      <c r="F22" s="117">
        <f t="shared" si="4"/>
        <v>456.5</v>
      </c>
      <c r="G22" s="117">
        <f t="shared" si="4"/>
        <v>456.5</v>
      </c>
      <c r="H22" s="117">
        <f t="shared" si="4"/>
        <v>456.5</v>
      </c>
      <c r="I22" s="117">
        <f t="shared" si="4"/>
        <v>456.5</v>
      </c>
      <c r="J22" s="117">
        <f t="shared" si="4"/>
        <v>456.5</v>
      </c>
      <c r="K22" s="117">
        <f t="shared" si="4"/>
        <v>456.5</v>
      </c>
      <c r="L22" s="117">
        <f t="shared" si="4"/>
        <v>456.5</v>
      </c>
      <c r="M22" s="117">
        <f t="shared" si="4"/>
        <v>456.5</v>
      </c>
      <c r="N22" s="117">
        <f t="shared" si="4"/>
        <v>456.5</v>
      </c>
      <c r="O22" s="117">
        <f t="shared" si="4"/>
        <v>456.5</v>
      </c>
      <c r="P22" s="117">
        <f t="shared" si="4"/>
        <v>456.5</v>
      </c>
      <c r="Q22" s="117">
        <f t="shared" si="4"/>
        <v>411.05794926183637</v>
      </c>
      <c r="R22" s="117">
        <f t="shared" si="4"/>
        <v>456.5</v>
      </c>
      <c r="S22" s="117">
        <f t="shared" si="4"/>
        <v>456.5</v>
      </c>
      <c r="T22" s="117">
        <f t="shared" si="4"/>
        <v>456.5</v>
      </c>
      <c r="U22" s="117">
        <f t="shared" si="4"/>
        <v>456.5</v>
      </c>
      <c r="V22" s="117">
        <f t="shared" si="4"/>
        <v>456.5</v>
      </c>
      <c r="W22" s="117">
        <f t="shared" si="4"/>
        <v>456.5</v>
      </c>
      <c r="X22" s="117">
        <f t="shared" si="4"/>
        <v>456.5</v>
      </c>
      <c r="Y22" s="117">
        <f t="shared" si="4"/>
        <v>456.5</v>
      </c>
      <c r="Z22" s="117">
        <f t="shared" si="4"/>
        <v>456.5</v>
      </c>
      <c r="AA22" s="117">
        <f t="shared" si="4"/>
        <v>456.5</v>
      </c>
      <c r="AB22" s="117">
        <f t="shared" si="4"/>
        <v>456.5</v>
      </c>
      <c r="AC22" s="117">
        <f t="shared" si="4"/>
        <v>0</v>
      </c>
      <c r="AD22" s="117">
        <f t="shared" si="4"/>
        <v>456.5</v>
      </c>
      <c r="AE22" s="117">
        <f t="shared" si="4"/>
        <v>456.5</v>
      </c>
      <c r="AF22" s="117">
        <f t="shared" si="4"/>
        <v>456.5</v>
      </c>
      <c r="AG22" s="117">
        <f t="shared" si="4"/>
        <v>456.5</v>
      </c>
      <c r="AH22" s="117">
        <f t="shared" si="4"/>
        <v>456.5</v>
      </c>
      <c r="AI22" s="117">
        <f t="shared" si="4"/>
        <v>456.5</v>
      </c>
      <c r="AJ22" s="117">
        <f t="shared" si="4"/>
        <v>456.5</v>
      </c>
      <c r="AK22" s="117">
        <f t="shared" si="4"/>
        <v>456.5</v>
      </c>
      <c r="AL22" s="117">
        <f t="shared" si="4"/>
        <v>456.5</v>
      </c>
      <c r="AM22" s="117">
        <f t="shared" si="4"/>
        <v>456.5</v>
      </c>
      <c r="AN22" s="117">
        <f t="shared" si="4"/>
        <v>456.5</v>
      </c>
      <c r="AO22" s="117">
        <f t="shared" si="4"/>
        <v>456.5</v>
      </c>
      <c r="AP22" s="117">
        <f t="shared" si="4"/>
        <v>456.5</v>
      </c>
      <c r="AQ22" s="117">
        <f t="shared" si="4"/>
        <v>456.5</v>
      </c>
      <c r="AR22" s="117">
        <f t="shared" si="4"/>
        <v>456.5</v>
      </c>
      <c r="AS22" s="117">
        <f t="shared" si="4"/>
        <v>456.5</v>
      </c>
      <c r="AT22" s="117">
        <f t="shared" si="4"/>
        <v>456.5</v>
      </c>
      <c r="AU22" s="117">
        <f t="shared" si="4"/>
        <v>456.5</v>
      </c>
      <c r="AV22" s="117">
        <f t="shared" si="4"/>
        <v>456.5</v>
      </c>
      <c r="AW22" s="117">
        <f t="shared" si="4"/>
        <v>456.5</v>
      </c>
      <c r="AX22" s="117">
        <f t="shared" si="4"/>
        <v>456.5</v>
      </c>
      <c r="AY22" s="117">
        <f t="shared" si="4"/>
        <v>456.5</v>
      </c>
      <c r="AZ22" s="144">
        <f t="shared" ref="AZ22:AZ30" si="5">SUM($D22:$AY22)</f>
        <v>21410.057949261834</v>
      </c>
    </row>
    <row r="23" spans="1:52" x14ac:dyDescent="0.2">
      <c r="A23" s="163" t="s">
        <v>307</v>
      </c>
      <c r="B23" s="127">
        <v>2000</v>
      </c>
      <c r="C23" t="s">
        <v>293</v>
      </c>
      <c r="D23">
        <f>D$21*$B$23</f>
        <v>913000</v>
      </c>
      <c r="E23">
        <f t="shared" ref="E23:AY23" si="6">E$21*$B$23</f>
        <v>913000</v>
      </c>
      <c r="F23">
        <f t="shared" si="6"/>
        <v>913000</v>
      </c>
      <c r="G23">
        <f t="shared" si="6"/>
        <v>913000</v>
      </c>
      <c r="H23">
        <f t="shared" si="6"/>
        <v>913000</v>
      </c>
      <c r="I23">
        <f t="shared" si="6"/>
        <v>913000</v>
      </c>
      <c r="J23">
        <f t="shared" si="6"/>
        <v>913000</v>
      </c>
      <c r="K23">
        <f t="shared" si="6"/>
        <v>913000</v>
      </c>
      <c r="L23">
        <f t="shared" si="6"/>
        <v>913000</v>
      </c>
      <c r="M23">
        <f t="shared" si="6"/>
        <v>913000</v>
      </c>
      <c r="N23">
        <f t="shared" si="6"/>
        <v>913000</v>
      </c>
      <c r="O23">
        <f t="shared" si="6"/>
        <v>913000</v>
      </c>
      <c r="P23">
        <f t="shared" si="6"/>
        <v>913000</v>
      </c>
      <c r="Q23">
        <f t="shared" si="6"/>
        <v>822115.89852367272</v>
      </c>
      <c r="R23">
        <f t="shared" si="6"/>
        <v>913000</v>
      </c>
      <c r="S23">
        <f t="shared" si="6"/>
        <v>913000</v>
      </c>
      <c r="T23">
        <f t="shared" si="6"/>
        <v>913000</v>
      </c>
      <c r="U23">
        <f t="shared" si="6"/>
        <v>913000</v>
      </c>
      <c r="V23">
        <f t="shared" si="6"/>
        <v>913000</v>
      </c>
      <c r="W23">
        <f t="shared" si="6"/>
        <v>913000</v>
      </c>
      <c r="X23">
        <f t="shared" si="6"/>
        <v>913000</v>
      </c>
      <c r="Y23">
        <f t="shared" si="6"/>
        <v>913000</v>
      </c>
      <c r="Z23">
        <f t="shared" si="6"/>
        <v>913000</v>
      </c>
      <c r="AA23">
        <f t="shared" si="6"/>
        <v>913000</v>
      </c>
      <c r="AB23">
        <f t="shared" si="6"/>
        <v>913000</v>
      </c>
      <c r="AC23">
        <f t="shared" si="6"/>
        <v>0</v>
      </c>
      <c r="AD23">
        <f t="shared" si="6"/>
        <v>913000</v>
      </c>
      <c r="AE23">
        <f t="shared" si="6"/>
        <v>913000</v>
      </c>
      <c r="AF23">
        <f t="shared" si="6"/>
        <v>913000</v>
      </c>
      <c r="AG23">
        <f t="shared" si="6"/>
        <v>913000</v>
      </c>
      <c r="AH23">
        <f t="shared" si="6"/>
        <v>913000</v>
      </c>
      <c r="AI23">
        <f t="shared" si="6"/>
        <v>913000</v>
      </c>
      <c r="AJ23">
        <f t="shared" si="6"/>
        <v>913000</v>
      </c>
      <c r="AK23">
        <f t="shared" si="6"/>
        <v>913000</v>
      </c>
      <c r="AL23">
        <f t="shared" si="6"/>
        <v>913000</v>
      </c>
      <c r="AM23">
        <f t="shared" si="6"/>
        <v>913000</v>
      </c>
      <c r="AN23">
        <f t="shared" si="6"/>
        <v>913000</v>
      </c>
      <c r="AO23">
        <f t="shared" si="6"/>
        <v>913000</v>
      </c>
      <c r="AP23">
        <f t="shared" si="6"/>
        <v>913000</v>
      </c>
      <c r="AQ23">
        <f t="shared" si="6"/>
        <v>913000</v>
      </c>
      <c r="AR23">
        <f t="shared" si="6"/>
        <v>913000</v>
      </c>
      <c r="AS23">
        <f t="shared" si="6"/>
        <v>913000</v>
      </c>
      <c r="AT23">
        <f t="shared" si="6"/>
        <v>913000</v>
      </c>
      <c r="AU23">
        <f t="shared" si="6"/>
        <v>913000</v>
      </c>
      <c r="AV23">
        <f t="shared" si="6"/>
        <v>913000</v>
      </c>
      <c r="AW23">
        <f t="shared" si="6"/>
        <v>913000</v>
      </c>
      <c r="AX23">
        <f t="shared" si="6"/>
        <v>913000</v>
      </c>
      <c r="AY23">
        <f t="shared" si="6"/>
        <v>913000</v>
      </c>
      <c r="AZ23" s="142">
        <f t="shared" si="5"/>
        <v>42820115.898523673</v>
      </c>
    </row>
    <row r="24" spans="1:52" s="114" customFormat="1" x14ac:dyDescent="0.2">
      <c r="A24" s="164" t="s">
        <v>308</v>
      </c>
      <c r="B24" s="165">
        <v>1000</v>
      </c>
      <c r="C24" s="159" t="s">
        <v>293</v>
      </c>
      <c r="D24" s="110">
        <f>D$22*$B$24</f>
        <v>456500</v>
      </c>
      <c r="E24" s="110">
        <f t="shared" ref="E24:AY24" si="7">E$22*$B$24</f>
        <v>456500</v>
      </c>
      <c r="F24" s="110">
        <f t="shared" si="7"/>
        <v>456500</v>
      </c>
      <c r="G24" s="110">
        <f t="shared" si="7"/>
        <v>456500</v>
      </c>
      <c r="H24" s="110">
        <f t="shared" si="7"/>
        <v>456500</v>
      </c>
      <c r="I24" s="110">
        <f t="shared" si="7"/>
        <v>456500</v>
      </c>
      <c r="J24" s="110">
        <f t="shared" si="7"/>
        <v>456500</v>
      </c>
      <c r="K24" s="110">
        <f t="shared" si="7"/>
        <v>456500</v>
      </c>
      <c r="L24" s="110">
        <f t="shared" si="7"/>
        <v>456500</v>
      </c>
      <c r="M24" s="110">
        <f t="shared" si="7"/>
        <v>456500</v>
      </c>
      <c r="N24" s="110">
        <f t="shared" si="7"/>
        <v>456500</v>
      </c>
      <c r="O24" s="110">
        <f t="shared" si="7"/>
        <v>456500</v>
      </c>
      <c r="P24" s="110">
        <f t="shared" si="7"/>
        <v>456500</v>
      </c>
      <c r="Q24" s="110">
        <f t="shared" si="7"/>
        <v>411057.94926183636</v>
      </c>
      <c r="R24" s="110">
        <f t="shared" si="7"/>
        <v>456500</v>
      </c>
      <c r="S24" s="110">
        <f t="shared" si="7"/>
        <v>456500</v>
      </c>
      <c r="T24" s="110">
        <f t="shared" si="7"/>
        <v>456500</v>
      </c>
      <c r="U24" s="110">
        <f t="shared" si="7"/>
        <v>456500</v>
      </c>
      <c r="V24" s="110">
        <f t="shared" si="7"/>
        <v>456500</v>
      </c>
      <c r="W24" s="110">
        <f t="shared" si="7"/>
        <v>456500</v>
      </c>
      <c r="X24" s="110">
        <f t="shared" si="7"/>
        <v>456500</v>
      </c>
      <c r="Y24" s="110">
        <f t="shared" si="7"/>
        <v>456500</v>
      </c>
      <c r="Z24" s="110">
        <f t="shared" si="7"/>
        <v>456500</v>
      </c>
      <c r="AA24" s="110">
        <f t="shared" si="7"/>
        <v>456500</v>
      </c>
      <c r="AB24" s="110">
        <f t="shared" si="7"/>
        <v>456500</v>
      </c>
      <c r="AC24" s="110">
        <f t="shared" si="7"/>
        <v>0</v>
      </c>
      <c r="AD24" s="110">
        <f t="shared" si="7"/>
        <v>456500</v>
      </c>
      <c r="AE24" s="110">
        <f t="shared" si="7"/>
        <v>456500</v>
      </c>
      <c r="AF24" s="110">
        <f t="shared" si="7"/>
        <v>456500</v>
      </c>
      <c r="AG24" s="110">
        <f t="shared" si="7"/>
        <v>456500</v>
      </c>
      <c r="AH24" s="110">
        <f t="shared" si="7"/>
        <v>456500</v>
      </c>
      <c r="AI24" s="110">
        <f t="shared" si="7"/>
        <v>456500</v>
      </c>
      <c r="AJ24" s="110">
        <f t="shared" si="7"/>
        <v>456500</v>
      </c>
      <c r="AK24" s="110">
        <f t="shared" si="7"/>
        <v>456500</v>
      </c>
      <c r="AL24" s="110">
        <f t="shared" si="7"/>
        <v>456500</v>
      </c>
      <c r="AM24" s="110">
        <f t="shared" si="7"/>
        <v>456500</v>
      </c>
      <c r="AN24" s="110">
        <f t="shared" si="7"/>
        <v>456500</v>
      </c>
      <c r="AO24" s="110">
        <f t="shared" si="7"/>
        <v>456500</v>
      </c>
      <c r="AP24" s="110">
        <f t="shared" si="7"/>
        <v>456500</v>
      </c>
      <c r="AQ24" s="110">
        <f t="shared" si="7"/>
        <v>456500</v>
      </c>
      <c r="AR24" s="110">
        <f t="shared" si="7"/>
        <v>456500</v>
      </c>
      <c r="AS24" s="110">
        <f t="shared" si="7"/>
        <v>456500</v>
      </c>
      <c r="AT24" s="110">
        <f t="shared" si="7"/>
        <v>456500</v>
      </c>
      <c r="AU24" s="110">
        <f t="shared" si="7"/>
        <v>456500</v>
      </c>
      <c r="AV24" s="110">
        <f t="shared" si="7"/>
        <v>456500</v>
      </c>
      <c r="AW24" s="110">
        <f t="shared" si="7"/>
        <v>456500</v>
      </c>
      <c r="AX24" s="110">
        <f t="shared" si="7"/>
        <v>456500</v>
      </c>
      <c r="AY24" s="110">
        <f t="shared" si="7"/>
        <v>456500</v>
      </c>
      <c r="AZ24" s="144">
        <f t="shared" si="5"/>
        <v>21410057.949261837</v>
      </c>
    </row>
    <row r="25" spans="1:52" x14ac:dyDescent="0.2"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  <c r="AH25" s="141"/>
      <c r="AI25" s="141"/>
      <c r="AJ25" s="141"/>
      <c r="AK25" s="141"/>
      <c r="AL25" s="141"/>
      <c r="AM25" s="141"/>
      <c r="AN25" s="141"/>
      <c r="AO25" s="141"/>
      <c r="AP25" s="141"/>
      <c r="AQ25" s="141"/>
      <c r="AR25" s="141"/>
      <c r="AS25" s="141"/>
      <c r="AT25" s="141"/>
      <c r="AU25" s="141"/>
      <c r="AV25" s="141"/>
      <c r="AW25" s="141"/>
      <c r="AX25" s="141"/>
      <c r="AY25" s="141"/>
      <c r="AZ25" s="110"/>
    </row>
    <row r="26" spans="1:52" x14ac:dyDescent="0.2">
      <c r="A26" s="166" t="s">
        <v>18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</row>
    <row r="27" spans="1:52" x14ac:dyDescent="0.2">
      <c r="B27" s="138" t="s">
        <v>309</v>
      </c>
      <c r="C27" s="127">
        <v>29</v>
      </c>
      <c r="D27" s="127">
        <f>C$27-C$28+C$29</f>
        <v>0</v>
      </c>
      <c r="E27" s="127">
        <f t="shared" ref="E27:AY27" si="8">D27-D28+D29</f>
        <v>29</v>
      </c>
      <c r="F27" s="127">
        <f t="shared" si="8"/>
        <v>0</v>
      </c>
      <c r="G27" s="127">
        <f t="shared" si="8"/>
        <v>29</v>
      </c>
      <c r="H27" s="127">
        <f t="shared" si="8"/>
        <v>0</v>
      </c>
      <c r="I27" s="127">
        <f t="shared" si="8"/>
        <v>29</v>
      </c>
      <c r="J27" s="127">
        <f t="shared" si="8"/>
        <v>0</v>
      </c>
      <c r="K27" s="127">
        <f t="shared" si="8"/>
        <v>29</v>
      </c>
      <c r="L27" s="127">
        <f t="shared" si="8"/>
        <v>0</v>
      </c>
      <c r="M27" s="127">
        <f t="shared" si="8"/>
        <v>29</v>
      </c>
      <c r="N27" s="127">
        <f t="shared" si="8"/>
        <v>0</v>
      </c>
      <c r="O27" s="127">
        <f t="shared" si="8"/>
        <v>29</v>
      </c>
      <c r="P27" s="127">
        <f t="shared" si="8"/>
        <v>0</v>
      </c>
      <c r="Q27" s="127">
        <f t="shared" si="8"/>
        <v>29</v>
      </c>
      <c r="R27" s="127">
        <f t="shared" si="8"/>
        <v>1</v>
      </c>
      <c r="S27" s="127">
        <f t="shared" si="8"/>
        <v>28</v>
      </c>
      <c r="T27" s="127">
        <f t="shared" si="8"/>
        <v>1</v>
      </c>
      <c r="U27" s="127">
        <f t="shared" si="8"/>
        <v>28</v>
      </c>
      <c r="V27" s="127">
        <f t="shared" si="8"/>
        <v>1</v>
      </c>
      <c r="W27" s="127">
        <f t="shared" si="8"/>
        <v>28</v>
      </c>
      <c r="X27" s="127">
        <f t="shared" si="8"/>
        <v>1</v>
      </c>
      <c r="Y27" s="127">
        <f t="shared" si="8"/>
        <v>28</v>
      </c>
      <c r="Z27" s="127">
        <f t="shared" si="8"/>
        <v>1</v>
      </c>
      <c r="AA27" s="127">
        <f t="shared" si="8"/>
        <v>28</v>
      </c>
      <c r="AB27" s="127">
        <f t="shared" si="8"/>
        <v>1</v>
      </c>
      <c r="AC27" s="127">
        <f t="shared" si="8"/>
        <v>28</v>
      </c>
      <c r="AD27" s="127">
        <f t="shared" si="8"/>
        <v>29</v>
      </c>
      <c r="AE27" s="127">
        <f t="shared" si="8"/>
        <v>0</v>
      </c>
      <c r="AF27" s="127">
        <f t="shared" si="8"/>
        <v>29</v>
      </c>
      <c r="AG27" s="127">
        <f t="shared" si="8"/>
        <v>0</v>
      </c>
      <c r="AH27" s="127">
        <f t="shared" si="8"/>
        <v>29</v>
      </c>
      <c r="AI27" s="127">
        <f t="shared" si="8"/>
        <v>0</v>
      </c>
      <c r="AJ27" s="127">
        <f t="shared" si="8"/>
        <v>29</v>
      </c>
      <c r="AK27" s="127">
        <f t="shared" si="8"/>
        <v>0</v>
      </c>
      <c r="AL27" s="127">
        <f t="shared" si="8"/>
        <v>29</v>
      </c>
      <c r="AM27" s="127">
        <f t="shared" si="8"/>
        <v>0</v>
      </c>
      <c r="AN27" s="127">
        <f t="shared" si="8"/>
        <v>29</v>
      </c>
      <c r="AO27" s="127">
        <f t="shared" si="8"/>
        <v>0</v>
      </c>
      <c r="AP27" s="127">
        <f t="shared" si="8"/>
        <v>29</v>
      </c>
      <c r="AQ27" s="127">
        <f t="shared" si="8"/>
        <v>0</v>
      </c>
      <c r="AR27" s="127">
        <f t="shared" si="8"/>
        <v>29</v>
      </c>
      <c r="AS27" s="127">
        <f t="shared" si="8"/>
        <v>0</v>
      </c>
      <c r="AT27" s="127">
        <f t="shared" si="8"/>
        <v>29</v>
      </c>
      <c r="AU27" s="127">
        <f t="shared" si="8"/>
        <v>0</v>
      </c>
      <c r="AV27" s="127">
        <f t="shared" si="8"/>
        <v>29</v>
      </c>
      <c r="AW27" s="127">
        <f t="shared" si="8"/>
        <v>0</v>
      </c>
      <c r="AX27" s="127">
        <f t="shared" si="8"/>
        <v>29</v>
      </c>
      <c r="AY27" s="167">
        <f t="shared" si="8"/>
        <v>0</v>
      </c>
      <c r="AZ27" s="110"/>
    </row>
    <row r="28" spans="1:52" x14ac:dyDescent="0.2">
      <c r="B28" s="168" t="s">
        <v>310</v>
      </c>
      <c r="C28" s="114">
        <v>29</v>
      </c>
      <c r="D28" s="114">
        <v>0</v>
      </c>
      <c r="E28" s="114">
        <v>29</v>
      </c>
      <c r="F28" s="114">
        <v>0</v>
      </c>
      <c r="G28" s="114">
        <v>29</v>
      </c>
      <c r="H28" s="114">
        <v>0</v>
      </c>
      <c r="I28" s="114">
        <v>29</v>
      </c>
      <c r="J28" s="114">
        <v>0</v>
      </c>
      <c r="K28" s="114">
        <v>29</v>
      </c>
      <c r="L28" s="114">
        <v>0</v>
      </c>
      <c r="M28" s="114">
        <v>29</v>
      </c>
      <c r="N28" s="114">
        <v>0</v>
      </c>
      <c r="O28" s="114">
        <v>29</v>
      </c>
      <c r="P28" s="114">
        <v>0</v>
      </c>
      <c r="Q28" s="114">
        <v>28</v>
      </c>
      <c r="R28" s="114">
        <v>1</v>
      </c>
      <c r="S28" s="114">
        <v>28</v>
      </c>
      <c r="T28" s="114">
        <v>1</v>
      </c>
      <c r="U28" s="114">
        <v>28</v>
      </c>
      <c r="V28" s="114">
        <v>1</v>
      </c>
      <c r="W28" s="114">
        <v>28</v>
      </c>
      <c r="X28" s="114">
        <v>1</v>
      </c>
      <c r="Y28" s="114">
        <v>28</v>
      </c>
      <c r="Z28" s="114">
        <v>1</v>
      </c>
      <c r="AA28" s="114">
        <v>28</v>
      </c>
      <c r="AB28" s="114">
        <v>1</v>
      </c>
      <c r="AC28" s="114">
        <v>0</v>
      </c>
      <c r="AD28" s="114">
        <v>29</v>
      </c>
      <c r="AE28" s="114">
        <v>0</v>
      </c>
      <c r="AF28" s="114">
        <v>29</v>
      </c>
      <c r="AG28" s="114">
        <v>0</v>
      </c>
      <c r="AH28" s="114">
        <v>29</v>
      </c>
      <c r="AI28" s="114">
        <v>0</v>
      </c>
      <c r="AJ28" s="114">
        <v>29</v>
      </c>
      <c r="AK28" s="114">
        <v>0</v>
      </c>
      <c r="AL28" s="114">
        <v>29</v>
      </c>
      <c r="AM28" s="114">
        <v>0</v>
      </c>
      <c r="AN28" s="114">
        <v>29</v>
      </c>
      <c r="AO28" s="114">
        <v>0</v>
      </c>
      <c r="AP28" s="114">
        <v>29</v>
      </c>
      <c r="AQ28" s="114">
        <v>0</v>
      </c>
      <c r="AR28" s="114">
        <v>29</v>
      </c>
      <c r="AS28" s="114">
        <v>0</v>
      </c>
      <c r="AT28" s="114">
        <v>29</v>
      </c>
      <c r="AU28" s="114">
        <v>0</v>
      </c>
      <c r="AV28" s="114">
        <v>29</v>
      </c>
      <c r="AW28" s="114">
        <v>0</v>
      </c>
      <c r="AX28" s="114">
        <v>29</v>
      </c>
      <c r="AY28" s="169">
        <v>0</v>
      </c>
      <c r="AZ28" s="110"/>
    </row>
    <row r="29" spans="1:52" x14ac:dyDescent="0.2">
      <c r="B29" s="139" t="s">
        <v>311</v>
      </c>
      <c r="C29" s="128">
        <v>0</v>
      </c>
      <c r="D29" s="128">
        <f>C$28</f>
        <v>29</v>
      </c>
      <c r="E29" s="128">
        <f t="shared" ref="E29:AY29" si="9">D$28</f>
        <v>0</v>
      </c>
      <c r="F29" s="128">
        <f t="shared" si="9"/>
        <v>29</v>
      </c>
      <c r="G29" s="128">
        <f t="shared" si="9"/>
        <v>0</v>
      </c>
      <c r="H29" s="128">
        <f t="shared" si="9"/>
        <v>29</v>
      </c>
      <c r="I29" s="128">
        <f t="shared" si="9"/>
        <v>0</v>
      </c>
      <c r="J29" s="128">
        <f t="shared" si="9"/>
        <v>29</v>
      </c>
      <c r="K29" s="128">
        <f t="shared" si="9"/>
        <v>0</v>
      </c>
      <c r="L29" s="128">
        <f t="shared" si="9"/>
        <v>29</v>
      </c>
      <c r="M29" s="128">
        <f t="shared" si="9"/>
        <v>0</v>
      </c>
      <c r="N29" s="128">
        <f t="shared" si="9"/>
        <v>29</v>
      </c>
      <c r="O29" s="128">
        <f t="shared" si="9"/>
        <v>0</v>
      </c>
      <c r="P29" s="128">
        <f t="shared" si="9"/>
        <v>29</v>
      </c>
      <c r="Q29" s="128">
        <f t="shared" si="9"/>
        <v>0</v>
      </c>
      <c r="R29" s="128">
        <f t="shared" si="9"/>
        <v>28</v>
      </c>
      <c r="S29" s="128">
        <f t="shared" si="9"/>
        <v>1</v>
      </c>
      <c r="T29" s="128">
        <f t="shared" si="9"/>
        <v>28</v>
      </c>
      <c r="U29" s="128">
        <f t="shared" si="9"/>
        <v>1</v>
      </c>
      <c r="V29" s="128">
        <f t="shared" si="9"/>
        <v>28</v>
      </c>
      <c r="W29" s="128">
        <f t="shared" si="9"/>
        <v>1</v>
      </c>
      <c r="X29" s="128">
        <f t="shared" si="9"/>
        <v>28</v>
      </c>
      <c r="Y29" s="128">
        <f t="shared" si="9"/>
        <v>1</v>
      </c>
      <c r="Z29" s="128">
        <f t="shared" si="9"/>
        <v>28</v>
      </c>
      <c r="AA29" s="128">
        <f t="shared" si="9"/>
        <v>1</v>
      </c>
      <c r="AB29" s="128">
        <f t="shared" si="9"/>
        <v>28</v>
      </c>
      <c r="AC29" s="128">
        <f t="shared" si="9"/>
        <v>1</v>
      </c>
      <c r="AD29" s="128">
        <f t="shared" si="9"/>
        <v>0</v>
      </c>
      <c r="AE29" s="128">
        <f t="shared" si="9"/>
        <v>29</v>
      </c>
      <c r="AF29" s="128">
        <f t="shared" si="9"/>
        <v>0</v>
      </c>
      <c r="AG29" s="128">
        <f t="shared" si="9"/>
        <v>29</v>
      </c>
      <c r="AH29" s="128">
        <f t="shared" si="9"/>
        <v>0</v>
      </c>
      <c r="AI29" s="128">
        <f t="shared" si="9"/>
        <v>29</v>
      </c>
      <c r="AJ29" s="128">
        <f t="shared" si="9"/>
        <v>0</v>
      </c>
      <c r="AK29" s="128">
        <f t="shared" si="9"/>
        <v>29</v>
      </c>
      <c r="AL29" s="128">
        <f t="shared" si="9"/>
        <v>0</v>
      </c>
      <c r="AM29" s="128">
        <f t="shared" si="9"/>
        <v>29</v>
      </c>
      <c r="AN29" s="128">
        <f t="shared" si="9"/>
        <v>0</v>
      </c>
      <c r="AO29" s="128">
        <f t="shared" si="9"/>
        <v>29</v>
      </c>
      <c r="AP29" s="128">
        <f t="shared" si="9"/>
        <v>0</v>
      </c>
      <c r="AQ29" s="128">
        <f t="shared" si="9"/>
        <v>29</v>
      </c>
      <c r="AR29" s="128">
        <f t="shared" si="9"/>
        <v>0</v>
      </c>
      <c r="AS29" s="128">
        <f t="shared" si="9"/>
        <v>29</v>
      </c>
      <c r="AT29" s="128">
        <f t="shared" si="9"/>
        <v>0</v>
      </c>
      <c r="AU29" s="128">
        <f t="shared" si="9"/>
        <v>29</v>
      </c>
      <c r="AV29" s="128">
        <f t="shared" si="9"/>
        <v>0</v>
      </c>
      <c r="AW29" s="128">
        <f t="shared" si="9"/>
        <v>29</v>
      </c>
      <c r="AX29" s="128">
        <f t="shared" si="9"/>
        <v>0</v>
      </c>
      <c r="AY29" s="170">
        <f t="shared" si="9"/>
        <v>29</v>
      </c>
      <c r="AZ29" s="171"/>
    </row>
    <row r="30" spans="1:52" x14ac:dyDescent="0.2">
      <c r="A30" s="172" t="s">
        <v>312</v>
      </c>
      <c r="B30" s="147">
        <v>10</v>
      </c>
      <c r="C30" s="120" t="s">
        <v>293</v>
      </c>
      <c r="D30" s="120">
        <f>D$27*$B$30</f>
        <v>0</v>
      </c>
      <c r="E30" s="120">
        <f t="shared" ref="E30:AY30" si="10">E$27*$B$30</f>
        <v>290</v>
      </c>
      <c r="F30" s="120">
        <f t="shared" si="10"/>
        <v>0</v>
      </c>
      <c r="G30" s="120">
        <f t="shared" si="10"/>
        <v>290</v>
      </c>
      <c r="H30" s="120">
        <f t="shared" si="10"/>
        <v>0</v>
      </c>
      <c r="I30" s="120">
        <f t="shared" si="10"/>
        <v>290</v>
      </c>
      <c r="J30" s="120">
        <f t="shared" si="10"/>
        <v>0</v>
      </c>
      <c r="K30" s="120">
        <f t="shared" si="10"/>
        <v>290</v>
      </c>
      <c r="L30" s="120">
        <f t="shared" si="10"/>
        <v>0</v>
      </c>
      <c r="M30" s="120">
        <f t="shared" si="10"/>
        <v>290</v>
      </c>
      <c r="N30" s="120">
        <f t="shared" si="10"/>
        <v>0</v>
      </c>
      <c r="O30" s="120">
        <f t="shared" si="10"/>
        <v>290</v>
      </c>
      <c r="P30" s="120">
        <f t="shared" si="10"/>
        <v>0</v>
      </c>
      <c r="Q30" s="120">
        <f t="shared" si="10"/>
        <v>290</v>
      </c>
      <c r="R30" s="120">
        <f>R$27*$B$30</f>
        <v>10</v>
      </c>
      <c r="S30" s="120">
        <f t="shared" si="10"/>
        <v>280</v>
      </c>
      <c r="T30" s="120">
        <f t="shared" si="10"/>
        <v>10</v>
      </c>
      <c r="U30" s="120">
        <f t="shared" si="10"/>
        <v>280</v>
      </c>
      <c r="V30" s="120">
        <f t="shared" si="10"/>
        <v>10</v>
      </c>
      <c r="W30" s="120">
        <f t="shared" si="10"/>
        <v>280</v>
      </c>
      <c r="X30" s="120">
        <f t="shared" si="10"/>
        <v>10</v>
      </c>
      <c r="Y30" s="120">
        <f t="shared" si="10"/>
        <v>280</v>
      </c>
      <c r="Z30" s="120">
        <f t="shared" si="10"/>
        <v>10</v>
      </c>
      <c r="AA30" s="120">
        <f t="shared" si="10"/>
        <v>280</v>
      </c>
      <c r="AB30" s="120">
        <f t="shared" si="10"/>
        <v>10</v>
      </c>
      <c r="AC30" s="120">
        <f t="shared" si="10"/>
        <v>280</v>
      </c>
      <c r="AD30" s="120">
        <f t="shared" si="10"/>
        <v>290</v>
      </c>
      <c r="AE30" s="120">
        <f>AE$27*$B$30</f>
        <v>0</v>
      </c>
      <c r="AF30" s="120">
        <f t="shared" si="10"/>
        <v>290</v>
      </c>
      <c r="AG30" s="120">
        <f t="shared" si="10"/>
        <v>0</v>
      </c>
      <c r="AH30" s="120">
        <f t="shared" si="10"/>
        <v>290</v>
      </c>
      <c r="AI30" s="120">
        <f t="shared" si="10"/>
        <v>0</v>
      </c>
      <c r="AJ30" s="120">
        <f t="shared" si="10"/>
        <v>290</v>
      </c>
      <c r="AK30" s="120">
        <f t="shared" si="10"/>
        <v>0</v>
      </c>
      <c r="AL30" s="120">
        <f t="shared" si="10"/>
        <v>290</v>
      </c>
      <c r="AM30" s="120">
        <f t="shared" si="10"/>
        <v>0</v>
      </c>
      <c r="AN30" s="120">
        <f t="shared" si="10"/>
        <v>290</v>
      </c>
      <c r="AO30" s="120">
        <f t="shared" si="10"/>
        <v>0</v>
      </c>
      <c r="AP30" s="120">
        <f t="shared" si="10"/>
        <v>290</v>
      </c>
      <c r="AQ30" s="120">
        <f t="shared" si="10"/>
        <v>0</v>
      </c>
      <c r="AR30" s="120">
        <f t="shared" si="10"/>
        <v>290</v>
      </c>
      <c r="AS30" s="120">
        <f t="shared" si="10"/>
        <v>0</v>
      </c>
      <c r="AT30" s="120">
        <f t="shared" si="10"/>
        <v>290</v>
      </c>
      <c r="AU30" s="120">
        <f t="shared" si="10"/>
        <v>0</v>
      </c>
      <c r="AV30" s="120">
        <f t="shared" si="10"/>
        <v>290</v>
      </c>
      <c r="AW30" s="120">
        <f t="shared" si="10"/>
        <v>0</v>
      </c>
      <c r="AX30" s="120">
        <f t="shared" si="10"/>
        <v>290</v>
      </c>
      <c r="AY30" s="120">
        <f t="shared" si="10"/>
        <v>0</v>
      </c>
      <c r="AZ30" s="144">
        <f t="shared" si="5"/>
        <v>6960</v>
      </c>
    </row>
    <row r="32" spans="1:52" x14ac:dyDescent="0.2">
      <c r="A32" s="1" t="s">
        <v>300</v>
      </c>
    </row>
    <row r="33" spans="1:52" x14ac:dyDescent="0.2">
      <c r="A33" s="138" t="s">
        <v>22</v>
      </c>
      <c r="B33" s="138" t="s">
        <v>341</v>
      </c>
      <c r="C33" s="127"/>
      <c r="D33" s="127">
        <f>D$21*shipping_manufacturing!$F$27/100</f>
        <v>0</v>
      </c>
      <c r="E33" s="127">
        <f>E$21*shipping_manufacturing!$F$27/100</f>
        <v>0</v>
      </c>
      <c r="F33" s="127">
        <f>F$21*shipping_manufacturing!$F$27/100</f>
        <v>0</v>
      </c>
      <c r="G33" s="127">
        <f>G$21*shipping_manufacturing!$F$27/100</f>
        <v>0</v>
      </c>
      <c r="H33" s="127">
        <f>H$21*shipping_manufacturing!$F$27/100</f>
        <v>0</v>
      </c>
      <c r="I33" s="127">
        <f>I$21*shipping_manufacturing!$F$27/100</f>
        <v>0</v>
      </c>
      <c r="J33" s="127">
        <f>J$21*shipping_manufacturing!$F$27/100</f>
        <v>0</v>
      </c>
      <c r="K33" s="127">
        <f>K$21*shipping_manufacturing!$F$27/100</f>
        <v>0</v>
      </c>
      <c r="L33" s="127">
        <f>L$21*shipping_manufacturing!$F$27/100</f>
        <v>0</v>
      </c>
      <c r="M33" s="127">
        <f>M$21*shipping_manufacturing!$F$27/100</f>
        <v>0</v>
      </c>
      <c r="N33" s="127">
        <f>N$21*shipping_manufacturing!$F$27/100</f>
        <v>0</v>
      </c>
      <c r="O33" s="127">
        <f>O$21*shipping_manufacturing!$F$27/100</f>
        <v>0</v>
      </c>
      <c r="P33" s="127">
        <f>P$21*shipping_manufacturing!$F$27/100</f>
        <v>0</v>
      </c>
      <c r="Q33" s="127">
        <f>Q$21*shipping_manufacturing!$F$27/100</f>
        <v>0</v>
      </c>
      <c r="R33" s="127">
        <f>R$21*shipping_manufacturing!$F$27/100</f>
        <v>0</v>
      </c>
      <c r="S33" s="127">
        <f>S$21*shipping_manufacturing!$F$27/100</f>
        <v>0</v>
      </c>
      <c r="T33" s="127">
        <f>T$21*shipping_manufacturing!$F$27/100</f>
        <v>0</v>
      </c>
      <c r="U33" s="127">
        <f>U$21*shipping_manufacturing!$F$27/100</f>
        <v>0</v>
      </c>
      <c r="V33" s="127">
        <f>V$21*shipping_manufacturing!$F$27/100</f>
        <v>0</v>
      </c>
      <c r="W33" s="127">
        <f>W$21*shipping_manufacturing!$F$27/100</f>
        <v>0</v>
      </c>
      <c r="X33" s="127">
        <f>X$21*shipping_manufacturing!$F$27/100</f>
        <v>0</v>
      </c>
      <c r="Y33" s="127">
        <f>Y$21*shipping_manufacturing!$F$27/100</f>
        <v>0</v>
      </c>
      <c r="Z33" s="127">
        <f>Z$21*shipping_manufacturing!$F$27/100</f>
        <v>0</v>
      </c>
      <c r="AA33" s="127">
        <f>AA$21*shipping_manufacturing!$F$27/100</f>
        <v>0</v>
      </c>
      <c r="AB33" s="127">
        <f>AB$21*shipping_manufacturing!$F$27/100</f>
        <v>0</v>
      </c>
      <c r="AC33" s="127">
        <f>AC$21*shipping_manufacturing!$F$27/100</f>
        <v>0</v>
      </c>
      <c r="AD33" s="127">
        <f>AD$21*shipping_manufacturing!$F$27/100</f>
        <v>0</v>
      </c>
      <c r="AE33" s="127">
        <f>AE$21*shipping_manufacturing!$F$27/100</f>
        <v>0</v>
      </c>
      <c r="AF33" s="127">
        <f>AF$21*shipping_manufacturing!$F$27/100</f>
        <v>0</v>
      </c>
      <c r="AG33" s="127">
        <f>AG$21*shipping_manufacturing!$F$27/100</f>
        <v>0</v>
      </c>
      <c r="AH33" s="127">
        <f>AH$21*shipping_manufacturing!$F$27/100</f>
        <v>0</v>
      </c>
      <c r="AI33" s="127">
        <f>AI$21*shipping_manufacturing!$F$27/100</f>
        <v>0</v>
      </c>
      <c r="AJ33" s="127">
        <f>AJ$21*shipping_manufacturing!$F$27/100</f>
        <v>0</v>
      </c>
      <c r="AK33" s="127">
        <f>AK$21*shipping_manufacturing!$F$27/100</f>
        <v>0</v>
      </c>
      <c r="AL33" s="127">
        <f>AL$21*shipping_manufacturing!$F$27/100</f>
        <v>0</v>
      </c>
      <c r="AM33" s="127">
        <f>AM$21*shipping_manufacturing!$F$27/100</f>
        <v>0</v>
      </c>
      <c r="AN33" s="127">
        <f>AN$21*shipping_manufacturing!$F$27/100</f>
        <v>0</v>
      </c>
      <c r="AO33" s="127">
        <f>AO$21*shipping_manufacturing!$F$27/100</f>
        <v>0</v>
      </c>
      <c r="AP33" s="127">
        <f>AP$21*shipping_manufacturing!$F$27/100</f>
        <v>0</v>
      </c>
      <c r="AQ33" s="127">
        <f>AQ$21*shipping_manufacturing!$F$27/100</f>
        <v>0</v>
      </c>
      <c r="AR33" s="127">
        <f>AR$21*shipping_manufacturing!$F$27/100</f>
        <v>0</v>
      </c>
      <c r="AS33" s="127">
        <f>AS$21*shipping_manufacturing!$F$27/100</f>
        <v>0</v>
      </c>
      <c r="AT33" s="127">
        <f>AT$21*shipping_manufacturing!$F$27/100</f>
        <v>0</v>
      </c>
      <c r="AU33" s="127">
        <f>AU$21*shipping_manufacturing!$F$27/100</f>
        <v>0</v>
      </c>
      <c r="AV33" s="127">
        <f>AV$21*shipping_manufacturing!$F$27/100</f>
        <v>0</v>
      </c>
      <c r="AW33" s="127">
        <f>AW$21*shipping_manufacturing!$F$27/100</f>
        <v>0</v>
      </c>
      <c r="AX33" s="127">
        <f>AX$21*shipping_manufacturing!$F$27/100</f>
        <v>0</v>
      </c>
      <c r="AY33" s="127">
        <f>AY$21*shipping_manufacturing!$F$27/100</f>
        <v>0</v>
      </c>
    </row>
    <row r="34" spans="1:52" x14ac:dyDescent="0.2">
      <c r="A34" s="116" t="s">
        <v>340</v>
      </c>
      <c r="B34" s="168" t="s">
        <v>342</v>
      </c>
      <c r="C34" s="114"/>
      <c r="D34" s="114">
        <f>D$22*shipping_manufacturing!$G$27/100</f>
        <v>456.5</v>
      </c>
      <c r="E34" s="114">
        <f>E$22*shipping_manufacturing!$G$27/100</f>
        <v>456.5</v>
      </c>
      <c r="F34" s="114">
        <f>F$22*shipping_manufacturing!$G$27/100</f>
        <v>456.5</v>
      </c>
      <c r="G34" s="114">
        <f>G$22*shipping_manufacturing!$G$27/100</f>
        <v>456.5</v>
      </c>
      <c r="H34" s="114">
        <f>H$22*shipping_manufacturing!$G$27/100</f>
        <v>456.5</v>
      </c>
      <c r="I34" s="114">
        <f>I$22*shipping_manufacturing!$G$27/100</f>
        <v>456.5</v>
      </c>
      <c r="J34" s="114">
        <f>J$22*shipping_manufacturing!$G$27/100</f>
        <v>456.5</v>
      </c>
      <c r="K34" s="114">
        <f>K$22*shipping_manufacturing!$G$27/100</f>
        <v>456.5</v>
      </c>
      <c r="L34" s="114">
        <f>L$22*shipping_manufacturing!$G$27/100</f>
        <v>456.5</v>
      </c>
      <c r="M34" s="114">
        <f>M$22*shipping_manufacturing!$G$27/100</f>
        <v>456.5</v>
      </c>
      <c r="N34" s="114">
        <f>N$22*shipping_manufacturing!$G$27/100</f>
        <v>456.5</v>
      </c>
      <c r="O34" s="114">
        <f>O$22*shipping_manufacturing!$G$27/100</f>
        <v>456.5</v>
      </c>
      <c r="P34" s="114">
        <f>P$22*shipping_manufacturing!$G$27/100</f>
        <v>456.5</v>
      </c>
      <c r="Q34" s="114">
        <f>Q$22*shipping_manufacturing!$G$27/100</f>
        <v>411.05794926183643</v>
      </c>
      <c r="R34" s="114">
        <f>R$22*shipping_manufacturing!$G$27/100</f>
        <v>456.5</v>
      </c>
      <c r="S34" s="114">
        <f>S$22*shipping_manufacturing!$G$27/100</f>
        <v>456.5</v>
      </c>
      <c r="T34" s="114">
        <f>T$22*shipping_manufacturing!$G$27/100</f>
        <v>456.5</v>
      </c>
      <c r="U34" s="114">
        <f>U$22*shipping_manufacturing!$G$27/100</f>
        <v>456.5</v>
      </c>
      <c r="V34" s="114">
        <f>V$22*shipping_manufacturing!$G$27/100</f>
        <v>456.5</v>
      </c>
      <c r="W34" s="114">
        <f>W$22*shipping_manufacturing!$G$27/100</f>
        <v>456.5</v>
      </c>
      <c r="X34" s="114">
        <f>X$22*shipping_manufacturing!$G$27/100</f>
        <v>456.5</v>
      </c>
      <c r="Y34" s="114">
        <f>Y$22*shipping_manufacturing!$G$27/100</f>
        <v>456.5</v>
      </c>
      <c r="Z34" s="114">
        <f>Z$22*shipping_manufacturing!$G$27/100</f>
        <v>456.5</v>
      </c>
      <c r="AA34" s="114">
        <f>AA$22*shipping_manufacturing!$G$27/100</f>
        <v>456.5</v>
      </c>
      <c r="AB34" s="114">
        <f>AB$22*shipping_manufacturing!$G$27/100</f>
        <v>456.5</v>
      </c>
      <c r="AC34" s="114">
        <f>AC$22*shipping_manufacturing!$G$27/100</f>
        <v>0</v>
      </c>
      <c r="AD34" s="114">
        <f>AD$22*shipping_manufacturing!$G$27/100</f>
        <v>456.5</v>
      </c>
      <c r="AE34" s="114">
        <f>AE$22*shipping_manufacturing!$G$27/100</f>
        <v>456.5</v>
      </c>
      <c r="AF34" s="114">
        <f>AF$22*shipping_manufacturing!$G$27/100</f>
        <v>456.5</v>
      </c>
      <c r="AG34" s="114">
        <f>AG$22*shipping_manufacturing!$G$27/100</f>
        <v>456.5</v>
      </c>
      <c r="AH34" s="114">
        <f>AH$22*shipping_manufacturing!$G$27/100</f>
        <v>456.5</v>
      </c>
      <c r="AI34" s="114">
        <f>AI$22*shipping_manufacturing!$G$27/100</f>
        <v>456.5</v>
      </c>
      <c r="AJ34" s="114">
        <f>AJ$22*shipping_manufacturing!$G$27/100</f>
        <v>456.5</v>
      </c>
      <c r="AK34" s="114">
        <f>AK$22*shipping_manufacturing!$G$27/100</f>
        <v>456.5</v>
      </c>
      <c r="AL34" s="114">
        <f>AL$22*shipping_manufacturing!$G$27/100</f>
        <v>456.5</v>
      </c>
      <c r="AM34" s="114">
        <f>AM$22*shipping_manufacturing!$G$27/100</f>
        <v>456.5</v>
      </c>
      <c r="AN34" s="114">
        <f>AN$22*shipping_manufacturing!$G$27/100</f>
        <v>456.5</v>
      </c>
      <c r="AO34" s="114">
        <f>AO$22*shipping_manufacturing!$G$27/100</f>
        <v>456.5</v>
      </c>
      <c r="AP34" s="114">
        <f>AP$22*shipping_manufacturing!$G$27/100</f>
        <v>456.5</v>
      </c>
      <c r="AQ34" s="114">
        <f>AQ$22*shipping_manufacturing!$G$27/100</f>
        <v>456.5</v>
      </c>
      <c r="AR34" s="114">
        <f>AR$22*shipping_manufacturing!$G$27/100</f>
        <v>456.5</v>
      </c>
      <c r="AS34" s="114">
        <f>AS$22*shipping_manufacturing!$G$27/100</f>
        <v>456.5</v>
      </c>
      <c r="AT34" s="114">
        <f>AT$22*shipping_manufacturing!$G$27/100</f>
        <v>456.5</v>
      </c>
      <c r="AU34" s="114">
        <f>AU$22*shipping_manufacturing!$G$27/100</f>
        <v>456.5</v>
      </c>
      <c r="AV34" s="114">
        <f>AV$22*shipping_manufacturing!$G$27/100</f>
        <v>456.5</v>
      </c>
      <c r="AW34" s="114">
        <f>AW$22*shipping_manufacturing!$G$27/100</f>
        <v>456.5</v>
      </c>
      <c r="AX34" s="114">
        <f>AX$22*shipping_manufacturing!$G$27/100</f>
        <v>456.5</v>
      </c>
      <c r="AY34" s="114">
        <f>AY$22*shipping_manufacturing!$G$27/100</f>
        <v>456.5</v>
      </c>
    </row>
    <row r="35" spans="1:52" x14ac:dyDescent="0.2">
      <c r="A35" s="114">
        <v>1225</v>
      </c>
      <c r="B35" s="168" t="s">
        <v>343</v>
      </c>
      <c r="C35" s="114"/>
      <c r="D35" s="114">
        <f>SUM(D33:D34)</f>
        <v>456.5</v>
      </c>
      <c r="E35" s="114">
        <f t="shared" ref="E35:AY35" si="11">SUM(E33:E34)</f>
        <v>456.5</v>
      </c>
      <c r="F35" s="114">
        <f t="shared" si="11"/>
        <v>456.5</v>
      </c>
      <c r="G35" s="114">
        <f t="shared" si="11"/>
        <v>456.5</v>
      </c>
      <c r="H35" s="114">
        <f t="shared" si="11"/>
        <v>456.5</v>
      </c>
      <c r="I35" s="114">
        <f t="shared" si="11"/>
        <v>456.5</v>
      </c>
      <c r="J35" s="114">
        <f t="shared" si="11"/>
        <v>456.5</v>
      </c>
      <c r="K35" s="114">
        <f t="shared" si="11"/>
        <v>456.5</v>
      </c>
      <c r="L35" s="114">
        <f t="shared" si="11"/>
        <v>456.5</v>
      </c>
      <c r="M35" s="114">
        <f t="shared" si="11"/>
        <v>456.5</v>
      </c>
      <c r="N35" s="114">
        <f t="shared" si="11"/>
        <v>456.5</v>
      </c>
      <c r="O35" s="114">
        <f t="shared" si="11"/>
        <v>456.5</v>
      </c>
      <c r="P35" s="114">
        <f t="shared" si="11"/>
        <v>456.5</v>
      </c>
      <c r="Q35" s="114">
        <f t="shared" si="11"/>
        <v>411.05794926183643</v>
      </c>
      <c r="R35" s="114">
        <f t="shared" si="11"/>
        <v>456.5</v>
      </c>
      <c r="S35" s="114">
        <f t="shared" si="11"/>
        <v>456.5</v>
      </c>
      <c r="T35" s="114">
        <f t="shared" si="11"/>
        <v>456.5</v>
      </c>
      <c r="U35" s="114">
        <f t="shared" si="11"/>
        <v>456.5</v>
      </c>
      <c r="V35" s="114">
        <f t="shared" si="11"/>
        <v>456.5</v>
      </c>
      <c r="W35" s="114">
        <f t="shared" si="11"/>
        <v>456.5</v>
      </c>
      <c r="X35" s="114">
        <f t="shared" si="11"/>
        <v>456.5</v>
      </c>
      <c r="Y35" s="114">
        <f t="shared" si="11"/>
        <v>456.5</v>
      </c>
      <c r="Z35" s="114">
        <f t="shared" si="11"/>
        <v>456.5</v>
      </c>
      <c r="AA35" s="114">
        <f t="shared" si="11"/>
        <v>456.5</v>
      </c>
      <c r="AB35" s="114">
        <f t="shared" si="11"/>
        <v>456.5</v>
      </c>
      <c r="AC35" s="114">
        <f t="shared" si="11"/>
        <v>0</v>
      </c>
      <c r="AD35" s="114">
        <f t="shared" si="11"/>
        <v>456.5</v>
      </c>
      <c r="AE35" s="114">
        <f t="shared" si="11"/>
        <v>456.5</v>
      </c>
      <c r="AF35" s="114">
        <f t="shared" si="11"/>
        <v>456.5</v>
      </c>
      <c r="AG35" s="114">
        <f t="shared" si="11"/>
        <v>456.5</v>
      </c>
      <c r="AH35" s="114">
        <f t="shared" si="11"/>
        <v>456.5</v>
      </c>
      <c r="AI35" s="114">
        <f t="shared" si="11"/>
        <v>456.5</v>
      </c>
      <c r="AJ35" s="114">
        <f t="shared" si="11"/>
        <v>456.5</v>
      </c>
      <c r="AK35" s="114">
        <f t="shared" si="11"/>
        <v>456.5</v>
      </c>
      <c r="AL35" s="114">
        <f t="shared" si="11"/>
        <v>456.5</v>
      </c>
      <c r="AM35" s="114">
        <f t="shared" si="11"/>
        <v>456.5</v>
      </c>
      <c r="AN35" s="114">
        <f t="shared" si="11"/>
        <v>456.5</v>
      </c>
      <c r="AO35" s="114">
        <f t="shared" si="11"/>
        <v>456.5</v>
      </c>
      <c r="AP35" s="114">
        <f t="shared" si="11"/>
        <v>456.5</v>
      </c>
      <c r="AQ35" s="114">
        <f t="shared" si="11"/>
        <v>456.5</v>
      </c>
      <c r="AR35" s="114">
        <f t="shared" si="11"/>
        <v>456.5</v>
      </c>
      <c r="AS35" s="114">
        <f t="shared" si="11"/>
        <v>456.5</v>
      </c>
      <c r="AT35" s="114">
        <f t="shared" si="11"/>
        <v>456.5</v>
      </c>
      <c r="AU35" s="114">
        <f t="shared" si="11"/>
        <v>456.5</v>
      </c>
      <c r="AV35" s="114">
        <f t="shared" si="11"/>
        <v>456.5</v>
      </c>
      <c r="AW35" s="114">
        <f t="shared" si="11"/>
        <v>456.5</v>
      </c>
      <c r="AX35" s="114">
        <f t="shared" si="11"/>
        <v>456.5</v>
      </c>
      <c r="AY35" s="114">
        <f t="shared" si="11"/>
        <v>456.5</v>
      </c>
    </row>
    <row r="36" spans="1:52" x14ac:dyDescent="0.2">
      <c r="A36" s="114"/>
      <c r="B36" s="168" t="s">
        <v>344</v>
      </c>
      <c r="C36" s="114"/>
      <c r="D36" s="114"/>
      <c r="E36" s="114">
        <v>0</v>
      </c>
      <c r="F36" s="114"/>
      <c r="G36" s="114">
        <v>0</v>
      </c>
      <c r="H36" s="114"/>
      <c r="I36" s="114">
        <v>0</v>
      </c>
      <c r="J36" s="114"/>
      <c r="K36" s="114">
        <v>0</v>
      </c>
      <c r="L36" s="114"/>
      <c r="M36" s="114">
        <v>0</v>
      </c>
      <c r="N36" s="114"/>
      <c r="O36" s="114">
        <v>0</v>
      </c>
      <c r="P36" s="114"/>
      <c r="Q36" s="114">
        <v>0</v>
      </c>
      <c r="R36" s="114">
        <v>0</v>
      </c>
      <c r="S36" s="114">
        <v>0</v>
      </c>
      <c r="T36" s="114">
        <v>0</v>
      </c>
      <c r="U36" s="114">
        <v>0</v>
      </c>
      <c r="V36" s="114">
        <v>0</v>
      </c>
      <c r="W36" s="114">
        <v>0</v>
      </c>
      <c r="X36" s="114">
        <v>0</v>
      </c>
      <c r="Y36" s="114">
        <v>0</v>
      </c>
      <c r="Z36" s="114">
        <v>0</v>
      </c>
      <c r="AA36" s="114">
        <v>0</v>
      </c>
      <c r="AB36" s="114">
        <v>0</v>
      </c>
      <c r="AC36" s="114"/>
      <c r="AD36" s="114">
        <v>0</v>
      </c>
      <c r="AE36" s="114"/>
      <c r="AF36" s="114">
        <v>0</v>
      </c>
      <c r="AG36" s="114"/>
      <c r="AH36" s="114">
        <v>0</v>
      </c>
      <c r="AI36" s="114"/>
      <c r="AJ36" s="114">
        <v>0</v>
      </c>
      <c r="AK36" s="114"/>
      <c r="AL36" s="114">
        <v>0</v>
      </c>
      <c r="AM36" s="114"/>
      <c r="AN36" s="114">
        <v>0</v>
      </c>
      <c r="AO36" s="114"/>
      <c r="AP36" s="114">
        <v>0</v>
      </c>
      <c r="AQ36" s="114"/>
      <c r="AR36" s="114">
        <v>0</v>
      </c>
      <c r="AS36" s="114"/>
      <c r="AT36" s="114">
        <v>0</v>
      </c>
      <c r="AU36" s="114"/>
      <c r="AV36" s="114">
        <v>0</v>
      </c>
      <c r="AW36" s="114"/>
      <c r="AX36" s="114">
        <v>0</v>
      </c>
      <c r="AY36" s="114"/>
    </row>
    <row r="37" spans="1:52" x14ac:dyDescent="0.2">
      <c r="A37" s="114"/>
      <c r="B37" s="168" t="s">
        <v>345</v>
      </c>
      <c r="C37" s="114"/>
      <c r="D37" s="114"/>
      <c r="E37" s="114">
        <v>450</v>
      </c>
      <c r="F37" s="114"/>
      <c r="G37" s="114">
        <v>450</v>
      </c>
      <c r="H37" s="114"/>
      <c r="I37" s="114">
        <v>450</v>
      </c>
      <c r="J37" s="114"/>
      <c r="K37" s="114">
        <v>450</v>
      </c>
      <c r="L37" s="114"/>
      <c r="M37" s="114">
        <v>450</v>
      </c>
      <c r="N37" s="114"/>
      <c r="O37" s="114">
        <v>450</v>
      </c>
      <c r="P37" s="114"/>
      <c r="Q37" s="114">
        <v>411.05794926183643</v>
      </c>
      <c r="R37" s="114">
        <v>30</v>
      </c>
      <c r="S37" s="114">
        <v>420</v>
      </c>
      <c r="T37" s="114">
        <v>30</v>
      </c>
      <c r="U37" s="114">
        <v>420</v>
      </c>
      <c r="V37" s="114">
        <v>30</v>
      </c>
      <c r="W37" s="114">
        <v>420</v>
      </c>
      <c r="X37" s="114">
        <v>30</v>
      </c>
      <c r="Y37" s="114">
        <v>420</v>
      </c>
      <c r="Z37" s="114">
        <v>30</v>
      </c>
      <c r="AA37" s="114">
        <v>420</v>
      </c>
      <c r="AB37" s="114">
        <v>30</v>
      </c>
      <c r="AC37" s="114"/>
      <c r="AD37" s="114">
        <v>450</v>
      </c>
      <c r="AE37" s="114"/>
      <c r="AF37" s="114">
        <v>450</v>
      </c>
      <c r="AG37" s="114"/>
      <c r="AH37" s="114">
        <v>450</v>
      </c>
      <c r="AI37" s="114"/>
      <c r="AJ37" s="114">
        <v>450</v>
      </c>
      <c r="AK37" s="114"/>
      <c r="AL37" s="114">
        <v>450</v>
      </c>
      <c r="AM37" s="114"/>
      <c r="AN37" s="114">
        <v>450</v>
      </c>
      <c r="AO37" s="114"/>
      <c r="AP37" s="114">
        <v>450</v>
      </c>
      <c r="AQ37" s="114"/>
      <c r="AR37" s="114">
        <v>450</v>
      </c>
      <c r="AS37" s="114"/>
      <c r="AT37" s="114">
        <v>450</v>
      </c>
      <c r="AU37" s="114"/>
      <c r="AV37" s="114">
        <v>450</v>
      </c>
      <c r="AW37" s="114"/>
      <c r="AX37" s="114">
        <v>450</v>
      </c>
      <c r="AY37" s="114"/>
    </row>
    <row r="38" spans="1:52" x14ac:dyDescent="0.2">
      <c r="A38" s="114"/>
      <c r="B38" s="168" t="s">
        <v>346</v>
      </c>
      <c r="C38" s="114"/>
      <c r="D38" s="114"/>
      <c r="E38" s="114">
        <v>15</v>
      </c>
      <c r="F38" s="114"/>
      <c r="G38" s="114">
        <v>15</v>
      </c>
      <c r="H38" s="114"/>
      <c r="I38" s="114">
        <v>15</v>
      </c>
      <c r="J38" s="114"/>
      <c r="K38" s="114">
        <v>15</v>
      </c>
      <c r="L38" s="114"/>
      <c r="M38" s="114">
        <v>15</v>
      </c>
      <c r="N38" s="114"/>
      <c r="O38" s="114">
        <v>15</v>
      </c>
      <c r="P38" s="114"/>
      <c r="Q38" s="114">
        <v>14</v>
      </c>
      <c r="R38" s="114">
        <v>1</v>
      </c>
      <c r="S38" s="114">
        <v>14</v>
      </c>
      <c r="T38" s="114">
        <v>1</v>
      </c>
      <c r="U38" s="114">
        <v>14</v>
      </c>
      <c r="V38" s="114">
        <v>1</v>
      </c>
      <c r="W38" s="114">
        <v>14</v>
      </c>
      <c r="X38" s="114">
        <v>1</v>
      </c>
      <c r="Y38" s="114">
        <v>14</v>
      </c>
      <c r="Z38" s="114">
        <v>1</v>
      </c>
      <c r="AA38" s="114">
        <v>14</v>
      </c>
      <c r="AB38" s="114">
        <v>1</v>
      </c>
      <c r="AC38" s="114"/>
      <c r="AD38" s="114">
        <v>15</v>
      </c>
      <c r="AE38" s="114"/>
      <c r="AF38" s="114">
        <v>15</v>
      </c>
      <c r="AG38" s="114"/>
      <c r="AH38" s="114">
        <v>15</v>
      </c>
      <c r="AI38" s="114"/>
      <c r="AJ38" s="114">
        <v>15</v>
      </c>
      <c r="AK38" s="114"/>
      <c r="AL38" s="114">
        <v>15</v>
      </c>
      <c r="AM38" s="114"/>
      <c r="AN38" s="114">
        <v>15</v>
      </c>
      <c r="AO38" s="114"/>
      <c r="AP38" s="114">
        <v>15</v>
      </c>
      <c r="AQ38" s="114"/>
      <c r="AR38" s="114">
        <v>15</v>
      </c>
      <c r="AS38" s="114"/>
      <c r="AT38" s="114">
        <v>15</v>
      </c>
      <c r="AU38" s="114"/>
      <c r="AV38" s="114">
        <v>15</v>
      </c>
      <c r="AW38" s="114"/>
      <c r="AX38" s="114">
        <v>15</v>
      </c>
      <c r="AY38" s="114"/>
    </row>
    <row r="39" spans="1:52" x14ac:dyDescent="0.2">
      <c r="A39" s="114"/>
      <c r="B39" s="168" t="s">
        <v>347</v>
      </c>
      <c r="C39" s="114"/>
      <c r="D39" s="114">
        <f>D33-D36</f>
        <v>0</v>
      </c>
      <c r="E39" s="114">
        <f t="shared" ref="E39:AY39" si="12">E33-E36</f>
        <v>0</v>
      </c>
      <c r="F39" s="114">
        <f t="shared" si="12"/>
        <v>0</v>
      </c>
      <c r="G39" s="114">
        <f t="shared" si="12"/>
        <v>0</v>
      </c>
      <c r="H39" s="114">
        <f t="shared" si="12"/>
        <v>0</v>
      </c>
      <c r="I39" s="114">
        <f t="shared" si="12"/>
        <v>0</v>
      </c>
      <c r="J39" s="114">
        <f t="shared" si="12"/>
        <v>0</v>
      </c>
      <c r="K39" s="114">
        <f t="shared" si="12"/>
        <v>0</v>
      </c>
      <c r="L39" s="114">
        <f t="shared" si="12"/>
        <v>0</v>
      </c>
      <c r="M39" s="114">
        <f t="shared" si="12"/>
        <v>0</v>
      </c>
      <c r="N39" s="114">
        <f t="shared" si="12"/>
        <v>0</v>
      </c>
      <c r="O39" s="114">
        <f t="shared" si="12"/>
        <v>0</v>
      </c>
      <c r="P39" s="114">
        <f t="shared" si="12"/>
        <v>0</v>
      </c>
      <c r="Q39" s="114">
        <f t="shared" si="12"/>
        <v>0</v>
      </c>
      <c r="R39" s="114">
        <f t="shared" si="12"/>
        <v>0</v>
      </c>
      <c r="S39" s="114">
        <f t="shared" si="12"/>
        <v>0</v>
      </c>
      <c r="T39" s="114">
        <f t="shared" si="12"/>
        <v>0</v>
      </c>
      <c r="U39" s="114">
        <f t="shared" si="12"/>
        <v>0</v>
      </c>
      <c r="V39" s="114">
        <f t="shared" si="12"/>
        <v>0</v>
      </c>
      <c r="W39" s="114">
        <f t="shared" si="12"/>
        <v>0</v>
      </c>
      <c r="X39" s="114">
        <f t="shared" si="12"/>
        <v>0</v>
      </c>
      <c r="Y39" s="114">
        <f t="shared" si="12"/>
        <v>0</v>
      </c>
      <c r="Z39" s="114">
        <f t="shared" si="12"/>
        <v>0</v>
      </c>
      <c r="AA39" s="114">
        <f t="shared" si="12"/>
        <v>0</v>
      </c>
      <c r="AB39" s="114">
        <f t="shared" si="12"/>
        <v>0</v>
      </c>
      <c r="AC39" s="114">
        <f t="shared" si="12"/>
        <v>0</v>
      </c>
      <c r="AD39" s="114">
        <f t="shared" si="12"/>
        <v>0</v>
      </c>
      <c r="AE39" s="114">
        <f t="shared" si="12"/>
        <v>0</v>
      </c>
      <c r="AF39" s="114">
        <f t="shared" si="12"/>
        <v>0</v>
      </c>
      <c r="AG39" s="114">
        <f t="shared" si="12"/>
        <v>0</v>
      </c>
      <c r="AH39" s="114">
        <f t="shared" si="12"/>
        <v>0</v>
      </c>
      <c r="AI39" s="114">
        <f t="shared" si="12"/>
        <v>0</v>
      </c>
      <c r="AJ39" s="114">
        <f t="shared" si="12"/>
        <v>0</v>
      </c>
      <c r="AK39" s="114">
        <f t="shared" si="12"/>
        <v>0</v>
      </c>
      <c r="AL39" s="114">
        <f t="shared" si="12"/>
        <v>0</v>
      </c>
      <c r="AM39" s="114">
        <f t="shared" si="12"/>
        <v>0</v>
      </c>
      <c r="AN39" s="114">
        <f t="shared" si="12"/>
        <v>0</v>
      </c>
      <c r="AO39" s="114">
        <f t="shared" si="12"/>
        <v>0</v>
      </c>
      <c r="AP39" s="114">
        <f t="shared" si="12"/>
        <v>0</v>
      </c>
      <c r="AQ39" s="114">
        <f t="shared" si="12"/>
        <v>0</v>
      </c>
      <c r="AR39" s="114">
        <f t="shared" si="12"/>
        <v>0</v>
      </c>
      <c r="AS39" s="114">
        <f t="shared" si="12"/>
        <v>0</v>
      </c>
      <c r="AT39" s="114">
        <f t="shared" si="12"/>
        <v>0</v>
      </c>
      <c r="AU39" s="114">
        <f t="shared" si="12"/>
        <v>0</v>
      </c>
      <c r="AV39" s="114">
        <f t="shared" si="12"/>
        <v>0</v>
      </c>
      <c r="AW39" s="114">
        <f t="shared" si="12"/>
        <v>0</v>
      </c>
      <c r="AX39" s="114">
        <f t="shared" si="12"/>
        <v>0</v>
      </c>
      <c r="AY39" s="114">
        <f t="shared" si="12"/>
        <v>0</v>
      </c>
    </row>
    <row r="40" spans="1:52" x14ac:dyDescent="0.2">
      <c r="A40" s="114"/>
      <c r="B40" s="168" t="s">
        <v>348</v>
      </c>
      <c r="C40" s="114"/>
      <c r="D40" s="114">
        <f>D34-D37</f>
        <v>456.5</v>
      </c>
      <c r="E40" s="114">
        <f t="shared" ref="E40:AY40" si="13">E34-E37</f>
        <v>6.5</v>
      </c>
      <c r="F40" s="114">
        <f t="shared" si="13"/>
        <v>456.5</v>
      </c>
      <c r="G40" s="114">
        <f t="shared" si="13"/>
        <v>6.5</v>
      </c>
      <c r="H40" s="114">
        <f t="shared" si="13"/>
        <v>456.5</v>
      </c>
      <c r="I40" s="114">
        <f t="shared" si="13"/>
        <v>6.5</v>
      </c>
      <c r="J40" s="114">
        <f t="shared" si="13"/>
        <v>456.5</v>
      </c>
      <c r="K40" s="114">
        <f t="shared" si="13"/>
        <v>6.5</v>
      </c>
      <c r="L40" s="114">
        <f t="shared" si="13"/>
        <v>456.5</v>
      </c>
      <c r="M40" s="114">
        <f t="shared" si="13"/>
        <v>6.5</v>
      </c>
      <c r="N40" s="114">
        <f t="shared" si="13"/>
        <v>456.5</v>
      </c>
      <c r="O40" s="114">
        <f t="shared" si="13"/>
        <v>6.5</v>
      </c>
      <c r="P40" s="114">
        <f t="shared" si="13"/>
        <v>456.5</v>
      </c>
      <c r="Q40" s="114">
        <f t="shared" si="13"/>
        <v>0</v>
      </c>
      <c r="R40" s="114">
        <f t="shared" si="13"/>
        <v>426.5</v>
      </c>
      <c r="S40" s="114">
        <f t="shared" si="13"/>
        <v>36.5</v>
      </c>
      <c r="T40" s="114">
        <f t="shared" si="13"/>
        <v>426.5</v>
      </c>
      <c r="U40" s="114">
        <f t="shared" si="13"/>
        <v>36.5</v>
      </c>
      <c r="V40" s="114">
        <f t="shared" si="13"/>
        <v>426.5</v>
      </c>
      <c r="W40" s="114">
        <f t="shared" si="13"/>
        <v>36.5</v>
      </c>
      <c r="X40" s="114">
        <f t="shared" si="13"/>
        <v>426.5</v>
      </c>
      <c r="Y40" s="114">
        <f t="shared" si="13"/>
        <v>36.5</v>
      </c>
      <c r="Z40" s="114">
        <f t="shared" si="13"/>
        <v>426.5</v>
      </c>
      <c r="AA40" s="114">
        <f t="shared" si="13"/>
        <v>36.5</v>
      </c>
      <c r="AB40" s="114">
        <f t="shared" si="13"/>
        <v>426.5</v>
      </c>
      <c r="AC40" s="114">
        <f t="shared" si="13"/>
        <v>0</v>
      </c>
      <c r="AD40" s="114">
        <f t="shared" si="13"/>
        <v>6.5</v>
      </c>
      <c r="AE40" s="114">
        <f t="shared" si="13"/>
        <v>456.5</v>
      </c>
      <c r="AF40" s="114">
        <f t="shared" si="13"/>
        <v>6.5</v>
      </c>
      <c r="AG40" s="114">
        <f t="shared" si="13"/>
        <v>456.5</v>
      </c>
      <c r="AH40" s="114">
        <f t="shared" si="13"/>
        <v>6.5</v>
      </c>
      <c r="AI40" s="114">
        <f t="shared" si="13"/>
        <v>456.5</v>
      </c>
      <c r="AJ40" s="114">
        <f t="shared" si="13"/>
        <v>6.5</v>
      </c>
      <c r="AK40" s="114">
        <f t="shared" si="13"/>
        <v>456.5</v>
      </c>
      <c r="AL40" s="114">
        <f t="shared" si="13"/>
        <v>6.5</v>
      </c>
      <c r="AM40" s="114">
        <f t="shared" si="13"/>
        <v>456.5</v>
      </c>
      <c r="AN40" s="114">
        <f t="shared" si="13"/>
        <v>6.5</v>
      </c>
      <c r="AO40" s="114">
        <f t="shared" si="13"/>
        <v>456.5</v>
      </c>
      <c r="AP40" s="114">
        <f t="shared" si="13"/>
        <v>6.5</v>
      </c>
      <c r="AQ40" s="114">
        <f t="shared" si="13"/>
        <v>456.5</v>
      </c>
      <c r="AR40" s="114">
        <f t="shared" si="13"/>
        <v>6.5</v>
      </c>
      <c r="AS40" s="114">
        <f t="shared" si="13"/>
        <v>456.5</v>
      </c>
      <c r="AT40" s="114">
        <f t="shared" si="13"/>
        <v>6.5</v>
      </c>
      <c r="AU40" s="114">
        <f t="shared" si="13"/>
        <v>456.5</v>
      </c>
      <c r="AV40" s="114">
        <f t="shared" si="13"/>
        <v>6.5</v>
      </c>
      <c r="AW40" s="114">
        <f t="shared" si="13"/>
        <v>456.5</v>
      </c>
      <c r="AX40" s="114">
        <f t="shared" si="13"/>
        <v>6.5</v>
      </c>
      <c r="AY40" s="114">
        <f t="shared" si="13"/>
        <v>456.5</v>
      </c>
    </row>
    <row r="41" spans="1:52" x14ac:dyDescent="0.2">
      <c r="A41" s="114"/>
      <c r="B41" s="168" t="s">
        <v>349</v>
      </c>
      <c r="C41" s="114"/>
      <c r="D41" s="114">
        <v>1</v>
      </c>
      <c r="E41" s="114">
        <v>2</v>
      </c>
      <c r="F41" s="114">
        <v>3</v>
      </c>
      <c r="G41" s="114">
        <v>1</v>
      </c>
      <c r="H41" s="114">
        <v>1</v>
      </c>
      <c r="I41" s="114">
        <v>1</v>
      </c>
      <c r="J41" s="114">
        <v>3</v>
      </c>
      <c r="K41" s="114">
        <v>1</v>
      </c>
      <c r="L41" s="114">
        <v>1</v>
      </c>
      <c r="M41" s="114">
        <v>1</v>
      </c>
      <c r="N41" s="114">
        <v>2</v>
      </c>
      <c r="O41" s="114">
        <v>2</v>
      </c>
      <c r="P41" s="114">
        <v>1</v>
      </c>
      <c r="Q41" s="114">
        <v>1</v>
      </c>
      <c r="R41" s="114">
        <v>1</v>
      </c>
      <c r="S41" s="114">
        <v>2</v>
      </c>
      <c r="T41" s="114">
        <v>2</v>
      </c>
      <c r="U41" s="114">
        <v>3</v>
      </c>
      <c r="V41" s="114">
        <v>3</v>
      </c>
      <c r="W41" s="114">
        <v>1</v>
      </c>
      <c r="X41" s="114">
        <v>1</v>
      </c>
      <c r="Y41" s="114">
        <v>1</v>
      </c>
      <c r="Z41" s="114">
        <v>1</v>
      </c>
      <c r="AA41" s="114">
        <v>1</v>
      </c>
      <c r="AB41" s="114">
        <v>3</v>
      </c>
      <c r="AC41" s="114">
        <v>1</v>
      </c>
      <c r="AD41" s="114">
        <v>1</v>
      </c>
      <c r="AE41" s="114">
        <v>2</v>
      </c>
      <c r="AF41" s="114">
        <v>1</v>
      </c>
      <c r="AG41" s="114">
        <v>1</v>
      </c>
      <c r="AH41" s="114">
        <v>2</v>
      </c>
      <c r="AI41" s="114">
        <v>1</v>
      </c>
      <c r="AJ41" s="114">
        <v>2</v>
      </c>
      <c r="AK41" s="114">
        <v>2</v>
      </c>
      <c r="AL41" s="114">
        <v>2</v>
      </c>
      <c r="AM41" s="114">
        <v>1</v>
      </c>
      <c r="AN41" s="114">
        <v>1</v>
      </c>
      <c r="AO41" s="114">
        <v>2</v>
      </c>
      <c r="AP41" s="114">
        <v>1</v>
      </c>
      <c r="AQ41" s="114">
        <v>1</v>
      </c>
      <c r="AR41" s="114">
        <v>2</v>
      </c>
      <c r="AS41" s="114">
        <v>2</v>
      </c>
      <c r="AT41" s="114">
        <v>1</v>
      </c>
      <c r="AU41" s="114">
        <v>1</v>
      </c>
      <c r="AV41" s="114">
        <v>1</v>
      </c>
      <c r="AW41" s="114">
        <v>2</v>
      </c>
      <c r="AX41" s="114">
        <v>2</v>
      </c>
      <c r="AY41" s="114">
        <v>2</v>
      </c>
    </row>
    <row r="42" spans="1:52" x14ac:dyDescent="0.2">
      <c r="A42" s="114"/>
      <c r="B42" s="179" t="s">
        <v>350</v>
      </c>
      <c r="C42" s="114"/>
      <c r="D42" s="114">
        <v>0</v>
      </c>
      <c r="E42" s="114">
        <v>661500</v>
      </c>
      <c r="F42" s="114">
        <v>0</v>
      </c>
      <c r="G42" s="114">
        <v>661500</v>
      </c>
      <c r="H42" s="114">
        <v>0</v>
      </c>
      <c r="I42" s="114">
        <v>661500</v>
      </c>
      <c r="J42" s="114">
        <v>0</v>
      </c>
      <c r="K42" s="114">
        <v>661500</v>
      </c>
      <c r="L42" s="114">
        <v>0</v>
      </c>
      <c r="M42" s="114">
        <v>661500</v>
      </c>
      <c r="N42" s="114">
        <v>0</v>
      </c>
      <c r="O42" s="114">
        <v>661500</v>
      </c>
      <c r="P42" s="114">
        <v>0</v>
      </c>
      <c r="Q42" s="114">
        <v>617400</v>
      </c>
      <c r="R42" s="114">
        <v>44100</v>
      </c>
      <c r="S42" s="114">
        <v>617400</v>
      </c>
      <c r="T42" s="114">
        <v>44100</v>
      </c>
      <c r="U42" s="114">
        <v>617400</v>
      </c>
      <c r="V42" s="114">
        <v>44100</v>
      </c>
      <c r="W42" s="114">
        <v>617400</v>
      </c>
      <c r="X42" s="114">
        <v>44100</v>
      </c>
      <c r="Y42" s="114">
        <v>617400</v>
      </c>
      <c r="Z42" s="114">
        <v>44100</v>
      </c>
      <c r="AA42" s="114">
        <v>617400</v>
      </c>
      <c r="AB42" s="114">
        <v>44100</v>
      </c>
      <c r="AC42" s="114">
        <v>0</v>
      </c>
      <c r="AD42" s="114">
        <v>661500</v>
      </c>
      <c r="AE42" s="114">
        <v>0</v>
      </c>
      <c r="AF42" s="114">
        <v>661500</v>
      </c>
      <c r="AG42" s="114">
        <v>0</v>
      </c>
      <c r="AH42" s="114">
        <v>661500</v>
      </c>
      <c r="AI42" s="114">
        <v>0</v>
      </c>
      <c r="AJ42" s="114">
        <v>661500</v>
      </c>
      <c r="AK42" s="114">
        <v>0</v>
      </c>
      <c r="AL42" s="114">
        <v>661500</v>
      </c>
      <c r="AM42" s="114">
        <v>0</v>
      </c>
      <c r="AN42" s="114">
        <v>661500</v>
      </c>
      <c r="AO42" s="114">
        <v>0</v>
      </c>
      <c r="AP42" s="114">
        <v>661500</v>
      </c>
      <c r="AQ42" s="114">
        <v>0</v>
      </c>
      <c r="AR42" s="114">
        <v>661500</v>
      </c>
      <c r="AS42" s="114">
        <v>0</v>
      </c>
      <c r="AT42" s="114">
        <v>661500</v>
      </c>
      <c r="AU42" s="114">
        <v>0</v>
      </c>
      <c r="AV42" s="114">
        <v>661500</v>
      </c>
      <c r="AW42" s="114">
        <v>0</v>
      </c>
      <c r="AX42" s="114">
        <v>661500</v>
      </c>
      <c r="AY42" s="114">
        <v>0</v>
      </c>
      <c r="AZ42">
        <f>SUM($D$42:$AY$42)</f>
        <v>15214500</v>
      </c>
    </row>
    <row r="43" spans="1:52" x14ac:dyDescent="0.2">
      <c r="A43" s="114"/>
      <c r="B43" s="179" t="s">
        <v>351</v>
      </c>
      <c r="C43" s="114"/>
      <c r="D43" s="114">
        <v>363488.125</v>
      </c>
      <c r="E43" s="114">
        <v>5175.625</v>
      </c>
      <c r="F43" s="114">
        <v>363488.125</v>
      </c>
      <c r="G43" s="114">
        <v>5175.625</v>
      </c>
      <c r="H43" s="114">
        <v>363488.125</v>
      </c>
      <c r="I43" s="114">
        <v>5175.625</v>
      </c>
      <c r="J43" s="114">
        <v>363488.125</v>
      </c>
      <c r="K43" s="114">
        <v>5175.625</v>
      </c>
      <c r="L43" s="114">
        <v>363488.125</v>
      </c>
      <c r="M43" s="114">
        <v>5175.625</v>
      </c>
      <c r="N43" s="114">
        <v>363488.125</v>
      </c>
      <c r="O43" s="114">
        <v>5175.625</v>
      </c>
      <c r="P43" s="114">
        <v>363488.125</v>
      </c>
      <c r="Q43" s="114">
        <v>0</v>
      </c>
      <c r="R43" s="114">
        <v>339600.625</v>
      </c>
      <c r="S43" s="114">
        <v>29063.125</v>
      </c>
      <c r="T43" s="114">
        <v>339600.625</v>
      </c>
      <c r="U43" s="114">
        <v>29063.125</v>
      </c>
      <c r="V43" s="114">
        <v>339600.625</v>
      </c>
      <c r="W43" s="114">
        <v>29063.125</v>
      </c>
      <c r="X43" s="114">
        <v>339600.625</v>
      </c>
      <c r="Y43" s="114">
        <v>29063.125</v>
      </c>
      <c r="Z43" s="114">
        <v>339600.625</v>
      </c>
      <c r="AA43" s="114">
        <v>29063.125</v>
      </c>
      <c r="AB43" s="114">
        <v>339600.625</v>
      </c>
      <c r="AC43" s="114">
        <v>0</v>
      </c>
      <c r="AD43" s="114">
        <v>5175.625</v>
      </c>
      <c r="AE43" s="114">
        <v>363488.125</v>
      </c>
      <c r="AF43" s="114">
        <v>5175.625</v>
      </c>
      <c r="AG43" s="114">
        <v>363488.125</v>
      </c>
      <c r="AH43" s="114">
        <v>5175.625</v>
      </c>
      <c r="AI43" s="114">
        <v>363488.125</v>
      </c>
      <c r="AJ43" s="114">
        <v>5175.625</v>
      </c>
      <c r="AK43" s="114">
        <v>363488.125</v>
      </c>
      <c r="AL43" s="114">
        <v>5175.625</v>
      </c>
      <c r="AM43" s="114">
        <v>363488.125</v>
      </c>
      <c r="AN43" s="114">
        <v>5175.625</v>
      </c>
      <c r="AO43" s="114">
        <v>363488.125</v>
      </c>
      <c r="AP43" s="114">
        <v>5175.625</v>
      </c>
      <c r="AQ43" s="114">
        <v>363488.125</v>
      </c>
      <c r="AR43" s="114">
        <v>5175.625</v>
      </c>
      <c r="AS43" s="114">
        <v>363488.125</v>
      </c>
      <c r="AT43" s="114">
        <v>5175.625</v>
      </c>
      <c r="AU43" s="114">
        <v>363488.125</v>
      </c>
      <c r="AV43" s="114">
        <v>5175.625</v>
      </c>
      <c r="AW43" s="114">
        <v>363488.125</v>
      </c>
      <c r="AX43" s="114">
        <v>5175.625</v>
      </c>
      <c r="AY43" s="114">
        <v>363488.125</v>
      </c>
      <c r="AZ43">
        <f>SUM($D$43:$AY$43)</f>
        <v>8813691.25</v>
      </c>
    </row>
    <row r="44" spans="1:52" x14ac:dyDescent="0.2">
      <c r="A44" s="138" t="s">
        <v>59</v>
      </c>
      <c r="B44" s="138" t="s">
        <v>341</v>
      </c>
      <c r="C44" s="127"/>
      <c r="D44" s="127">
        <f>D$21*shipping_manufacturing!$F$28/100</f>
        <v>456.5</v>
      </c>
      <c r="E44" s="127">
        <f>E$21*shipping_manufacturing!$F$28/100</f>
        <v>456.5</v>
      </c>
      <c r="F44" s="127">
        <f>F$21*shipping_manufacturing!$F$28/100</f>
        <v>456.5</v>
      </c>
      <c r="G44" s="127">
        <f>G$21*shipping_manufacturing!$F$28/100</f>
        <v>456.5</v>
      </c>
      <c r="H44" s="127">
        <f>H$21*shipping_manufacturing!$F$28/100</f>
        <v>456.5</v>
      </c>
      <c r="I44" s="127">
        <f>I$21*shipping_manufacturing!$F$28/100</f>
        <v>456.5</v>
      </c>
      <c r="J44" s="127">
        <f>J$21*shipping_manufacturing!$F$28/100</f>
        <v>456.5</v>
      </c>
      <c r="K44" s="127">
        <f>K$21*shipping_manufacturing!$F$28/100</f>
        <v>456.5</v>
      </c>
      <c r="L44" s="127">
        <f>L$21*shipping_manufacturing!$F$28/100</f>
        <v>456.5</v>
      </c>
      <c r="M44" s="127">
        <f>M$21*shipping_manufacturing!$F$28/100</f>
        <v>456.5</v>
      </c>
      <c r="N44" s="127">
        <f>N$21*shipping_manufacturing!$F$28/100</f>
        <v>456.5</v>
      </c>
      <c r="O44" s="127">
        <f>O$21*shipping_manufacturing!$F$28/100</f>
        <v>456.5</v>
      </c>
      <c r="P44" s="127">
        <f>P$21*shipping_manufacturing!$F$28/100</f>
        <v>456.5</v>
      </c>
      <c r="Q44" s="127">
        <f>Q$21*shipping_manufacturing!$F$28/100</f>
        <v>411.05794926183643</v>
      </c>
      <c r="R44" s="127">
        <f>R$21*shipping_manufacturing!$F$28/100</f>
        <v>456.5</v>
      </c>
      <c r="S44" s="127">
        <f>S$21*shipping_manufacturing!$F$28/100</f>
        <v>456.5</v>
      </c>
      <c r="T44" s="127">
        <f>T$21*shipping_manufacturing!$F$28/100</f>
        <v>456.5</v>
      </c>
      <c r="U44" s="127">
        <f>U$21*shipping_manufacturing!$F$28/100</f>
        <v>456.5</v>
      </c>
      <c r="V44" s="127">
        <f>V$21*shipping_manufacturing!$F$28/100</f>
        <v>456.5</v>
      </c>
      <c r="W44" s="127">
        <f>W$21*shipping_manufacturing!$F$28/100</f>
        <v>456.5</v>
      </c>
      <c r="X44" s="127">
        <f>X$21*shipping_manufacturing!$F$28/100</f>
        <v>456.5</v>
      </c>
      <c r="Y44" s="127">
        <f>Y$21*shipping_manufacturing!$F$28/100</f>
        <v>456.5</v>
      </c>
      <c r="Z44" s="127">
        <f>Z$21*shipping_manufacturing!$F$28/100</f>
        <v>456.5</v>
      </c>
      <c r="AA44" s="127">
        <f>AA$21*shipping_manufacturing!$F$28/100</f>
        <v>456.5</v>
      </c>
      <c r="AB44" s="127">
        <f>AB$21*shipping_manufacturing!$F$28/100</f>
        <v>456.5</v>
      </c>
      <c r="AC44" s="127">
        <f>AC$21*shipping_manufacturing!$F$28/100</f>
        <v>0</v>
      </c>
      <c r="AD44" s="127">
        <f>AD$21*shipping_manufacturing!$F$28/100</f>
        <v>456.5</v>
      </c>
      <c r="AE44" s="127">
        <f>AE$21*shipping_manufacturing!$F$28/100</f>
        <v>456.5</v>
      </c>
      <c r="AF44" s="127">
        <f>AF$21*shipping_manufacturing!$F$28/100</f>
        <v>456.5</v>
      </c>
      <c r="AG44" s="127">
        <f>AG$21*shipping_manufacturing!$F$28/100</f>
        <v>456.5</v>
      </c>
      <c r="AH44" s="127">
        <f>AH$21*shipping_manufacturing!$F$28/100</f>
        <v>456.5</v>
      </c>
      <c r="AI44" s="127">
        <f>AI$21*shipping_manufacturing!$F$28/100</f>
        <v>456.5</v>
      </c>
      <c r="AJ44" s="127">
        <f>AJ$21*shipping_manufacturing!$F$28/100</f>
        <v>456.5</v>
      </c>
      <c r="AK44" s="127">
        <f>AK$21*shipping_manufacturing!$F$28/100</f>
        <v>456.5</v>
      </c>
      <c r="AL44" s="127">
        <f>AL$21*shipping_manufacturing!$F$28/100</f>
        <v>456.5</v>
      </c>
      <c r="AM44" s="127">
        <f>AM$21*shipping_manufacturing!$F$28/100</f>
        <v>456.5</v>
      </c>
      <c r="AN44" s="127">
        <f>AN$21*shipping_manufacturing!$F$28/100</f>
        <v>456.5</v>
      </c>
      <c r="AO44" s="127">
        <f>AO$21*shipping_manufacturing!$F$28/100</f>
        <v>456.5</v>
      </c>
      <c r="AP44" s="127">
        <f>AP$21*shipping_manufacturing!$F$28/100</f>
        <v>456.5</v>
      </c>
      <c r="AQ44" s="127">
        <f>AQ$21*shipping_manufacturing!$F$28/100</f>
        <v>456.5</v>
      </c>
      <c r="AR44" s="127">
        <f>AR$21*shipping_manufacturing!$F$28/100</f>
        <v>456.5</v>
      </c>
      <c r="AS44" s="127">
        <f>AS$21*shipping_manufacturing!$F$28/100</f>
        <v>456.5</v>
      </c>
      <c r="AT44" s="127">
        <f>AT$21*shipping_manufacturing!$F$28/100</f>
        <v>456.5</v>
      </c>
      <c r="AU44" s="127">
        <f>AU$21*shipping_manufacturing!$F$28/100</f>
        <v>456.5</v>
      </c>
      <c r="AV44" s="127">
        <f>AV$21*shipping_manufacturing!$F$28/100</f>
        <v>456.5</v>
      </c>
      <c r="AW44" s="127">
        <f>AW$21*shipping_manufacturing!$F$28/100</f>
        <v>456.5</v>
      </c>
      <c r="AX44" s="127">
        <f>AX$21*shipping_manufacturing!$F$28/100</f>
        <v>456.5</v>
      </c>
      <c r="AY44" s="127">
        <f>AY$21*shipping_manufacturing!$F$28/100</f>
        <v>456.5</v>
      </c>
    </row>
    <row r="45" spans="1:52" x14ac:dyDescent="0.2">
      <c r="A45" s="116" t="s">
        <v>340</v>
      </c>
      <c r="B45" s="168" t="s">
        <v>342</v>
      </c>
      <c r="C45" s="114"/>
      <c r="D45" s="114">
        <f>D$22*shipping_manufacturing!$G$28/100</f>
        <v>0</v>
      </c>
      <c r="E45" s="114">
        <f>E$22*shipping_manufacturing!$G$28/100</f>
        <v>0</v>
      </c>
      <c r="F45" s="114">
        <f>F$22*shipping_manufacturing!$G$28/100</f>
        <v>0</v>
      </c>
      <c r="G45" s="114">
        <f>G$22*shipping_manufacturing!$G$28/100</f>
        <v>0</v>
      </c>
      <c r="H45" s="114">
        <f>H$22*shipping_manufacturing!$G$28/100</f>
        <v>0</v>
      </c>
      <c r="I45" s="114">
        <f>I$22*shipping_manufacturing!$G$28/100</f>
        <v>0</v>
      </c>
      <c r="J45" s="114">
        <f>J$22*shipping_manufacturing!$G$28/100</f>
        <v>0</v>
      </c>
      <c r="K45" s="114">
        <f>K$22*shipping_manufacturing!$G$28/100</f>
        <v>0</v>
      </c>
      <c r="L45" s="114">
        <f>L$22*shipping_manufacturing!$G$28/100</f>
        <v>0</v>
      </c>
      <c r="M45" s="114">
        <f>M$22*shipping_manufacturing!$G$28/100</f>
        <v>0</v>
      </c>
      <c r="N45" s="114">
        <f>N$22*shipping_manufacturing!$G$28/100</f>
        <v>0</v>
      </c>
      <c r="O45" s="114">
        <f>O$22*shipping_manufacturing!$G$28/100</f>
        <v>0</v>
      </c>
      <c r="P45" s="114">
        <f>P$22*shipping_manufacturing!$G$28/100</f>
        <v>0</v>
      </c>
      <c r="Q45" s="114">
        <f>Q$22*shipping_manufacturing!$G$28/100</f>
        <v>0</v>
      </c>
      <c r="R45" s="114">
        <f>R$22*shipping_manufacturing!$G$28/100</f>
        <v>0</v>
      </c>
      <c r="S45" s="114">
        <f>S$22*shipping_manufacturing!$G$28/100</f>
        <v>0</v>
      </c>
      <c r="T45" s="114">
        <f>T$22*shipping_manufacturing!$G$28/100</f>
        <v>0</v>
      </c>
      <c r="U45" s="114">
        <f>U$22*shipping_manufacturing!$G$28/100</f>
        <v>0</v>
      </c>
      <c r="V45" s="114">
        <f>V$22*shipping_manufacturing!$G$28/100</f>
        <v>0</v>
      </c>
      <c r="W45" s="114">
        <f>W$22*shipping_manufacturing!$G$28/100</f>
        <v>0</v>
      </c>
      <c r="X45" s="114">
        <f>X$22*shipping_manufacturing!$G$28/100</f>
        <v>0</v>
      </c>
      <c r="Y45" s="114">
        <f>Y$22*shipping_manufacturing!$G$28/100</f>
        <v>0</v>
      </c>
      <c r="Z45" s="114">
        <f>Z$22*shipping_manufacturing!$G$28/100</f>
        <v>0</v>
      </c>
      <c r="AA45" s="114">
        <f>AA$22*shipping_manufacturing!$G$28/100</f>
        <v>0</v>
      </c>
      <c r="AB45" s="114">
        <f>AB$22*shipping_manufacturing!$G$28/100</f>
        <v>0</v>
      </c>
      <c r="AC45" s="114">
        <f>AC$22*shipping_manufacturing!$G$28/100</f>
        <v>0</v>
      </c>
      <c r="AD45" s="114">
        <f>AD$22*shipping_manufacturing!$G$28/100</f>
        <v>0</v>
      </c>
      <c r="AE45" s="114">
        <f>AE$22*shipping_manufacturing!$G$28/100</f>
        <v>0</v>
      </c>
      <c r="AF45" s="114">
        <f>AF$22*shipping_manufacturing!$G$28/100</f>
        <v>0</v>
      </c>
      <c r="AG45" s="114">
        <f>AG$22*shipping_manufacturing!$G$28/100</f>
        <v>0</v>
      </c>
      <c r="AH45" s="114">
        <f>AH$22*shipping_manufacturing!$G$28/100</f>
        <v>0</v>
      </c>
      <c r="AI45" s="114">
        <f>AI$22*shipping_manufacturing!$G$28/100</f>
        <v>0</v>
      </c>
      <c r="AJ45" s="114">
        <f>AJ$22*shipping_manufacturing!$G$28/100</f>
        <v>0</v>
      </c>
      <c r="AK45" s="114">
        <f>AK$22*shipping_manufacturing!$G$28/100</f>
        <v>0</v>
      </c>
      <c r="AL45" s="114">
        <f>AL$22*shipping_manufacturing!$G$28/100</f>
        <v>0</v>
      </c>
      <c r="AM45" s="114">
        <f>AM$22*shipping_manufacturing!$G$28/100</f>
        <v>0</v>
      </c>
      <c r="AN45" s="114">
        <f>AN$22*shipping_manufacturing!$G$28/100</f>
        <v>0</v>
      </c>
      <c r="AO45" s="114">
        <f>AO$22*shipping_manufacturing!$G$28/100</f>
        <v>0</v>
      </c>
      <c r="AP45" s="114">
        <f>AP$22*shipping_manufacturing!$G$28/100</f>
        <v>0</v>
      </c>
      <c r="AQ45" s="114">
        <f>AQ$22*shipping_manufacturing!$G$28/100</f>
        <v>0</v>
      </c>
      <c r="AR45" s="114">
        <f>AR$22*shipping_manufacturing!$G$28/100</f>
        <v>0</v>
      </c>
      <c r="AS45" s="114">
        <f>AS$22*shipping_manufacturing!$G$28/100</f>
        <v>0</v>
      </c>
      <c r="AT45" s="114">
        <f>AT$22*shipping_manufacturing!$G$28/100</f>
        <v>0</v>
      </c>
      <c r="AU45" s="114">
        <f>AU$22*shipping_manufacturing!$G$28/100</f>
        <v>0</v>
      </c>
      <c r="AV45" s="114">
        <f>AV$22*shipping_manufacturing!$G$28/100</f>
        <v>0</v>
      </c>
      <c r="AW45" s="114">
        <f>AW$22*shipping_manufacturing!$G$28/100</f>
        <v>0</v>
      </c>
      <c r="AX45" s="114">
        <f>AX$22*shipping_manufacturing!$G$28/100</f>
        <v>0</v>
      </c>
      <c r="AY45" s="114">
        <f>AY$22*shipping_manufacturing!$G$28/100</f>
        <v>0</v>
      </c>
    </row>
    <row r="46" spans="1:52" x14ac:dyDescent="0.2">
      <c r="A46" s="114">
        <v>2339</v>
      </c>
      <c r="B46" s="168" t="s">
        <v>343</v>
      </c>
      <c r="C46" s="114"/>
      <c r="D46" s="114">
        <f>SUM(D44:D45)</f>
        <v>456.5</v>
      </c>
      <c r="E46" s="114">
        <f t="shared" ref="E46:AY46" si="14">SUM(E44:E45)</f>
        <v>456.5</v>
      </c>
      <c r="F46" s="114">
        <f t="shared" si="14"/>
        <v>456.5</v>
      </c>
      <c r="G46" s="114">
        <f t="shared" si="14"/>
        <v>456.5</v>
      </c>
      <c r="H46" s="114">
        <f t="shared" si="14"/>
        <v>456.5</v>
      </c>
      <c r="I46" s="114">
        <f t="shared" si="14"/>
        <v>456.5</v>
      </c>
      <c r="J46" s="114">
        <f t="shared" si="14"/>
        <v>456.5</v>
      </c>
      <c r="K46" s="114">
        <f t="shared" si="14"/>
        <v>456.5</v>
      </c>
      <c r="L46" s="114">
        <f t="shared" si="14"/>
        <v>456.5</v>
      </c>
      <c r="M46" s="114">
        <f t="shared" si="14"/>
        <v>456.5</v>
      </c>
      <c r="N46" s="114">
        <f t="shared" si="14"/>
        <v>456.5</v>
      </c>
      <c r="O46" s="114">
        <f t="shared" si="14"/>
        <v>456.5</v>
      </c>
      <c r="P46" s="114">
        <f t="shared" si="14"/>
        <v>456.5</v>
      </c>
      <c r="Q46" s="114">
        <f t="shared" si="14"/>
        <v>411.05794926183643</v>
      </c>
      <c r="R46" s="114">
        <f t="shared" si="14"/>
        <v>456.5</v>
      </c>
      <c r="S46" s="114">
        <f t="shared" si="14"/>
        <v>456.5</v>
      </c>
      <c r="T46" s="114">
        <f t="shared" si="14"/>
        <v>456.5</v>
      </c>
      <c r="U46" s="114">
        <f t="shared" si="14"/>
        <v>456.5</v>
      </c>
      <c r="V46" s="114">
        <f t="shared" si="14"/>
        <v>456.5</v>
      </c>
      <c r="W46" s="114">
        <f t="shared" si="14"/>
        <v>456.5</v>
      </c>
      <c r="X46" s="114">
        <f t="shared" si="14"/>
        <v>456.5</v>
      </c>
      <c r="Y46" s="114">
        <f t="shared" si="14"/>
        <v>456.5</v>
      </c>
      <c r="Z46" s="114">
        <f t="shared" si="14"/>
        <v>456.5</v>
      </c>
      <c r="AA46" s="114">
        <f t="shared" si="14"/>
        <v>456.5</v>
      </c>
      <c r="AB46" s="114">
        <f t="shared" si="14"/>
        <v>456.5</v>
      </c>
      <c r="AC46" s="114">
        <f t="shared" si="14"/>
        <v>0</v>
      </c>
      <c r="AD46" s="114">
        <f t="shared" si="14"/>
        <v>456.5</v>
      </c>
      <c r="AE46" s="114">
        <f t="shared" si="14"/>
        <v>456.5</v>
      </c>
      <c r="AF46" s="114">
        <f t="shared" si="14"/>
        <v>456.5</v>
      </c>
      <c r="AG46" s="114">
        <f t="shared" si="14"/>
        <v>456.5</v>
      </c>
      <c r="AH46" s="114">
        <f t="shared" si="14"/>
        <v>456.5</v>
      </c>
      <c r="AI46" s="114">
        <f t="shared" si="14"/>
        <v>456.5</v>
      </c>
      <c r="AJ46" s="114">
        <f t="shared" si="14"/>
        <v>456.5</v>
      </c>
      <c r="AK46" s="114">
        <f t="shared" si="14"/>
        <v>456.5</v>
      </c>
      <c r="AL46" s="114">
        <f t="shared" si="14"/>
        <v>456.5</v>
      </c>
      <c r="AM46" s="114">
        <f t="shared" si="14"/>
        <v>456.5</v>
      </c>
      <c r="AN46" s="114">
        <f t="shared" si="14"/>
        <v>456.5</v>
      </c>
      <c r="AO46" s="114">
        <f t="shared" si="14"/>
        <v>456.5</v>
      </c>
      <c r="AP46" s="114">
        <f t="shared" si="14"/>
        <v>456.5</v>
      </c>
      <c r="AQ46" s="114">
        <f t="shared" si="14"/>
        <v>456.5</v>
      </c>
      <c r="AR46" s="114">
        <f t="shared" si="14"/>
        <v>456.5</v>
      </c>
      <c r="AS46" s="114">
        <f t="shared" si="14"/>
        <v>456.5</v>
      </c>
      <c r="AT46" s="114">
        <f t="shared" si="14"/>
        <v>456.5</v>
      </c>
      <c r="AU46" s="114">
        <f t="shared" si="14"/>
        <v>456.5</v>
      </c>
      <c r="AV46" s="114">
        <f t="shared" si="14"/>
        <v>456.5</v>
      </c>
      <c r="AW46" s="114">
        <f t="shared" si="14"/>
        <v>456.5</v>
      </c>
      <c r="AX46" s="114">
        <f t="shared" si="14"/>
        <v>456.5</v>
      </c>
      <c r="AY46" s="114">
        <f t="shared" si="14"/>
        <v>456.5</v>
      </c>
    </row>
    <row r="47" spans="1:52" x14ac:dyDescent="0.2">
      <c r="A47" s="114"/>
      <c r="B47" s="168" t="s">
        <v>344</v>
      </c>
      <c r="C47" s="114"/>
      <c r="D47" s="114"/>
      <c r="E47" s="114">
        <v>420</v>
      </c>
      <c r="F47" s="114"/>
      <c r="G47" s="114">
        <v>420</v>
      </c>
      <c r="H47" s="114"/>
      <c r="I47" s="114">
        <v>420</v>
      </c>
      <c r="J47" s="114"/>
      <c r="K47" s="114">
        <v>420</v>
      </c>
      <c r="L47" s="114"/>
      <c r="M47" s="114">
        <v>420</v>
      </c>
      <c r="N47" s="114"/>
      <c r="O47" s="114">
        <v>420</v>
      </c>
      <c r="P47" s="114"/>
      <c r="Q47" s="114">
        <v>411.05794926183643</v>
      </c>
      <c r="R47" s="114"/>
      <c r="S47" s="114">
        <v>420</v>
      </c>
      <c r="T47" s="114"/>
      <c r="U47" s="114">
        <v>420</v>
      </c>
      <c r="V47" s="114"/>
      <c r="W47" s="114">
        <v>420</v>
      </c>
      <c r="X47" s="114"/>
      <c r="Y47" s="114">
        <v>420</v>
      </c>
      <c r="Z47" s="114"/>
      <c r="AA47" s="114">
        <v>420</v>
      </c>
      <c r="AB47" s="114"/>
      <c r="AC47" s="114"/>
      <c r="AD47" s="114">
        <v>420</v>
      </c>
      <c r="AE47" s="114"/>
      <c r="AF47" s="114">
        <v>420</v>
      </c>
      <c r="AG47" s="114"/>
      <c r="AH47" s="114">
        <v>420</v>
      </c>
      <c r="AI47" s="114"/>
      <c r="AJ47" s="114">
        <v>420</v>
      </c>
      <c r="AK47" s="114"/>
      <c r="AL47" s="114">
        <v>420</v>
      </c>
      <c r="AM47" s="114"/>
      <c r="AN47" s="114">
        <v>420</v>
      </c>
      <c r="AO47" s="114"/>
      <c r="AP47" s="114">
        <v>420</v>
      </c>
      <c r="AQ47" s="114"/>
      <c r="AR47" s="114">
        <v>420</v>
      </c>
      <c r="AS47" s="114"/>
      <c r="AT47" s="114">
        <v>420</v>
      </c>
      <c r="AU47" s="114"/>
      <c r="AV47" s="114">
        <v>420</v>
      </c>
      <c r="AW47" s="114"/>
      <c r="AX47" s="114">
        <v>420</v>
      </c>
      <c r="AY47" s="114"/>
    </row>
    <row r="48" spans="1:52" x14ac:dyDescent="0.2">
      <c r="A48" s="114"/>
      <c r="B48" s="168" t="s">
        <v>345</v>
      </c>
      <c r="C48" s="114"/>
      <c r="D48" s="114"/>
      <c r="E48" s="114">
        <v>0</v>
      </c>
      <c r="F48" s="114"/>
      <c r="G48" s="114">
        <v>0</v>
      </c>
      <c r="H48" s="114"/>
      <c r="I48" s="114">
        <v>0</v>
      </c>
      <c r="J48" s="114"/>
      <c r="K48" s="114">
        <v>0</v>
      </c>
      <c r="L48" s="114"/>
      <c r="M48" s="114">
        <v>0</v>
      </c>
      <c r="N48" s="114"/>
      <c r="O48" s="114">
        <v>0</v>
      </c>
      <c r="P48" s="114"/>
      <c r="Q48" s="114">
        <v>0</v>
      </c>
      <c r="R48" s="114"/>
      <c r="S48" s="114">
        <v>0</v>
      </c>
      <c r="T48" s="114"/>
      <c r="U48" s="114">
        <v>0</v>
      </c>
      <c r="V48" s="114"/>
      <c r="W48" s="114">
        <v>0</v>
      </c>
      <c r="X48" s="114"/>
      <c r="Y48" s="114">
        <v>0</v>
      </c>
      <c r="Z48" s="114"/>
      <c r="AA48" s="114">
        <v>0</v>
      </c>
      <c r="AB48" s="114"/>
      <c r="AC48" s="114"/>
      <c r="AD48" s="114">
        <v>0</v>
      </c>
      <c r="AE48" s="114"/>
      <c r="AF48" s="114">
        <v>0</v>
      </c>
      <c r="AG48" s="114"/>
      <c r="AH48" s="114">
        <v>0</v>
      </c>
      <c r="AI48" s="114"/>
      <c r="AJ48" s="114">
        <v>0</v>
      </c>
      <c r="AK48" s="114"/>
      <c r="AL48" s="114">
        <v>0</v>
      </c>
      <c r="AM48" s="114"/>
      <c r="AN48" s="114">
        <v>0</v>
      </c>
      <c r="AO48" s="114"/>
      <c r="AP48" s="114">
        <v>0</v>
      </c>
      <c r="AQ48" s="114"/>
      <c r="AR48" s="114">
        <v>0</v>
      </c>
      <c r="AS48" s="114"/>
      <c r="AT48" s="114">
        <v>0</v>
      </c>
      <c r="AU48" s="114"/>
      <c r="AV48" s="114">
        <v>0</v>
      </c>
      <c r="AW48" s="114"/>
      <c r="AX48" s="114">
        <v>0</v>
      </c>
      <c r="AY48" s="114"/>
    </row>
    <row r="49" spans="1:52" x14ac:dyDescent="0.2">
      <c r="A49" s="114"/>
      <c r="B49" s="168" t="s">
        <v>346</v>
      </c>
      <c r="C49" s="114"/>
      <c r="D49" s="114"/>
      <c r="E49" s="114">
        <v>14</v>
      </c>
      <c r="F49" s="114"/>
      <c r="G49" s="114">
        <v>14</v>
      </c>
      <c r="H49" s="114"/>
      <c r="I49" s="114">
        <v>14</v>
      </c>
      <c r="J49" s="114"/>
      <c r="K49" s="114">
        <v>14</v>
      </c>
      <c r="L49" s="114"/>
      <c r="M49" s="114">
        <v>14</v>
      </c>
      <c r="N49" s="114"/>
      <c r="O49" s="114">
        <v>14</v>
      </c>
      <c r="P49" s="114"/>
      <c r="Q49" s="114">
        <v>14</v>
      </c>
      <c r="R49" s="114"/>
      <c r="S49" s="114">
        <v>14</v>
      </c>
      <c r="T49" s="114"/>
      <c r="U49" s="114">
        <v>14</v>
      </c>
      <c r="V49" s="114"/>
      <c r="W49" s="114">
        <v>14</v>
      </c>
      <c r="X49" s="114"/>
      <c r="Y49" s="114">
        <v>14</v>
      </c>
      <c r="Z49" s="114"/>
      <c r="AA49" s="114">
        <v>14</v>
      </c>
      <c r="AB49" s="114"/>
      <c r="AC49" s="114"/>
      <c r="AD49" s="114">
        <v>14</v>
      </c>
      <c r="AE49" s="114"/>
      <c r="AF49" s="114">
        <v>14</v>
      </c>
      <c r="AG49" s="114"/>
      <c r="AH49" s="114">
        <v>14</v>
      </c>
      <c r="AI49" s="114"/>
      <c r="AJ49" s="114">
        <v>14</v>
      </c>
      <c r="AK49" s="114"/>
      <c r="AL49" s="114">
        <v>14</v>
      </c>
      <c r="AM49" s="114"/>
      <c r="AN49" s="114">
        <v>14</v>
      </c>
      <c r="AO49" s="114"/>
      <c r="AP49" s="114">
        <v>14</v>
      </c>
      <c r="AQ49" s="114"/>
      <c r="AR49" s="114">
        <v>14</v>
      </c>
      <c r="AS49" s="114"/>
      <c r="AT49" s="114">
        <v>14</v>
      </c>
      <c r="AU49" s="114"/>
      <c r="AV49" s="114">
        <v>14</v>
      </c>
      <c r="AW49" s="114"/>
      <c r="AX49" s="114">
        <v>14</v>
      </c>
      <c r="AY49" s="114"/>
    </row>
    <row r="50" spans="1:52" x14ac:dyDescent="0.2">
      <c r="A50" s="114"/>
      <c r="B50" s="168" t="s">
        <v>347</v>
      </c>
      <c r="C50" s="114"/>
      <c r="D50" s="114">
        <f>D44-D47</f>
        <v>456.5</v>
      </c>
      <c r="E50" s="114">
        <f t="shared" ref="E50:AY50" si="15">E44-E47</f>
        <v>36.5</v>
      </c>
      <c r="F50" s="114">
        <f t="shared" si="15"/>
        <v>456.5</v>
      </c>
      <c r="G50" s="114">
        <f t="shared" si="15"/>
        <v>36.5</v>
      </c>
      <c r="H50" s="114">
        <f t="shared" si="15"/>
        <v>456.5</v>
      </c>
      <c r="I50" s="114">
        <f t="shared" si="15"/>
        <v>36.5</v>
      </c>
      <c r="J50" s="114">
        <f t="shared" si="15"/>
        <v>456.5</v>
      </c>
      <c r="K50" s="114">
        <f t="shared" si="15"/>
        <v>36.5</v>
      </c>
      <c r="L50" s="114">
        <f t="shared" si="15"/>
        <v>456.5</v>
      </c>
      <c r="M50" s="114">
        <f t="shared" si="15"/>
        <v>36.5</v>
      </c>
      <c r="N50" s="114">
        <f t="shared" si="15"/>
        <v>456.5</v>
      </c>
      <c r="O50" s="114">
        <f t="shared" si="15"/>
        <v>36.5</v>
      </c>
      <c r="P50" s="114">
        <f t="shared" si="15"/>
        <v>456.5</v>
      </c>
      <c r="Q50" s="114">
        <f t="shared" si="15"/>
        <v>0</v>
      </c>
      <c r="R50" s="114">
        <f t="shared" si="15"/>
        <v>456.5</v>
      </c>
      <c r="S50" s="114">
        <f t="shared" si="15"/>
        <v>36.5</v>
      </c>
      <c r="T50" s="114">
        <f t="shared" si="15"/>
        <v>456.5</v>
      </c>
      <c r="U50" s="114">
        <f t="shared" si="15"/>
        <v>36.5</v>
      </c>
      <c r="V50" s="114">
        <f t="shared" si="15"/>
        <v>456.5</v>
      </c>
      <c r="W50" s="114">
        <f t="shared" si="15"/>
        <v>36.5</v>
      </c>
      <c r="X50" s="114">
        <f t="shared" si="15"/>
        <v>456.5</v>
      </c>
      <c r="Y50" s="114">
        <f t="shared" si="15"/>
        <v>36.5</v>
      </c>
      <c r="Z50" s="114">
        <f t="shared" si="15"/>
        <v>456.5</v>
      </c>
      <c r="AA50" s="114">
        <f t="shared" si="15"/>
        <v>36.5</v>
      </c>
      <c r="AB50" s="114">
        <f t="shared" si="15"/>
        <v>456.5</v>
      </c>
      <c r="AC50" s="114">
        <f t="shared" si="15"/>
        <v>0</v>
      </c>
      <c r="AD50" s="114">
        <f t="shared" si="15"/>
        <v>36.5</v>
      </c>
      <c r="AE50" s="114">
        <f t="shared" si="15"/>
        <v>456.5</v>
      </c>
      <c r="AF50" s="114">
        <f t="shared" si="15"/>
        <v>36.5</v>
      </c>
      <c r="AG50" s="114">
        <f t="shared" si="15"/>
        <v>456.5</v>
      </c>
      <c r="AH50" s="114">
        <f t="shared" si="15"/>
        <v>36.5</v>
      </c>
      <c r="AI50" s="114">
        <f t="shared" si="15"/>
        <v>456.5</v>
      </c>
      <c r="AJ50" s="114">
        <f t="shared" si="15"/>
        <v>36.5</v>
      </c>
      <c r="AK50" s="114">
        <f t="shared" si="15"/>
        <v>456.5</v>
      </c>
      <c r="AL50" s="114">
        <f t="shared" si="15"/>
        <v>36.5</v>
      </c>
      <c r="AM50" s="114">
        <f t="shared" si="15"/>
        <v>456.5</v>
      </c>
      <c r="AN50" s="114">
        <f t="shared" si="15"/>
        <v>36.5</v>
      </c>
      <c r="AO50" s="114">
        <f t="shared" si="15"/>
        <v>456.5</v>
      </c>
      <c r="AP50" s="114">
        <f t="shared" si="15"/>
        <v>36.5</v>
      </c>
      <c r="AQ50" s="114">
        <f t="shared" si="15"/>
        <v>456.5</v>
      </c>
      <c r="AR50" s="114">
        <f t="shared" si="15"/>
        <v>36.5</v>
      </c>
      <c r="AS50" s="114">
        <f t="shared" si="15"/>
        <v>456.5</v>
      </c>
      <c r="AT50" s="114">
        <f t="shared" si="15"/>
        <v>36.5</v>
      </c>
      <c r="AU50" s="114">
        <f t="shared" si="15"/>
        <v>456.5</v>
      </c>
      <c r="AV50" s="114">
        <f t="shared" si="15"/>
        <v>36.5</v>
      </c>
      <c r="AW50" s="114">
        <f t="shared" si="15"/>
        <v>456.5</v>
      </c>
      <c r="AX50" s="114">
        <f t="shared" si="15"/>
        <v>36.5</v>
      </c>
      <c r="AY50" s="114">
        <f t="shared" si="15"/>
        <v>456.5</v>
      </c>
    </row>
    <row r="51" spans="1:52" x14ac:dyDescent="0.2">
      <c r="A51" s="114"/>
      <c r="B51" s="168" t="s">
        <v>348</v>
      </c>
      <c r="C51" s="114"/>
      <c r="D51" s="114">
        <f>D45-D48</f>
        <v>0</v>
      </c>
      <c r="E51" s="114">
        <f t="shared" ref="E51:AY51" si="16">E45-E48</f>
        <v>0</v>
      </c>
      <c r="F51" s="114">
        <f t="shared" si="16"/>
        <v>0</v>
      </c>
      <c r="G51" s="114">
        <f t="shared" si="16"/>
        <v>0</v>
      </c>
      <c r="H51" s="114">
        <f t="shared" si="16"/>
        <v>0</v>
      </c>
      <c r="I51" s="114">
        <f t="shared" si="16"/>
        <v>0</v>
      </c>
      <c r="J51" s="114">
        <f t="shared" si="16"/>
        <v>0</v>
      </c>
      <c r="K51" s="114">
        <f t="shared" si="16"/>
        <v>0</v>
      </c>
      <c r="L51" s="114">
        <f t="shared" si="16"/>
        <v>0</v>
      </c>
      <c r="M51" s="114">
        <f t="shared" si="16"/>
        <v>0</v>
      </c>
      <c r="N51" s="114">
        <f t="shared" si="16"/>
        <v>0</v>
      </c>
      <c r="O51" s="114">
        <f t="shared" si="16"/>
        <v>0</v>
      </c>
      <c r="P51" s="114">
        <f t="shared" si="16"/>
        <v>0</v>
      </c>
      <c r="Q51" s="114">
        <f t="shared" si="16"/>
        <v>0</v>
      </c>
      <c r="R51" s="114">
        <f t="shared" si="16"/>
        <v>0</v>
      </c>
      <c r="S51" s="114">
        <f t="shared" si="16"/>
        <v>0</v>
      </c>
      <c r="T51" s="114">
        <f t="shared" si="16"/>
        <v>0</v>
      </c>
      <c r="U51" s="114">
        <f t="shared" si="16"/>
        <v>0</v>
      </c>
      <c r="V51" s="114">
        <f t="shared" si="16"/>
        <v>0</v>
      </c>
      <c r="W51" s="114">
        <f t="shared" si="16"/>
        <v>0</v>
      </c>
      <c r="X51" s="114">
        <f t="shared" si="16"/>
        <v>0</v>
      </c>
      <c r="Y51" s="114">
        <f t="shared" si="16"/>
        <v>0</v>
      </c>
      <c r="Z51" s="114">
        <f t="shared" si="16"/>
        <v>0</v>
      </c>
      <c r="AA51" s="114">
        <f t="shared" si="16"/>
        <v>0</v>
      </c>
      <c r="AB51" s="114">
        <f t="shared" si="16"/>
        <v>0</v>
      </c>
      <c r="AC51" s="114">
        <f t="shared" si="16"/>
        <v>0</v>
      </c>
      <c r="AD51" s="114">
        <f t="shared" si="16"/>
        <v>0</v>
      </c>
      <c r="AE51" s="114">
        <f t="shared" si="16"/>
        <v>0</v>
      </c>
      <c r="AF51" s="114">
        <f t="shared" si="16"/>
        <v>0</v>
      </c>
      <c r="AG51" s="114">
        <f t="shared" si="16"/>
        <v>0</v>
      </c>
      <c r="AH51" s="114">
        <f t="shared" si="16"/>
        <v>0</v>
      </c>
      <c r="AI51" s="114">
        <f t="shared" si="16"/>
        <v>0</v>
      </c>
      <c r="AJ51" s="114">
        <f t="shared" si="16"/>
        <v>0</v>
      </c>
      <c r="AK51" s="114">
        <f t="shared" si="16"/>
        <v>0</v>
      </c>
      <c r="AL51" s="114">
        <f t="shared" si="16"/>
        <v>0</v>
      </c>
      <c r="AM51" s="114">
        <f t="shared" si="16"/>
        <v>0</v>
      </c>
      <c r="AN51" s="114">
        <f t="shared" si="16"/>
        <v>0</v>
      </c>
      <c r="AO51" s="114">
        <f t="shared" si="16"/>
        <v>0</v>
      </c>
      <c r="AP51" s="114">
        <f t="shared" si="16"/>
        <v>0</v>
      </c>
      <c r="AQ51" s="114">
        <f t="shared" si="16"/>
        <v>0</v>
      </c>
      <c r="AR51" s="114">
        <f t="shared" si="16"/>
        <v>0</v>
      </c>
      <c r="AS51" s="114">
        <f t="shared" si="16"/>
        <v>0</v>
      </c>
      <c r="AT51" s="114">
        <f t="shared" si="16"/>
        <v>0</v>
      </c>
      <c r="AU51" s="114">
        <f t="shared" si="16"/>
        <v>0</v>
      </c>
      <c r="AV51" s="114">
        <f t="shared" si="16"/>
        <v>0</v>
      </c>
      <c r="AW51" s="114">
        <f t="shared" si="16"/>
        <v>0</v>
      </c>
      <c r="AX51" s="114">
        <f t="shared" si="16"/>
        <v>0</v>
      </c>
      <c r="AY51" s="114">
        <f t="shared" si="16"/>
        <v>0</v>
      </c>
    </row>
    <row r="52" spans="1:52" x14ac:dyDescent="0.2">
      <c r="A52" s="114"/>
      <c r="B52" s="168" t="s">
        <v>349</v>
      </c>
      <c r="C52" s="114"/>
      <c r="D52" s="114">
        <v>3</v>
      </c>
      <c r="E52" s="114">
        <v>2</v>
      </c>
      <c r="F52" s="114">
        <v>2</v>
      </c>
      <c r="G52" s="114">
        <v>4</v>
      </c>
      <c r="H52" s="114">
        <v>2</v>
      </c>
      <c r="I52" s="114">
        <v>2</v>
      </c>
      <c r="J52" s="114">
        <v>2</v>
      </c>
      <c r="K52" s="114">
        <v>2</v>
      </c>
      <c r="L52" s="114">
        <v>2</v>
      </c>
      <c r="M52" s="114">
        <v>2</v>
      </c>
      <c r="N52" s="114">
        <v>2</v>
      </c>
      <c r="O52" s="114">
        <v>2</v>
      </c>
      <c r="P52" s="114">
        <v>2</v>
      </c>
      <c r="Q52" s="114">
        <v>2</v>
      </c>
      <c r="R52" s="114">
        <v>2</v>
      </c>
      <c r="S52" s="114">
        <v>2</v>
      </c>
      <c r="T52" s="114">
        <v>4</v>
      </c>
      <c r="U52" s="114">
        <v>2</v>
      </c>
      <c r="V52" s="114">
        <v>3</v>
      </c>
      <c r="W52" s="114">
        <v>3</v>
      </c>
      <c r="X52" s="114">
        <v>3</v>
      </c>
      <c r="Y52" s="114">
        <v>2</v>
      </c>
      <c r="Z52" s="114">
        <v>3</v>
      </c>
      <c r="AA52" s="114">
        <v>2</v>
      </c>
      <c r="AB52" s="114">
        <v>3</v>
      </c>
      <c r="AC52" s="114">
        <v>4</v>
      </c>
      <c r="AD52" s="114">
        <v>3</v>
      </c>
      <c r="AE52" s="114">
        <v>2</v>
      </c>
      <c r="AF52" s="114">
        <v>3</v>
      </c>
      <c r="AG52" s="114">
        <v>3</v>
      </c>
      <c r="AH52" s="114">
        <v>3</v>
      </c>
      <c r="AI52" s="114">
        <v>2</v>
      </c>
      <c r="AJ52" s="114">
        <v>2</v>
      </c>
      <c r="AK52" s="114">
        <v>2</v>
      </c>
      <c r="AL52" s="114">
        <v>2</v>
      </c>
      <c r="AM52" s="114">
        <v>3</v>
      </c>
      <c r="AN52" s="114">
        <v>3</v>
      </c>
      <c r="AO52" s="114">
        <v>2</v>
      </c>
      <c r="AP52" s="114">
        <v>2</v>
      </c>
      <c r="AQ52" s="114">
        <v>2</v>
      </c>
      <c r="AR52" s="114">
        <v>2</v>
      </c>
      <c r="AS52" s="114">
        <v>3</v>
      </c>
      <c r="AT52" s="114">
        <v>2</v>
      </c>
      <c r="AU52" s="114">
        <v>4</v>
      </c>
      <c r="AV52" s="114">
        <v>3</v>
      </c>
      <c r="AW52" s="114">
        <v>3</v>
      </c>
      <c r="AX52" s="114">
        <v>2</v>
      </c>
      <c r="AY52" s="114">
        <v>2</v>
      </c>
    </row>
    <row r="53" spans="1:52" x14ac:dyDescent="0.2">
      <c r="A53" s="114"/>
      <c r="B53" s="179" t="s">
        <v>350</v>
      </c>
      <c r="C53" s="114"/>
      <c r="D53" s="114">
        <v>0</v>
      </c>
      <c r="E53" s="114">
        <v>1178856</v>
      </c>
      <c r="F53" s="114">
        <v>0</v>
      </c>
      <c r="G53" s="114">
        <v>1178856</v>
      </c>
      <c r="H53" s="114">
        <v>0</v>
      </c>
      <c r="I53" s="114">
        <v>1178856</v>
      </c>
      <c r="J53" s="114">
        <v>0</v>
      </c>
      <c r="K53" s="114">
        <v>1178856</v>
      </c>
      <c r="L53" s="114">
        <v>0</v>
      </c>
      <c r="M53" s="114">
        <v>1178856</v>
      </c>
      <c r="N53" s="114">
        <v>0</v>
      </c>
      <c r="O53" s="114">
        <v>1178856</v>
      </c>
      <c r="P53" s="114">
        <v>0</v>
      </c>
      <c r="Q53" s="114">
        <v>1178856</v>
      </c>
      <c r="R53" s="114">
        <v>0</v>
      </c>
      <c r="S53" s="114">
        <v>1178856</v>
      </c>
      <c r="T53" s="114">
        <v>0</v>
      </c>
      <c r="U53" s="114">
        <v>1178856</v>
      </c>
      <c r="V53" s="114">
        <v>0</v>
      </c>
      <c r="W53" s="114">
        <v>1178856</v>
      </c>
      <c r="X53" s="114">
        <v>0</v>
      </c>
      <c r="Y53" s="114">
        <v>1178856</v>
      </c>
      <c r="Z53" s="114">
        <v>0</v>
      </c>
      <c r="AA53" s="114">
        <v>1178856</v>
      </c>
      <c r="AB53" s="114">
        <v>0</v>
      </c>
      <c r="AC53" s="114">
        <v>0</v>
      </c>
      <c r="AD53" s="114">
        <v>1178856</v>
      </c>
      <c r="AE53" s="114">
        <v>0</v>
      </c>
      <c r="AF53" s="114">
        <v>1178856</v>
      </c>
      <c r="AG53" s="114">
        <v>0</v>
      </c>
      <c r="AH53" s="114">
        <v>1178856</v>
      </c>
      <c r="AI53" s="114">
        <v>0</v>
      </c>
      <c r="AJ53" s="114">
        <v>1178856</v>
      </c>
      <c r="AK53" s="114">
        <v>0</v>
      </c>
      <c r="AL53" s="114">
        <v>1178856</v>
      </c>
      <c r="AM53" s="114">
        <v>0</v>
      </c>
      <c r="AN53" s="114">
        <v>1178856</v>
      </c>
      <c r="AO53" s="114">
        <v>0</v>
      </c>
      <c r="AP53" s="114">
        <v>1178856</v>
      </c>
      <c r="AQ53" s="114">
        <v>0</v>
      </c>
      <c r="AR53" s="114">
        <v>1178856</v>
      </c>
      <c r="AS53" s="114">
        <v>0</v>
      </c>
      <c r="AT53" s="114">
        <v>1178856</v>
      </c>
      <c r="AU53" s="114">
        <v>0</v>
      </c>
      <c r="AV53" s="114">
        <v>1178856</v>
      </c>
      <c r="AW53" s="114">
        <v>0</v>
      </c>
      <c r="AX53" s="114">
        <v>1178856</v>
      </c>
      <c r="AY53" s="114">
        <v>0</v>
      </c>
      <c r="AZ53">
        <f>SUM($D$53:$AY$53)</f>
        <v>27113688</v>
      </c>
    </row>
    <row r="54" spans="1:52" x14ac:dyDescent="0.2">
      <c r="A54" s="128"/>
      <c r="B54" s="143" t="s">
        <v>351</v>
      </c>
      <c r="C54" s="128"/>
      <c r="D54" s="128">
        <v>694039.77500000002</v>
      </c>
      <c r="E54" s="128">
        <v>55492.775000000001</v>
      </c>
      <c r="F54" s="128">
        <v>694039.77500000002</v>
      </c>
      <c r="G54" s="128">
        <v>55492.775000000001</v>
      </c>
      <c r="H54" s="128">
        <v>694039.77500000002</v>
      </c>
      <c r="I54" s="128">
        <v>55492.775000000001</v>
      </c>
      <c r="J54" s="128">
        <v>694039.77500000002</v>
      </c>
      <c r="K54" s="128">
        <v>55492.775000000001</v>
      </c>
      <c r="L54" s="128">
        <v>694039.77500000002</v>
      </c>
      <c r="M54" s="128">
        <v>55492.775000000001</v>
      </c>
      <c r="N54" s="128">
        <v>694039.77500000002</v>
      </c>
      <c r="O54" s="128">
        <v>55492.775000000001</v>
      </c>
      <c r="P54" s="128">
        <v>694039.77500000002</v>
      </c>
      <c r="Q54" s="128">
        <v>0</v>
      </c>
      <c r="R54" s="128">
        <v>694039.77500000002</v>
      </c>
      <c r="S54" s="128">
        <v>55492.775000000001</v>
      </c>
      <c r="T54" s="128">
        <v>694039.77500000002</v>
      </c>
      <c r="U54" s="128">
        <v>55492.775000000001</v>
      </c>
      <c r="V54" s="128">
        <v>694039.77500000002</v>
      </c>
      <c r="W54" s="128">
        <v>55492.775000000001</v>
      </c>
      <c r="X54" s="128">
        <v>694039.77500000002</v>
      </c>
      <c r="Y54" s="128">
        <v>55492.775000000001</v>
      </c>
      <c r="Z54" s="128">
        <v>694039.77500000002</v>
      </c>
      <c r="AA54" s="128">
        <v>55492.775000000001</v>
      </c>
      <c r="AB54" s="128">
        <v>694039.77500000002</v>
      </c>
      <c r="AC54" s="128">
        <v>0</v>
      </c>
      <c r="AD54" s="128">
        <v>55492.775000000001</v>
      </c>
      <c r="AE54" s="128">
        <v>694039.77500000002</v>
      </c>
      <c r="AF54" s="128">
        <v>55492.775000000001</v>
      </c>
      <c r="AG54" s="128">
        <v>694039.77500000002</v>
      </c>
      <c r="AH54" s="128">
        <v>55492.775000000001</v>
      </c>
      <c r="AI54" s="128">
        <v>694039.77500000002</v>
      </c>
      <c r="AJ54" s="128">
        <v>55492.775000000001</v>
      </c>
      <c r="AK54" s="128">
        <v>694039.77500000002</v>
      </c>
      <c r="AL54" s="128">
        <v>55492.775000000001</v>
      </c>
      <c r="AM54" s="128">
        <v>694039.77500000002</v>
      </c>
      <c r="AN54" s="128">
        <v>55492.775000000001</v>
      </c>
      <c r="AO54" s="128">
        <v>694039.77500000002</v>
      </c>
      <c r="AP54" s="128">
        <v>55492.775000000001</v>
      </c>
      <c r="AQ54" s="128">
        <v>694039.77500000002</v>
      </c>
      <c r="AR54" s="128">
        <v>55492.775000000001</v>
      </c>
      <c r="AS54" s="128">
        <v>694039.77500000002</v>
      </c>
      <c r="AT54" s="128">
        <v>55492.775000000001</v>
      </c>
      <c r="AU54" s="128">
        <v>694039.77500000002</v>
      </c>
      <c r="AV54" s="128">
        <v>55492.775000000001</v>
      </c>
      <c r="AW54" s="128">
        <v>694039.77500000002</v>
      </c>
      <c r="AX54" s="128">
        <v>55492.775000000001</v>
      </c>
      <c r="AY54" s="128">
        <v>694039.77500000002</v>
      </c>
      <c r="AZ54">
        <f>SUM($D$54:$AY$54)</f>
        <v>17877795.650000006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11" t="s">
        <v>12</v>
      </c>
      <c r="E2" s="114"/>
    </row>
    <row r="3" spans="1:52" x14ac:dyDescent="0.2">
      <c r="A3" t="s">
        <v>286</v>
      </c>
      <c r="B3" s="111">
        <v>4981</v>
      </c>
      <c r="E3" s="114"/>
    </row>
    <row r="4" spans="1:52" x14ac:dyDescent="0.2">
      <c r="A4" s="1"/>
      <c r="C4" s="9" t="s">
        <v>287</v>
      </c>
    </row>
    <row r="5" spans="1:52" x14ac:dyDescent="0.2">
      <c r="B5" s="110"/>
      <c r="C5" s="115">
        <v>0</v>
      </c>
      <c r="D5" s="115">
        <v>1</v>
      </c>
      <c r="E5" s="115">
        <v>2</v>
      </c>
      <c r="F5" s="115">
        <v>3</v>
      </c>
      <c r="G5" s="115">
        <v>4</v>
      </c>
      <c r="H5" s="115">
        <v>5</v>
      </c>
      <c r="I5" s="115">
        <v>6</v>
      </c>
      <c r="J5" s="115">
        <v>7</v>
      </c>
      <c r="K5" s="115">
        <v>8</v>
      </c>
      <c r="L5" s="115">
        <v>9</v>
      </c>
      <c r="M5" s="115">
        <v>10</v>
      </c>
      <c r="N5" s="115">
        <v>11</v>
      </c>
      <c r="O5" s="115">
        <v>12</v>
      </c>
      <c r="P5" s="115">
        <v>13</v>
      </c>
      <c r="Q5" s="115">
        <v>14</v>
      </c>
      <c r="R5" s="115">
        <v>15</v>
      </c>
      <c r="S5" s="115">
        <v>16</v>
      </c>
      <c r="T5" s="115">
        <v>17</v>
      </c>
      <c r="U5" s="115">
        <v>18</v>
      </c>
      <c r="V5" s="115">
        <v>19</v>
      </c>
      <c r="W5" s="115">
        <v>20</v>
      </c>
      <c r="X5" s="115">
        <v>21</v>
      </c>
      <c r="Y5" s="115">
        <v>22</v>
      </c>
      <c r="Z5" s="115">
        <v>23</v>
      </c>
      <c r="AA5" s="115">
        <v>24</v>
      </c>
      <c r="AB5" s="115">
        <v>25</v>
      </c>
      <c r="AC5" s="115">
        <v>26</v>
      </c>
      <c r="AD5" s="115">
        <v>27</v>
      </c>
      <c r="AE5" s="115">
        <v>28</v>
      </c>
      <c r="AF5" s="115">
        <v>29</v>
      </c>
      <c r="AG5" s="115">
        <v>30</v>
      </c>
      <c r="AH5" s="115">
        <v>31</v>
      </c>
      <c r="AI5" s="115">
        <v>32</v>
      </c>
      <c r="AJ5" s="115">
        <v>33</v>
      </c>
      <c r="AK5" s="115">
        <v>34</v>
      </c>
      <c r="AL5" s="115">
        <v>35</v>
      </c>
      <c r="AM5" s="115">
        <v>36</v>
      </c>
      <c r="AN5" s="115">
        <v>37</v>
      </c>
      <c r="AO5" s="115">
        <v>38</v>
      </c>
      <c r="AP5" s="115">
        <v>39</v>
      </c>
      <c r="AQ5" s="115">
        <v>40</v>
      </c>
      <c r="AR5" s="115">
        <v>41</v>
      </c>
      <c r="AS5" s="115">
        <v>42</v>
      </c>
      <c r="AT5" s="115">
        <v>43</v>
      </c>
      <c r="AU5" s="115">
        <v>44</v>
      </c>
      <c r="AV5" s="115">
        <v>45</v>
      </c>
      <c r="AW5" s="115">
        <v>46</v>
      </c>
      <c r="AX5" s="115">
        <v>47</v>
      </c>
      <c r="AY5" s="115">
        <v>48</v>
      </c>
    </row>
    <row r="6" spans="1:52" x14ac:dyDescent="0.2">
      <c r="A6" s="1" t="s">
        <v>304</v>
      </c>
      <c r="B6" s="117"/>
      <c r="C6" s="116" t="s">
        <v>288</v>
      </c>
      <c r="D6" s="115" t="s">
        <v>289</v>
      </c>
      <c r="E6" s="115" t="s">
        <v>289</v>
      </c>
      <c r="F6" s="115" t="s">
        <v>289</v>
      </c>
      <c r="G6" s="115" t="s">
        <v>289</v>
      </c>
      <c r="H6" s="115" t="s">
        <v>289</v>
      </c>
      <c r="I6" s="115" t="s">
        <v>289</v>
      </c>
      <c r="J6" s="115" t="s">
        <v>289</v>
      </c>
      <c r="K6" s="115" t="s">
        <v>289</v>
      </c>
      <c r="L6" s="115" t="s">
        <v>289</v>
      </c>
      <c r="M6" s="115" t="s">
        <v>289</v>
      </c>
      <c r="N6" s="115" t="s">
        <v>289</v>
      </c>
      <c r="O6" s="115" t="s">
        <v>289</v>
      </c>
      <c r="P6" s="115" t="s">
        <v>289</v>
      </c>
      <c r="Q6" s="115" t="s">
        <v>289</v>
      </c>
      <c r="R6" s="115" t="s">
        <v>289</v>
      </c>
      <c r="S6" s="115" t="s">
        <v>289</v>
      </c>
      <c r="T6" s="115" t="s">
        <v>289</v>
      </c>
      <c r="U6" s="115" t="s">
        <v>289</v>
      </c>
      <c r="V6" s="115" t="s">
        <v>289</v>
      </c>
      <c r="W6" s="115" t="s">
        <v>289</v>
      </c>
      <c r="X6" s="115" t="s">
        <v>289</v>
      </c>
      <c r="Y6" s="115" t="s">
        <v>289</v>
      </c>
      <c r="Z6" s="115" t="s">
        <v>289</v>
      </c>
      <c r="AA6" s="115" t="s">
        <v>289</v>
      </c>
      <c r="AB6" s="115" t="s">
        <v>289</v>
      </c>
      <c r="AC6" s="115" t="s">
        <v>289</v>
      </c>
      <c r="AD6" s="115" t="s">
        <v>289</v>
      </c>
      <c r="AE6" s="115" t="s">
        <v>289</v>
      </c>
      <c r="AF6" s="115" t="s">
        <v>289</v>
      </c>
      <c r="AG6" s="115" t="s">
        <v>289</v>
      </c>
      <c r="AH6" s="115" t="s">
        <v>289</v>
      </c>
      <c r="AI6" s="115" t="s">
        <v>289</v>
      </c>
      <c r="AJ6" s="115" t="s">
        <v>289</v>
      </c>
      <c r="AK6" s="115" t="s">
        <v>289</v>
      </c>
      <c r="AL6" s="115" t="s">
        <v>289</v>
      </c>
      <c r="AM6" s="115" t="s">
        <v>289</v>
      </c>
      <c r="AN6" s="115" t="s">
        <v>289</v>
      </c>
      <c r="AO6" s="115" t="s">
        <v>289</v>
      </c>
      <c r="AP6" s="115" t="s">
        <v>289</v>
      </c>
      <c r="AQ6" s="115" t="s">
        <v>289</v>
      </c>
      <c r="AR6" s="115" t="s">
        <v>289</v>
      </c>
      <c r="AS6" s="115" t="s">
        <v>289</v>
      </c>
      <c r="AT6" s="115" t="s">
        <v>289</v>
      </c>
      <c r="AU6" s="115" t="s">
        <v>289</v>
      </c>
      <c r="AV6" s="115" t="s">
        <v>289</v>
      </c>
      <c r="AW6" s="115" t="s">
        <v>289</v>
      </c>
      <c r="AX6" s="115" t="s">
        <v>289</v>
      </c>
      <c r="AY6" s="9" t="s">
        <v>290</v>
      </c>
      <c r="AZ6" s="145" t="s">
        <v>150</v>
      </c>
    </row>
    <row r="7" spans="1:52" x14ac:dyDescent="0.2">
      <c r="A7" s="118" t="s">
        <v>125</v>
      </c>
      <c r="B7" s="146">
        <v>1</v>
      </c>
      <c r="C7" s="147" t="s">
        <v>293</v>
      </c>
      <c r="D7" s="147">
        <v>464.71229130770831</v>
      </c>
      <c r="E7" s="147">
        <v>464.71229130770831</v>
      </c>
      <c r="F7" s="147">
        <v>464.71229130770831</v>
      </c>
      <c r="G7" s="147">
        <v>464.71229130770831</v>
      </c>
      <c r="H7" s="147">
        <v>464.71229130770831</v>
      </c>
      <c r="I7" s="147">
        <v>464.71229130770831</v>
      </c>
      <c r="J7" s="147">
        <v>464.71229130770831</v>
      </c>
      <c r="K7" s="147">
        <v>464.71229130770831</v>
      </c>
      <c r="L7" s="147">
        <v>464.71229130770831</v>
      </c>
      <c r="M7" s="147">
        <v>464.71229130770831</v>
      </c>
      <c r="N7" s="147">
        <v>464.71229130770831</v>
      </c>
      <c r="O7" s="147">
        <v>464.71229130770831</v>
      </c>
      <c r="P7" s="147">
        <v>464.71229130770831</v>
      </c>
      <c r="Q7" s="147">
        <v>464.71229130770831</v>
      </c>
      <c r="R7" s="147">
        <v>464.71229130770831</v>
      </c>
      <c r="S7" s="147">
        <v>464.71229130770831</v>
      </c>
      <c r="T7" s="147">
        <v>464.71229130770831</v>
      </c>
      <c r="U7" s="147">
        <v>464.71229130770831</v>
      </c>
      <c r="V7" s="147">
        <v>464.71229130770831</v>
      </c>
      <c r="W7" s="147">
        <v>464.71229130770831</v>
      </c>
      <c r="X7" s="147">
        <v>464.71229130770831</v>
      </c>
      <c r="Y7" s="147">
        <v>464.71229130770831</v>
      </c>
      <c r="Z7" s="147">
        <v>464.71229130770831</v>
      </c>
      <c r="AA7" s="147">
        <v>464.71229130770831</v>
      </c>
      <c r="AB7" s="147">
        <v>464.71229130770831</v>
      </c>
      <c r="AC7" s="147">
        <v>464.71229130770831</v>
      </c>
      <c r="AD7" s="147">
        <v>464.71229130770831</v>
      </c>
      <c r="AE7" s="147">
        <v>464.71229130770831</v>
      </c>
      <c r="AF7" s="147">
        <v>464.71229130770831</v>
      </c>
      <c r="AG7" s="147">
        <v>464.71229130770831</v>
      </c>
      <c r="AH7" s="147">
        <v>464.71229130770831</v>
      </c>
      <c r="AI7" s="147">
        <v>464.71229130770831</v>
      </c>
      <c r="AJ7" s="147">
        <v>464.71229130770831</v>
      </c>
      <c r="AK7" s="147">
        <v>464.71229130770831</v>
      </c>
      <c r="AL7" s="147">
        <v>464.71229130770831</v>
      </c>
      <c r="AM7" s="147">
        <v>464.71229130770831</v>
      </c>
      <c r="AN7" s="147">
        <v>464.71229130770831</v>
      </c>
      <c r="AO7" s="147">
        <v>464.71229130770831</v>
      </c>
      <c r="AP7" s="147">
        <v>464.71229130770831</v>
      </c>
      <c r="AQ7" s="147">
        <v>464.71229130770831</v>
      </c>
      <c r="AR7" s="147">
        <v>464.71229130770831</v>
      </c>
      <c r="AS7" s="147">
        <v>464.71229130770831</v>
      </c>
      <c r="AT7" s="147">
        <v>464.71229130770831</v>
      </c>
      <c r="AU7" s="147">
        <v>464.71229130770831</v>
      </c>
      <c r="AV7" s="147">
        <v>464.71229130770831</v>
      </c>
      <c r="AW7" s="147">
        <v>464.71229130770831</v>
      </c>
      <c r="AX7" s="147">
        <v>464.71229130770831</v>
      </c>
      <c r="AY7" s="147">
        <v>464.71229130770831</v>
      </c>
      <c r="AZ7" s="110"/>
    </row>
    <row r="8" spans="1:52" x14ac:dyDescent="0.2">
      <c r="A8" s="148"/>
      <c r="B8" s="149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50"/>
    </row>
    <row r="9" spans="1:52" x14ac:dyDescent="0.2">
      <c r="A9" s="1" t="s">
        <v>294</v>
      </c>
      <c r="B9" s="151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  <c r="AY9" s="110"/>
      <c r="AZ9" s="110"/>
    </row>
    <row r="10" spans="1:52" x14ac:dyDescent="0.2">
      <c r="A10" s="152" t="s">
        <v>125</v>
      </c>
      <c r="B10" s="153">
        <v>1</v>
      </c>
      <c r="C10" s="147" t="s">
        <v>293</v>
      </c>
      <c r="D10" s="147">
        <f t="shared" ref="D10:AY10" si="0">MAX(SUM(D$14:D$16)+D$7-$B$3,0)</f>
        <v>0</v>
      </c>
      <c r="E10" s="147">
        <f t="shared" si="0"/>
        <v>0</v>
      </c>
      <c r="F10" s="147">
        <f t="shared" si="0"/>
        <v>0</v>
      </c>
      <c r="G10" s="147">
        <f t="shared" si="0"/>
        <v>0</v>
      </c>
      <c r="H10" s="147">
        <f t="shared" si="0"/>
        <v>0</v>
      </c>
      <c r="I10" s="147">
        <f t="shared" si="0"/>
        <v>0</v>
      </c>
      <c r="J10" s="147">
        <f t="shared" si="0"/>
        <v>0</v>
      </c>
      <c r="K10" s="147">
        <f t="shared" si="0"/>
        <v>0</v>
      </c>
      <c r="L10" s="147">
        <f t="shared" si="0"/>
        <v>0</v>
      </c>
      <c r="M10" s="147">
        <f t="shared" si="0"/>
        <v>0</v>
      </c>
      <c r="N10" s="147">
        <f t="shared" si="0"/>
        <v>0</v>
      </c>
      <c r="O10" s="147">
        <f t="shared" si="0"/>
        <v>0</v>
      </c>
      <c r="P10" s="147">
        <f t="shared" si="0"/>
        <v>0</v>
      </c>
      <c r="Q10" s="147">
        <f t="shared" si="0"/>
        <v>0</v>
      </c>
      <c r="R10" s="147">
        <f t="shared" si="0"/>
        <v>0</v>
      </c>
      <c r="S10" s="147">
        <f t="shared" si="0"/>
        <v>0</v>
      </c>
      <c r="T10" s="147">
        <f t="shared" si="0"/>
        <v>0</v>
      </c>
      <c r="U10" s="147">
        <f t="shared" si="0"/>
        <v>0</v>
      </c>
      <c r="V10" s="147">
        <f t="shared" si="0"/>
        <v>0</v>
      </c>
      <c r="W10" s="147">
        <f t="shared" si="0"/>
        <v>0</v>
      </c>
      <c r="X10" s="147">
        <f t="shared" si="0"/>
        <v>0</v>
      </c>
      <c r="Y10" s="147">
        <f t="shared" si="0"/>
        <v>0</v>
      </c>
      <c r="Z10" s="147">
        <f t="shared" si="0"/>
        <v>0</v>
      </c>
      <c r="AA10" s="147">
        <f t="shared" si="0"/>
        <v>0</v>
      </c>
      <c r="AB10" s="147">
        <f t="shared" si="0"/>
        <v>0</v>
      </c>
      <c r="AC10" s="147">
        <f t="shared" si="0"/>
        <v>0</v>
      </c>
      <c r="AD10" s="147">
        <f t="shared" si="0"/>
        <v>0</v>
      </c>
      <c r="AE10" s="147">
        <f t="shared" si="0"/>
        <v>0</v>
      </c>
      <c r="AF10" s="147">
        <f t="shared" si="0"/>
        <v>0</v>
      </c>
      <c r="AG10" s="147">
        <f t="shared" si="0"/>
        <v>0</v>
      </c>
      <c r="AH10" s="147">
        <f t="shared" si="0"/>
        <v>0</v>
      </c>
      <c r="AI10" s="147">
        <f t="shared" si="0"/>
        <v>0</v>
      </c>
      <c r="AJ10" s="147">
        <f t="shared" si="0"/>
        <v>0</v>
      </c>
      <c r="AK10" s="147">
        <f t="shared" si="0"/>
        <v>0</v>
      </c>
      <c r="AL10" s="147">
        <f t="shared" si="0"/>
        <v>0</v>
      </c>
      <c r="AM10" s="147">
        <f t="shared" si="0"/>
        <v>0</v>
      </c>
      <c r="AN10" s="147">
        <f t="shared" si="0"/>
        <v>0</v>
      </c>
      <c r="AO10" s="147">
        <f t="shared" si="0"/>
        <v>0</v>
      </c>
      <c r="AP10" s="147">
        <f t="shared" si="0"/>
        <v>0</v>
      </c>
      <c r="AQ10" s="147">
        <f t="shared" si="0"/>
        <v>0</v>
      </c>
      <c r="AR10" s="147">
        <f t="shared" si="0"/>
        <v>0</v>
      </c>
      <c r="AS10" s="147">
        <f t="shared" si="0"/>
        <v>0</v>
      </c>
      <c r="AT10" s="147">
        <f t="shared" si="0"/>
        <v>0</v>
      </c>
      <c r="AU10" s="147">
        <f t="shared" si="0"/>
        <v>0</v>
      </c>
      <c r="AV10" s="147">
        <f t="shared" si="0"/>
        <v>0</v>
      </c>
      <c r="AW10" s="147">
        <f t="shared" si="0"/>
        <v>0</v>
      </c>
      <c r="AX10" s="147">
        <f t="shared" si="0"/>
        <v>0</v>
      </c>
      <c r="AY10" s="147">
        <f t="shared" si="0"/>
        <v>0</v>
      </c>
      <c r="AZ10" s="154">
        <f>SUM($D10:$AY10)</f>
        <v>0</v>
      </c>
    </row>
    <row r="11" spans="1:52" x14ac:dyDescent="0.2">
      <c r="C11" s="114"/>
    </row>
    <row r="12" spans="1:52" x14ac:dyDescent="0.2">
      <c r="A12" s="155" t="s">
        <v>295</v>
      </c>
      <c r="B12" s="149"/>
      <c r="C12" s="114"/>
    </row>
    <row r="13" spans="1:52" x14ac:dyDescent="0.2">
      <c r="A13" s="125" t="s">
        <v>125</v>
      </c>
      <c r="B13" s="126">
        <v>1</v>
      </c>
      <c r="C13" s="127">
        <v>849.55112745979591</v>
      </c>
      <c r="D13" s="141">
        <f t="shared" ref="D13:AY13" si="1">D$7-D$10</f>
        <v>464.71229130770831</v>
      </c>
      <c r="E13" s="141">
        <f t="shared" si="1"/>
        <v>464.71229130770831</v>
      </c>
      <c r="F13" s="141">
        <f t="shared" si="1"/>
        <v>464.71229130770831</v>
      </c>
      <c r="G13" s="141">
        <f t="shared" si="1"/>
        <v>464.71229130770831</v>
      </c>
      <c r="H13" s="141">
        <f t="shared" si="1"/>
        <v>464.71229130770831</v>
      </c>
      <c r="I13" s="141">
        <f t="shared" si="1"/>
        <v>464.71229130770831</v>
      </c>
      <c r="J13" s="141">
        <f t="shared" si="1"/>
        <v>464.71229130770831</v>
      </c>
      <c r="K13" s="141">
        <f t="shared" si="1"/>
        <v>464.71229130770831</v>
      </c>
      <c r="L13" s="141">
        <f t="shared" si="1"/>
        <v>464.71229130770831</v>
      </c>
      <c r="M13" s="141">
        <f t="shared" si="1"/>
        <v>464.71229130770831</v>
      </c>
      <c r="N13" s="141">
        <f t="shared" si="1"/>
        <v>464.71229130770831</v>
      </c>
      <c r="O13" s="141">
        <f t="shared" si="1"/>
        <v>464.71229130770831</v>
      </c>
      <c r="P13" s="141">
        <f t="shared" si="1"/>
        <v>464.71229130770831</v>
      </c>
      <c r="Q13" s="141">
        <f t="shared" si="1"/>
        <v>464.71229130770831</v>
      </c>
      <c r="R13" s="141">
        <f t="shared" si="1"/>
        <v>464.71229130770831</v>
      </c>
      <c r="S13" s="141">
        <f t="shared" si="1"/>
        <v>464.71229130770831</v>
      </c>
      <c r="T13" s="141">
        <f t="shared" si="1"/>
        <v>464.71229130770831</v>
      </c>
      <c r="U13" s="141">
        <f t="shared" si="1"/>
        <v>464.71229130770831</v>
      </c>
      <c r="V13" s="141">
        <f t="shared" si="1"/>
        <v>464.71229130770831</v>
      </c>
      <c r="W13" s="141">
        <f t="shared" si="1"/>
        <v>464.71229130770831</v>
      </c>
      <c r="X13" s="141">
        <f t="shared" si="1"/>
        <v>464.71229130770831</v>
      </c>
      <c r="Y13" s="141">
        <f t="shared" si="1"/>
        <v>464.71229130770831</v>
      </c>
      <c r="Z13" s="141">
        <f t="shared" si="1"/>
        <v>464.71229130770831</v>
      </c>
      <c r="AA13" s="141">
        <f t="shared" si="1"/>
        <v>464.71229130770831</v>
      </c>
      <c r="AB13" s="141">
        <f t="shared" si="1"/>
        <v>464.71229130770831</v>
      </c>
      <c r="AC13" s="141">
        <f t="shared" si="1"/>
        <v>464.71229130770831</v>
      </c>
      <c r="AD13" s="141">
        <f t="shared" si="1"/>
        <v>464.71229130770831</v>
      </c>
      <c r="AE13" s="141">
        <f t="shared" si="1"/>
        <v>464.71229130770831</v>
      </c>
      <c r="AF13" s="141">
        <f t="shared" si="1"/>
        <v>464.71229130770831</v>
      </c>
      <c r="AG13" s="141">
        <f t="shared" si="1"/>
        <v>464.71229130770831</v>
      </c>
      <c r="AH13" s="141">
        <f t="shared" si="1"/>
        <v>464.71229130770831</v>
      </c>
      <c r="AI13" s="141">
        <f t="shared" si="1"/>
        <v>464.71229130770831</v>
      </c>
      <c r="AJ13" s="141">
        <f t="shared" si="1"/>
        <v>464.71229130770831</v>
      </c>
      <c r="AK13" s="141">
        <f t="shared" si="1"/>
        <v>464.71229130770831</v>
      </c>
      <c r="AL13" s="141">
        <f t="shared" si="1"/>
        <v>464.71229130770831</v>
      </c>
      <c r="AM13" s="141">
        <f t="shared" si="1"/>
        <v>464.71229130770831</v>
      </c>
      <c r="AN13" s="141">
        <f t="shared" si="1"/>
        <v>464.71229130770831</v>
      </c>
      <c r="AO13" s="141">
        <f t="shared" si="1"/>
        <v>464.71229130770831</v>
      </c>
      <c r="AP13" s="141">
        <f t="shared" si="1"/>
        <v>464.71229130770831</v>
      </c>
      <c r="AQ13" s="141">
        <f t="shared" si="1"/>
        <v>464.71229130770831</v>
      </c>
      <c r="AR13" s="141">
        <f t="shared" si="1"/>
        <v>464.71229130770831</v>
      </c>
      <c r="AS13" s="141">
        <f t="shared" si="1"/>
        <v>464.71229130770831</v>
      </c>
      <c r="AT13" s="141">
        <f t="shared" si="1"/>
        <v>464.71229130770831</v>
      </c>
      <c r="AU13" s="141">
        <f t="shared" si="1"/>
        <v>464.71229130770831</v>
      </c>
      <c r="AV13" s="141">
        <f t="shared" si="1"/>
        <v>464.71229130770831</v>
      </c>
      <c r="AW13" s="141">
        <f t="shared" si="1"/>
        <v>464.71229130770831</v>
      </c>
      <c r="AX13" s="141">
        <f t="shared" si="1"/>
        <v>464.71229130770831</v>
      </c>
      <c r="AY13" s="141">
        <f t="shared" si="1"/>
        <v>464.71229130770831</v>
      </c>
      <c r="AZ13" s="113"/>
    </row>
    <row r="14" spans="1:52" x14ac:dyDescent="0.2">
      <c r="A14" s="114"/>
      <c r="B14" s="123">
        <v>2</v>
      </c>
      <c r="C14" s="114">
        <v>0</v>
      </c>
      <c r="D14" s="110">
        <f>IF(C$20="Yes",C13,0)</f>
        <v>0</v>
      </c>
      <c r="E14" s="110">
        <f t="shared" ref="E14:AY17" si="2">IF(D$20="Yes",D13,0)</f>
        <v>0</v>
      </c>
      <c r="F14" s="110">
        <f t="shared" si="2"/>
        <v>0</v>
      </c>
      <c r="G14" s="110">
        <f t="shared" si="2"/>
        <v>0</v>
      </c>
      <c r="H14" s="110">
        <f t="shared" si="2"/>
        <v>0</v>
      </c>
      <c r="I14" s="110">
        <f t="shared" si="2"/>
        <v>0</v>
      </c>
      <c r="J14" s="110">
        <f t="shared" si="2"/>
        <v>0</v>
      </c>
      <c r="K14" s="110">
        <f t="shared" si="2"/>
        <v>0</v>
      </c>
      <c r="L14" s="110">
        <f t="shared" si="2"/>
        <v>0</v>
      </c>
      <c r="M14" s="110">
        <f t="shared" si="2"/>
        <v>0</v>
      </c>
      <c r="N14" s="110">
        <f t="shared" si="2"/>
        <v>0</v>
      </c>
      <c r="O14" s="110">
        <f t="shared" si="2"/>
        <v>0</v>
      </c>
      <c r="P14" s="110">
        <f t="shared" si="2"/>
        <v>0</v>
      </c>
      <c r="Q14" s="110">
        <f t="shared" si="2"/>
        <v>0</v>
      </c>
      <c r="R14" s="110">
        <f t="shared" si="2"/>
        <v>0</v>
      </c>
      <c r="S14" s="110">
        <f t="shared" si="2"/>
        <v>0</v>
      </c>
      <c r="T14" s="110">
        <f t="shared" si="2"/>
        <v>0</v>
      </c>
      <c r="U14" s="110">
        <f t="shared" si="2"/>
        <v>0</v>
      </c>
      <c r="V14" s="110">
        <f t="shared" si="2"/>
        <v>0</v>
      </c>
      <c r="W14" s="110">
        <f t="shared" si="2"/>
        <v>0</v>
      </c>
      <c r="X14" s="110">
        <f t="shared" si="2"/>
        <v>0</v>
      </c>
      <c r="Y14" s="110">
        <f t="shared" si="2"/>
        <v>464.71229130770831</v>
      </c>
      <c r="Z14" s="110">
        <f t="shared" si="2"/>
        <v>0</v>
      </c>
      <c r="AA14" s="110">
        <f t="shared" si="2"/>
        <v>0</v>
      </c>
      <c r="AB14" s="110">
        <f t="shared" si="2"/>
        <v>0</v>
      </c>
      <c r="AC14" s="110">
        <f t="shared" si="2"/>
        <v>0</v>
      </c>
      <c r="AD14" s="110">
        <f t="shared" si="2"/>
        <v>0</v>
      </c>
      <c r="AE14" s="110">
        <f t="shared" si="2"/>
        <v>464.71229130770831</v>
      </c>
      <c r="AF14" s="110">
        <f t="shared" si="2"/>
        <v>0</v>
      </c>
      <c r="AG14" s="110">
        <f t="shared" si="2"/>
        <v>0</v>
      </c>
      <c r="AH14" s="110">
        <f t="shared" si="2"/>
        <v>0</v>
      </c>
      <c r="AI14" s="110">
        <f t="shared" si="2"/>
        <v>0</v>
      </c>
      <c r="AJ14" s="110">
        <f t="shared" si="2"/>
        <v>0</v>
      </c>
      <c r="AK14" s="110">
        <f t="shared" si="2"/>
        <v>0</v>
      </c>
      <c r="AL14" s="110">
        <f t="shared" si="2"/>
        <v>0</v>
      </c>
      <c r="AM14" s="110">
        <f t="shared" si="2"/>
        <v>0</v>
      </c>
      <c r="AN14" s="110">
        <f t="shared" si="2"/>
        <v>0</v>
      </c>
      <c r="AO14" s="110">
        <f t="shared" si="2"/>
        <v>0</v>
      </c>
      <c r="AP14" s="110">
        <f t="shared" si="2"/>
        <v>0</v>
      </c>
      <c r="AQ14" s="110">
        <f t="shared" si="2"/>
        <v>0</v>
      </c>
      <c r="AR14" s="110">
        <f t="shared" si="2"/>
        <v>0</v>
      </c>
      <c r="AS14" s="110">
        <f t="shared" si="2"/>
        <v>0</v>
      </c>
      <c r="AT14" s="110">
        <f t="shared" si="2"/>
        <v>0</v>
      </c>
      <c r="AU14" s="110">
        <f t="shared" si="2"/>
        <v>0</v>
      </c>
      <c r="AV14" s="110">
        <f t="shared" si="2"/>
        <v>0</v>
      </c>
      <c r="AW14" s="110">
        <f t="shared" si="2"/>
        <v>0</v>
      </c>
      <c r="AX14" s="110">
        <f t="shared" si="2"/>
        <v>0</v>
      </c>
      <c r="AY14" s="110">
        <f t="shared" si="2"/>
        <v>0</v>
      </c>
      <c r="AZ14" s="113"/>
    </row>
    <row r="15" spans="1:52" x14ac:dyDescent="0.2">
      <c r="A15" s="114"/>
      <c r="B15" s="130">
        <v>3</v>
      </c>
      <c r="C15" s="114">
        <v>0</v>
      </c>
      <c r="D15" s="110">
        <f>IF(C$20="Yes",C14,0)</f>
        <v>0</v>
      </c>
      <c r="E15" s="110">
        <f t="shared" si="2"/>
        <v>0</v>
      </c>
      <c r="F15" s="110">
        <f t="shared" si="2"/>
        <v>0</v>
      </c>
      <c r="G15" s="110">
        <f t="shared" si="2"/>
        <v>0</v>
      </c>
      <c r="H15" s="110">
        <f t="shared" si="2"/>
        <v>0</v>
      </c>
      <c r="I15" s="110">
        <f t="shared" si="2"/>
        <v>0</v>
      </c>
      <c r="J15" s="110">
        <f t="shared" si="2"/>
        <v>0</v>
      </c>
      <c r="K15" s="110">
        <f t="shared" si="2"/>
        <v>0</v>
      </c>
      <c r="L15" s="110">
        <f t="shared" si="2"/>
        <v>0</v>
      </c>
      <c r="M15" s="110">
        <f t="shared" si="2"/>
        <v>0</v>
      </c>
      <c r="N15" s="110">
        <f t="shared" si="2"/>
        <v>0</v>
      </c>
      <c r="O15" s="110">
        <f t="shared" si="2"/>
        <v>0</v>
      </c>
      <c r="P15" s="110">
        <f t="shared" si="2"/>
        <v>0</v>
      </c>
      <c r="Q15" s="110">
        <f t="shared" si="2"/>
        <v>0</v>
      </c>
      <c r="R15" s="110">
        <f t="shared" si="2"/>
        <v>0</v>
      </c>
      <c r="S15" s="110">
        <f t="shared" si="2"/>
        <v>0</v>
      </c>
      <c r="T15" s="110">
        <f t="shared" si="2"/>
        <v>0</v>
      </c>
      <c r="U15" s="110">
        <f t="shared" si="2"/>
        <v>0</v>
      </c>
      <c r="V15" s="110">
        <f t="shared" si="2"/>
        <v>0</v>
      </c>
      <c r="W15" s="110">
        <f t="shared" si="2"/>
        <v>0</v>
      </c>
      <c r="X15" s="110">
        <f t="shared" si="2"/>
        <v>0</v>
      </c>
      <c r="Y15" s="110">
        <f t="shared" si="2"/>
        <v>0</v>
      </c>
      <c r="Z15" s="110">
        <f t="shared" si="2"/>
        <v>0</v>
      </c>
      <c r="AA15" s="110">
        <f t="shared" si="2"/>
        <v>0</v>
      </c>
      <c r="AB15" s="110">
        <f t="shared" si="2"/>
        <v>0</v>
      </c>
      <c r="AC15" s="110">
        <f t="shared" si="2"/>
        <v>0</v>
      </c>
      <c r="AD15" s="110">
        <f t="shared" si="2"/>
        <v>0</v>
      </c>
      <c r="AE15" s="110">
        <f t="shared" si="2"/>
        <v>0</v>
      </c>
      <c r="AF15" s="110">
        <f t="shared" si="2"/>
        <v>0</v>
      </c>
      <c r="AG15" s="110">
        <f t="shared" si="2"/>
        <v>0</v>
      </c>
      <c r="AH15" s="110">
        <f t="shared" si="2"/>
        <v>0</v>
      </c>
      <c r="AI15" s="110">
        <f t="shared" si="2"/>
        <v>0</v>
      </c>
      <c r="AJ15" s="110">
        <f t="shared" si="2"/>
        <v>0</v>
      </c>
      <c r="AK15" s="110">
        <f t="shared" si="2"/>
        <v>0</v>
      </c>
      <c r="AL15" s="110">
        <f t="shared" si="2"/>
        <v>0</v>
      </c>
      <c r="AM15" s="110">
        <f t="shared" si="2"/>
        <v>0</v>
      </c>
      <c r="AN15" s="110">
        <f t="shared" si="2"/>
        <v>0</v>
      </c>
      <c r="AO15" s="110">
        <f t="shared" si="2"/>
        <v>0</v>
      </c>
      <c r="AP15" s="110">
        <f t="shared" si="2"/>
        <v>0</v>
      </c>
      <c r="AQ15" s="110">
        <f t="shared" si="2"/>
        <v>0</v>
      </c>
      <c r="AR15" s="110">
        <f t="shared" si="2"/>
        <v>0</v>
      </c>
      <c r="AS15" s="110">
        <f t="shared" si="2"/>
        <v>0</v>
      </c>
      <c r="AT15" s="110">
        <f t="shared" si="2"/>
        <v>0</v>
      </c>
      <c r="AU15" s="110">
        <f t="shared" si="2"/>
        <v>0</v>
      </c>
      <c r="AV15" s="110">
        <f t="shared" si="2"/>
        <v>0</v>
      </c>
      <c r="AW15" s="110">
        <f t="shared" si="2"/>
        <v>0</v>
      </c>
      <c r="AX15" s="110">
        <f t="shared" si="2"/>
        <v>0</v>
      </c>
      <c r="AY15" s="110">
        <f t="shared" si="2"/>
        <v>0</v>
      </c>
      <c r="AZ15" s="113"/>
    </row>
    <row r="16" spans="1:52" x14ac:dyDescent="0.2">
      <c r="A16" s="114"/>
      <c r="B16" s="133">
        <v>4</v>
      </c>
      <c r="C16" s="114">
        <v>0</v>
      </c>
      <c r="D16" s="110">
        <f>IF(C$20="Yes",C15,0)</f>
        <v>0</v>
      </c>
      <c r="E16" s="110">
        <f t="shared" si="2"/>
        <v>0</v>
      </c>
      <c r="F16" s="110">
        <f t="shared" si="2"/>
        <v>0</v>
      </c>
      <c r="G16" s="110">
        <f t="shared" si="2"/>
        <v>0</v>
      </c>
      <c r="H16" s="110">
        <f t="shared" si="2"/>
        <v>0</v>
      </c>
      <c r="I16" s="110">
        <f t="shared" si="2"/>
        <v>0</v>
      </c>
      <c r="J16" s="110">
        <f t="shared" si="2"/>
        <v>0</v>
      </c>
      <c r="K16" s="110">
        <f t="shared" si="2"/>
        <v>0</v>
      </c>
      <c r="L16" s="110">
        <f t="shared" si="2"/>
        <v>0</v>
      </c>
      <c r="M16" s="110">
        <f t="shared" si="2"/>
        <v>0</v>
      </c>
      <c r="N16" s="110">
        <f t="shared" si="2"/>
        <v>0</v>
      </c>
      <c r="O16" s="110">
        <f t="shared" si="2"/>
        <v>0</v>
      </c>
      <c r="P16" s="110">
        <f t="shared" si="2"/>
        <v>0</v>
      </c>
      <c r="Q16" s="110">
        <f t="shared" si="2"/>
        <v>0</v>
      </c>
      <c r="R16" s="110">
        <f t="shared" si="2"/>
        <v>0</v>
      </c>
      <c r="S16" s="110">
        <f t="shared" si="2"/>
        <v>0</v>
      </c>
      <c r="T16" s="110">
        <f t="shared" si="2"/>
        <v>0</v>
      </c>
      <c r="U16" s="110">
        <f t="shared" si="2"/>
        <v>0</v>
      </c>
      <c r="V16" s="110">
        <f t="shared" si="2"/>
        <v>0</v>
      </c>
      <c r="W16" s="110">
        <f t="shared" si="2"/>
        <v>0</v>
      </c>
      <c r="X16" s="110">
        <f t="shared" si="2"/>
        <v>0</v>
      </c>
      <c r="Y16" s="110">
        <f t="shared" si="2"/>
        <v>0</v>
      </c>
      <c r="Z16" s="110">
        <f t="shared" si="2"/>
        <v>0</v>
      </c>
      <c r="AA16" s="110">
        <f t="shared" si="2"/>
        <v>0</v>
      </c>
      <c r="AB16" s="110">
        <f t="shared" si="2"/>
        <v>0</v>
      </c>
      <c r="AC16" s="110">
        <f t="shared" si="2"/>
        <v>0</v>
      </c>
      <c r="AD16" s="110">
        <f t="shared" si="2"/>
        <v>0</v>
      </c>
      <c r="AE16" s="110">
        <f t="shared" si="2"/>
        <v>0</v>
      </c>
      <c r="AF16" s="110">
        <f t="shared" si="2"/>
        <v>0</v>
      </c>
      <c r="AG16" s="110">
        <f t="shared" si="2"/>
        <v>0</v>
      </c>
      <c r="AH16" s="110">
        <f t="shared" si="2"/>
        <v>0</v>
      </c>
      <c r="AI16" s="110">
        <f t="shared" si="2"/>
        <v>0</v>
      </c>
      <c r="AJ16" s="110">
        <f t="shared" si="2"/>
        <v>0</v>
      </c>
      <c r="AK16" s="110">
        <f t="shared" si="2"/>
        <v>0</v>
      </c>
      <c r="AL16" s="110">
        <f t="shared" si="2"/>
        <v>0</v>
      </c>
      <c r="AM16" s="110">
        <f t="shared" si="2"/>
        <v>0</v>
      </c>
      <c r="AN16" s="110">
        <f t="shared" si="2"/>
        <v>0</v>
      </c>
      <c r="AO16" s="110">
        <f t="shared" si="2"/>
        <v>0</v>
      </c>
      <c r="AP16" s="110">
        <f t="shared" si="2"/>
        <v>0</v>
      </c>
      <c r="AQ16" s="110">
        <f t="shared" si="2"/>
        <v>0</v>
      </c>
      <c r="AR16" s="110">
        <f t="shared" si="2"/>
        <v>0</v>
      </c>
      <c r="AS16" s="110">
        <f t="shared" si="2"/>
        <v>0</v>
      </c>
      <c r="AT16" s="110">
        <f t="shared" si="2"/>
        <v>0</v>
      </c>
      <c r="AU16" s="110">
        <f t="shared" si="2"/>
        <v>0</v>
      </c>
      <c r="AV16" s="110">
        <f t="shared" si="2"/>
        <v>0</v>
      </c>
      <c r="AW16" s="110">
        <f t="shared" si="2"/>
        <v>0</v>
      </c>
      <c r="AX16" s="110">
        <f t="shared" si="2"/>
        <v>0</v>
      </c>
      <c r="AY16" s="110">
        <f t="shared" si="2"/>
        <v>0</v>
      </c>
      <c r="AZ16" s="131"/>
    </row>
    <row r="17" spans="1:52" x14ac:dyDescent="0.2">
      <c r="A17" s="128"/>
      <c r="B17" s="135" t="s">
        <v>296</v>
      </c>
      <c r="C17" s="128">
        <v>0</v>
      </c>
      <c r="D17" s="117">
        <f>IF(C$20="Yes",C16,0)</f>
        <v>0</v>
      </c>
      <c r="E17" s="117">
        <f t="shared" si="2"/>
        <v>0</v>
      </c>
      <c r="F17" s="117">
        <f t="shared" si="2"/>
        <v>0</v>
      </c>
      <c r="G17" s="117">
        <f t="shared" si="2"/>
        <v>0</v>
      </c>
      <c r="H17" s="117">
        <f t="shared" si="2"/>
        <v>0</v>
      </c>
      <c r="I17" s="117">
        <f t="shared" si="2"/>
        <v>0</v>
      </c>
      <c r="J17" s="117">
        <f t="shared" si="2"/>
        <v>0</v>
      </c>
      <c r="K17" s="117">
        <f t="shared" si="2"/>
        <v>0</v>
      </c>
      <c r="L17" s="117">
        <f t="shared" si="2"/>
        <v>0</v>
      </c>
      <c r="M17" s="117">
        <f t="shared" si="2"/>
        <v>0</v>
      </c>
      <c r="N17" s="117">
        <f t="shared" si="2"/>
        <v>0</v>
      </c>
      <c r="O17" s="117">
        <f t="shared" si="2"/>
        <v>0</v>
      </c>
      <c r="P17" s="117">
        <f t="shared" si="2"/>
        <v>0</v>
      </c>
      <c r="Q17" s="117">
        <f t="shared" si="2"/>
        <v>0</v>
      </c>
      <c r="R17" s="117">
        <f t="shared" si="2"/>
        <v>0</v>
      </c>
      <c r="S17" s="117">
        <f t="shared" si="2"/>
        <v>0</v>
      </c>
      <c r="T17" s="117">
        <f t="shared" si="2"/>
        <v>0</v>
      </c>
      <c r="U17" s="117">
        <f t="shared" si="2"/>
        <v>0</v>
      </c>
      <c r="V17" s="117">
        <f t="shared" si="2"/>
        <v>0</v>
      </c>
      <c r="W17" s="117">
        <f t="shared" si="2"/>
        <v>0</v>
      </c>
      <c r="X17" s="117">
        <f t="shared" si="2"/>
        <v>0</v>
      </c>
      <c r="Y17" s="117">
        <f t="shared" si="2"/>
        <v>0</v>
      </c>
      <c r="Z17" s="117">
        <f t="shared" si="2"/>
        <v>0</v>
      </c>
      <c r="AA17" s="117">
        <f t="shared" si="2"/>
        <v>0</v>
      </c>
      <c r="AB17" s="117">
        <f t="shared" si="2"/>
        <v>0</v>
      </c>
      <c r="AC17" s="117">
        <f t="shared" si="2"/>
        <v>0</v>
      </c>
      <c r="AD17" s="117">
        <f t="shared" si="2"/>
        <v>0</v>
      </c>
      <c r="AE17" s="117">
        <f t="shared" si="2"/>
        <v>0</v>
      </c>
      <c r="AF17" s="117">
        <f t="shared" si="2"/>
        <v>0</v>
      </c>
      <c r="AG17" s="117">
        <f t="shared" si="2"/>
        <v>0</v>
      </c>
      <c r="AH17" s="117">
        <f t="shared" si="2"/>
        <v>0</v>
      </c>
      <c r="AI17" s="117">
        <f t="shared" si="2"/>
        <v>0</v>
      </c>
      <c r="AJ17" s="117">
        <f t="shared" si="2"/>
        <v>0</v>
      </c>
      <c r="AK17" s="117">
        <f t="shared" si="2"/>
        <v>0</v>
      </c>
      <c r="AL17" s="117">
        <f t="shared" si="2"/>
        <v>0</v>
      </c>
      <c r="AM17" s="117">
        <f t="shared" si="2"/>
        <v>0</v>
      </c>
      <c r="AN17" s="117">
        <f t="shared" si="2"/>
        <v>0</v>
      </c>
      <c r="AO17" s="117">
        <f t="shared" si="2"/>
        <v>0</v>
      </c>
      <c r="AP17" s="117">
        <f t="shared" si="2"/>
        <v>0</v>
      </c>
      <c r="AQ17" s="117">
        <f t="shared" si="2"/>
        <v>0</v>
      </c>
      <c r="AR17" s="117">
        <f t="shared" si="2"/>
        <v>0</v>
      </c>
      <c r="AS17" s="117">
        <f t="shared" si="2"/>
        <v>0</v>
      </c>
      <c r="AT17" s="117">
        <f t="shared" si="2"/>
        <v>0</v>
      </c>
      <c r="AU17" s="117">
        <f t="shared" si="2"/>
        <v>0</v>
      </c>
      <c r="AV17" s="117">
        <f t="shared" si="2"/>
        <v>0</v>
      </c>
      <c r="AW17" s="117">
        <f t="shared" si="2"/>
        <v>0</v>
      </c>
      <c r="AX17" s="117">
        <f t="shared" si="2"/>
        <v>0</v>
      </c>
      <c r="AY17" s="117">
        <f t="shared" si="2"/>
        <v>0</v>
      </c>
      <c r="AZ17" s="154">
        <f>SUM($D$17:$AY$17)</f>
        <v>0</v>
      </c>
    </row>
    <row r="18" spans="1:52" x14ac:dyDescent="0.2">
      <c r="A18" s="110"/>
      <c r="B18" s="156"/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1"/>
      <c r="AX18" s="141"/>
      <c r="AY18" s="141"/>
      <c r="AZ18" s="110"/>
    </row>
    <row r="19" spans="1:52" x14ac:dyDescent="0.2">
      <c r="A19" s="1" t="s">
        <v>116</v>
      </c>
      <c r="B19" s="110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</row>
    <row r="20" spans="1:52" s="114" customFormat="1" x14ac:dyDescent="0.2">
      <c r="A20" s="118" t="s">
        <v>305</v>
      </c>
      <c r="B20" s="157" t="s">
        <v>306</v>
      </c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0"/>
      <c r="T20" s="120"/>
      <c r="U20" s="120"/>
      <c r="V20" s="120"/>
      <c r="W20" s="120"/>
      <c r="X20" s="120" t="s">
        <v>339</v>
      </c>
      <c r="Y20" s="120"/>
      <c r="Z20" s="120"/>
      <c r="AA20" s="120"/>
      <c r="AB20" s="120"/>
      <c r="AC20" s="120"/>
      <c r="AD20" s="120" t="s">
        <v>339</v>
      </c>
      <c r="AE20" s="120"/>
      <c r="AF20" s="120"/>
      <c r="AG20" s="120"/>
      <c r="AH20" s="120"/>
      <c r="AI20" s="120"/>
      <c r="AJ20" s="120"/>
      <c r="AK20" s="120"/>
      <c r="AL20" s="120"/>
      <c r="AM20" s="120"/>
      <c r="AN20" s="120"/>
      <c r="AO20" s="120"/>
      <c r="AP20" s="120"/>
      <c r="AQ20" s="120"/>
      <c r="AR20" s="120"/>
      <c r="AS20" s="120"/>
      <c r="AT20" s="120"/>
      <c r="AU20" s="120"/>
      <c r="AV20" s="120"/>
      <c r="AW20" s="120"/>
      <c r="AX20" s="120"/>
      <c r="AY20" s="120"/>
      <c r="AZ20" s="111"/>
    </row>
    <row r="21" spans="1:52" s="114" customFormat="1" x14ac:dyDescent="0.2">
      <c r="A21" s="158" t="s">
        <v>133</v>
      </c>
      <c r="B21" s="159">
        <f>shipping_manufacturing!$G$19/100</f>
        <v>0.25</v>
      </c>
      <c r="C21" s="159" t="s">
        <v>293</v>
      </c>
      <c r="D21" s="110">
        <f>IF(C$20="Yes",0,SUM(C$13:C$16)*$B$21)</f>
        <v>212.38778186494898</v>
      </c>
      <c r="E21" s="110">
        <f t="shared" ref="E21:AY21" si="3">IF(D$20="Yes",0,SUM(D$13:D$16)*$B$21)</f>
        <v>116.17807282692708</v>
      </c>
      <c r="F21" s="110">
        <f t="shared" si="3"/>
        <v>116.17807282692708</v>
      </c>
      <c r="G21" s="110">
        <f t="shared" si="3"/>
        <v>116.17807282692708</v>
      </c>
      <c r="H21" s="110">
        <f t="shared" si="3"/>
        <v>116.17807282692708</v>
      </c>
      <c r="I21" s="110">
        <f t="shared" si="3"/>
        <v>116.17807282692708</v>
      </c>
      <c r="J21" s="110">
        <f t="shared" si="3"/>
        <v>116.17807282692708</v>
      </c>
      <c r="K21" s="110">
        <f t="shared" si="3"/>
        <v>116.17807282692708</v>
      </c>
      <c r="L21" s="110">
        <f t="shared" si="3"/>
        <v>116.17807282692708</v>
      </c>
      <c r="M21" s="110">
        <f t="shared" si="3"/>
        <v>116.17807282692708</v>
      </c>
      <c r="N21" s="110">
        <f t="shared" si="3"/>
        <v>116.17807282692708</v>
      </c>
      <c r="O21" s="110">
        <f t="shared" si="3"/>
        <v>116.17807282692708</v>
      </c>
      <c r="P21" s="110">
        <f t="shared" si="3"/>
        <v>116.17807282692708</v>
      </c>
      <c r="Q21" s="110">
        <f t="shared" si="3"/>
        <v>116.17807282692708</v>
      </c>
      <c r="R21" s="110">
        <f t="shared" si="3"/>
        <v>116.17807282692708</v>
      </c>
      <c r="S21" s="110">
        <f t="shared" si="3"/>
        <v>116.17807282692708</v>
      </c>
      <c r="T21" s="110">
        <f t="shared" si="3"/>
        <v>116.17807282692708</v>
      </c>
      <c r="U21" s="110">
        <f t="shared" si="3"/>
        <v>116.17807282692708</v>
      </c>
      <c r="V21" s="110">
        <f t="shared" si="3"/>
        <v>116.17807282692708</v>
      </c>
      <c r="W21" s="110">
        <f t="shared" si="3"/>
        <v>116.17807282692708</v>
      </c>
      <c r="X21" s="110">
        <f t="shared" si="3"/>
        <v>116.17807282692708</v>
      </c>
      <c r="Y21" s="110">
        <f t="shared" si="3"/>
        <v>0</v>
      </c>
      <c r="Z21" s="110">
        <f t="shared" si="3"/>
        <v>232.35614565385416</v>
      </c>
      <c r="AA21" s="110">
        <f t="shared" si="3"/>
        <v>116.17807282692708</v>
      </c>
      <c r="AB21" s="110">
        <f t="shared" si="3"/>
        <v>116.17807282692708</v>
      </c>
      <c r="AC21" s="110">
        <f t="shared" si="3"/>
        <v>116.17807282692708</v>
      </c>
      <c r="AD21" s="110">
        <f t="shared" si="3"/>
        <v>116.17807282692708</v>
      </c>
      <c r="AE21" s="110">
        <f t="shared" si="3"/>
        <v>0</v>
      </c>
      <c r="AF21" s="110">
        <f t="shared" si="3"/>
        <v>232.35614565385416</v>
      </c>
      <c r="AG21" s="110">
        <f t="shared" si="3"/>
        <v>116.17807282692708</v>
      </c>
      <c r="AH21" s="110">
        <f t="shared" si="3"/>
        <v>116.17807282692708</v>
      </c>
      <c r="AI21" s="110">
        <f t="shared" si="3"/>
        <v>116.17807282692708</v>
      </c>
      <c r="AJ21" s="110">
        <f t="shared" si="3"/>
        <v>116.17807282692708</v>
      </c>
      <c r="AK21" s="110">
        <f t="shared" si="3"/>
        <v>116.17807282692708</v>
      </c>
      <c r="AL21" s="110">
        <f t="shared" si="3"/>
        <v>116.17807282692708</v>
      </c>
      <c r="AM21" s="110">
        <f t="shared" si="3"/>
        <v>116.17807282692708</v>
      </c>
      <c r="AN21" s="110">
        <f t="shared" si="3"/>
        <v>116.17807282692708</v>
      </c>
      <c r="AO21" s="110">
        <f t="shared" si="3"/>
        <v>116.17807282692708</v>
      </c>
      <c r="AP21" s="110">
        <f t="shared" si="3"/>
        <v>116.17807282692708</v>
      </c>
      <c r="AQ21" s="110">
        <f t="shared" si="3"/>
        <v>116.17807282692708</v>
      </c>
      <c r="AR21" s="110">
        <f t="shared" si="3"/>
        <v>116.17807282692708</v>
      </c>
      <c r="AS21" s="110">
        <f t="shared" si="3"/>
        <v>116.17807282692708</v>
      </c>
      <c r="AT21" s="110">
        <f t="shared" si="3"/>
        <v>116.17807282692708</v>
      </c>
      <c r="AU21" s="110">
        <f t="shared" si="3"/>
        <v>116.17807282692708</v>
      </c>
      <c r="AV21" s="110">
        <f t="shared" si="3"/>
        <v>116.17807282692708</v>
      </c>
      <c r="AW21" s="110">
        <f t="shared" si="3"/>
        <v>116.17807282692708</v>
      </c>
      <c r="AX21" s="110">
        <f t="shared" si="3"/>
        <v>116.17807282692708</v>
      </c>
      <c r="AY21" s="110">
        <f t="shared" si="3"/>
        <v>116.17807282692708</v>
      </c>
      <c r="AZ21" s="160">
        <f>SUM($D21:$AY21)</f>
        <v>5672.7572047305212</v>
      </c>
    </row>
    <row r="22" spans="1:52" s="114" customFormat="1" x14ac:dyDescent="0.2">
      <c r="A22" s="161" t="s">
        <v>123</v>
      </c>
      <c r="B22" s="162">
        <f>1-$B$21</f>
        <v>0.75</v>
      </c>
      <c r="C22" s="162" t="s">
        <v>293</v>
      </c>
      <c r="D22" s="117">
        <f>IF(C$20="Yes",0,SUM(C$13:C$16)*$B$22)</f>
        <v>637.16334559484699</v>
      </c>
      <c r="E22" s="117">
        <f t="shared" ref="E22:AY22" si="4">IF(D$20="Yes",0,SUM(D$13:D$16)*$B$22)</f>
        <v>348.53421848078125</v>
      </c>
      <c r="F22" s="117">
        <f t="shared" si="4"/>
        <v>348.53421848078125</v>
      </c>
      <c r="G22" s="117">
        <f t="shared" si="4"/>
        <v>348.53421848078125</v>
      </c>
      <c r="H22" s="117">
        <f t="shared" si="4"/>
        <v>348.53421848078125</v>
      </c>
      <c r="I22" s="117">
        <f t="shared" si="4"/>
        <v>348.53421848078125</v>
      </c>
      <c r="J22" s="117">
        <f t="shared" si="4"/>
        <v>348.53421848078125</v>
      </c>
      <c r="K22" s="117">
        <f t="shared" si="4"/>
        <v>348.53421848078125</v>
      </c>
      <c r="L22" s="117">
        <f t="shared" si="4"/>
        <v>348.53421848078125</v>
      </c>
      <c r="M22" s="117">
        <f t="shared" si="4"/>
        <v>348.53421848078125</v>
      </c>
      <c r="N22" s="117">
        <f t="shared" si="4"/>
        <v>348.53421848078125</v>
      </c>
      <c r="O22" s="117">
        <f t="shared" si="4"/>
        <v>348.53421848078125</v>
      </c>
      <c r="P22" s="117">
        <f t="shared" si="4"/>
        <v>348.53421848078125</v>
      </c>
      <c r="Q22" s="117">
        <f t="shared" si="4"/>
        <v>348.53421848078125</v>
      </c>
      <c r="R22" s="117">
        <f t="shared" si="4"/>
        <v>348.53421848078125</v>
      </c>
      <c r="S22" s="117">
        <f t="shared" si="4"/>
        <v>348.53421848078125</v>
      </c>
      <c r="T22" s="117">
        <f t="shared" si="4"/>
        <v>348.53421848078125</v>
      </c>
      <c r="U22" s="117">
        <f t="shared" si="4"/>
        <v>348.53421848078125</v>
      </c>
      <c r="V22" s="117">
        <f t="shared" si="4"/>
        <v>348.53421848078125</v>
      </c>
      <c r="W22" s="117">
        <f t="shared" si="4"/>
        <v>348.53421848078125</v>
      </c>
      <c r="X22" s="117">
        <f t="shared" si="4"/>
        <v>348.53421848078125</v>
      </c>
      <c r="Y22" s="117">
        <f t="shared" si="4"/>
        <v>0</v>
      </c>
      <c r="Z22" s="117">
        <f t="shared" si="4"/>
        <v>697.0684369615625</v>
      </c>
      <c r="AA22" s="117">
        <f t="shared" si="4"/>
        <v>348.53421848078125</v>
      </c>
      <c r="AB22" s="117">
        <f t="shared" si="4"/>
        <v>348.53421848078125</v>
      </c>
      <c r="AC22" s="117">
        <f t="shared" si="4"/>
        <v>348.53421848078125</v>
      </c>
      <c r="AD22" s="117">
        <f t="shared" si="4"/>
        <v>348.53421848078125</v>
      </c>
      <c r="AE22" s="117">
        <f t="shared" si="4"/>
        <v>0</v>
      </c>
      <c r="AF22" s="117">
        <f t="shared" si="4"/>
        <v>697.0684369615625</v>
      </c>
      <c r="AG22" s="117">
        <f t="shared" si="4"/>
        <v>348.53421848078125</v>
      </c>
      <c r="AH22" s="117">
        <f t="shared" si="4"/>
        <v>348.53421848078125</v>
      </c>
      <c r="AI22" s="117">
        <f t="shared" si="4"/>
        <v>348.53421848078125</v>
      </c>
      <c r="AJ22" s="117">
        <f t="shared" si="4"/>
        <v>348.53421848078125</v>
      </c>
      <c r="AK22" s="117">
        <f t="shared" si="4"/>
        <v>348.53421848078125</v>
      </c>
      <c r="AL22" s="117">
        <f t="shared" si="4"/>
        <v>348.53421848078125</v>
      </c>
      <c r="AM22" s="117">
        <f t="shared" si="4"/>
        <v>348.53421848078125</v>
      </c>
      <c r="AN22" s="117">
        <f t="shared" si="4"/>
        <v>348.53421848078125</v>
      </c>
      <c r="AO22" s="117">
        <f t="shared" si="4"/>
        <v>348.53421848078125</v>
      </c>
      <c r="AP22" s="117">
        <f t="shared" si="4"/>
        <v>348.53421848078125</v>
      </c>
      <c r="AQ22" s="117">
        <f t="shared" si="4"/>
        <v>348.53421848078125</v>
      </c>
      <c r="AR22" s="117">
        <f t="shared" si="4"/>
        <v>348.53421848078125</v>
      </c>
      <c r="AS22" s="117">
        <f t="shared" si="4"/>
        <v>348.53421848078125</v>
      </c>
      <c r="AT22" s="117">
        <f t="shared" si="4"/>
        <v>348.53421848078125</v>
      </c>
      <c r="AU22" s="117">
        <f t="shared" si="4"/>
        <v>348.53421848078125</v>
      </c>
      <c r="AV22" s="117">
        <f t="shared" si="4"/>
        <v>348.53421848078125</v>
      </c>
      <c r="AW22" s="117">
        <f t="shared" si="4"/>
        <v>348.53421848078125</v>
      </c>
      <c r="AX22" s="117">
        <f t="shared" si="4"/>
        <v>348.53421848078125</v>
      </c>
      <c r="AY22" s="117">
        <f t="shared" si="4"/>
        <v>348.53421848078125</v>
      </c>
      <c r="AZ22" s="144">
        <f t="shared" ref="AZ22:AZ30" si="5">SUM($D22:$AY22)</f>
        <v>17018.27161419157</v>
      </c>
    </row>
    <row r="23" spans="1:52" x14ac:dyDescent="0.2">
      <c r="A23" s="163" t="s">
        <v>307</v>
      </c>
      <c r="B23" s="127">
        <v>2000</v>
      </c>
      <c r="C23" t="s">
        <v>293</v>
      </c>
      <c r="D23">
        <f>D$21*$B$23</f>
        <v>424775.56372989796</v>
      </c>
      <c r="E23">
        <f t="shared" ref="E23:AY23" si="6">E$21*$B$23</f>
        <v>232356.14565385415</v>
      </c>
      <c r="F23">
        <f t="shared" si="6"/>
        <v>232356.14565385415</v>
      </c>
      <c r="G23">
        <f t="shared" si="6"/>
        <v>232356.14565385415</v>
      </c>
      <c r="H23">
        <f t="shared" si="6"/>
        <v>232356.14565385415</v>
      </c>
      <c r="I23">
        <f t="shared" si="6"/>
        <v>232356.14565385415</v>
      </c>
      <c r="J23">
        <f t="shared" si="6"/>
        <v>232356.14565385415</v>
      </c>
      <c r="K23">
        <f t="shared" si="6"/>
        <v>232356.14565385415</v>
      </c>
      <c r="L23">
        <f t="shared" si="6"/>
        <v>232356.14565385415</v>
      </c>
      <c r="M23">
        <f t="shared" si="6"/>
        <v>232356.14565385415</v>
      </c>
      <c r="N23">
        <f t="shared" si="6"/>
        <v>232356.14565385415</v>
      </c>
      <c r="O23">
        <f t="shared" si="6"/>
        <v>232356.14565385415</v>
      </c>
      <c r="P23">
        <f t="shared" si="6"/>
        <v>232356.14565385415</v>
      </c>
      <c r="Q23">
        <f t="shared" si="6"/>
        <v>232356.14565385415</v>
      </c>
      <c r="R23">
        <f t="shared" si="6"/>
        <v>232356.14565385415</v>
      </c>
      <c r="S23">
        <f t="shared" si="6"/>
        <v>232356.14565385415</v>
      </c>
      <c r="T23">
        <f t="shared" si="6"/>
        <v>232356.14565385415</v>
      </c>
      <c r="U23">
        <f t="shared" si="6"/>
        <v>232356.14565385415</v>
      </c>
      <c r="V23">
        <f t="shared" si="6"/>
        <v>232356.14565385415</v>
      </c>
      <c r="W23">
        <f t="shared" si="6"/>
        <v>232356.14565385415</v>
      </c>
      <c r="X23">
        <f t="shared" si="6"/>
        <v>232356.14565385415</v>
      </c>
      <c r="Y23">
        <f t="shared" si="6"/>
        <v>0</v>
      </c>
      <c r="Z23">
        <f t="shared" si="6"/>
        <v>464712.29130770831</v>
      </c>
      <c r="AA23">
        <f t="shared" si="6"/>
        <v>232356.14565385415</v>
      </c>
      <c r="AB23">
        <f t="shared" si="6"/>
        <v>232356.14565385415</v>
      </c>
      <c r="AC23">
        <f t="shared" si="6"/>
        <v>232356.14565385415</v>
      </c>
      <c r="AD23">
        <f t="shared" si="6"/>
        <v>232356.14565385415</v>
      </c>
      <c r="AE23">
        <f t="shared" si="6"/>
        <v>0</v>
      </c>
      <c r="AF23">
        <f t="shared" si="6"/>
        <v>464712.29130770831</v>
      </c>
      <c r="AG23">
        <f t="shared" si="6"/>
        <v>232356.14565385415</v>
      </c>
      <c r="AH23">
        <f t="shared" si="6"/>
        <v>232356.14565385415</v>
      </c>
      <c r="AI23">
        <f t="shared" si="6"/>
        <v>232356.14565385415</v>
      </c>
      <c r="AJ23">
        <f t="shared" si="6"/>
        <v>232356.14565385415</v>
      </c>
      <c r="AK23">
        <f t="shared" si="6"/>
        <v>232356.14565385415</v>
      </c>
      <c r="AL23">
        <f t="shared" si="6"/>
        <v>232356.14565385415</v>
      </c>
      <c r="AM23">
        <f t="shared" si="6"/>
        <v>232356.14565385415</v>
      </c>
      <c r="AN23">
        <f t="shared" si="6"/>
        <v>232356.14565385415</v>
      </c>
      <c r="AO23">
        <f t="shared" si="6"/>
        <v>232356.14565385415</v>
      </c>
      <c r="AP23">
        <f t="shared" si="6"/>
        <v>232356.14565385415</v>
      </c>
      <c r="AQ23">
        <f t="shared" si="6"/>
        <v>232356.14565385415</v>
      </c>
      <c r="AR23">
        <f t="shared" si="6"/>
        <v>232356.14565385415</v>
      </c>
      <c r="AS23">
        <f t="shared" si="6"/>
        <v>232356.14565385415</v>
      </c>
      <c r="AT23">
        <f t="shared" si="6"/>
        <v>232356.14565385415</v>
      </c>
      <c r="AU23">
        <f t="shared" si="6"/>
        <v>232356.14565385415</v>
      </c>
      <c r="AV23">
        <f t="shared" si="6"/>
        <v>232356.14565385415</v>
      </c>
      <c r="AW23">
        <f t="shared" si="6"/>
        <v>232356.14565385415</v>
      </c>
      <c r="AX23">
        <f t="shared" si="6"/>
        <v>232356.14565385415</v>
      </c>
      <c r="AY23">
        <f t="shared" si="6"/>
        <v>232356.14565385415</v>
      </c>
      <c r="AZ23" s="142">
        <f t="shared" si="5"/>
        <v>11345514.409461053</v>
      </c>
    </row>
    <row r="24" spans="1:52" s="114" customFormat="1" x14ac:dyDescent="0.2">
      <c r="A24" s="164" t="s">
        <v>308</v>
      </c>
      <c r="B24" s="165">
        <v>1000</v>
      </c>
      <c r="C24" s="159" t="s">
        <v>293</v>
      </c>
      <c r="D24" s="110">
        <f>D$22*$B$24</f>
        <v>637163.34559484699</v>
      </c>
      <c r="E24" s="110">
        <f t="shared" ref="E24:AY24" si="7">E$22*$B$24</f>
        <v>348534.21848078124</v>
      </c>
      <c r="F24" s="110">
        <f t="shared" si="7"/>
        <v>348534.21848078124</v>
      </c>
      <c r="G24" s="110">
        <f t="shared" si="7"/>
        <v>348534.21848078124</v>
      </c>
      <c r="H24" s="110">
        <f t="shared" si="7"/>
        <v>348534.21848078124</v>
      </c>
      <c r="I24" s="110">
        <f t="shared" si="7"/>
        <v>348534.21848078124</v>
      </c>
      <c r="J24" s="110">
        <f t="shared" si="7"/>
        <v>348534.21848078124</v>
      </c>
      <c r="K24" s="110">
        <f t="shared" si="7"/>
        <v>348534.21848078124</v>
      </c>
      <c r="L24" s="110">
        <f t="shared" si="7"/>
        <v>348534.21848078124</v>
      </c>
      <c r="M24" s="110">
        <f t="shared" si="7"/>
        <v>348534.21848078124</v>
      </c>
      <c r="N24" s="110">
        <f t="shared" si="7"/>
        <v>348534.21848078124</v>
      </c>
      <c r="O24" s="110">
        <f t="shared" si="7"/>
        <v>348534.21848078124</v>
      </c>
      <c r="P24" s="110">
        <f t="shared" si="7"/>
        <v>348534.21848078124</v>
      </c>
      <c r="Q24" s="110">
        <f t="shared" si="7"/>
        <v>348534.21848078124</v>
      </c>
      <c r="R24" s="110">
        <f t="shared" si="7"/>
        <v>348534.21848078124</v>
      </c>
      <c r="S24" s="110">
        <f t="shared" si="7"/>
        <v>348534.21848078124</v>
      </c>
      <c r="T24" s="110">
        <f t="shared" si="7"/>
        <v>348534.21848078124</v>
      </c>
      <c r="U24" s="110">
        <f t="shared" si="7"/>
        <v>348534.21848078124</v>
      </c>
      <c r="V24" s="110">
        <f t="shared" si="7"/>
        <v>348534.21848078124</v>
      </c>
      <c r="W24" s="110">
        <f t="shared" si="7"/>
        <v>348534.21848078124</v>
      </c>
      <c r="X24" s="110">
        <f t="shared" si="7"/>
        <v>348534.21848078124</v>
      </c>
      <c r="Y24" s="110">
        <f t="shared" si="7"/>
        <v>0</v>
      </c>
      <c r="Z24" s="110">
        <f t="shared" si="7"/>
        <v>697068.43696156249</v>
      </c>
      <c r="AA24" s="110">
        <f t="shared" si="7"/>
        <v>348534.21848078124</v>
      </c>
      <c r="AB24" s="110">
        <f t="shared" si="7"/>
        <v>348534.21848078124</v>
      </c>
      <c r="AC24" s="110">
        <f t="shared" si="7"/>
        <v>348534.21848078124</v>
      </c>
      <c r="AD24" s="110">
        <f t="shared" si="7"/>
        <v>348534.21848078124</v>
      </c>
      <c r="AE24" s="110">
        <f t="shared" si="7"/>
        <v>0</v>
      </c>
      <c r="AF24" s="110">
        <f t="shared" si="7"/>
        <v>697068.43696156249</v>
      </c>
      <c r="AG24" s="110">
        <f t="shared" si="7"/>
        <v>348534.21848078124</v>
      </c>
      <c r="AH24" s="110">
        <f t="shared" si="7"/>
        <v>348534.21848078124</v>
      </c>
      <c r="AI24" s="110">
        <f t="shared" si="7"/>
        <v>348534.21848078124</v>
      </c>
      <c r="AJ24" s="110">
        <f t="shared" si="7"/>
        <v>348534.21848078124</v>
      </c>
      <c r="AK24" s="110">
        <f t="shared" si="7"/>
        <v>348534.21848078124</v>
      </c>
      <c r="AL24" s="110">
        <f t="shared" si="7"/>
        <v>348534.21848078124</v>
      </c>
      <c r="AM24" s="110">
        <f t="shared" si="7"/>
        <v>348534.21848078124</v>
      </c>
      <c r="AN24" s="110">
        <f t="shared" si="7"/>
        <v>348534.21848078124</v>
      </c>
      <c r="AO24" s="110">
        <f t="shared" si="7"/>
        <v>348534.21848078124</v>
      </c>
      <c r="AP24" s="110">
        <f t="shared" si="7"/>
        <v>348534.21848078124</v>
      </c>
      <c r="AQ24" s="110">
        <f t="shared" si="7"/>
        <v>348534.21848078124</v>
      </c>
      <c r="AR24" s="110">
        <f t="shared" si="7"/>
        <v>348534.21848078124</v>
      </c>
      <c r="AS24" s="110">
        <f t="shared" si="7"/>
        <v>348534.21848078124</v>
      </c>
      <c r="AT24" s="110">
        <f t="shared" si="7"/>
        <v>348534.21848078124</v>
      </c>
      <c r="AU24" s="110">
        <f t="shared" si="7"/>
        <v>348534.21848078124</v>
      </c>
      <c r="AV24" s="110">
        <f t="shared" si="7"/>
        <v>348534.21848078124</v>
      </c>
      <c r="AW24" s="110">
        <f t="shared" si="7"/>
        <v>348534.21848078124</v>
      </c>
      <c r="AX24" s="110">
        <f t="shared" si="7"/>
        <v>348534.21848078124</v>
      </c>
      <c r="AY24" s="110">
        <f t="shared" si="7"/>
        <v>348534.21848078124</v>
      </c>
      <c r="AZ24" s="144">
        <f t="shared" si="5"/>
        <v>17018271.614191558</v>
      </c>
    </row>
    <row r="25" spans="1:52" x14ac:dyDescent="0.2"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  <c r="AH25" s="141"/>
      <c r="AI25" s="141"/>
      <c r="AJ25" s="141"/>
      <c r="AK25" s="141"/>
      <c r="AL25" s="141"/>
      <c r="AM25" s="141"/>
      <c r="AN25" s="141"/>
      <c r="AO25" s="141"/>
      <c r="AP25" s="141"/>
      <c r="AQ25" s="141"/>
      <c r="AR25" s="141"/>
      <c r="AS25" s="141"/>
      <c r="AT25" s="141"/>
      <c r="AU25" s="141"/>
      <c r="AV25" s="141"/>
      <c r="AW25" s="141"/>
      <c r="AX25" s="141"/>
      <c r="AY25" s="141"/>
      <c r="AZ25" s="110"/>
    </row>
    <row r="26" spans="1:52" x14ac:dyDescent="0.2">
      <c r="A26" s="166" t="s">
        <v>18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</row>
    <row r="27" spans="1:52" x14ac:dyDescent="0.2">
      <c r="B27" s="138" t="s">
        <v>309</v>
      </c>
      <c r="C27" s="127">
        <v>112</v>
      </c>
      <c r="D27" s="127">
        <f>C$27-C$28+C$29</f>
        <v>55</v>
      </c>
      <c r="E27" s="127">
        <f t="shared" ref="E27:AY27" si="8">D27-D28+D29</f>
        <v>82</v>
      </c>
      <c r="F27" s="127">
        <f t="shared" si="8"/>
        <v>96</v>
      </c>
      <c r="G27" s="127">
        <f t="shared" si="8"/>
        <v>96</v>
      </c>
      <c r="H27" s="127">
        <f t="shared" si="8"/>
        <v>96</v>
      </c>
      <c r="I27" s="127">
        <f t="shared" si="8"/>
        <v>96</v>
      </c>
      <c r="J27" s="127">
        <f t="shared" si="8"/>
        <v>96</v>
      </c>
      <c r="K27" s="127">
        <f t="shared" si="8"/>
        <v>96</v>
      </c>
      <c r="L27" s="127">
        <f t="shared" si="8"/>
        <v>96</v>
      </c>
      <c r="M27" s="127">
        <f t="shared" si="8"/>
        <v>96</v>
      </c>
      <c r="N27" s="127">
        <f t="shared" si="8"/>
        <v>96</v>
      </c>
      <c r="O27" s="127">
        <f t="shared" si="8"/>
        <v>96</v>
      </c>
      <c r="P27" s="127">
        <f t="shared" si="8"/>
        <v>96</v>
      </c>
      <c r="Q27" s="127">
        <f t="shared" si="8"/>
        <v>96</v>
      </c>
      <c r="R27" s="127">
        <f t="shared" si="8"/>
        <v>96</v>
      </c>
      <c r="S27" s="127">
        <f t="shared" si="8"/>
        <v>96</v>
      </c>
      <c r="T27" s="127">
        <f t="shared" si="8"/>
        <v>96</v>
      </c>
      <c r="U27" s="127">
        <f t="shared" si="8"/>
        <v>96</v>
      </c>
      <c r="V27" s="127">
        <f t="shared" si="8"/>
        <v>96</v>
      </c>
      <c r="W27" s="127">
        <f t="shared" si="8"/>
        <v>96</v>
      </c>
      <c r="X27" s="127">
        <f t="shared" si="8"/>
        <v>96</v>
      </c>
      <c r="Y27" s="127">
        <f t="shared" si="8"/>
        <v>96</v>
      </c>
      <c r="Z27" s="127">
        <f t="shared" si="8"/>
        <v>112</v>
      </c>
      <c r="AA27" s="127">
        <f t="shared" si="8"/>
        <v>80</v>
      </c>
      <c r="AB27" s="127">
        <f t="shared" si="8"/>
        <v>96</v>
      </c>
      <c r="AC27" s="127">
        <f t="shared" si="8"/>
        <v>96</v>
      </c>
      <c r="AD27" s="127">
        <f t="shared" si="8"/>
        <v>96</v>
      </c>
      <c r="AE27" s="127">
        <f t="shared" si="8"/>
        <v>96</v>
      </c>
      <c r="AF27" s="127">
        <f t="shared" si="8"/>
        <v>112</v>
      </c>
      <c r="AG27" s="127">
        <f t="shared" si="8"/>
        <v>80</v>
      </c>
      <c r="AH27" s="127">
        <f t="shared" si="8"/>
        <v>96</v>
      </c>
      <c r="AI27" s="127">
        <f t="shared" si="8"/>
        <v>96</v>
      </c>
      <c r="AJ27" s="127">
        <f t="shared" si="8"/>
        <v>96</v>
      </c>
      <c r="AK27" s="127">
        <f t="shared" si="8"/>
        <v>96</v>
      </c>
      <c r="AL27" s="127">
        <f t="shared" si="8"/>
        <v>96</v>
      </c>
      <c r="AM27" s="127">
        <f t="shared" si="8"/>
        <v>96</v>
      </c>
      <c r="AN27" s="127">
        <f t="shared" si="8"/>
        <v>96</v>
      </c>
      <c r="AO27" s="127">
        <f t="shared" si="8"/>
        <v>96</v>
      </c>
      <c r="AP27" s="127">
        <f t="shared" si="8"/>
        <v>96</v>
      </c>
      <c r="AQ27" s="127">
        <f t="shared" si="8"/>
        <v>96</v>
      </c>
      <c r="AR27" s="127">
        <f t="shared" si="8"/>
        <v>96</v>
      </c>
      <c r="AS27" s="127">
        <f t="shared" si="8"/>
        <v>96</v>
      </c>
      <c r="AT27" s="127">
        <f t="shared" si="8"/>
        <v>96</v>
      </c>
      <c r="AU27" s="127">
        <f t="shared" si="8"/>
        <v>96</v>
      </c>
      <c r="AV27" s="127">
        <f t="shared" si="8"/>
        <v>96</v>
      </c>
      <c r="AW27" s="127">
        <f t="shared" si="8"/>
        <v>96</v>
      </c>
      <c r="AX27" s="127">
        <f t="shared" si="8"/>
        <v>96</v>
      </c>
      <c r="AY27" s="167">
        <f t="shared" si="8"/>
        <v>96</v>
      </c>
      <c r="AZ27" s="110"/>
    </row>
    <row r="28" spans="1:52" x14ac:dyDescent="0.2">
      <c r="B28" s="168" t="s">
        <v>310</v>
      </c>
      <c r="C28" s="114">
        <v>57</v>
      </c>
      <c r="D28" s="114">
        <v>30</v>
      </c>
      <c r="E28" s="114">
        <v>16</v>
      </c>
      <c r="F28" s="114">
        <v>16</v>
      </c>
      <c r="G28" s="114">
        <v>16</v>
      </c>
      <c r="H28" s="114">
        <v>16</v>
      </c>
      <c r="I28" s="114">
        <v>16</v>
      </c>
      <c r="J28" s="114">
        <v>16</v>
      </c>
      <c r="K28" s="114">
        <v>16</v>
      </c>
      <c r="L28" s="114">
        <v>16</v>
      </c>
      <c r="M28" s="114">
        <v>16</v>
      </c>
      <c r="N28" s="114">
        <v>16</v>
      </c>
      <c r="O28" s="114">
        <v>16</v>
      </c>
      <c r="P28" s="114">
        <v>16</v>
      </c>
      <c r="Q28" s="114">
        <v>16</v>
      </c>
      <c r="R28" s="114">
        <v>16</v>
      </c>
      <c r="S28" s="114">
        <v>16</v>
      </c>
      <c r="T28" s="114">
        <v>16</v>
      </c>
      <c r="U28" s="114">
        <v>16</v>
      </c>
      <c r="V28" s="114">
        <v>16</v>
      </c>
      <c r="W28" s="114">
        <v>16</v>
      </c>
      <c r="X28" s="114">
        <v>16</v>
      </c>
      <c r="Y28" s="114">
        <v>0</v>
      </c>
      <c r="Z28" s="114">
        <v>32</v>
      </c>
      <c r="AA28" s="114">
        <v>16</v>
      </c>
      <c r="AB28" s="114">
        <v>16</v>
      </c>
      <c r="AC28" s="114">
        <v>16</v>
      </c>
      <c r="AD28" s="114">
        <v>16</v>
      </c>
      <c r="AE28" s="114">
        <v>0</v>
      </c>
      <c r="AF28" s="114">
        <v>32</v>
      </c>
      <c r="AG28" s="114">
        <v>16</v>
      </c>
      <c r="AH28" s="114">
        <v>16</v>
      </c>
      <c r="AI28" s="114">
        <v>16</v>
      </c>
      <c r="AJ28" s="114">
        <v>16</v>
      </c>
      <c r="AK28" s="114">
        <v>16</v>
      </c>
      <c r="AL28" s="114">
        <v>16</v>
      </c>
      <c r="AM28" s="114">
        <v>16</v>
      </c>
      <c r="AN28" s="114">
        <v>16</v>
      </c>
      <c r="AO28" s="114">
        <v>16</v>
      </c>
      <c r="AP28" s="114">
        <v>16</v>
      </c>
      <c r="AQ28" s="114">
        <v>16</v>
      </c>
      <c r="AR28" s="114">
        <v>16</v>
      </c>
      <c r="AS28" s="114">
        <v>16</v>
      </c>
      <c r="AT28" s="114">
        <v>16</v>
      </c>
      <c r="AU28" s="114">
        <v>16</v>
      </c>
      <c r="AV28" s="114">
        <v>16</v>
      </c>
      <c r="AW28" s="114">
        <v>16</v>
      </c>
      <c r="AX28" s="114">
        <v>16</v>
      </c>
      <c r="AY28" s="169">
        <v>16</v>
      </c>
      <c r="AZ28" s="110"/>
    </row>
    <row r="29" spans="1:52" x14ac:dyDescent="0.2">
      <c r="B29" s="139" t="s">
        <v>311</v>
      </c>
      <c r="C29" s="128">
        <v>0</v>
      </c>
      <c r="D29" s="128">
        <f>C$28</f>
        <v>57</v>
      </c>
      <c r="E29" s="128">
        <f t="shared" ref="E29:AY29" si="9">D$28</f>
        <v>30</v>
      </c>
      <c r="F29" s="128">
        <f t="shared" si="9"/>
        <v>16</v>
      </c>
      <c r="G29" s="128">
        <f t="shared" si="9"/>
        <v>16</v>
      </c>
      <c r="H29" s="128">
        <f t="shared" si="9"/>
        <v>16</v>
      </c>
      <c r="I29" s="128">
        <f t="shared" si="9"/>
        <v>16</v>
      </c>
      <c r="J29" s="128">
        <f t="shared" si="9"/>
        <v>16</v>
      </c>
      <c r="K29" s="128">
        <f t="shared" si="9"/>
        <v>16</v>
      </c>
      <c r="L29" s="128">
        <f t="shared" si="9"/>
        <v>16</v>
      </c>
      <c r="M29" s="128">
        <f t="shared" si="9"/>
        <v>16</v>
      </c>
      <c r="N29" s="128">
        <f t="shared" si="9"/>
        <v>16</v>
      </c>
      <c r="O29" s="128">
        <f t="shared" si="9"/>
        <v>16</v>
      </c>
      <c r="P29" s="128">
        <f t="shared" si="9"/>
        <v>16</v>
      </c>
      <c r="Q29" s="128">
        <f t="shared" si="9"/>
        <v>16</v>
      </c>
      <c r="R29" s="128">
        <f t="shared" si="9"/>
        <v>16</v>
      </c>
      <c r="S29" s="128">
        <f t="shared" si="9"/>
        <v>16</v>
      </c>
      <c r="T29" s="128">
        <f t="shared" si="9"/>
        <v>16</v>
      </c>
      <c r="U29" s="128">
        <f t="shared" si="9"/>
        <v>16</v>
      </c>
      <c r="V29" s="128">
        <f t="shared" si="9"/>
        <v>16</v>
      </c>
      <c r="W29" s="128">
        <f t="shared" si="9"/>
        <v>16</v>
      </c>
      <c r="X29" s="128">
        <f t="shared" si="9"/>
        <v>16</v>
      </c>
      <c r="Y29" s="128">
        <f t="shared" si="9"/>
        <v>16</v>
      </c>
      <c r="Z29" s="128">
        <f t="shared" si="9"/>
        <v>0</v>
      </c>
      <c r="AA29" s="128">
        <f t="shared" si="9"/>
        <v>32</v>
      </c>
      <c r="AB29" s="128">
        <f t="shared" si="9"/>
        <v>16</v>
      </c>
      <c r="AC29" s="128">
        <f t="shared" si="9"/>
        <v>16</v>
      </c>
      <c r="AD29" s="128">
        <f t="shared" si="9"/>
        <v>16</v>
      </c>
      <c r="AE29" s="128">
        <f t="shared" si="9"/>
        <v>16</v>
      </c>
      <c r="AF29" s="128">
        <f t="shared" si="9"/>
        <v>0</v>
      </c>
      <c r="AG29" s="128">
        <f t="shared" si="9"/>
        <v>32</v>
      </c>
      <c r="AH29" s="128">
        <f t="shared" si="9"/>
        <v>16</v>
      </c>
      <c r="AI29" s="128">
        <f t="shared" si="9"/>
        <v>16</v>
      </c>
      <c r="AJ29" s="128">
        <f t="shared" si="9"/>
        <v>16</v>
      </c>
      <c r="AK29" s="128">
        <f t="shared" si="9"/>
        <v>16</v>
      </c>
      <c r="AL29" s="128">
        <f t="shared" si="9"/>
        <v>16</v>
      </c>
      <c r="AM29" s="128">
        <f t="shared" si="9"/>
        <v>16</v>
      </c>
      <c r="AN29" s="128">
        <f t="shared" si="9"/>
        <v>16</v>
      </c>
      <c r="AO29" s="128">
        <f t="shared" si="9"/>
        <v>16</v>
      </c>
      <c r="AP29" s="128">
        <f t="shared" si="9"/>
        <v>16</v>
      </c>
      <c r="AQ29" s="128">
        <f t="shared" si="9"/>
        <v>16</v>
      </c>
      <c r="AR29" s="128">
        <f t="shared" si="9"/>
        <v>16</v>
      </c>
      <c r="AS29" s="128">
        <f t="shared" si="9"/>
        <v>16</v>
      </c>
      <c r="AT29" s="128">
        <f t="shared" si="9"/>
        <v>16</v>
      </c>
      <c r="AU29" s="128">
        <f t="shared" si="9"/>
        <v>16</v>
      </c>
      <c r="AV29" s="128">
        <f t="shared" si="9"/>
        <v>16</v>
      </c>
      <c r="AW29" s="128">
        <f t="shared" si="9"/>
        <v>16</v>
      </c>
      <c r="AX29" s="128">
        <f t="shared" si="9"/>
        <v>16</v>
      </c>
      <c r="AY29" s="170">
        <f t="shared" si="9"/>
        <v>16</v>
      </c>
      <c r="AZ29" s="171"/>
    </row>
    <row r="30" spans="1:52" x14ac:dyDescent="0.2">
      <c r="A30" s="172" t="s">
        <v>312</v>
      </c>
      <c r="B30" s="147">
        <v>10</v>
      </c>
      <c r="C30" s="120" t="s">
        <v>293</v>
      </c>
      <c r="D30" s="120">
        <f>D$27*$B$30</f>
        <v>550</v>
      </c>
      <c r="E30" s="120">
        <f t="shared" ref="E30:AY30" si="10">E$27*$B$30</f>
        <v>820</v>
      </c>
      <c r="F30" s="120">
        <f t="shared" si="10"/>
        <v>960</v>
      </c>
      <c r="G30" s="120">
        <f t="shared" si="10"/>
        <v>960</v>
      </c>
      <c r="H30" s="120">
        <f t="shared" si="10"/>
        <v>960</v>
      </c>
      <c r="I30" s="120">
        <f t="shared" si="10"/>
        <v>960</v>
      </c>
      <c r="J30" s="120">
        <f t="shared" si="10"/>
        <v>960</v>
      </c>
      <c r="K30" s="120">
        <f t="shared" si="10"/>
        <v>960</v>
      </c>
      <c r="L30" s="120">
        <f t="shared" si="10"/>
        <v>960</v>
      </c>
      <c r="M30" s="120">
        <f t="shared" si="10"/>
        <v>960</v>
      </c>
      <c r="N30" s="120">
        <f t="shared" si="10"/>
        <v>960</v>
      </c>
      <c r="O30" s="120">
        <f t="shared" si="10"/>
        <v>960</v>
      </c>
      <c r="P30" s="120">
        <f t="shared" si="10"/>
        <v>960</v>
      </c>
      <c r="Q30" s="120">
        <f t="shared" si="10"/>
        <v>960</v>
      </c>
      <c r="R30" s="120">
        <f>R$27*$B$30</f>
        <v>960</v>
      </c>
      <c r="S30" s="120">
        <f t="shared" si="10"/>
        <v>960</v>
      </c>
      <c r="T30" s="120">
        <f t="shared" si="10"/>
        <v>960</v>
      </c>
      <c r="U30" s="120">
        <f t="shared" si="10"/>
        <v>960</v>
      </c>
      <c r="V30" s="120">
        <f t="shared" si="10"/>
        <v>960</v>
      </c>
      <c r="W30" s="120">
        <f t="shared" si="10"/>
        <v>960</v>
      </c>
      <c r="X30" s="120">
        <f t="shared" si="10"/>
        <v>960</v>
      </c>
      <c r="Y30" s="120">
        <f t="shared" si="10"/>
        <v>960</v>
      </c>
      <c r="Z30" s="120">
        <f t="shared" si="10"/>
        <v>1120</v>
      </c>
      <c r="AA30" s="120">
        <f t="shared" si="10"/>
        <v>800</v>
      </c>
      <c r="AB30" s="120">
        <f t="shared" si="10"/>
        <v>960</v>
      </c>
      <c r="AC30" s="120">
        <f t="shared" si="10"/>
        <v>960</v>
      </c>
      <c r="AD30" s="120">
        <f t="shared" si="10"/>
        <v>960</v>
      </c>
      <c r="AE30" s="120">
        <f>AE$27*$B$30</f>
        <v>960</v>
      </c>
      <c r="AF30" s="120">
        <f t="shared" si="10"/>
        <v>1120</v>
      </c>
      <c r="AG30" s="120">
        <f t="shared" si="10"/>
        <v>800</v>
      </c>
      <c r="AH30" s="120">
        <f t="shared" si="10"/>
        <v>960</v>
      </c>
      <c r="AI30" s="120">
        <f t="shared" si="10"/>
        <v>960</v>
      </c>
      <c r="AJ30" s="120">
        <f t="shared" si="10"/>
        <v>960</v>
      </c>
      <c r="AK30" s="120">
        <f t="shared" si="10"/>
        <v>960</v>
      </c>
      <c r="AL30" s="120">
        <f t="shared" si="10"/>
        <v>960</v>
      </c>
      <c r="AM30" s="120">
        <f t="shared" si="10"/>
        <v>960</v>
      </c>
      <c r="AN30" s="120">
        <f t="shared" si="10"/>
        <v>960</v>
      </c>
      <c r="AO30" s="120">
        <f t="shared" si="10"/>
        <v>960</v>
      </c>
      <c r="AP30" s="120">
        <f t="shared" si="10"/>
        <v>960</v>
      </c>
      <c r="AQ30" s="120">
        <f t="shared" si="10"/>
        <v>960</v>
      </c>
      <c r="AR30" s="120">
        <f t="shared" si="10"/>
        <v>960</v>
      </c>
      <c r="AS30" s="120">
        <f t="shared" si="10"/>
        <v>960</v>
      </c>
      <c r="AT30" s="120">
        <f t="shared" si="10"/>
        <v>960</v>
      </c>
      <c r="AU30" s="120">
        <f t="shared" si="10"/>
        <v>960</v>
      </c>
      <c r="AV30" s="120">
        <f t="shared" si="10"/>
        <v>960</v>
      </c>
      <c r="AW30" s="120">
        <f t="shared" si="10"/>
        <v>960</v>
      </c>
      <c r="AX30" s="120">
        <f t="shared" si="10"/>
        <v>960</v>
      </c>
      <c r="AY30" s="120">
        <f t="shared" si="10"/>
        <v>960</v>
      </c>
      <c r="AZ30" s="144">
        <f t="shared" si="5"/>
        <v>45530</v>
      </c>
    </row>
    <row r="32" spans="1:52" x14ac:dyDescent="0.2">
      <c r="A32" s="1" t="s">
        <v>300</v>
      </c>
    </row>
    <row r="33" spans="1:52" x14ac:dyDescent="0.2">
      <c r="A33" s="138" t="s">
        <v>22</v>
      </c>
      <c r="B33" s="138" t="s">
        <v>341</v>
      </c>
      <c r="C33" s="127"/>
      <c r="D33" s="127">
        <f>D$21*shipping_manufacturing!$H$27/100</f>
        <v>0</v>
      </c>
      <c r="E33" s="127">
        <f>E$21*shipping_manufacturing!$H$27/100</f>
        <v>0</v>
      </c>
      <c r="F33" s="127">
        <f>F$21*shipping_manufacturing!$H$27/100</f>
        <v>0</v>
      </c>
      <c r="G33" s="127">
        <f>G$21*shipping_manufacturing!$H$27/100</f>
        <v>0</v>
      </c>
      <c r="H33" s="127">
        <f>H$21*shipping_manufacturing!$H$27/100</f>
        <v>0</v>
      </c>
      <c r="I33" s="127">
        <f>I$21*shipping_manufacturing!$H$27/100</f>
        <v>0</v>
      </c>
      <c r="J33" s="127">
        <f>J$21*shipping_manufacturing!$H$27/100</f>
        <v>0</v>
      </c>
      <c r="K33" s="127">
        <f>K$21*shipping_manufacturing!$H$27/100</f>
        <v>0</v>
      </c>
      <c r="L33" s="127">
        <f>L$21*shipping_manufacturing!$H$27/100</f>
        <v>0</v>
      </c>
      <c r="M33" s="127">
        <f>M$21*shipping_manufacturing!$H$27/100</f>
        <v>0</v>
      </c>
      <c r="N33" s="127">
        <f>N$21*shipping_manufacturing!$H$27/100</f>
        <v>0</v>
      </c>
      <c r="O33" s="127">
        <f>O$21*shipping_manufacturing!$H$27/100</f>
        <v>0</v>
      </c>
      <c r="P33" s="127">
        <f>P$21*shipping_manufacturing!$H$27/100</f>
        <v>0</v>
      </c>
      <c r="Q33" s="127">
        <f>Q$21*shipping_manufacturing!$H$27/100</f>
        <v>0</v>
      </c>
      <c r="R33" s="127">
        <f>R$21*shipping_manufacturing!$H$27/100</f>
        <v>0</v>
      </c>
      <c r="S33" s="127">
        <f>S$21*shipping_manufacturing!$H$27/100</f>
        <v>0</v>
      </c>
      <c r="T33" s="127">
        <f>T$21*shipping_manufacturing!$H$27/100</f>
        <v>0</v>
      </c>
      <c r="U33" s="127">
        <f>U$21*shipping_manufacturing!$H$27/100</f>
        <v>0</v>
      </c>
      <c r="V33" s="127">
        <f>V$21*shipping_manufacturing!$H$27/100</f>
        <v>0</v>
      </c>
      <c r="W33" s="127">
        <f>W$21*shipping_manufacturing!$H$27/100</f>
        <v>0</v>
      </c>
      <c r="X33" s="127">
        <f>X$21*shipping_manufacturing!$H$27/100</f>
        <v>0</v>
      </c>
      <c r="Y33" s="127">
        <f>Y$21*shipping_manufacturing!$H$27/100</f>
        <v>0</v>
      </c>
      <c r="Z33" s="127">
        <f>Z$21*shipping_manufacturing!$H$27/100</f>
        <v>0</v>
      </c>
      <c r="AA33" s="127">
        <f>AA$21*shipping_manufacturing!$H$27/100</f>
        <v>0</v>
      </c>
      <c r="AB33" s="127">
        <f>AB$21*shipping_manufacturing!$H$27/100</f>
        <v>0</v>
      </c>
      <c r="AC33" s="127">
        <f>AC$21*shipping_manufacturing!$H$27/100</f>
        <v>0</v>
      </c>
      <c r="AD33" s="127">
        <f>AD$21*shipping_manufacturing!$H$27/100</f>
        <v>0</v>
      </c>
      <c r="AE33" s="127">
        <f>AE$21*shipping_manufacturing!$H$27/100</f>
        <v>0</v>
      </c>
      <c r="AF33" s="127">
        <f>AF$21*shipping_manufacturing!$H$27/100</f>
        <v>0</v>
      </c>
      <c r="AG33" s="127">
        <f>AG$21*shipping_manufacturing!$H$27/100</f>
        <v>0</v>
      </c>
      <c r="AH33" s="127">
        <f>AH$21*shipping_manufacturing!$H$27/100</f>
        <v>0</v>
      </c>
      <c r="AI33" s="127">
        <f>AI$21*shipping_manufacturing!$H$27/100</f>
        <v>0</v>
      </c>
      <c r="AJ33" s="127">
        <f>AJ$21*shipping_manufacturing!$H$27/100</f>
        <v>0</v>
      </c>
      <c r="AK33" s="127">
        <f>AK$21*shipping_manufacturing!$H$27/100</f>
        <v>0</v>
      </c>
      <c r="AL33" s="127">
        <f>AL$21*shipping_manufacturing!$H$27/100</f>
        <v>0</v>
      </c>
      <c r="AM33" s="127">
        <f>AM$21*shipping_manufacturing!$H$27/100</f>
        <v>0</v>
      </c>
      <c r="AN33" s="127">
        <f>AN$21*shipping_manufacturing!$H$27/100</f>
        <v>0</v>
      </c>
      <c r="AO33" s="127">
        <f>AO$21*shipping_manufacturing!$H$27/100</f>
        <v>0</v>
      </c>
      <c r="AP33" s="127">
        <f>AP$21*shipping_manufacturing!$H$27/100</f>
        <v>0</v>
      </c>
      <c r="AQ33" s="127">
        <f>AQ$21*shipping_manufacturing!$H$27/100</f>
        <v>0</v>
      </c>
      <c r="AR33" s="127">
        <f>AR$21*shipping_manufacturing!$H$27/100</f>
        <v>0</v>
      </c>
      <c r="AS33" s="127">
        <f>AS$21*shipping_manufacturing!$H$27/100</f>
        <v>0</v>
      </c>
      <c r="AT33" s="127">
        <f>AT$21*shipping_manufacturing!$H$27/100</f>
        <v>0</v>
      </c>
      <c r="AU33" s="127">
        <f>AU$21*shipping_manufacturing!$H$27/100</f>
        <v>0</v>
      </c>
      <c r="AV33" s="127">
        <f>AV$21*shipping_manufacturing!$H$27/100</f>
        <v>0</v>
      </c>
      <c r="AW33" s="127">
        <f>AW$21*shipping_manufacturing!$H$27/100</f>
        <v>0</v>
      </c>
      <c r="AX33" s="127">
        <f>AX$21*shipping_manufacturing!$H$27/100</f>
        <v>0</v>
      </c>
      <c r="AY33" s="127">
        <f>AY$21*shipping_manufacturing!$H$27/100</f>
        <v>0</v>
      </c>
    </row>
    <row r="34" spans="1:52" x14ac:dyDescent="0.2">
      <c r="A34" s="116" t="s">
        <v>340</v>
      </c>
      <c r="B34" s="168" t="s">
        <v>342</v>
      </c>
      <c r="C34" s="114"/>
      <c r="D34" s="114">
        <f>D$22*shipping_manufacturing!$I$27/100</f>
        <v>637.16334559484699</v>
      </c>
      <c r="E34" s="114">
        <f>E$22*shipping_manufacturing!$I$27/100</f>
        <v>348.53421848078125</v>
      </c>
      <c r="F34" s="114">
        <f>F$22*shipping_manufacturing!$I$27/100</f>
        <v>348.53421848078125</v>
      </c>
      <c r="G34" s="114">
        <f>G$22*shipping_manufacturing!$I$27/100</f>
        <v>348.53421848078125</v>
      </c>
      <c r="H34" s="114">
        <f>H$22*shipping_manufacturing!$I$27/100</f>
        <v>348.53421848078125</v>
      </c>
      <c r="I34" s="114">
        <f>I$22*shipping_manufacturing!$I$27/100</f>
        <v>348.53421848078125</v>
      </c>
      <c r="J34" s="114">
        <f>J$22*shipping_manufacturing!$I$27/100</f>
        <v>348.53421848078125</v>
      </c>
      <c r="K34" s="114">
        <f>K$22*shipping_manufacturing!$I$27/100</f>
        <v>348.53421848078125</v>
      </c>
      <c r="L34" s="114">
        <f>L$22*shipping_manufacturing!$I$27/100</f>
        <v>348.53421848078125</v>
      </c>
      <c r="M34" s="114">
        <f>M$22*shipping_manufacturing!$I$27/100</f>
        <v>348.53421848078125</v>
      </c>
      <c r="N34" s="114">
        <f>N$22*shipping_manufacturing!$I$27/100</f>
        <v>348.53421848078125</v>
      </c>
      <c r="O34" s="114">
        <f>O$22*shipping_manufacturing!$I$27/100</f>
        <v>348.53421848078125</v>
      </c>
      <c r="P34" s="114">
        <f>P$22*shipping_manufacturing!$I$27/100</f>
        <v>348.53421848078125</v>
      </c>
      <c r="Q34" s="114">
        <f>Q$22*shipping_manufacturing!$I$27/100</f>
        <v>348.53421848078125</v>
      </c>
      <c r="R34" s="114">
        <f>R$22*shipping_manufacturing!$I$27/100</f>
        <v>348.53421848078125</v>
      </c>
      <c r="S34" s="114">
        <f>S$22*shipping_manufacturing!$I$27/100</f>
        <v>348.53421848078125</v>
      </c>
      <c r="T34" s="114">
        <f>T$22*shipping_manufacturing!$I$27/100</f>
        <v>348.53421848078125</v>
      </c>
      <c r="U34" s="114">
        <f>U$22*shipping_manufacturing!$I$27/100</f>
        <v>348.53421848078125</v>
      </c>
      <c r="V34" s="114">
        <f>V$22*shipping_manufacturing!$I$27/100</f>
        <v>348.53421848078125</v>
      </c>
      <c r="W34" s="114">
        <f>W$22*shipping_manufacturing!$I$27/100</f>
        <v>348.53421848078125</v>
      </c>
      <c r="X34" s="114">
        <f>X$22*shipping_manufacturing!$I$27/100</f>
        <v>348.53421848078125</v>
      </c>
      <c r="Y34" s="114">
        <f>Y$22*shipping_manufacturing!$I$27/100</f>
        <v>0</v>
      </c>
      <c r="Z34" s="114">
        <f>Z$22*shipping_manufacturing!$I$27/100</f>
        <v>697.0684369615625</v>
      </c>
      <c r="AA34" s="114">
        <f>AA$22*shipping_manufacturing!$I$27/100</f>
        <v>348.53421848078125</v>
      </c>
      <c r="AB34" s="114">
        <f>AB$22*shipping_manufacturing!$I$27/100</f>
        <v>348.53421848078125</v>
      </c>
      <c r="AC34" s="114">
        <f>AC$22*shipping_manufacturing!$I$27/100</f>
        <v>348.53421848078125</v>
      </c>
      <c r="AD34" s="114">
        <f>AD$22*shipping_manufacturing!$I$27/100</f>
        <v>348.53421848078125</v>
      </c>
      <c r="AE34" s="114">
        <f>AE$22*shipping_manufacturing!$I$27/100</f>
        <v>0</v>
      </c>
      <c r="AF34" s="114">
        <f>AF$22*shipping_manufacturing!$I$27/100</f>
        <v>697.0684369615625</v>
      </c>
      <c r="AG34" s="114">
        <f>AG$22*shipping_manufacturing!$I$27/100</f>
        <v>348.53421848078125</v>
      </c>
      <c r="AH34" s="114">
        <f>AH$22*shipping_manufacturing!$I$27/100</f>
        <v>348.53421848078125</v>
      </c>
      <c r="AI34" s="114">
        <f>AI$22*shipping_manufacturing!$I$27/100</f>
        <v>348.53421848078125</v>
      </c>
      <c r="AJ34" s="114">
        <f>AJ$22*shipping_manufacturing!$I$27/100</f>
        <v>348.53421848078125</v>
      </c>
      <c r="AK34" s="114">
        <f>AK$22*shipping_manufacturing!$I$27/100</f>
        <v>348.53421848078125</v>
      </c>
      <c r="AL34" s="114">
        <f>AL$22*shipping_manufacturing!$I$27/100</f>
        <v>348.53421848078125</v>
      </c>
      <c r="AM34" s="114">
        <f>AM$22*shipping_manufacturing!$I$27/100</f>
        <v>348.53421848078125</v>
      </c>
      <c r="AN34" s="114">
        <f>AN$22*shipping_manufacturing!$I$27/100</f>
        <v>348.53421848078125</v>
      </c>
      <c r="AO34" s="114">
        <f>AO$22*shipping_manufacturing!$I$27/100</f>
        <v>348.53421848078125</v>
      </c>
      <c r="AP34" s="114">
        <f>AP$22*shipping_manufacturing!$I$27/100</f>
        <v>348.53421848078125</v>
      </c>
      <c r="AQ34" s="114">
        <f>AQ$22*shipping_manufacturing!$I$27/100</f>
        <v>348.53421848078125</v>
      </c>
      <c r="AR34" s="114">
        <f>AR$22*shipping_manufacturing!$I$27/100</f>
        <v>348.53421848078125</v>
      </c>
      <c r="AS34" s="114">
        <f>AS$22*shipping_manufacturing!$I$27/100</f>
        <v>348.53421848078125</v>
      </c>
      <c r="AT34" s="114">
        <f>AT$22*shipping_manufacturing!$I$27/100</f>
        <v>348.53421848078125</v>
      </c>
      <c r="AU34" s="114">
        <f>AU$22*shipping_manufacturing!$I$27/100</f>
        <v>348.53421848078125</v>
      </c>
      <c r="AV34" s="114">
        <f>AV$22*shipping_manufacturing!$I$27/100</f>
        <v>348.53421848078125</v>
      </c>
      <c r="AW34" s="114">
        <f>AW$22*shipping_manufacturing!$I$27/100</f>
        <v>348.53421848078125</v>
      </c>
      <c r="AX34" s="114">
        <f>AX$22*shipping_manufacturing!$I$27/100</f>
        <v>348.53421848078125</v>
      </c>
      <c r="AY34" s="114">
        <f>AY$22*shipping_manufacturing!$I$27/100</f>
        <v>348.53421848078125</v>
      </c>
    </row>
    <row r="35" spans="1:52" x14ac:dyDescent="0.2">
      <c r="A35" s="114">
        <v>1245</v>
      </c>
      <c r="B35" s="168" t="s">
        <v>343</v>
      </c>
      <c r="C35" s="114"/>
      <c r="D35" s="114">
        <f>SUM(D33:D34)</f>
        <v>637.16334559484699</v>
      </c>
      <c r="E35" s="114">
        <f t="shared" ref="E35:AY35" si="11">SUM(E33:E34)</f>
        <v>348.53421848078125</v>
      </c>
      <c r="F35" s="114">
        <f t="shared" si="11"/>
        <v>348.53421848078125</v>
      </c>
      <c r="G35" s="114">
        <f t="shared" si="11"/>
        <v>348.53421848078125</v>
      </c>
      <c r="H35" s="114">
        <f t="shared" si="11"/>
        <v>348.53421848078125</v>
      </c>
      <c r="I35" s="114">
        <f t="shared" si="11"/>
        <v>348.53421848078125</v>
      </c>
      <c r="J35" s="114">
        <f t="shared" si="11"/>
        <v>348.53421848078125</v>
      </c>
      <c r="K35" s="114">
        <f t="shared" si="11"/>
        <v>348.53421848078125</v>
      </c>
      <c r="L35" s="114">
        <f t="shared" si="11"/>
        <v>348.53421848078125</v>
      </c>
      <c r="M35" s="114">
        <f t="shared" si="11"/>
        <v>348.53421848078125</v>
      </c>
      <c r="N35" s="114">
        <f t="shared" si="11"/>
        <v>348.53421848078125</v>
      </c>
      <c r="O35" s="114">
        <f t="shared" si="11"/>
        <v>348.53421848078125</v>
      </c>
      <c r="P35" s="114">
        <f t="shared" si="11"/>
        <v>348.53421848078125</v>
      </c>
      <c r="Q35" s="114">
        <f t="shared" si="11"/>
        <v>348.53421848078125</v>
      </c>
      <c r="R35" s="114">
        <f t="shared" si="11"/>
        <v>348.53421848078125</v>
      </c>
      <c r="S35" s="114">
        <f t="shared" si="11"/>
        <v>348.53421848078125</v>
      </c>
      <c r="T35" s="114">
        <f t="shared" si="11"/>
        <v>348.53421848078125</v>
      </c>
      <c r="U35" s="114">
        <f t="shared" si="11"/>
        <v>348.53421848078125</v>
      </c>
      <c r="V35" s="114">
        <f t="shared" si="11"/>
        <v>348.53421848078125</v>
      </c>
      <c r="W35" s="114">
        <f t="shared" si="11"/>
        <v>348.53421848078125</v>
      </c>
      <c r="X35" s="114">
        <f t="shared" si="11"/>
        <v>348.53421848078125</v>
      </c>
      <c r="Y35" s="114">
        <f t="shared" si="11"/>
        <v>0</v>
      </c>
      <c r="Z35" s="114">
        <f t="shared" si="11"/>
        <v>697.0684369615625</v>
      </c>
      <c r="AA35" s="114">
        <f t="shared" si="11"/>
        <v>348.53421848078125</v>
      </c>
      <c r="AB35" s="114">
        <f t="shared" si="11"/>
        <v>348.53421848078125</v>
      </c>
      <c r="AC35" s="114">
        <f t="shared" si="11"/>
        <v>348.53421848078125</v>
      </c>
      <c r="AD35" s="114">
        <f t="shared" si="11"/>
        <v>348.53421848078125</v>
      </c>
      <c r="AE35" s="114">
        <f t="shared" si="11"/>
        <v>0</v>
      </c>
      <c r="AF35" s="114">
        <f t="shared" si="11"/>
        <v>697.0684369615625</v>
      </c>
      <c r="AG35" s="114">
        <f t="shared" si="11"/>
        <v>348.53421848078125</v>
      </c>
      <c r="AH35" s="114">
        <f t="shared" si="11"/>
        <v>348.53421848078125</v>
      </c>
      <c r="AI35" s="114">
        <f t="shared" si="11"/>
        <v>348.53421848078125</v>
      </c>
      <c r="AJ35" s="114">
        <f t="shared" si="11"/>
        <v>348.53421848078125</v>
      </c>
      <c r="AK35" s="114">
        <f t="shared" si="11"/>
        <v>348.53421848078125</v>
      </c>
      <c r="AL35" s="114">
        <f t="shared" si="11"/>
        <v>348.53421848078125</v>
      </c>
      <c r="AM35" s="114">
        <f t="shared" si="11"/>
        <v>348.53421848078125</v>
      </c>
      <c r="AN35" s="114">
        <f t="shared" si="11"/>
        <v>348.53421848078125</v>
      </c>
      <c r="AO35" s="114">
        <f t="shared" si="11"/>
        <v>348.53421848078125</v>
      </c>
      <c r="AP35" s="114">
        <f t="shared" si="11"/>
        <v>348.53421848078125</v>
      </c>
      <c r="AQ35" s="114">
        <f t="shared" si="11"/>
        <v>348.53421848078125</v>
      </c>
      <c r="AR35" s="114">
        <f t="shared" si="11"/>
        <v>348.53421848078125</v>
      </c>
      <c r="AS35" s="114">
        <f t="shared" si="11"/>
        <v>348.53421848078125</v>
      </c>
      <c r="AT35" s="114">
        <f t="shared" si="11"/>
        <v>348.53421848078125</v>
      </c>
      <c r="AU35" s="114">
        <f t="shared" si="11"/>
        <v>348.53421848078125</v>
      </c>
      <c r="AV35" s="114">
        <f t="shared" si="11"/>
        <v>348.53421848078125</v>
      </c>
      <c r="AW35" s="114">
        <f t="shared" si="11"/>
        <v>348.53421848078125</v>
      </c>
      <c r="AX35" s="114">
        <f t="shared" si="11"/>
        <v>348.53421848078125</v>
      </c>
      <c r="AY35" s="114">
        <f t="shared" si="11"/>
        <v>348.53421848078125</v>
      </c>
    </row>
    <row r="36" spans="1:52" x14ac:dyDescent="0.2">
      <c r="A36" s="114"/>
      <c r="B36" s="168" t="s">
        <v>344</v>
      </c>
      <c r="C36" s="114"/>
      <c r="D36" s="114">
        <v>0</v>
      </c>
      <c r="E36" s="114">
        <v>0</v>
      </c>
      <c r="F36" s="114">
        <v>0</v>
      </c>
      <c r="G36" s="114">
        <v>0</v>
      </c>
      <c r="H36" s="114">
        <v>0</v>
      </c>
      <c r="I36" s="114">
        <v>0</v>
      </c>
      <c r="J36" s="114">
        <v>0</v>
      </c>
      <c r="K36" s="114">
        <v>0</v>
      </c>
      <c r="L36" s="114">
        <v>0</v>
      </c>
      <c r="M36" s="114">
        <v>0</v>
      </c>
      <c r="N36" s="114">
        <v>0</v>
      </c>
      <c r="O36" s="114">
        <v>0</v>
      </c>
      <c r="P36" s="114">
        <v>0</v>
      </c>
      <c r="Q36" s="114">
        <v>0</v>
      </c>
      <c r="R36" s="114">
        <v>0</v>
      </c>
      <c r="S36" s="114">
        <v>0</v>
      </c>
      <c r="T36" s="114">
        <v>0</v>
      </c>
      <c r="U36" s="114">
        <v>0</v>
      </c>
      <c r="V36" s="114">
        <v>0</v>
      </c>
      <c r="W36" s="114">
        <v>0</v>
      </c>
      <c r="X36" s="114">
        <v>0</v>
      </c>
      <c r="Y36" s="114"/>
      <c r="Z36" s="114">
        <v>0</v>
      </c>
      <c r="AA36" s="114">
        <v>0</v>
      </c>
      <c r="AB36" s="114">
        <v>0</v>
      </c>
      <c r="AC36" s="114">
        <v>0</v>
      </c>
      <c r="AD36" s="114">
        <v>0</v>
      </c>
      <c r="AE36" s="114"/>
      <c r="AF36" s="114">
        <v>0</v>
      </c>
      <c r="AG36" s="114">
        <v>0</v>
      </c>
      <c r="AH36" s="114">
        <v>0</v>
      </c>
      <c r="AI36" s="114">
        <v>0</v>
      </c>
      <c r="AJ36" s="114">
        <v>0</v>
      </c>
      <c r="AK36" s="114">
        <v>0</v>
      </c>
      <c r="AL36" s="114">
        <v>0</v>
      </c>
      <c r="AM36" s="114">
        <v>0</v>
      </c>
      <c r="AN36" s="114">
        <v>0</v>
      </c>
      <c r="AO36" s="114">
        <v>0</v>
      </c>
      <c r="AP36" s="114">
        <v>0</v>
      </c>
      <c r="AQ36" s="114">
        <v>0</v>
      </c>
      <c r="AR36" s="114">
        <v>0</v>
      </c>
      <c r="AS36" s="114">
        <v>0</v>
      </c>
      <c r="AT36" s="114">
        <v>0</v>
      </c>
      <c r="AU36" s="114">
        <v>0</v>
      </c>
      <c r="AV36" s="114">
        <v>0</v>
      </c>
      <c r="AW36" s="114">
        <v>0</v>
      </c>
      <c r="AX36" s="114">
        <v>0</v>
      </c>
      <c r="AY36" s="114">
        <v>0</v>
      </c>
    </row>
    <row r="37" spans="1:52" x14ac:dyDescent="0.2">
      <c r="A37" s="114"/>
      <c r="B37" s="168" t="s">
        <v>345</v>
      </c>
      <c r="C37" s="114"/>
      <c r="D37" s="114">
        <v>637.16334559484699</v>
      </c>
      <c r="E37" s="114">
        <v>348.53421848078125</v>
      </c>
      <c r="F37" s="114">
        <v>348.53421848078125</v>
      </c>
      <c r="G37" s="114">
        <v>348.53421848078125</v>
      </c>
      <c r="H37" s="114">
        <v>348.53421848078125</v>
      </c>
      <c r="I37" s="114">
        <v>348.53421848078125</v>
      </c>
      <c r="J37" s="114">
        <v>348.53421848078125</v>
      </c>
      <c r="K37" s="114">
        <v>348.53421848078125</v>
      </c>
      <c r="L37" s="114">
        <v>348.53421848078125</v>
      </c>
      <c r="M37" s="114">
        <v>348.53421848078125</v>
      </c>
      <c r="N37" s="114">
        <v>348.53421848078125</v>
      </c>
      <c r="O37" s="114">
        <v>348.53421848078125</v>
      </c>
      <c r="P37" s="114">
        <v>348.53421848078125</v>
      </c>
      <c r="Q37" s="114">
        <v>348.53421848078125</v>
      </c>
      <c r="R37" s="114">
        <v>348.53421848078125</v>
      </c>
      <c r="S37" s="114">
        <v>348.53421848078125</v>
      </c>
      <c r="T37" s="114">
        <v>348.53421848078125</v>
      </c>
      <c r="U37" s="114">
        <v>348.53421848078125</v>
      </c>
      <c r="V37" s="114">
        <v>348.53421848078125</v>
      </c>
      <c r="W37" s="114">
        <v>348.53421848078125</v>
      </c>
      <c r="X37" s="114">
        <v>348.53421848078125</v>
      </c>
      <c r="Y37" s="114"/>
      <c r="Z37" s="114">
        <v>697.0684369615625</v>
      </c>
      <c r="AA37" s="114">
        <v>348.53421848078125</v>
      </c>
      <c r="AB37" s="114">
        <v>348.53421848078125</v>
      </c>
      <c r="AC37" s="114">
        <v>348.53421848078125</v>
      </c>
      <c r="AD37" s="114">
        <v>348.53421848078125</v>
      </c>
      <c r="AE37" s="114"/>
      <c r="AF37" s="114">
        <v>697.0684369615625</v>
      </c>
      <c r="AG37" s="114">
        <v>348.53421848078125</v>
      </c>
      <c r="AH37" s="114">
        <v>348.53421848078125</v>
      </c>
      <c r="AI37" s="114">
        <v>348.53421848078125</v>
      </c>
      <c r="AJ37" s="114">
        <v>348.53421848078125</v>
      </c>
      <c r="AK37" s="114">
        <v>348.53421848078125</v>
      </c>
      <c r="AL37" s="114">
        <v>348.53421848078125</v>
      </c>
      <c r="AM37" s="114">
        <v>348.53421848078125</v>
      </c>
      <c r="AN37" s="114">
        <v>348.53421848078125</v>
      </c>
      <c r="AO37" s="114">
        <v>348.53421848078125</v>
      </c>
      <c r="AP37" s="114">
        <v>348.53421848078125</v>
      </c>
      <c r="AQ37" s="114">
        <v>348.53421848078125</v>
      </c>
      <c r="AR37" s="114">
        <v>348.53421848078125</v>
      </c>
      <c r="AS37" s="114">
        <v>348.53421848078125</v>
      </c>
      <c r="AT37" s="114">
        <v>348.53421848078125</v>
      </c>
      <c r="AU37" s="114">
        <v>348.53421848078125</v>
      </c>
      <c r="AV37" s="114">
        <v>348.53421848078125</v>
      </c>
      <c r="AW37" s="114">
        <v>348.53421848078125</v>
      </c>
      <c r="AX37" s="114">
        <v>348.53421848078125</v>
      </c>
      <c r="AY37" s="114">
        <v>348.53421848078125</v>
      </c>
    </row>
    <row r="38" spans="1:52" x14ac:dyDescent="0.2">
      <c r="A38" s="114"/>
      <c r="B38" s="168" t="s">
        <v>346</v>
      </c>
      <c r="C38" s="114"/>
      <c r="D38" s="114">
        <v>22</v>
      </c>
      <c r="E38" s="114">
        <v>12</v>
      </c>
      <c r="F38" s="114">
        <v>12</v>
      </c>
      <c r="G38" s="114">
        <v>12</v>
      </c>
      <c r="H38" s="114">
        <v>12</v>
      </c>
      <c r="I38" s="114">
        <v>12</v>
      </c>
      <c r="J38" s="114">
        <v>12</v>
      </c>
      <c r="K38" s="114">
        <v>12</v>
      </c>
      <c r="L38" s="114">
        <v>12</v>
      </c>
      <c r="M38" s="114">
        <v>12</v>
      </c>
      <c r="N38" s="114">
        <v>12</v>
      </c>
      <c r="O38" s="114">
        <v>12</v>
      </c>
      <c r="P38" s="114">
        <v>12</v>
      </c>
      <c r="Q38" s="114">
        <v>12</v>
      </c>
      <c r="R38" s="114">
        <v>12</v>
      </c>
      <c r="S38" s="114">
        <v>12</v>
      </c>
      <c r="T38" s="114">
        <v>12</v>
      </c>
      <c r="U38" s="114">
        <v>12</v>
      </c>
      <c r="V38" s="114">
        <v>12</v>
      </c>
      <c r="W38" s="114">
        <v>12</v>
      </c>
      <c r="X38" s="114">
        <v>12</v>
      </c>
      <c r="Y38" s="114"/>
      <c r="Z38" s="114">
        <v>24</v>
      </c>
      <c r="AA38" s="114">
        <v>12</v>
      </c>
      <c r="AB38" s="114">
        <v>12</v>
      </c>
      <c r="AC38" s="114">
        <v>12</v>
      </c>
      <c r="AD38" s="114">
        <v>12</v>
      </c>
      <c r="AE38" s="114"/>
      <c r="AF38" s="114">
        <v>24</v>
      </c>
      <c r="AG38" s="114">
        <v>12</v>
      </c>
      <c r="AH38" s="114">
        <v>12</v>
      </c>
      <c r="AI38" s="114">
        <v>12</v>
      </c>
      <c r="AJ38" s="114">
        <v>12</v>
      </c>
      <c r="AK38" s="114">
        <v>12</v>
      </c>
      <c r="AL38" s="114">
        <v>12</v>
      </c>
      <c r="AM38" s="114">
        <v>12</v>
      </c>
      <c r="AN38" s="114">
        <v>12</v>
      </c>
      <c r="AO38" s="114">
        <v>12</v>
      </c>
      <c r="AP38" s="114">
        <v>12</v>
      </c>
      <c r="AQ38" s="114">
        <v>12</v>
      </c>
      <c r="AR38" s="114">
        <v>12</v>
      </c>
      <c r="AS38" s="114">
        <v>12</v>
      </c>
      <c r="AT38" s="114">
        <v>12</v>
      </c>
      <c r="AU38" s="114">
        <v>12</v>
      </c>
      <c r="AV38" s="114">
        <v>12</v>
      </c>
      <c r="AW38" s="114">
        <v>12</v>
      </c>
      <c r="AX38" s="114">
        <v>12</v>
      </c>
      <c r="AY38" s="114">
        <v>12</v>
      </c>
    </row>
    <row r="39" spans="1:52" x14ac:dyDescent="0.2">
      <c r="A39" s="114"/>
      <c r="B39" s="168" t="s">
        <v>347</v>
      </c>
      <c r="C39" s="114"/>
      <c r="D39" s="114">
        <f>D33-D36</f>
        <v>0</v>
      </c>
      <c r="E39" s="114">
        <f t="shared" ref="E39:AY39" si="12">E33-E36</f>
        <v>0</v>
      </c>
      <c r="F39" s="114">
        <f t="shared" si="12"/>
        <v>0</v>
      </c>
      <c r="G39" s="114">
        <f t="shared" si="12"/>
        <v>0</v>
      </c>
      <c r="H39" s="114">
        <f t="shared" si="12"/>
        <v>0</v>
      </c>
      <c r="I39" s="114">
        <f t="shared" si="12"/>
        <v>0</v>
      </c>
      <c r="J39" s="114">
        <f t="shared" si="12"/>
        <v>0</v>
      </c>
      <c r="K39" s="114">
        <f t="shared" si="12"/>
        <v>0</v>
      </c>
      <c r="L39" s="114">
        <f t="shared" si="12"/>
        <v>0</v>
      </c>
      <c r="M39" s="114">
        <f t="shared" si="12"/>
        <v>0</v>
      </c>
      <c r="N39" s="114">
        <f t="shared" si="12"/>
        <v>0</v>
      </c>
      <c r="O39" s="114">
        <f t="shared" si="12"/>
        <v>0</v>
      </c>
      <c r="P39" s="114">
        <f t="shared" si="12"/>
        <v>0</v>
      </c>
      <c r="Q39" s="114">
        <f t="shared" si="12"/>
        <v>0</v>
      </c>
      <c r="R39" s="114">
        <f t="shared" si="12"/>
        <v>0</v>
      </c>
      <c r="S39" s="114">
        <f t="shared" si="12"/>
        <v>0</v>
      </c>
      <c r="T39" s="114">
        <f t="shared" si="12"/>
        <v>0</v>
      </c>
      <c r="U39" s="114">
        <f t="shared" si="12"/>
        <v>0</v>
      </c>
      <c r="V39" s="114">
        <f t="shared" si="12"/>
        <v>0</v>
      </c>
      <c r="W39" s="114">
        <f t="shared" si="12"/>
        <v>0</v>
      </c>
      <c r="X39" s="114">
        <f t="shared" si="12"/>
        <v>0</v>
      </c>
      <c r="Y39" s="114">
        <f t="shared" si="12"/>
        <v>0</v>
      </c>
      <c r="Z39" s="114">
        <f t="shared" si="12"/>
        <v>0</v>
      </c>
      <c r="AA39" s="114">
        <f t="shared" si="12"/>
        <v>0</v>
      </c>
      <c r="AB39" s="114">
        <f t="shared" si="12"/>
        <v>0</v>
      </c>
      <c r="AC39" s="114">
        <f t="shared" si="12"/>
        <v>0</v>
      </c>
      <c r="AD39" s="114">
        <f t="shared" si="12"/>
        <v>0</v>
      </c>
      <c r="AE39" s="114">
        <f t="shared" si="12"/>
        <v>0</v>
      </c>
      <c r="AF39" s="114">
        <f t="shared" si="12"/>
        <v>0</v>
      </c>
      <c r="AG39" s="114">
        <f t="shared" si="12"/>
        <v>0</v>
      </c>
      <c r="AH39" s="114">
        <f t="shared" si="12"/>
        <v>0</v>
      </c>
      <c r="AI39" s="114">
        <f t="shared" si="12"/>
        <v>0</v>
      </c>
      <c r="AJ39" s="114">
        <f t="shared" si="12"/>
        <v>0</v>
      </c>
      <c r="AK39" s="114">
        <f t="shared" si="12"/>
        <v>0</v>
      </c>
      <c r="AL39" s="114">
        <f t="shared" si="12"/>
        <v>0</v>
      </c>
      <c r="AM39" s="114">
        <f t="shared" si="12"/>
        <v>0</v>
      </c>
      <c r="AN39" s="114">
        <f t="shared" si="12"/>
        <v>0</v>
      </c>
      <c r="AO39" s="114">
        <f t="shared" si="12"/>
        <v>0</v>
      </c>
      <c r="AP39" s="114">
        <f t="shared" si="12"/>
        <v>0</v>
      </c>
      <c r="AQ39" s="114">
        <f t="shared" si="12"/>
        <v>0</v>
      </c>
      <c r="AR39" s="114">
        <f t="shared" si="12"/>
        <v>0</v>
      </c>
      <c r="AS39" s="114">
        <f t="shared" si="12"/>
        <v>0</v>
      </c>
      <c r="AT39" s="114">
        <f t="shared" si="12"/>
        <v>0</v>
      </c>
      <c r="AU39" s="114">
        <f t="shared" si="12"/>
        <v>0</v>
      </c>
      <c r="AV39" s="114">
        <f t="shared" si="12"/>
        <v>0</v>
      </c>
      <c r="AW39" s="114">
        <f t="shared" si="12"/>
        <v>0</v>
      </c>
      <c r="AX39" s="114">
        <f t="shared" si="12"/>
        <v>0</v>
      </c>
      <c r="AY39" s="114">
        <f t="shared" si="12"/>
        <v>0</v>
      </c>
    </row>
    <row r="40" spans="1:52" x14ac:dyDescent="0.2">
      <c r="A40" s="114"/>
      <c r="B40" s="168" t="s">
        <v>348</v>
      </c>
      <c r="C40" s="114"/>
      <c r="D40" s="114">
        <f>D34-D37</f>
        <v>0</v>
      </c>
      <c r="E40" s="114">
        <f t="shared" ref="E40:AY40" si="13">E34-E37</f>
        <v>0</v>
      </c>
      <c r="F40" s="114">
        <f t="shared" si="13"/>
        <v>0</v>
      </c>
      <c r="G40" s="114">
        <f t="shared" si="13"/>
        <v>0</v>
      </c>
      <c r="H40" s="114">
        <f t="shared" si="13"/>
        <v>0</v>
      </c>
      <c r="I40" s="114">
        <f t="shared" si="13"/>
        <v>0</v>
      </c>
      <c r="J40" s="114">
        <f t="shared" si="13"/>
        <v>0</v>
      </c>
      <c r="K40" s="114">
        <f t="shared" si="13"/>
        <v>0</v>
      </c>
      <c r="L40" s="114">
        <f t="shared" si="13"/>
        <v>0</v>
      </c>
      <c r="M40" s="114">
        <f t="shared" si="13"/>
        <v>0</v>
      </c>
      <c r="N40" s="114">
        <f t="shared" si="13"/>
        <v>0</v>
      </c>
      <c r="O40" s="114">
        <f t="shared" si="13"/>
        <v>0</v>
      </c>
      <c r="P40" s="114">
        <f t="shared" si="13"/>
        <v>0</v>
      </c>
      <c r="Q40" s="114">
        <f t="shared" si="13"/>
        <v>0</v>
      </c>
      <c r="R40" s="114">
        <f t="shared" si="13"/>
        <v>0</v>
      </c>
      <c r="S40" s="114">
        <f t="shared" si="13"/>
        <v>0</v>
      </c>
      <c r="T40" s="114">
        <f t="shared" si="13"/>
        <v>0</v>
      </c>
      <c r="U40" s="114">
        <f t="shared" si="13"/>
        <v>0</v>
      </c>
      <c r="V40" s="114">
        <f t="shared" si="13"/>
        <v>0</v>
      </c>
      <c r="W40" s="114">
        <f t="shared" si="13"/>
        <v>0</v>
      </c>
      <c r="X40" s="114">
        <f t="shared" si="13"/>
        <v>0</v>
      </c>
      <c r="Y40" s="114">
        <f t="shared" si="13"/>
        <v>0</v>
      </c>
      <c r="Z40" s="114">
        <f t="shared" si="13"/>
        <v>0</v>
      </c>
      <c r="AA40" s="114">
        <f t="shared" si="13"/>
        <v>0</v>
      </c>
      <c r="AB40" s="114">
        <f t="shared" si="13"/>
        <v>0</v>
      </c>
      <c r="AC40" s="114">
        <f t="shared" si="13"/>
        <v>0</v>
      </c>
      <c r="AD40" s="114">
        <f t="shared" si="13"/>
        <v>0</v>
      </c>
      <c r="AE40" s="114">
        <f t="shared" si="13"/>
        <v>0</v>
      </c>
      <c r="AF40" s="114">
        <f t="shared" si="13"/>
        <v>0</v>
      </c>
      <c r="AG40" s="114">
        <f t="shared" si="13"/>
        <v>0</v>
      </c>
      <c r="AH40" s="114">
        <f t="shared" si="13"/>
        <v>0</v>
      </c>
      <c r="AI40" s="114">
        <f t="shared" si="13"/>
        <v>0</v>
      </c>
      <c r="AJ40" s="114">
        <f t="shared" si="13"/>
        <v>0</v>
      </c>
      <c r="AK40" s="114">
        <f t="shared" si="13"/>
        <v>0</v>
      </c>
      <c r="AL40" s="114">
        <f t="shared" si="13"/>
        <v>0</v>
      </c>
      <c r="AM40" s="114">
        <f t="shared" si="13"/>
        <v>0</v>
      </c>
      <c r="AN40" s="114">
        <f t="shared" si="13"/>
        <v>0</v>
      </c>
      <c r="AO40" s="114">
        <f t="shared" si="13"/>
        <v>0</v>
      </c>
      <c r="AP40" s="114">
        <f t="shared" si="13"/>
        <v>0</v>
      </c>
      <c r="AQ40" s="114">
        <f t="shared" si="13"/>
        <v>0</v>
      </c>
      <c r="AR40" s="114">
        <f t="shared" si="13"/>
        <v>0</v>
      </c>
      <c r="AS40" s="114">
        <f t="shared" si="13"/>
        <v>0</v>
      </c>
      <c r="AT40" s="114">
        <f t="shared" si="13"/>
        <v>0</v>
      </c>
      <c r="AU40" s="114">
        <f t="shared" si="13"/>
        <v>0</v>
      </c>
      <c r="AV40" s="114">
        <f t="shared" si="13"/>
        <v>0</v>
      </c>
      <c r="AW40" s="114">
        <f t="shared" si="13"/>
        <v>0</v>
      </c>
      <c r="AX40" s="114">
        <f t="shared" si="13"/>
        <v>0</v>
      </c>
      <c r="AY40" s="114">
        <f t="shared" si="13"/>
        <v>0</v>
      </c>
    </row>
    <row r="41" spans="1:52" x14ac:dyDescent="0.2">
      <c r="A41" s="114"/>
      <c r="B41" s="168" t="s">
        <v>349</v>
      </c>
      <c r="C41" s="114"/>
      <c r="D41" s="114">
        <v>1</v>
      </c>
      <c r="E41" s="114">
        <v>1</v>
      </c>
      <c r="F41" s="114">
        <v>1</v>
      </c>
      <c r="G41" s="114">
        <v>1</v>
      </c>
      <c r="H41" s="114">
        <v>2</v>
      </c>
      <c r="I41" s="114">
        <v>1</v>
      </c>
      <c r="J41" s="114">
        <v>2</v>
      </c>
      <c r="K41" s="114">
        <v>2</v>
      </c>
      <c r="L41" s="114">
        <v>1</v>
      </c>
      <c r="M41" s="114">
        <v>1</v>
      </c>
      <c r="N41" s="114">
        <v>1</v>
      </c>
      <c r="O41" s="114">
        <v>1</v>
      </c>
      <c r="P41" s="114">
        <v>1</v>
      </c>
      <c r="Q41" s="114">
        <v>2</v>
      </c>
      <c r="R41" s="114">
        <v>1</v>
      </c>
      <c r="S41" s="114">
        <v>1</v>
      </c>
      <c r="T41" s="114">
        <v>3</v>
      </c>
      <c r="U41" s="114">
        <v>2</v>
      </c>
      <c r="V41" s="114">
        <v>1</v>
      </c>
      <c r="W41" s="114">
        <v>2</v>
      </c>
      <c r="X41" s="114">
        <v>2</v>
      </c>
      <c r="Y41" s="114">
        <v>2</v>
      </c>
      <c r="Z41" s="114">
        <v>1</v>
      </c>
      <c r="AA41" s="114">
        <v>1</v>
      </c>
      <c r="AB41" s="114">
        <v>2</v>
      </c>
      <c r="AC41" s="114">
        <v>1</v>
      </c>
      <c r="AD41" s="114">
        <v>1</v>
      </c>
      <c r="AE41" s="114">
        <v>1</v>
      </c>
      <c r="AF41" s="114">
        <v>2</v>
      </c>
      <c r="AG41" s="114">
        <v>1</v>
      </c>
      <c r="AH41" s="114">
        <v>2</v>
      </c>
      <c r="AI41" s="114">
        <v>1</v>
      </c>
      <c r="AJ41" s="114">
        <v>1</v>
      </c>
      <c r="AK41" s="114">
        <v>3</v>
      </c>
      <c r="AL41" s="114">
        <v>1</v>
      </c>
      <c r="AM41" s="114">
        <v>1</v>
      </c>
      <c r="AN41" s="114">
        <v>2</v>
      </c>
      <c r="AO41" s="114">
        <v>1</v>
      </c>
      <c r="AP41" s="114">
        <v>1</v>
      </c>
      <c r="AQ41" s="114">
        <v>2</v>
      </c>
      <c r="AR41" s="114">
        <v>1</v>
      </c>
      <c r="AS41" s="114">
        <v>1</v>
      </c>
      <c r="AT41" s="114">
        <v>2</v>
      </c>
      <c r="AU41" s="114">
        <v>1</v>
      </c>
      <c r="AV41" s="114">
        <v>2</v>
      </c>
      <c r="AW41" s="114">
        <v>1</v>
      </c>
      <c r="AX41" s="114">
        <v>2</v>
      </c>
      <c r="AY41" s="114">
        <v>2</v>
      </c>
    </row>
    <row r="42" spans="1:52" x14ac:dyDescent="0.2">
      <c r="A42" s="114"/>
      <c r="B42" s="179" t="s">
        <v>350</v>
      </c>
      <c r="C42" s="114"/>
      <c r="D42" s="114">
        <v>986040</v>
      </c>
      <c r="E42" s="114">
        <v>537840</v>
      </c>
      <c r="F42" s="114">
        <v>537840</v>
      </c>
      <c r="G42" s="114">
        <v>537840</v>
      </c>
      <c r="H42" s="114">
        <v>537840</v>
      </c>
      <c r="I42" s="114">
        <v>537840</v>
      </c>
      <c r="J42" s="114">
        <v>537840</v>
      </c>
      <c r="K42" s="114">
        <v>537840</v>
      </c>
      <c r="L42" s="114">
        <v>537840</v>
      </c>
      <c r="M42" s="114">
        <v>537840</v>
      </c>
      <c r="N42" s="114">
        <v>537840</v>
      </c>
      <c r="O42" s="114">
        <v>537840</v>
      </c>
      <c r="P42" s="114">
        <v>537840</v>
      </c>
      <c r="Q42" s="114">
        <v>537840</v>
      </c>
      <c r="R42" s="114">
        <v>537840</v>
      </c>
      <c r="S42" s="114">
        <v>537840</v>
      </c>
      <c r="T42" s="114">
        <v>537840</v>
      </c>
      <c r="U42" s="114">
        <v>537840</v>
      </c>
      <c r="V42" s="114">
        <v>537840</v>
      </c>
      <c r="W42" s="114">
        <v>537840</v>
      </c>
      <c r="X42" s="114">
        <v>537840</v>
      </c>
      <c r="Y42" s="114">
        <v>0</v>
      </c>
      <c r="Z42" s="114">
        <v>1075680</v>
      </c>
      <c r="AA42" s="114">
        <v>537840</v>
      </c>
      <c r="AB42" s="114">
        <v>537840</v>
      </c>
      <c r="AC42" s="114">
        <v>537840</v>
      </c>
      <c r="AD42" s="114">
        <v>537840</v>
      </c>
      <c r="AE42" s="114">
        <v>0</v>
      </c>
      <c r="AF42" s="114">
        <v>1075680</v>
      </c>
      <c r="AG42" s="114">
        <v>537840</v>
      </c>
      <c r="AH42" s="114">
        <v>537840</v>
      </c>
      <c r="AI42" s="114">
        <v>537840</v>
      </c>
      <c r="AJ42" s="114">
        <v>537840</v>
      </c>
      <c r="AK42" s="114">
        <v>537840</v>
      </c>
      <c r="AL42" s="114">
        <v>537840</v>
      </c>
      <c r="AM42" s="114">
        <v>537840</v>
      </c>
      <c r="AN42" s="114">
        <v>537840</v>
      </c>
      <c r="AO42" s="114">
        <v>537840</v>
      </c>
      <c r="AP42" s="114">
        <v>537840</v>
      </c>
      <c r="AQ42" s="114">
        <v>537840</v>
      </c>
      <c r="AR42" s="114">
        <v>537840</v>
      </c>
      <c r="AS42" s="114">
        <v>537840</v>
      </c>
      <c r="AT42" s="114">
        <v>537840</v>
      </c>
      <c r="AU42" s="114">
        <v>537840</v>
      </c>
      <c r="AV42" s="114">
        <v>537840</v>
      </c>
      <c r="AW42" s="114">
        <v>537840</v>
      </c>
      <c r="AX42" s="114">
        <v>537840</v>
      </c>
      <c r="AY42" s="114">
        <v>537840</v>
      </c>
      <c r="AZ42">
        <f>SUM($D$42:$AY$42)</f>
        <v>26264520</v>
      </c>
    </row>
    <row r="43" spans="1:52" x14ac:dyDescent="0.2">
      <c r="A43" s="114"/>
      <c r="B43" s="179" t="s">
        <v>351</v>
      </c>
      <c r="C43" s="114"/>
      <c r="D43" s="114">
        <v>0</v>
      </c>
      <c r="E43" s="114">
        <v>0</v>
      </c>
      <c r="F43" s="114">
        <v>0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114">
        <v>0</v>
      </c>
      <c r="M43" s="114">
        <v>0</v>
      </c>
      <c r="N43" s="114">
        <v>0</v>
      </c>
      <c r="O43" s="114">
        <v>0</v>
      </c>
      <c r="P43" s="114">
        <v>0</v>
      </c>
      <c r="Q43" s="114">
        <v>0</v>
      </c>
      <c r="R43" s="114">
        <v>0</v>
      </c>
      <c r="S43" s="114">
        <v>0</v>
      </c>
      <c r="T43" s="114">
        <v>0</v>
      </c>
      <c r="U43" s="114">
        <v>0</v>
      </c>
      <c r="V43" s="114">
        <v>0</v>
      </c>
      <c r="W43" s="114">
        <v>0</v>
      </c>
      <c r="X43" s="114">
        <v>0</v>
      </c>
      <c r="Y43" s="114">
        <v>0</v>
      </c>
      <c r="Z43" s="114">
        <v>0</v>
      </c>
      <c r="AA43" s="114">
        <v>0</v>
      </c>
      <c r="AB43" s="114">
        <v>0</v>
      </c>
      <c r="AC43" s="114">
        <v>0</v>
      </c>
      <c r="AD43" s="114">
        <v>0</v>
      </c>
      <c r="AE43" s="114">
        <v>0</v>
      </c>
      <c r="AF43" s="114">
        <v>0</v>
      </c>
      <c r="AG43" s="114">
        <v>0</v>
      </c>
      <c r="AH43" s="114">
        <v>0</v>
      </c>
      <c r="AI43" s="114">
        <v>0</v>
      </c>
      <c r="AJ43" s="114">
        <v>0</v>
      </c>
      <c r="AK43" s="114">
        <v>0</v>
      </c>
      <c r="AL43" s="114">
        <v>0</v>
      </c>
      <c r="AM43" s="114">
        <v>0</v>
      </c>
      <c r="AN43" s="114">
        <v>0</v>
      </c>
      <c r="AO43" s="114">
        <v>0</v>
      </c>
      <c r="AP43" s="114">
        <v>0</v>
      </c>
      <c r="AQ43" s="114">
        <v>0</v>
      </c>
      <c r="AR43" s="114">
        <v>0</v>
      </c>
      <c r="AS43" s="114">
        <v>0</v>
      </c>
      <c r="AT43" s="114">
        <v>0</v>
      </c>
      <c r="AU43" s="114">
        <v>0</v>
      </c>
      <c r="AV43" s="114">
        <v>0</v>
      </c>
      <c r="AW43" s="114">
        <v>0</v>
      </c>
      <c r="AX43" s="114">
        <v>0</v>
      </c>
      <c r="AY43" s="114">
        <v>0</v>
      </c>
      <c r="AZ43">
        <f>SUM($D$43:$AY$43)</f>
        <v>0</v>
      </c>
    </row>
    <row r="44" spans="1:52" x14ac:dyDescent="0.2">
      <c r="A44" s="138" t="s">
        <v>59</v>
      </c>
      <c r="B44" s="138" t="s">
        <v>341</v>
      </c>
      <c r="C44" s="127"/>
      <c r="D44" s="127">
        <f>D$21*shipping_manufacturing!$H$28/100</f>
        <v>212.38778186494901</v>
      </c>
      <c r="E44" s="127">
        <f>E$21*shipping_manufacturing!$H$28/100</f>
        <v>116.17807282692708</v>
      </c>
      <c r="F44" s="127">
        <f>F$21*shipping_manufacturing!$H$28/100</f>
        <v>116.17807282692708</v>
      </c>
      <c r="G44" s="127">
        <f>G$21*shipping_manufacturing!$H$28/100</f>
        <v>116.17807282692708</v>
      </c>
      <c r="H44" s="127">
        <f>H$21*shipping_manufacturing!$H$28/100</f>
        <v>116.17807282692708</v>
      </c>
      <c r="I44" s="127">
        <f>I$21*shipping_manufacturing!$H$28/100</f>
        <v>116.17807282692708</v>
      </c>
      <c r="J44" s="127">
        <f>J$21*shipping_manufacturing!$H$28/100</f>
        <v>116.17807282692708</v>
      </c>
      <c r="K44" s="127">
        <f>K$21*shipping_manufacturing!$H$28/100</f>
        <v>116.17807282692708</v>
      </c>
      <c r="L44" s="127">
        <f>L$21*shipping_manufacturing!$H$28/100</f>
        <v>116.17807282692708</v>
      </c>
      <c r="M44" s="127">
        <f>M$21*shipping_manufacturing!$H$28/100</f>
        <v>116.17807282692708</v>
      </c>
      <c r="N44" s="127">
        <f>N$21*shipping_manufacturing!$H$28/100</f>
        <v>116.17807282692708</v>
      </c>
      <c r="O44" s="127">
        <f>O$21*shipping_manufacturing!$H$28/100</f>
        <v>116.17807282692708</v>
      </c>
      <c r="P44" s="127">
        <f>P$21*shipping_manufacturing!$H$28/100</f>
        <v>116.17807282692708</v>
      </c>
      <c r="Q44" s="127">
        <f>Q$21*shipping_manufacturing!$H$28/100</f>
        <v>116.17807282692708</v>
      </c>
      <c r="R44" s="127">
        <f>R$21*shipping_manufacturing!$H$28/100</f>
        <v>116.17807282692708</v>
      </c>
      <c r="S44" s="127">
        <f>S$21*shipping_manufacturing!$H$28/100</f>
        <v>116.17807282692708</v>
      </c>
      <c r="T44" s="127">
        <f>T$21*shipping_manufacturing!$H$28/100</f>
        <v>116.17807282692708</v>
      </c>
      <c r="U44" s="127">
        <f>U$21*shipping_manufacturing!$H$28/100</f>
        <v>116.17807282692708</v>
      </c>
      <c r="V44" s="127">
        <f>V$21*shipping_manufacturing!$H$28/100</f>
        <v>116.17807282692708</v>
      </c>
      <c r="W44" s="127">
        <f>W$21*shipping_manufacturing!$H$28/100</f>
        <v>116.17807282692708</v>
      </c>
      <c r="X44" s="127">
        <f>X$21*shipping_manufacturing!$H$28/100</f>
        <v>116.17807282692708</v>
      </c>
      <c r="Y44" s="127">
        <f>Y$21*shipping_manufacturing!$H$28/100</f>
        <v>0</v>
      </c>
      <c r="Z44" s="127">
        <f>Z$21*shipping_manufacturing!$H$28/100</f>
        <v>232.35614565385416</v>
      </c>
      <c r="AA44" s="127">
        <f>AA$21*shipping_manufacturing!$H$28/100</f>
        <v>116.17807282692708</v>
      </c>
      <c r="AB44" s="127">
        <f>AB$21*shipping_manufacturing!$H$28/100</f>
        <v>116.17807282692708</v>
      </c>
      <c r="AC44" s="127">
        <f>AC$21*shipping_manufacturing!$H$28/100</f>
        <v>116.17807282692708</v>
      </c>
      <c r="AD44" s="127">
        <f>AD$21*shipping_manufacturing!$H$28/100</f>
        <v>116.17807282692708</v>
      </c>
      <c r="AE44" s="127">
        <f>AE$21*shipping_manufacturing!$H$28/100</f>
        <v>0</v>
      </c>
      <c r="AF44" s="127">
        <f>AF$21*shipping_manufacturing!$H$28/100</f>
        <v>232.35614565385416</v>
      </c>
      <c r="AG44" s="127">
        <f>AG$21*shipping_manufacturing!$H$28/100</f>
        <v>116.17807282692708</v>
      </c>
      <c r="AH44" s="127">
        <f>AH$21*shipping_manufacturing!$H$28/100</f>
        <v>116.17807282692708</v>
      </c>
      <c r="AI44" s="127">
        <f>AI$21*shipping_manufacturing!$H$28/100</f>
        <v>116.17807282692708</v>
      </c>
      <c r="AJ44" s="127">
        <f>AJ$21*shipping_manufacturing!$H$28/100</f>
        <v>116.17807282692708</v>
      </c>
      <c r="AK44" s="127">
        <f>AK$21*shipping_manufacturing!$H$28/100</f>
        <v>116.17807282692708</v>
      </c>
      <c r="AL44" s="127">
        <f>AL$21*shipping_manufacturing!$H$28/100</f>
        <v>116.17807282692708</v>
      </c>
      <c r="AM44" s="127">
        <f>AM$21*shipping_manufacturing!$H$28/100</f>
        <v>116.17807282692708</v>
      </c>
      <c r="AN44" s="127">
        <f>AN$21*shipping_manufacturing!$H$28/100</f>
        <v>116.17807282692708</v>
      </c>
      <c r="AO44" s="127">
        <f>AO$21*shipping_manufacturing!$H$28/100</f>
        <v>116.17807282692708</v>
      </c>
      <c r="AP44" s="127">
        <f>AP$21*shipping_manufacturing!$H$28/100</f>
        <v>116.17807282692708</v>
      </c>
      <c r="AQ44" s="127">
        <f>AQ$21*shipping_manufacturing!$H$28/100</f>
        <v>116.17807282692708</v>
      </c>
      <c r="AR44" s="127">
        <f>AR$21*shipping_manufacturing!$H$28/100</f>
        <v>116.17807282692708</v>
      </c>
      <c r="AS44" s="127">
        <f>AS$21*shipping_manufacturing!$H$28/100</f>
        <v>116.17807282692708</v>
      </c>
      <c r="AT44" s="127">
        <f>AT$21*shipping_manufacturing!$H$28/100</f>
        <v>116.17807282692708</v>
      </c>
      <c r="AU44" s="127">
        <f>AU$21*shipping_manufacturing!$H$28/100</f>
        <v>116.17807282692708</v>
      </c>
      <c r="AV44" s="127">
        <f>AV$21*shipping_manufacturing!$H$28/100</f>
        <v>116.17807282692708</v>
      </c>
      <c r="AW44" s="127">
        <f>AW$21*shipping_manufacturing!$H$28/100</f>
        <v>116.17807282692708</v>
      </c>
      <c r="AX44" s="127">
        <f>AX$21*shipping_manufacturing!$H$28/100</f>
        <v>116.17807282692708</v>
      </c>
      <c r="AY44" s="127">
        <f>AY$21*shipping_manufacturing!$H$28/100</f>
        <v>116.17807282692708</v>
      </c>
    </row>
    <row r="45" spans="1:52" x14ac:dyDescent="0.2">
      <c r="A45" s="116" t="s">
        <v>340</v>
      </c>
      <c r="B45" s="168" t="s">
        <v>342</v>
      </c>
      <c r="C45" s="114"/>
      <c r="D45" s="114">
        <f>D$22*shipping_manufacturing!$I$28/100</f>
        <v>0</v>
      </c>
      <c r="E45" s="114">
        <f>E$22*shipping_manufacturing!$I$28/100</f>
        <v>0</v>
      </c>
      <c r="F45" s="114">
        <f>F$22*shipping_manufacturing!$I$28/100</f>
        <v>0</v>
      </c>
      <c r="G45" s="114">
        <f>G$22*shipping_manufacturing!$I$28/100</f>
        <v>0</v>
      </c>
      <c r="H45" s="114">
        <f>H$22*shipping_manufacturing!$I$28/100</f>
        <v>0</v>
      </c>
      <c r="I45" s="114">
        <f>I$22*shipping_manufacturing!$I$28/100</f>
        <v>0</v>
      </c>
      <c r="J45" s="114">
        <f>J$22*shipping_manufacturing!$I$28/100</f>
        <v>0</v>
      </c>
      <c r="K45" s="114">
        <f>K$22*shipping_manufacturing!$I$28/100</f>
        <v>0</v>
      </c>
      <c r="L45" s="114">
        <f>L$22*shipping_manufacturing!$I$28/100</f>
        <v>0</v>
      </c>
      <c r="M45" s="114">
        <f>M$22*shipping_manufacturing!$I$28/100</f>
        <v>0</v>
      </c>
      <c r="N45" s="114">
        <f>N$22*shipping_manufacturing!$I$28/100</f>
        <v>0</v>
      </c>
      <c r="O45" s="114">
        <f>O$22*shipping_manufacturing!$I$28/100</f>
        <v>0</v>
      </c>
      <c r="P45" s="114">
        <f>P$22*shipping_manufacturing!$I$28/100</f>
        <v>0</v>
      </c>
      <c r="Q45" s="114">
        <f>Q$22*shipping_manufacturing!$I$28/100</f>
        <v>0</v>
      </c>
      <c r="R45" s="114">
        <f>R$22*shipping_manufacturing!$I$28/100</f>
        <v>0</v>
      </c>
      <c r="S45" s="114">
        <f>S$22*shipping_manufacturing!$I$28/100</f>
        <v>0</v>
      </c>
      <c r="T45" s="114">
        <f>T$22*shipping_manufacturing!$I$28/100</f>
        <v>0</v>
      </c>
      <c r="U45" s="114">
        <f>U$22*shipping_manufacturing!$I$28/100</f>
        <v>0</v>
      </c>
      <c r="V45" s="114">
        <f>V$22*shipping_manufacturing!$I$28/100</f>
        <v>0</v>
      </c>
      <c r="W45" s="114">
        <f>W$22*shipping_manufacturing!$I$28/100</f>
        <v>0</v>
      </c>
      <c r="X45" s="114">
        <f>X$22*shipping_manufacturing!$I$28/100</f>
        <v>0</v>
      </c>
      <c r="Y45" s="114">
        <f>Y$22*shipping_manufacturing!$I$28/100</f>
        <v>0</v>
      </c>
      <c r="Z45" s="114">
        <f>Z$22*shipping_manufacturing!$I$28/100</f>
        <v>0</v>
      </c>
      <c r="AA45" s="114">
        <f>AA$22*shipping_manufacturing!$I$28/100</f>
        <v>0</v>
      </c>
      <c r="AB45" s="114">
        <f>AB$22*shipping_manufacturing!$I$28/100</f>
        <v>0</v>
      </c>
      <c r="AC45" s="114">
        <f>AC$22*shipping_manufacturing!$I$28/100</f>
        <v>0</v>
      </c>
      <c r="AD45" s="114">
        <f>AD$22*shipping_manufacturing!$I$28/100</f>
        <v>0</v>
      </c>
      <c r="AE45" s="114">
        <f>AE$22*shipping_manufacturing!$I$28/100</f>
        <v>0</v>
      </c>
      <c r="AF45" s="114">
        <f>AF$22*shipping_manufacturing!$I$28/100</f>
        <v>0</v>
      </c>
      <c r="AG45" s="114">
        <f>AG$22*shipping_manufacturing!$I$28/100</f>
        <v>0</v>
      </c>
      <c r="AH45" s="114">
        <f>AH$22*shipping_manufacturing!$I$28/100</f>
        <v>0</v>
      </c>
      <c r="AI45" s="114">
        <f>AI$22*shipping_manufacturing!$I$28/100</f>
        <v>0</v>
      </c>
      <c r="AJ45" s="114">
        <f>AJ$22*shipping_manufacturing!$I$28/100</f>
        <v>0</v>
      </c>
      <c r="AK45" s="114">
        <f>AK$22*shipping_manufacturing!$I$28/100</f>
        <v>0</v>
      </c>
      <c r="AL45" s="114">
        <f>AL$22*shipping_manufacturing!$I$28/100</f>
        <v>0</v>
      </c>
      <c r="AM45" s="114">
        <f>AM$22*shipping_manufacturing!$I$28/100</f>
        <v>0</v>
      </c>
      <c r="AN45" s="114">
        <f>AN$22*shipping_manufacturing!$I$28/100</f>
        <v>0</v>
      </c>
      <c r="AO45" s="114">
        <f>AO$22*shipping_manufacturing!$I$28/100</f>
        <v>0</v>
      </c>
      <c r="AP45" s="114">
        <f>AP$22*shipping_manufacturing!$I$28/100</f>
        <v>0</v>
      </c>
      <c r="AQ45" s="114">
        <f>AQ$22*shipping_manufacturing!$I$28/100</f>
        <v>0</v>
      </c>
      <c r="AR45" s="114">
        <f>AR$22*shipping_manufacturing!$I$28/100</f>
        <v>0</v>
      </c>
      <c r="AS45" s="114">
        <f>AS$22*shipping_manufacturing!$I$28/100</f>
        <v>0</v>
      </c>
      <c r="AT45" s="114">
        <f>AT$22*shipping_manufacturing!$I$28/100</f>
        <v>0</v>
      </c>
      <c r="AU45" s="114">
        <f>AU$22*shipping_manufacturing!$I$28/100</f>
        <v>0</v>
      </c>
      <c r="AV45" s="114">
        <f>AV$22*shipping_manufacturing!$I$28/100</f>
        <v>0</v>
      </c>
      <c r="AW45" s="114">
        <f>AW$22*shipping_manufacturing!$I$28/100</f>
        <v>0</v>
      </c>
      <c r="AX45" s="114">
        <f>AX$22*shipping_manufacturing!$I$28/100</f>
        <v>0</v>
      </c>
      <c r="AY45" s="114">
        <f>AY$22*shipping_manufacturing!$I$28/100</f>
        <v>0</v>
      </c>
    </row>
    <row r="46" spans="1:52" x14ac:dyDescent="0.2">
      <c r="A46" s="114">
        <v>495</v>
      </c>
      <c r="B46" s="168" t="s">
        <v>343</v>
      </c>
      <c r="C46" s="114"/>
      <c r="D46" s="114">
        <f>SUM(D44:D45)</f>
        <v>212.38778186494901</v>
      </c>
      <c r="E46" s="114">
        <f t="shared" ref="E46:AY46" si="14">SUM(E44:E45)</f>
        <v>116.17807282692708</v>
      </c>
      <c r="F46" s="114">
        <f t="shared" si="14"/>
        <v>116.17807282692708</v>
      </c>
      <c r="G46" s="114">
        <f t="shared" si="14"/>
        <v>116.17807282692708</v>
      </c>
      <c r="H46" s="114">
        <f t="shared" si="14"/>
        <v>116.17807282692708</v>
      </c>
      <c r="I46" s="114">
        <f t="shared" si="14"/>
        <v>116.17807282692708</v>
      </c>
      <c r="J46" s="114">
        <f t="shared" si="14"/>
        <v>116.17807282692708</v>
      </c>
      <c r="K46" s="114">
        <f t="shared" si="14"/>
        <v>116.17807282692708</v>
      </c>
      <c r="L46" s="114">
        <f t="shared" si="14"/>
        <v>116.17807282692708</v>
      </c>
      <c r="M46" s="114">
        <f t="shared" si="14"/>
        <v>116.17807282692708</v>
      </c>
      <c r="N46" s="114">
        <f t="shared" si="14"/>
        <v>116.17807282692708</v>
      </c>
      <c r="O46" s="114">
        <f t="shared" si="14"/>
        <v>116.17807282692708</v>
      </c>
      <c r="P46" s="114">
        <f t="shared" si="14"/>
        <v>116.17807282692708</v>
      </c>
      <c r="Q46" s="114">
        <f t="shared" si="14"/>
        <v>116.17807282692708</v>
      </c>
      <c r="R46" s="114">
        <f t="shared" si="14"/>
        <v>116.17807282692708</v>
      </c>
      <c r="S46" s="114">
        <f t="shared" si="14"/>
        <v>116.17807282692708</v>
      </c>
      <c r="T46" s="114">
        <f t="shared" si="14"/>
        <v>116.17807282692708</v>
      </c>
      <c r="U46" s="114">
        <f t="shared" si="14"/>
        <v>116.17807282692708</v>
      </c>
      <c r="V46" s="114">
        <f t="shared" si="14"/>
        <v>116.17807282692708</v>
      </c>
      <c r="W46" s="114">
        <f t="shared" si="14"/>
        <v>116.17807282692708</v>
      </c>
      <c r="X46" s="114">
        <f t="shared" si="14"/>
        <v>116.17807282692708</v>
      </c>
      <c r="Y46" s="114">
        <f t="shared" si="14"/>
        <v>0</v>
      </c>
      <c r="Z46" s="114">
        <f t="shared" si="14"/>
        <v>232.35614565385416</v>
      </c>
      <c r="AA46" s="114">
        <f t="shared" si="14"/>
        <v>116.17807282692708</v>
      </c>
      <c r="AB46" s="114">
        <f t="shared" si="14"/>
        <v>116.17807282692708</v>
      </c>
      <c r="AC46" s="114">
        <f t="shared" si="14"/>
        <v>116.17807282692708</v>
      </c>
      <c r="AD46" s="114">
        <f t="shared" si="14"/>
        <v>116.17807282692708</v>
      </c>
      <c r="AE46" s="114">
        <f t="shared" si="14"/>
        <v>0</v>
      </c>
      <c r="AF46" s="114">
        <f t="shared" si="14"/>
        <v>232.35614565385416</v>
      </c>
      <c r="AG46" s="114">
        <f t="shared" si="14"/>
        <v>116.17807282692708</v>
      </c>
      <c r="AH46" s="114">
        <f t="shared" si="14"/>
        <v>116.17807282692708</v>
      </c>
      <c r="AI46" s="114">
        <f t="shared" si="14"/>
        <v>116.17807282692708</v>
      </c>
      <c r="AJ46" s="114">
        <f t="shared" si="14"/>
        <v>116.17807282692708</v>
      </c>
      <c r="AK46" s="114">
        <f t="shared" si="14"/>
        <v>116.17807282692708</v>
      </c>
      <c r="AL46" s="114">
        <f t="shared" si="14"/>
        <v>116.17807282692708</v>
      </c>
      <c r="AM46" s="114">
        <f t="shared" si="14"/>
        <v>116.17807282692708</v>
      </c>
      <c r="AN46" s="114">
        <f t="shared" si="14"/>
        <v>116.17807282692708</v>
      </c>
      <c r="AO46" s="114">
        <f t="shared" si="14"/>
        <v>116.17807282692708</v>
      </c>
      <c r="AP46" s="114">
        <f t="shared" si="14"/>
        <v>116.17807282692708</v>
      </c>
      <c r="AQ46" s="114">
        <f t="shared" si="14"/>
        <v>116.17807282692708</v>
      </c>
      <c r="AR46" s="114">
        <f t="shared" si="14"/>
        <v>116.17807282692708</v>
      </c>
      <c r="AS46" s="114">
        <f t="shared" si="14"/>
        <v>116.17807282692708</v>
      </c>
      <c r="AT46" s="114">
        <f t="shared" si="14"/>
        <v>116.17807282692708</v>
      </c>
      <c r="AU46" s="114">
        <f t="shared" si="14"/>
        <v>116.17807282692708</v>
      </c>
      <c r="AV46" s="114">
        <f t="shared" si="14"/>
        <v>116.17807282692708</v>
      </c>
      <c r="AW46" s="114">
        <f t="shared" si="14"/>
        <v>116.17807282692708</v>
      </c>
      <c r="AX46" s="114">
        <f t="shared" si="14"/>
        <v>116.17807282692708</v>
      </c>
      <c r="AY46" s="114">
        <f t="shared" si="14"/>
        <v>116.17807282692708</v>
      </c>
    </row>
    <row r="47" spans="1:52" x14ac:dyDescent="0.2">
      <c r="A47" s="114"/>
      <c r="B47" s="168" t="s">
        <v>344</v>
      </c>
      <c r="C47" s="114"/>
      <c r="D47" s="114">
        <v>212.38778186494901</v>
      </c>
      <c r="E47" s="114">
        <v>116.17807282692708</v>
      </c>
      <c r="F47" s="114">
        <v>116.17807282692708</v>
      </c>
      <c r="G47" s="114">
        <v>116.17807282692708</v>
      </c>
      <c r="H47" s="114">
        <v>116.17807282692708</v>
      </c>
      <c r="I47" s="114">
        <v>116.17807282692708</v>
      </c>
      <c r="J47" s="114">
        <v>116.17807282692708</v>
      </c>
      <c r="K47" s="114">
        <v>116.17807282692708</v>
      </c>
      <c r="L47" s="114">
        <v>116.17807282692708</v>
      </c>
      <c r="M47" s="114">
        <v>116.17807282692708</v>
      </c>
      <c r="N47" s="114">
        <v>116.17807282692708</v>
      </c>
      <c r="O47" s="114">
        <v>116.17807282692708</v>
      </c>
      <c r="P47" s="114">
        <v>116.17807282692708</v>
      </c>
      <c r="Q47" s="114">
        <v>116.17807282692708</v>
      </c>
      <c r="R47" s="114">
        <v>116.17807282692708</v>
      </c>
      <c r="S47" s="114">
        <v>116.17807282692708</v>
      </c>
      <c r="T47" s="114">
        <v>116.17807282692708</v>
      </c>
      <c r="U47" s="114">
        <v>116.17807282692708</v>
      </c>
      <c r="V47" s="114">
        <v>116.17807282692708</v>
      </c>
      <c r="W47" s="114">
        <v>116.17807282692708</v>
      </c>
      <c r="X47" s="114">
        <v>116.17807282692708</v>
      </c>
      <c r="Y47" s="114"/>
      <c r="Z47" s="114">
        <v>232.35614565385416</v>
      </c>
      <c r="AA47" s="114">
        <v>116.17807282692708</v>
      </c>
      <c r="AB47" s="114">
        <v>116.17807282692708</v>
      </c>
      <c r="AC47" s="114">
        <v>116.17807282692708</v>
      </c>
      <c r="AD47" s="114">
        <v>116.17807282692708</v>
      </c>
      <c r="AE47" s="114"/>
      <c r="AF47" s="114">
        <v>232.35614565385416</v>
      </c>
      <c r="AG47" s="114">
        <v>116.17807282692708</v>
      </c>
      <c r="AH47" s="114">
        <v>116.17807282692708</v>
      </c>
      <c r="AI47" s="114">
        <v>116.17807282692708</v>
      </c>
      <c r="AJ47" s="114">
        <v>116.17807282692708</v>
      </c>
      <c r="AK47" s="114">
        <v>116.17807282692708</v>
      </c>
      <c r="AL47" s="114">
        <v>116.17807282692708</v>
      </c>
      <c r="AM47" s="114">
        <v>116.17807282692708</v>
      </c>
      <c r="AN47" s="114">
        <v>116.17807282692708</v>
      </c>
      <c r="AO47" s="114">
        <v>116.17807282692708</v>
      </c>
      <c r="AP47" s="114">
        <v>116.17807282692708</v>
      </c>
      <c r="AQ47" s="114">
        <v>116.17807282692708</v>
      </c>
      <c r="AR47" s="114">
        <v>116.17807282692708</v>
      </c>
      <c r="AS47" s="114">
        <v>116.17807282692708</v>
      </c>
      <c r="AT47" s="114">
        <v>116.17807282692708</v>
      </c>
      <c r="AU47" s="114">
        <v>116.17807282692708</v>
      </c>
      <c r="AV47" s="114">
        <v>116.17807282692708</v>
      </c>
      <c r="AW47" s="114">
        <v>116.17807282692708</v>
      </c>
      <c r="AX47" s="114">
        <v>116.17807282692708</v>
      </c>
      <c r="AY47" s="114">
        <v>116.17807282692708</v>
      </c>
    </row>
    <row r="48" spans="1:52" x14ac:dyDescent="0.2">
      <c r="A48" s="114"/>
      <c r="B48" s="168" t="s">
        <v>345</v>
      </c>
      <c r="C48" s="114"/>
      <c r="D48" s="114">
        <v>0</v>
      </c>
      <c r="E48" s="114">
        <v>0</v>
      </c>
      <c r="F48" s="114">
        <v>0</v>
      </c>
      <c r="G48" s="114">
        <v>0</v>
      </c>
      <c r="H48" s="114">
        <v>0</v>
      </c>
      <c r="I48" s="114">
        <v>0</v>
      </c>
      <c r="J48" s="114">
        <v>0</v>
      </c>
      <c r="K48" s="114">
        <v>0</v>
      </c>
      <c r="L48" s="114">
        <v>0</v>
      </c>
      <c r="M48" s="114">
        <v>0</v>
      </c>
      <c r="N48" s="114">
        <v>0</v>
      </c>
      <c r="O48" s="114">
        <v>0</v>
      </c>
      <c r="P48" s="114">
        <v>0</v>
      </c>
      <c r="Q48" s="114">
        <v>0</v>
      </c>
      <c r="R48" s="114">
        <v>0</v>
      </c>
      <c r="S48" s="114">
        <v>0</v>
      </c>
      <c r="T48" s="114">
        <v>0</v>
      </c>
      <c r="U48" s="114">
        <v>0</v>
      </c>
      <c r="V48" s="114">
        <v>0</v>
      </c>
      <c r="W48" s="114">
        <v>0</v>
      </c>
      <c r="X48" s="114">
        <v>0</v>
      </c>
      <c r="Y48" s="114"/>
      <c r="Z48" s="114">
        <v>0</v>
      </c>
      <c r="AA48" s="114">
        <v>0</v>
      </c>
      <c r="AB48" s="114">
        <v>0</v>
      </c>
      <c r="AC48" s="114">
        <v>0</v>
      </c>
      <c r="AD48" s="114">
        <v>0</v>
      </c>
      <c r="AE48" s="114"/>
      <c r="AF48" s="114">
        <v>0</v>
      </c>
      <c r="AG48" s="114">
        <v>0</v>
      </c>
      <c r="AH48" s="114">
        <v>0</v>
      </c>
      <c r="AI48" s="114">
        <v>0</v>
      </c>
      <c r="AJ48" s="114">
        <v>0</v>
      </c>
      <c r="AK48" s="114">
        <v>0</v>
      </c>
      <c r="AL48" s="114">
        <v>0</v>
      </c>
      <c r="AM48" s="114">
        <v>0</v>
      </c>
      <c r="AN48" s="114">
        <v>0</v>
      </c>
      <c r="AO48" s="114">
        <v>0</v>
      </c>
      <c r="AP48" s="114">
        <v>0</v>
      </c>
      <c r="AQ48" s="114">
        <v>0</v>
      </c>
      <c r="AR48" s="114">
        <v>0</v>
      </c>
      <c r="AS48" s="114">
        <v>0</v>
      </c>
      <c r="AT48" s="114">
        <v>0</v>
      </c>
      <c r="AU48" s="114">
        <v>0</v>
      </c>
      <c r="AV48" s="114">
        <v>0</v>
      </c>
      <c r="AW48" s="114">
        <v>0</v>
      </c>
      <c r="AX48" s="114">
        <v>0</v>
      </c>
      <c r="AY48" s="114">
        <v>0</v>
      </c>
    </row>
    <row r="49" spans="1:52" x14ac:dyDescent="0.2">
      <c r="A49" s="114"/>
      <c r="B49" s="168" t="s">
        <v>346</v>
      </c>
      <c r="C49" s="114"/>
      <c r="D49" s="114">
        <v>8</v>
      </c>
      <c r="E49" s="114">
        <v>4</v>
      </c>
      <c r="F49" s="114">
        <v>4</v>
      </c>
      <c r="G49" s="114">
        <v>4</v>
      </c>
      <c r="H49" s="114">
        <v>4</v>
      </c>
      <c r="I49" s="114">
        <v>4</v>
      </c>
      <c r="J49" s="114">
        <v>4</v>
      </c>
      <c r="K49" s="114">
        <v>4</v>
      </c>
      <c r="L49" s="114">
        <v>4</v>
      </c>
      <c r="M49" s="114">
        <v>4</v>
      </c>
      <c r="N49" s="114">
        <v>4</v>
      </c>
      <c r="O49" s="114">
        <v>4</v>
      </c>
      <c r="P49" s="114">
        <v>4</v>
      </c>
      <c r="Q49" s="114">
        <v>4</v>
      </c>
      <c r="R49" s="114">
        <v>4</v>
      </c>
      <c r="S49" s="114">
        <v>4</v>
      </c>
      <c r="T49" s="114">
        <v>4</v>
      </c>
      <c r="U49" s="114">
        <v>4</v>
      </c>
      <c r="V49" s="114">
        <v>4</v>
      </c>
      <c r="W49" s="114">
        <v>4</v>
      </c>
      <c r="X49" s="114">
        <v>4</v>
      </c>
      <c r="Y49" s="114"/>
      <c r="Z49" s="114">
        <v>8</v>
      </c>
      <c r="AA49" s="114">
        <v>4</v>
      </c>
      <c r="AB49" s="114">
        <v>4</v>
      </c>
      <c r="AC49" s="114">
        <v>4</v>
      </c>
      <c r="AD49" s="114">
        <v>4</v>
      </c>
      <c r="AE49" s="114"/>
      <c r="AF49" s="114">
        <v>8</v>
      </c>
      <c r="AG49" s="114">
        <v>4</v>
      </c>
      <c r="AH49" s="114">
        <v>4</v>
      </c>
      <c r="AI49" s="114">
        <v>4</v>
      </c>
      <c r="AJ49" s="114">
        <v>4</v>
      </c>
      <c r="AK49" s="114">
        <v>4</v>
      </c>
      <c r="AL49" s="114">
        <v>4</v>
      </c>
      <c r="AM49" s="114">
        <v>4</v>
      </c>
      <c r="AN49" s="114">
        <v>4</v>
      </c>
      <c r="AO49" s="114">
        <v>4</v>
      </c>
      <c r="AP49" s="114">
        <v>4</v>
      </c>
      <c r="AQ49" s="114">
        <v>4</v>
      </c>
      <c r="AR49" s="114">
        <v>4</v>
      </c>
      <c r="AS49" s="114">
        <v>4</v>
      </c>
      <c r="AT49" s="114">
        <v>4</v>
      </c>
      <c r="AU49" s="114">
        <v>4</v>
      </c>
      <c r="AV49" s="114">
        <v>4</v>
      </c>
      <c r="AW49" s="114">
        <v>4</v>
      </c>
      <c r="AX49" s="114">
        <v>4</v>
      </c>
      <c r="AY49" s="114">
        <v>4</v>
      </c>
    </row>
    <row r="50" spans="1:52" x14ac:dyDescent="0.2">
      <c r="A50" s="114"/>
      <c r="B50" s="168" t="s">
        <v>347</v>
      </c>
      <c r="C50" s="114"/>
      <c r="D50" s="114">
        <f>D44-D47</f>
        <v>0</v>
      </c>
      <c r="E50" s="114">
        <f t="shared" ref="E50:AY50" si="15">E44-E47</f>
        <v>0</v>
      </c>
      <c r="F50" s="114">
        <f t="shared" si="15"/>
        <v>0</v>
      </c>
      <c r="G50" s="114">
        <f t="shared" si="15"/>
        <v>0</v>
      </c>
      <c r="H50" s="114">
        <f t="shared" si="15"/>
        <v>0</v>
      </c>
      <c r="I50" s="114">
        <f t="shared" si="15"/>
        <v>0</v>
      </c>
      <c r="J50" s="114">
        <f t="shared" si="15"/>
        <v>0</v>
      </c>
      <c r="K50" s="114">
        <f t="shared" si="15"/>
        <v>0</v>
      </c>
      <c r="L50" s="114">
        <f t="shared" si="15"/>
        <v>0</v>
      </c>
      <c r="M50" s="114">
        <f t="shared" si="15"/>
        <v>0</v>
      </c>
      <c r="N50" s="114">
        <f t="shared" si="15"/>
        <v>0</v>
      </c>
      <c r="O50" s="114">
        <f t="shared" si="15"/>
        <v>0</v>
      </c>
      <c r="P50" s="114">
        <f t="shared" si="15"/>
        <v>0</v>
      </c>
      <c r="Q50" s="114">
        <f t="shared" si="15"/>
        <v>0</v>
      </c>
      <c r="R50" s="114">
        <f t="shared" si="15"/>
        <v>0</v>
      </c>
      <c r="S50" s="114">
        <f t="shared" si="15"/>
        <v>0</v>
      </c>
      <c r="T50" s="114">
        <f t="shared" si="15"/>
        <v>0</v>
      </c>
      <c r="U50" s="114">
        <f t="shared" si="15"/>
        <v>0</v>
      </c>
      <c r="V50" s="114">
        <f t="shared" si="15"/>
        <v>0</v>
      </c>
      <c r="W50" s="114">
        <f t="shared" si="15"/>
        <v>0</v>
      </c>
      <c r="X50" s="114">
        <f t="shared" si="15"/>
        <v>0</v>
      </c>
      <c r="Y50" s="114">
        <f t="shared" si="15"/>
        <v>0</v>
      </c>
      <c r="Z50" s="114">
        <f t="shared" si="15"/>
        <v>0</v>
      </c>
      <c r="AA50" s="114">
        <f t="shared" si="15"/>
        <v>0</v>
      </c>
      <c r="AB50" s="114">
        <f t="shared" si="15"/>
        <v>0</v>
      </c>
      <c r="AC50" s="114">
        <f t="shared" si="15"/>
        <v>0</v>
      </c>
      <c r="AD50" s="114">
        <f t="shared" si="15"/>
        <v>0</v>
      </c>
      <c r="AE50" s="114">
        <f t="shared" si="15"/>
        <v>0</v>
      </c>
      <c r="AF50" s="114">
        <f t="shared" si="15"/>
        <v>0</v>
      </c>
      <c r="AG50" s="114">
        <f t="shared" si="15"/>
        <v>0</v>
      </c>
      <c r="AH50" s="114">
        <f t="shared" si="15"/>
        <v>0</v>
      </c>
      <c r="AI50" s="114">
        <f t="shared" si="15"/>
        <v>0</v>
      </c>
      <c r="AJ50" s="114">
        <f t="shared" si="15"/>
        <v>0</v>
      </c>
      <c r="AK50" s="114">
        <f t="shared" si="15"/>
        <v>0</v>
      </c>
      <c r="AL50" s="114">
        <f t="shared" si="15"/>
        <v>0</v>
      </c>
      <c r="AM50" s="114">
        <f t="shared" si="15"/>
        <v>0</v>
      </c>
      <c r="AN50" s="114">
        <f t="shared" si="15"/>
        <v>0</v>
      </c>
      <c r="AO50" s="114">
        <f t="shared" si="15"/>
        <v>0</v>
      </c>
      <c r="AP50" s="114">
        <f t="shared" si="15"/>
        <v>0</v>
      </c>
      <c r="AQ50" s="114">
        <f t="shared" si="15"/>
        <v>0</v>
      </c>
      <c r="AR50" s="114">
        <f t="shared" si="15"/>
        <v>0</v>
      </c>
      <c r="AS50" s="114">
        <f t="shared" si="15"/>
        <v>0</v>
      </c>
      <c r="AT50" s="114">
        <f t="shared" si="15"/>
        <v>0</v>
      </c>
      <c r="AU50" s="114">
        <f t="shared" si="15"/>
        <v>0</v>
      </c>
      <c r="AV50" s="114">
        <f t="shared" si="15"/>
        <v>0</v>
      </c>
      <c r="AW50" s="114">
        <f t="shared" si="15"/>
        <v>0</v>
      </c>
      <c r="AX50" s="114">
        <f t="shared" si="15"/>
        <v>0</v>
      </c>
      <c r="AY50" s="114">
        <f t="shared" si="15"/>
        <v>0</v>
      </c>
    </row>
    <row r="51" spans="1:52" x14ac:dyDescent="0.2">
      <c r="A51" s="114"/>
      <c r="B51" s="168" t="s">
        <v>348</v>
      </c>
      <c r="C51" s="114"/>
      <c r="D51" s="114">
        <f>D45-D48</f>
        <v>0</v>
      </c>
      <c r="E51" s="114">
        <f t="shared" ref="E51:AY51" si="16">E45-E48</f>
        <v>0</v>
      </c>
      <c r="F51" s="114">
        <f t="shared" si="16"/>
        <v>0</v>
      </c>
      <c r="G51" s="114">
        <f t="shared" si="16"/>
        <v>0</v>
      </c>
      <c r="H51" s="114">
        <f t="shared" si="16"/>
        <v>0</v>
      </c>
      <c r="I51" s="114">
        <f t="shared" si="16"/>
        <v>0</v>
      </c>
      <c r="J51" s="114">
        <f t="shared" si="16"/>
        <v>0</v>
      </c>
      <c r="K51" s="114">
        <f t="shared" si="16"/>
        <v>0</v>
      </c>
      <c r="L51" s="114">
        <f t="shared" si="16"/>
        <v>0</v>
      </c>
      <c r="M51" s="114">
        <f t="shared" si="16"/>
        <v>0</v>
      </c>
      <c r="N51" s="114">
        <f t="shared" si="16"/>
        <v>0</v>
      </c>
      <c r="O51" s="114">
        <f t="shared" si="16"/>
        <v>0</v>
      </c>
      <c r="P51" s="114">
        <f t="shared" si="16"/>
        <v>0</v>
      </c>
      <c r="Q51" s="114">
        <f t="shared" si="16"/>
        <v>0</v>
      </c>
      <c r="R51" s="114">
        <f t="shared" si="16"/>
        <v>0</v>
      </c>
      <c r="S51" s="114">
        <f t="shared" si="16"/>
        <v>0</v>
      </c>
      <c r="T51" s="114">
        <f t="shared" si="16"/>
        <v>0</v>
      </c>
      <c r="U51" s="114">
        <f t="shared" si="16"/>
        <v>0</v>
      </c>
      <c r="V51" s="114">
        <f t="shared" si="16"/>
        <v>0</v>
      </c>
      <c r="W51" s="114">
        <f t="shared" si="16"/>
        <v>0</v>
      </c>
      <c r="X51" s="114">
        <f t="shared" si="16"/>
        <v>0</v>
      </c>
      <c r="Y51" s="114">
        <f t="shared" si="16"/>
        <v>0</v>
      </c>
      <c r="Z51" s="114">
        <f t="shared" si="16"/>
        <v>0</v>
      </c>
      <c r="AA51" s="114">
        <f t="shared" si="16"/>
        <v>0</v>
      </c>
      <c r="AB51" s="114">
        <f t="shared" si="16"/>
        <v>0</v>
      </c>
      <c r="AC51" s="114">
        <f t="shared" si="16"/>
        <v>0</v>
      </c>
      <c r="AD51" s="114">
        <f t="shared" si="16"/>
        <v>0</v>
      </c>
      <c r="AE51" s="114">
        <f t="shared" si="16"/>
        <v>0</v>
      </c>
      <c r="AF51" s="114">
        <f t="shared" si="16"/>
        <v>0</v>
      </c>
      <c r="AG51" s="114">
        <f t="shared" si="16"/>
        <v>0</v>
      </c>
      <c r="AH51" s="114">
        <f t="shared" si="16"/>
        <v>0</v>
      </c>
      <c r="AI51" s="114">
        <f t="shared" si="16"/>
        <v>0</v>
      </c>
      <c r="AJ51" s="114">
        <f t="shared" si="16"/>
        <v>0</v>
      </c>
      <c r="AK51" s="114">
        <f t="shared" si="16"/>
        <v>0</v>
      </c>
      <c r="AL51" s="114">
        <f t="shared" si="16"/>
        <v>0</v>
      </c>
      <c r="AM51" s="114">
        <f t="shared" si="16"/>
        <v>0</v>
      </c>
      <c r="AN51" s="114">
        <f t="shared" si="16"/>
        <v>0</v>
      </c>
      <c r="AO51" s="114">
        <f t="shared" si="16"/>
        <v>0</v>
      </c>
      <c r="AP51" s="114">
        <f t="shared" si="16"/>
        <v>0</v>
      </c>
      <c r="AQ51" s="114">
        <f t="shared" si="16"/>
        <v>0</v>
      </c>
      <c r="AR51" s="114">
        <f t="shared" si="16"/>
        <v>0</v>
      </c>
      <c r="AS51" s="114">
        <f t="shared" si="16"/>
        <v>0</v>
      </c>
      <c r="AT51" s="114">
        <f t="shared" si="16"/>
        <v>0</v>
      </c>
      <c r="AU51" s="114">
        <f t="shared" si="16"/>
        <v>0</v>
      </c>
      <c r="AV51" s="114">
        <f t="shared" si="16"/>
        <v>0</v>
      </c>
      <c r="AW51" s="114">
        <f t="shared" si="16"/>
        <v>0</v>
      </c>
      <c r="AX51" s="114">
        <f t="shared" si="16"/>
        <v>0</v>
      </c>
      <c r="AY51" s="114">
        <f t="shared" si="16"/>
        <v>0</v>
      </c>
    </row>
    <row r="52" spans="1:52" x14ac:dyDescent="0.2">
      <c r="A52" s="114"/>
      <c r="B52" s="168" t="s">
        <v>349</v>
      </c>
      <c r="C52" s="114"/>
      <c r="D52" s="114">
        <v>2</v>
      </c>
      <c r="E52" s="114">
        <v>1</v>
      </c>
      <c r="F52" s="114">
        <v>1</v>
      </c>
      <c r="G52" s="114">
        <v>1</v>
      </c>
      <c r="H52" s="114">
        <v>2</v>
      </c>
      <c r="I52" s="114">
        <v>1</v>
      </c>
      <c r="J52" s="114">
        <v>1</v>
      </c>
      <c r="K52" s="114">
        <v>1</v>
      </c>
      <c r="L52" s="114">
        <v>1</v>
      </c>
      <c r="M52" s="114">
        <v>2</v>
      </c>
      <c r="N52" s="114">
        <v>2</v>
      </c>
      <c r="O52" s="114">
        <v>1</v>
      </c>
      <c r="P52" s="114">
        <v>1</v>
      </c>
      <c r="Q52" s="114">
        <v>1</v>
      </c>
      <c r="R52" s="114">
        <v>1</v>
      </c>
      <c r="S52" s="114">
        <v>2</v>
      </c>
      <c r="T52" s="114">
        <v>2</v>
      </c>
      <c r="U52" s="114">
        <v>1</v>
      </c>
      <c r="V52" s="114">
        <v>1</v>
      </c>
      <c r="W52" s="114">
        <v>2</v>
      </c>
      <c r="X52" s="114">
        <v>2</v>
      </c>
      <c r="Y52" s="114">
        <v>1</v>
      </c>
      <c r="Z52" s="114">
        <v>1</v>
      </c>
      <c r="AA52" s="114">
        <v>1</v>
      </c>
      <c r="AB52" s="114">
        <v>2</v>
      </c>
      <c r="AC52" s="114">
        <v>2</v>
      </c>
      <c r="AD52" s="114">
        <v>3</v>
      </c>
      <c r="AE52" s="114">
        <v>1</v>
      </c>
      <c r="AF52" s="114">
        <v>2</v>
      </c>
      <c r="AG52" s="114">
        <v>2</v>
      </c>
      <c r="AH52" s="114">
        <v>2</v>
      </c>
      <c r="AI52" s="114">
        <v>1</v>
      </c>
      <c r="AJ52" s="114">
        <v>2</v>
      </c>
      <c r="AK52" s="114">
        <v>2</v>
      </c>
      <c r="AL52" s="114">
        <v>1</v>
      </c>
      <c r="AM52" s="114">
        <v>1</v>
      </c>
      <c r="AN52" s="114">
        <v>2</v>
      </c>
      <c r="AO52" s="114">
        <v>2</v>
      </c>
      <c r="AP52" s="114">
        <v>1</v>
      </c>
      <c r="AQ52" s="114">
        <v>2</v>
      </c>
      <c r="AR52" s="114">
        <v>1</v>
      </c>
      <c r="AS52" s="114">
        <v>1</v>
      </c>
      <c r="AT52" s="114">
        <v>1</v>
      </c>
      <c r="AU52" s="114">
        <v>1</v>
      </c>
      <c r="AV52" s="114">
        <v>3</v>
      </c>
      <c r="AW52" s="114">
        <v>2</v>
      </c>
      <c r="AX52" s="114">
        <v>1</v>
      </c>
      <c r="AY52" s="114">
        <v>2</v>
      </c>
    </row>
    <row r="53" spans="1:52" x14ac:dyDescent="0.2">
      <c r="A53" s="114"/>
      <c r="B53" s="179" t="s">
        <v>350</v>
      </c>
      <c r="C53" s="114"/>
      <c r="D53" s="114">
        <v>142560</v>
      </c>
      <c r="E53" s="114">
        <v>71280</v>
      </c>
      <c r="F53" s="114">
        <v>71280</v>
      </c>
      <c r="G53" s="114">
        <v>71280</v>
      </c>
      <c r="H53" s="114">
        <v>71280</v>
      </c>
      <c r="I53" s="114">
        <v>71280</v>
      </c>
      <c r="J53" s="114">
        <v>71280</v>
      </c>
      <c r="K53" s="114">
        <v>71280</v>
      </c>
      <c r="L53" s="114">
        <v>71280</v>
      </c>
      <c r="M53" s="114">
        <v>71280</v>
      </c>
      <c r="N53" s="114">
        <v>71280</v>
      </c>
      <c r="O53" s="114">
        <v>71280</v>
      </c>
      <c r="P53" s="114">
        <v>71280</v>
      </c>
      <c r="Q53" s="114">
        <v>71280</v>
      </c>
      <c r="R53" s="114">
        <v>71280</v>
      </c>
      <c r="S53" s="114">
        <v>71280</v>
      </c>
      <c r="T53" s="114">
        <v>71280</v>
      </c>
      <c r="U53" s="114">
        <v>71280</v>
      </c>
      <c r="V53" s="114">
        <v>71280</v>
      </c>
      <c r="W53" s="114">
        <v>71280</v>
      </c>
      <c r="X53" s="114">
        <v>71280</v>
      </c>
      <c r="Y53" s="114">
        <v>0</v>
      </c>
      <c r="Z53" s="114">
        <v>142560</v>
      </c>
      <c r="AA53" s="114">
        <v>71280</v>
      </c>
      <c r="AB53" s="114">
        <v>71280</v>
      </c>
      <c r="AC53" s="114">
        <v>71280</v>
      </c>
      <c r="AD53" s="114">
        <v>71280</v>
      </c>
      <c r="AE53" s="114">
        <v>0</v>
      </c>
      <c r="AF53" s="114">
        <v>142560</v>
      </c>
      <c r="AG53" s="114">
        <v>71280</v>
      </c>
      <c r="AH53" s="114">
        <v>71280</v>
      </c>
      <c r="AI53" s="114">
        <v>71280</v>
      </c>
      <c r="AJ53" s="114">
        <v>71280</v>
      </c>
      <c r="AK53" s="114">
        <v>71280</v>
      </c>
      <c r="AL53" s="114">
        <v>71280</v>
      </c>
      <c r="AM53" s="114">
        <v>71280</v>
      </c>
      <c r="AN53" s="114">
        <v>71280</v>
      </c>
      <c r="AO53" s="114">
        <v>71280</v>
      </c>
      <c r="AP53" s="114">
        <v>71280</v>
      </c>
      <c r="AQ53" s="114">
        <v>71280</v>
      </c>
      <c r="AR53" s="114">
        <v>71280</v>
      </c>
      <c r="AS53" s="114">
        <v>71280</v>
      </c>
      <c r="AT53" s="114">
        <v>71280</v>
      </c>
      <c r="AU53" s="114">
        <v>71280</v>
      </c>
      <c r="AV53" s="114">
        <v>71280</v>
      </c>
      <c r="AW53" s="114">
        <v>71280</v>
      </c>
      <c r="AX53" s="114">
        <v>71280</v>
      </c>
      <c r="AY53" s="114">
        <v>71280</v>
      </c>
      <c r="AZ53">
        <f>SUM($D$53:$AY$53)</f>
        <v>3492720</v>
      </c>
    </row>
    <row r="54" spans="1:52" x14ac:dyDescent="0.2">
      <c r="A54" s="128"/>
      <c r="B54" s="143" t="s">
        <v>351</v>
      </c>
      <c r="C54" s="128"/>
      <c r="D54" s="128">
        <v>0</v>
      </c>
      <c r="E54" s="128">
        <v>0</v>
      </c>
      <c r="F54" s="128">
        <v>0</v>
      </c>
      <c r="G54" s="128">
        <v>0</v>
      </c>
      <c r="H54" s="128">
        <v>0</v>
      </c>
      <c r="I54" s="128">
        <v>0</v>
      </c>
      <c r="J54" s="128">
        <v>0</v>
      </c>
      <c r="K54" s="128">
        <v>0</v>
      </c>
      <c r="L54" s="128">
        <v>0</v>
      </c>
      <c r="M54" s="128">
        <v>0</v>
      </c>
      <c r="N54" s="128">
        <v>0</v>
      </c>
      <c r="O54" s="128">
        <v>0</v>
      </c>
      <c r="P54" s="128">
        <v>0</v>
      </c>
      <c r="Q54" s="128">
        <v>0</v>
      </c>
      <c r="R54" s="128">
        <v>0</v>
      </c>
      <c r="S54" s="128">
        <v>0</v>
      </c>
      <c r="T54" s="128">
        <v>0</v>
      </c>
      <c r="U54" s="128">
        <v>0</v>
      </c>
      <c r="V54" s="128">
        <v>0</v>
      </c>
      <c r="W54" s="128">
        <v>0</v>
      </c>
      <c r="X54" s="128">
        <v>0</v>
      </c>
      <c r="Y54" s="128">
        <v>0</v>
      </c>
      <c r="Z54" s="128">
        <v>0</v>
      </c>
      <c r="AA54" s="128">
        <v>0</v>
      </c>
      <c r="AB54" s="128">
        <v>0</v>
      </c>
      <c r="AC54" s="128">
        <v>0</v>
      </c>
      <c r="AD54" s="128">
        <v>0</v>
      </c>
      <c r="AE54" s="128">
        <v>0</v>
      </c>
      <c r="AF54" s="128">
        <v>0</v>
      </c>
      <c r="AG54" s="128">
        <v>0</v>
      </c>
      <c r="AH54" s="128">
        <v>0</v>
      </c>
      <c r="AI54" s="128">
        <v>0</v>
      </c>
      <c r="AJ54" s="128">
        <v>0</v>
      </c>
      <c r="AK54" s="128">
        <v>0</v>
      </c>
      <c r="AL54" s="128">
        <v>0</v>
      </c>
      <c r="AM54" s="128">
        <v>0</v>
      </c>
      <c r="AN54" s="128">
        <v>0</v>
      </c>
      <c r="AO54" s="128">
        <v>0</v>
      </c>
      <c r="AP54" s="128">
        <v>0</v>
      </c>
      <c r="AQ54" s="128">
        <v>0</v>
      </c>
      <c r="AR54" s="128">
        <v>0</v>
      </c>
      <c r="AS54" s="128">
        <v>0</v>
      </c>
      <c r="AT54" s="128">
        <v>0</v>
      </c>
      <c r="AU54" s="128">
        <v>0</v>
      </c>
      <c r="AV54" s="128">
        <v>0</v>
      </c>
      <c r="AW54" s="128">
        <v>0</v>
      </c>
      <c r="AX54" s="128">
        <v>0</v>
      </c>
      <c r="AY54" s="128">
        <v>0</v>
      </c>
      <c r="AZ54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75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customWidth="1"/>
    <col min="2" max="2" width="12.7109375" customWidth="1"/>
  </cols>
  <sheetData>
    <row r="1" spans="1:53" x14ac:dyDescent="0.2">
      <c r="A1" s="1" t="s">
        <v>284</v>
      </c>
    </row>
    <row r="2" spans="1:53" x14ac:dyDescent="0.2">
      <c r="A2" t="s">
        <v>285</v>
      </c>
      <c r="B2" s="111" t="s">
        <v>22</v>
      </c>
    </row>
    <row r="3" spans="1:53" x14ac:dyDescent="0.2">
      <c r="A3" t="s">
        <v>286</v>
      </c>
      <c r="B3" s="112">
        <v>40000</v>
      </c>
      <c r="C3" s="113"/>
    </row>
    <row r="4" spans="1:53" x14ac:dyDescent="0.2">
      <c r="B4" s="114"/>
      <c r="C4" s="114"/>
    </row>
    <row r="5" spans="1:53" x14ac:dyDescent="0.2">
      <c r="C5" s="9" t="s">
        <v>287</v>
      </c>
    </row>
    <row r="6" spans="1:53" x14ac:dyDescent="0.2">
      <c r="C6" s="115">
        <v>0</v>
      </c>
      <c r="D6" s="115">
        <v>1</v>
      </c>
      <c r="E6" s="115">
        <v>2</v>
      </c>
      <c r="F6" s="115">
        <v>3</v>
      </c>
      <c r="G6" s="115">
        <v>4</v>
      </c>
      <c r="H6" s="115">
        <v>5</v>
      </c>
      <c r="I6" s="115">
        <v>6</v>
      </c>
      <c r="J6" s="115">
        <v>7</v>
      </c>
      <c r="K6" s="115">
        <v>8</v>
      </c>
      <c r="L6" s="115">
        <v>9</v>
      </c>
      <c r="M6" s="115">
        <v>10</v>
      </c>
      <c r="N6" s="115">
        <v>11</v>
      </c>
      <c r="O6" s="115">
        <v>12</v>
      </c>
      <c r="P6" s="115">
        <v>13</v>
      </c>
      <c r="Q6" s="115">
        <v>14</v>
      </c>
      <c r="R6" s="115">
        <v>15</v>
      </c>
      <c r="S6" s="115">
        <v>16</v>
      </c>
      <c r="T6" s="115">
        <v>17</v>
      </c>
      <c r="U6" s="115">
        <v>18</v>
      </c>
      <c r="V6" s="115">
        <v>19</v>
      </c>
      <c r="W6" s="115">
        <v>20</v>
      </c>
      <c r="X6" s="115">
        <v>21</v>
      </c>
      <c r="Y6" s="115">
        <v>22</v>
      </c>
      <c r="Z6" s="115">
        <v>23</v>
      </c>
      <c r="AA6" s="115">
        <v>24</v>
      </c>
      <c r="AB6" s="115">
        <v>25</v>
      </c>
      <c r="AC6" s="115">
        <v>26</v>
      </c>
      <c r="AD6" s="115">
        <v>27</v>
      </c>
      <c r="AE6" s="115">
        <v>28</v>
      </c>
      <c r="AF6" s="115">
        <v>29</v>
      </c>
      <c r="AG6" s="115">
        <v>30</v>
      </c>
      <c r="AH6" s="115">
        <v>31</v>
      </c>
      <c r="AI6" s="115">
        <v>32</v>
      </c>
      <c r="AJ6" s="115">
        <v>33</v>
      </c>
      <c r="AK6" s="115">
        <v>34</v>
      </c>
      <c r="AL6" s="115">
        <v>35</v>
      </c>
      <c r="AM6" s="115">
        <v>36</v>
      </c>
      <c r="AN6" s="115">
        <v>37</v>
      </c>
      <c r="AO6" s="115">
        <v>38</v>
      </c>
      <c r="AP6" s="115">
        <v>39</v>
      </c>
      <c r="AQ6" s="115">
        <v>40</v>
      </c>
      <c r="AR6" s="115">
        <v>41</v>
      </c>
      <c r="AS6" s="115">
        <v>42</v>
      </c>
      <c r="AT6" s="115">
        <v>43</v>
      </c>
      <c r="AU6" s="115">
        <v>44</v>
      </c>
      <c r="AV6" s="115">
        <v>45</v>
      </c>
      <c r="AW6" s="115">
        <v>46</v>
      </c>
      <c r="AX6" s="115">
        <v>47</v>
      </c>
      <c r="AY6" s="115">
        <v>48</v>
      </c>
    </row>
    <row r="7" spans="1:53" x14ac:dyDescent="0.2">
      <c r="B7" s="114"/>
      <c r="C7" s="116" t="s">
        <v>288</v>
      </c>
      <c r="D7" s="115" t="s">
        <v>289</v>
      </c>
      <c r="E7" s="115" t="s">
        <v>289</v>
      </c>
      <c r="F7" s="115" t="s">
        <v>289</v>
      </c>
      <c r="G7" s="115" t="s">
        <v>289</v>
      </c>
      <c r="H7" s="115" t="s">
        <v>289</v>
      </c>
      <c r="I7" s="115" t="s">
        <v>289</v>
      </c>
      <c r="J7" s="115" t="s">
        <v>289</v>
      </c>
      <c r="K7" s="115" t="s">
        <v>289</v>
      </c>
      <c r="L7" s="115" t="s">
        <v>289</v>
      </c>
      <c r="M7" s="115" t="s">
        <v>289</v>
      </c>
      <c r="N7" s="115" t="s">
        <v>289</v>
      </c>
      <c r="O7" s="115" t="s">
        <v>289</v>
      </c>
      <c r="P7" s="115" t="s">
        <v>289</v>
      </c>
      <c r="Q7" s="115" t="s">
        <v>289</v>
      </c>
      <c r="R7" s="115" t="s">
        <v>289</v>
      </c>
      <c r="S7" s="115" t="s">
        <v>289</v>
      </c>
      <c r="T7" s="115" t="s">
        <v>289</v>
      </c>
      <c r="U7" s="115" t="s">
        <v>289</v>
      </c>
      <c r="V7" s="115" t="s">
        <v>289</v>
      </c>
      <c r="W7" s="115" t="s">
        <v>289</v>
      </c>
      <c r="X7" s="115" t="s">
        <v>289</v>
      </c>
      <c r="Y7" s="115" t="s">
        <v>289</v>
      </c>
      <c r="Z7" s="115" t="s">
        <v>289</v>
      </c>
      <c r="AA7" s="115" t="s">
        <v>289</v>
      </c>
      <c r="AB7" s="115" t="s">
        <v>289</v>
      </c>
      <c r="AC7" s="115" t="s">
        <v>289</v>
      </c>
      <c r="AD7" s="115" t="s">
        <v>289</v>
      </c>
      <c r="AE7" s="115" t="s">
        <v>289</v>
      </c>
      <c r="AF7" s="115" t="s">
        <v>289</v>
      </c>
      <c r="AG7" s="115" t="s">
        <v>289</v>
      </c>
      <c r="AH7" s="115" t="s">
        <v>289</v>
      </c>
      <c r="AI7" s="115" t="s">
        <v>289</v>
      </c>
      <c r="AJ7" s="115" t="s">
        <v>289</v>
      </c>
      <c r="AK7" s="115" t="s">
        <v>289</v>
      </c>
      <c r="AL7" s="115" t="s">
        <v>289</v>
      </c>
      <c r="AM7" s="115" t="s">
        <v>289</v>
      </c>
      <c r="AN7" s="115" t="s">
        <v>289</v>
      </c>
      <c r="AO7" s="115" t="s">
        <v>289</v>
      </c>
      <c r="AP7" s="115" t="s">
        <v>289</v>
      </c>
      <c r="AQ7" s="115" t="s">
        <v>289</v>
      </c>
      <c r="AR7" s="115" t="s">
        <v>289</v>
      </c>
      <c r="AS7" s="115" t="s">
        <v>289</v>
      </c>
      <c r="AT7" s="115" t="s">
        <v>289</v>
      </c>
      <c r="AU7" s="115" t="s">
        <v>289</v>
      </c>
      <c r="AV7" s="115" t="s">
        <v>289</v>
      </c>
      <c r="AW7" s="115" t="s">
        <v>289</v>
      </c>
      <c r="AX7" s="115" t="s">
        <v>289</v>
      </c>
      <c r="AY7" s="9" t="s">
        <v>290</v>
      </c>
      <c r="AZ7" s="9" t="s">
        <v>291</v>
      </c>
    </row>
    <row r="8" spans="1:53" x14ac:dyDescent="0.2">
      <c r="A8" s="1" t="s">
        <v>292</v>
      </c>
      <c r="B8" s="117"/>
      <c r="AY8" s="114"/>
    </row>
    <row r="9" spans="1:53" x14ac:dyDescent="0.2">
      <c r="A9" s="118" t="s">
        <v>125</v>
      </c>
      <c r="B9" s="119">
        <v>1</v>
      </c>
      <c r="C9" s="120" t="s">
        <v>293</v>
      </c>
      <c r="D9" s="120">
        <v>4081.2645598754193</v>
      </c>
      <c r="E9" s="120">
        <v>4081.2645598754193</v>
      </c>
      <c r="F9" s="120">
        <v>4081.2645598754193</v>
      </c>
      <c r="G9" s="120">
        <v>4081.2645598754193</v>
      </c>
      <c r="H9" s="120">
        <v>4081.2645598754193</v>
      </c>
      <c r="I9" s="120">
        <v>4081.2645598754193</v>
      </c>
      <c r="J9" s="120">
        <v>4081.2645598754193</v>
      </c>
      <c r="K9" s="120">
        <v>4081.2645598754193</v>
      </c>
      <c r="L9" s="120">
        <v>4081.2645598754193</v>
      </c>
      <c r="M9" s="120">
        <v>4081.2645598754193</v>
      </c>
      <c r="N9" s="120">
        <v>4081.2645598754193</v>
      </c>
      <c r="O9" s="120">
        <v>4081.2645598754193</v>
      </c>
      <c r="P9" s="120">
        <v>2888.5053601177633</v>
      </c>
      <c r="Q9" s="120">
        <v>4081.2645598754193</v>
      </c>
      <c r="R9" s="120">
        <v>4081.2645598754193</v>
      </c>
      <c r="S9" s="120">
        <v>4081.2645598754193</v>
      </c>
      <c r="T9" s="120">
        <v>4081.2645598754193</v>
      </c>
      <c r="U9" s="120">
        <v>4081.2645598754193</v>
      </c>
      <c r="V9" s="120">
        <v>4081.2645598754193</v>
      </c>
      <c r="W9" s="120">
        <v>4081.2645598754193</v>
      </c>
      <c r="X9" s="120">
        <v>4081.2645598754193</v>
      </c>
      <c r="Y9" s="120">
        <v>4081.2645598754193</v>
      </c>
      <c r="Z9" s="120">
        <v>4081.2645598754193</v>
      </c>
      <c r="AA9" s="120">
        <v>4081.2645598754193</v>
      </c>
      <c r="AB9" s="120">
        <v>4081.2645598754193</v>
      </c>
      <c r="AC9" s="120">
        <v>4081.2645598754193</v>
      </c>
      <c r="AD9" s="120">
        <v>3761.8214481389414</v>
      </c>
      <c r="AE9" s="120">
        <v>4081.2645598754193</v>
      </c>
      <c r="AF9" s="120">
        <v>3042.8467491377737</v>
      </c>
      <c r="AG9" s="120">
        <v>3043.3155147434986</v>
      </c>
      <c r="AH9" s="120">
        <v>4081.2645598754193</v>
      </c>
      <c r="AI9" s="120">
        <v>4081.2645598754193</v>
      </c>
      <c r="AJ9" s="120">
        <v>4081.2645598754193</v>
      </c>
      <c r="AK9" s="120">
        <v>4081.2645598754193</v>
      </c>
      <c r="AL9" s="120">
        <v>4081.2645598754193</v>
      </c>
      <c r="AM9" s="120">
        <v>4081.2645598754193</v>
      </c>
      <c r="AN9" s="120">
        <v>4081.2645598754193</v>
      </c>
      <c r="AO9" s="120">
        <v>4081.2645598754193</v>
      </c>
      <c r="AP9" s="120">
        <v>4081.2645598754193</v>
      </c>
      <c r="AQ9" s="120">
        <v>4081.2645598754193</v>
      </c>
      <c r="AR9" s="120">
        <v>4081.2645598754193</v>
      </c>
      <c r="AS9" s="120">
        <v>3048.7498380060097</v>
      </c>
      <c r="AT9" s="120">
        <v>4081.2645598754193</v>
      </c>
      <c r="AU9" s="120">
        <v>4081.2645598754193</v>
      </c>
      <c r="AV9" s="120">
        <v>4081.2645598754193</v>
      </c>
      <c r="AW9" s="120">
        <v>4081.2645598754193</v>
      </c>
      <c r="AX9" s="120">
        <v>3797.7758918127574</v>
      </c>
      <c r="AY9" s="120">
        <v>4081.2645598754193</v>
      </c>
    </row>
    <row r="10" spans="1:53" x14ac:dyDescent="0.2">
      <c r="A10" s="121" t="s">
        <v>133</v>
      </c>
      <c r="B10" s="122">
        <v>1</v>
      </c>
      <c r="C10" s="110" t="s">
        <v>293</v>
      </c>
      <c r="D10">
        <v>1809.9094803651592</v>
      </c>
      <c r="E10">
        <v>320.4677712891235</v>
      </c>
      <c r="F10">
        <v>171.61339991679952</v>
      </c>
      <c r="G10">
        <v>171.61339991679952</v>
      </c>
      <c r="H10">
        <v>171.61339991679952</v>
      </c>
      <c r="I10">
        <v>171.61339991679952</v>
      </c>
      <c r="J10">
        <v>171.61339991679952</v>
      </c>
      <c r="K10">
        <v>171.61339991679952</v>
      </c>
      <c r="L10">
        <v>171.61339991679952</v>
      </c>
      <c r="M10">
        <v>171.61339991679952</v>
      </c>
      <c r="N10">
        <v>171.61339991679952</v>
      </c>
      <c r="O10">
        <v>171.61339991679952</v>
      </c>
      <c r="P10">
        <v>171.61339991679952</v>
      </c>
      <c r="Q10">
        <v>171.61339991679952</v>
      </c>
      <c r="R10">
        <v>171.61339991679952</v>
      </c>
      <c r="S10">
        <v>171.61339991679952</v>
      </c>
      <c r="T10">
        <v>171.61339991679952</v>
      </c>
      <c r="U10">
        <v>171.61339991679952</v>
      </c>
      <c r="V10">
        <v>171.61339991679952</v>
      </c>
      <c r="W10">
        <v>171.61339991679952</v>
      </c>
      <c r="X10">
        <v>171.61339991679952</v>
      </c>
      <c r="Y10">
        <v>0</v>
      </c>
      <c r="Z10">
        <v>343.22679983359905</v>
      </c>
      <c r="AA10">
        <v>171.61339991679952</v>
      </c>
      <c r="AB10">
        <v>171.61339991679952</v>
      </c>
      <c r="AC10">
        <v>171.61339991679952</v>
      </c>
      <c r="AD10">
        <v>171.61339991679952</v>
      </c>
      <c r="AE10">
        <v>171.61339991679952</v>
      </c>
      <c r="AF10">
        <v>171.61339991679952</v>
      </c>
      <c r="AG10">
        <v>171.61339991679952</v>
      </c>
      <c r="AH10">
        <v>171.61339991679952</v>
      </c>
      <c r="AI10">
        <v>0</v>
      </c>
      <c r="AJ10">
        <v>343.22679983359905</v>
      </c>
      <c r="AK10">
        <v>171.61339991679952</v>
      </c>
      <c r="AL10">
        <v>171.61339991679952</v>
      </c>
      <c r="AM10">
        <v>171.61339991679952</v>
      </c>
      <c r="AN10">
        <v>171.61339991679952</v>
      </c>
      <c r="AO10">
        <v>171.61339991679952</v>
      </c>
      <c r="AP10">
        <v>171.61339991679952</v>
      </c>
      <c r="AQ10">
        <v>171.61339991679952</v>
      </c>
      <c r="AR10">
        <v>171.61339991679952</v>
      </c>
      <c r="AS10">
        <v>171.61339991679952</v>
      </c>
      <c r="AT10">
        <v>171.61339991679952</v>
      </c>
      <c r="AU10">
        <v>171.61339991679952</v>
      </c>
      <c r="AV10">
        <v>0</v>
      </c>
      <c r="AW10">
        <v>343.22679983359905</v>
      </c>
      <c r="AX10">
        <v>171.61339991679952</v>
      </c>
      <c r="AY10">
        <v>171.61339991679952</v>
      </c>
      <c r="AZ10">
        <v>171.61339991679952</v>
      </c>
    </row>
    <row r="11" spans="1:53" x14ac:dyDescent="0.2">
      <c r="B11" s="122">
        <v>2</v>
      </c>
      <c r="C11" s="110" t="s">
        <v>293</v>
      </c>
      <c r="D11">
        <v>0</v>
      </c>
      <c r="E11">
        <v>0</v>
      </c>
      <c r="G11">
        <v>0</v>
      </c>
      <c r="H11">
        <v>0</v>
      </c>
      <c r="I11">
        <v>0</v>
      </c>
      <c r="J11">
        <v>0</v>
      </c>
      <c r="L11">
        <v>0</v>
      </c>
      <c r="M11">
        <v>0</v>
      </c>
      <c r="P11">
        <v>0</v>
      </c>
      <c r="Q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D11">
        <v>0</v>
      </c>
      <c r="AG11">
        <v>0</v>
      </c>
      <c r="AH11">
        <v>0</v>
      </c>
      <c r="AI11">
        <v>0</v>
      </c>
      <c r="AJ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S11">
        <v>0</v>
      </c>
      <c r="AT11">
        <v>0</v>
      </c>
      <c r="AU11">
        <v>0</v>
      </c>
      <c r="AV11">
        <v>0</v>
      </c>
      <c r="AX11">
        <v>0</v>
      </c>
      <c r="AY11">
        <v>0</v>
      </c>
      <c r="AZ11">
        <v>0</v>
      </c>
      <c r="BA11">
        <v>0</v>
      </c>
    </row>
    <row r="12" spans="1:53" x14ac:dyDescent="0.2">
      <c r="B12" s="123">
        <v>3</v>
      </c>
      <c r="C12" s="110" t="s">
        <v>293</v>
      </c>
      <c r="F12">
        <v>43</v>
      </c>
      <c r="I12">
        <v>0</v>
      </c>
      <c r="L12">
        <v>0</v>
      </c>
      <c r="M12">
        <v>0</v>
      </c>
      <c r="V12">
        <v>0</v>
      </c>
      <c r="W12">
        <v>0</v>
      </c>
      <c r="X12">
        <v>0</v>
      </c>
      <c r="Y12">
        <v>0</v>
      </c>
      <c r="AA12">
        <v>0</v>
      </c>
      <c r="AE12">
        <v>0</v>
      </c>
      <c r="AK12">
        <v>0</v>
      </c>
      <c r="AN12">
        <v>0</v>
      </c>
    </row>
    <row r="13" spans="1:53" x14ac:dyDescent="0.2">
      <c r="B13" s="123">
        <v>4</v>
      </c>
      <c r="C13" s="110" t="s">
        <v>293</v>
      </c>
    </row>
    <row r="14" spans="1:53" x14ac:dyDescent="0.2">
      <c r="A14" s="118" t="s">
        <v>134</v>
      </c>
      <c r="B14" s="124">
        <v>1</v>
      </c>
      <c r="C14" s="120" t="s">
        <v>293</v>
      </c>
      <c r="D14" s="120">
        <v>3825.6028898556447</v>
      </c>
      <c r="E14" s="120">
        <f t="shared" ref="E14:AZ14" si="0">D$172*SUM(D$122:D$169)</f>
        <v>3118.1949860440891</v>
      </c>
      <c r="F14" s="120">
        <f t="shared" si="0"/>
        <v>2426.8986792779433</v>
      </c>
      <c r="G14" s="120">
        <f t="shared" si="0"/>
        <v>1816.1097292586642</v>
      </c>
      <c r="H14" s="120">
        <f t="shared" si="0"/>
        <v>1329.5440106282679</v>
      </c>
      <c r="I14" s="120">
        <f t="shared" si="0"/>
        <v>1211.3189362102009</v>
      </c>
      <c r="J14" s="120">
        <f t="shared" si="0"/>
        <v>1343.1627335463149</v>
      </c>
      <c r="K14" s="120">
        <f t="shared" si="0"/>
        <v>1241.6064477173752</v>
      </c>
      <c r="L14" s="120">
        <f t="shared" si="0"/>
        <v>1021.9820369840975</v>
      </c>
      <c r="M14" s="120">
        <f t="shared" si="0"/>
        <v>1034.9035571951476</v>
      </c>
      <c r="N14" s="120">
        <f t="shared" si="0"/>
        <v>1038.8850005880156</v>
      </c>
      <c r="O14" s="120">
        <f t="shared" si="0"/>
        <v>943.85820834178674</v>
      </c>
      <c r="P14" s="120">
        <f t="shared" si="0"/>
        <v>685.79932917499423</v>
      </c>
      <c r="Q14" s="120">
        <f t="shared" si="0"/>
        <v>832.29640799393042</v>
      </c>
      <c r="R14" s="120">
        <f t="shared" si="0"/>
        <v>921.00371758429515</v>
      </c>
      <c r="S14" s="120">
        <f t="shared" si="0"/>
        <v>930.23149607241169</v>
      </c>
      <c r="T14" s="120">
        <f t="shared" si="0"/>
        <v>989.4883501304862</v>
      </c>
      <c r="U14" s="120">
        <f t="shared" si="0"/>
        <v>1030.8766858785852</v>
      </c>
      <c r="V14" s="120">
        <f t="shared" si="0"/>
        <v>911.92423922212799</v>
      </c>
      <c r="W14" s="120">
        <f t="shared" si="0"/>
        <v>1119.2529188697654</v>
      </c>
      <c r="X14" s="120">
        <f t="shared" si="0"/>
        <v>936.76580943533918</v>
      </c>
      <c r="Y14" s="120">
        <f t="shared" si="0"/>
        <v>982.39393622601244</v>
      </c>
      <c r="Z14" s="120">
        <f t="shared" si="0"/>
        <v>1157.017693842495</v>
      </c>
      <c r="AA14" s="120">
        <f t="shared" si="0"/>
        <v>957.19708600169986</v>
      </c>
      <c r="AB14" s="120">
        <f t="shared" si="0"/>
        <v>1086.6536058822476</v>
      </c>
      <c r="AC14" s="120">
        <f t="shared" si="0"/>
        <v>1075.3929553201133</v>
      </c>
      <c r="AD14" s="120">
        <f t="shared" si="0"/>
        <v>926.83347396964666</v>
      </c>
      <c r="AE14" s="120">
        <f t="shared" si="0"/>
        <v>795.23944950900886</v>
      </c>
      <c r="AF14" s="120">
        <f t="shared" si="0"/>
        <v>1067.4277448223409</v>
      </c>
      <c r="AG14" s="120">
        <f t="shared" si="0"/>
        <v>783.09522525584555</v>
      </c>
      <c r="AH14" s="120">
        <f t="shared" si="0"/>
        <v>962.86901211872009</v>
      </c>
      <c r="AI14" s="120">
        <f t="shared" si="0"/>
        <v>726.91278214183762</v>
      </c>
      <c r="AJ14" s="120">
        <f t="shared" si="0"/>
        <v>564.84275551609403</v>
      </c>
      <c r="AK14" s="120">
        <f t="shared" si="0"/>
        <v>548.70518323531826</v>
      </c>
      <c r="AL14" s="120">
        <f t="shared" si="0"/>
        <v>630.5469585552363</v>
      </c>
      <c r="AM14" s="120">
        <f t="shared" si="0"/>
        <v>528.91928900824587</v>
      </c>
      <c r="AN14" s="120">
        <f t="shared" si="0"/>
        <v>735.96478420022265</v>
      </c>
      <c r="AO14" s="120">
        <f t="shared" si="0"/>
        <v>713.94286775098817</v>
      </c>
      <c r="AP14" s="120">
        <f t="shared" si="0"/>
        <v>876.31552284536212</v>
      </c>
      <c r="AQ14" s="120">
        <f t="shared" si="0"/>
        <v>778.55611768876111</v>
      </c>
      <c r="AR14" s="120">
        <f t="shared" si="0"/>
        <v>1077.6013456504515</v>
      </c>
      <c r="AS14" s="120">
        <f t="shared" si="0"/>
        <v>1087.4609558960331</v>
      </c>
      <c r="AT14" s="120">
        <f t="shared" si="0"/>
        <v>935.98992265414472</v>
      </c>
      <c r="AU14" s="120">
        <f t="shared" si="0"/>
        <v>660.92168912601494</v>
      </c>
      <c r="AV14" s="120">
        <f t="shared" si="0"/>
        <v>886.28465167188222</v>
      </c>
      <c r="AW14" s="120">
        <f t="shared" si="0"/>
        <v>813.98208599083387</v>
      </c>
      <c r="AX14" s="120">
        <f t="shared" si="0"/>
        <v>827.74607777280244</v>
      </c>
      <c r="AY14" s="120">
        <f t="shared" si="0"/>
        <v>604.04983847082872</v>
      </c>
      <c r="AZ14" s="114">
        <f t="shared" si="0"/>
        <v>734.03613889535461</v>
      </c>
      <c r="BA14" s="111">
        <f>SUM($E14:$AZ14)</f>
        <v>48411.00243017239</v>
      </c>
    </row>
    <row r="15" spans="1:53" x14ac:dyDescent="0.2">
      <c r="A15" s="125" t="s">
        <v>123</v>
      </c>
      <c r="B15" s="126">
        <v>1</v>
      </c>
      <c r="C15" s="127" t="s">
        <v>293</v>
      </c>
      <c r="D15" s="127">
        <v>620.87923391506502</v>
      </c>
      <c r="E15" s="127">
        <v>1714.542579509912</v>
      </c>
      <c r="F15" s="127">
        <v>1419.4134523958462</v>
      </c>
      <c r="G15" s="127">
        <v>969.41345239584621</v>
      </c>
      <c r="H15" s="127">
        <v>1425.9134523958462</v>
      </c>
      <c r="I15" s="127">
        <v>1425.9134523958462</v>
      </c>
      <c r="J15" s="127">
        <v>1425.9134523958462</v>
      </c>
      <c r="K15" s="127">
        <v>969.41345239584621</v>
      </c>
      <c r="L15" s="127">
        <v>1425.9134523958462</v>
      </c>
      <c r="M15" s="127">
        <v>1425.9134523958462</v>
      </c>
      <c r="N15" s="127">
        <v>1425.9134523958462</v>
      </c>
      <c r="O15" s="127">
        <v>969.41345239584621</v>
      </c>
      <c r="P15" s="127">
        <v>1419.4134523958462</v>
      </c>
      <c r="Q15" s="127">
        <v>1425.9134523958462</v>
      </c>
      <c r="R15" s="127">
        <v>1380.4714016576827</v>
      </c>
      <c r="S15" s="127">
        <v>1425.9134523958462</v>
      </c>
      <c r="T15" s="127">
        <v>1389.4134523958462</v>
      </c>
      <c r="U15" s="127">
        <v>999.41345239584621</v>
      </c>
      <c r="V15" s="127">
        <v>1389.4134523958462</v>
      </c>
      <c r="W15" s="127">
        <v>999.41345239584621</v>
      </c>
      <c r="X15" s="127">
        <v>1425.9134523958462</v>
      </c>
      <c r="Y15" s="127">
        <v>1425.9134523958462</v>
      </c>
      <c r="Z15" s="127">
        <v>1077.379233915065</v>
      </c>
      <c r="AA15" s="127">
        <v>1774.4476708766274</v>
      </c>
      <c r="AB15" s="127">
        <v>1425.9134523958462</v>
      </c>
      <c r="AC15" s="127">
        <v>999.41345239584621</v>
      </c>
      <c r="AD15" s="127">
        <v>969.41345239584621</v>
      </c>
      <c r="AE15" s="127">
        <v>1425.9134523958462</v>
      </c>
      <c r="AF15" s="127">
        <v>620.87923391506502</v>
      </c>
      <c r="AG15" s="127">
        <v>1774.4476708766274</v>
      </c>
      <c r="AH15" s="127">
        <v>1425.9134523958462</v>
      </c>
      <c r="AI15" s="127">
        <v>1419.4134523958462</v>
      </c>
      <c r="AJ15" s="127">
        <v>1425.9134523958462</v>
      </c>
      <c r="AK15" s="127">
        <v>1419.4134523958462</v>
      </c>
      <c r="AL15" s="127">
        <v>969.41345239584621</v>
      </c>
      <c r="AM15" s="127">
        <v>1419.4134523958462</v>
      </c>
      <c r="AN15" s="127">
        <v>1425.9134523958462</v>
      </c>
      <c r="AO15" s="127">
        <v>1425.9134523958462</v>
      </c>
      <c r="AP15" s="127">
        <v>969.41345239584621</v>
      </c>
      <c r="AQ15" s="127">
        <v>1425.9134523958462</v>
      </c>
      <c r="AR15" s="127">
        <v>1425.9134523958462</v>
      </c>
      <c r="AS15" s="127">
        <v>1419.4134523958462</v>
      </c>
      <c r="AT15" s="127">
        <v>969.41345239584621</v>
      </c>
      <c r="AU15" s="127">
        <v>1425.9134523958462</v>
      </c>
      <c r="AV15" s="127">
        <v>1425.9134523958462</v>
      </c>
      <c r="AW15" s="127">
        <v>1425.9134523958462</v>
      </c>
      <c r="AX15" s="127">
        <v>969.41345239584621</v>
      </c>
      <c r="AY15" s="127">
        <v>1419.4134523958462</v>
      </c>
      <c r="AZ15">
        <v>348.53421848078125</v>
      </c>
    </row>
    <row r="16" spans="1:53" x14ac:dyDescent="0.2">
      <c r="A16" s="114"/>
      <c r="B16" s="122">
        <v>2</v>
      </c>
      <c r="C16" s="113" t="s">
        <v>293</v>
      </c>
      <c r="D16" s="110">
        <v>0</v>
      </c>
      <c r="E16" s="114">
        <v>0</v>
      </c>
      <c r="F16" s="114"/>
      <c r="G16" s="114">
        <v>6.5</v>
      </c>
      <c r="H16" s="114">
        <v>0</v>
      </c>
      <c r="I16" s="114">
        <v>0</v>
      </c>
      <c r="J16" s="114">
        <v>0</v>
      </c>
      <c r="K16" s="114"/>
      <c r="L16" s="114">
        <v>0</v>
      </c>
      <c r="M16" s="114">
        <v>0</v>
      </c>
      <c r="N16" s="114"/>
      <c r="O16" s="114"/>
      <c r="P16" s="114">
        <v>456.5</v>
      </c>
      <c r="Q16" s="114">
        <v>6.5</v>
      </c>
      <c r="R16" s="114"/>
      <c r="S16" s="114">
        <v>0</v>
      </c>
      <c r="T16" s="114"/>
      <c r="U16" s="114">
        <v>36.5</v>
      </c>
      <c r="V16" s="114">
        <v>426.5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/>
      <c r="AC16" s="114"/>
      <c r="AD16" s="114">
        <v>0</v>
      </c>
      <c r="AE16" s="114"/>
      <c r="AF16" s="114"/>
      <c r="AG16" s="114">
        <v>456.5</v>
      </c>
      <c r="AH16" s="114">
        <v>0</v>
      </c>
      <c r="AI16" s="114">
        <v>0</v>
      </c>
      <c r="AJ16" s="114">
        <v>6.5</v>
      </c>
      <c r="AK16" s="114"/>
      <c r="AL16" s="114">
        <v>6.5</v>
      </c>
      <c r="AM16" s="114">
        <v>456.5</v>
      </c>
      <c r="AN16" s="114">
        <v>6.5</v>
      </c>
      <c r="AO16" s="114">
        <v>0</v>
      </c>
      <c r="AP16" s="114">
        <v>0</v>
      </c>
      <c r="AQ16" s="114">
        <v>456.5</v>
      </c>
      <c r="AR16" s="114"/>
      <c r="AS16" s="114">
        <v>0</v>
      </c>
      <c r="AT16" s="114">
        <v>6.5</v>
      </c>
      <c r="AU16" s="114">
        <v>456.5</v>
      </c>
      <c r="AV16" s="114">
        <v>0</v>
      </c>
      <c r="AW16" s="114"/>
      <c r="AX16" s="114">
        <v>0</v>
      </c>
      <c r="AY16" s="114">
        <v>456.5</v>
      </c>
      <c r="AZ16">
        <v>6.5</v>
      </c>
      <c r="BA16">
        <v>456.5</v>
      </c>
    </row>
    <row r="17" spans="1:51" x14ac:dyDescent="0.2">
      <c r="A17" s="114"/>
      <c r="B17" s="122">
        <v>3</v>
      </c>
      <c r="C17" s="113" t="s">
        <v>293</v>
      </c>
      <c r="D17" s="110"/>
      <c r="E17" s="114"/>
      <c r="F17" s="114">
        <v>0</v>
      </c>
      <c r="G17" s="114"/>
      <c r="H17" s="114"/>
      <c r="I17" s="114">
        <v>456.5</v>
      </c>
      <c r="J17" s="114"/>
      <c r="K17" s="114"/>
      <c r="L17" s="114">
        <v>0</v>
      </c>
      <c r="M17" s="114">
        <v>456.5</v>
      </c>
      <c r="N17" s="114"/>
      <c r="O17" s="114"/>
      <c r="P17" s="114"/>
      <c r="Q17" s="114"/>
      <c r="R17" s="114"/>
      <c r="S17" s="114"/>
      <c r="T17" s="114"/>
      <c r="U17" s="114"/>
      <c r="V17" s="114">
        <v>0</v>
      </c>
      <c r="W17" s="114">
        <v>0</v>
      </c>
      <c r="X17" s="114">
        <v>36.5</v>
      </c>
      <c r="Y17" s="114">
        <v>426.5</v>
      </c>
      <c r="Z17" s="114"/>
      <c r="AA17" s="114">
        <v>0</v>
      </c>
      <c r="AB17" s="114"/>
      <c r="AC17" s="114"/>
      <c r="AD17" s="114"/>
      <c r="AE17" s="114">
        <v>426.5</v>
      </c>
      <c r="AF17" s="114"/>
      <c r="AG17" s="114"/>
      <c r="AH17" s="114"/>
      <c r="AI17" s="114"/>
      <c r="AJ17" s="114"/>
      <c r="AK17" s="114">
        <v>0</v>
      </c>
      <c r="AL17" s="114"/>
      <c r="AM17" s="114"/>
      <c r="AN17" s="114">
        <v>0</v>
      </c>
      <c r="AO17" s="114"/>
      <c r="AP17" s="114"/>
      <c r="AQ17" s="114"/>
      <c r="AR17" s="114"/>
      <c r="AS17" s="114"/>
      <c r="AT17" s="114"/>
      <c r="AU17" s="114"/>
      <c r="AV17" s="114"/>
      <c r="AW17" s="114"/>
      <c r="AX17" s="114"/>
      <c r="AY17" s="114"/>
    </row>
    <row r="18" spans="1:51" x14ac:dyDescent="0.2">
      <c r="A18" s="128"/>
      <c r="B18" s="119">
        <v>4</v>
      </c>
      <c r="C18" s="128" t="s">
        <v>293</v>
      </c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  <c r="AM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/>
      <c r="AX18" s="128"/>
      <c r="AY18" s="128"/>
    </row>
    <row r="20" spans="1:51" x14ac:dyDescent="0.2">
      <c r="A20" s="1" t="s">
        <v>294</v>
      </c>
    </row>
    <row r="21" spans="1:51" x14ac:dyDescent="0.2">
      <c r="A21" s="129" t="s">
        <v>125</v>
      </c>
      <c r="B21" s="126">
        <v>1</v>
      </c>
      <c r="C21" s="127" t="s">
        <v>293</v>
      </c>
      <c r="D21" s="127">
        <v>4081.2645598754193</v>
      </c>
      <c r="E21" s="127">
        <v>3880.561535666262</v>
      </c>
      <c r="F21" s="127">
        <v>1913.7589634506535</v>
      </c>
      <c r="G21" s="127"/>
      <c r="H21" s="127"/>
      <c r="I21" s="127"/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127"/>
      <c r="V21" s="127"/>
      <c r="W21" s="127"/>
      <c r="X21" s="127"/>
      <c r="Y21" s="127"/>
      <c r="Z21" s="127"/>
      <c r="AA21" s="127"/>
      <c r="AB21" s="127"/>
      <c r="AC21" s="127"/>
      <c r="AD21" s="127"/>
      <c r="AE21" s="127"/>
      <c r="AF21" s="127"/>
      <c r="AG21" s="127"/>
      <c r="AH21" s="127"/>
      <c r="AI21" s="127"/>
      <c r="AJ21" s="127"/>
      <c r="AK21" s="127"/>
      <c r="AL21" s="127"/>
      <c r="AM21" s="127"/>
      <c r="AN21" s="127"/>
      <c r="AO21" s="127"/>
      <c r="AP21" s="127"/>
      <c r="AQ21" s="127"/>
      <c r="AR21" s="127"/>
      <c r="AS21" s="127"/>
      <c r="AT21" s="127"/>
      <c r="AU21" s="127"/>
      <c r="AV21" s="127"/>
      <c r="AW21" s="127"/>
      <c r="AX21" s="127"/>
      <c r="AY21" s="127"/>
    </row>
    <row r="22" spans="1:51" x14ac:dyDescent="0.2">
      <c r="A22" s="113"/>
      <c r="B22" s="123">
        <v>2</v>
      </c>
      <c r="C22" s="114" t="s">
        <v>293</v>
      </c>
      <c r="D22" s="114">
        <v>0</v>
      </c>
      <c r="E22" s="114">
        <v>0</v>
      </c>
      <c r="F22" s="114">
        <v>0</v>
      </c>
      <c r="G22" s="114">
        <v>1665.5005121227048</v>
      </c>
      <c r="H22" s="114">
        <v>1803.5733753432792</v>
      </c>
      <c r="I22" s="114">
        <v>643.0685506660484</v>
      </c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  <c r="AC22" s="114"/>
      <c r="AD22" s="114"/>
      <c r="AE22" s="114"/>
      <c r="AF22" s="114"/>
      <c r="AG22" s="114"/>
      <c r="AH22" s="114"/>
      <c r="AI22" s="114"/>
      <c r="AJ22" s="114"/>
      <c r="AK22" s="114"/>
      <c r="AL22" s="114"/>
      <c r="AM22" s="114"/>
      <c r="AN22" s="114"/>
      <c r="AO22" s="114"/>
      <c r="AP22" s="114"/>
      <c r="AQ22" s="114"/>
      <c r="AR22" s="114"/>
      <c r="AS22" s="114"/>
      <c r="AT22" s="114"/>
      <c r="AU22" s="114"/>
      <c r="AV22" s="114"/>
      <c r="AW22" s="114"/>
      <c r="AX22" s="114"/>
      <c r="AY22" s="114"/>
    </row>
    <row r="23" spans="1:51" x14ac:dyDescent="0.2">
      <c r="A23" s="113"/>
      <c r="B23" s="130">
        <v>3</v>
      </c>
      <c r="C23" s="114" t="s">
        <v>293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1869.6962688342014</v>
      </c>
      <c r="J23" s="114">
        <v>2260.4104694950652</v>
      </c>
      <c r="K23" s="114">
        <v>1592.201560794869</v>
      </c>
      <c r="L23" s="114">
        <v>124.65880977933968</v>
      </c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  <c r="AC23" s="114"/>
      <c r="AD23" s="114"/>
      <c r="AE23" s="114"/>
      <c r="AF23" s="114"/>
      <c r="AG23" s="114"/>
      <c r="AH23" s="114"/>
      <c r="AI23" s="114"/>
      <c r="AJ23" s="114"/>
      <c r="AK23" s="114"/>
      <c r="AL23" s="114"/>
      <c r="AM23" s="114"/>
      <c r="AN23" s="114"/>
      <c r="AO23" s="114"/>
      <c r="AP23" s="114"/>
      <c r="AQ23" s="114"/>
      <c r="AR23" s="114"/>
      <c r="AS23" s="114"/>
      <c r="AT23" s="114"/>
      <c r="AU23" s="114"/>
      <c r="AV23" s="114"/>
      <c r="AW23" s="114"/>
      <c r="AX23" s="114"/>
      <c r="AY23" s="114"/>
    </row>
    <row r="24" spans="1:51" x14ac:dyDescent="0.2">
      <c r="A24" s="131"/>
      <c r="B24" s="132">
        <v>4</v>
      </c>
      <c r="C24" s="131" t="s">
        <v>293</v>
      </c>
      <c r="D24" s="128">
        <v>0</v>
      </c>
      <c r="E24" s="128">
        <v>0</v>
      </c>
      <c r="F24" s="128">
        <v>0</v>
      </c>
      <c r="G24" s="128">
        <v>0</v>
      </c>
      <c r="H24" s="128">
        <v>0</v>
      </c>
      <c r="I24" s="128">
        <v>0</v>
      </c>
      <c r="J24" s="128">
        <v>0</v>
      </c>
      <c r="K24" s="128">
        <v>652.78553971430574</v>
      </c>
      <c r="L24" s="128">
        <v>2217.0629990805501</v>
      </c>
      <c r="M24" s="128">
        <v>2312.0572712849107</v>
      </c>
      <c r="N24" s="128">
        <v>1149.3995562819</v>
      </c>
      <c r="O24" s="128">
        <v>0</v>
      </c>
      <c r="P24" s="128">
        <v>0</v>
      </c>
      <c r="Q24" s="128">
        <v>0</v>
      </c>
      <c r="R24" s="128">
        <v>0</v>
      </c>
      <c r="S24" s="128">
        <v>0</v>
      </c>
      <c r="T24" s="128">
        <v>0</v>
      </c>
      <c r="U24" s="128">
        <v>0</v>
      </c>
      <c r="V24" s="128">
        <v>0</v>
      </c>
      <c r="W24" s="128">
        <v>0</v>
      </c>
      <c r="X24" s="128">
        <v>0</v>
      </c>
      <c r="Y24" s="128">
        <v>0</v>
      </c>
      <c r="Z24" s="128">
        <v>0</v>
      </c>
      <c r="AA24" s="128">
        <v>0</v>
      </c>
      <c r="AB24" s="128">
        <v>0</v>
      </c>
      <c r="AC24" s="128">
        <v>0</v>
      </c>
      <c r="AD24" s="128">
        <v>0</v>
      </c>
      <c r="AE24" s="128">
        <v>0</v>
      </c>
      <c r="AF24" s="128">
        <v>0</v>
      </c>
      <c r="AG24" s="128">
        <v>0</v>
      </c>
      <c r="AH24" s="128">
        <v>0</v>
      </c>
      <c r="AI24" s="128">
        <v>0</v>
      </c>
      <c r="AJ24" s="128">
        <v>0</v>
      </c>
      <c r="AK24" s="128">
        <v>0</v>
      </c>
      <c r="AL24" s="128">
        <v>0</v>
      </c>
      <c r="AM24" s="128">
        <v>0</v>
      </c>
      <c r="AN24" s="128">
        <v>0</v>
      </c>
      <c r="AO24" s="128">
        <v>0</v>
      </c>
      <c r="AP24" s="128">
        <v>0</v>
      </c>
      <c r="AQ24" s="128">
        <v>0</v>
      </c>
      <c r="AR24" s="128">
        <v>0</v>
      </c>
      <c r="AS24" s="128">
        <v>0</v>
      </c>
      <c r="AT24" s="128">
        <v>0</v>
      </c>
      <c r="AU24" s="128">
        <v>0</v>
      </c>
      <c r="AV24" s="128">
        <v>0</v>
      </c>
      <c r="AW24" s="128">
        <v>0</v>
      </c>
      <c r="AX24" s="128">
        <v>0</v>
      </c>
      <c r="AY24" s="128">
        <v>0</v>
      </c>
    </row>
    <row r="25" spans="1:51" x14ac:dyDescent="0.2">
      <c r="A25" s="129" t="s">
        <v>133</v>
      </c>
      <c r="B25" s="126">
        <v>1</v>
      </c>
      <c r="C25" s="113" t="s">
        <v>293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14"/>
      <c r="AP25" s="114"/>
      <c r="AQ25" s="114"/>
      <c r="AR25" s="114"/>
      <c r="AS25" s="114"/>
      <c r="AT25" s="114"/>
      <c r="AU25" s="114"/>
      <c r="AV25" s="114"/>
      <c r="AW25" s="114"/>
      <c r="AX25" s="114"/>
      <c r="AY25" s="114"/>
    </row>
    <row r="26" spans="1:51" x14ac:dyDescent="0.2">
      <c r="A26" s="113"/>
      <c r="B26" s="122">
        <v>2</v>
      </c>
      <c r="C26" s="113" t="s">
        <v>293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</row>
    <row r="27" spans="1:51" x14ac:dyDescent="0.2">
      <c r="A27" s="113"/>
      <c r="B27" s="123">
        <v>3</v>
      </c>
      <c r="C27" s="113" t="s">
        <v>293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</row>
    <row r="28" spans="1:51" x14ac:dyDescent="0.2">
      <c r="A28" s="113"/>
      <c r="B28" s="123">
        <v>4</v>
      </c>
      <c r="C28" s="113" t="s">
        <v>293</v>
      </c>
      <c r="D28" s="114">
        <v>0</v>
      </c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</row>
    <row r="29" spans="1:51" x14ac:dyDescent="0.2">
      <c r="A29" s="113"/>
      <c r="B29" s="130">
        <v>5</v>
      </c>
      <c r="C29" s="113" t="s">
        <v>293</v>
      </c>
      <c r="D29" s="114">
        <v>0</v>
      </c>
      <c r="E29" s="114">
        <v>0</v>
      </c>
      <c r="F29" s="114">
        <v>0</v>
      </c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114"/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</row>
    <row r="30" spans="1:51" x14ac:dyDescent="0.2">
      <c r="A30" s="113"/>
      <c r="B30" s="130">
        <v>6</v>
      </c>
      <c r="C30" s="113" t="s">
        <v>293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114"/>
      <c r="AA30" s="114"/>
      <c r="AB30" s="114"/>
      <c r="AC30" s="114"/>
      <c r="AD30" s="114"/>
      <c r="AE30" s="114"/>
      <c r="AF30" s="114"/>
      <c r="AG30" s="114"/>
      <c r="AH30" s="114"/>
      <c r="AI30" s="114"/>
      <c r="AJ30" s="114"/>
      <c r="AK30" s="114"/>
      <c r="AL30" s="114"/>
      <c r="AM30" s="114"/>
      <c r="AN30" s="114"/>
      <c r="AO30" s="114"/>
      <c r="AP30" s="114"/>
      <c r="AQ30" s="114"/>
      <c r="AR30" s="114"/>
      <c r="AS30" s="114"/>
      <c r="AT30" s="114"/>
      <c r="AU30" s="114"/>
      <c r="AV30" s="114"/>
      <c r="AW30" s="114"/>
      <c r="AX30" s="114"/>
      <c r="AY30" s="114"/>
    </row>
    <row r="31" spans="1:51" x14ac:dyDescent="0.2">
      <c r="A31" s="113"/>
      <c r="B31" s="133">
        <v>7</v>
      </c>
      <c r="C31" s="113" t="s">
        <v>293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/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4"/>
      <c r="Y31" s="114"/>
      <c r="Z31" s="114"/>
      <c r="AA31" s="114"/>
      <c r="AB31" s="114"/>
      <c r="AC31" s="114"/>
      <c r="AD31" s="114"/>
      <c r="AE31" s="114"/>
      <c r="AF31" s="114"/>
      <c r="AG31" s="114"/>
      <c r="AH31" s="114"/>
      <c r="AI31" s="114"/>
      <c r="AJ31" s="114"/>
      <c r="AK31" s="114"/>
      <c r="AL31" s="114"/>
      <c r="AM31" s="114"/>
      <c r="AN31" s="114"/>
      <c r="AO31" s="114"/>
      <c r="AP31" s="114"/>
      <c r="AQ31" s="114"/>
      <c r="AR31" s="114"/>
      <c r="AS31" s="114"/>
      <c r="AT31" s="114"/>
      <c r="AU31" s="114"/>
      <c r="AV31" s="114"/>
      <c r="AW31" s="114"/>
      <c r="AX31" s="114"/>
      <c r="AY31" s="114"/>
    </row>
    <row r="32" spans="1:51" x14ac:dyDescent="0.2">
      <c r="A32" s="131"/>
      <c r="B32" s="132">
        <v>8</v>
      </c>
      <c r="C32" s="131" t="s">
        <v>293</v>
      </c>
      <c r="D32" s="128">
        <v>0</v>
      </c>
      <c r="E32" s="128">
        <v>0</v>
      </c>
      <c r="F32" s="128">
        <v>0</v>
      </c>
      <c r="G32" s="128">
        <v>0</v>
      </c>
      <c r="H32" s="128">
        <v>0</v>
      </c>
      <c r="I32" s="128">
        <v>0</v>
      </c>
      <c r="J32" s="128">
        <v>0</v>
      </c>
      <c r="K32" s="128">
        <v>0</v>
      </c>
      <c r="L32" s="128">
        <v>0</v>
      </c>
      <c r="M32" s="128">
        <v>0</v>
      </c>
      <c r="N32" s="128">
        <v>0</v>
      </c>
      <c r="O32" s="128">
        <v>0</v>
      </c>
      <c r="P32" s="128">
        <v>0</v>
      </c>
      <c r="Q32" s="128">
        <v>0</v>
      </c>
      <c r="R32" s="128">
        <v>0</v>
      </c>
      <c r="S32" s="128">
        <v>0</v>
      </c>
      <c r="T32" s="128">
        <v>0</v>
      </c>
      <c r="U32" s="128">
        <v>0</v>
      </c>
      <c r="V32" s="128">
        <v>0</v>
      </c>
      <c r="W32" s="128">
        <v>0</v>
      </c>
      <c r="X32" s="128">
        <v>0</v>
      </c>
      <c r="Y32" s="128">
        <v>0</v>
      </c>
      <c r="Z32" s="128">
        <v>0</v>
      </c>
      <c r="AA32" s="128">
        <v>0</v>
      </c>
      <c r="AB32" s="128">
        <v>0</v>
      </c>
      <c r="AC32" s="128">
        <v>0</v>
      </c>
      <c r="AD32" s="128">
        <v>0</v>
      </c>
      <c r="AE32" s="128">
        <v>0</v>
      </c>
      <c r="AF32" s="128">
        <v>0</v>
      </c>
      <c r="AG32" s="128">
        <v>0</v>
      </c>
      <c r="AH32" s="128">
        <v>0</v>
      </c>
      <c r="AI32" s="128">
        <v>0</v>
      </c>
      <c r="AJ32" s="128">
        <v>0</v>
      </c>
      <c r="AK32" s="128">
        <v>0</v>
      </c>
      <c r="AL32" s="128">
        <v>0</v>
      </c>
      <c r="AM32" s="128">
        <v>0</v>
      </c>
      <c r="AN32" s="128">
        <v>0</v>
      </c>
      <c r="AO32" s="128">
        <v>0</v>
      </c>
      <c r="AP32" s="128">
        <v>0</v>
      </c>
      <c r="AQ32" s="128">
        <v>0</v>
      </c>
      <c r="AR32" s="128">
        <v>0</v>
      </c>
      <c r="AS32" s="128">
        <v>0</v>
      </c>
      <c r="AT32" s="128">
        <v>0</v>
      </c>
      <c r="AU32" s="128">
        <v>0</v>
      </c>
      <c r="AV32" s="128">
        <v>0</v>
      </c>
      <c r="AW32" s="128">
        <v>0</v>
      </c>
      <c r="AX32" s="128">
        <v>0</v>
      </c>
      <c r="AY32" s="128">
        <v>0</v>
      </c>
    </row>
    <row r="33" spans="1:51" x14ac:dyDescent="0.2">
      <c r="A33" s="134" t="s">
        <v>134</v>
      </c>
      <c r="B33" s="122">
        <v>1</v>
      </c>
      <c r="C33" s="113" t="s">
        <v>293</v>
      </c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</row>
    <row r="34" spans="1:51" x14ac:dyDescent="0.2">
      <c r="A34" s="113"/>
      <c r="B34" s="122">
        <v>2</v>
      </c>
      <c r="C34" s="113" t="s">
        <v>293</v>
      </c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</row>
    <row r="35" spans="1:51" x14ac:dyDescent="0.2">
      <c r="A35" s="113"/>
      <c r="B35" s="122">
        <v>3</v>
      </c>
      <c r="C35" s="113" t="s">
        <v>293</v>
      </c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</row>
    <row r="36" spans="1:51" x14ac:dyDescent="0.2">
      <c r="A36" s="113"/>
      <c r="B36" s="123">
        <v>4</v>
      </c>
      <c r="C36" s="113" t="s">
        <v>293</v>
      </c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1" x14ac:dyDescent="0.2">
      <c r="A37" s="113"/>
      <c r="B37" s="123">
        <v>5</v>
      </c>
      <c r="C37" s="113" t="s">
        <v>293</v>
      </c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1" x14ac:dyDescent="0.2">
      <c r="A38" s="113"/>
      <c r="B38" s="123">
        <v>6</v>
      </c>
      <c r="C38" s="113" t="s">
        <v>293</v>
      </c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1" x14ac:dyDescent="0.2">
      <c r="A39" s="113"/>
      <c r="B39" s="130">
        <v>7</v>
      </c>
      <c r="C39" s="113" t="s">
        <v>293</v>
      </c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</row>
    <row r="40" spans="1:51" x14ac:dyDescent="0.2">
      <c r="A40" s="113"/>
      <c r="B40" s="130">
        <v>8</v>
      </c>
      <c r="C40" s="113" t="s">
        <v>293</v>
      </c>
      <c r="D40" s="110">
        <v>1019.7887142802188</v>
      </c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</row>
    <row r="41" spans="1:51" x14ac:dyDescent="0.2">
      <c r="A41" s="113"/>
      <c r="B41" s="130">
        <v>9</v>
      </c>
      <c r="C41" s="113" t="s">
        <v>293</v>
      </c>
      <c r="D41" s="110">
        <v>0</v>
      </c>
      <c r="E41" s="110">
        <v>431.71337500819743</v>
      </c>
      <c r="F41" s="110">
        <v>1714.8294245282571</v>
      </c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</row>
    <row r="42" spans="1:51" x14ac:dyDescent="0.2">
      <c r="A42" s="113"/>
      <c r="B42" s="133">
        <v>10</v>
      </c>
      <c r="C42" s="113" t="s">
        <v>293</v>
      </c>
      <c r="D42" s="110">
        <v>0</v>
      </c>
      <c r="E42" s="110">
        <v>0</v>
      </c>
      <c r="F42" s="110">
        <v>0</v>
      </c>
      <c r="G42" s="110">
        <v>1296.2909000653556</v>
      </c>
      <c r="H42" s="110">
        <v>1680.2180368447885</v>
      </c>
      <c r="I42" s="110">
        <v>624.89120121542123</v>
      </c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</row>
    <row r="43" spans="1:51" x14ac:dyDescent="0.2">
      <c r="A43" s="113"/>
      <c r="B43" s="133">
        <v>11</v>
      </c>
      <c r="C43" s="113" t="s">
        <v>293</v>
      </c>
      <c r="D43" s="110">
        <v>0</v>
      </c>
      <c r="E43" s="110">
        <v>0</v>
      </c>
      <c r="F43" s="110">
        <v>0</v>
      </c>
      <c r="G43" s="110">
        <v>0</v>
      </c>
      <c r="H43" s="110">
        <v>0</v>
      </c>
      <c r="I43" s="110">
        <v>1200.2088864742925</v>
      </c>
      <c r="J43" s="110">
        <v>1809.0338621848937</v>
      </c>
      <c r="K43" s="110">
        <v>1537.4376896160745</v>
      </c>
      <c r="L43" s="110">
        <v>119.80533060319384</v>
      </c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</row>
    <row r="44" spans="1:51" x14ac:dyDescent="0.2">
      <c r="A44" s="113"/>
      <c r="B44" s="133">
        <v>12</v>
      </c>
      <c r="C44" s="131" t="s">
        <v>293</v>
      </c>
      <c r="D44" s="110">
        <v>0</v>
      </c>
      <c r="E44" s="110">
        <v>0</v>
      </c>
      <c r="F44" s="110">
        <v>0</v>
      </c>
      <c r="G44" s="110">
        <v>0</v>
      </c>
      <c r="H44" s="110">
        <v>0</v>
      </c>
      <c r="I44" s="110">
        <v>0</v>
      </c>
      <c r="J44" s="110">
        <v>0</v>
      </c>
      <c r="K44" s="110">
        <v>12.965297467450114</v>
      </c>
      <c r="L44" s="110">
        <v>1669.2521736940907</v>
      </c>
      <c r="M44" s="110">
        <v>2158.3883360522154</v>
      </c>
      <c r="N44" s="110">
        <v>1090.0765596492895</v>
      </c>
      <c r="O44" s="110">
        <v>0</v>
      </c>
      <c r="P44" s="110">
        <v>0</v>
      </c>
      <c r="Q44" s="110">
        <v>0</v>
      </c>
      <c r="R44" s="110">
        <v>0</v>
      </c>
      <c r="S44" s="110">
        <v>0</v>
      </c>
      <c r="T44" s="110">
        <v>0</v>
      </c>
      <c r="U44" s="110">
        <v>0</v>
      </c>
      <c r="V44" s="110">
        <v>0</v>
      </c>
      <c r="W44" s="110">
        <v>0</v>
      </c>
      <c r="X44" s="110">
        <v>0</v>
      </c>
      <c r="Y44" s="110">
        <v>0</v>
      </c>
      <c r="Z44" s="110">
        <v>0</v>
      </c>
      <c r="AA44" s="110">
        <v>0</v>
      </c>
      <c r="AB44" s="110">
        <v>0</v>
      </c>
      <c r="AC44" s="110">
        <v>0</v>
      </c>
      <c r="AD44" s="110">
        <v>0</v>
      </c>
      <c r="AE44" s="110">
        <v>0</v>
      </c>
      <c r="AF44" s="110">
        <v>0</v>
      </c>
      <c r="AG44" s="110">
        <v>0</v>
      </c>
      <c r="AH44" s="110">
        <v>0</v>
      </c>
      <c r="AI44" s="110">
        <v>0</v>
      </c>
      <c r="AJ44" s="110">
        <v>0</v>
      </c>
      <c r="AK44" s="110">
        <v>0</v>
      </c>
      <c r="AL44" s="110">
        <v>0</v>
      </c>
      <c r="AM44" s="110">
        <v>0</v>
      </c>
      <c r="AN44" s="110">
        <v>0</v>
      </c>
      <c r="AO44" s="110">
        <v>0</v>
      </c>
      <c r="AP44" s="110">
        <v>0</v>
      </c>
      <c r="AQ44" s="110">
        <v>0</v>
      </c>
      <c r="AR44" s="110">
        <v>0</v>
      </c>
      <c r="AS44" s="110">
        <v>0</v>
      </c>
      <c r="AT44" s="110">
        <v>0</v>
      </c>
      <c r="AU44" s="110">
        <v>0</v>
      </c>
      <c r="AV44" s="110">
        <v>0</v>
      </c>
      <c r="AW44" s="110">
        <v>0</v>
      </c>
      <c r="AX44" s="110">
        <v>0</v>
      </c>
      <c r="AY44" s="110">
        <v>0</v>
      </c>
    </row>
    <row r="45" spans="1:51" x14ac:dyDescent="0.2">
      <c r="A45" s="129" t="s">
        <v>123</v>
      </c>
      <c r="B45" s="126">
        <v>1</v>
      </c>
      <c r="C45" s="113" t="s">
        <v>293</v>
      </c>
      <c r="D45" s="127"/>
      <c r="E45" s="127"/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127"/>
      <c r="Q45" s="127"/>
      <c r="R45" s="127"/>
      <c r="S45" s="127"/>
      <c r="T45" s="127"/>
      <c r="U45" s="127"/>
      <c r="V45" s="127"/>
      <c r="W45" s="127"/>
      <c r="X45" s="127"/>
      <c r="Y45" s="127"/>
      <c r="Z45" s="127"/>
      <c r="AA45" s="127"/>
      <c r="AB45" s="127"/>
      <c r="AC45" s="127"/>
      <c r="AD45" s="127"/>
      <c r="AE45" s="127"/>
      <c r="AF45" s="127"/>
      <c r="AG45" s="127"/>
      <c r="AH45" s="127"/>
      <c r="AI45" s="127"/>
      <c r="AJ45" s="127"/>
      <c r="AK45" s="127"/>
      <c r="AL45" s="127"/>
      <c r="AM45" s="127"/>
      <c r="AN45" s="127"/>
      <c r="AO45" s="127"/>
      <c r="AP45" s="127"/>
      <c r="AQ45" s="127"/>
      <c r="AR45" s="127"/>
      <c r="AS45" s="127"/>
      <c r="AT45" s="127"/>
      <c r="AU45" s="127"/>
      <c r="AV45" s="127"/>
      <c r="AW45" s="127"/>
      <c r="AX45" s="127"/>
      <c r="AY45" s="127"/>
    </row>
    <row r="46" spans="1:51" x14ac:dyDescent="0.2">
      <c r="A46" s="113"/>
      <c r="B46" s="122">
        <v>2</v>
      </c>
      <c r="C46" s="113" t="s">
        <v>293</v>
      </c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4"/>
      <c r="AP46" s="114"/>
      <c r="AQ46" s="114"/>
      <c r="AR46" s="114"/>
      <c r="AS46" s="114"/>
      <c r="AT46" s="114"/>
      <c r="AU46" s="114"/>
      <c r="AV46" s="114"/>
      <c r="AW46" s="114"/>
      <c r="AX46" s="114"/>
      <c r="AY46" s="114"/>
    </row>
    <row r="47" spans="1:51" x14ac:dyDescent="0.2">
      <c r="A47" s="113"/>
      <c r="B47" s="122">
        <v>3</v>
      </c>
      <c r="C47" s="113" t="s">
        <v>293</v>
      </c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4"/>
      <c r="AF47" s="114"/>
      <c r="AG47" s="114"/>
      <c r="AH47" s="114"/>
      <c r="AI47" s="114"/>
      <c r="AJ47" s="114"/>
      <c r="AK47" s="114"/>
      <c r="AL47" s="114"/>
      <c r="AM47" s="114"/>
      <c r="AN47" s="114"/>
      <c r="AO47" s="114"/>
      <c r="AP47" s="114"/>
      <c r="AQ47" s="114"/>
      <c r="AR47" s="114"/>
      <c r="AS47" s="114"/>
      <c r="AT47" s="114"/>
      <c r="AU47" s="114"/>
      <c r="AV47" s="114"/>
      <c r="AW47" s="114"/>
      <c r="AX47" s="114"/>
      <c r="AY47" s="114"/>
    </row>
    <row r="48" spans="1:51" x14ac:dyDescent="0.2">
      <c r="A48" s="113"/>
      <c r="B48" s="122">
        <v>4</v>
      </c>
      <c r="C48" s="113" t="s">
        <v>293</v>
      </c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4"/>
      <c r="AF48" s="114"/>
      <c r="AG48" s="114"/>
      <c r="AH48" s="114"/>
      <c r="AI48" s="114"/>
      <c r="AJ48" s="114"/>
      <c r="AK48" s="114"/>
      <c r="AL48" s="114"/>
      <c r="AM48" s="114"/>
      <c r="AN48" s="114"/>
      <c r="AO48" s="114"/>
      <c r="AP48" s="114"/>
      <c r="AQ48" s="114"/>
      <c r="AR48" s="114"/>
      <c r="AS48" s="114"/>
      <c r="AT48" s="114"/>
      <c r="AU48" s="114"/>
      <c r="AV48" s="114"/>
      <c r="AW48" s="114"/>
      <c r="AX48" s="114"/>
      <c r="AY48" s="114"/>
    </row>
    <row r="49" spans="1:51" x14ac:dyDescent="0.2">
      <c r="A49" s="113"/>
      <c r="B49" s="122">
        <v>5</v>
      </c>
      <c r="C49" s="113" t="s">
        <v>293</v>
      </c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4"/>
      <c r="AF49" s="114"/>
      <c r="AG49" s="114"/>
      <c r="AH49" s="114"/>
      <c r="AI49" s="114"/>
      <c r="AJ49" s="114"/>
      <c r="AK49" s="114"/>
      <c r="AL49" s="114"/>
      <c r="AM49" s="114"/>
      <c r="AN49" s="114"/>
      <c r="AO49" s="114"/>
      <c r="AP49" s="114"/>
      <c r="AQ49" s="114"/>
      <c r="AR49" s="114"/>
      <c r="AS49" s="114"/>
      <c r="AT49" s="114"/>
      <c r="AU49" s="114"/>
      <c r="AV49" s="114"/>
      <c r="AW49" s="114"/>
      <c r="AX49" s="114"/>
      <c r="AY49" s="114"/>
    </row>
    <row r="50" spans="1:51" x14ac:dyDescent="0.2">
      <c r="A50" s="113"/>
      <c r="B50" s="122">
        <v>6</v>
      </c>
      <c r="C50" s="113" t="s">
        <v>293</v>
      </c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14"/>
      <c r="AJ50" s="114"/>
      <c r="AK50" s="114"/>
      <c r="AL50" s="114"/>
      <c r="AM50" s="114"/>
      <c r="AN50" s="114"/>
      <c r="AO50" s="114"/>
      <c r="AP50" s="114"/>
      <c r="AQ50" s="114"/>
      <c r="AR50" s="114"/>
      <c r="AS50" s="114"/>
      <c r="AT50" s="114"/>
      <c r="AU50" s="114"/>
      <c r="AV50" s="114"/>
      <c r="AW50" s="114"/>
      <c r="AX50" s="114"/>
      <c r="AY50" s="114"/>
    </row>
    <row r="51" spans="1:51" x14ac:dyDescent="0.2">
      <c r="A51" s="113"/>
      <c r="B51" s="122">
        <v>7</v>
      </c>
      <c r="C51" s="113" t="s">
        <v>293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  <c r="AD51" s="114"/>
      <c r="AE51" s="114"/>
      <c r="AF51" s="114"/>
      <c r="AG51" s="114"/>
      <c r="AH51" s="114"/>
      <c r="AI51" s="114"/>
      <c r="AJ51" s="114"/>
      <c r="AK51" s="114"/>
      <c r="AL51" s="114"/>
      <c r="AM51" s="114"/>
      <c r="AN51" s="114"/>
      <c r="AO51" s="114"/>
      <c r="AP51" s="114"/>
      <c r="AQ51" s="114"/>
      <c r="AR51" s="114"/>
      <c r="AS51" s="114"/>
      <c r="AT51" s="114"/>
      <c r="AU51" s="114"/>
      <c r="AV51" s="114"/>
      <c r="AW51" s="114"/>
      <c r="AX51" s="114"/>
      <c r="AY51" s="114"/>
    </row>
    <row r="52" spans="1:51" x14ac:dyDescent="0.2">
      <c r="A52" s="113"/>
      <c r="B52" s="122">
        <v>8</v>
      </c>
      <c r="C52" s="113" t="s">
        <v>293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  <c r="AD52" s="114"/>
      <c r="AE52" s="114"/>
      <c r="AF52" s="114"/>
      <c r="AG52" s="114"/>
      <c r="AH52" s="114"/>
      <c r="AI52" s="114"/>
      <c r="AJ52" s="114"/>
      <c r="AK52" s="114"/>
      <c r="AL52" s="114"/>
      <c r="AM52" s="114"/>
      <c r="AN52" s="114"/>
      <c r="AO52" s="114"/>
      <c r="AP52" s="114"/>
      <c r="AQ52" s="114"/>
      <c r="AR52" s="114"/>
      <c r="AS52" s="114"/>
      <c r="AT52" s="114"/>
      <c r="AU52" s="114"/>
      <c r="AV52" s="114"/>
      <c r="AW52" s="114"/>
      <c r="AX52" s="114"/>
      <c r="AY52" s="114"/>
    </row>
    <row r="53" spans="1:51" x14ac:dyDescent="0.2">
      <c r="A53" s="113"/>
      <c r="B53" s="122">
        <v>9</v>
      </c>
      <c r="C53" s="113" t="s">
        <v>293</v>
      </c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  <c r="AD53" s="114"/>
      <c r="AE53" s="114"/>
      <c r="AF53" s="114"/>
      <c r="AG53" s="114"/>
      <c r="AH53" s="114"/>
      <c r="AI53" s="114"/>
      <c r="AJ53" s="114"/>
      <c r="AK53" s="114"/>
      <c r="AL53" s="114"/>
      <c r="AM53" s="114"/>
      <c r="AN53" s="114"/>
      <c r="AO53" s="114"/>
      <c r="AP53" s="114"/>
      <c r="AQ53" s="114"/>
      <c r="AR53" s="114"/>
      <c r="AS53" s="114"/>
      <c r="AT53" s="114"/>
      <c r="AU53" s="114"/>
      <c r="AV53" s="114"/>
      <c r="AW53" s="114"/>
      <c r="AX53" s="114"/>
      <c r="AY53" s="114"/>
    </row>
    <row r="54" spans="1:51" x14ac:dyDescent="0.2">
      <c r="A54" s="113"/>
      <c r="B54" s="122">
        <v>10</v>
      </c>
      <c r="C54" s="113" t="s">
        <v>293</v>
      </c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  <c r="AD54" s="114"/>
      <c r="AE54" s="114"/>
      <c r="AF54" s="114"/>
      <c r="AG54" s="114"/>
      <c r="AH54" s="114"/>
      <c r="AI54" s="114"/>
      <c r="AJ54" s="114"/>
      <c r="AK54" s="114"/>
      <c r="AL54" s="114"/>
      <c r="AM54" s="114"/>
      <c r="AN54" s="114"/>
      <c r="AO54" s="114"/>
      <c r="AP54" s="114"/>
      <c r="AQ54" s="114"/>
      <c r="AR54" s="114"/>
      <c r="AS54" s="114"/>
      <c r="AT54" s="114"/>
      <c r="AU54" s="114"/>
      <c r="AV54" s="114"/>
      <c r="AW54" s="114"/>
      <c r="AX54" s="114"/>
      <c r="AY54" s="114"/>
    </row>
    <row r="55" spans="1:51" x14ac:dyDescent="0.2">
      <c r="A55" s="113"/>
      <c r="B55" s="122">
        <v>11</v>
      </c>
      <c r="C55" s="113" t="s">
        <v>293</v>
      </c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114"/>
      <c r="AA55" s="114"/>
      <c r="AB55" s="114"/>
      <c r="AC55" s="114"/>
      <c r="AD55" s="114"/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14"/>
      <c r="AP55" s="114"/>
      <c r="AQ55" s="114"/>
      <c r="AR55" s="114"/>
      <c r="AS55" s="114"/>
      <c r="AT55" s="114"/>
      <c r="AU55" s="114"/>
      <c r="AV55" s="114"/>
      <c r="AW55" s="114"/>
      <c r="AX55" s="114"/>
      <c r="AY55" s="114"/>
    </row>
    <row r="56" spans="1:51" x14ac:dyDescent="0.2">
      <c r="A56" s="113"/>
      <c r="B56" s="122">
        <v>12</v>
      </c>
      <c r="C56" s="113" t="s">
        <v>293</v>
      </c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114"/>
      <c r="AA56" s="114"/>
      <c r="AB56" s="114"/>
      <c r="AC56" s="114"/>
      <c r="AD56" s="114"/>
      <c r="AE56" s="114"/>
      <c r="AF56" s="114"/>
      <c r="AG56" s="114"/>
      <c r="AH56" s="114"/>
      <c r="AI56" s="114"/>
      <c r="AJ56" s="114"/>
      <c r="AK56" s="114"/>
      <c r="AL56" s="114"/>
      <c r="AM56" s="114"/>
      <c r="AN56" s="114"/>
      <c r="AO56" s="114"/>
      <c r="AP56" s="114"/>
      <c r="AQ56" s="114"/>
      <c r="AR56" s="114"/>
      <c r="AS56" s="114"/>
      <c r="AT56" s="114"/>
      <c r="AU56" s="114"/>
      <c r="AV56" s="114"/>
      <c r="AW56" s="114"/>
      <c r="AX56" s="114"/>
      <c r="AY56" s="114"/>
    </row>
    <row r="57" spans="1:51" x14ac:dyDescent="0.2">
      <c r="A57" s="113"/>
      <c r="B57" s="123">
        <v>13</v>
      </c>
      <c r="C57" s="113" t="s">
        <v>293</v>
      </c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114"/>
      <c r="AA57" s="114"/>
      <c r="AB57" s="114"/>
      <c r="AC57" s="114"/>
      <c r="AD57" s="114"/>
      <c r="AE57" s="114"/>
      <c r="AF57" s="114"/>
      <c r="AG57" s="114"/>
      <c r="AH57" s="114"/>
      <c r="AI57" s="114"/>
      <c r="AJ57" s="114"/>
      <c r="AK57" s="114"/>
      <c r="AL57" s="114"/>
      <c r="AM57" s="114"/>
      <c r="AN57" s="114"/>
      <c r="AO57" s="114"/>
      <c r="AP57" s="114"/>
      <c r="AQ57" s="114"/>
      <c r="AR57" s="114"/>
      <c r="AS57" s="114"/>
      <c r="AT57" s="114"/>
      <c r="AU57" s="114"/>
      <c r="AV57" s="114"/>
      <c r="AW57" s="114"/>
      <c r="AX57" s="114"/>
      <c r="AY57" s="114"/>
    </row>
    <row r="58" spans="1:51" x14ac:dyDescent="0.2">
      <c r="A58" s="113"/>
      <c r="B58" s="123">
        <v>14</v>
      </c>
      <c r="C58" s="113" t="s">
        <v>293</v>
      </c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  <c r="AC58" s="114"/>
      <c r="AD58" s="114"/>
      <c r="AE58" s="114"/>
      <c r="AF58" s="114"/>
      <c r="AG58" s="114"/>
      <c r="AH58" s="114"/>
      <c r="AI58" s="114"/>
      <c r="AJ58" s="114"/>
      <c r="AK58" s="114"/>
      <c r="AL58" s="114"/>
      <c r="AM58" s="114"/>
      <c r="AN58" s="114"/>
      <c r="AO58" s="114"/>
      <c r="AP58" s="114"/>
      <c r="AQ58" s="114"/>
      <c r="AR58" s="114"/>
      <c r="AS58" s="114"/>
      <c r="AT58" s="114"/>
      <c r="AU58" s="114"/>
      <c r="AV58" s="114"/>
      <c r="AW58" s="114"/>
      <c r="AX58" s="114"/>
      <c r="AY58" s="114"/>
    </row>
    <row r="59" spans="1:51" x14ac:dyDescent="0.2">
      <c r="A59" s="113"/>
      <c r="B59" s="123">
        <v>15</v>
      </c>
      <c r="C59" s="113" t="s">
        <v>293</v>
      </c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114"/>
      <c r="AA59" s="114"/>
      <c r="AB59" s="114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</row>
    <row r="60" spans="1:51" x14ac:dyDescent="0.2">
      <c r="A60" s="113"/>
      <c r="B60" s="123">
        <v>16</v>
      </c>
      <c r="C60" s="113" t="s">
        <v>293</v>
      </c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114"/>
      <c r="AA60" s="114"/>
      <c r="AB60" s="114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</row>
    <row r="61" spans="1:51" x14ac:dyDescent="0.2">
      <c r="A61" s="113"/>
      <c r="B61" s="123">
        <v>17</v>
      </c>
      <c r="C61" s="113" t="s">
        <v>293</v>
      </c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114"/>
      <c r="AA61" s="114"/>
      <c r="AB61" s="114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</row>
    <row r="62" spans="1:51" x14ac:dyDescent="0.2">
      <c r="A62" s="113"/>
      <c r="B62" s="123">
        <v>18</v>
      </c>
      <c r="C62" s="113" t="s">
        <v>293</v>
      </c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114"/>
      <c r="AA62" s="114"/>
      <c r="AB62" s="114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</row>
    <row r="63" spans="1:51" x14ac:dyDescent="0.2">
      <c r="A63" s="113"/>
      <c r="B63" s="123">
        <v>19</v>
      </c>
      <c r="C63" s="113" t="s">
        <v>293</v>
      </c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</row>
    <row r="64" spans="1:51" x14ac:dyDescent="0.2">
      <c r="A64" s="113"/>
      <c r="B64" s="123">
        <v>20</v>
      </c>
      <c r="C64" s="113" t="s">
        <v>293</v>
      </c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</row>
    <row r="65" spans="1:51" x14ac:dyDescent="0.2">
      <c r="A65" s="113"/>
      <c r="B65" s="123">
        <v>21</v>
      </c>
      <c r="C65" s="113" t="s">
        <v>293</v>
      </c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114"/>
      <c r="AA65" s="114"/>
      <c r="AB65" s="114"/>
      <c r="AC65" s="114"/>
      <c r="AD65" s="114"/>
      <c r="AE65" s="114"/>
      <c r="AF65" s="114"/>
      <c r="AG65" s="114"/>
      <c r="AH65" s="114"/>
      <c r="AI65" s="114"/>
      <c r="AJ65" s="114"/>
      <c r="AK65" s="114"/>
      <c r="AL65" s="114"/>
      <c r="AM65" s="114"/>
      <c r="AN65" s="114"/>
      <c r="AO65" s="114"/>
      <c r="AP65" s="114"/>
      <c r="AQ65" s="114"/>
      <c r="AR65" s="114"/>
      <c r="AS65" s="114"/>
      <c r="AT65" s="114"/>
      <c r="AU65" s="114"/>
      <c r="AV65" s="114"/>
      <c r="AW65" s="114"/>
      <c r="AX65" s="114"/>
      <c r="AY65" s="114"/>
    </row>
    <row r="66" spans="1:51" x14ac:dyDescent="0.2">
      <c r="A66" s="113"/>
      <c r="B66" s="123">
        <v>22</v>
      </c>
      <c r="C66" s="113" t="s">
        <v>293</v>
      </c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114"/>
      <c r="AA66" s="114"/>
      <c r="AB66" s="114"/>
      <c r="AC66" s="114"/>
      <c r="AD66" s="114"/>
      <c r="AE66" s="114"/>
      <c r="AF66" s="114"/>
      <c r="AG66" s="114"/>
      <c r="AH66" s="114"/>
      <c r="AI66" s="114"/>
      <c r="AJ66" s="114"/>
      <c r="AK66" s="114"/>
      <c r="AL66" s="114"/>
      <c r="AM66" s="114"/>
      <c r="AN66" s="114"/>
      <c r="AO66" s="114"/>
      <c r="AP66" s="114"/>
      <c r="AQ66" s="114"/>
      <c r="AR66" s="114"/>
      <c r="AS66" s="114"/>
      <c r="AT66" s="114"/>
      <c r="AU66" s="114"/>
      <c r="AV66" s="114"/>
      <c r="AW66" s="114"/>
      <c r="AX66" s="114"/>
      <c r="AY66" s="114"/>
    </row>
    <row r="67" spans="1:51" x14ac:dyDescent="0.2">
      <c r="A67" s="113"/>
      <c r="B67" s="123">
        <v>23</v>
      </c>
      <c r="C67" s="113" t="s">
        <v>293</v>
      </c>
      <c r="D67" s="114"/>
      <c r="E67" s="114"/>
      <c r="F67" s="114"/>
      <c r="G67" s="114"/>
      <c r="H67" s="114"/>
      <c r="I67" s="114"/>
      <c r="J67" s="114"/>
      <c r="K67" s="114"/>
      <c r="L67" s="114"/>
      <c r="M67" s="114"/>
      <c r="N67" s="114"/>
      <c r="O67" s="114"/>
      <c r="P67" s="114"/>
      <c r="Q67" s="114"/>
      <c r="R67" s="114"/>
      <c r="S67" s="114"/>
      <c r="T67" s="114"/>
      <c r="U67" s="114"/>
      <c r="V67" s="114"/>
      <c r="W67" s="114"/>
      <c r="X67" s="114"/>
      <c r="Y67" s="114"/>
      <c r="Z67" s="114"/>
      <c r="AA67" s="114"/>
      <c r="AB67" s="114"/>
      <c r="AC67" s="114"/>
      <c r="AD67" s="114"/>
      <c r="AE67" s="114"/>
      <c r="AF67" s="114"/>
      <c r="AG67" s="114"/>
      <c r="AH67" s="114"/>
      <c r="AI67" s="114"/>
      <c r="AJ67" s="114"/>
      <c r="AK67" s="114"/>
      <c r="AL67" s="114"/>
      <c r="AM67" s="114"/>
      <c r="AN67" s="114"/>
      <c r="AO67" s="114"/>
      <c r="AP67" s="114"/>
      <c r="AQ67" s="114"/>
      <c r="AR67" s="114"/>
      <c r="AS67" s="114"/>
      <c r="AT67" s="114"/>
      <c r="AU67" s="114"/>
      <c r="AV67" s="114"/>
      <c r="AW67" s="114"/>
      <c r="AX67" s="114"/>
      <c r="AY67" s="114"/>
    </row>
    <row r="68" spans="1:51" x14ac:dyDescent="0.2">
      <c r="A68" s="113"/>
      <c r="B68" s="123">
        <v>24</v>
      </c>
      <c r="C68" s="113" t="s">
        <v>293</v>
      </c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114"/>
      <c r="T68" s="114"/>
      <c r="U68" s="114"/>
      <c r="V68" s="114"/>
      <c r="W68" s="114"/>
      <c r="X68" s="114"/>
      <c r="Y68" s="114"/>
      <c r="Z68" s="114"/>
      <c r="AA68" s="114"/>
      <c r="AB68" s="114"/>
      <c r="AC68" s="114"/>
      <c r="AD68" s="114"/>
      <c r="AE68" s="114"/>
      <c r="AF68" s="114"/>
      <c r="AG68" s="114"/>
      <c r="AH68" s="114"/>
      <c r="AI68" s="114"/>
      <c r="AJ68" s="114"/>
      <c r="AK68" s="114"/>
      <c r="AL68" s="114"/>
      <c r="AM68" s="114"/>
      <c r="AN68" s="114"/>
      <c r="AO68" s="114"/>
      <c r="AP68" s="114"/>
      <c r="AQ68" s="114"/>
      <c r="AR68" s="114"/>
      <c r="AS68" s="114"/>
      <c r="AT68" s="114"/>
      <c r="AU68" s="114"/>
      <c r="AV68" s="114"/>
      <c r="AW68" s="114"/>
      <c r="AX68" s="114"/>
      <c r="AY68" s="114"/>
    </row>
    <row r="69" spans="1:51" x14ac:dyDescent="0.2">
      <c r="A69" s="113"/>
      <c r="B69" s="130">
        <v>25</v>
      </c>
      <c r="C69" s="113" t="s">
        <v>293</v>
      </c>
      <c r="D69" s="114"/>
      <c r="E69" s="114"/>
      <c r="F69" s="114"/>
      <c r="G69" s="114"/>
      <c r="H69" s="114"/>
      <c r="I69" s="114"/>
      <c r="J69" s="114"/>
      <c r="K69" s="114"/>
      <c r="L69" s="114"/>
      <c r="M69" s="114"/>
      <c r="N69" s="114"/>
      <c r="O69" s="114"/>
      <c r="P69" s="114"/>
      <c r="Q69" s="114"/>
      <c r="R69" s="114"/>
      <c r="S69" s="114"/>
      <c r="T69" s="114"/>
      <c r="U69" s="114"/>
      <c r="V69" s="114"/>
      <c r="W69" s="114"/>
      <c r="X69" s="114"/>
      <c r="Y69" s="114"/>
      <c r="Z69" s="114"/>
      <c r="AA69" s="114"/>
      <c r="AB69" s="114"/>
      <c r="AC69" s="114"/>
      <c r="AD69" s="114"/>
      <c r="AE69" s="114"/>
      <c r="AF69" s="114"/>
      <c r="AG69" s="114"/>
      <c r="AH69" s="114"/>
      <c r="AI69" s="114"/>
      <c r="AJ69" s="114"/>
      <c r="AK69" s="114"/>
      <c r="AL69" s="114"/>
      <c r="AM69" s="114"/>
      <c r="AN69" s="114"/>
      <c r="AO69" s="114"/>
      <c r="AP69" s="114"/>
      <c r="AQ69" s="114"/>
      <c r="AR69" s="114"/>
      <c r="AS69" s="114"/>
      <c r="AT69" s="114"/>
      <c r="AU69" s="114"/>
      <c r="AV69" s="114"/>
      <c r="AW69" s="114"/>
      <c r="AX69" s="114"/>
      <c r="AY69" s="114"/>
    </row>
    <row r="70" spans="1:51" x14ac:dyDescent="0.2">
      <c r="A70" s="113"/>
      <c r="B70" s="130">
        <v>26</v>
      </c>
      <c r="C70" s="113" t="s">
        <v>293</v>
      </c>
      <c r="D70" s="114"/>
      <c r="E70" s="114"/>
      <c r="F70" s="114"/>
      <c r="G70" s="114"/>
      <c r="H70" s="114"/>
      <c r="I70" s="114"/>
      <c r="J70" s="114"/>
      <c r="K70" s="114"/>
      <c r="L70" s="114"/>
      <c r="M70" s="114"/>
      <c r="N70" s="114"/>
      <c r="O70" s="114"/>
      <c r="P70" s="114"/>
      <c r="Q70" s="114"/>
      <c r="R70" s="114"/>
      <c r="S70" s="114"/>
      <c r="T70" s="114"/>
      <c r="U70" s="114"/>
      <c r="V70" s="114"/>
      <c r="W70" s="114"/>
      <c r="X70" s="114"/>
      <c r="Y70" s="114"/>
      <c r="Z70" s="114"/>
      <c r="AA70" s="114"/>
      <c r="AB70" s="114"/>
      <c r="AC70" s="114"/>
      <c r="AD70" s="114"/>
      <c r="AE70" s="114"/>
      <c r="AF70" s="114"/>
      <c r="AG70" s="114"/>
      <c r="AH70" s="114"/>
      <c r="AI70" s="114"/>
      <c r="AJ70" s="114"/>
      <c r="AK70" s="114"/>
      <c r="AL70" s="114"/>
      <c r="AM70" s="114"/>
      <c r="AN70" s="114"/>
      <c r="AO70" s="114"/>
      <c r="AP70" s="114"/>
      <c r="AQ70" s="114"/>
      <c r="AR70" s="114"/>
      <c r="AS70" s="114"/>
      <c r="AT70" s="114"/>
      <c r="AU70" s="114"/>
      <c r="AV70" s="114"/>
      <c r="AW70" s="114"/>
      <c r="AX70" s="114"/>
      <c r="AY70" s="114"/>
    </row>
    <row r="71" spans="1:51" x14ac:dyDescent="0.2">
      <c r="A71" s="113"/>
      <c r="B71" s="130">
        <v>27</v>
      </c>
      <c r="C71" s="113" t="s">
        <v>293</v>
      </c>
      <c r="D71" s="114"/>
      <c r="E71" s="114"/>
      <c r="F71" s="114"/>
      <c r="G71" s="114"/>
      <c r="H71" s="114"/>
      <c r="I71" s="114"/>
      <c r="J71" s="114"/>
      <c r="K71" s="114"/>
      <c r="L71" s="114"/>
      <c r="M71" s="114"/>
      <c r="N71" s="114"/>
      <c r="O71" s="114"/>
      <c r="P71" s="114"/>
      <c r="Q71" s="114"/>
      <c r="R71" s="114"/>
      <c r="S71" s="114"/>
      <c r="T71" s="114"/>
      <c r="U71" s="114"/>
      <c r="V71" s="114"/>
      <c r="W71" s="114"/>
      <c r="X71" s="114"/>
      <c r="Y71" s="114"/>
      <c r="Z71" s="114"/>
      <c r="AA71" s="114"/>
      <c r="AB71" s="114"/>
      <c r="AC71" s="114"/>
      <c r="AD71" s="114"/>
      <c r="AE71" s="114"/>
      <c r="AF71" s="114"/>
      <c r="AG71" s="114"/>
      <c r="AH71" s="114"/>
      <c r="AI71" s="114"/>
      <c r="AJ71" s="114"/>
      <c r="AK71" s="114"/>
      <c r="AL71" s="114"/>
      <c r="AM71" s="114"/>
      <c r="AN71" s="114"/>
      <c r="AO71" s="114"/>
      <c r="AP71" s="114"/>
      <c r="AQ71" s="114"/>
      <c r="AR71" s="114"/>
      <c r="AS71" s="114"/>
      <c r="AT71" s="114"/>
      <c r="AU71" s="114"/>
      <c r="AV71" s="114"/>
      <c r="AW71" s="114"/>
      <c r="AX71" s="114"/>
      <c r="AY71" s="114"/>
    </row>
    <row r="72" spans="1:51" x14ac:dyDescent="0.2">
      <c r="A72" s="113"/>
      <c r="B72" s="130">
        <v>28</v>
      </c>
      <c r="C72" s="113" t="s">
        <v>293</v>
      </c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114"/>
      <c r="AA72" s="114"/>
      <c r="AB72" s="114"/>
      <c r="AC72" s="114"/>
      <c r="AD72" s="114"/>
      <c r="AE72" s="114"/>
      <c r="AF72" s="114"/>
      <c r="AG72" s="114"/>
      <c r="AH72" s="114"/>
      <c r="AI72" s="114"/>
      <c r="AJ72" s="114"/>
      <c r="AK72" s="114"/>
      <c r="AL72" s="114"/>
      <c r="AM72" s="114"/>
      <c r="AN72" s="114"/>
      <c r="AO72" s="114"/>
      <c r="AP72" s="114"/>
      <c r="AQ72" s="114"/>
      <c r="AR72" s="114"/>
      <c r="AS72" s="114"/>
      <c r="AT72" s="114"/>
      <c r="AU72" s="114"/>
      <c r="AV72" s="114"/>
      <c r="AW72" s="114"/>
      <c r="AX72" s="114"/>
      <c r="AY72" s="114"/>
    </row>
    <row r="73" spans="1:51" x14ac:dyDescent="0.2">
      <c r="A73" s="113"/>
      <c r="B73" s="130">
        <v>29</v>
      </c>
      <c r="C73" s="113" t="s">
        <v>293</v>
      </c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114"/>
      <c r="AA73" s="114"/>
      <c r="AB73" s="114"/>
      <c r="AC73" s="114"/>
      <c r="AD73" s="114"/>
      <c r="AE73" s="114"/>
      <c r="AF73" s="114"/>
      <c r="AG73" s="114"/>
      <c r="AH73" s="114"/>
      <c r="AI73" s="114"/>
      <c r="AJ73" s="114"/>
      <c r="AK73" s="114"/>
      <c r="AL73" s="114"/>
      <c r="AM73" s="114"/>
      <c r="AN73" s="114"/>
      <c r="AO73" s="114"/>
      <c r="AP73" s="114"/>
      <c r="AQ73" s="114"/>
      <c r="AR73" s="114"/>
      <c r="AS73" s="114"/>
      <c r="AT73" s="114"/>
      <c r="AU73" s="114"/>
      <c r="AV73" s="114"/>
      <c r="AW73" s="114"/>
      <c r="AX73" s="114"/>
      <c r="AY73" s="114"/>
    </row>
    <row r="74" spans="1:51" x14ac:dyDescent="0.2">
      <c r="A74" s="113"/>
      <c r="B74" s="130">
        <v>30</v>
      </c>
      <c r="C74" s="113" t="s">
        <v>293</v>
      </c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114"/>
      <c r="AA74" s="114"/>
      <c r="AB74" s="114"/>
      <c r="AC74" s="114"/>
      <c r="AD74" s="114"/>
      <c r="AE74" s="114"/>
      <c r="AF74" s="114"/>
      <c r="AG74" s="114"/>
      <c r="AH74" s="114"/>
      <c r="AI74" s="114"/>
      <c r="AJ74" s="114"/>
      <c r="AK74" s="114"/>
      <c r="AL74" s="114"/>
      <c r="AM74" s="114"/>
      <c r="AN74" s="114"/>
      <c r="AO74" s="114"/>
      <c r="AP74" s="114"/>
      <c r="AQ74" s="114"/>
      <c r="AR74" s="114"/>
      <c r="AS74" s="114"/>
      <c r="AT74" s="114"/>
      <c r="AU74" s="114"/>
      <c r="AV74" s="114"/>
      <c r="AW74" s="114"/>
      <c r="AX74" s="114"/>
      <c r="AY74" s="114"/>
    </row>
    <row r="75" spans="1:51" x14ac:dyDescent="0.2">
      <c r="A75" s="113"/>
      <c r="B75" s="130">
        <v>31</v>
      </c>
      <c r="C75" s="113" t="s">
        <v>293</v>
      </c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114"/>
      <c r="AA75" s="114"/>
      <c r="AB75" s="114"/>
      <c r="AC75" s="114"/>
      <c r="AD75" s="114"/>
      <c r="AE75" s="114"/>
      <c r="AF75" s="114"/>
      <c r="AG75" s="114"/>
      <c r="AH75" s="114"/>
      <c r="AI75" s="114"/>
      <c r="AJ75" s="114"/>
      <c r="AK75" s="114"/>
      <c r="AL75" s="114"/>
      <c r="AM75" s="114"/>
      <c r="AN75" s="114"/>
      <c r="AO75" s="114"/>
      <c r="AP75" s="114"/>
      <c r="AQ75" s="114"/>
      <c r="AR75" s="114"/>
      <c r="AS75" s="114"/>
      <c r="AT75" s="114"/>
      <c r="AU75" s="114"/>
      <c r="AV75" s="114"/>
      <c r="AW75" s="114"/>
      <c r="AX75" s="114"/>
      <c r="AY75" s="114"/>
    </row>
    <row r="76" spans="1:51" x14ac:dyDescent="0.2">
      <c r="A76" s="113"/>
      <c r="B76" s="130">
        <v>32</v>
      </c>
      <c r="C76" s="113" t="s">
        <v>293</v>
      </c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114"/>
      <c r="AA76" s="114"/>
      <c r="AB76" s="114"/>
      <c r="AC76" s="114"/>
      <c r="AD76" s="114"/>
      <c r="AE76" s="114"/>
      <c r="AF76" s="114"/>
      <c r="AG76" s="114"/>
      <c r="AH76" s="114"/>
      <c r="AI76" s="114"/>
      <c r="AJ76" s="114"/>
      <c r="AK76" s="114"/>
      <c r="AL76" s="114"/>
      <c r="AM76" s="114"/>
      <c r="AN76" s="114"/>
      <c r="AO76" s="114"/>
      <c r="AP76" s="114"/>
      <c r="AQ76" s="114"/>
      <c r="AR76" s="114"/>
      <c r="AS76" s="114"/>
      <c r="AT76" s="114"/>
      <c r="AU76" s="114"/>
      <c r="AV76" s="114"/>
      <c r="AW76" s="114"/>
      <c r="AX76" s="114"/>
      <c r="AY76" s="114"/>
    </row>
    <row r="77" spans="1:51" x14ac:dyDescent="0.2">
      <c r="A77" s="113"/>
      <c r="B77" s="130">
        <v>33</v>
      </c>
      <c r="C77" s="113" t="s">
        <v>293</v>
      </c>
      <c r="D77" s="114"/>
      <c r="E77" s="114"/>
      <c r="F77" s="114"/>
      <c r="G77" s="114"/>
      <c r="H77" s="114"/>
      <c r="I77" s="114"/>
      <c r="J77" s="114"/>
      <c r="K77" s="114"/>
      <c r="L77" s="114"/>
      <c r="M77" s="114"/>
      <c r="N77" s="114"/>
      <c r="O77" s="114"/>
      <c r="P77" s="114"/>
      <c r="Q77" s="114"/>
      <c r="R77" s="114"/>
      <c r="S77" s="114"/>
      <c r="T77" s="114"/>
      <c r="U77" s="114"/>
      <c r="V77" s="114"/>
      <c r="W77" s="114"/>
      <c r="X77" s="114"/>
      <c r="Y77" s="114"/>
      <c r="Z77" s="114"/>
      <c r="AA77" s="114"/>
      <c r="AB77" s="114"/>
      <c r="AC77" s="114"/>
      <c r="AD77" s="114"/>
      <c r="AE77" s="114"/>
      <c r="AF77" s="114"/>
      <c r="AG77" s="114"/>
      <c r="AH77" s="114"/>
      <c r="AI77" s="114"/>
      <c r="AJ77" s="114"/>
      <c r="AK77" s="114"/>
      <c r="AL77" s="114"/>
      <c r="AM77" s="114"/>
      <c r="AN77" s="114"/>
      <c r="AO77" s="114"/>
      <c r="AP77" s="114"/>
      <c r="AQ77" s="114"/>
      <c r="AR77" s="114"/>
      <c r="AS77" s="114"/>
      <c r="AT77" s="114"/>
      <c r="AU77" s="114"/>
      <c r="AV77" s="114"/>
      <c r="AW77" s="114"/>
      <c r="AX77" s="114"/>
      <c r="AY77" s="114"/>
    </row>
    <row r="78" spans="1:51" x14ac:dyDescent="0.2">
      <c r="A78" s="113"/>
      <c r="B78" s="130">
        <v>34</v>
      </c>
      <c r="C78" s="113" t="s">
        <v>293</v>
      </c>
      <c r="D78" s="114"/>
      <c r="E78" s="114"/>
      <c r="F78" s="114"/>
      <c r="G78" s="114"/>
      <c r="H78" s="114"/>
      <c r="I78" s="114"/>
      <c r="J78" s="114"/>
      <c r="K78" s="114"/>
      <c r="L78" s="114"/>
      <c r="M78" s="114"/>
      <c r="N78" s="114"/>
      <c r="O78" s="114"/>
      <c r="P78" s="114"/>
      <c r="Q78" s="114"/>
      <c r="R78" s="114"/>
      <c r="S78" s="114"/>
      <c r="T78" s="114"/>
      <c r="U78" s="114"/>
      <c r="V78" s="114"/>
      <c r="W78" s="114"/>
      <c r="X78" s="114"/>
      <c r="Y78" s="114"/>
      <c r="Z78" s="114"/>
      <c r="AA78" s="114"/>
      <c r="AB78" s="114"/>
      <c r="AC78" s="114"/>
      <c r="AD78" s="114"/>
      <c r="AE78" s="114"/>
      <c r="AF78" s="114"/>
      <c r="AG78" s="114"/>
      <c r="AH78" s="114"/>
      <c r="AI78" s="114"/>
      <c r="AJ78" s="114"/>
      <c r="AK78" s="114"/>
      <c r="AL78" s="114"/>
      <c r="AM78" s="114"/>
      <c r="AN78" s="114"/>
      <c r="AO78" s="114"/>
      <c r="AP78" s="114"/>
      <c r="AQ78" s="114"/>
      <c r="AR78" s="114"/>
      <c r="AS78" s="114"/>
      <c r="AT78" s="114"/>
      <c r="AU78" s="114"/>
      <c r="AV78" s="114"/>
      <c r="AW78" s="114"/>
      <c r="AX78" s="114"/>
      <c r="AY78" s="114"/>
    </row>
    <row r="79" spans="1:51" x14ac:dyDescent="0.2">
      <c r="A79" s="113"/>
      <c r="B79" s="130">
        <v>35</v>
      </c>
      <c r="C79" s="113" t="s">
        <v>293</v>
      </c>
      <c r="D79" s="114"/>
      <c r="E79" s="114"/>
      <c r="F79" s="114"/>
      <c r="G79" s="114"/>
      <c r="H79" s="114"/>
      <c r="I79" s="114"/>
      <c r="J79" s="114"/>
      <c r="K79" s="114"/>
      <c r="L79" s="114"/>
      <c r="M79" s="114"/>
      <c r="N79" s="114"/>
      <c r="O79" s="114"/>
      <c r="P79" s="114"/>
      <c r="Q79" s="114"/>
      <c r="R79" s="114"/>
      <c r="S79" s="114"/>
      <c r="T79" s="114"/>
      <c r="U79" s="114"/>
      <c r="V79" s="114"/>
      <c r="W79" s="114"/>
      <c r="X79" s="114"/>
      <c r="Y79" s="114"/>
      <c r="Z79" s="114"/>
      <c r="AA79" s="114"/>
      <c r="AB79" s="114"/>
      <c r="AC79" s="114"/>
      <c r="AD79" s="114"/>
      <c r="AE79" s="114"/>
      <c r="AF79" s="114"/>
      <c r="AG79" s="114"/>
      <c r="AH79" s="114"/>
      <c r="AI79" s="114"/>
      <c r="AJ79" s="114"/>
      <c r="AK79" s="114"/>
      <c r="AL79" s="114"/>
      <c r="AM79" s="114"/>
      <c r="AN79" s="114"/>
      <c r="AO79" s="114"/>
      <c r="AP79" s="114"/>
      <c r="AQ79" s="114"/>
      <c r="AR79" s="114"/>
      <c r="AS79" s="114"/>
      <c r="AT79" s="114"/>
      <c r="AU79" s="114"/>
      <c r="AV79" s="114"/>
      <c r="AW79" s="114"/>
      <c r="AX79" s="114"/>
      <c r="AY79" s="114"/>
    </row>
    <row r="80" spans="1:51" x14ac:dyDescent="0.2">
      <c r="A80" s="113"/>
      <c r="B80" s="130">
        <v>36</v>
      </c>
      <c r="C80" s="113" t="s">
        <v>293</v>
      </c>
      <c r="D80" s="114"/>
      <c r="E80" s="114"/>
      <c r="F80" s="114"/>
      <c r="G80" s="114"/>
      <c r="H80" s="114"/>
      <c r="I80" s="114"/>
      <c r="J80" s="114"/>
      <c r="K80" s="114"/>
      <c r="L80" s="114"/>
      <c r="M80" s="114"/>
      <c r="N80" s="114"/>
      <c r="O80" s="114"/>
      <c r="P80" s="114"/>
      <c r="Q80" s="114"/>
      <c r="R80" s="114"/>
      <c r="S80" s="114"/>
      <c r="T80" s="114"/>
      <c r="U80" s="114"/>
      <c r="V80" s="114"/>
      <c r="W80" s="114"/>
      <c r="X80" s="114"/>
      <c r="Y80" s="114"/>
      <c r="Z80" s="114"/>
      <c r="AA80" s="114"/>
      <c r="AB80" s="114"/>
      <c r="AC80" s="114"/>
      <c r="AD80" s="114"/>
      <c r="AE80" s="114"/>
      <c r="AF80" s="114"/>
      <c r="AG80" s="114"/>
      <c r="AH80" s="114"/>
      <c r="AI80" s="114"/>
      <c r="AJ80" s="114"/>
      <c r="AK80" s="114"/>
      <c r="AL80" s="114"/>
      <c r="AM80" s="114"/>
      <c r="AN80" s="114"/>
      <c r="AO80" s="114"/>
      <c r="AP80" s="114"/>
      <c r="AQ80" s="114"/>
      <c r="AR80" s="114"/>
      <c r="AS80" s="114"/>
      <c r="AT80" s="114"/>
      <c r="AU80" s="114"/>
      <c r="AV80" s="114"/>
      <c r="AW80" s="114"/>
      <c r="AX80" s="114"/>
      <c r="AY80" s="114"/>
    </row>
    <row r="81" spans="1:52" x14ac:dyDescent="0.2">
      <c r="A81" s="113"/>
      <c r="B81" s="133">
        <v>37</v>
      </c>
      <c r="C81" s="113" t="s">
        <v>293</v>
      </c>
      <c r="D81" s="114"/>
      <c r="E81" s="114"/>
      <c r="F81" s="114"/>
      <c r="G81" s="114"/>
      <c r="H81" s="114"/>
      <c r="I81" s="114"/>
      <c r="J81" s="114"/>
      <c r="K81" s="114"/>
      <c r="L81" s="114"/>
      <c r="M81" s="114"/>
      <c r="N81" s="114"/>
      <c r="O81" s="114"/>
      <c r="P81" s="114"/>
      <c r="Q81" s="114"/>
      <c r="R81" s="114"/>
      <c r="S81" s="114"/>
      <c r="T81" s="114"/>
      <c r="U81" s="114"/>
      <c r="V81" s="114"/>
      <c r="W81" s="114"/>
      <c r="X81" s="114"/>
      <c r="Y81" s="114"/>
      <c r="Z81" s="114"/>
      <c r="AA81" s="114"/>
      <c r="AB81" s="114"/>
      <c r="AC81" s="114"/>
      <c r="AD81" s="114"/>
      <c r="AE81" s="114"/>
      <c r="AF81" s="114"/>
      <c r="AG81" s="114"/>
      <c r="AH81" s="114"/>
      <c r="AI81" s="114"/>
      <c r="AJ81" s="114"/>
      <c r="AK81" s="114"/>
      <c r="AL81" s="114"/>
      <c r="AM81" s="114"/>
      <c r="AN81" s="114"/>
      <c r="AO81" s="114"/>
      <c r="AP81" s="114"/>
      <c r="AQ81" s="114"/>
      <c r="AR81" s="114"/>
      <c r="AS81" s="114"/>
      <c r="AT81" s="114"/>
      <c r="AU81" s="114"/>
      <c r="AV81" s="114"/>
      <c r="AW81" s="114"/>
      <c r="AX81" s="114"/>
      <c r="AY81" s="114"/>
    </row>
    <row r="82" spans="1:52" x14ac:dyDescent="0.2">
      <c r="A82" s="113"/>
      <c r="B82" s="133">
        <v>38</v>
      </c>
      <c r="C82" s="113" t="s">
        <v>293</v>
      </c>
      <c r="D82" s="114"/>
      <c r="E82" s="114"/>
      <c r="F82" s="114"/>
      <c r="G82" s="114"/>
      <c r="H82" s="114"/>
      <c r="I82" s="114"/>
      <c r="J82" s="114"/>
      <c r="K82" s="114"/>
      <c r="L82" s="114"/>
      <c r="M82" s="114"/>
      <c r="N82" s="114"/>
      <c r="O82" s="114"/>
      <c r="P82" s="114"/>
      <c r="Q82" s="114"/>
      <c r="R82" s="114"/>
      <c r="S82" s="114"/>
      <c r="T82" s="114"/>
      <c r="U82" s="114"/>
      <c r="V82" s="114"/>
      <c r="W82" s="114"/>
      <c r="X82" s="114"/>
      <c r="Y82" s="114"/>
      <c r="Z82" s="114"/>
      <c r="AA82" s="114"/>
      <c r="AB82" s="114"/>
      <c r="AC82" s="114"/>
      <c r="AD82" s="114"/>
      <c r="AE82" s="114"/>
      <c r="AF82" s="114"/>
      <c r="AG82" s="114"/>
      <c r="AH82" s="114"/>
      <c r="AI82" s="114"/>
      <c r="AJ82" s="114"/>
      <c r="AK82" s="114"/>
      <c r="AL82" s="114"/>
      <c r="AM82" s="114"/>
      <c r="AN82" s="114"/>
      <c r="AO82" s="114"/>
      <c r="AP82" s="114"/>
      <c r="AQ82" s="114"/>
      <c r="AR82" s="114"/>
      <c r="AS82" s="114"/>
      <c r="AT82" s="114"/>
      <c r="AU82" s="114"/>
      <c r="AV82" s="114"/>
      <c r="AW82" s="114"/>
      <c r="AX82" s="114"/>
      <c r="AY82" s="114"/>
    </row>
    <row r="83" spans="1:52" x14ac:dyDescent="0.2">
      <c r="A83" s="113"/>
      <c r="B83" s="133">
        <v>39</v>
      </c>
      <c r="C83" s="113" t="s">
        <v>293</v>
      </c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114"/>
      <c r="AA83" s="114"/>
      <c r="AB83" s="114"/>
      <c r="AC83" s="114"/>
      <c r="AD83" s="114"/>
      <c r="AE83" s="114"/>
      <c r="AF83" s="114"/>
      <c r="AG83" s="114"/>
      <c r="AH83" s="114"/>
      <c r="AI83" s="114"/>
      <c r="AJ83" s="114"/>
      <c r="AK83" s="114"/>
      <c r="AL83" s="114"/>
      <c r="AM83" s="114"/>
      <c r="AN83" s="114"/>
      <c r="AO83" s="114"/>
      <c r="AP83" s="114"/>
      <c r="AQ83" s="114"/>
      <c r="AR83" s="114"/>
      <c r="AS83" s="114"/>
      <c r="AT83" s="114"/>
      <c r="AU83" s="114"/>
      <c r="AV83" s="114"/>
      <c r="AW83" s="114"/>
      <c r="AX83" s="114"/>
      <c r="AY83" s="114"/>
    </row>
    <row r="84" spans="1:52" x14ac:dyDescent="0.2">
      <c r="A84" s="113"/>
      <c r="B84" s="133">
        <v>40</v>
      </c>
      <c r="C84" s="113" t="s">
        <v>293</v>
      </c>
      <c r="D84" s="114"/>
      <c r="E84" s="114"/>
      <c r="F84" s="114"/>
      <c r="G84" s="114"/>
      <c r="H84" s="114"/>
      <c r="I84" s="114"/>
      <c r="J84" s="114"/>
      <c r="K84" s="114"/>
      <c r="L84" s="114"/>
      <c r="M84" s="114"/>
      <c r="N84" s="114"/>
      <c r="O84" s="114"/>
      <c r="P84" s="114"/>
      <c r="Q84" s="114"/>
      <c r="R84" s="114"/>
      <c r="S84" s="114"/>
      <c r="T84" s="114"/>
      <c r="U84" s="114"/>
      <c r="V84" s="114"/>
      <c r="W84" s="114"/>
      <c r="X84" s="114"/>
      <c r="Y84" s="114"/>
      <c r="Z84" s="114"/>
      <c r="AA84" s="114"/>
      <c r="AB84" s="114"/>
      <c r="AC84" s="114"/>
      <c r="AD84" s="114"/>
      <c r="AE84" s="114"/>
      <c r="AF84" s="114"/>
      <c r="AG84" s="114"/>
      <c r="AH84" s="114"/>
      <c r="AI84" s="114"/>
      <c r="AJ84" s="114"/>
      <c r="AK84" s="114"/>
      <c r="AL84" s="114"/>
      <c r="AM84" s="114"/>
      <c r="AN84" s="114"/>
      <c r="AO84" s="114"/>
      <c r="AP84" s="114"/>
      <c r="AQ84" s="114"/>
      <c r="AR84" s="114"/>
      <c r="AS84" s="114"/>
      <c r="AT84" s="114"/>
      <c r="AU84" s="114"/>
      <c r="AV84" s="114"/>
      <c r="AW84" s="114"/>
      <c r="AX84" s="114"/>
      <c r="AY84" s="114"/>
    </row>
    <row r="85" spans="1:52" x14ac:dyDescent="0.2">
      <c r="A85" s="113"/>
      <c r="B85" s="133">
        <v>41</v>
      </c>
      <c r="C85" s="113" t="s">
        <v>293</v>
      </c>
      <c r="D85" s="114"/>
      <c r="E85" s="114"/>
      <c r="F85" s="114"/>
      <c r="G85" s="114"/>
      <c r="H85" s="114"/>
      <c r="I85" s="114"/>
      <c r="J85" s="114"/>
      <c r="K85" s="114"/>
      <c r="L85" s="114"/>
      <c r="M85" s="114"/>
      <c r="N85" s="114"/>
      <c r="O85" s="114"/>
      <c r="P85" s="114"/>
      <c r="Q85" s="114"/>
      <c r="R85" s="114"/>
      <c r="S85" s="114"/>
      <c r="T85" s="114"/>
      <c r="U85" s="114"/>
      <c r="V85" s="114"/>
      <c r="W85" s="114"/>
      <c r="X85" s="114"/>
      <c r="Y85" s="114"/>
      <c r="Z85" s="114"/>
      <c r="AA85" s="114"/>
      <c r="AB85" s="114"/>
      <c r="AC85" s="114"/>
      <c r="AD85" s="114"/>
      <c r="AE85" s="114"/>
      <c r="AF85" s="114"/>
      <c r="AG85" s="114"/>
      <c r="AH85" s="114"/>
      <c r="AI85" s="114"/>
      <c r="AJ85" s="114"/>
      <c r="AK85" s="114"/>
      <c r="AL85" s="114"/>
      <c r="AM85" s="114"/>
      <c r="AN85" s="114"/>
      <c r="AO85" s="114"/>
      <c r="AP85" s="114"/>
      <c r="AQ85" s="114"/>
      <c r="AR85" s="114"/>
      <c r="AS85" s="114"/>
      <c r="AT85" s="114"/>
      <c r="AU85" s="114"/>
      <c r="AV85" s="114"/>
      <c r="AW85" s="114"/>
      <c r="AX85" s="114"/>
      <c r="AY85" s="114"/>
    </row>
    <row r="86" spans="1:52" x14ac:dyDescent="0.2">
      <c r="A86" s="113"/>
      <c r="B86" s="133">
        <v>42</v>
      </c>
      <c r="C86" s="113" t="s">
        <v>293</v>
      </c>
      <c r="D86" s="114"/>
      <c r="E86" s="114"/>
      <c r="F86" s="114"/>
      <c r="G86" s="114"/>
      <c r="H86" s="114"/>
      <c r="I86" s="114"/>
      <c r="J86" s="114"/>
      <c r="K86" s="114"/>
      <c r="L86" s="114"/>
      <c r="M86" s="114"/>
      <c r="N86" s="114"/>
      <c r="O86" s="114"/>
      <c r="P86" s="114"/>
      <c r="Q86" s="114"/>
      <c r="R86" s="114"/>
      <c r="S86" s="114"/>
      <c r="T86" s="114"/>
      <c r="U86" s="114"/>
      <c r="V86" s="114"/>
      <c r="W86" s="114"/>
      <c r="X86" s="114"/>
      <c r="Y86" s="114"/>
      <c r="Z86" s="114"/>
      <c r="AA86" s="114"/>
      <c r="AB86" s="114"/>
      <c r="AC86" s="114"/>
      <c r="AD86" s="114"/>
      <c r="AE86" s="114"/>
      <c r="AF86" s="114"/>
      <c r="AG86" s="114"/>
      <c r="AH86" s="114"/>
      <c r="AI86" s="114"/>
      <c r="AJ86" s="114"/>
      <c r="AK86" s="114"/>
      <c r="AL86" s="114"/>
      <c r="AM86" s="114"/>
      <c r="AN86" s="114"/>
      <c r="AO86" s="114"/>
      <c r="AP86" s="114"/>
      <c r="AQ86" s="114"/>
      <c r="AR86" s="114"/>
      <c r="AS86" s="114"/>
      <c r="AT86" s="114"/>
      <c r="AU86" s="114"/>
      <c r="AV86" s="114"/>
      <c r="AW86" s="114"/>
      <c r="AX86" s="114"/>
      <c r="AY86" s="114"/>
    </row>
    <row r="87" spans="1:52" x14ac:dyDescent="0.2">
      <c r="A87" s="113"/>
      <c r="B87" s="133">
        <v>43</v>
      </c>
      <c r="C87" s="113" t="s">
        <v>293</v>
      </c>
      <c r="D87" s="114"/>
      <c r="E87" s="114"/>
      <c r="F87" s="114"/>
      <c r="G87" s="114"/>
      <c r="H87" s="114"/>
      <c r="I87" s="114"/>
      <c r="J87" s="114"/>
      <c r="K87" s="114"/>
      <c r="L87" s="114"/>
      <c r="M87" s="114"/>
      <c r="N87" s="114"/>
      <c r="O87" s="114"/>
      <c r="P87" s="114"/>
      <c r="Q87" s="114"/>
      <c r="R87" s="114"/>
      <c r="S87" s="114"/>
      <c r="T87" s="114"/>
      <c r="U87" s="114"/>
      <c r="V87" s="114"/>
      <c r="W87" s="114"/>
      <c r="X87" s="114"/>
      <c r="Y87" s="114"/>
      <c r="Z87" s="114"/>
      <c r="AA87" s="114"/>
      <c r="AB87" s="114"/>
      <c r="AC87" s="114"/>
      <c r="AD87" s="114"/>
      <c r="AE87" s="114"/>
      <c r="AF87" s="114"/>
      <c r="AG87" s="114"/>
      <c r="AH87" s="114"/>
      <c r="AI87" s="114"/>
      <c r="AJ87" s="114"/>
      <c r="AK87" s="114"/>
      <c r="AL87" s="114"/>
      <c r="AM87" s="114"/>
      <c r="AN87" s="114"/>
      <c r="AO87" s="114"/>
      <c r="AP87" s="114"/>
      <c r="AQ87" s="114"/>
      <c r="AR87" s="114"/>
      <c r="AS87" s="114"/>
      <c r="AT87" s="114"/>
      <c r="AU87" s="114"/>
      <c r="AV87" s="114"/>
      <c r="AW87" s="114"/>
      <c r="AX87" s="114"/>
      <c r="AY87" s="114"/>
    </row>
    <row r="88" spans="1:52" x14ac:dyDescent="0.2">
      <c r="A88" s="113"/>
      <c r="B88" s="133">
        <v>44</v>
      </c>
      <c r="C88" s="113" t="s">
        <v>293</v>
      </c>
      <c r="D88" s="114">
        <v>0</v>
      </c>
      <c r="E88" s="114"/>
      <c r="F88" s="114"/>
      <c r="G88" s="114"/>
      <c r="H88" s="114"/>
      <c r="I88" s="114"/>
      <c r="J88" s="114"/>
      <c r="K88" s="114"/>
      <c r="L88" s="114"/>
      <c r="M88" s="114"/>
      <c r="N88" s="114"/>
      <c r="O88" s="114"/>
      <c r="P88" s="114"/>
      <c r="Q88" s="114"/>
      <c r="R88" s="114"/>
      <c r="S88" s="114"/>
      <c r="T88" s="114"/>
      <c r="U88" s="114"/>
      <c r="V88" s="114"/>
      <c r="W88" s="114"/>
      <c r="X88" s="114"/>
      <c r="Y88" s="114"/>
      <c r="Z88" s="114"/>
      <c r="AA88" s="114"/>
      <c r="AB88" s="114"/>
      <c r="AC88" s="114"/>
      <c r="AD88" s="114"/>
      <c r="AE88" s="114"/>
      <c r="AF88" s="114"/>
      <c r="AG88" s="114"/>
      <c r="AH88" s="114"/>
      <c r="AI88" s="114"/>
      <c r="AJ88" s="114"/>
      <c r="AK88" s="114"/>
      <c r="AL88" s="114"/>
      <c r="AM88" s="114"/>
      <c r="AN88" s="114"/>
      <c r="AO88" s="114"/>
      <c r="AP88" s="114"/>
      <c r="AQ88" s="114"/>
      <c r="AR88" s="114"/>
      <c r="AS88" s="114"/>
      <c r="AT88" s="114"/>
      <c r="AU88" s="114"/>
      <c r="AV88" s="114"/>
      <c r="AW88" s="114"/>
      <c r="AX88" s="114"/>
      <c r="AY88" s="114"/>
    </row>
    <row r="89" spans="1:52" x14ac:dyDescent="0.2">
      <c r="A89" s="113"/>
      <c r="B89" s="133">
        <v>45</v>
      </c>
      <c r="C89" s="113" t="s">
        <v>293</v>
      </c>
      <c r="D89" s="114">
        <v>0</v>
      </c>
      <c r="E89" s="114">
        <v>0</v>
      </c>
      <c r="F89" s="114">
        <v>0</v>
      </c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  <c r="X89" s="114"/>
      <c r="Y89" s="114"/>
      <c r="Z89" s="114"/>
      <c r="AA89" s="114"/>
      <c r="AB89" s="114"/>
      <c r="AC89" s="114"/>
      <c r="AD89" s="114"/>
      <c r="AE89" s="114"/>
      <c r="AF89" s="114"/>
      <c r="AG89" s="114"/>
      <c r="AH89" s="114"/>
      <c r="AI89" s="114"/>
      <c r="AJ89" s="114"/>
      <c r="AK89" s="114"/>
      <c r="AL89" s="114"/>
      <c r="AM89" s="114"/>
      <c r="AN89" s="114"/>
      <c r="AO89" s="114"/>
      <c r="AP89" s="114"/>
      <c r="AQ89" s="114"/>
      <c r="AR89" s="114"/>
      <c r="AS89" s="114"/>
      <c r="AT89" s="114"/>
      <c r="AU89" s="114"/>
      <c r="AV89" s="114"/>
      <c r="AW89" s="114"/>
      <c r="AX89" s="114"/>
      <c r="AY89" s="114"/>
    </row>
    <row r="90" spans="1:52" x14ac:dyDescent="0.2">
      <c r="A90" s="113"/>
      <c r="B90" s="133">
        <v>46</v>
      </c>
      <c r="C90" s="113" t="s">
        <v>293</v>
      </c>
      <c r="D90" s="114">
        <v>0</v>
      </c>
      <c r="E90" s="114">
        <v>0</v>
      </c>
      <c r="F90" s="114">
        <v>0</v>
      </c>
      <c r="G90" s="114">
        <v>0</v>
      </c>
      <c r="H90" s="114">
        <v>0</v>
      </c>
      <c r="I90" s="114">
        <v>0</v>
      </c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  <c r="X90" s="114"/>
      <c r="Y90" s="114"/>
      <c r="Z90" s="114"/>
      <c r="AA90" s="114"/>
      <c r="AB90" s="114"/>
      <c r="AC90" s="114"/>
      <c r="AD90" s="114"/>
      <c r="AE90" s="114"/>
      <c r="AF90" s="114"/>
      <c r="AG90" s="114"/>
      <c r="AH90" s="114"/>
      <c r="AI90" s="114"/>
      <c r="AJ90" s="114"/>
      <c r="AK90" s="114"/>
      <c r="AL90" s="114"/>
      <c r="AM90" s="114"/>
      <c r="AN90" s="114"/>
      <c r="AO90" s="114"/>
      <c r="AP90" s="114"/>
      <c r="AQ90" s="114"/>
      <c r="AR90" s="114"/>
      <c r="AS90" s="114"/>
      <c r="AT90" s="114"/>
      <c r="AU90" s="114"/>
      <c r="AV90" s="114"/>
      <c r="AW90" s="114"/>
      <c r="AX90" s="114"/>
      <c r="AY90" s="114"/>
    </row>
    <row r="91" spans="1:52" x14ac:dyDescent="0.2">
      <c r="A91" s="113"/>
      <c r="B91" s="133">
        <v>47</v>
      </c>
      <c r="C91" s="113" t="s">
        <v>293</v>
      </c>
      <c r="D91" s="114">
        <v>0</v>
      </c>
      <c r="E91" s="114">
        <v>0</v>
      </c>
      <c r="F91" s="114">
        <v>0</v>
      </c>
      <c r="G91" s="114">
        <v>0</v>
      </c>
      <c r="H91" s="114">
        <v>0</v>
      </c>
      <c r="I91" s="114">
        <v>0</v>
      </c>
      <c r="J91" s="114">
        <v>0</v>
      </c>
      <c r="K91" s="114">
        <v>0</v>
      </c>
      <c r="L91" s="114">
        <v>0</v>
      </c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  <c r="X91" s="114"/>
      <c r="Y91" s="114"/>
      <c r="Z91" s="114"/>
      <c r="AA91" s="114"/>
      <c r="AB91" s="114"/>
      <c r="AC91" s="114"/>
      <c r="AD91" s="114"/>
      <c r="AE91" s="114"/>
      <c r="AF91" s="114"/>
      <c r="AG91" s="114"/>
      <c r="AH91" s="114"/>
      <c r="AI91" s="114"/>
      <c r="AJ91" s="114"/>
      <c r="AK91" s="114"/>
      <c r="AL91" s="114"/>
      <c r="AM91" s="114"/>
      <c r="AN91" s="114"/>
      <c r="AO91" s="114"/>
      <c r="AP91" s="114"/>
      <c r="AQ91" s="114"/>
      <c r="AR91" s="114"/>
      <c r="AS91" s="114"/>
      <c r="AT91" s="114"/>
      <c r="AU91" s="114"/>
      <c r="AV91" s="114"/>
      <c r="AW91" s="114"/>
      <c r="AX91" s="114"/>
      <c r="AY91" s="114"/>
    </row>
    <row r="92" spans="1:52" x14ac:dyDescent="0.2">
      <c r="A92" s="131"/>
      <c r="B92" s="132">
        <v>48</v>
      </c>
      <c r="C92" s="131" t="s">
        <v>293</v>
      </c>
      <c r="D92" s="128">
        <v>0</v>
      </c>
      <c r="E92" s="128">
        <v>0</v>
      </c>
      <c r="F92" s="128">
        <v>0</v>
      </c>
      <c r="G92" s="128">
        <v>0</v>
      </c>
      <c r="H92" s="128">
        <v>0</v>
      </c>
      <c r="I92" s="128">
        <v>0</v>
      </c>
      <c r="J92" s="128">
        <v>0</v>
      </c>
      <c r="K92" s="128">
        <v>0</v>
      </c>
      <c r="L92" s="128">
        <v>0</v>
      </c>
      <c r="M92" s="128">
        <v>0</v>
      </c>
      <c r="N92" s="128">
        <v>0</v>
      </c>
      <c r="O92" s="128">
        <v>0</v>
      </c>
      <c r="P92" s="128">
        <v>0</v>
      </c>
      <c r="Q92" s="128">
        <v>0</v>
      </c>
      <c r="R92" s="128">
        <v>0</v>
      </c>
      <c r="S92" s="128">
        <v>0</v>
      </c>
      <c r="T92" s="128">
        <v>0</v>
      </c>
      <c r="U92" s="128">
        <v>0</v>
      </c>
      <c r="V92" s="128">
        <v>0</v>
      </c>
      <c r="W92" s="128">
        <v>0</v>
      </c>
      <c r="X92" s="128">
        <v>0</v>
      </c>
      <c r="Y92" s="128">
        <v>0</v>
      </c>
      <c r="Z92" s="128">
        <v>0</v>
      </c>
      <c r="AA92" s="128">
        <v>0</v>
      </c>
      <c r="AB92" s="128">
        <v>0</v>
      </c>
      <c r="AC92" s="128">
        <v>0</v>
      </c>
      <c r="AD92" s="128">
        <v>0</v>
      </c>
      <c r="AE92" s="128">
        <v>0</v>
      </c>
      <c r="AF92" s="128">
        <v>0</v>
      </c>
      <c r="AG92" s="128">
        <v>0</v>
      </c>
      <c r="AH92" s="128">
        <v>0</v>
      </c>
      <c r="AI92" s="128">
        <v>0</v>
      </c>
      <c r="AJ92" s="128">
        <v>0</v>
      </c>
      <c r="AK92" s="128">
        <v>0</v>
      </c>
      <c r="AL92" s="128">
        <v>0</v>
      </c>
      <c r="AM92" s="128">
        <v>0</v>
      </c>
      <c r="AN92" s="128">
        <v>0</v>
      </c>
      <c r="AO92" s="128">
        <v>0</v>
      </c>
      <c r="AP92" s="128">
        <v>0</v>
      </c>
      <c r="AQ92" s="128">
        <v>0</v>
      </c>
      <c r="AR92" s="128">
        <v>0</v>
      </c>
      <c r="AS92" s="128">
        <v>0</v>
      </c>
      <c r="AT92" s="128">
        <v>0</v>
      </c>
      <c r="AU92" s="128">
        <v>0</v>
      </c>
      <c r="AV92" s="128">
        <v>0</v>
      </c>
      <c r="AW92" s="128">
        <v>0</v>
      </c>
      <c r="AX92" s="128">
        <v>0</v>
      </c>
      <c r="AY92" s="128">
        <v>0</v>
      </c>
      <c r="AZ92" s="111">
        <f>SUM(D21:AY92)</f>
        <v>42530.899760073247</v>
      </c>
    </row>
    <row r="94" spans="1:52" x14ac:dyDescent="0.2">
      <c r="A94" s="1" t="s">
        <v>295</v>
      </c>
      <c r="B94" s="110"/>
      <c r="C94" s="110"/>
      <c r="D94" s="117"/>
      <c r="E94" s="117"/>
      <c r="F94" s="117"/>
      <c r="G94" s="117"/>
      <c r="H94" s="117"/>
      <c r="I94" s="117"/>
      <c r="J94" s="117"/>
      <c r="K94" s="117"/>
      <c r="L94" s="117"/>
      <c r="M94" s="117"/>
      <c r="N94" s="117"/>
      <c r="O94" s="117"/>
      <c r="P94" s="117"/>
      <c r="Q94" s="117"/>
      <c r="R94" s="117"/>
      <c r="S94" s="117"/>
      <c r="T94" s="117"/>
      <c r="U94" s="117"/>
      <c r="V94" s="117"/>
      <c r="W94" s="117"/>
      <c r="X94" s="117"/>
      <c r="Y94" s="117"/>
      <c r="Z94" s="117"/>
      <c r="AA94" s="117"/>
      <c r="AB94" s="117"/>
      <c r="AC94" s="117"/>
      <c r="AD94" s="117"/>
      <c r="AE94" s="117"/>
      <c r="AF94" s="117"/>
      <c r="AG94" s="117"/>
      <c r="AH94" s="117"/>
      <c r="AI94" s="117"/>
      <c r="AJ94" s="117"/>
      <c r="AK94" s="117"/>
      <c r="AL94" s="117"/>
      <c r="AM94" s="117"/>
      <c r="AN94" s="117"/>
      <c r="AO94" s="117"/>
      <c r="AP94" s="117"/>
      <c r="AQ94" s="117"/>
      <c r="AR94" s="117"/>
      <c r="AS94" s="117"/>
      <c r="AT94" s="117"/>
      <c r="AU94" s="117"/>
      <c r="AV94" s="117"/>
      <c r="AW94" s="117"/>
      <c r="AX94" s="117"/>
      <c r="AY94" s="117"/>
    </row>
    <row r="95" spans="1:52" x14ac:dyDescent="0.2">
      <c r="A95" s="129" t="s">
        <v>125</v>
      </c>
      <c r="B95" s="126">
        <v>1</v>
      </c>
      <c r="C95" s="127">
        <v>0</v>
      </c>
      <c r="D95" s="114">
        <v>0</v>
      </c>
      <c r="E95" s="114">
        <v>200.70302420915732</v>
      </c>
      <c r="F95" s="114">
        <v>2167.5055964247658</v>
      </c>
      <c r="G95" s="114">
        <v>4081.2645598754193</v>
      </c>
      <c r="H95" s="114">
        <v>4081.2645598754193</v>
      </c>
      <c r="I95" s="114">
        <v>4081.2645598754193</v>
      </c>
      <c r="J95" s="114">
        <v>4081.2645598754193</v>
      </c>
      <c r="K95" s="114">
        <v>4081.2645598754193</v>
      </c>
      <c r="L95" s="114">
        <v>4081.2645598754193</v>
      </c>
      <c r="M95" s="114">
        <v>4081.2645598754193</v>
      </c>
      <c r="N95" s="114">
        <v>4081.2645598754193</v>
      </c>
      <c r="O95" s="114">
        <v>4081.2645598754193</v>
      </c>
      <c r="P95" s="114">
        <v>2888.5053601177633</v>
      </c>
      <c r="Q95" s="114">
        <v>4081.2645598754193</v>
      </c>
      <c r="R95" s="114">
        <v>4081.2645598754193</v>
      </c>
      <c r="S95" s="114">
        <v>4081.2645598754193</v>
      </c>
      <c r="T95" s="114">
        <v>4081.2645598754193</v>
      </c>
      <c r="U95" s="114">
        <v>4081.2645598754193</v>
      </c>
      <c r="V95" s="114">
        <v>4081.2645598754193</v>
      </c>
      <c r="W95" s="114">
        <v>4081.2645598754193</v>
      </c>
      <c r="X95" s="114">
        <v>4081.2645598754193</v>
      </c>
      <c r="Y95" s="114">
        <v>4081.2645598754193</v>
      </c>
      <c r="Z95" s="114">
        <v>4081.2645598754193</v>
      </c>
      <c r="AA95" s="114">
        <v>4081.2645598754193</v>
      </c>
      <c r="AB95" s="114">
        <v>4081.2645598754193</v>
      </c>
      <c r="AC95" s="114">
        <v>4081.2645598754193</v>
      </c>
      <c r="AD95" s="114">
        <v>3761.8214481389414</v>
      </c>
      <c r="AE95" s="114">
        <v>4081.2645598754193</v>
      </c>
      <c r="AF95" s="114">
        <v>3042.8467491377737</v>
      </c>
      <c r="AG95" s="114">
        <v>3043.3155147434986</v>
      </c>
      <c r="AH95" s="114">
        <v>4081.2645598754193</v>
      </c>
      <c r="AI95" s="114">
        <v>4081.2645598754193</v>
      </c>
      <c r="AJ95" s="114">
        <v>4081.2645598754193</v>
      </c>
      <c r="AK95" s="114">
        <v>4081.2645598754193</v>
      </c>
      <c r="AL95" s="114">
        <v>4081.2645598754193</v>
      </c>
      <c r="AM95" s="114">
        <v>4081.2645598754193</v>
      </c>
      <c r="AN95" s="114">
        <v>4081.2645598754193</v>
      </c>
      <c r="AO95" s="114">
        <v>4081.2645598754193</v>
      </c>
      <c r="AP95" s="114">
        <v>4081.2645598754193</v>
      </c>
      <c r="AQ95" s="114">
        <v>4081.2645598754193</v>
      </c>
      <c r="AR95" s="114">
        <v>4081.2645598754193</v>
      </c>
      <c r="AS95" s="114">
        <v>3048.7498380060097</v>
      </c>
      <c r="AT95" s="114">
        <v>4081.2645598754193</v>
      </c>
      <c r="AU95" s="114">
        <v>4081.2645598754193</v>
      </c>
      <c r="AV95" s="114">
        <v>4081.2645598754193</v>
      </c>
      <c r="AW95" s="114">
        <v>4081.2645598754193</v>
      </c>
      <c r="AX95" s="114">
        <v>3797.7758918127574</v>
      </c>
      <c r="AY95" s="114">
        <v>4081.2645598754193</v>
      </c>
    </row>
    <row r="96" spans="1:52" x14ac:dyDescent="0.2">
      <c r="A96" s="113"/>
      <c r="B96" s="123">
        <v>2</v>
      </c>
      <c r="C96" s="114">
        <v>0</v>
      </c>
      <c r="D96" s="114">
        <v>0</v>
      </c>
      <c r="E96" s="114">
        <v>0</v>
      </c>
      <c r="F96" s="114">
        <v>0</v>
      </c>
      <c r="G96" s="114">
        <v>235.00508430206105</v>
      </c>
      <c r="H96" s="114">
        <v>2157.6962688342014</v>
      </c>
      <c r="I96" s="114">
        <v>3438.1960092093709</v>
      </c>
      <c r="J96" s="114">
        <v>4081.2645598754193</v>
      </c>
      <c r="K96" s="114">
        <v>4081.2645598754193</v>
      </c>
      <c r="L96" s="114">
        <v>4081.2645598754193</v>
      </c>
      <c r="M96" s="114">
        <v>4081.2645598754193</v>
      </c>
      <c r="N96" s="114">
        <v>4081.2645598754193</v>
      </c>
      <c r="O96" s="114">
        <v>4081.2645598754193</v>
      </c>
      <c r="P96" s="114">
        <v>4081.2645598754193</v>
      </c>
      <c r="Q96" s="114">
        <v>2888.5053601177633</v>
      </c>
      <c r="R96" s="114">
        <v>4081.2645598754193</v>
      </c>
      <c r="S96" s="114">
        <v>4081.2645598754193</v>
      </c>
      <c r="T96" s="114">
        <v>4081.2645598754193</v>
      </c>
      <c r="U96" s="114">
        <v>4081.2645598754193</v>
      </c>
      <c r="V96" s="114">
        <v>4081.2645598754193</v>
      </c>
      <c r="W96" s="114">
        <v>4081.2645598754193</v>
      </c>
      <c r="X96" s="114">
        <v>4081.2645598754193</v>
      </c>
      <c r="Y96" s="114">
        <v>4081.2645598754193</v>
      </c>
      <c r="Z96" s="114">
        <v>4081.2645598754193</v>
      </c>
      <c r="AA96" s="114">
        <v>4081.2645598754193</v>
      </c>
      <c r="AB96" s="114">
        <v>4081.2645598754193</v>
      </c>
      <c r="AC96" s="114">
        <v>4081.2645598754193</v>
      </c>
      <c r="AD96" s="114">
        <v>4081.2645598754193</v>
      </c>
      <c r="AE96" s="114">
        <v>3761.8214481389414</v>
      </c>
      <c r="AF96" s="114">
        <v>4081.2645598754193</v>
      </c>
      <c r="AG96" s="114">
        <v>3042.8467491377737</v>
      </c>
      <c r="AH96" s="114">
        <v>3043.3155147434986</v>
      </c>
      <c r="AI96" s="114">
        <v>4081.2645598754193</v>
      </c>
      <c r="AJ96" s="114">
        <v>4081.2645598754193</v>
      </c>
      <c r="AK96" s="114">
        <v>4081.2645598754193</v>
      </c>
      <c r="AL96" s="114">
        <v>4081.2645598754193</v>
      </c>
      <c r="AM96" s="114">
        <v>4081.2645598754193</v>
      </c>
      <c r="AN96" s="114">
        <v>4081.2645598754193</v>
      </c>
      <c r="AO96" s="114">
        <v>4081.2645598754193</v>
      </c>
      <c r="AP96" s="114">
        <v>4081.2645598754193</v>
      </c>
      <c r="AQ96" s="114">
        <v>4081.2645598754193</v>
      </c>
      <c r="AR96" s="114">
        <v>4081.2645598754193</v>
      </c>
      <c r="AS96" s="114">
        <v>4081.2645598754193</v>
      </c>
      <c r="AT96" s="114">
        <v>3048.7498380060097</v>
      </c>
      <c r="AU96" s="114">
        <v>4081.2645598754193</v>
      </c>
      <c r="AV96" s="114">
        <v>4081.2645598754193</v>
      </c>
      <c r="AW96" s="114">
        <v>4081.2645598754193</v>
      </c>
      <c r="AX96" s="114">
        <v>4081.2645598754193</v>
      </c>
      <c r="AY96" s="114">
        <v>3797.7758918127574</v>
      </c>
    </row>
    <row r="97" spans="1:52" x14ac:dyDescent="0.2">
      <c r="A97" s="113"/>
      <c r="B97" s="130">
        <v>3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899.78553971430574</v>
      </c>
      <c r="K97" s="114">
        <v>2489.0629990805501</v>
      </c>
      <c r="L97" s="114">
        <v>3956.6057500960796</v>
      </c>
      <c r="M97" s="114">
        <v>4081.2645598754193</v>
      </c>
      <c r="N97" s="114">
        <v>4081.2645598754193</v>
      </c>
      <c r="O97" s="114">
        <v>4081.2645598754193</v>
      </c>
      <c r="P97" s="114">
        <v>4081.2645598754193</v>
      </c>
      <c r="Q97" s="114">
        <v>4081.2645598754193</v>
      </c>
      <c r="R97" s="114">
        <v>2888.5053601177633</v>
      </c>
      <c r="S97" s="114">
        <v>4081.2645598754193</v>
      </c>
      <c r="T97" s="114">
        <v>4081.2645598754193</v>
      </c>
      <c r="U97" s="114">
        <v>4081.2645598754193</v>
      </c>
      <c r="V97" s="114">
        <v>4081.2645598754193</v>
      </c>
      <c r="W97" s="114">
        <v>4081.2645598754193</v>
      </c>
      <c r="X97" s="114">
        <v>4081.2645598754193</v>
      </c>
      <c r="Y97" s="114">
        <v>4081.2645598754193</v>
      </c>
      <c r="Z97" s="114">
        <v>4081.2645598754193</v>
      </c>
      <c r="AA97" s="114">
        <v>4081.2645598754193</v>
      </c>
      <c r="AB97" s="114">
        <v>4081.2645598754193</v>
      </c>
      <c r="AC97" s="114">
        <v>4081.2645598754193</v>
      </c>
      <c r="AD97" s="114">
        <v>4081.2645598754193</v>
      </c>
      <c r="AE97" s="114">
        <v>4081.2645598754193</v>
      </c>
      <c r="AF97" s="114">
        <v>3761.8214481389414</v>
      </c>
      <c r="AG97" s="114">
        <v>4081.2645598754193</v>
      </c>
      <c r="AH97" s="114">
        <v>3042.8467491377737</v>
      </c>
      <c r="AI97" s="114">
        <v>3043.3155147434986</v>
      </c>
      <c r="AJ97" s="114">
        <v>4081.2645598754193</v>
      </c>
      <c r="AK97" s="114">
        <v>4081.2645598754193</v>
      </c>
      <c r="AL97" s="114">
        <v>4081.2645598754193</v>
      </c>
      <c r="AM97" s="114">
        <v>4081.2645598754193</v>
      </c>
      <c r="AN97" s="114">
        <v>4081.2645598754193</v>
      </c>
      <c r="AO97" s="114">
        <v>4081.2645598754193</v>
      </c>
      <c r="AP97" s="114">
        <v>4081.2645598754193</v>
      </c>
      <c r="AQ97" s="114">
        <v>4081.2645598754193</v>
      </c>
      <c r="AR97" s="114">
        <v>4081.2645598754193</v>
      </c>
      <c r="AS97" s="114">
        <v>4081.2645598754193</v>
      </c>
      <c r="AT97" s="114">
        <v>4081.2645598754193</v>
      </c>
      <c r="AU97" s="114">
        <v>3048.7498380060097</v>
      </c>
      <c r="AV97" s="114">
        <v>4081.2645598754193</v>
      </c>
      <c r="AW97" s="114">
        <v>4081.2645598754193</v>
      </c>
      <c r="AX97" s="114">
        <v>4081.2645598754193</v>
      </c>
      <c r="AY97" s="114">
        <v>4081.2645598754193</v>
      </c>
    </row>
    <row r="98" spans="1:52" x14ac:dyDescent="0.2">
      <c r="A98" s="113"/>
      <c r="B98" s="133">
        <v>4</v>
      </c>
      <c r="C98" s="110">
        <v>0</v>
      </c>
      <c r="D98" s="114">
        <v>0</v>
      </c>
      <c r="E98" s="114">
        <v>0</v>
      </c>
      <c r="F98" s="114">
        <v>0</v>
      </c>
      <c r="G98" s="114">
        <v>0</v>
      </c>
      <c r="H98" s="114">
        <v>0</v>
      </c>
      <c r="I98" s="114">
        <v>0</v>
      </c>
      <c r="J98" s="114">
        <v>0</v>
      </c>
      <c r="K98" s="114">
        <v>0</v>
      </c>
      <c r="L98" s="114">
        <v>0</v>
      </c>
      <c r="M98" s="114">
        <v>1361.5484788111689</v>
      </c>
      <c r="N98" s="114">
        <v>2931.8650035935193</v>
      </c>
      <c r="O98" s="114">
        <v>4081.2645598754193</v>
      </c>
      <c r="P98" s="114">
        <v>4081.2645598754193</v>
      </c>
      <c r="Q98" s="114">
        <v>4081.2645598754193</v>
      </c>
      <c r="R98" s="114">
        <v>4081.2645598754193</v>
      </c>
      <c r="S98" s="114">
        <v>2888.5053601177633</v>
      </c>
      <c r="T98" s="114">
        <v>4081.2645598754193</v>
      </c>
      <c r="U98" s="114">
        <v>4081.2645598754193</v>
      </c>
      <c r="V98" s="114">
        <v>4081.2645598754193</v>
      </c>
      <c r="W98" s="114">
        <v>4081.2645598754193</v>
      </c>
      <c r="X98" s="114">
        <v>4081.2645598754193</v>
      </c>
      <c r="Y98" s="114">
        <v>4081.2645598754193</v>
      </c>
      <c r="Z98" s="114">
        <v>4081.2645598754193</v>
      </c>
      <c r="AA98" s="114">
        <v>4081.2645598754193</v>
      </c>
      <c r="AB98" s="114">
        <v>4081.2645598754193</v>
      </c>
      <c r="AC98" s="114">
        <v>4081.2645598754193</v>
      </c>
      <c r="AD98" s="114">
        <v>4081.2645598754193</v>
      </c>
      <c r="AE98" s="114">
        <v>4081.2645598754193</v>
      </c>
      <c r="AF98" s="114">
        <v>4081.2645598754193</v>
      </c>
      <c r="AG98" s="114">
        <v>3761.8214481389414</v>
      </c>
      <c r="AH98" s="114">
        <v>4081.2645598754193</v>
      </c>
      <c r="AI98" s="114">
        <v>3042.8467491377737</v>
      </c>
      <c r="AJ98" s="114">
        <v>3043.3155147434986</v>
      </c>
      <c r="AK98" s="114">
        <v>4081.2645598754193</v>
      </c>
      <c r="AL98" s="114">
        <v>4081.2645598754193</v>
      </c>
      <c r="AM98" s="114">
        <v>4081.2645598754193</v>
      </c>
      <c r="AN98" s="114">
        <v>4081.2645598754193</v>
      </c>
      <c r="AO98" s="114">
        <v>4081.2645598754193</v>
      </c>
      <c r="AP98" s="114">
        <v>4081.2645598754193</v>
      </c>
      <c r="AQ98" s="114">
        <v>4081.2645598754193</v>
      </c>
      <c r="AR98" s="114">
        <v>4081.2645598754193</v>
      </c>
      <c r="AS98" s="114">
        <v>4081.2645598754193</v>
      </c>
      <c r="AT98" s="114">
        <v>4081.2645598754193</v>
      </c>
      <c r="AU98" s="114">
        <v>4081.2645598754193</v>
      </c>
      <c r="AV98" s="114">
        <v>3048.7498380060097</v>
      </c>
      <c r="AW98" s="114">
        <v>4081.2645598754193</v>
      </c>
      <c r="AX98" s="114">
        <v>4081.2645598754193</v>
      </c>
      <c r="AY98" s="114">
        <v>4081.2645598754193</v>
      </c>
    </row>
    <row r="99" spans="1:52" x14ac:dyDescent="0.2">
      <c r="A99" s="131"/>
      <c r="B99" s="135" t="s">
        <v>296</v>
      </c>
      <c r="C99" s="128">
        <v>0</v>
      </c>
      <c r="D99" s="128">
        <v>0</v>
      </c>
      <c r="E99" s="128">
        <v>0</v>
      </c>
      <c r="F99" s="128">
        <v>0</v>
      </c>
      <c r="G99" s="128">
        <v>0</v>
      </c>
      <c r="H99" s="128">
        <v>0</v>
      </c>
      <c r="I99" s="128">
        <v>0</v>
      </c>
      <c r="J99" s="128">
        <v>0</v>
      </c>
      <c r="K99" s="128">
        <v>0</v>
      </c>
      <c r="L99" s="128">
        <v>0</v>
      </c>
      <c r="M99" s="128">
        <v>0</v>
      </c>
      <c r="N99" s="128">
        <v>1114.5484788111689</v>
      </c>
      <c r="O99" s="128">
        <v>2682.8650035935193</v>
      </c>
      <c r="P99" s="128">
        <v>3778.2645598754193</v>
      </c>
      <c r="Q99" s="128">
        <v>3579.2645598754193</v>
      </c>
      <c r="R99" s="128">
        <v>3608.2645598754193</v>
      </c>
      <c r="S99" s="128">
        <v>3664.2645598754193</v>
      </c>
      <c r="T99" s="128">
        <v>2514.5053601177633</v>
      </c>
      <c r="U99" s="128">
        <v>3350.2645598754193</v>
      </c>
      <c r="V99" s="128">
        <v>3415.2645598754193</v>
      </c>
      <c r="W99" s="128">
        <v>3295.2645598754193</v>
      </c>
      <c r="X99" s="128">
        <v>3272.2645598754193</v>
      </c>
      <c r="Y99" s="128">
        <v>3620.2645598754193</v>
      </c>
      <c r="Z99" s="128">
        <v>3609.2645598754193</v>
      </c>
      <c r="AA99" s="128">
        <v>3657.2645598754193</v>
      </c>
      <c r="AB99" s="128">
        <v>3587.2645598754193</v>
      </c>
      <c r="AC99" s="128">
        <v>3659.2645598754193</v>
      </c>
      <c r="AD99" s="128">
        <v>3724.2645598754193</v>
      </c>
      <c r="AE99" s="128">
        <v>3689.2645598754193</v>
      </c>
      <c r="AF99" s="128">
        <v>3663.2645598754193</v>
      </c>
      <c r="AG99" s="128">
        <v>3293.2645598754193</v>
      </c>
      <c r="AH99" s="128">
        <v>3015.8214481389414</v>
      </c>
      <c r="AI99" s="128">
        <v>3258.2645598754193</v>
      </c>
      <c r="AJ99" s="128">
        <v>2078.8467491377737</v>
      </c>
      <c r="AK99" s="128">
        <v>2727.3155147434986</v>
      </c>
      <c r="AL99" s="128">
        <v>3763.2645598754193</v>
      </c>
      <c r="AM99" s="128">
        <v>3764.2645598754193</v>
      </c>
      <c r="AN99" s="128">
        <v>3824.2645598754193</v>
      </c>
      <c r="AO99" s="128">
        <v>3471.2645598754193</v>
      </c>
      <c r="AP99" s="128">
        <v>3387.2645598754193</v>
      </c>
      <c r="AQ99" s="128">
        <v>3526.2645598754193</v>
      </c>
      <c r="AR99" s="128">
        <v>3539.2645598754193</v>
      </c>
      <c r="AS99" s="128">
        <v>3657.2645598754193</v>
      </c>
      <c r="AT99" s="128">
        <v>3647.2645598754193</v>
      </c>
      <c r="AU99" s="128">
        <v>3796.2645598754193</v>
      </c>
      <c r="AV99" s="128">
        <v>3724.2645598754193</v>
      </c>
      <c r="AW99" s="128">
        <v>2742.7498380060097</v>
      </c>
      <c r="AX99" s="128">
        <v>3736.2645598754193</v>
      </c>
      <c r="AY99" s="128">
        <v>3766.2645598754193</v>
      </c>
      <c r="AZ99" s="111">
        <f>SUM($D99:$AY99)</f>
        <v>128204.85374868663</v>
      </c>
    </row>
    <row r="100" spans="1:52" x14ac:dyDescent="0.2">
      <c r="A100" s="134" t="s">
        <v>133</v>
      </c>
      <c r="B100" s="122">
        <v>1</v>
      </c>
      <c r="C100" s="110">
        <v>320.4677712891235</v>
      </c>
      <c r="D100" s="110">
        <v>1809.9094803651592</v>
      </c>
      <c r="E100" s="110">
        <v>320.4677712891235</v>
      </c>
      <c r="F100" s="110">
        <v>171.61339991679952</v>
      </c>
      <c r="G100" s="110">
        <v>171.61339991679952</v>
      </c>
      <c r="H100" s="110">
        <v>171.61339991679952</v>
      </c>
      <c r="I100" s="110">
        <v>171.61339991679952</v>
      </c>
      <c r="J100" s="110">
        <v>171.61339991679952</v>
      </c>
      <c r="K100" s="110">
        <v>171.61339991679952</v>
      </c>
      <c r="L100" s="110">
        <v>171.61339991679952</v>
      </c>
      <c r="M100" s="110">
        <v>171.61339991679952</v>
      </c>
      <c r="N100" s="110">
        <v>171.61339991679952</v>
      </c>
      <c r="O100" s="110">
        <v>171.61339991679952</v>
      </c>
      <c r="P100" s="110">
        <v>171.61339991679952</v>
      </c>
      <c r="Q100" s="110">
        <v>171.61339991679952</v>
      </c>
      <c r="R100" s="110">
        <v>171.61339991679952</v>
      </c>
      <c r="S100" s="110">
        <v>171.61339991679952</v>
      </c>
      <c r="T100" s="110">
        <v>171.61339991679952</v>
      </c>
      <c r="U100" s="110">
        <v>171.61339991679952</v>
      </c>
      <c r="V100" s="110">
        <v>171.61339991679952</v>
      </c>
      <c r="W100" s="110">
        <v>171.61339991679952</v>
      </c>
      <c r="X100" s="110">
        <v>171.61339991679952</v>
      </c>
      <c r="Y100" s="110">
        <v>0</v>
      </c>
      <c r="Z100" s="110">
        <v>343.22679983359905</v>
      </c>
      <c r="AA100" s="110">
        <v>171.61339991679952</v>
      </c>
      <c r="AB100" s="110">
        <v>171.61339991679952</v>
      </c>
      <c r="AC100" s="110">
        <v>171.61339991679952</v>
      </c>
      <c r="AD100" s="110">
        <v>171.61339991679952</v>
      </c>
      <c r="AE100" s="110">
        <v>171.61339991679952</v>
      </c>
      <c r="AF100" s="110">
        <v>171.61339991679952</v>
      </c>
      <c r="AG100" s="110">
        <v>171.61339991679952</v>
      </c>
      <c r="AH100" s="110">
        <v>171.61339991679952</v>
      </c>
      <c r="AI100" s="110">
        <v>0</v>
      </c>
      <c r="AJ100" s="110">
        <v>343.22679983359905</v>
      </c>
      <c r="AK100" s="110">
        <v>171.61339991679952</v>
      </c>
      <c r="AL100" s="110">
        <v>171.61339991679952</v>
      </c>
      <c r="AM100" s="110">
        <v>171.61339991679952</v>
      </c>
      <c r="AN100" s="110">
        <v>171.61339991679952</v>
      </c>
      <c r="AO100" s="110">
        <v>171.61339991679952</v>
      </c>
      <c r="AP100" s="110">
        <v>171.61339991679952</v>
      </c>
      <c r="AQ100" s="110">
        <v>171.61339991679952</v>
      </c>
      <c r="AR100" s="110">
        <v>171.61339991679952</v>
      </c>
      <c r="AS100" s="110">
        <v>171.61339991679952</v>
      </c>
      <c r="AT100" s="110">
        <v>171.61339991679952</v>
      </c>
      <c r="AU100" s="110">
        <v>171.61339991679952</v>
      </c>
      <c r="AV100" s="110">
        <v>0</v>
      </c>
      <c r="AW100" s="110">
        <v>343.22679983359905</v>
      </c>
      <c r="AX100" s="110">
        <v>171.61339991679952</v>
      </c>
      <c r="AY100" s="110">
        <v>171.61339991679952</v>
      </c>
    </row>
    <row r="101" spans="1:52" x14ac:dyDescent="0.2">
      <c r="A101" s="113"/>
      <c r="B101" s="122">
        <v>2</v>
      </c>
      <c r="C101" s="110">
        <v>1543.1886258271413</v>
      </c>
      <c r="D101" s="110">
        <v>320.4677712891235</v>
      </c>
      <c r="E101" s="110">
        <v>1809.9094803651592</v>
      </c>
      <c r="F101" s="110">
        <v>320.4677712891235</v>
      </c>
      <c r="G101" s="110">
        <v>171.61339991679952</v>
      </c>
      <c r="H101" s="110">
        <v>171.61339991679952</v>
      </c>
      <c r="I101" s="110">
        <v>5.6843418860808015E-14</v>
      </c>
      <c r="J101" s="110">
        <v>0</v>
      </c>
      <c r="K101" s="110">
        <v>0</v>
      </c>
      <c r="L101" s="110">
        <v>0</v>
      </c>
      <c r="M101" s="110">
        <v>0</v>
      </c>
      <c r="N101" s="110">
        <v>0</v>
      </c>
      <c r="O101" s="110">
        <v>0</v>
      </c>
      <c r="P101" s="110">
        <v>0</v>
      </c>
      <c r="Q101" s="110">
        <v>0</v>
      </c>
      <c r="R101" s="110">
        <v>0</v>
      </c>
      <c r="S101" s="110">
        <v>0</v>
      </c>
      <c r="T101" s="110">
        <v>0</v>
      </c>
      <c r="U101" s="110">
        <v>0</v>
      </c>
      <c r="V101" s="110">
        <v>0</v>
      </c>
      <c r="W101" s="110">
        <v>0</v>
      </c>
      <c r="X101" s="110">
        <v>0</v>
      </c>
      <c r="Y101" s="110">
        <v>0</v>
      </c>
      <c r="Z101" s="110">
        <v>0</v>
      </c>
      <c r="AA101" s="110">
        <v>0</v>
      </c>
      <c r="AB101" s="110">
        <v>0</v>
      </c>
      <c r="AC101" s="110">
        <v>0</v>
      </c>
      <c r="AD101" s="110">
        <v>0</v>
      </c>
      <c r="AE101" s="110">
        <v>0</v>
      </c>
      <c r="AF101" s="110">
        <v>0</v>
      </c>
      <c r="AG101" s="110">
        <v>0</v>
      </c>
      <c r="AH101" s="110">
        <v>0</v>
      </c>
      <c r="AI101" s="110">
        <v>0</v>
      </c>
      <c r="AJ101" s="110">
        <v>0</v>
      </c>
      <c r="AK101" s="110">
        <v>0</v>
      </c>
      <c r="AL101" s="110">
        <v>0</v>
      </c>
      <c r="AM101" s="110">
        <v>0</v>
      </c>
      <c r="AN101" s="110">
        <v>0</v>
      </c>
      <c r="AO101" s="110">
        <v>0</v>
      </c>
      <c r="AP101" s="110">
        <v>0</v>
      </c>
      <c r="AQ101" s="110">
        <v>0</v>
      </c>
      <c r="AR101" s="110">
        <v>0</v>
      </c>
      <c r="AS101" s="110">
        <v>0</v>
      </c>
      <c r="AT101" s="110">
        <v>0</v>
      </c>
      <c r="AU101" s="110">
        <v>0</v>
      </c>
      <c r="AV101" s="110">
        <v>0</v>
      </c>
      <c r="AW101" s="110">
        <v>0</v>
      </c>
      <c r="AX101" s="110">
        <v>0</v>
      </c>
      <c r="AY101" s="110">
        <v>0</v>
      </c>
    </row>
    <row r="102" spans="1:52" x14ac:dyDescent="0.2">
      <c r="A102" s="113"/>
      <c r="B102" s="123">
        <v>3</v>
      </c>
      <c r="C102" s="110">
        <v>425.7290148086085</v>
      </c>
      <c r="D102" s="110">
        <v>1233.9176406357499</v>
      </c>
      <c r="E102" s="110">
        <v>320.4677712891235</v>
      </c>
      <c r="F102" s="110">
        <v>1584.2948922900325</v>
      </c>
      <c r="G102" s="110">
        <v>320.4677712891235</v>
      </c>
      <c r="H102" s="110">
        <v>29.376063495955549</v>
      </c>
      <c r="I102" s="110">
        <v>0</v>
      </c>
      <c r="J102" s="110">
        <v>0</v>
      </c>
      <c r="K102" s="110">
        <v>0</v>
      </c>
      <c r="L102" s="110">
        <v>0</v>
      </c>
      <c r="M102" s="110">
        <v>0</v>
      </c>
      <c r="N102" s="110">
        <v>0</v>
      </c>
      <c r="O102" s="110">
        <v>0</v>
      </c>
      <c r="P102" s="110">
        <v>0</v>
      </c>
      <c r="Q102" s="110">
        <v>0</v>
      </c>
      <c r="R102" s="110">
        <v>0</v>
      </c>
      <c r="S102" s="110">
        <v>0</v>
      </c>
      <c r="T102" s="110">
        <v>0</v>
      </c>
      <c r="U102" s="110">
        <v>0</v>
      </c>
      <c r="V102" s="110">
        <v>0</v>
      </c>
      <c r="W102" s="110">
        <v>0</v>
      </c>
      <c r="X102" s="110">
        <v>0</v>
      </c>
      <c r="Y102" s="110">
        <v>0</v>
      </c>
      <c r="Z102" s="110">
        <v>0</v>
      </c>
      <c r="AA102" s="110">
        <v>0</v>
      </c>
      <c r="AB102" s="110">
        <v>0</v>
      </c>
      <c r="AC102" s="110">
        <v>0</v>
      </c>
      <c r="AD102" s="110">
        <v>0</v>
      </c>
      <c r="AE102" s="110">
        <v>0</v>
      </c>
      <c r="AF102" s="110">
        <v>0</v>
      </c>
      <c r="AG102" s="110">
        <v>0</v>
      </c>
      <c r="AH102" s="110">
        <v>0</v>
      </c>
      <c r="AI102" s="110">
        <v>0</v>
      </c>
      <c r="AJ102" s="110">
        <v>0</v>
      </c>
      <c r="AK102" s="110">
        <v>0</v>
      </c>
      <c r="AL102" s="110">
        <v>0</v>
      </c>
      <c r="AM102" s="110">
        <v>0</v>
      </c>
      <c r="AN102" s="110">
        <v>0</v>
      </c>
      <c r="AO102" s="110">
        <v>0</v>
      </c>
      <c r="AP102" s="110">
        <v>0</v>
      </c>
      <c r="AQ102" s="110">
        <v>0</v>
      </c>
      <c r="AR102" s="110">
        <v>0</v>
      </c>
      <c r="AS102" s="110">
        <v>0</v>
      </c>
      <c r="AT102" s="110">
        <v>0</v>
      </c>
      <c r="AU102" s="110">
        <v>0</v>
      </c>
      <c r="AV102" s="110">
        <v>0</v>
      </c>
      <c r="AW102" s="110">
        <v>0</v>
      </c>
      <c r="AX102" s="110">
        <v>0</v>
      </c>
      <c r="AY102" s="110">
        <v>0</v>
      </c>
    </row>
    <row r="103" spans="1:52" x14ac:dyDescent="0.2">
      <c r="A103" s="113"/>
      <c r="B103" s="123">
        <v>4</v>
      </c>
      <c r="C103" s="110">
        <v>0</v>
      </c>
      <c r="D103" s="110">
        <v>0</v>
      </c>
      <c r="E103" s="110">
        <v>316.91764063574988</v>
      </c>
      <c r="F103" s="110">
        <v>0</v>
      </c>
      <c r="G103" s="110">
        <v>477.29489229003252</v>
      </c>
      <c r="H103" s="110">
        <v>0</v>
      </c>
      <c r="I103" s="110">
        <v>0</v>
      </c>
      <c r="J103" s="110">
        <v>0</v>
      </c>
      <c r="K103" s="110">
        <v>0</v>
      </c>
      <c r="L103" s="110">
        <v>0</v>
      </c>
      <c r="M103" s="110">
        <v>0</v>
      </c>
      <c r="N103" s="110">
        <v>0</v>
      </c>
      <c r="O103" s="110">
        <v>0</v>
      </c>
      <c r="P103" s="110">
        <v>0</v>
      </c>
      <c r="Q103" s="110">
        <v>0</v>
      </c>
      <c r="R103" s="110">
        <v>0</v>
      </c>
      <c r="S103" s="110">
        <v>0</v>
      </c>
      <c r="T103" s="110">
        <v>0</v>
      </c>
      <c r="U103" s="110">
        <v>0</v>
      </c>
      <c r="V103" s="110">
        <v>0</v>
      </c>
      <c r="W103" s="110">
        <v>0</v>
      </c>
      <c r="X103" s="110">
        <v>0</v>
      </c>
      <c r="Y103" s="110">
        <v>0</v>
      </c>
      <c r="Z103" s="110">
        <v>0</v>
      </c>
      <c r="AA103" s="110">
        <v>0</v>
      </c>
      <c r="AB103" s="110">
        <v>0</v>
      </c>
      <c r="AC103" s="110">
        <v>0</v>
      </c>
      <c r="AD103" s="110">
        <v>0</v>
      </c>
      <c r="AE103" s="110">
        <v>0</v>
      </c>
      <c r="AF103" s="110">
        <v>0</v>
      </c>
      <c r="AG103" s="110">
        <v>0</v>
      </c>
      <c r="AH103" s="110">
        <v>0</v>
      </c>
      <c r="AI103" s="110">
        <v>0</v>
      </c>
      <c r="AJ103" s="110">
        <v>0</v>
      </c>
      <c r="AK103" s="110">
        <v>0</v>
      </c>
      <c r="AL103" s="110">
        <v>0</v>
      </c>
      <c r="AM103" s="110">
        <v>0</v>
      </c>
      <c r="AN103" s="110">
        <v>0</v>
      </c>
      <c r="AO103" s="110">
        <v>0</v>
      </c>
      <c r="AP103" s="110">
        <v>0</v>
      </c>
      <c r="AQ103" s="110">
        <v>0</v>
      </c>
      <c r="AR103" s="110">
        <v>0</v>
      </c>
      <c r="AS103" s="110">
        <v>0</v>
      </c>
      <c r="AT103" s="110">
        <v>0</v>
      </c>
      <c r="AU103" s="110">
        <v>0</v>
      </c>
      <c r="AV103" s="110">
        <v>0</v>
      </c>
      <c r="AW103" s="110">
        <v>0</v>
      </c>
      <c r="AX103" s="110">
        <v>0</v>
      </c>
      <c r="AY103" s="110">
        <v>0</v>
      </c>
    </row>
    <row r="104" spans="1:52" x14ac:dyDescent="0.2">
      <c r="A104" s="113"/>
      <c r="B104" s="130">
        <v>5</v>
      </c>
      <c r="C104" s="110">
        <v>0</v>
      </c>
      <c r="D104" s="110">
        <v>0</v>
      </c>
      <c r="E104" s="110">
        <v>0</v>
      </c>
      <c r="F104" s="110">
        <v>0</v>
      </c>
      <c r="G104" s="110">
        <v>0</v>
      </c>
      <c r="H104" s="110">
        <v>0</v>
      </c>
      <c r="I104" s="110">
        <v>0</v>
      </c>
      <c r="J104" s="110">
        <v>0</v>
      </c>
      <c r="K104" s="110">
        <v>0</v>
      </c>
      <c r="L104" s="110">
        <v>0</v>
      </c>
      <c r="M104" s="110">
        <v>0</v>
      </c>
      <c r="N104" s="110">
        <v>0</v>
      </c>
      <c r="O104" s="110">
        <v>0</v>
      </c>
      <c r="P104" s="110">
        <v>0</v>
      </c>
      <c r="Q104" s="110">
        <v>0</v>
      </c>
      <c r="R104" s="110">
        <v>0</v>
      </c>
      <c r="S104" s="110">
        <v>0</v>
      </c>
      <c r="T104" s="110">
        <v>0</v>
      </c>
      <c r="U104" s="110">
        <v>0</v>
      </c>
      <c r="V104" s="110">
        <v>0</v>
      </c>
      <c r="W104" s="110">
        <v>0</v>
      </c>
      <c r="X104" s="110">
        <v>0</v>
      </c>
      <c r="Y104" s="110">
        <v>0</v>
      </c>
      <c r="Z104" s="110">
        <v>0</v>
      </c>
      <c r="AA104" s="110">
        <v>0</v>
      </c>
      <c r="AB104" s="110">
        <v>0</v>
      </c>
      <c r="AC104" s="110">
        <v>0</v>
      </c>
      <c r="AD104" s="110">
        <v>0</v>
      </c>
      <c r="AE104" s="110">
        <v>0</v>
      </c>
      <c r="AF104" s="110">
        <v>0</v>
      </c>
      <c r="AG104" s="110">
        <v>0</v>
      </c>
      <c r="AH104" s="110">
        <v>0</v>
      </c>
      <c r="AI104" s="110">
        <v>0</v>
      </c>
      <c r="AJ104" s="110">
        <v>0</v>
      </c>
      <c r="AK104" s="110">
        <v>0</v>
      </c>
      <c r="AL104" s="110">
        <v>0</v>
      </c>
      <c r="AM104" s="110">
        <v>0</v>
      </c>
      <c r="AN104" s="110">
        <v>0</v>
      </c>
      <c r="AO104" s="110">
        <v>0</v>
      </c>
      <c r="AP104" s="110">
        <v>0</v>
      </c>
      <c r="AQ104" s="110">
        <v>0</v>
      </c>
      <c r="AR104" s="110">
        <v>0</v>
      </c>
      <c r="AS104" s="110">
        <v>0</v>
      </c>
      <c r="AT104" s="110">
        <v>0</v>
      </c>
      <c r="AU104" s="110">
        <v>0</v>
      </c>
      <c r="AV104" s="110">
        <v>0</v>
      </c>
      <c r="AW104" s="110">
        <v>0</v>
      </c>
      <c r="AX104" s="110">
        <v>0</v>
      </c>
      <c r="AY104" s="110">
        <v>0</v>
      </c>
    </row>
    <row r="105" spans="1:52" x14ac:dyDescent="0.2">
      <c r="A105" s="113"/>
      <c r="B105" s="130">
        <v>6</v>
      </c>
      <c r="C105" s="110">
        <v>0</v>
      </c>
      <c r="D105" s="110">
        <v>0</v>
      </c>
      <c r="E105" s="110">
        <v>0</v>
      </c>
      <c r="F105" s="110">
        <v>0</v>
      </c>
      <c r="G105" s="110">
        <v>0</v>
      </c>
      <c r="H105" s="110">
        <v>0</v>
      </c>
      <c r="I105" s="110">
        <v>0</v>
      </c>
      <c r="J105" s="110">
        <v>0</v>
      </c>
      <c r="K105" s="110">
        <v>0</v>
      </c>
      <c r="L105" s="110">
        <v>0</v>
      </c>
      <c r="M105" s="110">
        <v>0</v>
      </c>
      <c r="N105" s="110">
        <v>0</v>
      </c>
      <c r="O105" s="110">
        <v>0</v>
      </c>
      <c r="P105" s="110">
        <v>0</v>
      </c>
      <c r="Q105" s="110">
        <v>0</v>
      </c>
      <c r="R105" s="110">
        <v>0</v>
      </c>
      <c r="S105" s="110">
        <v>0</v>
      </c>
      <c r="T105" s="110">
        <v>0</v>
      </c>
      <c r="U105" s="110">
        <v>0</v>
      </c>
      <c r="V105" s="110">
        <v>0</v>
      </c>
      <c r="W105" s="110">
        <v>0</v>
      </c>
      <c r="X105" s="110">
        <v>0</v>
      </c>
      <c r="Y105" s="110">
        <v>0</v>
      </c>
      <c r="Z105" s="110">
        <v>0</v>
      </c>
      <c r="AA105" s="110">
        <v>0</v>
      </c>
      <c r="AB105" s="110">
        <v>0</v>
      </c>
      <c r="AC105" s="110">
        <v>0</v>
      </c>
      <c r="AD105" s="110">
        <v>0</v>
      </c>
      <c r="AE105" s="110">
        <v>0</v>
      </c>
      <c r="AF105" s="110">
        <v>0</v>
      </c>
      <c r="AG105" s="110">
        <v>0</v>
      </c>
      <c r="AH105" s="110">
        <v>0</v>
      </c>
      <c r="AI105" s="110">
        <v>0</v>
      </c>
      <c r="AJ105" s="110">
        <v>0</v>
      </c>
      <c r="AK105" s="110">
        <v>0</v>
      </c>
      <c r="AL105" s="110">
        <v>0</v>
      </c>
      <c r="AM105" s="110">
        <v>0</v>
      </c>
      <c r="AN105" s="110">
        <v>0</v>
      </c>
      <c r="AO105" s="110">
        <v>0</v>
      </c>
      <c r="AP105" s="110">
        <v>0</v>
      </c>
      <c r="AQ105" s="110">
        <v>0</v>
      </c>
      <c r="AR105" s="110">
        <v>0</v>
      </c>
      <c r="AS105" s="110">
        <v>0</v>
      </c>
      <c r="AT105" s="110">
        <v>0</v>
      </c>
      <c r="AU105" s="110">
        <v>0</v>
      </c>
      <c r="AV105" s="110">
        <v>0</v>
      </c>
      <c r="AW105" s="110">
        <v>0</v>
      </c>
      <c r="AX105" s="110">
        <v>0</v>
      </c>
      <c r="AY105" s="110">
        <v>0</v>
      </c>
    </row>
    <row r="106" spans="1:52" x14ac:dyDescent="0.2">
      <c r="A106" s="113"/>
      <c r="B106" s="133">
        <v>7</v>
      </c>
      <c r="C106" s="110">
        <v>0</v>
      </c>
      <c r="D106" s="110">
        <v>0</v>
      </c>
      <c r="E106" s="110">
        <v>0</v>
      </c>
      <c r="F106" s="110">
        <v>0</v>
      </c>
      <c r="G106" s="110">
        <v>0</v>
      </c>
      <c r="H106" s="110">
        <v>0</v>
      </c>
      <c r="I106" s="110">
        <v>0</v>
      </c>
      <c r="J106" s="110">
        <v>0</v>
      </c>
      <c r="K106" s="110">
        <v>0</v>
      </c>
      <c r="L106" s="110">
        <v>0</v>
      </c>
      <c r="M106" s="110">
        <v>0</v>
      </c>
      <c r="N106" s="110">
        <v>0</v>
      </c>
      <c r="O106" s="110">
        <v>0</v>
      </c>
      <c r="P106" s="110">
        <v>0</v>
      </c>
      <c r="Q106" s="110">
        <v>0</v>
      </c>
      <c r="R106" s="110">
        <v>0</v>
      </c>
      <c r="S106" s="110">
        <v>0</v>
      </c>
      <c r="T106" s="110">
        <v>0</v>
      </c>
      <c r="U106" s="110">
        <v>0</v>
      </c>
      <c r="V106" s="110">
        <v>0</v>
      </c>
      <c r="W106" s="110">
        <v>0</v>
      </c>
      <c r="X106" s="110">
        <v>0</v>
      </c>
      <c r="Y106" s="110">
        <v>0</v>
      </c>
      <c r="Z106" s="110">
        <v>0</v>
      </c>
      <c r="AA106" s="110">
        <v>0</v>
      </c>
      <c r="AB106" s="110">
        <v>0</v>
      </c>
      <c r="AC106" s="110">
        <v>0</v>
      </c>
      <c r="AD106" s="110">
        <v>0</v>
      </c>
      <c r="AE106" s="110">
        <v>0</v>
      </c>
      <c r="AF106" s="110">
        <v>0</v>
      </c>
      <c r="AG106" s="110">
        <v>0</v>
      </c>
      <c r="AH106" s="110">
        <v>0</v>
      </c>
      <c r="AI106" s="110">
        <v>0</v>
      </c>
      <c r="AJ106" s="110">
        <v>0</v>
      </c>
      <c r="AK106" s="110">
        <v>0</v>
      </c>
      <c r="AL106" s="110">
        <v>0</v>
      </c>
      <c r="AM106" s="110">
        <v>0</v>
      </c>
      <c r="AN106" s="110">
        <v>0</v>
      </c>
      <c r="AO106" s="110">
        <v>0</v>
      </c>
      <c r="AP106" s="110">
        <v>0</v>
      </c>
      <c r="AQ106" s="110">
        <v>0</v>
      </c>
      <c r="AR106" s="110">
        <v>0</v>
      </c>
      <c r="AS106" s="110">
        <v>0</v>
      </c>
      <c r="AT106" s="110">
        <v>0</v>
      </c>
      <c r="AU106" s="110">
        <v>0</v>
      </c>
      <c r="AV106" s="110">
        <v>0</v>
      </c>
      <c r="AW106" s="110">
        <v>0</v>
      </c>
      <c r="AX106" s="110">
        <v>0</v>
      </c>
      <c r="AY106" s="110">
        <v>0</v>
      </c>
    </row>
    <row r="107" spans="1:52" x14ac:dyDescent="0.2">
      <c r="A107" s="113"/>
      <c r="B107" s="133">
        <v>8</v>
      </c>
      <c r="C107" s="110">
        <v>0</v>
      </c>
      <c r="D107" s="110">
        <v>0</v>
      </c>
      <c r="E107" s="110">
        <v>0</v>
      </c>
      <c r="F107" s="110">
        <v>0</v>
      </c>
      <c r="G107" s="110">
        <v>0</v>
      </c>
      <c r="H107" s="110">
        <v>0</v>
      </c>
      <c r="I107" s="110">
        <v>0</v>
      </c>
      <c r="J107" s="110">
        <v>0</v>
      </c>
      <c r="K107" s="110">
        <v>0</v>
      </c>
      <c r="L107" s="110">
        <v>0</v>
      </c>
      <c r="M107" s="110">
        <v>0</v>
      </c>
      <c r="N107" s="110">
        <v>0</v>
      </c>
      <c r="O107" s="110">
        <v>0</v>
      </c>
      <c r="P107" s="110">
        <v>0</v>
      </c>
      <c r="Q107" s="110">
        <v>0</v>
      </c>
      <c r="R107" s="110">
        <v>0</v>
      </c>
      <c r="S107" s="110">
        <v>0</v>
      </c>
      <c r="T107" s="110">
        <v>0</v>
      </c>
      <c r="U107" s="110">
        <v>0</v>
      </c>
      <c r="V107" s="110">
        <v>0</v>
      </c>
      <c r="W107" s="110">
        <v>0</v>
      </c>
      <c r="X107" s="110">
        <v>0</v>
      </c>
      <c r="Y107" s="110">
        <v>0</v>
      </c>
      <c r="Z107" s="110">
        <v>0</v>
      </c>
      <c r="AA107" s="110">
        <v>0</v>
      </c>
      <c r="AB107" s="110">
        <v>0</v>
      </c>
      <c r="AC107" s="110">
        <v>0</v>
      </c>
      <c r="AD107" s="110">
        <v>0</v>
      </c>
      <c r="AE107" s="110">
        <v>0</v>
      </c>
      <c r="AF107" s="110">
        <v>0</v>
      </c>
      <c r="AG107" s="110">
        <v>0</v>
      </c>
      <c r="AH107" s="110">
        <v>0</v>
      </c>
      <c r="AI107" s="110">
        <v>0</v>
      </c>
      <c r="AJ107" s="110">
        <v>0</v>
      </c>
      <c r="AK107" s="110">
        <v>0</v>
      </c>
      <c r="AL107" s="110">
        <v>0</v>
      </c>
      <c r="AM107" s="110">
        <v>0</v>
      </c>
      <c r="AN107" s="110">
        <v>0</v>
      </c>
      <c r="AO107" s="110">
        <v>0</v>
      </c>
      <c r="AP107" s="110">
        <v>0</v>
      </c>
      <c r="AQ107" s="110">
        <v>0</v>
      </c>
      <c r="AR107" s="110">
        <v>0</v>
      </c>
      <c r="AS107" s="110">
        <v>0</v>
      </c>
      <c r="AT107" s="110">
        <v>0</v>
      </c>
      <c r="AU107" s="110">
        <v>0</v>
      </c>
      <c r="AV107" s="110">
        <v>0</v>
      </c>
      <c r="AW107" s="110">
        <v>0</v>
      </c>
      <c r="AX107" s="110">
        <v>0</v>
      </c>
      <c r="AY107" s="110">
        <v>0</v>
      </c>
    </row>
    <row r="108" spans="1:52" x14ac:dyDescent="0.2">
      <c r="A108" s="131"/>
      <c r="B108" s="135" t="s">
        <v>296</v>
      </c>
      <c r="C108" s="117">
        <v>0</v>
      </c>
      <c r="D108" s="128">
        <v>0</v>
      </c>
      <c r="E108" s="128">
        <v>0</v>
      </c>
      <c r="F108" s="128">
        <v>0</v>
      </c>
      <c r="G108" s="128">
        <v>0</v>
      </c>
      <c r="H108" s="128">
        <v>0</v>
      </c>
      <c r="I108" s="128">
        <v>0</v>
      </c>
      <c r="J108" s="128">
        <v>0</v>
      </c>
      <c r="K108" s="128">
        <v>0</v>
      </c>
      <c r="L108" s="128">
        <v>0</v>
      </c>
      <c r="M108" s="128">
        <v>0</v>
      </c>
      <c r="N108" s="128">
        <v>0</v>
      </c>
      <c r="O108" s="128">
        <v>0</v>
      </c>
      <c r="P108" s="128">
        <v>0</v>
      </c>
      <c r="Q108" s="128">
        <v>0</v>
      </c>
      <c r="R108" s="128">
        <v>0</v>
      </c>
      <c r="S108" s="128">
        <v>0</v>
      </c>
      <c r="T108" s="128">
        <v>0</v>
      </c>
      <c r="U108" s="128">
        <v>0</v>
      </c>
      <c r="V108" s="128">
        <v>0</v>
      </c>
      <c r="W108" s="128">
        <v>0</v>
      </c>
      <c r="X108" s="128">
        <v>0</v>
      </c>
      <c r="Y108" s="128">
        <v>0</v>
      </c>
      <c r="Z108" s="128">
        <v>0</v>
      </c>
      <c r="AA108" s="128">
        <v>0</v>
      </c>
      <c r="AB108" s="128">
        <v>0</v>
      </c>
      <c r="AC108" s="128">
        <v>0</v>
      </c>
      <c r="AD108" s="128">
        <v>0</v>
      </c>
      <c r="AE108" s="128">
        <v>0</v>
      </c>
      <c r="AF108" s="128">
        <v>0</v>
      </c>
      <c r="AG108" s="128">
        <v>0</v>
      </c>
      <c r="AH108" s="128">
        <v>0</v>
      </c>
      <c r="AI108" s="128">
        <v>0</v>
      </c>
      <c r="AJ108" s="128">
        <v>0</v>
      </c>
      <c r="AK108" s="128">
        <v>0</v>
      </c>
      <c r="AL108" s="128">
        <v>0</v>
      </c>
      <c r="AM108" s="128">
        <v>0</v>
      </c>
      <c r="AN108" s="128">
        <v>0</v>
      </c>
      <c r="AO108" s="128">
        <v>0</v>
      </c>
      <c r="AP108" s="128">
        <v>0</v>
      </c>
      <c r="AQ108" s="128">
        <v>0</v>
      </c>
      <c r="AR108" s="128">
        <v>0</v>
      </c>
      <c r="AS108" s="128">
        <v>0</v>
      </c>
      <c r="AT108" s="128">
        <v>0</v>
      </c>
      <c r="AU108" s="128">
        <v>0</v>
      </c>
      <c r="AV108" s="128">
        <v>0</v>
      </c>
      <c r="AW108" s="128">
        <v>0</v>
      </c>
      <c r="AX108" s="128">
        <v>0</v>
      </c>
      <c r="AY108" s="128">
        <v>0</v>
      </c>
      <c r="AZ108" s="111">
        <f>SUM($D108:$AY108)</f>
        <v>0</v>
      </c>
    </row>
    <row r="109" spans="1:52" x14ac:dyDescent="0.2">
      <c r="A109" s="134" t="s">
        <v>134</v>
      </c>
      <c r="B109" s="122">
        <v>1</v>
      </c>
      <c r="C109" s="110">
        <v>3870.6216703605901</v>
      </c>
      <c r="D109" s="110">
        <v>3825.6028898556447</v>
      </c>
      <c r="E109" s="110">
        <v>3118.1949860440891</v>
      </c>
      <c r="F109" s="110">
        <v>2426.8986792779433</v>
      </c>
      <c r="G109" s="110">
        <v>1816.1097292586642</v>
      </c>
      <c r="H109" s="110">
        <v>1329.5440106282679</v>
      </c>
      <c r="I109" s="110">
        <v>1211.3189362102009</v>
      </c>
      <c r="J109" s="110">
        <v>1343.1627335463149</v>
      </c>
      <c r="K109" s="110">
        <v>1241.6064477173752</v>
      </c>
      <c r="L109" s="110">
        <v>1021.9820369840975</v>
      </c>
      <c r="M109" s="110">
        <v>1034.9035571951476</v>
      </c>
      <c r="N109" s="110">
        <v>1038.8850005880156</v>
      </c>
      <c r="O109" s="110">
        <v>943.85820834178674</v>
      </c>
      <c r="P109" s="110">
        <v>685.79932917499423</v>
      </c>
      <c r="Q109" s="110">
        <v>832.29640799393042</v>
      </c>
      <c r="R109" s="110">
        <v>921.00371758429515</v>
      </c>
      <c r="S109" s="110">
        <v>930.23149607241169</v>
      </c>
      <c r="T109" s="110">
        <v>989.4883501304862</v>
      </c>
      <c r="U109" s="110">
        <v>1030.8766858785852</v>
      </c>
      <c r="V109" s="110">
        <v>911.92423922212799</v>
      </c>
      <c r="W109" s="110">
        <v>1119.2529188697654</v>
      </c>
      <c r="X109" s="110">
        <v>936.76580943533918</v>
      </c>
      <c r="Y109" s="110">
        <v>982.39393622601244</v>
      </c>
      <c r="Z109" s="110">
        <v>1157.017693842495</v>
      </c>
      <c r="AA109" s="110">
        <v>957.19708600169986</v>
      </c>
      <c r="AB109" s="110">
        <v>1086.6536058822476</v>
      </c>
      <c r="AC109" s="110">
        <v>1075.3929553201133</v>
      </c>
      <c r="AD109" s="110">
        <v>926.83347396964666</v>
      </c>
      <c r="AE109" s="110">
        <v>795.23944950900886</v>
      </c>
      <c r="AF109" s="110">
        <v>1067.4277448223409</v>
      </c>
      <c r="AG109" s="110">
        <v>783.09522525584555</v>
      </c>
      <c r="AH109" s="110">
        <v>962.86901211872009</v>
      </c>
      <c r="AI109" s="110">
        <v>726.91278214183762</v>
      </c>
      <c r="AJ109" s="110">
        <v>564.84275551609403</v>
      </c>
      <c r="AK109" s="110">
        <v>548.70518323531826</v>
      </c>
      <c r="AL109" s="110">
        <v>630.5469585552363</v>
      </c>
      <c r="AM109" s="110">
        <v>528.91928900824587</v>
      </c>
      <c r="AN109" s="110">
        <v>735.96478420022265</v>
      </c>
      <c r="AO109" s="110">
        <v>713.94286775098817</v>
      </c>
      <c r="AP109" s="110">
        <v>876.31552284536212</v>
      </c>
      <c r="AQ109" s="110">
        <v>778.55611768876111</v>
      </c>
      <c r="AR109" s="110">
        <v>1077.6013456504515</v>
      </c>
      <c r="AS109" s="110">
        <v>1087.4609558960331</v>
      </c>
      <c r="AT109" s="110">
        <v>935.98992265414472</v>
      </c>
      <c r="AU109" s="110">
        <v>660.92168912601494</v>
      </c>
      <c r="AV109" s="110">
        <v>886.28465167188222</v>
      </c>
      <c r="AW109" s="110">
        <v>813.98208599083387</v>
      </c>
      <c r="AX109" s="110">
        <v>827.74607777280244</v>
      </c>
      <c r="AY109" s="110">
        <v>604.04983847082872</v>
      </c>
    </row>
    <row r="110" spans="1:52" x14ac:dyDescent="0.2">
      <c r="A110" s="113"/>
      <c r="B110" s="122">
        <v>2</v>
      </c>
      <c r="C110" s="110">
        <v>3922.3641773933441</v>
      </c>
      <c r="D110" s="110">
        <v>3870.6216703605901</v>
      </c>
      <c r="E110" s="110">
        <v>3825.6028898556447</v>
      </c>
      <c r="F110" s="110">
        <v>3118.1949860440891</v>
      </c>
      <c r="G110" s="110">
        <v>2426.8986792779433</v>
      </c>
      <c r="H110" s="110">
        <v>1816.1097292586642</v>
      </c>
      <c r="I110" s="110">
        <v>1329.5440106282679</v>
      </c>
      <c r="J110" s="110">
        <v>1211.3189362102009</v>
      </c>
      <c r="K110" s="110">
        <v>1343.1627335463149</v>
      </c>
      <c r="L110" s="110">
        <v>1241.6064477173752</v>
      </c>
      <c r="M110" s="110">
        <v>1021.9820369840975</v>
      </c>
      <c r="N110" s="110">
        <v>1034.9035571951476</v>
      </c>
      <c r="O110" s="110">
        <v>1038.8850005880156</v>
      </c>
      <c r="P110" s="110">
        <v>943.85820834178674</v>
      </c>
      <c r="Q110" s="110">
        <v>685.79932917499423</v>
      </c>
      <c r="R110" s="110">
        <v>832.29640799393042</v>
      </c>
      <c r="S110" s="110">
        <v>921.00371758429515</v>
      </c>
      <c r="T110" s="110">
        <v>930.23149607241169</v>
      </c>
      <c r="U110" s="110">
        <v>989.4883501304862</v>
      </c>
      <c r="V110" s="110">
        <v>1030.8766858785852</v>
      </c>
      <c r="W110" s="110">
        <v>911.92423922212799</v>
      </c>
      <c r="X110" s="110">
        <v>1119.2529188697654</v>
      </c>
      <c r="Y110" s="110">
        <v>936.76580943533918</v>
      </c>
      <c r="Z110" s="110">
        <v>982.39393622601244</v>
      </c>
      <c r="AA110" s="110">
        <v>1157.017693842495</v>
      </c>
      <c r="AB110" s="110">
        <v>957.19708600169986</v>
      </c>
      <c r="AC110" s="110">
        <v>1086.6536058822476</v>
      </c>
      <c r="AD110" s="110">
        <v>1075.3929553201133</v>
      </c>
      <c r="AE110" s="110">
        <v>926.83347396964666</v>
      </c>
      <c r="AF110" s="110">
        <v>795.23944950900886</v>
      </c>
      <c r="AG110" s="110">
        <v>1067.4277448223409</v>
      </c>
      <c r="AH110" s="110">
        <v>783.09522525584555</v>
      </c>
      <c r="AI110" s="110">
        <v>962.86901211872009</v>
      </c>
      <c r="AJ110" s="110">
        <v>726.91278214183762</v>
      </c>
      <c r="AK110" s="110">
        <v>564.84275551609403</v>
      </c>
      <c r="AL110" s="110">
        <v>548.70518323531826</v>
      </c>
      <c r="AM110" s="110">
        <v>630.5469585552363</v>
      </c>
      <c r="AN110" s="110">
        <v>528.91928900824587</v>
      </c>
      <c r="AO110" s="110">
        <v>735.96478420022265</v>
      </c>
      <c r="AP110" s="110">
        <v>713.94286775098817</v>
      </c>
      <c r="AQ110" s="110">
        <v>876.31552284536212</v>
      </c>
      <c r="AR110" s="110">
        <v>778.55611768876111</v>
      </c>
      <c r="AS110" s="110">
        <v>1077.6013456504515</v>
      </c>
      <c r="AT110" s="110">
        <v>1087.4609558960331</v>
      </c>
      <c r="AU110" s="110">
        <v>935.98992265414472</v>
      </c>
      <c r="AV110" s="110">
        <v>660.92168912601494</v>
      </c>
      <c r="AW110" s="110">
        <v>886.28465167188222</v>
      </c>
      <c r="AX110" s="110">
        <v>813.98208599083387</v>
      </c>
      <c r="AY110" s="110">
        <v>827.74607777280244</v>
      </c>
    </row>
    <row r="111" spans="1:52" x14ac:dyDescent="0.2">
      <c r="A111" s="113"/>
      <c r="B111" s="122">
        <v>3</v>
      </c>
      <c r="C111" s="110">
        <v>3940.8892128672069</v>
      </c>
      <c r="D111" s="110">
        <v>3922.3641773933441</v>
      </c>
      <c r="E111" s="110">
        <v>3870.6216703605901</v>
      </c>
      <c r="F111" s="110">
        <v>3825.6028898556447</v>
      </c>
      <c r="G111" s="110">
        <v>3118.1949860440891</v>
      </c>
      <c r="H111" s="110">
        <v>2426.8986792779433</v>
      </c>
      <c r="I111" s="110">
        <v>1816.1097292586642</v>
      </c>
      <c r="J111" s="110">
        <v>1329.5440106282679</v>
      </c>
      <c r="K111" s="110">
        <v>1211.3189362102009</v>
      </c>
      <c r="L111" s="110">
        <v>1343.1627335463149</v>
      </c>
      <c r="M111" s="110">
        <v>1241.6064477173752</v>
      </c>
      <c r="N111" s="110">
        <v>1021.9820369840975</v>
      </c>
      <c r="O111" s="110">
        <v>1034.9035571951476</v>
      </c>
      <c r="P111" s="110">
        <v>1038.8850005880156</v>
      </c>
      <c r="Q111" s="110">
        <v>943.85820834178674</v>
      </c>
      <c r="R111" s="110">
        <v>685.79932917499423</v>
      </c>
      <c r="S111" s="110">
        <v>832.29640799393042</v>
      </c>
      <c r="T111" s="110">
        <v>921.00371758429515</v>
      </c>
      <c r="U111" s="110">
        <v>930.23149607241169</v>
      </c>
      <c r="V111" s="110">
        <v>989.4883501304862</v>
      </c>
      <c r="W111" s="110">
        <v>1030.8766858785852</v>
      </c>
      <c r="X111" s="110">
        <v>911.92423922212799</v>
      </c>
      <c r="Y111" s="110">
        <v>1119.2529188697654</v>
      </c>
      <c r="Z111" s="110">
        <v>936.76580943533918</v>
      </c>
      <c r="AA111" s="110">
        <v>982.39393622601244</v>
      </c>
      <c r="AB111" s="110">
        <v>1157.017693842495</v>
      </c>
      <c r="AC111" s="110">
        <v>957.19708600169986</v>
      </c>
      <c r="AD111" s="110">
        <v>1086.6536058822476</v>
      </c>
      <c r="AE111" s="110">
        <v>1075.3929553201133</v>
      </c>
      <c r="AF111" s="110">
        <v>926.83347396964666</v>
      </c>
      <c r="AG111" s="110">
        <v>795.23944950900886</v>
      </c>
      <c r="AH111" s="110">
        <v>1067.4277448223409</v>
      </c>
      <c r="AI111" s="110">
        <v>783.09522525584555</v>
      </c>
      <c r="AJ111" s="110">
        <v>962.86901211872009</v>
      </c>
      <c r="AK111" s="110">
        <v>726.91278214183762</v>
      </c>
      <c r="AL111" s="110">
        <v>564.84275551609403</v>
      </c>
      <c r="AM111" s="110">
        <v>548.70518323531826</v>
      </c>
      <c r="AN111" s="110">
        <v>630.5469585552363</v>
      </c>
      <c r="AO111" s="110">
        <v>528.91928900824587</v>
      </c>
      <c r="AP111" s="110">
        <v>735.96478420022265</v>
      </c>
      <c r="AQ111" s="110">
        <v>713.94286775098817</v>
      </c>
      <c r="AR111" s="110">
        <v>876.31552284536212</v>
      </c>
      <c r="AS111" s="110">
        <v>778.55611768876111</v>
      </c>
      <c r="AT111" s="110">
        <v>1077.6013456504515</v>
      </c>
      <c r="AU111" s="110">
        <v>1087.4609558960331</v>
      </c>
      <c r="AV111" s="110">
        <v>935.98992265414472</v>
      </c>
      <c r="AW111" s="110">
        <v>660.92168912601494</v>
      </c>
      <c r="AX111" s="110">
        <v>886.28465167188222</v>
      </c>
      <c r="AY111" s="110">
        <v>813.98208599083387</v>
      </c>
    </row>
    <row r="112" spans="1:52" x14ac:dyDescent="0.2">
      <c r="A112" s="113"/>
      <c r="B112" s="123">
        <v>4</v>
      </c>
      <c r="C112" s="110">
        <v>3965.9011635027036</v>
      </c>
      <c r="D112" s="110">
        <v>3940.8892128672069</v>
      </c>
      <c r="E112" s="110">
        <v>3922.3641773933441</v>
      </c>
      <c r="F112" s="110">
        <v>3870.6216703605901</v>
      </c>
      <c r="G112" s="110">
        <v>3825.6028898556447</v>
      </c>
      <c r="H112" s="110">
        <v>3118.1949860440891</v>
      </c>
      <c r="I112" s="110">
        <v>2426.8986792779433</v>
      </c>
      <c r="J112" s="110">
        <v>1816.1097292586642</v>
      </c>
      <c r="K112" s="110">
        <v>1329.5440106282679</v>
      </c>
      <c r="L112" s="110">
        <v>1211.3189362102009</v>
      </c>
      <c r="M112" s="110">
        <v>1343.1627335463149</v>
      </c>
      <c r="N112" s="110">
        <v>1241.6064477173752</v>
      </c>
      <c r="O112" s="110">
        <v>1021.9820369840975</v>
      </c>
      <c r="P112" s="110">
        <v>1034.9035571951476</v>
      </c>
      <c r="Q112" s="110">
        <v>1038.8850005880156</v>
      </c>
      <c r="R112" s="110">
        <v>943.85820834178674</v>
      </c>
      <c r="S112" s="110">
        <v>685.79932917499423</v>
      </c>
      <c r="T112" s="110">
        <v>832.29640799393042</v>
      </c>
      <c r="U112" s="110">
        <v>921.00371758429515</v>
      </c>
      <c r="V112" s="110">
        <v>930.23149607241169</v>
      </c>
      <c r="W112" s="110">
        <v>989.4883501304862</v>
      </c>
      <c r="X112" s="110">
        <v>1030.8766858785852</v>
      </c>
      <c r="Y112" s="110">
        <v>911.92423922212799</v>
      </c>
      <c r="Z112" s="110">
        <v>1119.2529188697654</v>
      </c>
      <c r="AA112" s="110">
        <v>936.76580943533918</v>
      </c>
      <c r="AB112" s="110">
        <v>982.39393622601244</v>
      </c>
      <c r="AC112" s="110">
        <v>1157.017693842495</v>
      </c>
      <c r="AD112" s="110">
        <v>957.19708600169986</v>
      </c>
      <c r="AE112" s="110">
        <v>1086.6536058822476</v>
      </c>
      <c r="AF112" s="110">
        <v>1075.3929553201133</v>
      </c>
      <c r="AG112" s="110">
        <v>926.83347396964666</v>
      </c>
      <c r="AH112" s="110">
        <v>795.23944950900886</v>
      </c>
      <c r="AI112" s="110">
        <v>1067.4277448223409</v>
      </c>
      <c r="AJ112" s="110">
        <v>783.09522525584555</v>
      </c>
      <c r="AK112" s="110">
        <v>962.86901211872009</v>
      </c>
      <c r="AL112" s="110">
        <v>726.91278214183762</v>
      </c>
      <c r="AM112" s="110">
        <v>564.84275551609403</v>
      </c>
      <c r="AN112" s="110">
        <v>548.70518323531826</v>
      </c>
      <c r="AO112" s="110">
        <v>630.5469585552363</v>
      </c>
      <c r="AP112" s="110">
        <v>528.91928900824587</v>
      </c>
      <c r="AQ112" s="110">
        <v>735.96478420022265</v>
      </c>
      <c r="AR112" s="110">
        <v>713.94286775098817</v>
      </c>
      <c r="AS112" s="110">
        <v>876.31552284536212</v>
      </c>
      <c r="AT112" s="110">
        <v>778.55611768876111</v>
      </c>
      <c r="AU112" s="110">
        <v>1077.6013456504515</v>
      </c>
      <c r="AV112" s="110">
        <v>1087.4609558960331</v>
      </c>
      <c r="AW112" s="110">
        <v>935.98992265414472</v>
      </c>
      <c r="AX112" s="110">
        <v>660.92168912601494</v>
      </c>
      <c r="AY112" s="110">
        <v>886.28465167188222</v>
      </c>
    </row>
    <row r="113" spans="1:52" x14ac:dyDescent="0.2">
      <c r="A113" s="113"/>
      <c r="B113" s="123">
        <v>5</v>
      </c>
      <c r="C113" s="110">
        <v>4002.4297927405478</v>
      </c>
      <c r="D113" s="110">
        <v>3965.9011635027036</v>
      </c>
      <c r="E113" s="110">
        <v>3940.8892128672069</v>
      </c>
      <c r="F113" s="110">
        <v>3922.3641773933441</v>
      </c>
      <c r="G113" s="110">
        <v>3870.6216703605901</v>
      </c>
      <c r="H113" s="110">
        <v>3825.6028898556447</v>
      </c>
      <c r="I113" s="110">
        <v>3118.1949860440891</v>
      </c>
      <c r="J113" s="110">
        <v>2426.8986792779433</v>
      </c>
      <c r="K113" s="110">
        <v>1816.1097292586642</v>
      </c>
      <c r="L113" s="110">
        <v>1329.5440106282679</v>
      </c>
      <c r="M113" s="110">
        <v>1211.3189362102009</v>
      </c>
      <c r="N113" s="110">
        <v>1343.1627335463149</v>
      </c>
      <c r="O113" s="110">
        <v>1241.6064477173752</v>
      </c>
      <c r="P113" s="110">
        <v>1021.9820369840975</v>
      </c>
      <c r="Q113" s="110">
        <v>1034.9035571951476</v>
      </c>
      <c r="R113" s="110">
        <v>1038.8850005880156</v>
      </c>
      <c r="S113" s="110">
        <v>943.85820834178674</v>
      </c>
      <c r="T113" s="110">
        <v>685.79932917499423</v>
      </c>
      <c r="U113" s="110">
        <v>832.29640799393042</v>
      </c>
      <c r="V113" s="110">
        <v>921.00371758429515</v>
      </c>
      <c r="W113" s="110">
        <v>930.23149607241169</v>
      </c>
      <c r="X113" s="110">
        <v>989.4883501304862</v>
      </c>
      <c r="Y113" s="110">
        <v>1030.8766858785852</v>
      </c>
      <c r="Z113" s="110">
        <v>911.92423922212799</v>
      </c>
      <c r="AA113" s="110">
        <v>1119.2529188697654</v>
      </c>
      <c r="AB113" s="110">
        <v>936.76580943533918</v>
      </c>
      <c r="AC113" s="110">
        <v>982.39393622601244</v>
      </c>
      <c r="AD113" s="110">
        <v>1157.017693842495</v>
      </c>
      <c r="AE113" s="110">
        <v>957.19708600169986</v>
      </c>
      <c r="AF113" s="110">
        <v>1086.6536058822476</v>
      </c>
      <c r="AG113" s="110">
        <v>1075.3929553201133</v>
      </c>
      <c r="AH113" s="110">
        <v>926.83347396964666</v>
      </c>
      <c r="AI113" s="110">
        <v>795.23944950900886</v>
      </c>
      <c r="AJ113" s="110">
        <v>1067.4277448223409</v>
      </c>
      <c r="AK113" s="110">
        <v>783.09522525584555</v>
      </c>
      <c r="AL113" s="110">
        <v>962.86901211872009</v>
      </c>
      <c r="AM113" s="110">
        <v>726.91278214183762</v>
      </c>
      <c r="AN113" s="110">
        <v>564.84275551609403</v>
      </c>
      <c r="AO113" s="110">
        <v>548.70518323531826</v>
      </c>
      <c r="AP113" s="110">
        <v>630.5469585552363</v>
      </c>
      <c r="AQ113" s="110">
        <v>528.91928900824587</v>
      </c>
      <c r="AR113" s="110">
        <v>735.96478420022265</v>
      </c>
      <c r="AS113" s="110">
        <v>713.94286775098817</v>
      </c>
      <c r="AT113" s="110">
        <v>876.31552284536212</v>
      </c>
      <c r="AU113" s="110">
        <v>778.55611768876111</v>
      </c>
      <c r="AV113" s="110">
        <v>1077.6013456504515</v>
      </c>
      <c r="AW113" s="110">
        <v>1087.4609558960331</v>
      </c>
      <c r="AX113" s="110">
        <v>935.98992265414472</v>
      </c>
      <c r="AY113" s="110">
        <v>660.92168912601494</v>
      </c>
    </row>
    <row r="114" spans="1:52" x14ac:dyDescent="0.2">
      <c r="A114" s="113"/>
      <c r="B114" s="123">
        <v>6</v>
      </c>
      <c r="C114" s="110">
        <v>4027.7010177996294</v>
      </c>
      <c r="D114" s="110">
        <v>4002.4297927405478</v>
      </c>
      <c r="E114" s="110">
        <v>3965.9011635027036</v>
      </c>
      <c r="F114" s="110">
        <v>3940.8892128672069</v>
      </c>
      <c r="G114" s="110">
        <v>3922.3641773933441</v>
      </c>
      <c r="H114" s="110">
        <v>3870.6216703605901</v>
      </c>
      <c r="I114" s="110">
        <v>3825.6028898556447</v>
      </c>
      <c r="J114" s="110">
        <v>3118.1949860440891</v>
      </c>
      <c r="K114" s="110">
        <v>2426.8986792779433</v>
      </c>
      <c r="L114" s="110">
        <v>1816.1097292586642</v>
      </c>
      <c r="M114" s="110">
        <v>1329.5440106282679</v>
      </c>
      <c r="N114" s="110">
        <v>1211.3189362102009</v>
      </c>
      <c r="O114" s="110">
        <v>1343.1627335463149</v>
      </c>
      <c r="P114" s="110">
        <v>1241.6064477173752</v>
      </c>
      <c r="Q114" s="110">
        <v>1021.9820369840975</v>
      </c>
      <c r="R114" s="110">
        <v>1034.9035571951476</v>
      </c>
      <c r="S114" s="110">
        <v>1038.8850005880156</v>
      </c>
      <c r="T114" s="110">
        <v>943.85820834178674</v>
      </c>
      <c r="U114" s="110">
        <v>685.79932917499423</v>
      </c>
      <c r="V114" s="110">
        <v>832.29640799393042</v>
      </c>
      <c r="W114" s="110">
        <v>921.00371758429515</v>
      </c>
      <c r="X114" s="110">
        <v>930.23149607241169</v>
      </c>
      <c r="Y114" s="110">
        <v>989.4883501304862</v>
      </c>
      <c r="Z114" s="110">
        <v>1030.8766858785852</v>
      </c>
      <c r="AA114" s="110">
        <v>911.92423922212799</v>
      </c>
      <c r="AB114" s="110">
        <v>1119.2529188697654</v>
      </c>
      <c r="AC114" s="110">
        <v>936.76580943533918</v>
      </c>
      <c r="AD114" s="110">
        <v>982.39393622601244</v>
      </c>
      <c r="AE114" s="110">
        <v>1157.017693842495</v>
      </c>
      <c r="AF114" s="110">
        <v>957.19708600169986</v>
      </c>
      <c r="AG114" s="110">
        <v>1086.6536058822476</v>
      </c>
      <c r="AH114" s="110">
        <v>1075.3929553201133</v>
      </c>
      <c r="AI114" s="110">
        <v>926.83347396964666</v>
      </c>
      <c r="AJ114" s="110">
        <v>795.23944950900886</v>
      </c>
      <c r="AK114" s="110">
        <v>1067.4277448223409</v>
      </c>
      <c r="AL114" s="110">
        <v>783.09522525584555</v>
      </c>
      <c r="AM114" s="110">
        <v>962.86901211872009</v>
      </c>
      <c r="AN114" s="110">
        <v>726.91278214183762</v>
      </c>
      <c r="AO114" s="110">
        <v>564.84275551609403</v>
      </c>
      <c r="AP114" s="110">
        <v>548.70518323531826</v>
      </c>
      <c r="AQ114" s="110">
        <v>630.5469585552363</v>
      </c>
      <c r="AR114" s="110">
        <v>528.91928900824587</v>
      </c>
      <c r="AS114" s="110">
        <v>735.96478420022265</v>
      </c>
      <c r="AT114" s="110">
        <v>713.94286775098817</v>
      </c>
      <c r="AU114" s="110">
        <v>876.31552284536212</v>
      </c>
      <c r="AV114" s="110">
        <v>778.55611768876111</v>
      </c>
      <c r="AW114" s="110">
        <v>1077.6013456504515</v>
      </c>
      <c r="AX114" s="110">
        <v>1087.4609558960331</v>
      </c>
      <c r="AY114" s="110">
        <v>935.98992265414472</v>
      </c>
    </row>
    <row r="115" spans="1:52" x14ac:dyDescent="0.2">
      <c r="A115" s="113"/>
      <c r="B115" s="130">
        <v>7</v>
      </c>
      <c r="C115" s="110">
        <v>2178.8303474952045</v>
      </c>
      <c r="D115" s="110">
        <v>4027.7010177996294</v>
      </c>
      <c r="E115" s="110">
        <v>4002.4297927405478</v>
      </c>
      <c r="F115" s="110">
        <v>3965.9011635027036</v>
      </c>
      <c r="G115" s="110">
        <v>3940.8892128672069</v>
      </c>
      <c r="H115" s="110">
        <v>3922.3641773933441</v>
      </c>
      <c r="I115" s="110">
        <v>3870.6216703605901</v>
      </c>
      <c r="J115" s="110">
        <v>3825.6028898556447</v>
      </c>
      <c r="K115" s="110">
        <v>3118.1949860440891</v>
      </c>
      <c r="L115" s="110">
        <v>2426.8986792779433</v>
      </c>
      <c r="M115" s="110">
        <v>1816.1097292586642</v>
      </c>
      <c r="N115" s="110">
        <v>1329.5440106282679</v>
      </c>
      <c r="O115" s="110">
        <v>1211.3189362102009</v>
      </c>
      <c r="P115" s="110">
        <v>1343.1627335463149</v>
      </c>
      <c r="Q115" s="110">
        <v>1241.6064477173752</v>
      </c>
      <c r="R115" s="110">
        <v>1021.9820369840975</v>
      </c>
      <c r="S115" s="110">
        <v>1034.9035571951476</v>
      </c>
      <c r="T115" s="110">
        <v>1038.8850005880156</v>
      </c>
      <c r="U115" s="110">
        <v>943.85820834178674</v>
      </c>
      <c r="V115" s="110">
        <v>685.79932917499423</v>
      </c>
      <c r="W115" s="110">
        <v>832.29640799393042</v>
      </c>
      <c r="X115" s="110">
        <v>921.00371758429515</v>
      </c>
      <c r="Y115" s="110">
        <v>930.23149607241169</v>
      </c>
      <c r="Z115" s="110">
        <v>989.4883501304862</v>
      </c>
      <c r="AA115" s="110">
        <v>1030.8766858785852</v>
      </c>
      <c r="AB115" s="110">
        <v>911.92423922212799</v>
      </c>
      <c r="AC115" s="110">
        <v>1119.2529188697654</v>
      </c>
      <c r="AD115" s="110">
        <v>936.76580943533918</v>
      </c>
      <c r="AE115" s="110">
        <v>982.39393622601244</v>
      </c>
      <c r="AF115" s="110">
        <v>1157.017693842495</v>
      </c>
      <c r="AG115" s="110">
        <v>957.19708600169986</v>
      </c>
      <c r="AH115" s="110">
        <v>1086.6536058822476</v>
      </c>
      <c r="AI115" s="110">
        <v>1075.3929553201133</v>
      </c>
      <c r="AJ115" s="110">
        <v>926.83347396964666</v>
      </c>
      <c r="AK115" s="110">
        <v>795.23944950900886</v>
      </c>
      <c r="AL115" s="110">
        <v>1067.4277448223409</v>
      </c>
      <c r="AM115" s="110">
        <v>783.09522525584555</v>
      </c>
      <c r="AN115" s="110">
        <v>962.86901211872009</v>
      </c>
      <c r="AO115" s="110">
        <v>726.91278214183762</v>
      </c>
      <c r="AP115" s="110">
        <v>564.84275551609403</v>
      </c>
      <c r="AQ115" s="110">
        <v>548.70518323531826</v>
      </c>
      <c r="AR115" s="110">
        <v>630.5469585552363</v>
      </c>
      <c r="AS115" s="110">
        <v>528.91928900824587</v>
      </c>
      <c r="AT115" s="110">
        <v>735.96478420022265</v>
      </c>
      <c r="AU115" s="110">
        <v>713.94286775098817</v>
      </c>
      <c r="AV115" s="110">
        <v>876.31552284536212</v>
      </c>
      <c r="AW115" s="110">
        <v>778.55611768876111</v>
      </c>
      <c r="AX115" s="110">
        <v>1077.6013456504515</v>
      </c>
      <c r="AY115" s="110">
        <v>1087.4609558960331</v>
      </c>
    </row>
    <row r="116" spans="1:52" x14ac:dyDescent="0.2">
      <c r="A116" s="113"/>
      <c r="B116" s="130">
        <v>8</v>
      </c>
      <c r="C116" s="110">
        <v>0</v>
      </c>
      <c r="D116" s="110">
        <v>940.04163321498572</v>
      </c>
      <c r="E116" s="110">
        <v>4027.7010177996294</v>
      </c>
      <c r="F116" s="110">
        <v>4002.4297927405478</v>
      </c>
      <c r="G116" s="110">
        <v>3965.9011635027036</v>
      </c>
      <c r="H116" s="110">
        <v>3940.8892128672069</v>
      </c>
      <c r="I116" s="110">
        <v>3922.3641773933441</v>
      </c>
      <c r="J116" s="110">
        <v>3870.6216703605901</v>
      </c>
      <c r="K116" s="110">
        <v>3825.6028898556447</v>
      </c>
      <c r="L116" s="110">
        <v>3118.1949860440891</v>
      </c>
      <c r="M116" s="110">
        <v>2426.8986792779433</v>
      </c>
      <c r="N116" s="110">
        <v>1816.1097292586642</v>
      </c>
      <c r="O116" s="110">
        <v>1329.5440106282679</v>
      </c>
      <c r="P116" s="110">
        <v>1211.3189362102009</v>
      </c>
      <c r="Q116" s="110">
        <v>1343.1627335463149</v>
      </c>
      <c r="R116" s="110">
        <v>1241.6064477173752</v>
      </c>
      <c r="S116" s="110">
        <v>1021.9820369840975</v>
      </c>
      <c r="T116" s="110">
        <v>1034.9035571951476</v>
      </c>
      <c r="U116" s="110">
        <v>1038.8850005880156</v>
      </c>
      <c r="V116" s="110">
        <v>943.85820834178674</v>
      </c>
      <c r="W116" s="110">
        <v>685.79932917499423</v>
      </c>
      <c r="X116" s="110">
        <v>832.29640799393042</v>
      </c>
      <c r="Y116" s="110">
        <v>921.00371758429515</v>
      </c>
      <c r="Z116" s="110">
        <v>930.23149607241169</v>
      </c>
      <c r="AA116" s="110">
        <v>989.4883501304862</v>
      </c>
      <c r="AB116" s="110">
        <v>1030.8766858785852</v>
      </c>
      <c r="AC116" s="110">
        <v>911.92423922212799</v>
      </c>
      <c r="AD116" s="110">
        <v>1119.2529188697654</v>
      </c>
      <c r="AE116" s="110">
        <v>936.76580943533918</v>
      </c>
      <c r="AF116" s="110">
        <v>982.39393622601244</v>
      </c>
      <c r="AG116" s="110">
        <v>1157.017693842495</v>
      </c>
      <c r="AH116" s="110">
        <v>957.19708600169986</v>
      </c>
      <c r="AI116" s="110">
        <v>1086.6536058822476</v>
      </c>
      <c r="AJ116" s="110">
        <v>1075.3929553201133</v>
      </c>
      <c r="AK116" s="110">
        <v>926.83347396964666</v>
      </c>
      <c r="AL116" s="110">
        <v>795.23944950900886</v>
      </c>
      <c r="AM116" s="110">
        <v>1067.4277448223409</v>
      </c>
      <c r="AN116" s="110">
        <v>783.09522525584555</v>
      </c>
      <c r="AO116" s="110">
        <v>962.86901211872009</v>
      </c>
      <c r="AP116" s="110">
        <v>726.91278214183762</v>
      </c>
      <c r="AQ116" s="110">
        <v>564.84275551609403</v>
      </c>
      <c r="AR116" s="110">
        <v>548.70518323531826</v>
      </c>
      <c r="AS116" s="110">
        <v>630.5469585552363</v>
      </c>
      <c r="AT116" s="110">
        <v>528.91928900824587</v>
      </c>
      <c r="AU116" s="110">
        <v>735.96478420022265</v>
      </c>
      <c r="AV116" s="110">
        <v>713.94286775098817</v>
      </c>
      <c r="AW116" s="110">
        <v>876.31552284536212</v>
      </c>
      <c r="AX116" s="110">
        <v>778.55611768876111</v>
      </c>
      <c r="AY116" s="110">
        <v>1077.6013456504515</v>
      </c>
    </row>
    <row r="117" spans="1:52" x14ac:dyDescent="0.2">
      <c r="A117" s="113"/>
      <c r="B117" s="130">
        <v>9</v>
      </c>
      <c r="C117" s="110">
        <v>0</v>
      </c>
      <c r="D117" s="110">
        <v>0</v>
      </c>
      <c r="E117" s="110">
        <v>22.328258206788291</v>
      </c>
      <c r="F117" s="110">
        <v>1942.1998514781606</v>
      </c>
      <c r="G117" s="110">
        <v>4002.4297927405478</v>
      </c>
      <c r="H117" s="110">
        <v>3965.9011635027036</v>
      </c>
      <c r="I117" s="110">
        <v>3940.8892128672069</v>
      </c>
      <c r="J117" s="110">
        <v>3922.3641773933441</v>
      </c>
      <c r="K117" s="110">
        <v>3870.6216703605901</v>
      </c>
      <c r="L117" s="110">
        <v>3825.6028898556447</v>
      </c>
      <c r="M117" s="110">
        <v>3118.1949860440891</v>
      </c>
      <c r="N117" s="110">
        <v>2426.8986792779433</v>
      </c>
      <c r="O117" s="110">
        <v>1816.1097292586642</v>
      </c>
      <c r="P117" s="110">
        <v>1329.5440106282679</v>
      </c>
      <c r="Q117" s="110">
        <v>1211.3189362102009</v>
      </c>
      <c r="R117" s="110">
        <v>1343.1627335463149</v>
      </c>
      <c r="S117" s="110">
        <v>1241.6064477173752</v>
      </c>
      <c r="T117" s="110">
        <v>1021.9820369840975</v>
      </c>
      <c r="U117" s="110">
        <v>1034.9035571951476</v>
      </c>
      <c r="V117" s="110">
        <v>1038.8850005880156</v>
      </c>
      <c r="W117" s="110">
        <v>943.85820834178674</v>
      </c>
      <c r="X117" s="110">
        <v>685.79932917499423</v>
      </c>
      <c r="Y117" s="110">
        <v>832.29640799393042</v>
      </c>
      <c r="Z117" s="110">
        <v>921.00371758429515</v>
      </c>
      <c r="AA117" s="110">
        <v>930.23149607241169</v>
      </c>
      <c r="AB117" s="110">
        <v>989.4883501304862</v>
      </c>
      <c r="AC117" s="110">
        <v>1030.8766858785852</v>
      </c>
      <c r="AD117" s="110">
        <v>911.92423922212799</v>
      </c>
      <c r="AE117" s="110">
        <v>1119.2529188697654</v>
      </c>
      <c r="AF117" s="110">
        <v>936.76580943533918</v>
      </c>
      <c r="AG117" s="110">
        <v>982.39393622601244</v>
      </c>
      <c r="AH117" s="110">
        <v>1157.017693842495</v>
      </c>
      <c r="AI117" s="110">
        <v>957.19708600169986</v>
      </c>
      <c r="AJ117" s="110">
        <v>1086.6536058822476</v>
      </c>
      <c r="AK117" s="110">
        <v>1075.3929553201133</v>
      </c>
      <c r="AL117" s="110">
        <v>926.83347396964666</v>
      </c>
      <c r="AM117" s="110">
        <v>795.23944950900886</v>
      </c>
      <c r="AN117" s="110">
        <v>1067.4277448223409</v>
      </c>
      <c r="AO117" s="110">
        <v>783.09522525584555</v>
      </c>
      <c r="AP117" s="110">
        <v>962.86901211872009</v>
      </c>
      <c r="AQ117" s="110">
        <v>726.91278214183762</v>
      </c>
      <c r="AR117" s="110">
        <v>564.84275551609403</v>
      </c>
      <c r="AS117" s="110">
        <v>548.70518323531826</v>
      </c>
      <c r="AT117" s="110">
        <v>630.5469585552363</v>
      </c>
      <c r="AU117" s="110">
        <v>528.91928900824587</v>
      </c>
      <c r="AV117" s="110">
        <v>735.96478420022265</v>
      </c>
      <c r="AW117" s="110">
        <v>713.94286775098817</v>
      </c>
      <c r="AX117" s="110">
        <v>876.31552284536212</v>
      </c>
      <c r="AY117" s="110">
        <v>778.55611768876111</v>
      </c>
    </row>
    <row r="118" spans="1:52" x14ac:dyDescent="0.2">
      <c r="A118" s="113"/>
      <c r="B118" s="133">
        <v>10</v>
      </c>
      <c r="C118" s="110">
        <v>0</v>
      </c>
      <c r="D118" s="110">
        <v>0</v>
      </c>
      <c r="E118" s="110">
        <v>0</v>
      </c>
      <c r="F118" s="110">
        <v>0</v>
      </c>
      <c r="G118" s="110">
        <v>182.90895141280498</v>
      </c>
      <c r="H118" s="110">
        <v>2010.1207073085643</v>
      </c>
      <c r="I118" s="110">
        <v>3341.0099622872822</v>
      </c>
      <c r="J118" s="110">
        <v>3940.8892128672069</v>
      </c>
      <c r="K118" s="110">
        <v>3922.3641773933441</v>
      </c>
      <c r="L118" s="110">
        <v>3870.6216703605901</v>
      </c>
      <c r="M118" s="110">
        <v>3825.6028898556447</v>
      </c>
      <c r="N118" s="110">
        <v>3118.1949860440891</v>
      </c>
      <c r="O118" s="110">
        <v>2426.8986792779433</v>
      </c>
      <c r="P118" s="110">
        <v>1816.1097292586642</v>
      </c>
      <c r="Q118" s="110">
        <v>1329.5440106282679</v>
      </c>
      <c r="R118" s="110">
        <v>1211.3189362102009</v>
      </c>
      <c r="S118" s="110">
        <v>1343.1627335463149</v>
      </c>
      <c r="T118" s="110">
        <v>1241.6064477173752</v>
      </c>
      <c r="U118" s="110">
        <v>1021.9820369840975</v>
      </c>
      <c r="V118" s="110">
        <v>1034.9035571951476</v>
      </c>
      <c r="W118" s="110">
        <v>1038.8850005880156</v>
      </c>
      <c r="X118" s="110">
        <v>943.85820834178674</v>
      </c>
      <c r="Y118" s="110">
        <v>685.79932917499423</v>
      </c>
      <c r="Z118" s="110">
        <v>832.29640799393042</v>
      </c>
      <c r="AA118" s="110">
        <v>921.00371758429515</v>
      </c>
      <c r="AB118" s="110">
        <v>930.23149607241169</v>
      </c>
      <c r="AC118" s="110">
        <v>989.4883501304862</v>
      </c>
      <c r="AD118" s="110">
        <v>1030.8766858785852</v>
      </c>
      <c r="AE118" s="110">
        <v>911.92423922212799</v>
      </c>
      <c r="AF118" s="110">
        <v>1119.2529188697654</v>
      </c>
      <c r="AG118" s="110">
        <v>936.76580943533918</v>
      </c>
      <c r="AH118" s="110">
        <v>982.39393622601244</v>
      </c>
      <c r="AI118" s="110">
        <v>1157.017693842495</v>
      </c>
      <c r="AJ118" s="110">
        <v>957.19708600169986</v>
      </c>
      <c r="AK118" s="110">
        <v>1086.6536058822476</v>
      </c>
      <c r="AL118" s="110">
        <v>1075.3929553201133</v>
      </c>
      <c r="AM118" s="110">
        <v>926.83347396964666</v>
      </c>
      <c r="AN118" s="110">
        <v>795.23944950900886</v>
      </c>
      <c r="AO118" s="110">
        <v>1067.4277448223409</v>
      </c>
      <c r="AP118" s="110">
        <v>783.09522525584555</v>
      </c>
      <c r="AQ118" s="110">
        <v>962.86901211872009</v>
      </c>
      <c r="AR118" s="110">
        <v>726.91278214183762</v>
      </c>
      <c r="AS118" s="110">
        <v>564.84275551609403</v>
      </c>
      <c r="AT118" s="110">
        <v>548.70518323531826</v>
      </c>
      <c r="AU118" s="110">
        <v>630.5469585552363</v>
      </c>
      <c r="AV118" s="110">
        <v>528.91928900824587</v>
      </c>
      <c r="AW118" s="110">
        <v>735.96478420022265</v>
      </c>
      <c r="AX118" s="110">
        <v>713.94286775098817</v>
      </c>
      <c r="AY118" s="110">
        <v>876.31552284536212</v>
      </c>
    </row>
    <row r="119" spans="1:52" x14ac:dyDescent="0.2">
      <c r="A119" s="113"/>
      <c r="B119" s="133">
        <v>11</v>
      </c>
      <c r="C119" s="110">
        <v>0</v>
      </c>
      <c r="D119" s="110">
        <v>0</v>
      </c>
      <c r="E119" s="110">
        <v>0</v>
      </c>
      <c r="F119" s="110">
        <v>0</v>
      </c>
      <c r="G119" s="110">
        <v>0</v>
      </c>
      <c r="H119" s="110">
        <v>0</v>
      </c>
      <c r="I119" s="110">
        <v>0</v>
      </c>
      <c r="J119" s="110">
        <v>720.10925980673665</v>
      </c>
      <c r="K119" s="110">
        <v>2403.4515232511321</v>
      </c>
      <c r="L119" s="110">
        <v>3802.5588467901503</v>
      </c>
      <c r="M119" s="110">
        <v>3870.6216703605901</v>
      </c>
      <c r="N119" s="110">
        <v>3825.6028898556447</v>
      </c>
      <c r="O119" s="110">
        <v>3118.1949860440891</v>
      </c>
      <c r="P119" s="110">
        <v>2426.8986792779433</v>
      </c>
      <c r="Q119" s="110">
        <v>1816.1097292586642</v>
      </c>
      <c r="R119" s="110">
        <v>1329.5440106282679</v>
      </c>
      <c r="S119" s="110">
        <v>1211.3189362102009</v>
      </c>
      <c r="T119" s="110">
        <v>1343.1627335463149</v>
      </c>
      <c r="U119" s="110">
        <v>1241.6064477173752</v>
      </c>
      <c r="V119" s="110">
        <v>1021.9820369840975</v>
      </c>
      <c r="W119" s="110">
        <v>1034.9035571951476</v>
      </c>
      <c r="X119" s="110">
        <v>1038.8850005880156</v>
      </c>
      <c r="Y119" s="110">
        <v>943.85820834178674</v>
      </c>
      <c r="Z119" s="110">
        <v>685.79932917499423</v>
      </c>
      <c r="AA119" s="110">
        <v>832.29640799393042</v>
      </c>
      <c r="AB119" s="110">
        <v>921.00371758429515</v>
      </c>
      <c r="AC119" s="110">
        <v>930.23149607241169</v>
      </c>
      <c r="AD119" s="110">
        <v>989.4883501304862</v>
      </c>
      <c r="AE119" s="110">
        <v>1030.8766858785852</v>
      </c>
      <c r="AF119" s="110">
        <v>911.92423922212799</v>
      </c>
      <c r="AG119" s="110">
        <v>1119.2529188697654</v>
      </c>
      <c r="AH119" s="110">
        <v>936.76580943533918</v>
      </c>
      <c r="AI119" s="110">
        <v>982.39393622601244</v>
      </c>
      <c r="AJ119" s="110">
        <v>1157.017693842495</v>
      </c>
      <c r="AK119" s="110">
        <v>957.19708600169986</v>
      </c>
      <c r="AL119" s="110">
        <v>1086.6536058822476</v>
      </c>
      <c r="AM119" s="110">
        <v>1075.3929553201133</v>
      </c>
      <c r="AN119" s="110">
        <v>926.83347396964666</v>
      </c>
      <c r="AO119" s="110">
        <v>795.23944950900886</v>
      </c>
      <c r="AP119" s="110">
        <v>1067.4277448223409</v>
      </c>
      <c r="AQ119" s="110">
        <v>783.09522525584555</v>
      </c>
      <c r="AR119" s="110">
        <v>962.86901211872009</v>
      </c>
      <c r="AS119" s="110">
        <v>726.91278214183762</v>
      </c>
      <c r="AT119" s="110">
        <v>564.84275551609403</v>
      </c>
      <c r="AU119" s="110">
        <v>548.70518323531826</v>
      </c>
      <c r="AV119" s="110">
        <v>630.5469585552363</v>
      </c>
      <c r="AW119" s="110">
        <v>528.91928900824587</v>
      </c>
      <c r="AX119" s="110">
        <v>557.9678963388385</v>
      </c>
      <c r="AY119" s="110">
        <v>337.38078695935587</v>
      </c>
    </row>
    <row r="120" spans="1:52" x14ac:dyDescent="0.2">
      <c r="A120" s="113"/>
      <c r="B120" s="133">
        <v>12</v>
      </c>
      <c r="C120" s="110">
        <v>0</v>
      </c>
      <c r="D120" s="110">
        <v>0</v>
      </c>
      <c r="E120" s="110">
        <v>0</v>
      </c>
      <c r="F120" s="110">
        <v>0</v>
      </c>
      <c r="G120" s="110">
        <v>0</v>
      </c>
      <c r="H120" s="110">
        <v>0</v>
      </c>
      <c r="I120" s="110">
        <v>0</v>
      </c>
      <c r="J120" s="110">
        <v>0</v>
      </c>
      <c r="K120" s="110">
        <v>0</v>
      </c>
      <c r="L120" s="110">
        <v>0</v>
      </c>
      <c r="M120" s="110">
        <v>1271.0543082708641</v>
      </c>
      <c r="N120" s="110">
        <v>2780.5451107113004</v>
      </c>
      <c r="O120" s="110">
        <v>3825.6028898556447</v>
      </c>
      <c r="P120" s="110">
        <v>3118.1949860440891</v>
      </c>
      <c r="Q120" s="110">
        <v>2426.8986792779433</v>
      </c>
      <c r="R120" s="110">
        <v>1816.1097292586642</v>
      </c>
      <c r="S120" s="110">
        <v>1329.5440106282679</v>
      </c>
      <c r="T120" s="110">
        <v>1211.3189362102009</v>
      </c>
      <c r="U120" s="110">
        <v>1343.1627335463149</v>
      </c>
      <c r="V120" s="110">
        <v>1241.6064477173752</v>
      </c>
      <c r="W120" s="110">
        <v>1021.9820369840975</v>
      </c>
      <c r="X120" s="110">
        <v>1034.9035571951476</v>
      </c>
      <c r="Y120" s="110">
        <v>909.63027121372215</v>
      </c>
      <c r="Z120" s="110">
        <v>747.48847955550889</v>
      </c>
      <c r="AA120" s="110">
        <v>249.98785060903367</v>
      </c>
      <c r="AB120" s="110">
        <v>87.628102667202484</v>
      </c>
      <c r="AC120" s="110">
        <v>250.79176894331044</v>
      </c>
      <c r="AD120" s="110">
        <v>411.91263178343036</v>
      </c>
      <c r="AE120" s="110">
        <v>633.78373646945124</v>
      </c>
      <c r="AF120" s="110">
        <v>915.94926736477589</v>
      </c>
      <c r="AG120" s="110">
        <v>911.92423922212799</v>
      </c>
      <c r="AH120" s="110">
        <v>1119.2529188697654</v>
      </c>
      <c r="AI120" s="110">
        <v>936.76580943533918</v>
      </c>
      <c r="AJ120" s="110">
        <v>982.39393622601244</v>
      </c>
      <c r="AK120" s="110">
        <v>1157.017693842495</v>
      </c>
      <c r="AL120" s="110">
        <v>957.19708600169986</v>
      </c>
      <c r="AM120" s="110">
        <v>1086.6536058822476</v>
      </c>
      <c r="AN120" s="110">
        <v>1075.3929553201133</v>
      </c>
      <c r="AO120" s="110">
        <v>926.83347396964666</v>
      </c>
      <c r="AP120" s="110">
        <v>795.23944950900886</v>
      </c>
      <c r="AQ120" s="110">
        <v>1067.4277448223409</v>
      </c>
      <c r="AR120" s="110">
        <v>783.09522525584555</v>
      </c>
      <c r="AS120" s="110">
        <v>774.59148188490838</v>
      </c>
      <c r="AT120" s="110">
        <v>726.91278214183762</v>
      </c>
      <c r="AU120" s="110">
        <v>564.84275551609403</v>
      </c>
      <c r="AV120" s="110">
        <v>322.17084315331022</v>
      </c>
      <c r="AW120" s="110">
        <v>161.71780170854652</v>
      </c>
      <c r="AX120" s="110">
        <v>0</v>
      </c>
      <c r="AY120" s="110">
        <v>0</v>
      </c>
    </row>
    <row r="121" spans="1:52" x14ac:dyDescent="0.2">
      <c r="A121" s="131"/>
      <c r="B121" s="135" t="s">
        <v>296</v>
      </c>
      <c r="C121" s="117">
        <v>0</v>
      </c>
      <c r="D121" s="128">
        <v>0</v>
      </c>
      <c r="E121" s="128">
        <v>0</v>
      </c>
      <c r="F121" s="128">
        <v>0</v>
      </c>
      <c r="G121" s="128">
        <v>0</v>
      </c>
      <c r="H121" s="128">
        <v>0</v>
      </c>
      <c r="I121" s="128">
        <v>0</v>
      </c>
      <c r="J121" s="128">
        <v>0</v>
      </c>
      <c r="K121" s="128">
        <v>0</v>
      </c>
      <c r="L121" s="128">
        <v>0</v>
      </c>
      <c r="M121" s="128">
        <v>0</v>
      </c>
      <c r="N121" s="128">
        <v>744.95519901282296</v>
      </c>
      <c r="O121" s="128">
        <v>2331.3184282918037</v>
      </c>
      <c r="P121" s="128">
        <v>3390.9243492542932</v>
      </c>
      <c r="Q121" s="128">
        <v>2599.6513757290681</v>
      </c>
      <c r="R121" s="128">
        <v>1796.5204232725941</v>
      </c>
      <c r="S121" s="128">
        <v>1199.1197960704317</v>
      </c>
      <c r="T121" s="128">
        <v>667.66455966929948</v>
      </c>
      <c r="U121" s="128">
        <v>622.75278161344863</v>
      </c>
      <c r="V121" s="128">
        <v>771.41205587114223</v>
      </c>
      <c r="W121" s="128">
        <v>740.05713852594397</v>
      </c>
      <c r="X121" s="128">
        <v>642.44816334724214</v>
      </c>
      <c r="Y121" s="128">
        <v>0</v>
      </c>
      <c r="Z121" s="128">
        <v>0</v>
      </c>
      <c r="AA121" s="128">
        <v>0</v>
      </c>
      <c r="AB121" s="128">
        <v>0</v>
      </c>
      <c r="AC121" s="128">
        <v>0</v>
      </c>
      <c r="AD121" s="128">
        <v>0</v>
      </c>
      <c r="AE121" s="128">
        <v>0</v>
      </c>
      <c r="AF121" s="128">
        <v>0</v>
      </c>
      <c r="AG121" s="128">
        <v>246.40237700077546</v>
      </c>
      <c r="AH121" s="128">
        <v>90.908074379489449</v>
      </c>
      <c r="AI121" s="128">
        <v>342.66295866219798</v>
      </c>
      <c r="AJ121" s="128">
        <v>186.76580943533918</v>
      </c>
      <c r="AK121" s="128">
        <v>358.33639156744891</v>
      </c>
      <c r="AL121" s="128">
        <v>459.34872894372825</v>
      </c>
      <c r="AM121" s="128">
        <v>372.7021955064381</v>
      </c>
      <c r="AN121" s="128">
        <v>512.71597943872518</v>
      </c>
      <c r="AO121" s="128">
        <v>797.30168248898337</v>
      </c>
      <c r="AP121" s="128">
        <v>675.53130847798843</v>
      </c>
      <c r="AQ121" s="128">
        <v>592.04980392670916</v>
      </c>
      <c r="AR121" s="128">
        <v>811.85448433292186</v>
      </c>
      <c r="AS121" s="128">
        <v>0</v>
      </c>
      <c r="AT121" s="128">
        <v>62.593018516274014</v>
      </c>
      <c r="AU121" s="128">
        <v>138.73866026749442</v>
      </c>
      <c r="AV121" s="128">
        <v>0</v>
      </c>
      <c r="AW121" s="128">
        <v>0</v>
      </c>
      <c r="AX121" s="128">
        <v>0</v>
      </c>
      <c r="AY121" s="128">
        <v>0</v>
      </c>
      <c r="AZ121" s="111">
        <f>SUM($D121:$AY121)</f>
        <v>21154.735743602603</v>
      </c>
    </row>
    <row r="122" spans="1:52" x14ac:dyDescent="0.2">
      <c r="A122" s="134" t="s">
        <v>123</v>
      </c>
      <c r="B122" s="122">
        <v>1</v>
      </c>
      <c r="C122" s="110">
        <v>4326.7400000000007</v>
      </c>
      <c r="D122" s="110">
        <v>620.87923391506502</v>
      </c>
      <c r="E122" s="110">
        <v>1714.542579509912</v>
      </c>
      <c r="F122" s="110">
        <v>1419.4134523958462</v>
      </c>
      <c r="G122" s="110">
        <v>969.41345239584621</v>
      </c>
      <c r="H122" s="110">
        <v>1425.9134523958462</v>
      </c>
      <c r="I122" s="110">
        <v>1425.9134523958462</v>
      </c>
      <c r="J122" s="110">
        <v>1425.9134523958462</v>
      </c>
      <c r="K122" s="110">
        <v>969.41345239584621</v>
      </c>
      <c r="L122" s="110">
        <v>1425.9134523958462</v>
      </c>
      <c r="M122" s="110">
        <v>1425.9134523958462</v>
      </c>
      <c r="N122" s="110">
        <v>1425.9134523958462</v>
      </c>
      <c r="O122" s="110">
        <v>969.41345239584621</v>
      </c>
      <c r="P122" s="110">
        <v>1419.4134523958462</v>
      </c>
      <c r="Q122" s="110">
        <v>1425.9134523958462</v>
      </c>
      <c r="R122" s="110">
        <v>1380.4714016576827</v>
      </c>
      <c r="S122" s="110">
        <v>1425.9134523958462</v>
      </c>
      <c r="T122" s="110">
        <v>1389.4134523958462</v>
      </c>
      <c r="U122" s="110">
        <v>999.41345239584621</v>
      </c>
      <c r="V122" s="110">
        <v>1389.4134523958462</v>
      </c>
      <c r="W122" s="110">
        <v>999.41345239584621</v>
      </c>
      <c r="X122" s="110">
        <v>1425.9134523958462</v>
      </c>
      <c r="Y122" s="110">
        <v>1425.9134523958462</v>
      </c>
      <c r="Z122" s="110">
        <v>1077.379233915065</v>
      </c>
      <c r="AA122" s="110">
        <v>1774.4476708766274</v>
      </c>
      <c r="AB122" s="110">
        <v>1425.9134523958462</v>
      </c>
      <c r="AC122" s="110">
        <v>999.41345239584621</v>
      </c>
      <c r="AD122" s="110">
        <v>969.41345239584621</v>
      </c>
      <c r="AE122" s="110">
        <v>1425.9134523958462</v>
      </c>
      <c r="AF122" s="110">
        <v>620.87923391506502</v>
      </c>
      <c r="AG122" s="110">
        <v>1774.4476708766274</v>
      </c>
      <c r="AH122" s="110">
        <v>1425.9134523958462</v>
      </c>
      <c r="AI122" s="110">
        <v>1419.4134523958462</v>
      </c>
      <c r="AJ122" s="110">
        <v>1425.9134523958462</v>
      </c>
      <c r="AK122" s="110">
        <v>1419.4134523958462</v>
      </c>
      <c r="AL122" s="110">
        <v>969.41345239584621</v>
      </c>
      <c r="AM122" s="110">
        <v>1419.4134523958462</v>
      </c>
      <c r="AN122" s="110">
        <v>1425.9134523958462</v>
      </c>
      <c r="AO122" s="110">
        <v>1425.9134523958462</v>
      </c>
      <c r="AP122" s="110">
        <v>969.41345239584621</v>
      </c>
      <c r="AQ122" s="110">
        <v>1425.9134523958462</v>
      </c>
      <c r="AR122" s="110">
        <v>1425.9134523958462</v>
      </c>
      <c r="AS122" s="110">
        <v>1419.4134523958462</v>
      </c>
      <c r="AT122" s="110">
        <v>969.41345239584621</v>
      </c>
      <c r="AU122" s="110">
        <v>1425.9134523958462</v>
      </c>
      <c r="AV122" s="110">
        <v>1425.9134523958462</v>
      </c>
      <c r="AW122" s="110">
        <v>1425.9134523958462</v>
      </c>
      <c r="AX122" s="110">
        <v>969.41345239584621</v>
      </c>
      <c r="AY122" s="110">
        <v>1419.4134523958462</v>
      </c>
    </row>
    <row r="123" spans="1:52" x14ac:dyDescent="0.2">
      <c r="A123" s="113"/>
      <c r="B123" s="122">
        <v>2</v>
      </c>
      <c r="C123" s="110">
        <v>2924.218285966504</v>
      </c>
      <c r="D123" s="110">
        <v>2924.218285966504</v>
      </c>
      <c r="E123" s="110">
        <v>383.04311666654922</v>
      </c>
      <c r="F123" s="110">
        <v>1057.7640504607739</v>
      </c>
      <c r="G123" s="110">
        <v>882.1880935053274</v>
      </c>
      <c r="H123" s="110">
        <v>598.06662851761791</v>
      </c>
      <c r="I123" s="110">
        <v>879.69818133292767</v>
      </c>
      <c r="J123" s="110">
        <v>879.69818133292767</v>
      </c>
      <c r="K123" s="110">
        <v>879.69818133292767</v>
      </c>
      <c r="L123" s="110">
        <v>598.06662851761791</v>
      </c>
      <c r="M123" s="110">
        <v>829.63100390072714</v>
      </c>
      <c r="N123" s="110">
        <v>879.69818133292767</v>
      </c>
      <c r="O123" s="110">
        <v>820.88890808507892</v>
      </c>
      <c r="P123" s="110">
        <v>753.32449070457949</v>
      </c>
      <c r="Q123" s="110">
        <v>882.1880935053274</v>
      </c>
      <c r="R123" s="110">
        <v>879.69818133292767</v>
      </c>
      <c r="S123" s="110">
        <v>851.66331755965041</v>
      </c>
      <c r="T123" s="110">
        <v>879.69818133292767</v>
      </c>
      <c r="U123" s="110">
        <v>893.67999583948017</v>
      </c>
      <c r="V123" s="110">
        <v>1043.0747261834651</v>
      </c>
      <c r="W123" s="110">
        <v>857.17999583948017</v>
      </c>
      <c r="X123" s="110">
        <v>616.57472618346515</v>
      </c>
      <c r="Y123" s="110">
        <v>879.69818133292767</v>
      </c>
      <c r="Z123" s="110">
        <v>879.69818133292767</v>
      </c>
      <c r="AA123" s="110">
        <v>664.67466948185904</v>
      </c>
      <c r="AB123" s="110">
        <v>1094.7216931839964</v>
      </c>
      <c r="AC123" s="110">
        <v>879.69818133292767</v>
      </c>
      <c r="AD123" s="110">
        <v>616.57472618346515</v>
      </c>
      <c r="AE123" s="110">
        <v>598.06662851761791</v>
      </c>
      <c r="AF123" s="110">
        <v>879.69818133292767</v>
      </c>
      <c r="AG123" s="110">
        <v>739.15447467200909</v>
      </c>
      <c r="AH123" s="110">
        <v>471.71696858727796</v>
      </c>
      <c r="AI123" s="110">
        <v>55.127678633719029</v>
      </c>
      <c r="AJ123" s="110">
        <v>6.5</v>
      </c>
      <c r="AK123" s="110">
        <v>226.65072450196442</v>
      </c>
      <c r="AL123" s="110">
        <v>411.34825344380761</v>
      </c>
      <c r="AM123" s="110">
        <v>501.8475263361463</v>
      </c>
      <c r="AN123" s="110">
        <v>437.85856808824741</v>
      </c>
      <c r="AO123" s="110">
        <v>861.73787990197559</v>
      </c>
      <c r="AP123" s="110">
        <v>879.69818133292767</v>
      </c>
      <c r="AQ123" s="110">
        <v>1054.566628517618</v>
      </c>
      <c r="AR123" s="110">
        <v>879.69818133292767</v>
      </c>
      <c r="AS123" s="110">
        <v>879.69818133292767</v>
      </c>
      <c r="AT123" s="110">
        <v>755.94498672478596</v>
      </c>
      <c r="AU123" s="110">
        <v>887.76262812027426</v>
      </c>
      <c r="AV123" s="110">
        <v>699.01433324613606</v>
      </c>
      <c r="AW123" s="110">
        <v>734.94569965114829</v>
      </c>
      <c r="AX123" s="110">
        <v>607.47909569601552</v>
      </c>
      <c r="AY123" s="110">
        <v>496.81273249056244</v>
      </c>
    </row>
    <row r="124" spans="1:52" x14ac:dyDescent="0.2">
      <c r="A124" s="113"/>
      <c r="B124" s="122">
        <v>3</v>
      </c>
      <c r="C124" s="110">
        <v>1976.3268844397578</v>
      </c>
      <c r="D124" s="110">
        <v>1976.3268844397578</v>
      </c>
      <c r="E124" s="110">
        <v>1804.0572544308218</v>
      </c>
      <c r="F124" s="110">
        <v>236.31331378316787</v>
      </c>
      <c r="G124" s="110">
        <v>652.5733451116746</v>
      </c>
      <c r="H124" s="110">
        <v>544.25411314147436</v>
      </c>
      <c r="I124" s="110">
        <v>825.46918570960293</v>
      </c>
      <c r="J124" s="110">
        <v>542.71799521926926</v>
      </c>
      <c r="K124" s="110">
        <v>542.71799521926926</v>
      </c>
      <c r="L124" s="110">
        <v>542.71799521926926</v>
      </c>
      <c r="M124" s="110">
        <v>456.49999999999994</v>
      </c>
      <c r="N124" s="110">
        <v>158.36216511758869</v>
      </c>
      <c r="O124" s="110">
        <v>0</v>
      </c>
      <c r="P124" s="110">
        <v>0</v>
      </c>
      <c r="Q124" s="110">
        <v>96.20983128614688</v>
      </c>
      <c r="R124" s="110">
        <v>168.23122226474857</v>
      </c>
      <c r="S124" s="110">
        <v>305.51605843506456</v>
      </c>
      <c r="T124" s="110">
        <v>422.02684596817903</v>
      </c>
      <c r="U124" s="110">
        <v>487.51564338213541</v>
      </c>
      <c r="V124" s="110">
        <v>489.35944853669582</v>
      </c>
      <c r="W124" s="110">
        <v>588.86540321533039</v>
      </c>
      <c r="X124" s="110">
        <v>522.08444219499711</v>
      </c>
      <c r="Y124" s="110">
        <v>714.82221664592714</v>
      </c>
      <c r="Z124" s="110">
        <v>541.7179751992785</v>
      </c>
      <c r="AA124" s="110">
        <v>397.62367684224296</v>
      </c>
      <c r="AB124" s="110">
        <v>286.7145621987238</v>
      </c>
      <c r="AC124" s="110">
        <v>540.41851981733817</v>
      </c>
      <c r="AD124" s="110">
        <v>490.01132016070852</v>
      </c>
      <c r="AE124" s="110">
        <v>762.57617526892784</v>
      </c>
      <c r="AF124" s="110">
        <v>368.96918570960298</v>
      </c>
      <c r="AG124" s="110">
        <v>0</v>
      </c>
      <c r="AH124" s="110">
        <v>0</v>
      </c>
      <c r="AI124" s="110">
        <v>0</v>
      </c>
      <c r="AJ124" s="110">
        <v>0</v>
      </c>
      <c r="AK124" s="110">
        <v>0</v>
      </c>
      <c r="AL124" s="110">
        <v>0</v>
      </c>
      <c r="AM124" s="110">
        <v>0</v>
      </c>
      <c r="AN124" s="110">
        <v>0</v>
      </c>
      <c r="AO124" s="110">
        <v>0</v>
      </c>
      <c r="AP124" s="110">
        <v>183.33546262787365</v>
      </c>
      <c r="AQ124" s="110">
        <v>332.63470456796904</v>
      </c>
      <c r="AR124" s="110">
        <v>533.24199800863505</v>
      </c>
      <c r="AS124" s="110">
        <v>144.32173901879099</v>
      </c>
      <c r="AT124" s="110">
        <v>0</v>
      </c>
      <c r="AU124" s="110">
        <v>0</v>
      </c>
      <c r="AV124" s="110">
        <v>0</v>
      </c>
      <c r="AW124" s="110">
        <v>0</v>
      </c>
      <c r="AX124" s="110">
        <v>0</v>
      </c>
      <c r="AY124" s="110">
        <v>0</v>
      </c>
    </row>
    <row r="125" spans="1:52" x14ac:dyDescent="0.2">
      <c r="A125" s="113"/>
      <c r="B125" s="122">
        <v>4</v>
      </c>
      <c r="C125" s="110">
        <v>1335.6964399353667</v>
      </c>
      <c r="D125" s="110">
        <v>1335.6964399353667</v>
      </c>
      <c r="E125" s="110">
        <v>1219.2683665616919</v>
      </c>
      <c r="F125" s="110">
        <v>1112.9889286595328</v>
      </c>
      <c r="G125" s="110">
        <v>145.79032970796302</v>
      </c>
      <c r="H125" s="110">
        <v>402.59637351518501</v>
      </c>
      <c r="I125" s="110">
        <v>335.77027603538386</v>
      </c>
      <c r="J125" s="110">
        <v>392.92602642101087</v>
      </c>
      <c r="K125" s="110">
        <v>276.08906876019523</v>
      </c>
      <c r="L125" s="110">
        <v>134.95268743021248</v>
      </c>
      <c r="M125" s="110">
        <v>0</v>
      </c>
      <c r="N125" s="110">
        <v>0</v>
      </c>
      <c r="O125" s="110">
        <v>0</v>
      </c>
      <c r="P125" s="110">
        <v>0</v>
      </c>
      <c r="Q125" s="110">
        <v>0</v>
      </c>
      <c r="R125" s="110">
        <v>0</v>
      </c>
      <c r="S125" s="110">
        <v>0</v>
      </c>
      <c r="T125" s="110">
        <v>0</v>
      </c>
      <c r="U125" s="110">
        <v>0</v>
      </c>
      <c r="V125" s="110">
        <v>0</v>
      </c>
      <c r="W125" s="110">
        <v>0</v>
      </c>
      <c r="X125" s="110">
        <v>0</v>
      </c>
      <c r="Y125" s="110">
        <v>0</v>
      </c>
      <c r="Z125" s="110">
        <v>0</v>
      </c>
      <c r="AA125" s="110">
        <v>0</v>
      </c>
      <c r="AB125" s="110">
        <v>0</v>
      </c>
      <c r="AC125" s="110">
        <v>0</v>
      </c>
      <c r="AD125" s="110">
        <v>0</v>
      </c>
      <c r="AE125" s="110">
        <v>0</v>
      </c>
      <c r="AF125" s="110">
        <v>174.74998933425957</v>
      </c>
      <c r="AG125" s="110">
        <v>0</v>
      </c>
      <c r="AH125" s="110">
        <v>0</v>
      </c>
      <c r="AI125" s="110">
        <v>0</v>
      </c>
      <c r="AJ125" s="110">
        <v>0</v>
      </c>
      <c r="AK125" s="110">
        <v>0</v>
      </c>
      <c r="AL125" s="110">
        <v>0</v>
      </c>
      <c r="AM125" s="110">
        <v>0</v>
      </c>
      <c r="AN125" s="110">
        <v>0</v>
      </c>
      <c r="AO125" s="110">
        <v>0</v>
      </c>
      <c r="AP125" s="110">
        <v>0</v>
      </c>
      <c r="AQ125" s="110">
        <v>0</v>
      </c>
      <c r="AR125" s="110">
        <v>0</v>
      </c>
      <c r="AS125" s="110">
        <v>0</v>
      </c>
      <c r="AT125" s="110">
        <v>0</v>
      </c>
      <c r="AU125" s="110">
        <v>0</v>
      </c>
      <c r="AV125" s="110">
        <v>0</v>
      </c>
      <c r="AW125" s="110">
        <v>0</v>
      </c>
      <c r="AX125" s="110">
        <v>0</v>
      </c>
      <c r="AY125" s="110">
        <v>0</v>
      </c>
    </row>
    <row r="126" spans="1:52" x14ac:dyDescent="0.2">
      <c r="A126" s="113"/>
      <c r="B126" s="122">
        <v>5</v>
      </c>
      <c r="C126" s="110">
        <v>902.72767815014515</v>
      </c>
      <c r="D126" s="110">
        <v>902.72767815014515</v>
      </c>
      <c r="E126" s="110">
        <v>824.04000540827712</v>
      </c>
      <c r="F126" s="110">
        <v>752.21126697339673</v>
      </c>
      <c r="G126" s="110">
        <v>686.64359308791302</v>
      </c>
      <c r="H126" s="110">
        <v>89.94338869903531</v>
      </c>
      <c r="I126" s="110">
        <v>39.520681341413535</v>
      </c>
      <c r="J126" s="110">
        <v>0</v>
      </c>
      <c r="K126" s="110">
        <v>0</v>
      </c>
      <c r="L126" s="110">
        <v>0</v>
      </c>
      <c r="M126" s="110">
        <v>0</v>
      </c>
      <c r="N126" s="110">
        <v>0</v>
      </c>
      <c r="O126" s="110">
        <v>0</v>
      </c>
      <c r="P126" s="110">
        <v>0</v>
      </c>
      <c r="Q126" s="110">
        <v>0</v>
      </c>
      <c r="R126" s="110">
        <v>0</v>
      </c>
      <c r="S126" s="110">
        <v>0</v>
      </c>
      <c r="T126" s="110">
        <v>0</v>
      </c>
      <c r="U126" s="110">
        <v>0</v>
      </c>
      <c r="V126" s="110">
        <v>0</v>
      </c>
      <c r="W126" s="110">
        <v>0</v>
      </c>
      <c r="X126" s="110">
        <v>0</v>
      </c>
      <c r="Y126" s="110">
        <v>0</v>
      </c>
      <c r="Z126" s="110">
        <v>0</v>
      </c>
      <c r="AA126" s="110">
        <v>0</v>
      </c>
      <c r="AB126" s="110">
        <v>0</v>
      </c>
      <c r="AC126" s="110">
        <v>0</v>
      </c>
      <c r="AD126" s="110">
        <v>0</v>
      </c>
      <c r="AE126" s="110">
        <v>0</v>
      </c>
      <c r="AF126" s="110">
        <v>0</v>
      </c>
      <c r="AG126" s="110">
        <v>0</v>
      </c>
      <c r="AH126" s="110">
        <v>0</v>
      </c>
      <c r="AI126" s="110">
        <v>0</v>
      </c>
      <c r="AJ126" s="110">
        <v>0</v>
      </c>
      <c r="AK126" s="110">
        <v>0</v>
      </c>
      <c r="AL126" s="110">
        <v>0</v>
      </c>
      <c r="AM126" s="110">
        <v>0</v>
      </c>
      <c r="AN126" s="110">
        <v>0</v>
      </c>
      <c r="AO126" s="110">
        <v>0</v>
      </c>
      <c r="AP126" s="110">
        <v>0</v>
      </c>
      <c r="AQ126" s="110">
        <v>0</v>
      </c>
      <c r="AR126" s="110">
        <v>0</v>
      </c>
      <c r="AS126" s="110">
        <v>0</v>
      </c>
      <c r="AT126" s="110">
        <v>0</v>
      </c>
      <c r="AU126" s="110">
        <v>0</v>
      </c>
      <c r="AV126" s="110">
        <v>0</v>
      </c>
      <c r="AW126" s="110">
        <v>0</v>
      </c>
      <c r="AX126" s="110">
        <v>0</v>
      </c>
      <c r="AY126" s="110">
        <v>0</v>
      </c>
    </row>
    <row r="127" spans="1:52" x14ac:dyDescent="0.2">
      <c r="A127" s="113"/>
      <c r="B127" s="122">
        <v>6</v>
      </c>
      <c r="C127" s="110">
        <v>336.16791742411925</v>
      </c>
      <c r="D127" s="110">
        <v>380.30502756847557</v>
      </c>
      <c r="E127" s="110">
        <v>390.54982086388515</v>
      </c>
      <c r="F127" s="110">
        <v>162.32490428632292</v>
      </c>
      <c r="G127" s="110">
        <v>134.21082588749823</v>
      </c>
      <c r="H127" s="110">
        <v>101.41512519464175</v>
      </c>
      <c r="I127" s="110">
        <v>0</v>
      </c>
      <c r="J127" s="110">
        <v>0</v>
      </c>
      <c r="K127" s="110">
        <v>0</v>
      </c>
      <c r="L127" s="110">
        <v>0</v>
      </c>
      <c r="M127" s="110">
        <v>0</v>
      </c>
      <c r="N127" s="110">
        <v>0</v>
      </c>
      <c r="O127" s="110">
        <v>0</v>
      </c>
      <c r="P127" s="110">
        <v>0</v>
      </c>
      <c r="Q127" s="110">
        <v>0</v>
      </c>
      <c r="R127" s="110">
        <v>0</v>
      </c>
      <c r="S127" s="110">
        <v>0</v>
      </c>
      <c r="T127" s="110">
        <v>0</v>
      </c>
      <c r="U127" s="110">
        <v>0</v>
      </c>
      <c r="V127" s="110">
        <v>0</v>
      </c>
      <c r="W127" s="110">
        <v>0</v>
      </c>
      <c r="X127" s="110">
        <v>0</v>
      </c>
      <c r="Y127" s="110">
        <v>0</v>
      </c>
      <c r="Z127" s="110">
        <v>0</v>
      </c>
      <c r="AA127" s="110">
        <v>0</v>
      </c>
      <c r="AB127" s="110">
        <v>0</v>
      </c>
      <c r="AC127" s="110">
        <v>0</v>
      </c>
      <c r="AD127" s="110">
        <v>0</v>
      </c>
      <c r="AE127" s="110">
        <v>0</v>
      </c>
      <c r="AF127" s="110">
        <v>0</v>
      </c>
      <c r="AG127" s="110">
        <v>0</v>
      </c>
      <c r="AH127" s="110">
        <v>0</v>
      </c>
      <c r="AI127" s="110">
        <v>0</v>
      </c>
      <c r="AJ127" s="110">
        <v>0</v>
      </c>
      <c r="AK127" s="110">
        <v>0</v>
      </c>
      <c r="AL127" s="110">
        <v>0</v>
      </c>
      <c r="AM127" s="110">
        <v>0</v>
      </c>
      <c r="AN127" s="110">
        <v>0</v>
      </c>
      <c r="AO127" s="110">
        <v>0</v>
      </c>
      <c r="AP127" s="110">
        <v>0</v>
      </c>
      <c r="AQ127" s="110">
        <v>0</v>
      </c>
      <c r="AR127" s="110">
        <v>0</v>
      </c>
      <c r="AS127" s="110">
        <v>0</v>
      </c>
      <c r="AT127" s="110">
        <v>0</v>
      </c>
      <c r="AU127" s="110">
        <v>0</v>
      </c>
      <c r="AV127" s="110">
        <v>0</v>
      </c>
      <c r="AW127" s="110">
        <v>0</v>
      </c>
      <c r="AX127" s="110">
        <v>0</v>
      </c>
      <c r="AY127" s="110">
        <v>0</v>
      </c>
    </row>
    <row r="128" spans="1:52" x14ac:dyDescent="0.2">
      <c r="A128" s="113"/>
      <c r="B128" s="122">
        <v>7</v>
      </c>
      <c r="C128" s="110">
        <v>0</v>
      </c>
      <c r="D128" s="110">
        <v>0</v>
      </c>
      <c r="E128" s="110">
        <v>0</v>
      </c>
      <c r="F128" s="110">
        <v>0</v>
      </c>
      <c r="G128" s="110">
        <v>0</v>
      </c>
      <c r="H128" s="110">
        <v>0</v>
      </c>
      <c r="I128" s="110">
        <v>0</v>
      </c>
      <c r="J128" s="110">
        <v>0</v>
      </c>
      <c r="K128" s="110">
        <v>0</v>
      </c>
      <c r="L128" s="110">
        <v>0</v>
      </c>
      <c r="M128" s="110">
        <v>0</v>
      </c>
      <c r="N128" s="110">
        <v>0</v>
      </c>
      <c r="O128" s="110">
        <v>0</v>
      </c>
      <c r="P128" s="110">
        <v>0</v>
      </c>
      <c r="Q128" s="110">
        <v>0</v>
      </c>
      <c r="R128" s="110">
        <v>0</v>
      </c>
      <c r="S128" s="110">
        <v>0</v>
      </c>
      <c r="T128" s="110">
        <v>0</v>
      </c>
      <c r="U128" s="110">
        <v>0</v>
      </c>
      <c r="V128" s="110">
        <v>0</v>
      </c>
      <c r="W128" s="110">
        <v>0</v>
      </c>
      <c r="X128" s="110">
        <v>0</v>
      </c>
      <c r="Y128" s="110">
        <v>0</v>
      </c>
      <c r="Z128" s="110">
        <v>0</v>
      </c>
      <c r="AA128" s="110">
        <v>0</v>
      </c>
      <c r="AB128" s="110">
        <v>0</v>
      </c>
      <c r="AC128" s="110">
        <v>0</v>
      </c>
      <c r="AD128" s="110">
        <v>0</v>
      </c>
      <c r="AE128" s="110">
        <v>0</v>
      </c>
      <c r="AF128" s="110">
        <v>0</v>
      </c>
      <c r="AG128" s="110">
        <v>0</v>
      </c>
      <c r="AH128" s="110">
        <v>0</v>
      </c>
      <c r="AI128" s="110">
        <v>0</v>
      </c>
      <c r="AJ128" s="110">
        <v>0</v>
      </c>
      <c r="AK128" s="110">
        <v>0</v>
      </c>
      <c r="AL128" s="110">
        <v>0</v>
      </c>
      <c r="AM128" s="110">
        <v>0</v>
      </c>
      <c r="AN128" s="110">
        <v>0</v>
      </c>
      <c r="AO128" s="110">
        <v>0</v>
      </c>
      <c r="AP128" s="110">
        <v>0</v>
      </c>
      <c r="AQ128" s="110">
        <v>0</v>
      </c>
      <c r="AR128" s="110">
        <v>0</v>
      </c>
      <c r="AS128" s="110">
        <v>0</v>
      </c>
      <c r="AT128" s="110">
        <v>0</v>
      </c>
      <c r="AU128" s="110">
        <v>0</v>
      </c>
      <c r="AV128" s="110">
        <v>0</v>
      </c>
      <c r="AW128" s="110">
        <v>0</v>
      </c>
      <c r="AX128" s="110">
        <v>0</v>
      </c>
      <c r="AY128" s="110">
        <v>0</v>
      </c>
    </row>
    <row r="129" spans="1:51" x14ac:dyDescent="0.2">
      <c r="A129" s="113"/>
      <c r="B129" s="122">
        <v>8</v>
      </c>
      <c r="C129" s="110">
        <v>0</v>
      </c>
      <c r="D129" s="110">
        <v>0</v>
      </c>
      <c r="E129" s="110">
        <v>0</v>
      </c>
      <c r="F129" s="110">
        <v>0</v>
      </c>
      <c r="G129" s="110">
        <v>0</v>
      </c>
      <c r="H129" s="110">
        <v>0</v>
      </c>
      <c r="I129" s="110">
        <v>0</v>
      </c>
      <c r="J129" s="110">
        <v>0</v>
      </c>
      <c r="K129" s="110">
        <v>0</v>
      </c>
      <c r="L129" s="110">
        <v>0</v>
      </c>
      <c r="M129" s="110">
        <v>0</v>
      </c>
      <c r="N129" s="110">
        <v>0</v>
      </c>
      <c r="O129" s="110">
        <v>0</v>
      </c>
      <c r="P129" s="110">
        <v>0</v>
      </c>
      <c r="Q129" s="110">
        <v>0</v>
      </c>
      <c r="R129" s="110">
        <v>0</v>
      </c>
      <c r="S129" s="110">
        <v>0</v>
      </c>
      <c r="T129" s="110">
        <v>0</v>
      </c>
      <c r="U129" s="110">
        <v>0</v>
      </c>
      <c r="V129" s="110">
        <v>0</v>
      </c>
      <c r="W129" s="110">
        <v>0</v>
      </c>
      <c r="X129" s="110">
        <v>0</v>
      </c>
      <c r="Y129" s="110">
        <v>0</v>
      </c>
      <c r="Z129" s="110">
        <v>0</v>
      </c>
      <c r="AA129" s="110">
        <v>0</v>
      </c>
      <c r="AB129" s="110">
        <v>0</v>
      </c>
      <c r="AC129" s="110">
        <v>0</v>
      </c>
      <c r="AD129" s="110">
        <v>0</v>
      </c>
      <c r="AE129" s="110">
        <v>0</v>
      </c>
      <c r="AF129" s="110">
        <v>0</v>
      </c>
      <c r="AG129" s="110">
        <v>0</v>
      </c>
      <c r="AH129" s="110">
        <v>0</v>
      </c>
      <c r="AI129" s="110">
        <v>0</v>
      </c>
      <c r="AJ129" s="110">
        <v>0</v>
      </c>
      <c r="AK129" s="110">
        <v>0</v>
      </c>
      <c r="AL129" s="110">
        <v>0</v>
      </c>
      <c r="AM129" s="110">
        <v>0</v>
      </c>
      <c r="AN129" s="110">
        <v>0</v>
      </c>
      <c r="AO129" s="110">
        <v>0</v>
      </c>
      <c r="AP129" s="110">
        <v>0</v>
      </c>
      <c r="AQ129" s="110">
        <v>0</v>
      </c>
      <c r="AR129" s="110">
        <v>0</v>
      </c>
      <c r="AS129" s="110">
        <v>0</v>
      </c>
      <c r="AT129" s="110">
        <v>0</v>
      </c>
      <c r="AU129" s="110">
        <v>0</v>
      </c>
      <c r="AV129" s="110">
        <v>0</v>
      </c>
      <c r="AW129" s="110">
        <v>0</v>
      </c>
      <c r="AX129" s="110">
        <v>0</v>
      </c>
      <c r="AY129" s="110">
        <v>0</v>
      </c>
    </row>
    <row r="130" spans="1:51" x14ac:dyDescent="0.2">
      <c r="A130" s="113"/>
      <c r="B130" s="122">
        <v>9</v>
      </c>
      <c r="C130" s="110">
        <v>0</v>
      </c>
      <c r="D130" s="110">
        <v>0</v>
      </c>
      <c r="E130" s="110">
        <v>0</v>
      </c>
      <c r="F130" s="110">
        <v>0</v>
      </c>
      <c r="G130" s="110">
        <v>0</v>
      </c>
      <c r="H130" s="110">
        <v>0</v>
      </c>
      <c r="I130" s="110">
        <v>0</v>
      </c>
      <c r="J130" s="110">
        <v>0</v>
      </c>
      <c r="K130" s="110">
        <v>0</v>
      </c>
      <c r="L130" s="110">
        <v>0</v>
      </c>
      <c r="M130" s="110">
        <v>0</v>
      </c>
      <c r="N130" s="110">
        <v>0</v>
      </c>
      <c r="O130" s="110">
        <v>0</v>
      </c>
      <c r="P130" s="110">
        <v>0</v>
      </c>
      <c r="Q130" s="110">
        <v>0</v>
      </c>
      <c r="R130" s="110">
        <v>0</v>
      </c>
      <c r="S130" s="110">
        <v>0</v>
      </c>
      <c r="T130" s="110">
        <v>0</v>
      </c>
      <c r="U130" s="110">
        <v>0</v>
      </c>
      <c r="V130" s="110">
        <v>0</v>
      </c>
      <c r="W130" s="110">
        <v>0</v>
      </c>
      <c r="X130" s="110">
        <v>0</v>
      </c>
      <c r="Y130" s="110">
        <v>0</v>
      </c>
      <c r="Z130" s="110">
        <v>0</v>
      </c>
      <c r="AA130" s="110">
        <v>0</v>
      </c>
      <c r="AB130" s="110">
        <v>0</v>
      </c>
      <c r="AC130" s="110">
        <v>0</v>
      </c>
      <c r="AD130" s="110">
        <v>0</v>
      </c>
      <c r="AE130" s="110">
        <v>0</v>
      </c>
      <c r="AF130" s="110">
        <v>0</v>
      </c>
      <c r="AG130" s="110">
        <v>0</v>
      </c>
      <c r="AH130" s="110">
        <v>0</v>
      </c>
      <c r="AI130" s="110">
        <v>0</v>
      </c>
      <c r="AJ130" s="110">
        <v>0</v>
      </c>
      <c r="AK130" s="110">
        <v>0</v>
      </c>
      <c r="AL130" s="110">
        <v>0</v>
      </c>
      <c r="AM130" s="110">
        <v>0</v>
      </c>
      <c r="AN130" s="110">
        <v>0</v>
      </c>
      <c r="AO130" s="110">
        <v>0</v>
      </c>
      <c r="AP130" s="110">
        <v>0</v>
      </c>
      <c r="AQ130" s="110">
        <v>0</v>
      </c>
      <c r="AR130" s="110">
        <v>0</v>
      </c>
      <c r="AS130" s="110">
        <v>0</v>
      </c>
      <c r="AT130" s="110">
        <v>0</v>
      </c>
      <c r="AU130" s="110">
        <v>0</v>
      </c>
      <c r="AV130" s="110">
        <v>0</v>
      </c>
      <c r="AW130" s="110">
        <v>0</v>
      </c>
      <c r="AX130" s="110">
        <v>0</v>
      </c>
      <c r="AY130" s="110">
        <v>0</v>
      </c>
    </row>
    <row r="131" spans="1:51" x14ac:dyDescent="0.2">
      <c r="A131" s="113"/>
      <c r="B131" s="122">
        <v>10</v>
      </c>
      <c r="C131" s="110">
        <v>0</v>
      </c>
      <c r="D131" s="110">
        <v>0</v>
      </c>
      <c r="E131" s="110">
        <v>0</v>
      </c>
      <c r="F131" s="110">
        <v>0</v>
      </c>
      <c r="G131" s="110">
        <v>0</v>
      </c>
      <c r="H131" s="110">
        <v>0</v>
      </c>
      <c r="I131" s="110">
        <v>0</v>
      </c>
      <c r="J131" s="110">
        <v>0</v>
      </c>
      <c r="K131" s="110">
        <v>0</v>
      </c>
      <c r="L131" s="110">
        <v>0</v>
      </c>
      <c r="M131" s="110">
        <v>0</v>
      </c>
      <c r="N131" s="110">
        <v>0</v>
      </c>
      <c r="O131" s="110">
        <v>0</v>
      </c>
      <c r="P131" s="110">
        <v>0</v>
      </c>
      <c r="Q131" s="110">
        <v>0</v>
      </c>
      <c r="R131" s="110">
        <v>0</v>
      </c>
      <c r="S131" s="110">
        <v>0</v>
      </c>
      <c r="T131" s="110">
        <v>0</v>
      </c>
      <c r="U131" s="110">
        <v>0</v>
      </c>
      <c r="V131" s="110">
        <v>0</v>
      </c>
      <c r="W131" s="110">
        <v>0</v>
      </c>
      <c r="X131" s="110">
        <v>0</v>
      </c>
      <c r="Y131" s="110">
        <v>0</v>
      </c>
      <c r="Z131" s="110">
        <v>0</v>
      </c>
      <c r="AA131" s="110">
        <v>0</v>
      </c>
      <c r="AB131" s="110">
        <v>0</v>
      </c>
      <c r="AC131" s="110">
        <v>0</v>
      </c>
      <c r="AD131" s="110">
        <v>0</v>
      </c>
      <c r="AE131" s="110">
        <v>0</v>
      </c>
      <c r="AF131" s="110">
        <v>0</v>
      </c>
      <c r="AG131" s="110">
        <v>0</v>
      </c>
      <c r="AH131" s="110">
        <v>0</v>
      </c>
      <c r="AI131" s="110">
        <v>0</v>
      </c>
      <c r="AJ131" s="110">
        <v>0</v>
      </c>
      <c r="AK131" s="110">
        <v>0</v>
      </c>
      <c r="AL131" s="110">
        <v>0</v>
      </c>
      <c r="AM131" s="110">
        <v>0</v>
      </c>
      <c r="AN131" s="110">
        <v>0</v>
      </c>
      <c r="AO131" s="110">
        <v>0</v>
      </c>
      <c r="AP131" s="110">
        <v>0</v>
      </c>
      <c r="AQ131" s="110">
        <v>0</v>
      </c>
      <c r="AR131" s="110">
        <v>0</v>
      </c>
      <c r="AS131" s="110">
        <v>0</v>
      </c>
      <c r="AT131" s="110">
        <v>0</v>
      </c>
      <c r="AU131" s="110">
        <v>0</v>
      </c>
      <c r="AV131" s="110">
        <v>0</v>
      </c>
      <c r="AW131" s="110">
        <v>0</v>
      </c>
      <c r="AX131" s="110">
        <v>0</v>
      </c>
      <c r="AY131" s="110">
        <v>0</v>
      </c>
    </row>
    <row r="132" spans="1:51" x14ac:dyDescent="0.2">
      <c r="A132" s="113"/>
      <c r="B132" s="122">
        <v>11</v>
      </c>
      <c r="C132" s="110">
        <v>0</v>
      </c>
      <c r="D132" s="110">
        <v>0</v>
      </c>
      <c r="E132" s="110">
        <v>0</v>
      </c>
      <c r="F132" s="110">
        <v>0</v>
      </c>
      <c r="G132" s="110">
        <v>0</v>
      </c>
      <c r="H132" s="110">
        <v>0</v>
      </c>
      <c r="I132" s="110">
        <v>0</v>
      </c>
      <c r="J132" s="110">
        <v>0</v>
      </c>
      <c r="K132" s="110">
        <v>0</v>
      </c>
      <c r="L132" s="110">
        <v>0</v>
      </c>
      <c r="M132" s="110">
        <v>0</v>
      </c>
      <c r="N132" s="110">
        <v>0</v>
      </c>
      <c r="O132" s="110">
        <v>0</v>
      </c>
      <c r="P132" s="110">
        <v>0</v>
      </c>
      <c r="Q132" s="110">
        <v>0</v>
      </c>
      <c r="R132" s="110">
        <v>0</v>
      </c>
      <c r="S132" s="110">
        <v>0</v>
      </c>
      <c r="T132" s="110">
        <v>0</v>
      </c>
      <c r="U132" s="110">
        <v>0</v>
      </c>
      <c r="V132" s="110">
        <v>0</v>
      </c>
      <c r="W132" s="110">
        <v>0</v>
      </c>
      <c r="X132" s="110">
        <v>0</v>
      </c>
      <c r="Y132" s="110">
        <v>0</v>
      </c>
      <c r="Z132" s="110">
        <v>0</v>
      </c>
      <c r="AA132" s="110">
        <v>0</v>
      </c>
      <c r="AB132" s="110">
        <v>0</v>
      </c>
      <c r="AC132" s="110">
        <v>0</v>
      </c>
      <c r="AD132" s="110">
        <v>0</v>
      </c>
      <c r="AE132" s="110">
        <v>0</v>
      </c>
      <c r="AF132" s="110">
        <v>0</v>
      </c>
      <c r="AG132" s="110">
        <v>0</v>
      </c>
      <c r="AH132" s="110">
        <v>0</v>
      </c>
      <c r="AI132" s="110">
        <v>0</v>
      </c>
      <c r="AJ132" s="110">
        <v>0</v>
      </c>
      <c r="AK132" s="110">
        <v>0</v>
      </c>
      <c r="AL132" s="110">
        <v>0</v>
      </c>
      <c r="AM132" s="110">
        <v>0</v>
      </c>
      <c r="AN132" s="110">
        <v>0</v>
      </c>
      <c r="AO132" s="110">
        <v>0</v>
      </c>
      <c r="AP132" s="110">
        <v>0</v>
      </c>
      <c r="AQ132" s="110">
        <v>0</v>
      </c>
      <c r="AR132" s="110">
        <v>0</v>
      </c>
      <c r="AS132" s="110">
        <v>0</v>
      </c>
      <c r="AT132" s="110">
        <v>0</v>
      </c>
      <c r="AU132" s="110">
        <v>0</v>
      </c>
      <c r="AV132" s="110">
        <v>0</v>
      </c>
      <c r="AW132" s="110">
        <v>0</v>
      </c>
      <c r="AX132" s="110">
        <v>0</v>
      </c>
      <c r="AY132" s="110">
        <v>0</v>
      </c>
    </row>
    <row r="133" spans="1:51" x14ac:dyDescent="0.2">
      <c r="A133" s="113"/>
      <c r="B133" s="122">
        <v>12</v>
      </c>
      <c r="C133" s="110">
        <v>0</v>
      </c>
      <c r="D133" s="110">
        <v>0</v>
      </c>
      <c r="E133" s="110">
        <v>0</v>
      </c>
      <c r="F133" s="110">
        <v>0</v>
      </c>
      <c r="G133" s="110">
        <v>0</v>
      </c>
      <c r="H133" s="110">
        <v>0</v>
      </c>
      <c r="I133" s="110">
        <v>0</v>
      </c>
      <c r="J133" s="110">
        <v>0</v>
      </c>
      <c r="K133" s="110">
        <v>0</v>
      </c>
      <c r="L133" s="110">
        <v>0</v>
      </c>
      <c r="M133" s="110">
        <v>0</v>
      </c>
      <c r="N133" s="110">
        <v>0</v>
      </c>
      <c r="O133" s="110">
        <v>0</v>
      </c>
      <c r="P133" s="110">
        <v>0</v>
      </c>
      <c r="Q133" s="110">
        <v>0</v>
      </c>
      <c r="R133" s="110">
        <v>0</v>
      </c>
      <c r="S133" s="110">
        <v>0</v>
      </c>
      <c r="T133" s="110">
        <v>0</v>
      </c>
      <c r="U133" s="110">
        <v>0</v>
      </c>
      <c r="V133" s="110">
        <v>0</v>
      </c>
      <c r="W133" s="110">
        <v>0</v>
      </c>
      <c r="X133" s="110">
        <v>0</v>
      </c>
      <c r="Y133" s="110">
        <v>0</v>
      </c>
      <c r="Z133" s="110">
        <v>0</v>
      </c>
      <c r="AA133" s="110">
        <v>0</v>
      </c>
      <c r="AB133" s="110">
        <v>0</v>
      </c>
      <c r="AC133" s="110">
        <v>0</v>
      </c>
      <c r="AD133" s="110">
        <v>0</v>
      </c>
      <c r="AE133" s="110">
        <v>0</v>
      </c>
      <c r="AF133" s="110">
        <v>0</v>
      </c>
      <c r="AG133" s="110">
        <v>0</v>
      </c>
      <c r="AH133" s="110">
        <v>0</v>
      </c>
      <c r="AI133" s="110">
        <v>0</v>
      </c>
      <c r="AJ133" s="110">
        <v>0</v>
      </c>
      <c r="AK133" s="110">
        <v>0</v>
      </c>
      <c r="AL133" s="110">
        <v>0</v>
      </c>
      <c r="AM133" s="110">
        <v>0</v>
      </c>
      <c r="AN133" s="110">
        <v>0</v>
      </c>
      <c r="AO133" s="110">
        <v>0</v>
      </c>
      <c r="AP133" s="110">
        <v>0</v>
      </c>
      <c r="AQ133" s="110">
        <v>0</v>
      </c>
      <c r="AR133" s="110">
        <v>0</v>
      </c>
      <c r="AS133" s="110">
        <v>0</v>
      </c>
      <c r="AT133" s="110">
        <v>0</v>
      </c>
      <c r="AU133" s="110">
        <v>0</v>
      </c>
      <c r="AV133" s="110">
        <v>0</v>
      </c>
      <c r="AW133" s="110">
        <v>0</v>
      </c>
      <c r="AX133" s="110">
        <v>0</v>
      </c>
      <c r="AY133" s="110">
        <v>0</v>
      </c>
    </row>
    <row r="134" spans="1:51" x14ac:dyDescent="0.2">
      <c r="A134" s="113"/>
      <c r="B134" s="123">
        <v>13</v>
      </c>
      <c r="C134" s="110">
        <v>0</v>
      </c>
      <c r="D134" s="110">
        <v>0</v>
      </c>
      <c r="E134" s="110">
        <v>0</v>
      </c>
      <c r="F134" s="110">
        <v>0</v>
      </c>
      <c r="G134" s="110">
        <v>0</v>
      </c>
      <c r="H134" s="110">
        <v>0</v>
      </c>
      <c r="I134" s="110">
        <v>0</v>
      </c>
      <c r="J134" s="110">
        <v>0</v>
      </c>
      <c r="K134" s="110">
        <v>0</v>
      </c>
      <c r="L134" s="110">
        <v>0</v>
      </c>
      <c r="M134" s="110">
        <v>0</v>
      </c>
      <c r="N134" s="110">
        <v>0</v>
      </c>
      <c r="O134" s="110">
        <v>0</v>
      </c>
      <c r="P134" s="110">
        <v>0</v>
      </c>
      <c r="Q134" s="110">
        <v>0</v>
      </c>
      <c r="R134" s="110">
        <v>0</v>
      </c>
      <c r="S134" s="110">
        <v>0</v>
      </c>
      <c r="T134" s="110">
        <v>0</v>
      </c>
      <c r="U134" s="110">
        <v>0</v>
      </c>
      <c r="V134" s="110">
        <v>0</v>
      </c>
      <c r="W134" s="110">
        <v>0</v>
      </c>
      <c r="X134" s="110">
        <v>0</v>
      </c>
      <c r="Y134" s="110">
        <v>0</v>
      </c>
      <c r="Z134" s="110">
        <v>0</v>
      </c>
      <c r="AA134" s="110">
        <v>0</v>
      </c>
      <c r="AB134" s="110">
        <v>0</v>
      </c>
      <c r="AC134" s="110">
        <v>0</v>
      </c>
      <c r="AD134" s="110">
        <v>0</v>
      </c>
      <c r="AE134" s="110">
        <v>0</v>
      </c>
      <c r="AF134" s="110">
        <v>0</v>
      </c>
      <c r="AG134" s="110">
        <v>0</v>
      </c>
      <c r="AH134" s="110">
        <v>0</v>
      </c>
      <c r="AI134" s="110">
        <v>0</v>
      </c>
      <c r="AJ134" s="110">
        <v>0</v>
      </c>
      <c r="AK134" s="110">
        <v>0</v>
      </c>
      <c r="AL134" s="110">
        <v>0</v>
      </c>
      <c r="AM134" s="110">
        <v>0</v>
      </c>
      <c r="AN134" s="110">
        <v>0</v>
      </c>
      <c r="AO134" s="110">
        <v>0</v>
      </c>
      <c r="AP134" s="110">
        <v>0</v>
      </c>
      <c r="AQ134" s="110">
        <v>0</v>
      </c>
      <c r="AR134" s="110">
        <v>0</v>
      </c>
      <c r="AS134" s="110">
        <v>0</v>
      </c>
      <c r="AT134" s="110">
        <v>0</v>
      </c>
      <c r="AU134" s="110">
        <v>0</v>
      </c>
      <c r="AV134" s="110">
        <v>0</v>
      </c>
      <c r="AW134" s="110">
        <v>0</v>
      </c>
      <c r="AX134" s="110">
        <v>0</v>
      </c>
      <c r="AY134" s="110">
        <v>0</v>
      </c>
    </row>
    <row r="135" spans="1:51" x14ac:dyDescent="0.2">
      <c r="A135" s="113"/>
      <c r="B135" s="123">
        <v>14</v>
      </c>
      <c r="C135" s="110">
        <v>0</v>
      </c>
      <c r="D135" s="110">
        <v>0</v>
      </c>
      <c r="E135" s="110">
        <v>0</v>
      </c>
      <c r="F135" s="110">
        <v>0</v>
      </c>
      <c r="G135" s="110">
        <v>0</v>
      </c>
      <c r="H135" s="110">
        <v>0</v>
      </c>
      <c r="I135" s="110">
        <v>0</v>
      </c>
      <c r="J135" s="110">
        <v>0</v>
      </c>
      <c r="K135" s="110">
        <v>0</v>
      </c>
      <c r="L135" s="110">
        <v>0</v>
      </c>
      <c r="M135" s="110">
        <v>0</v>
      </c>
      <c r="N135" s="110">
        <v>0</v>
      </c>
      <c r="O135" s="110">
        <v>0</v>
      </c>
      <c r="P135" s="110">
        <v>0</v>
      </c>
      <c r="Q135" s="110">
        <v>0</v>
      </c>
      <c r="R135" s="110">
        <v>0</v>
      </c>
      <c r="S135" s="110">
        <v>0</v>
      </c>
      <c r="T135" s="110">
        <v>0</v>
      </c>
      <c r="U135" s="110">
        <v>0</v>
      </c>
      <c r="V135" s="110">
        <v>0</v>
      </c>
      <c r="W135" s="110">
        <v>0</v>
      </c>
      <c r="X135" s="110">
        <v>0</v>
      </c>
      <c r="Y135" s="110">
        <v>0</v>
      </c>
      <c r="Z135" s="110">
        <v>0</v>
      </c>
      <c r="AA135" s="110">
        <v>0</v>
      </c>
      <c r="AB135" s="110">
        <v>0</v>
      </c>
      <c r="AC135" s="110">
        <v>0</v>
      </c>
      <c r="AD135" s="110">
        <v>0</v>
      </c>
      <c r="AE135" s="110">
        <v>0</v>
      </c>
      <c r="AF135" s="110">
        <v>0</v>
      </c>
      <c r="AG135" s="110">
        <v>0</v>
      </c>
      <c r="AH135" s="110">
        <v>0</v>
      </c>
      <c r="AI135" s="110">
        <v>0</v>
      </c>
      <c r="AJ135" s="110">
        <v>0</v>
      </c>
      <c r="AK135" s="110">
        <v>0</v>
      </c>
      <c r="AL135" s="110">
        <v>0</v>
      </c>
      <c r="AM135" s="110">
        <v>0</v>
      </c>
      <c r="AN135" s="110">
        <v>0</v>
      </c>
      <c r="AO135" s="110">
        <v>0</v>
      </c>
      <c r="AP135" s="110">
        <v>0</v>
      </c>
      <c r="AQ135" s="110">
        <v>0</v>
      </c>
      <c r="AR135" s="110">
        <v>0</v>
      </c>
      <c r="AS135" s="110">
        <v>0</v>
      </c>
      <c r="AT135" s="110">
        <v>0</v>
      </c>
      <c r="AU135" s="110">
        <v>0</v>
      </c>
      <c r="AV135" s="110">
        <v>0</v>
      </c>
      <c r="AW135" s="110">
        <v>0</v>
      </c>
      <c r="AX135" s="110">
        <v>0</v>
      </c>
      <c r="AY135" s="110">
        <v>0</v>
      </c>
    </row>
    <row r="136" spans="1:51" x14ac:dyDescent="0.2">
      <c r="A136" s="113"/>
      <c r="B136" s="123">
        <v>15</v>
      </c>
      <c r="C136" s="110">
        <v>0</v>
      </c>
      <c r="D136" s="110">
        <v>0</v>
      </c>
      <c r="E136" s="110">
        <v>0</v>
      </c>
      <c r="F136" s="110">
        <v>0</v>
      </c>
      <c r="G136" s="110">
        <v>0</v>
      </c>
      <c r="H136" s="110">
        <v>0</v>
      </c>
      <c r="I136" s="110">
        <v>0</v>
      </c>
      <c r="J136" s="110">
        <v>0</v>
      </c>
      <c r="K136" s="110">
        <v>0</v>
      </c>
      <c r="L136" s="110">
        <v>0</v>
      </c>
      <c r="M136" s="110">
        <v>0</v>
      </c>
      <c r="N136" s="110">
        <v>0</v>
      </c>
      <c r="O136" s="110">
        <v>0</v>
      </c>
      <c r="P136" s="110">
        <v>0</v>
      </c>
      <c r="Q136" s="110">
        <v>0</v>
      </c>
      <c r="R136" s="110">
        <v>0</v>
      </c>
      <c r="S136" s="110">
        <v>0</v>
      </c>
      <c r="T136" s="110">
        <v>0</v>
      </c>
      <c r="U136" s="110">
        <v>0</v>
      </c>
      <c r="V136" s="110">
        <v>0</v>
      </c>
      <c r="W136" s="110">
        <v>0</v>
      </c>
      <c r="X136" s="110">
        <v>0</v>
      </c>
      <c r="Y136" s="110">
        <v>0</v>
      </c>
      <c r="Z136" s="110">
        <v>0</v>
      </c>
      <c r="AA136" s="110">
        <v>0</v>
      </c>
      <c r="AB136" s="110">
        <v>0</v>
      </c>
      <c r="AC136" s="110">
        <v>0</v>
      </c>
      <c r="AD136" s="110">
        <v>0</v>
      </c>
      <c r="AE136" s="110">
        <v>0</v>
      </c>
      <c r="AF136" s="110">
        <v>0</v>
      </c>
      <c r="AG136" s="110">
        <v>0</v>
      </c>
      <c r="AH136" s="110">
        <v>0</v>
      </c>
      <c r="AI136" s="110">
        <v>0</v>
      </c>
      <c r="AJ136" s="110">
        <v>0</v>
      </c>
      <c r="AK136" s="110">
        <v>0</v>
      </c>
      <c r="AL136" s="110">
        <v>0</v>
      </c>
      <c r="AM136" s="110">
        <v>0</v>
      </c>
      <c r="AN136" s="110">
        <v>0</v>
      </c>
      <c r="AO136" s="110">
        <v>0</v>
      </c>
      <c r="AP136" s="110">
        <v>0</v>
      </c>
      <c r="AQ136" s="110">
        <v>0</v>
      </c>
      <c r="AR136" s="110">
        <v>0</v>
      </c>
      <c r="AS136" s="110">
        <v>0</v>
      </c>
      <c r="AT136" s="110">
        <v>0</v>
      </c>
      <c r="AU136" s="110">
        <v>0</v>
      </c>
      <c r="AV136" s="110">
        <v>0</v>
      </c>
      <c r="AW136" s="110">
        <v>0</v>
      </c>
      <c r="AX136" s="110">
        <v>0</v>
      </c>
      <c r="AY136" s="110">
        <v>0</v>
      </c>
    </row>
    <row r="137" spans="1:51" x14ac:dyDescent="0.2">
      <c r="A137" s="113"/>
      <c r="B137" s="123">
        <v>16</v>
      </c>
      <c r="C137" s="110">
        <v>0</v>
      </c>
      <c r="D137" s="110">
        <v>0</v>
      </c>
      <c r="E137" s="110">
        <v>0</v>
      </c>
      <c r="F137" s="110">
        <v>0</v>
      </c>
      <c r="G137" s="110">
        <v>0</v>
      </c>
      <c r="H137" s="110">
        <v>0</v>
      </c>
      <c r="I137" s="110">
        <v>0</v>
      </c>
      <c r="J137" s="110">
        <v>0</v>
      </c>
      <c r="K137" s="110">
        <v>0</v>
      </c>
      <c r="L137" s="110">
        <v>0</v>
      </c>
      <c r="M137" s="110">
        <v>0</v>
      </c>
      <c r="N137" s="110">
        <v>0</v>
      </c>
      <c r="O137" s="110">
        <v>0</v>
      </c>
      <c r="P137" s="110">
        <v>0</v>
      </c>
      <c r="Q137" s="110">
        <v>0</v>
      </c>
      <c r="R137" s="110">
        <v>0</v>
      </c>
      <c r="S137" s="110">
        <v>0</v>
      </c>
      <c r="T137" s="110">
        <v>0</v>
      </c>
      <c r="U137" s="110">
        <v>0</v>
      </c>
      <c r="V137" s="110">
        <v>0</v>
      </c>
      <c r="W137" s="110">
        <v>0</v>
      </c>
      <c r="X137" s="110">
        <v>0</v>
      </c>
      <c r="Y137" s="110">
        <v>0</v>
      </c>
      <c r="Z137" s="110">
        <v>0</v>
      </c>
      <c r="AA137" s="110">
        <v>0</v>
      </c>
      <c r="AB137" s="110">
        <v>0</v>
      </c>
      <c r="AC137" s="110">
        <v>0</v>
      </c>
      <c r="AD137" s="110">
        <v>0</v>
      </c>
      <c r="AE137" s="110">
        <v>0</v>
      </c>
      <c r="AF137" s="110">
        <v>0</v>
      </c>
      <c r="AG137" s="110">
        <v>0</v>
      </c>
      <c r="AH137" s="110">
        <v>0</v>
      </c>
      <c r="AI137" s="110">
        <v>0</v>
      </c>
      <c r="AJ137" s="110">
        <v>0</v>
      </c>
      <c r="AK137" s="110">
        <v>0</v>
      </c>
      <c r="AL137" s="110">
        <v>0</v>
      </c>
      <c r="AM137" s="110">
        <v>0</v>
      </c>
      <c r="AN137" s="110">
        <v>0</v>
      </c>
      <c r="AO137" s="110">
        <v>0</v>
      </c>
      <c r="AP137" s="110">
        <v>0</v>
      </c>
      <c r="AQ137" s="110">
        <v>0</v>
      </c>
      <c r="AR137" s="110">
        <v>0</v>
      </c>
      <c r="AS137" s="110">
        <v>0</v>
      </c>
      <c r="AT137" s="110">
        <v>0</v>
      </c>
      <c r="AU137" s="110">
        <v>0</v>
      </c>
      <c r="AV137" s="110">
        <v>0</v>
      </c>
      <c r="AW137" s="110">
        <v>0</v>
      </c>
      <c r="AX137" s="110">
        <v>0</v>
      </c>
      <c r="AY137" s="110">
        <v>0</v>
      </c>
    </row>
    <row r="138" spans="1:51" x14ac:dyDescent="0.2">
      <c r="A138" s="113"/>
      <c r="B138" s="123">
        <v>17</v>
      </c>
      <c r="C138" s="110">
        <v>0</v>
      </c>
      <c r="D138" s="110">
        <v>0</v>
      </c>
      <c r="E138" s="110">
        <v>0</v>
      </c>
      <c r="F138" s="110">
        <v>0</v>
      </c>
      <c r="G138" s="110">
        <v>0</v>
      </c>
      <c r="H138" s="110">
        <v>0</v>
      </c>
      <c r="I138" s="110">
        <v>0</v>
      </c>
      <c r="J138" s="110">
        <v>0</v>
      </c>
      <c r="K138" s="110">
        <v>0</v>
      </c>
      <c r="L138" s="110">
        <v>0</v>
      </c>
      <c r="M138" s="110">
        <v>0</v>
      </c>
      <c r="N138" s="110">
        <v>0</v>
      </c>
      <c r="O138" s="110">
        <v>0</v>
      </c>
      <c r="P138" s="110">
        <v>0</v>
      </c>
      <c r="Q138" s="110">
        <v>0</v>
      </c>
      <c r="R138" s="110">
        <v>0</v>
      </c>
      <c r="S138" s="110">
        <v>0</v>
      </c>
      <c r="T138" s="110">
        <v>0</v>
      </c>
      <c r="U138" s="110">
        <v>0</v>
      </c>
      <c r="V138" s="110">
        <v>0</v>
      </c>
      <c r="W138" s="110">
        <v>0</v>
      </c>
      <c r="X138" s="110">
        <v>0</v>
      </c>
      <c r="Y138" s="110">
        <v>0</v>
      </c>
      <c r="Z138" s="110">
        <v>0</v>
      </c>
      <c r="AA138" s="110">
        <v>0</v>
      </c>
      <c r="AB138" s="110">
        <v>0</v>
      </c>
      <c r="AC138" s="110">
        <v>0</v>
      </c>
      <c r="AD138" s="110">
        <v>0</v>
      </c>
      <c r="AE138" s="110">
        <v>0</v>
      </c>
      <c r="AF138" s="110">
        <v>0</v>
      </c>
      <c r="AG138" s="110">
        <v>0</v>
      </c>
      <c r="AH138" s="110">
        <v>0</v>
      </c>
      <c r="AI138" s="110">
        <v>0</v>
      </c>
      <c r="AJ138" s="110">
        <v>0</v>
      </c>
      <c r="AK138" s="110">
        <v>0</v>
      </c>
      <c r="AL138" s="110">
        <v>0</v>
      </c>
      <c r="AM138" s="110">
        <v>0</v>
      </c>
      <c r="AN138" s="110">
        <v>0</v>
      </c>
      <c r="AO138" s="110">
        <v>0</v>
      </c>
      <c r="AP138" s="110">
        <v>0</v>
      </c>
      <c r="AQ138" s="110">
        <v>0</v>
      </c>
      <c r="AR138" s="110">
        <v>0</v>
      </c>
      <c r="AS138" s="110">
        <v>0</v>
      </c>
      <c r="AT138" s="110">
        <v>0</v>
      </c>
      <c r="AU138" s="110">
        <v>0</v>
      </c>
      <c r="AV138" s="110">
        <v>0</v>
      </c>
      <c r="AW138" s="110">
        <v>0</v>
      </c>
      <c r="AX138" s="110">
        <v>0</v>
      </c>
      <c r="AY138" s="110">
        <v>0</v>
      </c>
    </row>
    <row r="139" spans="1:51" x14ac:dyDescent="0.2">
      <c r="A139" s="113"/>
      <c r="B139" s="123">
        <v>18</v>
      </c>
      <c r="C139" s="110">
        <v>0</v>
      </c>
      <c r="D139" s="110">
        <v>0</v>
      </c>
      <c r="E139" s="110">
        <v>0</v>
      </c>
      <c r="F139" s="110">
        <v>0</v>
      </c>
      <c r="G139" s="110">
        <v>0</v>
      </c>
      <c r="H139" s="110">
        <v>0</v>
      </c>
      <c r="I139" s="110">
        <v>0</v>
      </c>
      <c r="J139" s="110">
        <v>0</v>
      </c>
      <c r="K139" s="110">
        <v>0</v>
      </c>
      <c r="L139" s="110">
        <v>0</v>
      </c>
      <c r="M139" s="110">
        <v>0</v>
      </c>
      <c r="N139" s="110">
        <v>0</v>
      </c>
      <c r="O139" s="110">
        <v>0</v>
      </c>
      <c r="P139" s="110">
        <v>0</v>
      </c>
      <c r="Q139" s="110">
        <v>0</v>
      </c>
      <c r="R139" s="110">
        <v>0</v>
      </c>
      <c r="S139" s="110">
        <v>0</v>
      </c>
      <c r="T139" s="110">
        <v>0</v>
      </c>
      <c r="U139" s="110">
        <v>0</v>
      </c>
      <c r="V139" s="110">
        <v>0</v>
      </c>
      <c r="W139" s="110">
        <v>0</v>
      </c>
      <c r="X139" s="110">
        <v>0</v>
      </c>
      <c r="Y139" s="110">
        <v>0</v>
      </c>
      <c r="Z139" s="110">
        <v>0</v>
      </c>
      <c r="AA139" s="110">
        <v>0</v>
      </c>
      <c r="AB139" s="110">
        <v>0</v>
      </c>
      <c r="AC139" s="110">
        <v>0</v>
      </c>
      <c r="AD139" s="110">
        <v>0</v>
      </c>
      <c r="AE139" s="110">
        <v>0</v>
      </c>
      <c r="AF139" s="110">
        <v>0</v>
      </c>
      <c r="AG139" s="110">
        <v>0</v>
      </c>
      <c r="AH139" s="110">
        <v>0</v>
      </c>
      <c r="AI139" s="110">
        <v>0</v>
      </c>
      <c r="AJ139" s="110">
        <v>0</v>
      </c>
      <c r="AK139" s="110">
        <v>0</v>
      </c>
      <c r="AL139" s="110">
        <v>0</v>
      </c>
      <c r="AM139" s="110">
        <v>0</v>
      </c>
      <c r="AN139" s="110">
        <v>0</v>
      </c>
      <c r="AO139" s="110">
        <v>0</v>
      </c>
      <c r="AP139" s="110">
        <v>0</v>
      </c>
      <c r="AQ139" s="110">
        <v>0</v>
      </c>
      <c r="AR139" s="110">
        <v>0</v>
      </c>
      <c r="AS139" s="110">
        <v>0</v>
      </c>
      <c r="AT139" s="110">
        <v>0</v>
      </c>
      <c r="AU139" s="110">
        <v>0</v>
      </c>
      <c r="AV139" s="110">
        <v>0</v>
      </c>
      <c r="AW139" s="110">
        <v>0</v>
      </c>
      <c r="AX139" s="110">
        <v>0</v>
      </c>
      <c r="AY139" s="110">
        <v>0</v>
      </c>
    </row>
    <row r="140" spans="1:51" x14ac:dyDescent="0.2">
      <c r="A140" s="113"/>
      <c r="B140" s="123">
        <v>19</v>
      </c>
      <c r="C140" s="110">
        <v>0</v>
      </c>
      <c r="D140" s="110">
        <v>0</v>
      </c>
      <c r="E140" s="110">
        <v>0</v>
      </c>
      <c r="F140" s="110">
        <v>0</v>
      </c>
      <c r="G140" s="110">
        <v>0</v>
      </c>
      <c r="H140" s="110">
        <v>0</v>
      </c>
      <c r="I140" s="110">
        <v>0</v>
      </c>
      <c r="J140" s="110">
        <v>0</v>
      </c>
      <c r="K140" s="110">
        <v>0</v>
      </c>
      <c r="L140" s="110">
        <v>0</v>
      </c>
      <c r="M140" s="110">
        <v>0</v>
      </c>
      <c r="N140" s="110">
        <v>0</v>
      </c>
      <c r="O140" s="110">
        <v>0</v>
      </c>
      <c r="P140" s="110">
        <v>0</v>
      </c>
      <c r="Q140" s="110">
        <v>0</v>
      </c>
      <c r="R140" s="110">
        <v>0</v>
      </c>
      <c r="S140" s="110">
        <v>0</v>
      </c>
      <c r="T140" s="110">
        <v>0</v>
      </c>
      <c r="U140" s="110">
        <v>0</v>
      </c>
      <c r="V140" s="110">
        <v>0</v>
      </c>
      <c r="W140" s="110">
        <v>0</v>
      </c>
      <c r="X140" s="110">
        <v>0</v>
      </c>
      <c r="Y140" s="110">
        <v>0</v>
      </c>
      <c r="Z140" s="110">
        <v>0</v>
      </c>
      <c r="AA140" s="110">
        <v>0</v>
      </c>
      <c r="AB140" s="110">
        <v>0</v>
      </c>
      <c r="AC140" s="110">
        <v>0</v>
      </c>
      <c r="AD140" s="110">
        <v>0</v>
      </c>
      <c r="AE140" s="110">
        <v>0</v>
      </c>
      <c r="AF140" s="110">
        <v>0</v>
      </c>
      <c r="AG140" s="110">
        <v>0</v>
      </c>
      <c r="AH140" s="110">
        <v>0</v>
      </c>
      <c r="AI140" s="110">
        <v>0</v>
      </c>
      <c r="AJ140" s="110">
        <v>0</v>
      </c>
      <c r="AK140" s="110">
        <v>0</v>
      </c>
      <c r="AL140" s="110">
        <v>0</v>
      </c>
      <c r="AM140" s="110">
        <v>0</v>
      </c>
      <c r="AN140" s="110">
        <v>0</v>
      </c>
      <c r="AO140" s="110">
        <v>0</v>
      </c>
      <c r="AP140" s="110">
        <v>0</v>
      </c>
      <c r="AQ140" s="110">
        <v>0</v>
      </c>
      <c r="AR140" s="110">
        <v>0</v>
      </c>
      <c r="AS140" s="110">
        <v>0</v>
      </c>
      <c r="AT140" s="110">
        <v>0</v>
      </c>
      <c r="AU140" s="110">
        <v>0</v>
      </c>
      <c r="AV140" s="110">
        <v>0</v>
      </c>
      <c r="AW140" s="110">
        <v>0</v>
      </c>
      <c r="AX140" s="110">
        <v>0</v>
      </c>
      <c r="AY140" s="110">
        <v>0</v>
      </c>
    </row>
    <row r="141" spans="1:51" x14ac:dyDescent="0.2">
      <c r="A141" s="113"/>
      <c r="B141" s="123">
        <v>20</v>
      </c>
      <c r="C141" s="110">
        <v>0</v>
      </c>
      <c r="D141" s="110">
        <v>0</v>
      </c>
      <c r="E141" s="110">
        <v>0</v>
      </c>
      <c r="F141" s="110">
        <v>0</v>
      </c>
      <c r="G141" s="110">
        <v>0</v>
      </c>
      <c r="H141" s="110">
        <v>0</v>
      </c>
      <c r="I141" s="110">
        <v>0</v>
      </c>
      <c r="J141" s="110">
        <v>0</v>
      </c>
      <c r="K141" s="110">
        <v>0</v>
      </c>
      <c r="L141" s="110">
        <v>0</v>
      </c>
      <c r="M141" s="110">
        <v>0</v>
      </c>
      <c r="N141" s="110">
        <v>0</v>
      </c>
      <c r="O141" s="110">
        <v>0</v>
      </c>
      <c r="P141" s="110">
        <v>0</v>
      </c>
      <c r="Q141" s="110">
        <v>0</v>
      </c>
      <c r="R141" s="110">
        <v>0</v>
      </c>
      <c r="S141" s="110">
        <v>0</v>
      </c>
      <c r="T141" s="110">
        <v>0</v>
      </c>
      <c r="U141" s="110">
        <v>0</v>
      </c>
      <c r="V141" s="110">
        <v>0</v>
      </c>
      <c r="W141" s="110">
        <v>0</v>
      </c>
      <c r="X141" s="110">
        <v>0</v>
      </c>
      <c r="Y141" s="110">
        <v>0</v>
      </c>
      <c r="Z141" s="110">
        <v>0</v>
      </c>
      <c r="AA141" s="110">
        <v>0</v>
      </c>
      <c r="AB141" s="110">
        <v>0</v>
      </c>
      <c r="AC141" s="110">
        <v>0</v>
      </c>
      <c r="AD141" s="110">
        <v>0</v>
      </c>
      <c r="AE141" s="110">
        <v>0</v>
      </c>
      <c r="AF141" s="110">
        <v>0</v>
      </c>
      <c r="AG141" s="110">
        <v>0</v>
      </c>
      <c r="AH141" s="110">
        <v>0</v>
      </c>
      <c r="AI141" s="110">
        <v>0</v>
      </c>
      <c r="AJ141" s="110">
        <v>0</v>
      </c>
      <c r="AK141" s="110">
        <v>0</v>
      </c>
      <c r="AL141" s="110">
        <v>0</v>
      </c>
      <c r="AM141" s="110">
        <v>0</v>
      </c>
      <c r="AN141" s="110">
        <v>0</v>
      </c>
      <c r="AO141" s="110">
        <v>0</v>
      </c>
      <c r="AP141" s="110">
        <v>0</v>
      </c>
      <c r="AQ141" s="110">
        <v>0</v>
      </c>
      <c r="AR141" s="110">
        <v>0</v>
      </c>
      <c r="AS141" s="110">
        <v>0</v>
      </c>
      <c r="AT141" s="110">
        <v>0</v>
      </c>
      <c r="AU141" s="110">
        <v>0</v>
      </c>
      <c r="AV141" s="110">
        <v>0</v>
      </c>
      <c r="AW141" s="110">
        <v>0</v>
      </c>
      <c r="AX141" s="110">
        <v>0</v>
      </c>
      <c r="AY141" s="110">
        <v>0</v>
      </c>
    </row>
    <row r="142" spans="1:51" x14ac:dyDescent="0.2">
      <c r="A142" s="113"/>
      <c r="B142" s="123">
        <v>21</v>
      </c>
      <c r="C142" s="110">
        <v>0</v>
      </c>
      <c r="D142" s="110">
        <v>0</v>
      </c>
      <c r="E142" s="110">
        <v>0</v>
      </c>
      <c r="F142" s="110">
        <v>0</v>
      </c>
      <c r="G142" s="110">
        <v>0</v>
      </c>
      <c r="H142" s="110">
        <v>0</v>
      </c>
      <c r="I142" s="110">
        <v>0</v>
      </c>
      <c r="J142" s="110">
        <v>0</v>
      </c>
      <c r="K142" s="110">
        <v>0</v>
      </c>
      <c r="L142" s="110">
        <v>0</v>
      </c>
      <c r="M142" s="110">
        <v>0</v>
      </c>
      <c r="N142" s="110">
        <v>0</v>
      </c>
      <c r="O142" s="110">
        <v>0</v>
      </c>
      <c r="P142" s="110">
        <v>0</v>
      </c>
      <c r="Q142" s="110">
        <v>0</v>
      </c>
      <c r="R142" s="110">
        <v>0</v>
      </c>
      <c r="S142" s="110">
        <v>0</v>
      </c>
      <c r="T142" s="110">
        <v>0</v>
      </c>
      <c r="U142" s="110">
        <v>0</v>
      </c>
      <c r="V142" s="110">
        <v>0</v>
      </c>
      <c r="W142" s="110">
        <v>0</v>
      </c>
      <c r="X142" s="110">
        <v>0</v>
      </c>
      <c r="Y142" s="110">
        <v>0</v>
      </c>
      <c r="Z142" s="110">
        <v>0</v>
      </c>
      <c r="AA142" s="110">
        <v>0</v>
      </c>
      <c r="AB142" s="110">
        <v>0</v>
      </c>
      <c r="AC142" s="110">
        <v>0</v>
      </c>
      <c r="AD142" s="110">
        <v>0</v>
      </c>
      <c r="AE142" s="110">
        <v>0</v>
      </c>
      <c r="AF142" s="110">
        <v>0</v>
      </c>
      <c r="AG142" s="110">
        <v>0</v>
      </c>
      <c r="AH142" s="110">
        <v>0</v>
      </c>
      <c r="AI142" s="110">
        <v>0</v>
      </c>
      <c r="AJ142" s="110">
        <v>0</v>
      </c>
      <c r="AK142" s="110">
        <v>0</v>
      </c>
      <c r="AL142" s="110">
        <v>0</v>
      </c>
      <c r="AM142" s="110">
        <v>0</v>
      </c>
      <c r="AN142" s="110">
        <v>0</v>
      </c>
      <c r="AO142" s="110">
        <v>0</v>
      </c>
      <c r="AP142" s="110">
        <v>0</v>
      </c>
      <c r="AQ142" s="110">
        <v>0</v>
      </c>
      <c r="AR142" s="110">
        <v>0</v>
      </c>
      <c r="AS142" s="110">
        <v>0</v>
      </c>
      <c r="AT142" s="110">
        <v>0</v>
      </c>
      <c r="AU142" s="110">
        <v>0</v>
      </c>
      <c r="AV142" s="110">
        <v>0</v>
      </c>
      <c r="AW142" s="110">
        <v>0</v>
      </c>
      <c r="AX142" s="110">
        <v>0</v>
      </c>
      <c r="AY142" s="110">
        <v>0</v>
      </c>
    </row>
    <row r="143" spans="1:51" x14ac:dyDescent="0.2">
      <c r="A143" s="113"/>
      <c r="B143" s="123">
        <v>22</v>
      </c>
      <c r="C143" s="110">
        <v>0</v>
      </c>
      <c r="D143" s="110">
        <v>0</v>
      </c>
      <c r="E143" s="110">
        <v>0</v>
      </c>
      <c r="F143" s="110">
        <v>0</v>
      </c>
      <c r="G143" s="110">
        <v>0</v>
      </c>
      <c r="H143" s="110">
        <v>0</v>
      </c>
      <c r="I143" s="110">
        <v>0</v>
      </c>
      <c r="J143" s="110">
        <v>0</v>
      </c>
      <c r="K143" s="110">
        <v>0</v>
      </c>
      <c r="L143" s="110">
        <v>0</v>
      </c>
      <c r="M143" s="110">
        <v>0</v>
      </c>
      <c r="N143" s="110">
        <v>0</v>
      </c>
      <c r="O143" s="110">
        <v>0</v>
      </c>
      <c r="P143" s="110">
        <v>0</v>
      </c>
      <c r="Q143" s="110">
        <v>0</v>
      </c>
      <c r="R143" s="110">
        <v>0</v>
      </c>
      <c r="S143" s="110">
        <v>0</v>
      </c>
      <c r="T143" s="110">
        <v>0</v>
      </c>
      <c r="U143" s="110">
        <v>0</v>
      </c>
      <c r="V143" s="110">
        <v>0</v>
      </c>
      <c r="W143" s="110">
        <v>0</v>
      </c>
      <c r="X143" s="110">
        <v>0</v>
      </c>
      <c r="Y143" s="110">
        <v>0</v>
      </c>
      <c r="Z143" s="110">
        <v>0</v>
      </c>
      <c r="AA143" s="110">
        <v>0</v>
      </c>
      <c r="AB143" s="110">
        <v>0</v>
      </c>
      <c r="AC143" s="110">
        <v>0</v>
      </c>
      <c r="AD143" s="110">
        <v>0</v>
      </c>
      <c r="AE143" s="110">
        <v>0</v>
      </c>
      <c r="AF143" s="110">
        <v>0</v>
      </c>
      <c r="AG143" s="110">
        <v>0</v>
      </c>
      <c r="AH143" s="110">
        <v>0</v>
      </c>
      <c r="AI143" s="110">
        <v>0</v>
      </c>
      <c r="AJ143" s="110">
        <v>0</v>
      </c>
      <c r="AK143" s="110">
        <v>0</v>
      </c>
      <c r="AL143" s="110">
        <v>0</v>
      </c>
      <c r="AM143" s="110">
        <v>0</v>
      </c>
      <c r="AN143" s="110">
        <v>0</v>
      </c>
      <c r="AO143" s="110">
        <v>0</v>
      </c>
      <c r="AP143" s="110">
        <v>0</v>
      </c>
      <c r="AQ143" s="110">
        <v>0</v>
      </c>
      <c r="AR143" s="110">
        <v>0</v>
      </c>
      <c r="AS143" s="110">
        <v>0</v>
      </c>
      <c r="AT143" s="110">
        <v>0</v>
      </c>
      <c r="AU143" s="110">
        <v>0</v>
      </c>
      <c r="AV143" s="110">
        <v>0</v>
      </c>
      <c r="AW143" s="110">
        <v>0</v>
      </c>
      <c r="AX143" s="110">
        <v>0</v>
      </c>
      <c r="AY143" s="110">
        <v>0</v>
      </c>
    </row>
    <row r="144" spans="1:51" x14ac:dyDescent="0.2">
      <c r="A144" s="113"/>
      <c r="B144" s="123">
        <v>23</v>
      </c>
      <c r="C144" s="110">
        <v>0</v>
      </c>
      <c r="D144" s="110">
        <v>0</v>
      </c>
      <c r="E144" s="110">
        <v>0</v>
      </c>
      <c r="F144" s="110">
        <v>0</v>
      </c>
      <c r="G144" s="110">
        <v>0</v>
      </c>
      <c r="H144" s="110">
        <v>0</v>
      </c>
      <c r="I144" s="110">
        <v>0</v>
      </c>
      <c r="J144" s="110">
        <v>0</v>
      </c>
      <c r="K144" s="110">
        <v>0</v>
      </c>
      <c r="L144" s="110">
        <v>0</v>
      </c>
      <c r="M144" s="110">
        <v>0</v>
      </c>
      <c r="N144" s="110">
        <v>0</v>
      </c>
      <c r="O144" s="110">
        <v>0</v>
      </c>
      <c r="P144" s="110">
        <v>0</v>
      </c>
      <c r="Q144" s="110">
        <v>0</v>
      </c>
      <c r="R144" s="110">
        <v>0</v>
      </c>
      <c r="S144" s="110">
        <v>0</v>
      </c>
      <c r="T144" s="110">
        <v>0</v>
      </c>
      <c r="U144" s="110">
        <v>0</v>
      </c>
      <c r="V144" s="110">
        <v>0</v>
      </c>
      <c r="W144" s="110">
        <v>0</v>
      </c>
      <c r="X144" s="110">
        <v>0</v>
      </c>
      <c r="Y144" s="110">
        <v>0</v>
      </c>
      <c r="Z144" s="110">
        <v>0</v>
      </c>
      <c r="AA144" s="110">
        <v>0</v>
      </c>
      <c r="AB144" s="110">
        <v>0</v>
      </c>
      <c r="AC144" s="110">
        <v>0</v>
      </c>
      <c r="AD144" s="110">
        <v>0</v>
      </c>
      <c r="AE144" s="110">
        <v>0</v>
      </c>
      <c r="AF144" s="110">
        <v>0</v>
      </c>
      <c r="AG144" s="110">
        <v>0</v>
      </c>
      <c r="AH144" s="110">
        <v>0</v>
      </c>
      <c r="AI144" s="110">
        <v>0</v>
      </c>
      <c r="AJ144" s="110">
        <v>0</v>
      </c>
      <c r="AK144" s="110">
        <v>0</v>
      </c>
      <c r="AL144" s="110">
        <v>0</v>
      </c>
      <c r="AM144" s="110">
        <v>0</v>
      </c>
      <c r="AN144" s="110">
        <v>0</v>
      </c>
      <c r="AO144" s="110">
        <v>0</v>
      </c>
      <c r="AP144" s="110">
        <v>0</v>
      </c>
      <c r="AQ144" s="110">
        <v>0</v>
      </c>
      <c r="AR144" s="110">
        <v>0</v>
      </c>
      <c r="AS144" s="110">
        <v>0</v>
      </c>
      <c r="AT144" s="110">
        <v>0</v>
      </c>
      <c r="AU144" s="110">
        <v>0</v>
      </c>
      <c r="AV144" s="110">
        <v>0</v>
      </c>
      <c r="AW144" s="110">
        <v>0</v>
      </c>
      <c r="AX144" s="110">
        <v>0</v>
      </c>
      <c r="AY144" s="110">
        <v>0</v>
      </c>
    </row>
    <row r="145" spans="1:51" x14ac:dyDescent="0.2">
      <c r="A145" s="113"/>
      <c r="B145" s="123">
        <v>24</v>
      </c>
      <c r="C145" s="110">
        <v>0</v>
      </c>
      <c r="D145" s="110">
        <v>0</v>
      </c>
      <c r="E145" s="110">
        <v>0</v>
      </c>
      <c r="F145" s="110">
        <v>0</v>
      </c>
      <c r="G145" s="110">
        <v>0</v>
      </c>
      <c r="H145" s="110">
        <v>0</v>
      </c>
      <c r="I145" s="110">
        <v>0</v>
      </c>
      <c r="J145" s="110">
        <v>0</v>
      </c>
      <c r="K145" s="110">
        <v>0</v>
      </c>
      <c r="L145" s="110">
        <v>0</v>
      </c>
      <c r="M145" s="110">
        <v>0</v>
      </c>
      <c r="N145" s="110">
        <v>0</v>
      </c>
      <c r="O145" s="110">
        <v>0</v>
      </c>
      <c r="P145" s="110">
        <v>0</v>
      </c>
      <c r="Q145" s="110">
        <v>0</v>
      </c>
      <c r="R145" s="110">
        <v>0</v>
      </c>
      <c r="S145" s="110">
        <v>0</v>
      </c>
      <c r="T145" s="110">
        <v>0</v>
      </c>
      <c r="U145" s="110">
        <v>0</v>
      </c>
      <c r="V145" s="110">
        <v>0</v>
      </c>
      <c r="W145" s="110">
        <v>0</v>
      </c>
      <c r="X145" s="110">
        <v>0</v>
      </c>
      <c r="Y145" s="110">
        <v>0</v>
      </c>
      <c r="Z145" s="110">
        <v>0</v>
      </c>
      <c r="AA145" s="110">
        <v>0</v>
      </c>
      <c r="AB145" s="110">
        <v>0</v>
      </c>
      <c r="AC145" s="110">
        <v>0</v>
      </c>
      <c r="AD145" s="110">
        <v>0</v>
      </c>
      <c r="AE145" s="110">
        <v>0</v>
      </c>
      <c r="AF145" s="110">
        <v>0</v>
      </c>
      <c r="AG145" s="110">
        <v>0</v>
      </c>
      <c r="AH145" s="110">
        <v>0</v>
      </c>
      <c r="AI145" s="110">
        <v>0</v>
      </c>
      <c r="AJ145" s="110">
        <v>0</v>
      </c>
      <c r="AK145" s="110">
        <v>0</v>
      </c>
      <c r="AL145" s="110">
        <v>0</v>
      </c>
      <c r="AM145" s="110">
        <v>0</v>
      </c>
      <c r="AN145" s="110">
        <v>0</v>
      </c>
      <c r="AO145" s="110">
        <v>0</v>
      </c>
      <c r="AP145" s="110">
        <v>0</v>
      </c>
      <c r="AQ145" s="110">
        <v>0</v>
      </c>
      <c r="AR145" s="110">
        <v>0</v>
      </c>
      <c r="AS145" s="110">
        <v>0</v>
      </c>
      <c r="AT145" s="110">
        <v>0</v>
      </c>
      <c r="AU145" s="110">
        <v>0</v>
      </c>
      <c r="AV145" s="110">
        <v>0</v>
      </c>
      <c r="AW145" s="110">
        <v>0</v>
      </c>
      <c r="AX145" s="110">
        <v>0</v>
      </c>
      <c r="AY145" s="110">
        <v>0</v>
      </c>
    </row>
    <row r="146" spans="1:51" x14ac:dyDescent="0.2">
      <c r="A146" s="113"/>
      <c r="B146" s="130">
        <v>25</v>
      </c>
      <c r="C146" s="110">
        <v>0</v>
      </c>
      <c r="D146" s="110">
        <v>0</v>
      </c>
      <c r="E146" s="110">
        <v>0</v>
      </c>
      <c r="F146" s="110">
        <v>0</v>
      </c>
      <c r="G146" s="110">
        <v>0</v>
      </c>
      <c r="H146" s="110">
        <v>0</v>
      </c>
      <c r="I146" s="110">
        <v>0</v>
      </c>
      <c r="J146" s="110">
        <v>0</v>
      </c>
      <c r="K146" s="110">
        <v>0</v>
      </c>
      <c r="L146" s="110">
        <v>0</v>
      </c>
      <c r="M146" s="110">
        <v>0</v>
      </c>
      <c r="N146" s="110">
        <v>0</v>
      </c>
      <c r="O146" s="110">
        <v>0</v>
      </c>
      <c r="P146" s="110">
        <v>0</v>
      </c>
      <c r="Q146" s="110">
        <v>0</v>
      </c>
      <c r="R146" s="110">
        <v>0</v>
      </c>
      <c r="S146" s="110">
        <v>0</v>
      </c>
      <c r="T146" s="110">
        <v>0</v>
      </c>
      <c r="U146" s="110">
        <v>0</v>
      </c>
      <c r="V146" s="110">
        <v>0</v>
      </c>
      <c r="W146" s="110">
        <v>0</v>
      </c>
      <c r="X146" s="110">
        <v>0</v>
      </c>
      <c r="Y146" s="110">
        <v>0</v>
      </c>
      <c r="Z146" s="110">
        <v>0</v>
      </c>
      <c r="AA146" s="110">
        <v>0</v>
      </c>
      <c r="AB146" s="110">
        <v>0</v>
      </c>
      <c r="AC146" s="110">
        <v>0</v>
      </c>
      <c r="AD146" s="110">
        <v>0</v>
      </c>
      <c r="AE146" s="110">
        <v>0</v>
      </c>
      <c r="AF146" s="110">
        <v>0</v>
      </c>
      <c r="AG146" s="110">
        <v>0</v>
      </c>
      <c r="AH146" s="110">
        <v>0</v>
      </c>
      <c r="AI146" s="110">
        <v>0</v>
      </c>
      <c r="AJ146" s="110">
        <v>0</v>
      </c>
      <c r="AK146" s="110">
        <v>0</v>
      </c>
      <c r="AL146" s="110">
        <v>0</v>
      </c>
      <c r="AM146" s="110">
        <v>0</v>
      </c>
      <c r="AN146" s="110">
        <v>0</v>
      </c>
      <c r="AO146" s="110">
        <v>0</v>
      </c>
      <c r="AP146" s="110">
        <v>0</v>
      </c>
      <c r="AQ146" s="110">
        <v>0</v>
      </c>
      <c r="AR146" s="110">
        <v>0</v>
      </c>
      <c r="AS146" s="110">
        <v>0</v>
      </c>
      <c r="AT146" s="110">
        <v>0</v>
      </c>
      <c r="AU146" s="110">
        <v>0</v>
      </c>
      <c r="AV146" s="110">
        <v>0</v>
      </c>
      <c r="AW146" s="110">
        <v>0</v>
      </c>
      <c r="AX146" s="110">
        <v>0</v>
      </c>
      <c r="AY146" s="110">
        <v>0</v>
      </c>
    </row>
    <row r="147" spans="1:51" x14ac:dyDescent="0.2">
      <c r="A147" s="113"/>
      <c r="B147" s="130">
        <v>26</v>
      </c>
      <c r="C147" s="110">
        <v>0</v>
      </c>
      <c r="D147" s="110">
        <v>0</v>
      </c>
      <c r="E147" s="110">
        <v>0</v>
      </c>
      <c r="F147" s="110">
        <v>0</v>
      </c>
      <c r="G147" s="110">
        <v>0</v>
      </c>
      <c r="H147" s="110">
        <v>0</v>
      </c>
      <c r="I147" s="110">
        <v>0</v>
      </c>
      <c r="J147" s="110">
        <v>0</v>
      </c>
      <c r="K147" s="110">
        <v>0</v>
      </c>
      <c r="L147" s="110">
        <v>0</v>
      </c>
      <c r="M147" s="110">
        <v>0</v>
      </c>
      <c r="N147" s="110">
        <v>0</v>
      </c>
      <c r="O147" s="110">
        <v>0</v>
      </c>
      <c r="P147" s="110">
        <v>0</v>
      </c>
      <c r="Q147" s="110">
        <v>0</v>
      </c>
      <c r="R147" s="110">
        <v>0</v>
      </c>
      <c r="S147" s="110">
        <v>0</v>
      </c>
      <c r="T147" s="110">
        <v>0</v>
      </c>
      <c r="U147" s="110">
        <v>0</v>
      </c>
      <c r="V147" s="110">
        <v>0</v>
      </c>
      <c r="W147" s="110">
        <v>0</v>
      </c>
      <c r="X147" s="110">
        <v>0</v>
      </c>
      <c r="Y147" s="110">
        <v>0</v>
      </c>
      <c r="Z147" s="110">
        <v>0</v>
      </c>
      <c r="AA147" s="110">
        <v>0</v>
      </c>
      <c r="AB147" s="110">
        <v>0</v>
      </c>
      <c r="AC147" s="110">
        <v>0</v>
      </c>
      <c r="AD147" s="110">
        <v>0</v>
      </c>
      <c r="AE147" s="110">
        <v>0</v>
      </c>
      <c r="AF147" s="110">
        <v>0</v>
      </c>
      <c r="AG147" s="110">
        <v>0</v>
      </c>
      <c r="AH147" s="110">
        <v>0</v>
      </c>
      <c r="AI147" s="110">
        <v>0</v>
      </c>
      <c r="AJ147" s="110">
        <v>0</v>
      </c>
      <c r="AK147" s="110">
        <v>0</v>
      </c>
      <c r="AL147" s="110">
        <v>0</v>
      </c>
      <c r="AM147" s="110">
        <v>0</v>
      </c>
      <c r="AN147" s="110">
        <v>0</v>
      </c>
      <c r="AO147" s="110">
        <v>0</v>
      </c>
      <c r="AP147" s="110">
        <v>0</v>
      </c>
      <c r="AQ147" s="110">
        <v>0</v>
      </c>
      <c r="AR147" s="110">
        <v>0</v>
      </c>
      <c r="AS147" s="110">
        <v>0</v>
      </c>
      <c r="AT147" s="110">
        <v>0</v>
      </c>
      <c r="AU147" s="110">
        <v>0</v>
      </c>
      <c r="AV147" s="110">
        <v>0</v>
      </c>
      <c r="AW147" s="110">
        <v>0</v>
      </c>
      <c r="AX147" s="110">
        <v>0</v>
      </c>
      <c r="AY147" s="110">
        <v>0</v>
      </c>
    </row>
    <row r="148" spans="1:51" x14ac:dyDescent="0.2">
      <c r="A148" s="113"/>
      <c r="B148" s="130">
        <v>27</v>
      </c>
      <c r="C148" s="110">
        <v>0</v>
      </c>
      <c r="D148" s="110">
        <v>0</v>
      </c>
      <c r="E148" s="110">
        <v>0</v>
      </c>
      <c r="F148" s="110">
        <v>0</v>
      </c>
      <c r="G148" s="110">
        <v>0</v>
      </c>
      <c r="H148" s="110">
        <v>0</v>
      </c>
      <c r="I148" s="110">
        <v>0</v>
      </c>
      <c r="J148" s="110">
        <v>0</v>
      </c>
      <c r="K148" s="110">
        <v>0</v>
      </c>
      <c r="L148" s="110">
        <v>0</v>
      </c>
      <c r="M148" s="110">
        <v>0</v>
      </c>
      <c r="N148" s="110">
        <v>0</v>
      </c>
      <c r="O148" s="110">
        <v>0</v>
      </c>
      <c r="P148" s="110">
        <v>0</v>
      </c>
      <c r="Q148" s="110">
        <v>0</v>
      </c>
      <c r="R148" s="110">
        <v>0</v>
      </c>
      <c r="S148" s="110">
        <v>0</v>
      </c>
      <c r="T148" s="110">
        <v>0</v>
      </c>
      <c r="U148" s="110">
        <v>0</v>
      </c>
      <c r="V148" s="110">
        <v>0</v>
      </c>
      <c r="W148" s="110">
        <v>0</v>
      </c>
      <c r="X148" s="110">
        <v>0</v>
      </c>
      <c r="Y148" s="110">
        <v>0</v>
      </c>
      <c r="Z148" s="110">
        <v>0</v>
      </c>
      <c r="AA148" s="110">
        <v>0</v>
      </c>
      <c r="AB148" s="110">
        <v>0</v>
      </c>
      <c r="AC148" s="110">
        <v>0</v>
      </c>
      <c r="AD148" s="110">
        <v>0</v>
      </c>
      <c r="AE148" s="110">
        <v>0</v>
      </c>
      <c r="AF148" s="110">
        <v>0</v>
      </c>
      <c r="AG148" s="110">
        <v>0</v>
      </c>
      <c r="AH148" s="110">
        <v>0</v>
      </c>
      <c r="AI148" s="110">
        <v>0</v>
      </c>
      <c r="AJ148" s="110">
        <v>0</v>
      </c>
      <c r="AK148" s="110">
        <v>0</v>
      </c>
      <c r="AL148" s="110">
        <v>0</v>
      </c>
      <c r="AM148" s="110">
        <v>0</v>
      </c>
      <c r="AN148" s="110">
        <v>0</v>
      </c>
      <c r="AO148" s="110">
        <v>0</v>
      </c>
      <c r="AP148" s="110">
        <v>0</v>
      </c>
      <c r="AQ148" s="110">
        <v>0</v>
      </c>
      <c r="AR148" s="110">
        <v>0</v>
      </c>
      <c r="AS148" s="110">
        <v>0</v>
      </c>
      <c r="AT148" s="110">
        <v>0</v>
      </c>
      <c r="AU148" s="110">
        <v>0</v>
      </c>
      <c r="AV148" s="110">
        <v>0</v>
      </c>
      <c r="AW148" s="110">
        <v>0</v>
      </c>
      <c r="AX148" s="110">
        <v>0</v>
      </c>
      <c r="AY148" s="110">
        <v>0</v>
      </c>
    </row>
    <row r="149" spans="1:51" x14ac:dyDescent="0.2">
      <c r="A149" s="113"/>
      <c r="B149" s="130">
        <v>28</v>
      </c>
      <c r="C149" s="110">
        <v>0</v>
      </c>
      <c r="D149" s="110">
        <v>0</v>
      </c>
      <c r="E149" s="110">
        <v>0</v>
      </c>
      <c r="F149" s="110">
        <v>0</v>
      </c>
      <c r="G149" s="110">
        <v>0</v>
      </c>
      <c r="H149" s="110">
        <v>0</v>
      </c>
      <c r="I149" s="110">
        <v>0</v>
      </c>
      <c r="J149" s="110">
        <v>0</v>
      </c>
      <c r="K149" s="110">
        <v>0</v>
      </c>
      <c r="L149" s="110">
        <v>0</v>
      </c>
      <c r="M149" s="110">
        <v>0</v>
      </c>
      <c r="N149" s="110">
        <v>0</v>
      </c>
      <c r="O149" s="110">
        <v>0</v>
      </c>
      <c r="P149" s="110">
        <v>0</v>
      </c>
      <c r="Q149" s="110">
        <v>0</v>
      </c>
      <c r="R149" s="110">
        <v>0</v>
      </c>
      <c r="S149" s="110">
        <v>0</v>
      </c>
      <c r="T149" s="110">
        <v>0</v>
      </c>
      <c r="U149" s="110">
        <v>0</v>
      </c>
      <c r="V149" s="110">
        <v>0</v>
      </c>
      <c r="W149" s="110">
        <v>0</v>
      </c>
      <c r="X149" s="110">
        <v>0</v>
      </c>
      <c r="Y149" s="110">
        <v>0</v>
      </c>
      <c r="Z149" s="110">
        <v>0</v>
      </c>
      <c r="AA149" s="110">
        <v>0</v>
      </c>
      <c r="AB149" s="110">
        <v>0</v>
      </c>
      <c r="AC149" s="110">
        <v>0</v>
      </c>
      <c r="AD149" s="110">
        <v>0</v>
      </c>
      <c r="AE149" s="110">
        <v>0</v>
      </c>
      <c r="AF149" s="110">
        <v>0</v>
      </c>
      <c r="AG149" s="110">
        <v>0</v>
      </c>
      <c r="AH149" s="110">
        <v>0</v>
      </c>
      <c r="AI149" s="110">
        <v>0</v>
      </c>
      <c r="AJ149" s="110">
        <v>0</v>
      </c>
      <c r="AK149" s="110">
        <v>0</v>
      </c>
      <c r="AL149" s="110">
        <v>0</v>
      </c>
      <c r="AM149" s="110">
        <v>0</v>
      </c>
      <c r="AN149" s="110">
        <v>0</v>
      </c>
      <c r="AO149" s="110">
        <v>0</v>
      </c>
      <c r="AP149" s="110">
        <v>0</v>
      </c>
      <c r="AQ149" s="110">
        <v>0</v>
      </c>
      <c r="AR149" s="110">
        <v>0</v>
      </c>
      <c r="AS149" s="110">
        <v>0</v>
      </c>
      <c r="AT149" s="110">
        <v>0</v>
      </c>
      <c r="AU149" s="110">
        <v>0</v>
      </c>
      <c r="AV149" s="110">
        <v>0</v>
      </c>
      <c r="AW149" s="110">
        <v>0</v>
      </c>
      <c r="AX149" s="110">
        <v>0</v>
      </c>
      <c r="AY149" s="110">
        <v>0</v>
      </c>
    </row>
    <row r="150" spans="1:51" x14ac:dyDescent="0.2">
      <c r="A150" s="113"/>
      <c r="B150" s="130">
        <v>29</v>
      </c>
      <c r="C150" s="110">
        <v>0</v>
      </c>
      <c r="D150" s="110">
        <v>0</v>
      </c>
      <c r="E150" s="110">
        <v>0</v>
      </c>
      <c r="F150" s="110">
        <v>0</v>
      </c>
      <c r="G150" s="110">
        <v>0</v>
      </c>
      <c r="H150" s="110">
        <v>0</v>
      </c>
      <c r="I150" s="110">
        <v>0</v>
      </c>
      <c r="J150" s="110">
        <v>0</v>
      </c>
      <c r="K150" s="110">
        <v>0</v>
      </c>
      <c r="L150" s="110">
        <v>0</v>
      </c>
      <c r="M150" s="110">
        <v>0</v>
      </c>
      <c r="N150" s="110">
        <v>0</v>
      </c>
      <c r="O150" s="110">
        <v>0</v>
      </c>
      <c r="P150" s="110">
        <v>0</v>
      </c>
      <c r="Q150" s="110">
        <v>0</v>
      </c>
      <c r="R150" s="110">
        <v>0</v>
      </c>
      <c r="S150" s="110">
        <v>0</v>
      </c>
      <c r="T150" s="110">
        <v>0</v>
      </c>
      <c r="U150" s="110">
        <v>0</v>
      </c>
      <c r="V150" s="110">
        <v>0</v>
      </c>
      <c r="W150" s="110">
        <v>0</v>
      </c>
      <c r="X150" s="110">
        <v>0</v>
      </c>
      <c r="Y150" s="110">
        <v>0</v>
      </c>
      <c r="Z150" s="110">
        <v>0</v>
      </c>
      <c r="AA150" s="110">
        <v>0</v>
      </c>
      <c r="AB150" s="110">
        <v>0</v>
      </c>
      <c r="AC150" s="110">
        <v>0</v>
      </c>
      <c r="AD150" s="110">
        <v>0</v>
      </c>
      <c r="AE150" s="110">
        <v>0</v>
      </c>
      <c r="AF150" s="110">
        <v>0</v>
      </c>
      <c r="AG150" s="110">
        <v>0</v>
      </c>
      <c r="AH150" s="110">
        <v>0</v>
      </c>
      <c r="AI150" s="110">
        <v>0</v>
      </c>
      <c r="AJ150" s="110">
        <v>0</v>
      </c>
      <c r="AK150" s="110">
        <v>0</v>
      </c>
      <c r="AL150" s="110">
        <v>0</v>
      </c>
      <c r="AM150" s="110">
        <v>0</v>
      </c>
      <c r="AN150" s="110">
        <v>0</v>
      </c>
      <c r="AO150" s="110">
        <v>0</v>
      </c>
      <c r="AP150" s="110">
        <v>0</v>
      </c>
      <c r="AQ150" s="110">
        <v>0</v>
      </c>
      <c r="AR150" s="110">
        <v>0</v>
      </c>
      <c r="AS150" s="110">
        <v>0</v>
      </c>
      <c r="AT150" s="110">
        <v>0</v>
      </c>
      <c r="AU150" s="110">
        <v>0</v>
      </c>
      <c r="AV150" s="110">
        <v>0</v>
      </c>
      <c r="AW150" s="110">
        <v>0</v>
      </c>
      <c r="AX150" s="110">
        <v>0</v>
      </c>
      <c r="AY150" s="110">
        <v>0</v>
      </c>
    </row>
    <row r="151" spans="1:51" x14ac:dyDescent="0.2">
      <c r="A151" s="113"/>
      <c r="B151" s="130">
        <v>30</v>
      </c>
      <c r="C151" s="110">
        <v>0</v>
      </c>
      <c r="D151" s="110">
        <v>0</v>
      </c>
      <c r="E151" s="110">
        <v>0</v>
      </c>
      <c r="F151" s="110">
        <v>0</v>
      </c>
      <c r="G151" s="110">
        <v>0</v>
      </c>
      <c r="H151" s="110">
        <v>0</v>
      </c>
      <c r="I151" s="110">
        <v>0</v>
      </c>
      <c r="J151" s="110">
        <v>0</v>
      </c>
      <c r="K151" s="110">
        <v>0</v>
      </c>
      <c r="L151" s="110">
        <v>0</v>
      </c>
      <c r="M151" s="110">
        <v>0</v>
      </c>
      <c r="N151" s="110">
        <v>0</v>
      </c>
      <c r="O151" s="110">
        <v>0</v>
      </c>
      <c r="P151" s="110">
        <v>0</v>
      </c>
      <c r="Q151" s="110">
        <v>0</v>
      </c>
      <c r="R151" s="110">
        <v>0</v>
      </c>
      <c r="S151" s="110">
        <v>0</v>
      </c>
      <c r="T151" s="110">
        <v>0</v>
      </c>
      <c r="U151" s="110">
        <v>0</v>
      </c>
      <c r="V151" s="110">
        <v>0</v>
      </c>
      <c r="W151" s="110">
        <v>0</v>
      </c>
      <c r="X151" s="110">
        <v>0</v>
      </c>
      <c r="Y151" s="110">
        <v>0</v>
      </c>
      <c r="Z151" s="110">
        <v>0</v>
      </c>
      <c r="AA151" s="110">
        <v>0</v>
      </c>
      <c r="AB151" s="110">
        <v>0</v>
      </c>
      <c r="AC151" s="110">
        <v>0</v>
      </c>
      <c r="AD151" s="110">
        <v>0</v>
      </c>
      <c r="AE151" s="110">
        <v>0</v>
      </c>
      <c r="AF151" s="110">
        <v>0</v>
      </c>
      <c r="AG151" s="110">
        <v>0</v>
      </c>
      <c r="AH151" s="110">
        <v>0</v>
      </c>
      <c r="AI151" s="110">
        <v>0</v>
      </c>
      <c r="AJ151" s="110">
        <v>0</v>
      </c>
      <c r="AK151" s="110">
        <v>0</v>
      </c>
      <c r="AL151" s="110">
        <v>0</v>
      </c>
      <c r="AM151" s="110">
        <v>0</v>
      </c>
      <c r="AN151" s="110">
        <v>0</v>
      </c>
      <c r="AO151" s="110">
        <v>0</v>
      </c>
      <c r="AP151" s="110">
        <v>0</v>
      </c>
      <c r="AQ151" s="110">
        <v>0</v>
      </c>
      <c r="AR151" s="110">
        <v>0</v>
      </c>
      <c r="AS151" s="110">
        <v>0</v>
      </c>
      <c r="AT151" s="110">
        <v>0</v>
      </c>
      <c r="AU151" s="110">
        <v>0</v>
      </c>
      <c r="AV151" s="110">
        <v>0</v>
      </c>
      <c r="AW151" s="110">
        <v>0</v>
      </c>
      <c r="AX151" s="110">
        <v>0</v>
      </c>
      <c r="AY151" s="110">
        <v>0</v>
      </c>
    </row>
    <row r="152" spans="1:51" x14ac:dyDescent="0.2">
      <c r="A152" s="113"/>
      <c r="B152" s="130">
        <v>31</v>
      </c>
      <c r="C152" s="110">
        <v>0</v>
      </c>
      <c r="D152" s="110">
        <v>0</v>
      </c>
      <c r="E152" s="110">
        <v>0</v>
      </c>
      <c r="F152" s="110">
        <v>0</v>
      </c>
      <c r="G152" s="110">
        <v>0</v>
      </c>
      <c r="H152" s="110">
        <v>0</v>
      </c>
      <c r="I152" s="110">
        <v>0</v>
      </c>
      <c r="J152" s="110">
        <v>0</v>
      </c>
      <c r="K152" s="110">
        <v>0</v>
      </c>
      <c r="L152" s="110">
        <v>0</v>
      </c>
      <c r="M152" s="110">
        <v>0</v>
      </c>
      <c r="N152" s="110">
        <v>0</v>
      </c>
      <c r="O152" s="110">
        <v>0</v>
      </c>
      <c r="P152" s="110">
        <v>0</v>
      </c>
      <c r="Q152" s="110">
        <v>0</v>
      </c>
      <c r="R152" s="110">
        <v>0</v>
      </c>
      <c r="S152" s="110">
        <v>0</v>
      </c>
      <c r="T152" s="110">
        <v>0</v>
      </c>
      <c r="U152" s="110">
        <v>0</v>
      </c>
      <c r="V152" s="110">
        <v>0</v>
      </c>
      <c r="W152" s="110">
        <v>0</v>
      </c>
      <c r="X152" s="110">
        <v>0</v>
      </c>
      <c r="Y152" s="110">
        <v>0</v>
      </c>
      <c r="Z152" s="110">
        <v>0</v>
      </c>
      <c r="AA152" s="110">
        <v>0</v>
      </c>
      <c r="AB152" s="110">
        <v>0</v>
      </c>
      <c r="AC152" s="110">
        <v>0</v>
      </c>
      <c r="AD152" s="110">
        <v>0</v>
      </c>
      <c r="AE152" s="110">
        <v>0</v>
      </c>
      <c r="AF152" s="110">
        <v>0</v>
      </c>
      <c r="AG152" s="110">
        <v>0</v>
      </c>
      <c r="AH152" s="110">
        <v>0</v>
      </c>
      <c r="AI152" s="110">
        <v>0</v>
      </c>
      <c r="AJ152" s="110">
        <v>0</v>
      </c>
      <c r="AK152" s="110">
        <v>0</v>
      </c>
      <c r="AL152" s="110">
        <v>0</v>
      </c>
      <c r="AM152" s="110">
        <v>0</v>
      </c>
      <c r="AN152" s="110">
        <v>0</v>
      </c>
      <c r="AO152" s="110">
        <v>0</v>
      </c>
      <c r="AP152" s="110">
        <v>0</v>
      </c>
      <c r="AQ152" s="110">
        <v>0</v>
      </c>
      <c r="AR152" s="110">
        <v>0</v>
      </c>
      <c r="AS152" s="110">
        <v>0</v>
      </c>
      <c r="AT152" s="110">
        <v>0</v>
      </c>
      <c r="AU152" s="110">
        <v>0</v>
      </c>
      <c r="AV152" s="110">
        <v>0</v>
      </c>
      <c r="AW152" s="110">
        <v>0</v>
      </c>
      <c r="AX152" s="110">
        <v>0</v>
      </c>
      <c r="AY152" s="110">
        <v>0</v>
      </c>
    </row>
    <row r="153" spans="1:51" x14ac:dyDescent="0.2">
      <c r="A153" s="113"/>
      <c r="B153" s="130">
        <v>32</v>
      </c>
      <c r="C153" s="110">
        <v>0</v>
      </c>
      <c r="D153" s="110">
        <v>0</v>
      </c>
      <c r="E153" s="110">
        <v>0</v>
      </c>
      <c r="F153" s="110">
        <v>0</v>
      </c>
      <c r="G153" s="110">
        <v>0</v>
      </c>
      <c r="H153" s="110">
        <v>0</v>
      </c>
      <c r="I153" s="110">
        <v>0</v>
      </c>
      <c r="J153" s="110">
        <v>0</v>
      </c>
      <c r="K153" s="110">
        <v>0</v>
      </c>
      <c r="L153" s="110">
        <v>0</v>
      </c>
      <c r="M153" s="110">
        <v>0</v>
      </c>
      <c r="N153" s="110">
        <v>0</v>
      </c>
      <c r="O153" s="110">
        <v>0</v>
      </c>
      <c r="P153" s="110">
        <v>0</v>
      </c>
      <c r="Q153" s="110">
        <v>0</v>
      </c>
      <c r="R153" s="110">
        <v>0</v>
      </c>
      <c r="S153" s="110">
        <v>0</v>
      </c>
      <c r="T153" s="110">
        <v>0</v>
      </c>
      <c r="U153" s="110">
        <v>0</v>
      </c>
      <c r="V153" s="110">
        <v>0</v>
      </c>
      <c r="W153" s="110">
        <v>0</v>
      </c>
      <c r="X153" s="110">
        <v>0</v>
      </c>
      <c r="Y153" s="110">
        <v>0</v>
      </c>
      <c r="Z153" s="110">
        <v>0</v>
      </c>
      <c r="AA153" s="110">
        <v>0</v>
      </c>
      <c r="AB153" s="110">
        <v>0</v>
      </c>
      <c r="AC153" s="110">
        <v>0</v>
      </c>
      <c r="AD153" s="110">
        <v>0</v>
      </c>
      <c r="AE153" s="110">
        <v>0</v>
      </c>
      <c r="AF153" s="110">
        <v>0</v>
      </c>
      <c r="AG153" s="110">
        <v>0</v>
      </c>
      <c r="AH153" s="110">
        <v>0</v>
      </c>
      <c r="AI153" s="110">
        <v>0</v>
      </c>
      <c r="AJ153" s="110">
        <v>0</v>
      </c>
      <c r="AK153" s="110">
        <v>0</v>
      </c>
      <c r="AL153" s="110">
        <v>0</v>
      </c>
      <c r="AM153" s="110">
        <v>0</v>
      </c>
      <c r="AN153" s="110">
        <v>0</v>
      </c>
      <c r="AO153" s="110">
        <v>0</v>
      </c>
      <c r="AP153" s="110">
        <v>0</v>
      </c>
      <c r="AQ153" s="110">
        <v>0</v>
      </c>
      <c r="AR153" s="110">
        <v>0</v>
      </c>
      <c r="AS153" s="110">
        <v>0</v>
      </c>
      <c r="AT153" s="110">
        <v>0</v>
      </c>
      <c r="AU153" s="110">
        <v>0</v>
      </c>
      <c r="AV153" s="110">
        <v>0</v>
      </c>
      <c r="AW153" s="110">
        <v>0</v>
      </c>
      <c r="AX153" s="110">
        <v>0</v>
      </c>
      <c r="AY153" s="110">
        <v>0</v>
      </c>
    </row>
    <row r="154" spans="1:51" x14ac:dyDescent="0.2">
      <c r="A154" s="113"/>
      <c r="B154" s="130">
        <v>33</v>
      </c>
      <c r="C154" s="110">
        <v>0</v>
      </c>
      <c r="D154" s="110">
        <v>0</v>
      </c>
      <c r="E154" s="110">
        <v>0</v>
      </c>
      <c r="F154" s="110">
        <v>0</v>
      </c>
      <c r="G154" s="110">
        <v>0</v>
      </c>
      <c r="H154" s="110">
        <v>0</v>
      </c>
      <c r="I154" s="110">
        <v>0</v>
      </c>
      <c r="J154" s="110">
        <v>0</v>
      </c>
      <c r="K154" s="110">
        <v>0</v>
      </c>
      <c r="L154" s="110">
        <v>0</v>
      </c>
      <c r="M154" s="110">
        <v>0</v>
      </c>
      <c r="N154" s="110">
        <v>0</v>
      </c>
      <c r="O154" s="110">
        <v>0</v>
      </c>
      <c r="P154" s="110">
        <v>0</v>
      </c>
      <c r="Q154" s="110">
        <v>0</v>
      </c>
      <c r="R154" s="110">
        <v>0</v>
      </c>
      <c r="S154" s="110">
        <v>0</v>
      </c>
      <c r="T154" s="110">
        <v>0</v>
      </c>
      <c r="U154" s="110">
        <v>0</v>
      </c>
      <c r="V154" s="110">
        <v>0</v>
      </c>
      <c r="W154" s="110">
        <v>0</v>
      </c>
      <c r="X154" s="110">
        <v>0</v>
      </c>
      <c r="Y154" s="110">
        <v>0</v>
      </c>
      <c r="Z154" s="110">
        <v>0</v>
      </c>
      <c r="AA154" s="110">
        <v>0</v>
      </c>
      <c r="AB154" s="110">
        <v>0</v>
      </c>
      <c r="AC154" s="110">
        <v>0</v>
      </c>
      <c r="AD154" s="110">
        <v>0</v>
      </c>
      <c r="AE154" s="110">
        <v>0</v>
      </c>
      <c r="AF154" s="110">
        <v>0</v>
      </c>
      <c r="AG154" s="110">
        <v>0</v>
      </c>
      <c r="AH154" s="110">
        <v>0</v>
      </c>
      <c r="AI154" s="110">
        <v>0</v>
      </c>
      <c r="AJ154" s="110">
        <v>0</v>
      </c>
      <c r="AK154" s="110">
        <v>0</v>
      </c>
      <c r="AL154" s="110">
        <v>0</v>
      </c>
      <c r="AM154" s="110">
        <v>0</v>
      </c>
      <c r="AN154" s="110">
        <v>0</v>
      </c>
      <c r="AO154" s="110">
        <v>0</v>
      </c>
      <c r="AP154" s="110">
        <v>0</v>
      </c>
      <c r="AQ154" s="110">
        <v>0</v>
      </c>
      <c r="AR154" s="110">
        <v>0</v>
      </c>
      <c r="AS154" s="110">
        <v>0</v>
      </c>
      <c r="AT154" s="110">
        <v>0</v>
      </c>
      <c r="AU154" s="110">
        <v>0</v>
      </c>
      <c r="AV154" s="110">
        <v>0</v>
      </c>
      <c r="AW154" s="110">
        <v>0</v>
      </c>
      <c r="AX154" s="110">
        <v>0</v>
      </c>
      <c r="AY154" s="110">
        <v>0</v>
      </c>
    </row>
    <row r="155" spans="1:51" x14ac:dyDescent="0.2">
      <c r="A155" s="113"/>
      <c r="B155" s="130">
        <v>34</v>
      </c>
      <c r="C155" s="110">
        <v>0</v>
      </c>
      <c r="D155" s="110">
        <v>0</v>
      </c>
      <c r="E155" s="110">
        <v>0</v>
      </c>
      <c r="F155" s="110">
        <v>0</v>
      </c>
      <c r="G155" s="110">
        <v>0</v>
      </c>
      <c r="H155" s="110">
        <v>0</v>
      </c>
      <c r="I155" s="110">
        <v>0</v>
      </c>
      <c r="J155" s="110">
        <v>0</v>
      </c>
      <c r="K155" s="110">
        <v>0</v>
      </c>
      <c r="L155" s="110">
        <v>0</v>
      </c>
      <c r="M155" s="110">
        <v>0</v>
      </c>
      <c r="N155" s="110">
        <v>0</v>
      </c>
      <c r="O155" s="110">
        <v>0</v>
      </c>
      <c r="P155" s="110">
        <v>0</v>
      </c>
      <c r="Q155" s="110">
        <v>0</v>
      </c>
      <c r="R155" s="110">
        <v>0</v>
      </c>
      <c r="S155" s="110">
        <v>0</v>
      </c>
      <c r="T155" s="110">
        <v>0</v>
      </c>
      <c r="U155" s="110">
        <v>0</v>
      </c>
      <c r="V155" s="110">
        <v>0</v>
      </c>
      <c r="W155" s="110">
        <v>0</v>
      </c>
      <c r="X155" s="110">
        <v>0</v>
      </c>
      <c r="Y155" s="110">
        <v>0</v>
      </c>
      <c r="Z155" s="110">
        <v>0</v>
      </c>
      <c r="AA155" s="110">
        <v>0</v>
      </c>
      <c r="AB155" s="110">
        <v>0</v>
      </c>
      <c r="AC155" s="110">
        <v>0</v>
      </c>
      <c r="AD155" s="110">
        <v>0</v>
      </c>
      <c r="AE155" s="110">
        <v>0</v>
      </c>
      <c r="AF155" s="110">
        <v>0</v>
      </c>
      <c r="AG155" s="110">
        <v>0</v>
      </c>
      <c r="AH155" s="110">
        <v>0</v>
      </c>
      <c r="AI155" s="110">
        <v>0</v>
      </c>
      <c r="AJ155" s="110">
        <v>0</v>
      </c>
      <c r="AK155" s="110">
        <v>0</v>
      </c>
      <c r="AL155" s="110">
        <v>0</v>
      </c>
      <c r="AM155" s="110">
        <v>0</v>
      </c>
      <c r="AN155" s="110">
        <v>0</v>
      </c>
      <c r="AO155" s="110">
        <v>0</v>
      </c>
      <c r="AP155" s="110">
        <v>0</v>
      </c>
      <c r="AQ155" s="110">
        <v>0</v>
      </c>
      <c r="AR155" s="110">
        <v>0</v>
      </c>
      <c r="AS155" s="110">
        <v>0</v>
      </c>
      <c r="AT155" s="110">
        <v>0</v>
      </c>
      <c r="AU155" s="110">
        <v>0</v>
      </c>
      <c r="AV155" s="110">
        <v>0</v>
      </c>
      <c r="AW155" s="110">
        <v>0</v>
      </c>
      <c r="AX155" s="110">
        <v>0</v>
      </c>
      <c r="AY155" s="110">
        <v>0</v>
      </c>
    </row>
    <row r="156" spans="1:51" x14ac:dyDescent="0.2">
      <c r="A156" s="113"/>
      <c r="B156" s="130">
        <v>35</v>
      </c>
      <c r="C156" s="110">
        <v>0</v>
      </c>
      <c r="D156" s="110">
        <v>0</v>
      </c>
      <c r="E156" s="110">
        <v>0</v>
      </c>
      <c r="F156" s="110">
        <v>0</v>
      </c>
      <c r="G156" s="110">
        <v>0</v>
      </c>
      <c r="H156" s="110">
        <v>0</v>
      </c>
      <c r="I156" s="110">
        <v>0</v>
      </c>
      <c r="J156" s="110">
        <v>0</v>
      </c>
      <c r="K156" s="110">
        <v>0</v>
      </c>
      <c r="L156" s="110">
        <v>0</v>
      </c>
      <c r="M156" s="110">
        <v>0</v>
      </c>
      <c r="N156" s="110">
        <v>0</v>
      </c>
      <c r="O156" s="110">
        <v>0</v>
      </c>
      <c r="P156" s="110">
        <v>0</v>
      </c>
      <c r="Q156" s="110">
        <v>0</v>
      </c>
      <c r="R156" s="110">
        <v>0</v>
      </c>
      <c r="S156" s="110">
        <v>0</v>
      </c>
      <c r="T156" s="110">
        <v>0</v>
      </c>
      <c r="U156" s="110">
        <v>0</v>
      </c>
      <c r="V156" s="110">
        <v>0</v>
      </c>
      <c r="W156" s="110">
        <v>0</v>
      </c>
      <c r="X156" s="110">
        <v>0</v>
      </c>
      <c r="Y156" s="110">
        <v>0</v>
      </c>
      <c r="Z156" s="110">
        <v>0</v>
      </c>
      <c r="AA156" s="110">
        <v>0</v>
      </c>
      <c r="AB156" s="110">
        <v>0</v>
      </c>
      <c r="AC156" s="110">
        <v>0</v>
      </c>
      <c r="AD156" s="110">
        <v>0</v>
      </c>
      <c r="AE156" s="110">
        <v>0</v>
      </c>
      <c r="AF156" s="110">
        <v>0</v>
      </c>
      <c r="AG156" s="110">
        <v>0</v>
      </c>
      <c r="AH156" s="110">
        <v>0</v>
      </c>
      <c r="AI156" s="110">
        <v>0</v>
      </c>
      <c r="AJ156" s="110">
        <v>0</v>
      </c>
      <c r="AK156" s="110">
        <v>0</v>
      </c>
      <c r="AL156" s="110">
        <v>0</v>
      </c>
      <c r="AM156" s="110">
        <v>0</v>
      </c>
      <c r="AN156" s="110">
        <v>0</v>
      </c>
      <c r="AO156" s="110">
        <v>0</v>
      </c>
      <c r="AP156" s="110">
        <v>0</v>
      </c>
      <c r="AQ156" s="110">
        <v>0</v>
      </c>
      <c r="AR156" s="110">
        <v>0</v>
      </c>
      <c r="AS156" s="110">
        <v>0</v>
      </c>
      <c r="AT156" s="110">
        <v>0</v>
      </c>
      <c r="AU156" s="110">
        <v>0</v>
      </c>
      <c r="AV156" s="110">
        <v>0</v>
      </c>
      <c r="AW156" s="110">
        <v>0</v>
      </c>
      <c r="AX156" s="110">
        <v>0</v>
      </c>
      <c r="AY156" s="110">
        <v>0</v>
      </c>
    </row>
    <row r="157" spans="1:51" x14ac:dyDescent="0.2">
      <c r="A157" s="113"/>
      <c r="B157" s="130">
        <v>36</v>
      </c>
      <c r="C157" s="110">
        <v>0</v>
      </c>
      <c r="D157" s="110">
        <v>0</v>
      </c>
      <c r="E157" s="110">
        <v>0</v>
      </c>
      <c r="F157" s="110">
        <v>0</v>
      </c>
      <c r="G157" s="110">
        <v>0</v>
      </c>
      <c r="H157" s="110">
        <v>0</v>
      </c>
      <c r="I157" s="110">
        <v>0</v>
      </c>
      <c r="J157" s="110">
        <v>0</v>
      </c>
      <c r="K157" s="110">
        <v>0</v>
      </c>
      <c r="L157" s="110">
        <v>0</v>
      </c>
      <c r="M157" s="110">
        <v>0</v>
      </c>
      <c r="N157" s="110">
        <v>0</v>
      </c>
      <c r="O157" s="110">
        <v>0</v>
      </c>
      <c r="P157" s="110">
        <v>0</v>
      </c>
      <c r="Q157" s="110">
        <v>0</v>
      </c>
      <c r="R157" s="110">
        <v>0</v>
      </c>
      <c r="S157" s="110">
        <v>0</v>
      </c>
      <c r="T157" s="110">
        <v>0</v>
      </c>
      <c r="U157" s="110">
        <v>0</v>
      </c>
      <c r="V157" s="110">
        <v>0</v>
      </c>
      <c r="W157" s="110">
        <v>0</v>
      </c>
      <c r="X157" s="110">
        <v>0</v>
      </c>
      <c r="Y157" s="110">
        <v>0</v>
      </c>
      <c r="Z157" s="110">
        <v>0</v>
      </c>
      <c r="AA157" s="110">
        <v>0</v>
      </c>
      <c r="AB157" s="110">
        <v>0</v>
      </c>
      <c r="AC157" s="110">
        <v>0</v>
      </c>
      <c r="AD157" s="110">
        <v>0</v>
      </c>
      <c r="AE157" s="110">
        <v>0</v>
      </c>
      <c r="AF157" s="110">
        <v>0</v>
      </c>
      <c r="AG157" s="110">
        <v>0</v>
      </c>
      <c r="AH157" s="110">
        <v>0</v>
      </c>
      <c r="AI157" s="110">
        <v>0</v>
      </c>
      <c r="AJ157" s="110">
        <v>0</v>
      </c>
      <c r="AK157" s="110">
        <v>0</v>
      </c>
      <c r="AL157" s="110">
        <v>0</v>
      </c>
      <c r="AM157" s="110">
        <v>0</v>
      </c>
      <c r="AN157" s="110">
        <v>0</v>
      </c>
      <c r="AO157" s="110">
        <v>0</v>
      </c>
      <c r="AP157" s="110">
        <v>0</v>
      </c>
      <c r="AQ157" s="110">
        <v>0</v>
      </c>
      <c r="AR157" s="110">
        <v>0</v>
      </c>
      <c r="AS157" s="110">
        <v>0</v>
      </c>
      <c r="AT157" s="110">
        <v>0</v>
      </c>
      <c r="AU157" s="110">
        <v>0</v>
      </c>
      <c r="AV157" s="110">
        <v>0</v>
      </c>
      <c r="AW157" s="110">
        <v>0</v>
      </c>
      <c r="AX157" s="110">
        <v>0</v>
      </c>
      <c r="AY157" s="110">
        <v>0</v>
      </c>
    </row>
    <row r="158" spans="1:51" x14ac:dyDescent="0.2">
      <c r="A158" s="113"/>
      <c r="B158" s="133">
        <v>37</v>
      </c>
      <c r="C158" s="110">
        <v>0</v>
      </c>
      <c r="D158" s="110">
        <v>0</v>
      </c>
      <c r="E158" s="110">
        <v>0</v>
      </c>
      <c r="F158" s="110">
        <v>0</v>
      </c>
      <c r="G158" s="110">
        <v>0</v>
      </c>
      <c r="H158" s="110">
        <v>0</v>
      </c>
      <c r="I158" s="110">
        <v>0</v>
      </c>
      <c r="J158" s="110">
        <v>0</v>
      </c>
      <c r="K158" s="110">
        <v>0</v>
      </c>
      <c r="L158" s="110">
        <v>0</v>
      </c>
      <c r="M158" s="110">
        <v>0</v>
      </c>
      <c r="N158" s="110">
        <v>0</v>
      </c>
      <c r="O158" s="110">
        <v>0</v>
      </c>
      <c r="P158" s="110">
        <v>0</v>
      </c>
      <c r="Q158" s="110">
        <v>0</v>
      </c>
      <c r="R158" s="110">
        <v>0</v>
      </c>
      <c r="S158" s="110">
        <v>0</v>
      </c>
      <c r="T158" s="110">
        <v>0</v>
      </c>
      <c r="U158" s="110">
        <v>0</v>
      </c>
      <c r="V158" s="110">
        <v>0</v>
      </c>
      <c r="W158" s="110">
        <v>0</v>
      </c>
      <c r="X158" s="110">
        <v>0</v>
      </c>
      <c r="Y158" s="110">
        <v>0</v>
      </c>
      <c r="Z158" s="110">
        <v>0</v>
      </c>
      <c r="AA158" s="110">
        <v>0</v>
      </c>
      <c r="AB158" s="110">
        <v>0</v>
      </c>
      <c r="AC158" s="110">
        <v>0</v>
      </c>
      <c r="AD158" s="110">
        <v>0</v>
      </c>
      <c r="AE158" s="110">
        <v>0</v>
      </c>
      <c r="AF158" s="110">
        <v>0</v>
      </c>
      <c r="AG158" s="110">
        <v>0</v>
      </c>
      <c r="AH158" s="110">
        <v>0</v>
      </c>
      <c r="AI158" s="110">
        <v>0</v>
      </c>
      <c r="AJ158" s="110">
        <v>0</v>
      </c>
      <c r="AK158" s="110">
        <v>0</v>
      </c>
      <c r="AL158" s="110">
        <v>0</v>
      </c>
      <c r="AM158" s="110">
        <v>0</v>
      </c>
      <c r="AN158" s="110">
        <v>0</v>
      </c>
      <c r="AO158" s="110">
        <v>0</v>
      </c>
      <c r="AP158" s="110">
        <v>0</v>
      </c>
      <c r="AQ158" s="110">
        <v>0</v>
      </c>
      <c r="AR158" s="110">
        <v>0</v>
      </c>
      <c r="AS158" s="110">
        <v>0</v>
      </c>
      <c r="AT158" s="110">
        <v>0</v>
      </c>
      <c r="AU158" s="110">
        <v>0</v>
      </c>
      <c r="AV158" s="110">
        <v>0</v>
      </c>
      <c r="AW158" s="110">
        <v>0</v>
      </c>
      <c r="AX158" s="110">
        <v>0</v>
      </c>
      <c r="AY158" s="110">
        <v>0</v>
      </c>
    </row>
    <row r="159" spans="1:51" x14ac:dyDescent="0.2">
      <c r="A159" s="113"/>
      <c r="B159" s="133">
        <v>38</v>
      </c>
      <c r="C159" s="110">
        <v>0</v>
      </c>
      <c r="D159" s="110">
        <v>0</v>
      </c>
      <c r="E159" s="110">
        <v>0</v>
      </c>
      <c r="F159" s="110">
        <v>0</v>
      </c>
      <c r="G159" s="110">
        <v>0</v>
      </c>
      <c r="H159" s="110">
        <v>0</v>
      </c>
      <c r="I159" s="110">
        <v>0</v>
      </c>
      <c r="J159" s="110">
        <v>0</v>
      </c>
      <c r="K159" s="110">
        <v>0</v>
      </c>
      <c r="L159" s="110">
        <v>0</v>
      </c>
      <c r="M159" s="110">
        <v>0</v>
      </c>
      <c r="N159" s="110">
        <v>0</v>
      </c>
      <c r="O159" s="110">
        <v>0</v>
      </c>
      <c r="P159" s="110">
        <v>0</v>
      </c>
      <c r="Q159" s="110">
        <v>0</v>
      </c>
      <c r="R159" s="110">
        <v>0</v>
      </c>
      <c r="S159" s="110">
        <v>0</v>
      </c>
      <c r="T159" s="110">
        <v>0</v>
      </c>
      <c r="U159" s="110">
        <v>0</v>
      </c>
      <c r="V159" s="110">
        <v>0</v>
      </c>
      <c r="W159" s="110">
        <v>0</v>
      </c>
      <c r="X159" s="110">
        <v>0</v>
      </c>
      <c r="Y159" s="110">
        <v>0</v>
      </c>
      <c r="Z159" s="110">
        <v>0</v>
      </c>
      <c r="AA159" s="110">
        <v>0</v>
      </c>
      <c r="AB159" s="110">
        <v>0</v>
      </c>
      <c r="AC159" s="110">
        <v>0</v>
      </c>
      <c r="AD159" s="110">
        <v>0</v>
      </c>
      <c r="AE159" s="110">
        <v>0</v>
      </c>
      <c r="AF159" s="110">
        <v>0</v>
      </c>
      <c r="AG159" s="110">
        <v>0</v>
      </c>
      <c r="AH159" s="110">
        <v>0</v>
      </c>
      <c r="AI159" s="110">
        <v>0</v>
      </c>
      <c r="AJ159" s="110">
        <v>0</v>
      </c>
      <c r="AK159" s="110">
        <v>0</v>
      </c>
      <c r="AL159" s="110">
        <v>0</v>
      </c>
      <c r="AM159" s="110">
        <v>0</v>
      </c>
      <c r="AN159" s="110">
        <v>0</v>
      </c>
      <c r="AO159" s="110">
        <v>0</v>
      </c>
      <c r="AP159" s="110">
        <v>0</v>
      </c>
      <c r="AQ159" s="110">
        <v>0</v>
      </c>
      <c r="AR159" s="110">
        <v>0</v>
      </c>
      <c r="AS159" s="110">
        <v>0</v>
      </c>
      <c r="AT159" s="110">
        <v>0</v>
      </c>
      <c r="AU159" s="110">
        <v>0</v>
      </c>
      <c r="AV159" s="110">
        <v>0</v>
      </c>
      <c r="AW159" s="110">
        <v>0</v>
      </c>
      <c r="AX159" s="110">
        <v>0</v>
      </c>
      <c r="AY159" s="110">
        <v>0</v>
      </c>
    </row>
    <row r="160" spans="1:51" x14ac:dyDescent="0.2">
      <c r="A160" s="113"/>
      <c r="B160" s="133">
        <v>39</v>
      </c>
      <c r="C160" s="110">
        <v>0</v>
      </c>
      <c r="D160" s="110">
        <v>0</v>
      </c>
      <c r="E160" s="110">
        <v>0</v>
      </c>
      <c r="F160" s="110">
        <v>0</v>
      </c>
      <c r="G160" s="110">
        <v>0</v>
      </c>
      <c r="H160" s="110">
        <v>0</v>
      </c>
      <c r="I160" s="110">
        <v>0</v>
      </c>
      <c r="J160" s="110">
        <v>0</v>
      </c>
      <c r="K160" s="110">
        <v>0</v>
      </c>
      <c r="L160" s="110">
        <v>0</v>
      </c>
      <c r="M160" s="110">
        <v>0</v>
      </c>
      <c r="N160" s="110">
        <v>0</v>
      </c>
      <c r="O160" s="110">
        <v>0</v>
      </c>
      <c r="P160" s="110">
        <v>0</v>
      </c>
      <c r="Q160" s="110">
        <v>0</v>
      </c>
      <c r="R160" s="110">
        <v>0</v>
      </c>
      <c r="S160" s="110">
        <v>0</v>
      </c>
      <c r="T160" s="110">
        <v>0</v>
      </c>
      <c r="U160" s="110">
        <v>0</v>
      </c>
      <c r="V160" s="110">
        <v>0</v>
      </c>
      <c r="W160" s="110">
        <v>0</v>
      </c>
      <c r="X160" s="110">
        <v>0</v>
      </c>
      <c r="Y160" s="110">
        <v>0</v>
      </c>
      <c r="Z160" s="110">
        <v>0</v>
      </c>
      <c r="AA160" s="110">
        <v>0</v>
      </c>
      <c r="AB160" s="110">
        <v>0</v>
      </c>
      <c r="AC160" s="110">
        <v>0</v>
      </c>
      <c r="AD160" s="110">
        <v>0</v>
      </c>
      <c r="AE160" s="110">
        <v>0</v>
      </c>
      <c r="AF160" s="110">
        <v>0</v>
      </c>
      <c r="AG160" s="110">
        <v>0</v>
      </c>
      <c r="AH160" s="110">
        <v>0</v>
      </c>
      <c r="AI160" s="110">
        <v>0</v>
      </c>
      <c r="AJ160" s="110">
        <v>0</v>
      </c>
      <c r="AK160" s="110">
        <v>0</v>
      </c>
      <c r="AL160" s="110">
        <v>0</v>
      </c>
      <c r="AM160" s="110">
        <v>0</v>
      </c>
      <c r="AN160" s="110">
        <v>0</v>
      </c>
      <c r="AO160" s="110">
        <v>0</v>
      </c>
      <c r="AP160" s="110">
        <v>0</v>
      </c>
      <c r="AQ160" s="110">
        <v>0</v>
      </c>
      <c r="AR160" s="110">
        <v>0</v>
      </c>
      <c r="AS160" s="110">
        <v>0</v>
      </c>
      <c r="AT160" s="110">
        <v>0</v>
      </c>
      <c r="AU160" s="110">
        <v>0</v>
      </c>
      <c r="AV160" s="110">
        <v>0</v>
      </c>
      <c r="AW160" s="110">
        <v>0</v>
      </c>
      <c r="AX160" s="110">
        <v>0</v>
      </c>
      <c r="AY160" s="110">
        <v>0</v>
      </c>
    </row>
    <row r="161" spans="1:52" x14ac:dyDescent="0.2">
      <c r="A161" s="113"/>
      <c r="B161" s="133">
        <v>40</v>
      </c>
      <c r="C161" s="110">
        <v>0</v>
      </c>
      <c r="D161" s="110">
        <v>0</v>
      </c>
      <c r="E161" s="110">
        <v>0</v>
      </c>
      <c r="F161" s="110">
        <v>0</v>
      </c>
      <c r="G161" s="110">
        <v>0</v>
      </c>
      <c r="H161" s="110">
        <v>0</v>
      </c>
      <c r="I161" s="110">
        <v>0</v>
      </c>
      <c r="J161" s="110">
        <v>0</v>
      </c>
      <c r="K161" s="110">
        <v>0</v>
      </c>
      <c r="L161" s="110">
        <v>0</v>
      </c>
      <c r="M161" s="110">
        <v>0</v>
      </c>
      <c r="N161" s="110">
        <v>0</v>
      </c>
      <c r="O161" s="110">
        <v>0</v>
      </c>
      <c r="P161" s="110">
        <v>0</v>
      </c>
      <c r="Q161" s="110">
        <v>0</v>
      </c>
      <c r="R161" s="110">
        <v>0</v>
      </c>
      <c r="S161" s="110">
        <v>0</v>
      </c>
      <c r="T161" s="110">
        <v>0</v>
      </c>
      <c r="U161" s="110">
        <v>0</v>
      </c>
      <c r="V161" s="110">
        <v>0</v>
      </c>
      <c r="W161" s="110">
        <v>0</v>
      </c>
      <c r="X161" s="110">
        <v>0</v>
      </c>
      <c r="Y161" s="110">
        <v>0</v>
      </c>
      <c r="Z161" s="110">
        <v>0</v>
      </c>
      <c r="AA161" s="110">
        <v>0</v>
      </c>
      <c r="AB161" s="110">
        <v>0</v>
      </c>
      <c r="AC161" s="110">
        <v>0</v>
      </c>
      <c r="AD161" s="110">
        <v>0</v>
      </c>
      <c r="AE161" s="110">
        <v>0</v>
      </c>
      <c r="AF161" s="110">
        <v>0</v>
      </c>
      <c r="AG161" s="110">
        <v>0</v>
      </c>
      <c r="AH161" s="110">
        <v>0</v>
      </c>
      <c r="AI161" s="110">
        <v>0</v>
      </c>
      <c r="AJ161" s="110">
        <v>0</v>
      </c>
      <c r="AK161" s="110">
        <v>0</v>
      </c>
      <c r="AL161" s="110">
        <v>0</v>
      </c>
      <c r="AM161" s="110">
        <v>0</v>
      </c>
      <c r="AN161" s="110">
        <v>0</v>
      </c>
      <c r="AO161" s="110">
        <v>0</v>
      </c>
      <c r="AP161" s="110">
        <v>0</v>
      </c>
      <c r="AQ161" s="110">
        <v>0</v>
      </c>
      <c r="AR161" s="110">
        <v>0</v>
      </c>
      <c r="AS161" s="110">
        <v>0</v>
      </c>
      <c r="AT161" s="110">
        <v>0</v>
      </c>
      <c r="AU161" s="110">
        <v>0</v>
      </c>
      <c r="AV161" s="110">
        <v>0</v>
      </c>
      <c r="AW161" s="110">
        <v>0</v>
      </c>
      <c r="AX161" s="110">
        <v>0</v>
      </c>
      <c r="AY161" s="110">
        <v>0</v>
      </c>
    </row>
    <row r="162" spans="1:52" x14ac:dyDescent="0.2">
      <c r="A162" s="113"/>
      <c r="B162" s="133">
        <v>41</v>
      </c>
      <c r="C162" s="110">
        <v>0</v>
      </c>
      <c r="D162" s="110">
        <v>0</v>
      </c>
      <c r="E162" s="110">
        <v>0</v>
      </c>
      <c r="F162" s="110">
        <v>0</v>
      </c>
      <c r="G162" s="110">
        <v>0</v>
      </c>
      <c r="H162" s="110">
        <v>0</v>
      </c>
      <c r="I162" s="110">
        <v>0</v>
      </c>
      <c r="J162" s="110">
        <v>0</v>
      </c>
      <c r="K162" s="110">
        <v>0</v>
      </c>
      <c r="L162" s="110">
        <v>0</v>
      </c>
      <c r="M162" s="110">
        <v>0</v>
      </c>
      <c r="N162" s="110">
        <v>0</v>
      </c>
      <c r="O162" s="110">
        <v>0</v>
      </c>
      <c r="P162" s="110">
        <v>0</v>
      </c>
      <c r="Q162" s="110">
        <v>0</v>
      </c>
      <c r="R162" s="110">
        <v>0</v>
      </c>
      <c r="S162" s="110">
        <v>0</v>
      </c>
      <c r="T162" s="110">
        <v>0</v>
      </c>
      <c r="U162" s="110">
        <v>0</v>
      </c>
      <c r="V162" s="110">
        <v>0</v>
      </c>
      <c r="W162" s="110">
        <v>0</v>
      </c>
      <c r="X162" s="110">
        <v>0</v>
      </c>
      <c r="Y162" s="110">
        <v>0</v>
      </c>
      <c r="Z162" s="110">
        <v>0</v>
      </c>
      <c r="AA162" s="110">
        <v>0</v>
      </c>
      <c r="AB162" s="110">
        <v>0</v>
      </c>
      <c r="AC162" s="110">
        <v>0</v>
      </c>
      <c r="AD162" s="110">
        <v>0</v>
      </c>
      <c r="AE162" s="110">
        <v>0</v>
      </c>
      <c r="AF162" s="110">
        <v>0</v>
      </c>
      <c r="AG162" s="110">
        <v>0</v>
      </c>
      <c r="AH162" s="110">
        <v>0</v>
      </c>
      <c r="AI162" s="110">
        <v>0</v>
      </c>
      <c r="AJ162" s="110">
        <v>0</v>
      </c>
      <c r="AK162" s="110">
        <v>0</v>
      </c>
      <c r="AL162" s="110">
        <v>0</v>
      </c>
      <c r="AM162" s="110">
        <v>0</v>
      </c>
      <c r="AN162" s="110">
        <v>0</v>
      </c>
      <c r="AO162" s="110">
        <v>0</v>
      </c>
      <c r="AP162" s="110">
        <v>0</v>
      </c>
      <c r="AQ162" s="110">
        <v>0</v>
      </c>
      <c r="AR162" s="110">
        <v>0</v>
      </c>
      <c r="AS162" s="110">
        <v>0</v>
      </c>
      <c r="AT162" s="110">
        <v>0</v>
      </c>
      <c r="AU162" s="110">
        <v>0</v>
      </c>
      <c r="AV162" s="110">
        <v>0</v>
      </c>
      <c r="AW162" s="110">
        <v>0</v>
      </c>
      <c r="AX162" s="110">
        <v>0</v>
      </c>
      <c r="AY162" s="110">
        <v>0</v>
      </c>
    </row>
    <row r="163" spans="1:52" x14ac:dyDescent="0.2">
      <c r="A163" s="113"/>
      <c r="B163" s="133">
        <v>42</v>
      </c>
      <c r="C163" s="110">
        <v>0</v>
      </c>
      <c r="D163" s="110">
        <v>0</v>
      </c>
      <c r="E163" s="110">
        <v>0</v>
      </c>
      <c r="F163" s="110">
        <v>0</v>
      </c>
      <c r="G163" s="110">
        <v>0</v>
      </c>
      <c r="H163" s="110">
        <v>0</v>
      </c>
      <c r="I163" s="110">
        <v>0</v>
      </c>
      <c r="J163" s="110">
        <v>0</v>
      </c>
      <c r="K163" s="110">
        <v>0</v>
      </c>
      <c r="L163" s="110">
        <v>0</v>
      </c>
      <c r="M163" s="110">
        <v>0</v>
      </c>
      <c r="N163" s="110">
        <v>0</v>
      </c>
      <c r="O163" s="110">
        <v>0</v>
      </c>
      <c r="P163" s="110">
        <v>0</v>
      </c>
      <c r="Q163" s="110">
        <v>0</v>
      </c>
      <c r="R163" s="110">
        <v>0</v>
      </c>
      <c r="S163" s="110">
        <v>0</v>
      </c>
      <c r="T163" s="110">
        <v>0</v>
      </c>
      <c r="U163" s="110">
        <v>0</v>
      </c>
      <c r="V163" s="110">
        <v>0</v>
      </c>
      <c r="W163" s="110">
        <v>0</v>
      </c>
      <c r="X163" s="110">
        <v>0</v>
      </c>
      <c r="Y163" s="110">
        <v>0</v>
      </c>
      <c r="Z163" s="110">
        <v>0</v>
      </c>
      <c r="AA163" s="110">
        <v>0</v>
      </c>
      <c r="AB163" s="110">
        <v>0</v>
      </c>
      <c r="AC163" s="110">
        <v>0</v>
      </c>
      <c r="AD163" s="110">
        <v>0</v>
      </c>
      <c r="AE163" s="110">
        <v>0</v>
      </c>
      <c r="AF163" s="110">
        <v>0</v>
      </c>
      <c r="AG163" s="110">
        <v>0</v>
      </c>
      <c r="AH163" s="110">
        <v>0</v>
      </c>
      <c r="AI163" s="110">
        <v>0</v>
      </c>
      <c r="AJ163" s="110">
        <v>0</v>
      </c>
      <c r="AK163" s="110">
        <v>0</v>
      </c>
      <c r="AL163" s="110">
        <v>0</v>
      </c>
      <c r="AM163" s="110">
        <v>0</v>
      </c>
      <c r="AN163" s="110">
        <v>0</v>
      </c>
      <c r="AO163" s="110">
        <v>0</v>
      </c>
      <c r="AP163" s="110">
        <v>0</v>
      </c>
      <c r="AQ163" s="110">
        <v>0</v>
      </c>
      <c r="AR163" s="110">
        <v>0</v>
      </c>
      <c r="AS163" s="110">
        <v>0</v>
      </c>
      <c r="AT163" s="110">
        <v>0</v>
      </c>
      <c r="AU163" s="110">
        <v>0</v>
      </c>
      <c r="AV163" s="110">
        <v>0</v>
      </c>
      <c r="AW163" s="110">
        <v>0</v>
      </c>
      <c r="AX163" s="110">
        <v>0</v>
      </c>
      <c r="AY163" s="110">
        <v>0</v>
      </c>
    </row>
    <row r="164" spans="1:52" x14ac:dyDescent="0.2">
      <c r="A164" s="113"/>
      <c r="B164" s="133">
        <v>43</v>
      </c>
      <c r="C164" s="110">
        <v>0</v>
      </c>
      <c r="D164" s="110">
        <v>0</v>
      </c>
      <c r="E164" s="110">
        <v>0</v>
      </c>
      <c r="F164" s="110">
        <v>0</v>
      </c>
      <c r="G164" s="110">
        <v>0</v>
      </c>
      <c r="H164" s="110">
        <v>0</v>
      </c>
      <c r="I164" s="110">
        <v>0</v>
      </c>
      <c r="J164" s="110">
        <v>0</v>
      </c>
      <c r="K164" s="110">
        <v>0</v>
      </c>
      <c r="L164" s="110">
        <v>0</v>
      </c>
      <c r="M164" s="110">
        <v>0</v>
      </c>
      <c r="N164" s="110">
        <v>0</v>
      </c>
      <c r="O164" s="110">
        <v>0</v>
      </c>
      <c r="P164" s="110">
        <v>0</v>
      </c>
      <c r="Q164" s="110">
        <v>0</v>
      </c>
      <c r="R164" s="110">
        <v>0</v>
      </c>
      <c r="S164" s="110">
        <v>0</v>
      </c>
      <c r="T164" s="110">
        <v>0</v>
      </c>
      <c r="U164" s="110">
        <v>0</v>
      </c>
      <c r="V164" s="110">
        <v>0</v>
      </c>
      <c r="W164" s="110">
        <v>0</v>
      </c>
      <c r="X164" s="110">
        <v>0</v>
      </c>
      <c r="Y164" s="110">
        <v>0</v>
      </c>
      <c r="Z164" s="110">
        <v>0</v>
      </c>
      <c r="AA164" s="110">
        <v>0</v>
      </c>
      <c r="AB164" s="110">
        <v>0</v>
      </c>
      <c r="AC164" s="110">
        <v>0</v>
      </c>
      <c r="AD164" s="110">
        <v>0</v>
      </c>
      <c r="AE164" s="110">
        <v>0</v>
      </c>
      <c r="AF164" s="110">
        <v>0</v>
      </c>
      <c r="AG164" s="110">
        <v>0</v>
      </c>
      <c r="AH164" s="110">
        <v>0</v>
      </c>
      <c r="AI164" s="110">
        <v>0</v>
      </c>
      <c r="AJ164" s="110">
        <v>0</v>
      </c>
      <c r="AK164" s="110">
        <v>0</v>
      </c>
      <c r="AL164" s="110">
        <v>0</v>
      </c>
      <c r="AM164" s="110">
        <v>0</v>
      </c>
      <c r="AN164" s="110">
        <v>0</v>
      </c>
      <c r="AO164" s="110">
        <v>0</v>
      </c>
      <c r="AP164" s="110">
        <v>0</v>
      </c>
      <c r="AQ164" s="110">
        <v>0</v>
      </c>
      <c r="AR164" s="110">
        <v>0</v>
      </c>
      <c r="AS164" s="110">
        <v>0</v>
      </c>
      <c r="AT164" s="110">
        <v>0</v>
      </c>
      <c r="AU164" s="110">
        <v>0</v>
      </c>
      <c r="AV164" s="110">
        <v>0</v>
      </c>
      <c r="AW164" s="110">
        <v>0</v>
      </c>
      <c r="AX164" s="110">
        <v>0</v>
      </c>
      <c r="AY164" s="110">
        <v>0</v>
      </c>
    </row>
    <row r="165" spans="1:52" x14ac:dyDescent="0.2">
      <c r="A165" s="113"/>
      <c r="B165" s="133">
        <v>44</v>
      </c>
      <c r="C165" s="110">
        <v>0</v>
      </c>
      <c r="D165" s="110">
        <v>0</v>
      </c>
      <c r="E165" s="110">
        <v>0</v>
      </c>
      <c r="F165" s="110">
        <v>0</v>
      </c>
      <c r="G165" s="110">
        <v>0</v>
      </c>
      <c r="H165" s="110">
        <v>0</v>
      </c>
      <c r="I165" s="110">
        <v>0</v>
      </c>
      <c r="J165" s="110">
        <v>0</v>
      </c>
      <c r="K165" s="110">
        <v>0</v>
      </c>
      <c r="L165" s="110">
        <v>0</v>
      </c>
      <c r="M165" s="110">
        <v>0</v>
      </c>
      <c r="N165" s="110">
        <v>0</v>
      </c>
      <c r="O165" s="110">
        <v>0</v>
      </c>
      <c r="P165" s="110">
        <v>0</v>
      </c>
      <c r="Q165" s="110">
        <v>0</v>
      </c>
      <c r="R165" s="110">
        <v>0</v>
      </c>
      <c r="S165" s="110">
        <v>0</v>
      </c>
      <c r="T165" s="110">
        <v>0</v>
      </c>
      <c r="U165" s="110">
        <v>0</v>
      </c>
      <c r="V165" s="110">
        <v>0</v>
      </c>
      <c r="W165" s="110">
        <v>0</v>
      </c>
      <c r="X165" s="110">
        <v>0</v>
      </c>
      <c r="Y165" s="110">
        <v>0</v>
      </c>
      <c r="Z165" s="110">
        <v>0</v>
      </c>
      <c r="AA165" s="110">
        <v>0</v>
      </c>
      <c r="AB165" s="110">
        <v>0</v>
      </c>
      <c r="AC165" s="110">
        <v>0</v>
      </c>
      <c r="AD165" s="110">
        <v>0</v>
      </c>
      <c r="AE165" s="110">
        <v>0</v>
      </c>
      <c r="AF165" s="110">
        <v>0</v>
      </c>
      <c r="AG165" s="110">
        <v>0</v>
      </c>
      <c r="AH165" s="110">
        <v>0</v>
      </c>
      <c r="AI165" s="110">
        <v>0</v>
      </c>
      <c r="AJ165" s="110">
        <v>0</v>
      </c>
      <c r="AK165" s="110">
        <v>0</v>
      </c>
      <c r="AL165" s="110">
        <v>0</v>
      </c>
      <c r="AM165" s="110">
        <v>0</v>
      </c>
      <c r="AN165" s="110">
        <v>0</v>
      </c>
      <c r="AO165" s="110">
        <v>0</v>
      </c>
      <c r="AP165" s="110">
        <v>0</v>
      </c>
      <c r="AQ165" s="110">
        <v>0</v>
      </c>
      <c r="AR165" s="110">
        <v>0</v>
      </c>
      <c r="AS165" s="110">
        <v>0</v>
      </c>
      <c r="AT165" s="110">
        <v>0</v>
      </c>
      <c r="AU165" s="110">
        <v>0</v>
      </c>
      <c r="AV165" s="110">
        <v>0</v>
      </c>
      <c r="AW165" s="110">
        <v>0</v>
      </c>
      <c r="AX165" s="110">
        <v>0</v>
      </c>
      <c r="AY165" s="110">
        <v>0</v>
      </c>
    </row>
    <row r="166" spans="1:52" x14ac:dyDescent="0.2">
      <c r="A166" s="113"/>
      <c r="B166" s="133">
        <v>45</v>
      </c>
      <c r="C166" s="110">
        <v>0</v>
      </c>
      <c r="D166" s="110">
        <v>0</v>
      </c>
      <c r="E166" s="110">
        <v>0</v>
      </c>
      <c r="F166" s="110">
        <v>0</v>
      </c>
      <c r="G166" s="110">
        <v>0</v>
      </c>
      <c r="H166" s="110">
        <v>0</v>
      </c>
      <c r="I166" s="110">
        <v>0</v>
      </c>
      <c r="J166" s="110">
        <v>0</v>
      </c>
      <c r="K166" s="110">
        <v>0</v>
      </c>
      <c r="L166" s="110">
        <v>0</v>
      </c>
      <c r="M166" s="110">
        <v>0</v>
      </c>
      <c r="N166" s="110">
        <v>0</v>
      </c>
      <c r="O166" s="110">
        <v>0</v>
      </c>
      <c r="P166" s="110">
        <v>0</v>
      </c>
      <c r="Q166" s="110">
        <v>0</v>
      </c>
      <c r="R166" s="110">
        <v>0</v>
      </c>
      <c r="S166" s="110">
        <v>0</v>
      </c>
      <c r="T166" s="110">
        <v>0</v>
      </c>
      <c r="U166" s="110">
        <v>0</v>
      </c>
      <c r="V166" s="110">
        <v>0</v>
      </c>
      <c r="W166" s="110">
        <v>0</v>
      </c>
      <c r="X166" s="110">
        <v>0</v>
      </c>
      <c r="Y166" s="110">
        <v>0</v>
      </c>
      <c r="Z166" s="110">
        <v>0</v>
      </c>
      <c r="AA166" s="110">
        <v>0</v>
      </c>
      <c r="AB166" s="110">
        <v>0</v>
      </c>
      <c r="AC166" s="110">
        <v>0</v>
      </c>
      <c r="AD166" s="110">
        <v>0</v>
      </c>
      <c r="AE166" s="110">
        <v>0</v>
      </c>
      <c r="AF166" s="110">
        <v>0</v>
      </c>
      <c r="AG166" s="110">
        <v>0</v>
      </c>
      <c r="AH166" s="110">
        <v>0</v>
      </c>
      <c r="AI166" s="110">
        <v>0</v>
      </c>
      <c r="AJ166" s="110">
        <v>0</v>
      </c>
      <c r="AK166" s="110">
        <v>0</v>
      </c>
      <c r="AL166" s="110">
        <v>0</v>
      </c>
      <c r="AM166" s="110">
        <v>0</v>
      </c>
      <c r="AN166" s="110">
        <v>0</v>
      </c>
      <c r="AO166" s="110">
        <v>0</v>
      </c>
      <c r="AP166" s="110">
        <v>0</v>
      </c>
      <c r="AQ166" s="110">
        <v>0</v>
      </c>
      <c r="AR166" s="110">
        <v>0</v>
      </c>
      <c r="AS166" s="110">
        <v>0</v>
      </c>
      <c r="AT166" s="110">
        <v>0</v>
      </c>
      <c r="AU166" s="110">
        <v>0</v>
      </c>
      <c r="AV166" s="110">
        <v>0</v>
      </c>
      <c r="AW166" s="110">
        <v>0</v>
      </c>
      <c r="AX166" s="110">
        <v>0</v>
      </c>
      <c r="AY166" s="110">
        <v>0</v>
      </c>
    </row>
    <row r="167" spans="1:52" x14ac:dyDescent="0.2">
      <c r="A167" s="113"/>
      <c r="B167" s="133">
        <v>46</v>
      </c>
      <c r="C167" s="110">
        <v>0</v>
      </c>
      <c r="D167" s="110">
        <v>0</v>
      </c>
      <c r="E167" s="110">
        <v>0</v>
      </c>
      <c r="F167" s="110">
        <v>0</v>
      </c>
      <c r="G167" s="110">
        <v>0</v>
      </c>
      <c r="H167" s="110">
        <v>0</v>
      </c>
      <c r="I167" s="110">
        <v>0</v>
      </c>
      <c r="J167" s="110">
        <v>0</v>
      </c>
      <c r="K167" s="110">
        <v>0</v>
      </c>
      <c r="L167" s="110">
        <v>0</v>
      </c>
      <c r="M167" s="110">
        <v>0</v>
      </c>
      <c r="N167" s="110">
        <v>0</v>
      </c>
      <c r="O167" s="110">
        <v>0</v>
      </c>
      <c r="P167" s="110">
        <v>0</v>
      </c>
      <c r="Q167" s="110">
        <v>0</v>
      </c>
      <c r="R167" s="110">
        <v>0</v>
      </c>
      <c r="S167" s="110">
        <v>0</v>
      </c>
      <c r="T167" s="110">
        <v>0</v>
      </c>
      <c r="U167" s="110">
        <v>0</v>
      </c>
      <c r="V167" s="110">
        <v>0</v>
      </c>
      <c r="W167" s="110">
        <v>0</v>
      </c>
      <c r="X167" s="110">
        <v>0</v>
      </c>
      <c r="Y167" s="110">
        <v>0</v>
      </c>
      <c r="Z167" s="110">
        <v>0</v>
      </c>
      <c r="AA167" s="110">
        <v>0</v>
      </c>
      <c r="AB167" s="110">
        <v>0</v>
      </c>
      <c r="AC167" s="110">
        <v>0</v>
      </c>
      <c r="AD167" s="110">
        <v>0</v>
      </c>
      <c r="AE167" s="110">
        <v>0</v>
      </c>
      <c r="AF167" s="110">
        <v>0</v>
      </c>
      <c r="AG167" s="110">
        <v>0</v>
      </c>
      <c r="AH167" s="110">
        <v>0</v>
      </c>
      <c r="AI167" s="110">
        <v>0</v>
      </c>
      <c r="AJ167" s="110">
        <v>0</v>
      </c>
      <c r="AK167" s="110">
        <v>0</v>
      </c>
      <c r="AL167" s="110">
        <v>0</v>
      </c>
      <c r="AM167" s="110">
        <v>0</v>
      </c>
      <c r="AN167" s="110">
        <v>0</v>
      </c>
      <c r="AO167" s="110">
        <v>0</v>
      </c>
      <c r="AP167" s="110">
        <v>0</v>
      </c>
      <c r="AQ167" s="110">
        <v>0</v>
      </c>
      <c r="AR167" s="110">
        <v>0</v>
      </c>
      <c r="AS167" s="110">
        <v>0</v>
      </c>
      <c r="AT167" s="110">
        <v>0</v>
      </c>
      <c r="AU167" s="110">
        <v>0</v>
      </c>
      <c r="AV167" s="110">
        <v>0</v>
      </c>
      <c r="AW167" s="110">
        <v>0</v>
      </c>
      <c r="AX167" s="110">
        <v>0</v>
      </c>
      <c r="AY167" s="110">
        <v>0</v>
      </c>
    </row>
    <row r="168" spans="1:52" x14ac:dyDescent="0.2">
      <c r="A168" s="113"/>
      <c r="B168" s="133">
        <v>47</v>
      </c>
      <c r="C168" s="110">
        <v>0</v>
      </c>
      <c r="D168" s="110">
        <v>0</v>
      </c>
      <c r="E168" s="110">
        <v>0</v>
      </c>
      <c r="F168" s="110">
        <v>0</v>
      </c>
      <c r="G168" s="110">
        <v>0</v>
      </c>
      <c r="H168" s="110">
        <v>0</v>
      </c>
      <c r="I168" s="110">
        <v>0</v>
      </c>
      <c r="J168" s="110">
        <v>0</v>
      </c>
      <c r="K168" s="110">
        <v>0</v>
      </c>
      <c r="L168" s="110">
        <v>0</v>
      </c>
      <c r="M168" s="110">
        <v>0</v>
      </c>
      <c r="N168" s="110">
        <v>0</v>
      </c>
      <c r="O168" s="110">
        <v>0</v>
      </c>
      <c r="P168" s="110">
        <v>0</v>
      </c>
      <c r="Q168" s="110">
        <v>0</v>
      </c>
      <c r="R168" s="110">
        <v>0</v>
      </c>
      <c r="S168" s="110">
        <v>0</v>
      </c>
      <c r="T168" s="110">
        <v>0</v>
      </c>
      <c r="U168" s="110">
        <v>0</v>
      </c>
      <c r="V168" s="110">
        <v>0</v>
      </c>
      <c r="W168" s="110">
        <v>0</v>
      </c>
      <c r="X168" s="110">
        <v>0</v>
      </c>
      <c r="Y168" s="110">
        <v>0</v>
      </c>
      <c r="Z168" s="110">
        <v>0</v>
      </c>
      <c r="AA168" s="110">
        <v>0</v>
      </c>
      <c r="AB168" s="110">
        <v>0</v>
      </c>
      <c r="AC168" s="110">
        <v>0</v>
      </c>
      <c r="AD168" s="110">
        <v>0</v>
      </c>
      <c r="AE168" s="110">
        <v>0</v>
      </c>
      <c r="AF168" s="110">
        <v>0</v>
      </c>
      <c r="AG168" s="110">
        <v>0</v>
      </c>
      <c r="AH168" s="110">
        <v>0</v>
      </c>
      <c r="AI168" s="110">
        <v>0</v>
      </c>
      <c r="AJ168" s="110">
        <v>0</v>
      </c>
      <c r="AK168" s="110">
        <v>0</v>
      </c>
      <c r="AL168" s="110">
        <v>0</v>
      </c>
      <c r="AM168" s="110">
        <v>0</v>
      </c>
      <c r="AN168" s="110">
        <v>0</v>
      </c>
      <c r="AO168" s="110">
        <v>0</v>
      </c>
      <c r="AP168" s="110">
        <v>0</v>
      </c>
      <c r="AQ168" s="110">
        <v>0</v>
      </c>
      <c r="AR168" s="110">
        <v>0</v>
      </c>
      <c r="AS168" s="110">
        <v>0</v>
      </c>
      <c r="AT168" s="110">
        <v>0</v>
      </c>
      <c r="AU168" s="110">
        <v>0</v>
      </c>
      <c r="AV168" s="110">
        <v>0</v>
      </c>
      <c r="AW168" s="110">
        <v>0</v>
      </c>
      <c r="AX168" s="110">
        <v>0</v>
      </c>
      <c r="AY168" s="110">
        <v>0</v>
      </c>
    </row>
    <row r="169" spans="1:52" x14ac:dyDescent="0.2">
      <c r="A169" s="113"/>
      <c r="B169" s="133">
        <v>48</v>
      </c>
      <c r="C169" s="110">
        <v>0</v>
      </c>
      <c r="D169" s="110">
        <v>0</v>
      </c>
      <c r="E169" s="110">
        <v>0</v>
      </c>
      <c r="F169" s="110">
        <v>0</v>
      </c>
      <c r="G169" s="110">
        <v>0</v>
      </c>
      <c r="H169" s="110">
        <v>0</v>
      </c>
      <c r="I169" s="110">
        <v>0</v>
      </c>
      <c r="J169" s="110">
        <v>0</v>
      </c>
      <c r="K169" s="110">
        <v>0</v>
      </c>
      <c r="L169" s="110">
        <v>0</v>
      </c>
      <c r="M169" s="110">
        <v>0</v>
      </c>
      <c r="N169" s="110">
        <v>0</v>
      </c>
      <c r="O169" s="110">
        <v>0</v>
      </c>
      <c r="P169" s="110">
        <v>0</v>
      </c>
      <c r="Q169" s="110">
        <v>0</v>
      </c>
      <c r="R169" s="110">
        <v>0</v>
      </c>
      <c r="S169" s="110">
        <v>0</v>
      </c>
      <c r="T169" s="110">
        <v>0</v>
      </c>
      <c r="U169" s="110">
        <v>0</v>
      </c>
      <c r="V169" s="110">
        <v>0</v>
      </c>
      <c r="W169" s="110">
        <v>0</v>
      </c>
      <c r="X169" s="110">
        <v>0</v>
      </c>
      <c r="Y169" s="110">
        <v>0</v>
      </c>
      <c r="Z169" s="110">
        <v>0</v>
      </c>
      <c r="AA169" s="110">
        <v>0</v>
      </c>
      <c r="AB169" s="110">
        <v>0</v>
      </c>
      <c r="AC169" s="110">
        <v>0</v>
      </c>
      <c r="AD169" s="110">
        <v>0</v>
      </c>
      <c r="AE169" s="110">
        <v>0</v>
      </c>
      <c r="AF169" s="110">
        <v>0</v>
      </c>
      <c r="AG169" s="110">
        <v>0</v>
      </c>
      <c r="AH169" s="110">
        <v>0</v>
      </c>
      <c r="AI169" s="110">
        <v>0</v>
      </c>
      <c r="AJ169" s="110">
        <v>0</v>
      </c>
      <c r="AK169" s="110">
        <v>0</v>
      </c>
      <c r="AL169" s="110">
        <v>0</v>
      </c>
      <c r="AM169" s="110">
        <v>0</v>
      </c>
      <c r="AN169" s="110">
        <v>0</v>
      </c>
      <c r="AO169" s="110">
        <v>0</v>
      </c>
      <c r="AP169" s="110">
        <v>0</v>
      </c>
      <c r="AQ169" s="110">
        <v>0</v>
      </c>
      <c r="AR169" s="110">
        <v>0</v>
      </c>
      <c r="AS169" s="110">
        <v>0</v>
      </c>
      <c r="AT169" s="110">
        <v>0</v>
      </c>
      <c r="AU169" s="110">
        <v>0</v>
      </c>
      <c r="AV169" s="110">
        <v>0</v>
      </c>
      <c r="AW169" s="110">
        <v>0</v>
      </c>
      <c r="AX169" s="110">
        <v>0</v>
      </c>
      <c r="AY169" s="110">
        <v>0</v>
      </c>
    </row>
    <row r="170" spans="1:52" x14ac:dyDescent="0.2">
      <c r="A170" s="131"/>
      <c r="B170" s="135" t="s">
        <v>296</v>
      </c>
      <c r="C170" s="117">
        <v>0</v>
      </c>
      <c r="D170" s="128">
        <v>0</v>
      </c>
      <c r="E170" s="128">
        <v>0</v>
      </c>
      <c r="F170" s="128">
        <v>0</v>
      </c>
      <c r="G170" s="128">
        <v>0</v>
      </c>
      <c r="H170" s="128">
        <v>0</v>
      </c>
      <c r="I170" s="128">
        <v>0</v>
      </c>
      <c r="J170" s="128">
        <v>0</v>
      </c>
      <c r="K170" s="128">
        <v>0</v>
      </c>
      <c r="L170" s="128">
        <v>0</v>
      </c>
      <c r="M170" s="128">
        <v>0</v>
      </c>
      <c r="N170" s="128">
        <v>0</v>
      </c>
      <c r="O170" s="128">
        <v>0</v>
      </c>
      <c r="P170" s="128">
        <v>0</v>
      </c>
      <c r="Q170" s="128">
        <v>0</v>
      </c>
      <c r="R170" s="128">
        <v>0</v>
      </c>
      <c r="S170" s="128">
        <v>0</v>
      </c>
      <c r="T170" s="128">
        <v>0</v>
      </c>
      <c r="U170" s="128">
        <v>0</v>
      </c>
      <c r="V170" s="128">
        <v>0</v>
      </c>
      <c r="W170" s="128">
        <v>0</v>
      </c>
      <c r="X170" s="128">
        <v>0</v>
      </c>
      <c r="Y170" s="128">
        <v>0</v>
      </c>
      <c r="Z170" s="128">
        <v>0</v>
      </c>
      <c r="AA170" s="128">
        <v>0</v>
      </c>
      <c r="AB170" s="128">
        <v>0</v>
      </c>
      <c r="AC170" s="128">
        <v>0</v>
      </c>
      <c r="AD170" s="128">
        <v>0</v>
      </c>
      <c r="AE170" s="128">
        <v>0</v>
      </c>
      <c r="AF170" s="128">
        <v>0</v>
      </c>
      <c r="AG170" s="128">
        <v>0</v>
      </c>
      <c r="AH170" s="128">
        <v>0</v>
      </c>
      <c r="AI170" s="128">
        <v>0</v>
      </c>
      <c r="AJ170" s="128">
        <v>0</v>
      </c>
      <c r="AK170" s="128">
        <v>0</v>
      </c>
      <c r="AL170" s="128">
        <v>0</v>
      </c>
      <c r="AM170" s="128">
        <v>0</v>
      </c>
      <c r="AN170" s="128">
        <v>0</v>
      </c>
      <c r="AO170" s="128">
        <v>0</v>
      </c>
      <c r="AP170" s="128">
        <v>0</v>
      </c>
      <c r="AQ170" s="128">
        <v>0</v>
      </c>
      <c r="AR170" s="128">
        <v>0</v>
      </c>
      <c r="AS170" s="128">
        <v>0</v>
      </c>
      <c r="AT170" s="128">
        <v>0</v>
      </c>
      <c r="AU170" s="128">
        <v>0</v>
      </c>
      <c r="AV170" s="128">
        <v>0</v>
      </c>
      <c r="AW170" s="128">
        <v>0</v>
      </c>
      <c r="AX170" s="128">
        <v>0</v>
      </c>
      <c r="AY170" s="128">
        <v>0</v>
      </c>
      <c r="AZ170" s="111">
        <f>SUM($D170:$AY170)</f>
        <v>0</v>
      </c>
    </row>
    <row r="172" spans="1:52" x14ac:dyDescent="0.2">
      <c r="A172" s="1" t="s">
        <v>124</v>
      </c>
      <c r="B172" s="136" t="s">
        <v>297</v>
      </c>
      <c r="C172" s="137">
        <v>0.32415206692186183</v>
      </c>
      <c r="D172" s="137">
        <v>0.38306341113842324</v>
      </c>
      <c r="E172" s="137">
        <v>0.38306341113842324</v>
      </c>
      <c r="F172" s="137">
        <v>0.38306341113842324</v>
      </c>
      <c r="G172" s="137">
        <v>0.38306341113842324</v>
      </c>
      <c r="H172" s="137">
        <v>0.38306341113842324</v>
      </c>
      <c r="I172" s="137">
        <v>0.38306341113842324</v>
      </c>
      <c r="J172" s="137">
        <v>0.38306341113842324</v>
      </c>
      <c r="K172" s="137">
        <v>0.38306341113842324</v>
      </c>
      <c r="L172" s="137">
        <v>0.38306341113842324</v>
      </c>
      <c r="M172" s="137">
        <v>0.38306341113842324</v>
      </c>
      <c r="N172" s="137">
        <v>0.38306341113842324</v>
      </c>
      <c r="O172" s="137">
        <v>0.38306341113842324</v>
      </c>
      <c r="P172" s="137">
        <v>0.38306341113842324</v>
      </c>
      <c r="Q172" s="137">
        <v>0.38306341113842324</v>
      </c>
      <c r="R172" s="137">
        <v>0.38306341113842324</v>
      </c>
      <c r="S172" s="137">
        <v>0.38306341113842324</v>
      </c>
      <c r="T172" s="137">
        <v>0.38306341113842324</v>
      </c>
      <c r="U172" s="137">
        <v>0.38306341113842324</v>
      </c>
      <c r="V172" s="137">
        <v>0.38306341113842324</v>
      </c>
      <c r="W172" s="137">
        <v>0.38306341113842324</v>
      </c>
      <c r="X172" s="137">
        <v>0.38306341113842324</v>
      </c>
      <c r="Y172" s="137">
        <v>0.38306341113842324</v>
      </c>
      <c r="Z172" s="137">
        <v>0.38306341113842324</v>
      </c>
      <c r="AA172" s="137">
        <v>0.38306341113842324</v>
      </c>
      <c r="AB172" s="137">
        <v>0.38306341113842324</v>
      </c>
      <c r="AC172" s="137">
        <v>0.38306341113842324</v>
      </c>
      <c r="AD172" s="137">
        <v>0.38306341113842324</v>
      </c>
      <c r="AE172" s="137">
        <v>0.38306341113842324</v>
      </c>
      <c r="AF172" s="137">
        <v>0.38306341113842324</v>
      </c>
      <c r="AG172" s="137">
        <v>0.38306341113842324</v>
      </c>
      <c r="AH172" s="137">
        <v>0.38306341113842324</v>
      </c>
      <c r="AI172" s="137">
        <v>0.38306341113842324</v>
      </c>
      <c r="AJ172" s="137">
        <v>0.38306341113842324</v>
      </c>
      <c r="AK172" s="137">
        <v>0.38306341113842324</v>
      </c>
      <c r="AL172" s="137">
        <v>0.38306341113842324</v>
      </c>
      <c r="AM172" s="137">
        <v>0.38306341113842324</v>
      </c>
      <c r="AN172" s="137">
        <v>0.38306341113842324</v>
      </c>
      <c r="AO172" s="137">
        <v>0.38306341113842324</v>
      </c>
      <c r="AP172" s="137">
        <v>0.38306341113842324</v>
      </c>
      <c r="AQ172" s="137">
        <v>0.38306341113842324</v>
      </c>
      <c r="AR172" s="137">
        <v>0.38306341113842324</v>
      </c>
      <c r="AS172" s="137">
        <v>0.38306341113842324</v>
      </c>
      <c r="AT172" s="137">
        <v>0.38306341113842324</v>
      </c>
      <c r="AU172" s="137">
        <v>0.38306341113842324</v>
      </c>
      <c r="AV172" s="137">
        <v>0.38306341113842324</v>
      </c>
      <c r="AW172" s="137">
        <v>0.38306341113842324</v>
      </c>
      <c r="AX172" s="137">
        <v>0.38306341113842324</v>
      </c>
      <c r="AY172" s="137">
        <v>0.38306341113842324</v>
      </c>
    </row>
    <row r="174" spans="1:52" x14ac:dyDescent="0.2">
      <c r="A174" s="1" t="s">
        <v>272</v>
      </c>
    </row>
    <row r="175" spans="1:52" x14ac:dyDescent="0.2">
      <c r="A175" s="138" t="s">
        <v>125</v>
      </c>
      <c r="B175" s="138" t="s">
        <v>298</v>
      </c>
      <c r="C175" s="127" t="s">
        <v>293</v>
      </c>
      <c r="D175" s="127">
        <f t="shared" ref="D175:AY175" si="1">SUM(D95:D98)</f>
        <v>0</v>
      </c>
      <c r="E175" s="127">
        <f t="shared" si="1"/>
        <v>200.70302420915732</v>
      </c>
      <c r="F175" s="127">
        <f t="shared" si="1"/>
        <v>2167.5055964247658</v>
      </c>
      <c r="G175" s="127">
        <f t="shared" si="1"/>
        <v>4316.2696441774806</v>
      </c>
      <c r="H175" s="127">
        <f t="shared" si="1"/>
        <v>6238.9608287096207</v>
      </c>
      <c r="I175" s="127">
        <f t="shared" si="1"/>
        <v>7519.4605690847902</v>
      </c>
      <c r="J175" s="127">
        <f t="shared" si="1"/>
        <v>9062.3146594651444</v>
      </c>
      <c r="K175" s="127">
        <f t="shared" si="1"/>
        <v>10651.592118831388</v>
      </c>
      <c r="L175" s="127">
        <f t="shared" si="1"/>
        <v>12119.134869846919</v>
      </c>
      <c r="M175" s="127">
        <f t="shared" si="1"/>
        <v>13605.342158437426</v>
      </c>
      <c r="N175" s="127">
        <f t="shared" si="1"/>
        <v>15175.658683219777</v>
      </c>
      <c r="O175" s="127">
        <f t="shared" si="1"/>
        <v>16325.058239501677</v>
      </c>
      <c r="P175" s="127">
        <f t="shared" si="1"/>
        <v>15132.299039744021</v>
      </c>
      <c r="Q175" s="127">
        <f t="shared" si="1"/>
        <v>15132.299039744021</v>
      </c>
      <c r="R175" s="127">
        <f t="shared" si="1"/>
        <v>15132.299039744021</v>
      </c>
      <c r="S175" s="127">
        <f t="shared" si="1"/>
        <v>15132.299039744023</v>
      </c>
      <c r="T175" s="127">
        <f t="shared" si="1"/>
        <v>16325.058239501677</v>
      </c>
      <c r="U175" s="127">
        <f t="shared" si="1"/>
        <v>16325.058239501677</v>
      </c>
      <c r="V175" s="127">
        <f t="shared" si="1"/>
        <v>16325.058239501677</v>
      </c>
      <c r="W175" s="127">
        <f t="shared" si="1"/>
        <v>16325.058239501677</v>
      </c>
      <c r="X175" s="127">
        <f t="shared" si="1"/>
        <v>16325.058239501677</v>
      </c>
      <c r="Y175" s="127">
        <f t="shared" si="1"/>
        <v>16325.058239501677</v>
      </c>
      <c r="Z175" s="127">
        <f t="shared" si="1"/>
        <v>16325.058239501677</v>
      </c>
      <c r="AA175" s="127">
        <f t="shared" si="1"/>
        <v>16325.058239501677</v>
      </c>
      <c r="AB175" s="127">
        <f t="shared" si="1"/>
        <v>16325.058239501677</v>
      </c>
      <c r="AC175" s="127">
        <f t="shared" si="1"/>
        <v>16325.058239501677</v>
      </c>
      <c r="AD175" s="127">
        <f t="shared" si="1"/>
        <v>16005.615127765199</v>
      </c>
      <c r="AE175" s="127">
        <f t="shared" si="1"/>
        <v>16005.615127765199</v>
      </c>
      <c r="AF175" s="127">
        <f t="shared" si="1"/>
        <v>14967.197317027554</v>
      </c>
      <c r="AG175" s="127">
        <f t="shared" si="1"/>
        <v>13929.248271895634</v>
      </c>
      <c r="AH175" s="127">
        <f t="shared" si="1"/>
        <v>14248.691383632111</v>
      </c>
      <c r="AI175" s="127">
        <f t="shared" si="1"/>
        <v>14248.691383632111</v>
      </c>
      <c r="AJ175" s="127">
        <f t="shared" si="1"/>
        <v>15287.109194369757</v>
      </c>
      <c r="AK175" s="127">
        <f t="shared" si="1"/>
        <v>16325.058239501677</v>
      </c>
      <c r="AL175" s="127">
        <f t="shared" si="1"/>
        <v>16325.058239501677</v>
      </c>
      <c r="AM175" s="127">
        <f t="shared" si="1"/>
        <v>16325.058239501677</v>
      </c>
      <c r="AN175" s="127">
        <f t="shared" si="1"/>
        <v>16325.058239501677</v>
      </c>
      <c r="AO175" s="127">
        <f t="shared" si="1"/>
        <v>16325.058239501677</v>
      </c>
      <c r="AP175" s="127">
        <f t="shared" si="1"/>
        <v>16325.058239501677</v>
      </c>
      <c r="AQ175" s="127">
        <f t="shared" si="1"/>
        <v>16325.058239501677</v>
      </c>
      <c r="AR175" s="127">
        <f t="shared" si="1"/>
        <v>16325.058239501677</v>
      </c>
      <c r="AS175" s="127">
        <f t="shared" si="1"/>
        <v>15292.543517632266</v>
      </c>
      <c r="AT175" s="127">
        <f t="shared" si="1"/>
        <v>15292.543517632266</v>
      </c>
      <c r="AU175" s="127">
        <f t="shared" si="1"/>
        <v>15292.543517632266</v>
      </c>
      <c r="AV175" s="127">
        <f t="shared" si="1"/>
        <v>15292.543517632268</v>
      </c>
      <c r="AW175" s="127">
        <f t="shared" si="1"/>
        <v>16325.058239501677</v>
      </c>
      <c r="AX175" s="127">
        <f t="shared" si="1"/>
        <v>16041.569571439015</v>
      </c>
      <c r="AY175" s="127">
        <f t="shared" si="1"/>
        <v>16041.569571439015</v>
      </c>
    </row>
    <row r="176" spans="1:52" x14ac:dyDescent="0.2">
      <c r="A176" s="128"/>
      <c r="B176" s="139" t="s">
        <v>299</v>
      </c>
      <c r="C176" s="128" t="s">
        <v>293</v>
      </c>
      <c r="D176" s="128">
        <v>0</v>
      </c>
      <c r="E176" s="128">
        <v>200.70302420915732</v>
      </c>
      <c r="F176" s="128">
        <v>267</v>
      </c>
      <c r="G176" s="128">
        <v>355</v>
      </c>
      <c r="H176" s="128">
        <v>288</v>
      </c>
      <c r="I176" s="128">
        <v>278</v>
      </c>
      <c r="J176" s="128">
        <v>247</v>
      </c>
      <c r="K176" s="128">
        <v>272</v>
      </c>
      <c r="L176" s="128">
        <v>283</v>
      </c>
      <c r="M176" s="128">
        <v>247</v>
      </c>
      <c r="N176" s="128">
        <v>249</v>
      </c>
      <c r="O176" s="128">
        <v>303</v>
      </c>
      <c r="P176" s="128">
        <v>502</v>
      </c>
      <c r="Q176" s="128">
        <v>473</v>
      </c>
      <c r="R176" s="128">
        <v>417</v>
      </c>
      <c r="S176" s="128">
        <v>374</v>
      </c>
      <c r="T176" s="128">
        <v>731</v>
      </c>
      <c r="U176" s="128">
        <v>666</v>
      </c>
      <c r="V176" s="128">
        <v>786</v>
      </c>
      <c r="W176" s="128">
        <v>809</v>
      </c>
      <c r="X176" s="128">
        <v>461</v>
      </c>
      <c r="Y176" s="128">
        <v>472</v>
      </c>
      <c r="Z176" s="128">
        <v>424</v>
      </c>
      <c r="AA176" s="128">
        <v>494</v>
      </c>
      <c r="AB176" s="128">
        <v>422</v>
      </c>
      <c r="AC176" s="128">
        <v>357</v>
      </c>
      <c r="AD176" s="128">
        <v>392</v>
      </c>
      <c r="AE176" s="128">
        <v>418</v>
      </c>
      <c r="AF176" s="128">
        <v>788</v>
      </c>
      <c r="AG176" s="128">
        <v>746</v>
      </c>
      <c r="AH176" s="128">
        <v>823</v>
      </c>
      <c r="AI176" s="128">
        <v>964</v>
      </c>
      <c r="AJ176" s="128">
        <v>316</v>
      </c>
      <c r="AK176" s="128">
        <v>318</v>
      </c>
      <c r="AL176" s="128">
        <v>317</v>
      </c>
      <c r="AM176" s="128">
        <v>257</v>
      </c>
      <c r="AN176" s="128">
        <v>610</v>
      </c>
      <c r="AO176" s="128">
        <v>694</v>
      </c>
      <c r="AP176" s="128">
        <v>555</v>
      </c>
      <c r="AQ176" s="128">
        <v>542</v>
      </c>
      <c r="AR176" s="128">
        <v>424</v>
      </c>
      <c r="AS176" s="128">
        <v>434</v>
      </c>
      <c r="AT176" s="128">
        <v>285</v>
      </c>
      <c r="AU176" s="128">
        <v>357</v>
      </c>
      <c r="AV176" s="128">
        <v>306</v>
      </c>
      <c r="AW176" s="128">
        <v>345</v>
      </c>
      <c r="AX176" s="128">
        <v>315</v>
      </c>
      <c r="AY176" s="128">
        <v>400</v>
      </c>
    </row>
    <row r="177" spans="1:51" x14ac:dyDescent="0.2">
      <c r="A177" s="138" t="s">
        <v>133</v>
      </c>
      <c r="B177" s="138" t="s">
        <v>298</v>
      </c>
      <c r="C177" s="127" t="s">
        <v>293</v>
      </c>
      <c r="D177" s="127">
        <f t="shared" ref="D177:AY177" si="2">SUM(D100:D107)</f>
        <v>3364.2948922900323</v>
      </c>
      <c r="E177" s="127">
        <f t="shared" si="2"/>
        <v>2767.7626635791557</v>
      </c>
      <c r="F177" s="127">
        <f t="shared" si="2"/>
        <v>2076.3760634959553</v>
      </c>
      <c r="G177" s="127">
        <f t="shared" si="2"/>
        <v>1140.989463412755</v>
      </c>
      <c r="H177" s="127">
        <f t="shared" si="2"/>
        <v>372.60286332955457</v>
      </c>
      <c r="I177" s="127">
        <f t="shared" si="2"/>
        <v>171.61339991679958</v>
      </c>
      <c r="J177" s="127">
        <f t="shared" si="2"/>
        <v>171.61339991679952</v>
      </c>
      <c r="K177" s="127">
        <f t="shared" si="2"/>
        <v>171.61339991679952</v>
      </c>
      <c r="L177" s="127">
        <f t="shared" si="2"/>
        <v>171.61339991679952</v>
      </c>
      <c r="M177" s="127">
        <f t="shared" si="2"/>
        <v>171.61339991679952</v>
      </c>
      <c r="N177" s="127">
        <f t="shared" si="2"/>
        <v>171.61339991679952</v>
      </c>
      <c r="O177" s="127">
        <f t="shared" si="2"/>
        <v>171.61339991679952</v>
      </c>
      <c r="P177" s="127">
        <f t="shared" si="2"/>
        <v>171.61339991679952</v>
      </c>
      <c r="Q177" s="127">
        <f t="shared" si="2"/>
        <v>171.61339991679952</v>
      </c>
      <c r="R177" s="127">
        <f t="shared" si="2"/>
        <v>171.61339991679952</v>
      </c>
      <c r="S177" s="127">
        <f t="shared" si="2"/>
        <v>171.61339991679952</v>
      </c>
      <c r="T177" s="127">
        <f t="shared" si="2"/>
        <v>171.61339991679952</v>
      </c>
      <c r="U177" s="127">
        <f t="shared" si="2"/>
        <v>171.61339991679952</v>
      </c>
      <c r="V177" s="127">
        <f t="shared" si="2"/>
        <v>171.61339991679952</v>
      </c>
      <c r="W177" s="127">
        <f t="shared" si="2"/>
        <v>171.61339991679952</v>
      </c>
      <c r="X177" s="127">
        <f t="shared" si="2"/>
        <v>171.61339991679952</v>
      </c>
      <c r="Y177" s="127">
        <f t="shared" si="2"/>
        <v>0</v>
      </c>
      <c r="Z177" s="127">
        <f t="shared" si="2"/>
        <v>343.22679983359905</v>
      </c>
      <c r="AA177" s="127">
        <f t="shared" si="2"/>
        <v>171.61339991679952</v>
      </c>
      <c r="AB177" s="127">
        <f t="shared" si="2"/>
        <v>171.61339991679952</v>
      </c>
      <c r="AC177" s="127">
        <f t="shared" si="2"/>
        <v>171.61339991679952</v>
      </c>
      <c r="AD177" s="127">
        <f t="shared" si="2"/>
        <v>171.61339991679952</v>
      </c>
      <c r="AE177" s="127">
        <f t="shared" si="2"/>
        <v>171.61339991679952</v>
      </c>
      <c r="AF177" s="127">
        <f t="shared" si="2"/>
        <v>171.61339991679952</v>
      </c>
      <c r="AG177" s="127">
        <f t="shared" si="2"/>
        <v>171.61339991679952</v>
      </c>
      <c r="AH177" s="127">
        <f t="shared" si="2"/>
        <v>171.61339991679952</v>
      </c>
      <c r="AI177" s="127">
        <f t="shared" si="2"/>
        <v>0</v>
      </c>
      <c r="AJ177" s="127">
        <f t="shared" si="2"/>
        <v>343.22679983359905</v>
      </c>
      <c r="AK177" s="127">
        <f t="shared" si="2"/>
        <v>171.61339991679952</v>
      </c>
      <c r="AL177" s="127">
        <f t="shared" si="2"/>
        <v>171.61339991679952</v>
      </c>
      <c r="AM177" s="127">
        <f t="shared" si="2"/>
        <v>171.61339991679952</v>
      </c>
      <c r="AN177" s="127">
        <f t="shared" si="2"/>
        <v>171.61339991679952</v>
      </c>
      <c r="AO177" s="127">
        <f t="shared" si="2"/>
        <v>171.61339991679952</v>
      </c>
      <c r="AP177" s="127">
        <f t="shared" si="2"/>
        <v>171.61339991679952</v>
      </c>
      <c r="AQ177" s="127">
        <f t="shared" si="2"/>
        <v>171.61339991679952</v>
      </c>
      <c r="AR177" s="127">
        <f t="shared" si="2"/>
        <v>171.61339991679952</v>
      </c>
      <c r="AS177" s="127">
        <f t="shared" si="2"/>
        <v>171.61339991679952</v>
      </c>
      <c r="AT177" s="127">
        <f t="shared" si="2"/>
        <v>171.61339991679952</v>
      </c>
      <c r="AU177" s="127">
        <f t="shared" si="2"/>
        <v>171.61339991679952</v>
      </c>
      <c r="AV177" s="127">
        <f t="shared" si="2"/>
        <v>0</v>
      </c>
      <c r="AW177" s="127">
        <f t="shared" si="2"/>
        <v>343.22679983359905</v>
      </c>
      <c r="AX177" s="127">
        <f t="shared" si="2"/>
        <v>171.61339991679952</v>
      </c>
      <c r="AY177" s="127">
        <f t="shared" si="2"/>
        <v>171.61339991679952</v>
      </c>
    </row>
    <row r="178" spans="1:51" x14ac:dyDescent="0.2">
      <c r="A178" s="128"/>
      <c r="B178" s="139" t="s">
        <v>299</v>
      </c>
      <c r="C178" s="128" t="s">
        <v>293</v>
      </c>
      <c r="D178" s="128">
        <v>917</v>
      </c>
      <c r="E178" s="128">
        <v>906</v>
      </c>
      <c r="F178" s="128">
        <v>1107</v>
      </c>
      <c r="G178" s="128">
        <v>940</v>
      </c>
      <c r="H178" s="128">
        <v>372.60286332955457</v>
      </c>
      <c r="I178" s="128">
        <v>171.61339991679958</v>
      </c>
      <c r="J178" s="128">
        <v>171.61339991679952</v>
      </c>
      <c r="K178" s="128">
        <v>171.61339991679952</v>
      </c>
      <c r="L178" s="128">
        <v>171.61339991679952</v>
      </c>
      <c r="M178" s="128">
        <v>171.61339991679952</v>
      </c>
      <c r="N178" s="128">
        <v>171.61339991679952</v>
      </c>
      <c r="O178" s="128">
        <v>171.61339991679952</v>
      </c>
      <c r="P178" s="128">
        <v>171.61339991679952</v>
      </c>
      <c r="Q178" s="128">
        <v>171.61339991679952</v>
      </c>
      <c r="R178" s="128">
        <v>171.61339991679952</v>
      </c>
      <c r="S178" s="128">
        <v>171.61339991679952</v>
      </c>
      <c r="T178" s="128">
        <v>171.61339991679952</v>
      </c>
      <c r="U178" s="128">
        <v>171.61339991679952</v>
      </c>
      <c r="V178" s="128">
        <v>171.61339991679952</v>
      </c>
      <c r="W178" s="128">
        <v>171.61339991679952</v>
      </c>
      <c r="X178" s="128">
        <v>171.61339991679952</v>
      </c>
      <c r="Y178" s="128">
        <v>0</v>
      </c>
      <c r="Z178" s="128">
        <v>343.22679983359905</v>
      </c>
      <c r="AA178" s="128">
        <v>171.61339991679952</v>
      </c>
      <c r="AB178" s="128">
        <v>171.61339991679952</v>
      </c>
      <c r="AC178" s="128">
        <v>171.61339991679952</v>
      </c>
      <c r="AD178" s="128">
        <v>171.61339991679952</v>
      </c>
      <c r="AE178" s="128">
        <v>171.61339991679952</v>
      </c>
      <c r="AF178" s="128">
        <v>171.61339991679952</v>
      </c>
      <c r="AG178" s="128">
        <v>171.61339991679952</v>
      </c>
      <c r="AH178" s="128">
        <v>171.61339991679952</v>
      </c>
      <c r="AI178" s="128">
        <v>0</v>
      </c>
      <c r="AJ178" s="128">
        <v>343.22679983359905</v>
      </c>
      <c r="AK178" s="128">
        <v>171.61339991679952</v>
      </c>
      <c r="AL178" s="128">
        <v>171.61339991679952</v>
      </c>
      <c r="AM178" s="128">
        <v>171.61339991679952</v>
      </c>
      <c r="AN178" s="128">
        <v>171.61339991679952</v>
      </c>
      <c r="AO178" s="128">
        <v>171.61339991679952</v>
      </c>
      <c r="AP178" s="128">
        <v>171.61339991679952</v>
      </c>
      <c r="AQ178" s="128">
        <v>171.61339991679952</v>
      </c>
      <c r="AR178" s="128">
        <v>171.61339991679952</v>
      </c>
      <c r="AS178" s="128">
        <v>171.61339991679952</v>
      </c>
      <c r="AT178" s="128">
        <v>171.61339991679952</v>
      </c>
      <c r="AU178" s="128">
        <v>171.61339991679952</v>
      </c>
      <c r="AV178" s="128">
        <v>0</v>
      </c>
      <c r="AW178" s="128">
        <v>343.22679983359905</v>
      </c>
      <c r="AX178" s="128">
        <v>171.61339991679952</v>
      </c>
      <c r="AY178" s="128">
        <v>171.61339991679952</v>
      </c>
    </row>
    <row r="179" spans="1:51" x14ac:dyDescent="0.2">
      <c r="A179" s="138" t="s">
        <v>134</v>
      </c>
      <c r="B179" s="138" t="s">
        <v>298</v>
      </c>
      <c r="C179" s="127" t="s">
        <v>293</v>
      </c>
      <c r="D179" s="127">
        <f t="shared" ref="D179:AY179" si="3">SUM(D109:D120)</f>
        <v>28495.551557734652</v>
      </c>
      <c r="E179" s="127">
        <f t="shared" si="3"/>
        <v>30696.033168770547</v>
      </c>
      <c r="F179" s="127">
        <f t="shared" si="3"/>
        <v>31015.102423520235</v>
      </c>
      <c r="G179" s="127">
        <f t="shared" si="3"/>
        <v>31071.921252713546</v>
      </c>
      <c r="H179" s="127">
        <f t="shared" si="3"/>
        <v>30226.247226497024</v>
      </c>
      <c r="I179" s="127">
        <f t="shared" si="3"/>
        <v>28802.554254183233</v>
      </c>
      <c r="J179" s="127">
        <f t="shared" si="3"/>
        <v>27524.816285249002</v>
      </c>
      <c r="K179" s="127">
        <f t="shared" si="3"/>
        <v>26508.875783543568</v>
      </c>
      <c r="L179" s="127">
        <f t="shared" si="3"/>
        <v>25007.600966673337</v>
      </c>
      <c r="M179" s="127">
        <f t="shared" si="3"/>
        <v>23510.999985349201</v>
      </c>
      <c r="N179" s="127">
        <f t="shared" si="3"/>
        <v>22188.754118017059</v>
      </c>
      <c r="O179" s="127">
        <f t="shared" si="3"/>
        <v>20352.067215647545</v>
      </c>
      <c r="P179" s="127">
        <f t="shared" si="3"/>
        <v>17212.263654966897</v>
      </c>
      <c r="Q179" s="127">
        <f t="shared" si="3"/>
        <v>14926.365076916738</v>
      </c>
      <c r="R179" s="127">
        <f t="shared" si="3"/>
        <v>13420.47011522309</v>
      </c>
      <c r="S179" s="127">
        <f t="shared" si="3"/>
        <v>12534.591882036837</v>
      </c>
      <c r="T179" s="127">
        <f t="shared" si="3"/>
        <v>12194.536221539056</v>
      </c>
      <c r="U179" s="127">
        <f t="shared" si="3"/>
        <v>12014.093971207441</v>
      </c>
      <c r="V179" s="127">
        <f t="shared" si="3"/>
        <v>11582.855476883255</v>
      </c>
      <c r="W179" s="127">
        <f t="shared" si="3"/>
        <v>11460.501948035646</v>
      </c>
      <c r="X179" s="127">
        <f t="shared" si="3"/>
        <v>11375.285720486885</v>
      </c>
      <c r="Y179" s="127">
        <f t="shared" si="3"/>
        <v>11193.521370143457</v>
      </c>
      <c r="Z179" s="127">
        <f t="shared" si="3"/>
        <v>11244.539063985949</v>
      </c>
      <c r="AA179" s="127">
        <f t="shared" si="3"/>
        <v>11018.436191866183</v>
      </c>
      <c r="AB179" s="127">
        <f t="shared" si="3"/>
        <v>11110.43364181267</v>
      </c>
      <c r="AC179" s="127">
        <f t="shared" si="3"/>
        <v>11427.986545824597</v>
      </c>
      <c r="AD179" s="127">
        <f t="shared" si="3"/>
        <v>11585.70938656195</v>
      </c>
      <c r="AE179" s="127">
        <f t="shared" si="3"/>
        <v>11613.331590626492</v>
      </c>
      <c r="AF179" s="127">
        <f t="shared" si="3"/>
        <v>11932.048180465576</v>
      </c>
      <c r="AG179" s="127">
        <f t="shared" si="3"/>
        <v>11799.194138356641</v>
      </c>
      <c r="AH179" s="127">
        <f t="shared" si="3"/>
        <v>11850.138911253234</v>
      </c>
      <c r="AI179" s="127">
        <f t="shared" si="3"/>
        <v>11457.798774525307</v>
      </c>
      <c r="AJ179" s="127">
        <f t="shared" si="3"/>
        <v>11085.87572060606</v>
      </c>
      <c r="AK179" s="127">
        <f t="shared" si="3"/>
        <v>10652.186967615367</v>
      </c>
      <c r="AL179" s="127">
        <f t="shared" si="3"/>
        <v>10125.716232328108</v>
      </c>
      <c r="AM179" s="127">
        <f t="shared" si="3"/>
        <v>9697.4384353346559</v>
      </c>
      <c r="AN179" s="127">
        <f t="shared" si="3"/>
        <v>9346.7496136526315</v>
      </c>
      <c r="AO179" s="127">
        <f t="shared" si="3"/>
        <v>8985.2995260835069</v>
      </c>
      <c r="AP179" s="127">
        <f t="shared" si="3"/>
        <v>8934.781574959221</v>
      </c>
      <c r="AQ179" s="127">
        <f t="shared" si="3"/>
        <v>8918.098243138973</v>
      </c>
      <c r="AR179" s="127">
        <f t="shared" si="3"/>
        <v>8928.2718439670844</v>
      </c>
      <c r="AS179" s="127">
        <f t="shared" si="3"/>
        <v>9044.3600443734595</v>
      </c>
      <c r="AT179" s="127">
        <f t="shared" si="3"/>
        <v>9205.7584851426946</v>
      </c>
      <c r="AU179" s="127">
        <f t="shared" si="3"/>
        <v>9139.7673921268743</v>
      </c>
      <c r="AV179" s="127">
        <f t="shared" si="3"/>
        <v>9234.6749482006526</v>
      </c>
      <c r="AW179" s="127">
        <f t="shared" si="3"/>
        <v>9257.6570341914885</v>
      </c>
      <c r="AX179" s="127">
        <f t="shared" si="3"/>
        <v>9216.7691333861112</v>
      </c>
      <c r="AY179" s="127">
        <f t="shared" si="3"/>
        <v>8886.2889947264721</v>
      </c>
    </row>
    <row r="180" spans="1:51" x14ac:dyDescent="0.2">
      <c r="A180" s="128"/>
      <c r="B180" s="139" t="s">
        <v>299</v>
      </c>
      <c r="C180" s="128" t="s">
        <v>293</v>
      </c>
      <c r="D180" s="128">
        <v>486</v>
      </c>
      <c r="E180" s="128">
        <v>393</v>
      </c>
      <c r="F180" s="128">
        <v>463</v>
      </c>
      <c r="G180" s="128">
        <v>495</v>
      </c>
      <c r="H180" s="128">
        <v>809.91182083427179</v>
      </c>
      <c r="I180" s="128">
        <v>811.86684029565174</v>
      </c>
      <c r="J180" s="128">
        <v>707.14396233928653</v>
      </c>
      <c r="K180" s="128">
        <v>734.19934955704127</v>
      </c>
      <c r="L180" s="128">
        <v>373.11620246707088</v>
      </c>
      <c r="M180" s="128">
        <v>526.09910925804115</v>
      </c>
      <c r="N180" s="128">
        <v>449.22668241949691</v>
      </c>
      <c r="O180" s="128">
        <v>434.67854060135153</v>
      </c>
      <c r="P180" s="128">
        <v>518.54361031502106</v>
      </c>
      <c r="Q180" s="128">
        <v>630.37825600534904</v>
      </c>
      <c r="R180" s="128">
        <v>616.98993318823238</v>
      </c>
      <c r="S180" s="128">
        <v>661.87945095896839</v>
      </c>
      <c r="T180" s="128">
        <v>588.56615459675231</v>
      </c>
      <c r="U180" s="128">
        <v>571.75067767517271</v>
      </c>
      <c r="V180" s="128">
        <v>501.54930919143123</v>
      </c>
      <c r="W180" s="128">
        <v>379.53387363685528</v>
      </c>
      <c r="X180" s="128">
        <v>1164.1582865694411</v>
      </c>
      <c r="Y180" s="128">
        <v>1106</v>
      </c>
      <c r="Z180" s="128">
        <v>1183.2999581214694</v>
      </c>
      <c r="AA180" s="128">
        <v>994.6561559357616</v>
      </c>
      <c r="AB180" s="128">
        <v>757.84005130818718</v>
      </c>
      <c r="AC180" s="128">
        <v>769.11063323229178</v>
      </c>
      <c r="AD180" s="128">
        <v>767.61724544446531</v>
      </c>
      <c r="AE180" s="128">
        <v>748.7111549832606</v>
      </c>
      <c r="AF180" s="128">
        <v>669.54689036400043</v>
      </c>
      <c r="AG180" s="128">
        <v>821.01616484263855</v>
      </c>
      <c r="AH180" s="128">
        <v>776.5899602075674</v>
      </c>
      <c r="AI180" s="128">
        <v>750</v>
      </c>
      <c r="AJ180" s="128">
        <v>624.05754465856353</v>
      </c>
      <c r="AK180" s="128">
        <v>697.66896489876672</v>
      </c>
      <c r="AL180" s="128">
        <v>584.49489049526176</v>
      </c>
      <c r="AM180" s="128">
        <v>573.93762644352239</v>
      </c>
      <c r="AN180" s="128">
        <v>278.09127283112991</v>
      </c>
      <c r="AO180" s="128">
        <v>251.30216549165823</v>
      </c>
      <c r="AP180" s="128">
        <v>203.1896455822997</v>
      </c>
      <c r="AQ180" s="128">
        <v>255.57326048941906</v>
      </c>
      <c r="AR180" s="128">
        <v>971.37275548965727</v>
      </c>
      <c r="AS180" s="128">
        <v>711.99846336863436</v>
      </c>
      <c r="AT180" s="128">
        <v>588.1741218743432</v>
      </c>
      <c r="AU180" s="128">
        <v>791.37709559810207</v>
      </c>
      <c r="AV180" s="128">
        <v>791</v>
      </c>
      <c r="AW180" s="128">
        <v>868.63397857817654</v>
      </c>
      <c r="AX180" s="128">
        <v>934.5299771304708</v>
      </c>
      <c r="AY180" s="128">
        <v>923.33940434359624</v>
      </c>
    </row>
    <row r="181" spans="1:51" x14ac:dyDescent="0.2">
      <c r="A181" s="138" t="s">
        <v>123</v>
      </c>
      <c r="B181" s="138" t="s">
        <v>298</v>
      </c>
      <c r="C181" s="127" t="s">
        <v>293</v>
      </c>
      <c r="D181" s="127">
        <f t="shared" ref="D181:AY181" si="4">(1-D172)*SUM(D122:D169)</f>
        <v>5021.9585639312245</v>
      </c>
      <c r="E181" s="127">
        <f t="shared" si="4"/>
        <v>3908.6024641631948</v>
      </c>
      <c r="F181" s="127">
        <f t="shared" si="4"/>
        <v>2924.9061873003761</v>
      </c>
      <c r="G181" s="127">
        <f t="shared" si="4"/>
        <v>2141.275629067954</v>
      </c>
      <c r="H181" s="127">
        <f t="shared" si="4"/>
        <v>1950.8701452536</v>
      </c>
      <c r="I181" s="127">
        <f t="shared" si="4"/>
        <v>2163.2090432688597</v>
      </c>
      <c r="J181" s="127">
        <f t="shared" si="4"/>
        <v>1999.6492076516786</v>
      </c>
      <c r="K181" s="127">
        <f t="shared" si="4"/>
        <v>1645.9366607241407</v>
      </c>
      <c r="L181" s="127">
        <f t="shared" si="4"/>
        <v>1666.7472063677978</v>
      </c>
      <c r="M181" s="127">
        <f t="shared" si="4"/>
        <v>1673.1594557085575</v>
      </c>
      <c r="N181" s="127">
        <f t="shared" si="4"/>
        <v>1520.1155905045757</v>
      </c>
      <c r="O181" s="127">
        <f t="shared" si="4"/>
        <v>1104.5030313059308</v>
      </c>
      <c r="P181" s="127">
        <f t="shared" si="4"/>
        <v>1340.4415351064952</v>
      </c>
      <c r="Q181" s="127">
        <f t="shared" si="4"/>
        <v>1483.3076596030253</v>
      </c>
      <c r="R181" s="127">
        <f t="shared" si="4"/>
        <v>1498.1693091829475</v>
      </c>
      <c r="S181" s="127">
        <f t="shared" si="4"/>
        <v>1593.6044782600752</v>
      </c>
      <c r="T181" s="127">
        <f t="shared" si="4"/>
        <v>1660.261793818368</v>
      </c>
      <c r="U181" s="127">
        <f t="shared" si="4"/>
        <v>1468.6848523953338</v>
      </c>
      <c r="V181" s="127">
        <f t="shared" si="4"/>
        <v>1802.5947082462417</v>
      </c>
      <c r="W181" s="127">
        <f t="shared" si="4"/>
        <v>1508.6930420153176</v>
      </c>
      <c r="X181" s="127">
        <f t="shared" si="4"/>
        <v>1582.1786845482959</v>
      </c>
      <c r="Y181" s="127">
        <f t="shared" si="4"/>
        <v>1863.4161565322063</v>
      </c>
      <c r="Z181" s="127">
        <f t="shared" si="4"/>
        <v>1541.5983044455713</v>
      </c>
      <c r="AA181" s="127">
        <f t="shared" si="4"/>
        <v>1750.0924113184819</v>
      </c>
      <c r="AB181" s="127">
        <f t="shared" si="4"/>
        <v>1731.9567524584531</v>
      </c>
      <c r="AC181" s="127">
        <f t="shared" si="4"/>
        <v>1492.6966795764654</v>
      </c>
      <c r="AD181" s="127">
        <f t="shared" si="4"/>
        <v>1280.7600492310112</v>
      </c>
      <c r="AE181" s="127">
        <f t="shared" si="4"/>
        <v>1719.1285113600509</v>
      </c>
      <c r="AF181" s="127">
        <f t="shared" si="4"/>
        <v>1261.2013650360093</v>
      </c>
      <c r="AG181" s="127">
        <f t="shared" si="4"/>
        <v>1550.7331334299165</v>
      </c>
      <c r="AH181" s="127">
        <f t="shared" si="4"/>
        <v>1170.7176388412865</v>
      </c>
      <c r="AI181" s="127">
        <f t="shared" si="4"/>
        <v>909.69837551347132</v>
      </c>
      <c r="AJ181" s="127">
        <f t="shared" si="4"/>
        <v>883.70826916052795</v>
      </c>
      <c r="AK181" s="127">
        <f t="shared" si="4"/>
        <v>1015.5172183425744</v>
      </c>
      <c r="AL181" s="127">
        <f t="shared" si="4"/>
        <v>851.84241683140795</v>
      </c>
      <c r="AM181" s="127">
        <f t="shared" si="4"/>
        <v>1185.2961945317697</v>
      </c>
      <c r="AN181" s="127">
        <f t="shared" si="4"/>
        <v>1149.8291527331055</v>
      </c>
      <c r="AO181" s="127">
        <f t="shared" si="4"/>
        <v>1411.3358094524594</v>
      </c>
      <c r="AP181" s="127">
        <f t="shared" si="4"/>
        <v>1253.8909786678867</v>
      </c>
      <c r="AQ181" s="127">
        <f t="shared" si="4"/>
        <v>1735.5134398309815</v>
      </c>
      <c r="AR181" s="127">
        <f t="shared" si="4"/>
        <v>1751.3926758413761</v>
      </c>
      <c r="AS181" s="127">
        <f t="shared" si="4"/>
        <v>1507.4434500934203</v>
      </c>
      <c r="AT181" s="127">
        <f t="shared" si="4"/>
        <v>1064.4367499946172</v>
      </c>
      <c r="AU181" s="127">
        <f t="shared" si="4"/>
        <v>1427.3914288442381</v>
      </c>
      <c r="AV181" s="127">
        <f t="shared" si="4"/>
        <v>1310.9456996511483</v>
      </c>
      <c r="AW181" s="127">
        <f t="shared" si="4"/>
        <v>1333.1130742741921</v>
      </c>
      <c r="AX181" s="127">
        <f t="shared" si="4"/>
        <v>972.84270962103301</v>
      </c>
      <c r="AY181" s="127">
        <f t="shared" si="4"/>
        <v>1182.1900459910541</v>
      </c>
    </row>
    <row r="182" spans="1:51" x14ac:dyDescent="0.2">
      <c r="A182" s="128"/>
      <c r="B182" s="139" t="s">
        <v>299</v>
      </c>
      <c r="C182" s="128" t="s">
        <v>293</v>
      </c>
      <c r="D182" s="128">
        <v>401</v>
      </c>
      <c r="E182" s="128">
        <v>587</v>
      </c>
      <c r="F182" s="128">
        <v>430</v>
      </c>
      <c r="G182" s="128">
        <v>405</v>
      </c>
      <c r="H182" s="128">
        <v>326.91182083427174</v>
      </c>
      <c r="I182" s="128">
        <v>347.86684029565174</v>
      </c>
      <c r="J182" s="128">
        <v>301.14396233928653</v>
      </c>
      <c r="K182" s="128">
        <v>370.19934955704122</v>
      </c>
      <c r="L182" s="128">
        <v>837.11620246707082</v>
      </c>
      <c r="M182" s="128">
        <v>635.09910925804115</v>
      </c>
      <c r="N182" s="128">
        <v>699.22668241949691</v>
      </c>
      <c r="O182" s="128">
        <v>807.67854060135153</v>
      </c>
      <c r="P182" s="128">
        <v>368.543610315021</v>
      </c>
      <c r="Q182" s="128">
        <v>435.37825600534904</v>
      </c>
      <c r="R182" s="128">
        <v>340.98993318823238</v>
      </c>
      <c r="S182" s="128">
        <v>291.87945095896839</v>
      </c>
      <c r="T182" s="128">
        <v>315.56615459675231</v>
      </c>
      <c r="U182" s="128">
        <v>362.75067767517271</v>
      </c>
      <c r="V182" s="128">
        <v>356.54930919143123</v>
      </c>
      <c r="W182" s="128">
        <v>406.53387363685528</v>
      </c>
      <c r="X182" s="128">
        <v>414.15828656944109</v>
      </c>
      <c r="Y182" s="128">
        <v>442</v>
      </c>
      <c r="Z182" s="128">
        <v>479.29995812146939</v>
      </c>
      <c r="AA182" s="128">
        <v>368.6561559357616</v>
      </c>
      <c r="AB182" s="128">
        <v>311.84005130818724</v>
      </c>
      <c r="AC182" s="128">
        <v>386.11063323229178</v>
      </c>
      <c r="AD182" s="128">
        <v>346.61724544446531</v>
      </c>
      <c r="AE182" s="128">
        <v>295.71115498326066</v>
      </c>
      <c r="AF182" s="128">
        <v>978.54689036400043</v>
      </c>
      <c r="AG182" s="128">
        <v>1079.0161648426385</v>
      </c>
      <c r="AH182" s="128">
        <v>1115.5899602075674</v>
      </c>
      <c r="AI182" s="128">
        <v>909.69837551347132</v>
      </c>
      <c r="AJ182" s="128">
        <v>657.05754465856353</v>
      </c>
      <c r="AK182" s="128">
        <v>610.66896489876672</v>
      </c>
      <c r="AL182" s="128">
        <v>806.49489049526176</v>
      </c>
      <c r="AM182" s="128">
        <v>753.93762644352239</v>
      </c>
      <c r="AN182" s="128">
        <v>288.09127283112991</v>
      </c>
      <c r="AO182" s="128">
        <v>348.30216549165823</v>
      </c>
      <c r="AP182" s="128">
        <v>323.1896455822997</v>
      </c>
      <c r="AQ182" s="128">
        <v>322.57326048941906</v>
      </c>
      <c r="AR182" s="128">
        <v>727.37275548965727</v>
      </c>
      <c r="AS182" s="128">
        <v>757.99846336863436</v>
      </c>
      <c r="AT182" s="128">
        <v>633.1741218743432</v>
      </c>
      <c r="AU182" s="128">
        <v>728.37709559810207</v>
      </c>
      <c r="AV182" s="128">
        <v>576</v>
      </c>
      <c r="AW182" s="128">
        <v>725.63397857817654</v>
      </c>
      <c r="AX182" s="128">
        <v>932.5299771304708</v>
      </c>
      <c r="AY182" s="128">
        <v>902.33940434359624</v>
      </c>
    </row>
    <row r="184" spans="1:51" x14ac:dyDescent="0.2">
      <c r="A184" s="1" t="s">
        <v>300</v>
      </c>
    </row>
    <row r="185" spans="1:51" x14ac:dyDescent="0.2">
      <c r="A185" s="129" t="s">
        <v>125</v>
      </c>
      <c r="B185" s="126">
        <v>1</v>
      </c>
      <c r="C185" s="127">
        <v>0</v>
      </c>
      <c r="D185" s="127">
        <v>0</v>
      </c>
      <c r="E185" s="127">
        <v>200.70302420915732</v>
      </c>
      <c r="F185" s="127">
        <v>267</v>
      </c>
      <c r="G185" s="127">
        <v>119.99491569793895</v>
      </c>
      <c r="H185" s="127">
        <v>0</v>
      </c>
      <c r="I185" s="127">
        <v>0</v>
      </c>
      <c r="J185" s="127">
        <v>0</v>
      </c>
      <c r="K185" s="127">
        <v>0</v>
      </c>
      <c r="L185" s="127">
        <v>0</v>
      </c>
      <c r="M185" s="127">
        <v>0</v>
      </c>
      <c r="N185" s="127">
        <v>0</v>
      </c>
      <c r="O185" s="127">
        <v>0</v>
      </c>
      <c r="P185" s="127">
        <v>0</v>
      </c>
      <c r="Q185" s="127">
        <v>0</v>
      </c>
      <c r="R185" s="127">
        <v>0</v>
      </c>
      <c r="S185" s="127">
        <v>0</v>
      </c>
      <c r="T185" s="127">
        <v>0</v>
      </c>
      <c r="U185" s="127">
        <v>0</v>
      </c>
      <c r="V185" s="127">
        <v>0</v>
      </c>
      <c r="W185" s="127">
        <v>0</v>
      </c>
      <c r="X185" s="127">
        <v>0</v>
      </c>
      <c r="Y185" s="127">
        <v>0</v>
      </c>
      <c r="Z185" s="127">
        <v>0</v>
      </c>
      <c r="AA185" s="127">
        <v>0</v>
      </c>
      <c r="AB185" s="127">
        <v>0</v>
      </c>
      <c r="AC185" s="127">
        <v>0</v>
      </c>
      <c r="AD185" s="127">
        <v>0</v>
      </c>
      <c r="AE185" s="127">
        <v>0</v>
      </c>
      <c r="AF185" s="127">
        <v>0</v>
      </c>
      <c r="AG185" s="127">
        <v>0</v>
      </c>
      <c r="AH185" s="127">
        <v>0</v>
      </c>
      <c r="AI185" s="127">
        <v>0</v>
      </c>
      <c r="AJ185" s="127">
        <v>0</v>
      </c>
      <c r="AK185" s="127">
        <v>0</v>
      </c>
      <c r="AL185" s="127">
        <v>0</v>
      </c>
      <c r="AM185" s="127">
        <v>0</v>
      </c>
      <c r="AN185" s="127">
        <v>0</v>
      </c>
      <c r="AO185" s="127">
        <v>0</v>
      </c>
      <c r="AP185" s="127">
        <v>0</v>
      </c>
      <c r="AQ185" s="127">
        <v>0</v>
      </c>
      <c r="AR185" s="127">
        <v>0</v>
      </c>
      <c r="AS185" s="127">
        <v>0</v>
      </c>
      <c r="AT185" s="127">
        <v>0</v>
      </c>
      <c r="AU185" s="127">
        <v>0</v>
      </c>
      <c r="AV185" s="127">
        <v>0</v>
      </c>
      <c r="AW185" s="127">
        <v>0</v>
      </c>
      <c r="AX185" s="127">
        <v>0</v>
      </c>
      <c r="AY185" s="127">
        <v>0</v>
      </c>
    </row>
    <row r="186" spans="1:51" x14ac:dyDescent="0.2">
      <c r="A186" s="113"/>
      <c r="B186" s="123">
        <v>2</v>
      </c>
      <c r="C186" s="110">
        <v>0</v>
      </c>
      <c r="D186" s="110">
        <v>0</v>
      </c>
      <c r="E186" s="110">
        <v>0</v>
      </c>
      <c r="F186" s="110">
        <v>0</v>
      </c>
      <c r="G186" s="110">
        <v>235.00508430206105</v>
      </c>
      <c r="H186" s="110">
        <v>288</v>
      </c>
      <c r="I186" s="110">
        <v>278</v>
      </c>
      <c r="J186" s="110">
        <v>0</v>
      </c>
      <c r="K186" s="110">
        <v>0</v>
      </c>
      <c r="L186" s="110">
        <v>0</v>
      </c>
      <c r="M186" s="110">
        <v>0</v>
      </c>
      <c r="N186" s="110">
        <v>0</v>
      </c>
      <c r="O186" s="110">
        <v>0</v>
      </c>
      <c r="P186" s="110">
        <v>0</v>
      </c>
      <c r="Q186" s="110">
        <v>0</v>
      </c>
      <c r="R186" s="110">
        <v>0</v>
      </c>
      <c r="S186" s="110">
        <v>0</v>
      </c>
      <c r="T186" s="110">
        <v>0</v>
      </c>
      <c r="U186" s="110">
        <v>0</v>
      </c>
      <c r="V186" s="110">
        <v>0</v>
      </c>
      <c r="W186" s="110">
        <v>0</v>
      </c>
      <c r="X186" s="110">
        <v>0</v>
      </c>
      <c r="Y186" s="110">
        <v>0</v>
      </c>
      <c r="Z186" s="110">
        <v>0</v>
      </c>
      <c r="AA186" s="110">
        <v>0</v>
      </c>
      <c r="AB186" s="110">
        <v>0</v>
      </c>
      <c r="AC186" s="110">
        <v>0</v>
      </c>
      <c r="AD186" s="110">
        <v>0</v>
      </c>
      <c r="AE186" s="110">
        <v>0</v>
      </c>
      <c r="AF186" s="110">
        <v>0</v>
      </c>
      <c r="AG186" s="110">
        <v>0</v>
      </c>
      <c r="AH186" s="110">
        <v>0</v>
      </c>
      <c r="AI186" s="110">
        <v>0</v>
      </c>
      <c r="AJ186" s="110">
        <v>0</v>
      </c>
      <c r="AK186" s="110">
        <v>0</v>
      </c>
      <c r="AL186" s="110">
        <v>0</v>
      </c>
      <c r="AM186" s="110">
        <v>0</v>
      </c>
      <c r="AN186" s="110">
        <v>0</v>
      </c>
      <c r="AO186" s="110">
        <v>0</v>
      </c>
      <c r="AP186" s="110">
        <v>0</v>
      </c>
      <c r="AQ186" s="110">
        <v>0</v>
      </c>
      <c r="AR186" s="110">
        <v>0</v>
      </c>
      <c r="AS186" s="110">
        <v>0</v>
      </c>
      <c r="AT186" s="110">
        <v>0</v>
      </c>
      <c r="AU186" s="110">
        <v>0</v>
      </c>
      <c r="AV186" s="110">
        <v>0</v>
      </c>
      <c r="AW186" s="110">
        <v>0</v>
      </c>
      <c r="AX186" s="110">
        <v>0</v>
      </c>
      <c r="AY186" s="110">
        <v>0</v>
      </c>
    </row>
    <row r="187" spans="1:51" x14ac:dyDescent="0.2">
      <c r="A187" s="113"/>
      <c r="B187" s="130">
        <v>3</v>
      </c>
      <c r="C187" s="110">
        <v>0</v>
      </c>
      <c r="D187" s="110">
        <v>0</v>
      </c>
      <c r="E187" s="110">
        <v>0</v>
      </c>
      <c r="F187" s="110">
        <v>0</v>
      </c>
      <c r="G187" s="110">
        <v>0</v>
      </c>
      <c r="H187" s="110">
        <v>0</v>
      </c>
      <c r="I187" s="110">
        <v>0</v>
      </c>
      <c r="J187" s="110">
        <v>247</v>
      </c>
      <c r="K187" s="110">
        <v>272</v>
      </c>
      <c r="L187" s="110">
        <v>283</v>
      </c>
      <c r="M187" s="110">
        <v>0</v>
      </c>
      <c r="N187" s="110">
        <v>0</v>
      </c>
      <c r="O187" s="110">
        <v>0</v>
      </c>
      <c r="P187" s="110">
        <v>0</v>
      </c>
      <c r="Q187" s="110">
        <v>0</v>
      </c>
      <c r="R187" s="110">
        <v>0</v>
      </c>
      <c r="S187" s="110">
        <v>0</v>
      </c>
      <c r="T187" s="110">
        <v>0</v>
      </c>
      <c r="U187" s="110">
        <v>0</v>
      </c>
      <c r="V187" s="110">
        <v>0</v>
      </c>
      <c r="W187" s="110">
        <v>0</v>
      </c>
      <c r="X187" s="110">
        <v>0</v>
      </c>
      <c r="Y187" s="110">
        <v>0</v>
      </c>
      <c r="Z187" s="110">
        <v>0</v>
      </c>
      <c r="AA187" s="110">
        <v>0</v>
      </c>
      <c r="AB187" s="110">
        <v>0</v>
      </c>
      <c r="AC187" s="110">
        <v>0</v>
      </c>
      <c r="AD187" s="110">
        <v>0</v>
      </c>
      <c r="AE187" s="110">
        <v>0</v>
      </c>
      <c r="AF187" s="110">
        <v>0</v>
      </c>
      <c r="AG187" s="110">
        <v>0</v>
      </c>
      <c r="AH187" s="110">
        <v>0</v>
      </c>
      <c r="AI187" s="110">
        <v>0</v>
      </c>
      <c r="AJ187" s="110">
        <v>0</v>
      </c>
      <c r="AK187" s="110">
        <v>0</v>
      </c>
      <c r="AL187" s="110">
        <v>0</v>
      </c>
      <c r="AM187" s="110">
        <v>0</v>
      </c>
      <c r="AN187" s="110">
        <v>0</v>
      </c>
      <c r="AO187" s="110">
        <v>0</v>
      </c>
      <c r="AP187" s="110">
        <v>0</v>
      </c>
      <c r="AQ187" s="110">
        <v>0</v>
      </c>
      <c r="AR187" s="110">
        <v>0</v>
      </c>
      <c r="AS187" s="110">
        <v>0</v>
      </c>
      <c r="AT187" s="110">
        <v>0</v>
      </c>
      <c r="AU187" s="110">
        <v>0</v>
      </c>
      <c r="AV187" s="110">
        <v>0</v>
      </c>
      <c r="AW187" s="110">
        <v>0</v>
      </c>
      <c r="AX187" s="110">
        <v>0</v>
      </c>
      <c r="AY187" s="110">
        <v>0</v>
      </c>
    </row>
    <row r="188" spans="1:51" x14ac:dyDescent="0.2">
      <c r="A188" s="131"/>
      <c r="B188" s="132">
        <v>4</v>
      </c>
      <c r="C188" s="110">
        <v>0</v>
      </c>
      <c r="D188" s="110">
        <v>0</v>
      </c>
      <c r="E188" s="110">
        <v>0</v>
      </c>
      <c r="F188" s="110">
        <v>0</v>
      </c>
      <c r="G188" s="110">
        <v>0</v>
      </c>
      <c r="H188" s="110">
        <v>0</v>
      </c>
      <c r="I188" s="110">
        <v>0</v>
      </c>
      <c r="J188" s="110">
        <v>0</v>
      </c>
      <c r="K188" s="110">
        <v>0</v>
      </c>
      <c r="L188" s="110">
        <v>0</v>
      </c>
      <c r="M188" s="110">
        <v>247</v>
      </c>
      <c r="N188" s="110">
        <v>249</v>
      </c>
      <c r="O188" s="110">
        <v>303</v>
      </c>
      <c r="P188" s="110">
        <v>502</v>
      </c>
      <c r="Q188" s="110">
        <v>473</v>
      </c>
      <c r="R188" s="110">
        <v>417</v>
      </c>
      <c r="S188" s="110">
        <v>374</v>
      </c>
      <c r="T188" s="110">
        <v>731</v>
      </c>
      <c r="U188" s="110">
        <v>666</v>
      </c>
      <c r="V188" s="110">
        <v>786</v>
      </c>
      <c r="W188" s="110">
        <v>809</v>
      </c>
      <c r="X188" s="110">
        <v>461</v>
      </c>
      <c r="Y188" s="110">
        <v>472</v>
      </c>
      <c r="Z188" s="110">
        <v>424</v>
      </c>
      <c r="AA188" s="110">
        <v>494</v>
      </c>
      <c r="AB188" s="110">
        <v>422</v>
      </c>
      <c r="AC188" s="110">
        <v>357</v>
      </c>
      <c r="AD188" s="110">
        <v>392</v>
      </c>
      <c r="AE188" s="110">
        <v>418</v>
      </c>
      <c r="AF188" s="110">
        <v>788</v>
      </c>
      <c r="AG188" s="110">
        <v>746</v>
      </c>
      <c r="AH188" s="110">
        <v>823</v>
      </c>
      <c r="AI188" s="110">
        <v>964</v>
      </c>
      <c r="AJ188" s="110">
        <v>316</v>
      </c>
      <c r="AK188" s="110">
        <v>318</v>
      </c>
      <c r="AL188" s="110">
        <v>317</v>
      </c>
      <c r="AM188" s="110">
        <v>257</v>
      </c>
      <c r="AN188" s="110">
        <v>610</v>
      </c>
      <c r="AO188" s="110">
        <v>694</v>
      </c>
      <c r="AP188" s="110">
        <v>555</v>
      </c>
      <c r="AQ188" s="110">
        <v>542</v>
      </c>
      <c r="AR188" s="110">
        <v>424</v>
      </c>
      <c r="AS188" s="110">
        <v>434</v>
      </c>
      <c r="AT188" s="110">
        <v>285</v>
      </c>
      <c r="AU188" s="110">
        <v>357</v>
      </c>
      <c r="AV188" s="110">
        <v>306</v>
      </c>
      <c r="AW188" s="110">
        <v>345</v>
      </c>
      <c r="AX188" s="110">
        <v>315</v>
      </c>
      <c r="AY188" s="110">
        <v>400</v>
      </c>
    </row>
    <row r="189" spans="1:51" x14ac:dyDescent="0.2">
      <c r="A189" s="129" t="s">
        <v>133</v>
      </c>
      <c r="B189" s="126">
        <v>1</v>
      </c>
      <c r="C189" s="127">
        <v>0</v>
      </c>
      <c r="D189" s="127">
        <v>0</v>
      </c>
      <c r="E189" s="127">
        <v>0</v>
      </c>
      <c r="F189" s="127">
        <v>0</v>
      </c>
      <c r="G189" s="127">
        <v>0</v>
      </c>
      <c r="H189" s="127">
        <v>171.61339991679947</v>
      </c>
      <c r="I189" s="127">
        <v>171.61339991679952</v>
      </c>
      <c r="J189" s="127">
        <v>171.61339991679952</v>
      </c>
      <c r="K189" s="127">
        <v>171.61339991679952</v>
      </c>
      <c r="L189" s="127">
        <v>171.61339991679952</v>
      </c>
      <c r="M189" s="127">
        <v>171.61339991679952</v>
      </c>
      <c r="N189" s="127">
        <v>171.61339991679952</v>
      </c>
      <c r="O189" s="127">
        <v>171.61339991679952</v>
      </c>
      <c r="P189" s="127">
        <v>171.61339991679952</v>
      </c>
      <c r="Q189" s="127">
        <v>171.61339991679952</v>
      </c>
      <c r="R189" s="127">
        <v>171.61339991679952</v>
      </c>
      <c r="S189" s="127">
        <v>171.61339991679952</v>
      </c>
      <c r="T189" s="127">
        <v>171.61339991679952</v>
      </c>
      <c r="U189" s="127">
        <v>171.61339991679952</v>
      </c>
      <c r="V189" s="127">
        <v>171.61339991679952</v>
      </c>
      <c r="W189" s="127">
        <v>171.61339991679952</v>
      </c>
      <c r="X189" s="127">
        <v>171.61339991679952</v>
      </c>
      <c r="Y189" s="127">
        <v>0</v>
      </c>
      <c r="Z189" s="127">
        <v>343.22679983359905</v>
      </c>
      <c r="AA189" s="127">
        <v>171.61339991679952</v>
      </c>
      <c r="AB189" s="127">
        <v>171.61339991679952</v>
      </c>
      <c r="AC189" s="127">
        <v>171.61339991679952</v>
      </c>
      <c r="AD189" s="127">
        <v>171.61339991679952</v>
      </c>
      <c r="AE189" s="127">
        <v>171.61339991679952</v>
      </c>
      <c r="AF189" s="127">
        <v>171.61339991679952</v>
      </c>
      <c r="AG189" s="127">
        <v>171.61339991679952</v>
      </c>
      <c r="AH189" s="127">
        <v>171.61339991679952</v>
      </c>
      <c r="AI189" s="127">
        <v>0</v>
      </c>
      <c r="AJ189" s="127">
        <v>343.22679983359905</v>
      </c>
      <c r="AK189" s="127">
        <v>171.61339991679952</v>
      </c>
      <c r="AL189" s="127">
        <v>171.61339991679952</v>
      </c>
      <c r="AM189" s="127">
        <v>171.61339991679952</v>
      </c>
      <c r="AN189" s="127">
        <v>171.61339991679952</v>
      </c>
      <c r="AO189" s="127">
        <v>171.61339991679952</v>
      </c>
      <c r="AP189" s="127">
        <v>171.61339991679952</v>
      </c>
      <c r="AQ189" s="127">
        <v>171.61339991679952</v>
      </c>
      <c r="AR189" s="127">
        <v>171.61339991679952</v>
      </c>
      <c r="AS189" s="127">
        <v>171.61339991679952</v>
      </c>
      <c r="AT189" s="127">
        <v>171.61339991679952</v>
      </c>
      <c r="AU189" s="127">
        <v>171.61339991679952</v>
      </c>
      <c r="AV189" s="127">
        <v>0</v>
      </c>
      <c r="AW189" s="127">
        <v>343.22679983359905</v>
      </c>
      <c r="AX189" s="127">
        <v>171.61339991679952</v>
      </c>
      <c r="AY189" s="127">
        <v>171.61339991679952</v>
      </c>
    </row>
    <row r="190" spans="1:51" x14ac:dyDescent="0.2">
      <c r="A190" s="113"/>
      <c r="B190" s="122">
        <v>2</v>
      </c>
      <c r="C190" s="110">
        <v>309.2709851913915</v>
      </c>
      <c r="D190" s="110">
        <v>0</v>
      </c>
      <c r="E190" s="110">
        <v>268.61458807512662</v>
      </c>
      <c r="F190" s="110">
        <v>0</v>
      </c>
      <c r="G190" s="110">
        <v>142.23733642084397</v>
      </c>
      <c r="H190" s="110">
        <v>171.61339991679952</v>
      </c>
      <c r="I190" s="110">
        <v>5.6843418860808015E-14</v>
      </c>
      <c r="J190" s="110">
        <v>0</v>
      </c>
      <c r="K190" s="110">
        <v>0</v>
      </c>
      <c r="L190" s="110">
        <v>0</v>
      </c>
      <c r="M190" s="110">
        <v>0</v>
      </c>
      <c r="N190" s="110">
        <v>0</v>
      </c>
      <c r="O190" s="110">
        <v>0</v>
      </c>
      <c r="P190" s="110">
        <v>0</v>
      </c>
      <c r="Q190" s="110">
        <v>0</v>
      </c>
      <c r="R190" s="110">
        <v>0</v>
      </c>
      <c r="S190" s="110">
        <v>0</v>
      </c>
      <c r="T190" s="110">
        <v>0</v>
      </c>
      <c r="U190" s="110">
        <v>0</v>
      </c>
      <c r="V190" s="110">
        <v>0</v>
      </c>
      <c r="W190" s="110">
        <v>0</v>
      </c>
      <c r="X190" s="110">
        <v>0</v>
      </c>
      <c r="Y190" s="110">
        <v>0</v>
      </c>
      <c r="Z190" s="110">
        <v>0</v>
      </c>
      <c r="AA190" s="110">
        <v>0</v>
      </c>
      <c r="AB190" s="110">
        <v>0</v>
      </c>
      <c r="AC190" s="110">
        <v>0</v>
      </c>
      <c r="AD190" s="110">
        <v>0</v>
      </c>
      <c r="AE190" s="110">
        <v>0</v>
      </c>
      <c r="AF190" s="110">
        <v>0</v>
      </c>
      <c r="AG190" s="110">
        <v>0</v>
      </c>
      <c r="AH190" s="110">
        <v>0</v>
      </c>
      <c r="AI190" s="110">
        <v>0</v>
      </c>
      <c r="AJ190" s="110">
        <v>0</v>
      </c>
      <c r="AK190" s="110">
        <v>0</v>
      </c>
      <c r="AL190" s="110">
        <v>0</v>
      </c>
      <c r="AM190" s="110">
        <v>0</v>
      </c>
      <c r="AN190" s="110">
        <v>0</v>
      </c>
      <c r="AO190" s="110">
        <v>0</v>
      </c>
      <c r="AP190" s="110">
        <v>0</v>
      </c>
      <c r="AQ190" s="110">
        <v>0</v>
      </c>
      <c r="AR190" s="110">
        <v>0</v>
      </c>
      <c r="AS190" s="110">
        <v>0</v>
      </c>
      <c r="AT190" s="110">
        <v>0</v>
      </c>
      <c r="AU190" s="110">
        <v>0</v>
      </c>
      <c r="AV190" s="110">
        <v>0</v>
      </c>
      <c r="AW190" s="110">
        <v>0</v>
      </c>
      <c r="AX190" s="110">
        <v>0</v>
      </c>
      <c r="AY190" s="110">
        <v>0</v>
      </c>
    </row>
    <row r="191" spans="1:51" x14ac:dyDescent="0.2">
      <c r="A191" s="113"/>
      <c r="B191" s="123">
        <v>3</v>
      </c>
      <c r="C191" s="110">
        <v>425.7290148086085</v>
      </c>
      <c r="D191" s="110">
        <v>917</v>
      </c>
      <c r="E191" s="110">
        <v>320.4677712891235</v>
      </c>
      <c r="F191" s="110">
        <v>1107</v>
      </c>
      <c r="G191" s="110">
        <v>320.4677712891235</v>
      </c>
      <c r="H191" s="110">
        <v>29.376063495955549</v>
      </c>
      <c r="I191" s="110">
        <v>0</v>
      </c>
      <c r="J191" s="110">
        <v>0</v>
      </c>
      <c r="K191" s="110">
        <v>0</v>
      </c>
      <c r="L191" s="110">
        <v>0</v>
      </c>
      <c r="M191" s="110">
        <v>0</v>
      </c>
      <c r="N191" s="110">
        <v>0</v>
      </c>
      <c r="O191" s="110">
        <v>0</v>
      </c>
      <c r="P191" s="110">
        <v>0</v>
      </c>
      <c r="Q191" s="110">
        <v>0</v>
      </c>
      <c r="R191" s="110">
        <v>0</v>
      </c>
      <c r="S191" s="110">
        <v>0</v>
      </c>
      <c r="T191" s="110">
        <v>0</v>
      </c>
      <c r="U191" s="110">
        <v>0</v>
      </c>
      <c r="V191" s="110">
        <v>0</v>
      </c>
      <c r="W191" s="110">
        <v>0</v>
      </c>
      <c r="X191" s="110">
        <v>0</v>
      </c>
      <c r="Y191" s="110">
        <v>0</v>
      </c>
      <c r="Z191" s="110">
        <v>0</v>
      </c>
      <c r="AA191" s="110">
        <v>0</v>
      </c>
      <c r="AB191" s="110">
        <v>0</v>
      </c>
      <c r="AC191" s="110">
        <v>0</v>
      </c>
      <c r="AD191" s="110">
        <v>0</v>
      </c>
      <c r="AE191" s="110">
        <v>0</v>
      </c>
      <c r="AF191" s="110">
        <v>0</v>
      </c>
      <c r="AG191" s="110">
        <v>0</v>
      </c>
      <c r="AH191" s="110">
        <v>0</v>
      </c>
      <c r="AI191" s="110">
        <v>0</v>
      </c>
      <c r="AJ191" s="110">
        <v>0</v>
      </c>
      <c r="AK191" s="110">
        <v>0</v>
      </c>
      <c r="AL191" s="110">
        <v>0</v>
      </c>
      <c r="AM191" s="110">
        <v>0</v>
      </c>
      <c r="AN191" s="110">
        <v>0</v>
      </c>
      <c r="AO191" s="110">
        <v>0</v>
      </c>
      <c r="AP191" s="110">
        <v>0</v>
      </c>
      <c r="AQ191" s="110">
        <v>0</v>
      </c>
      <c r="AR191" s="110">
        <v>0</v>
      </c>
      <c r="AS191" s="110">
        <v>0</v>
      </c>
      <c r="AT191" s="110">
        <v>0</v>
      </c>
      <c r="AU191" s="110">
        <v>0</v>
      </c>
      <c r="AV191" s="110">
        <v>0</v>
      </c>
      <c r="AW191" s="110">
        <v>0</v>
      </c>
      <c r="AX191" s="110">
        <v>0</v>
      </c>
      <c r="AY191" s="110">
        <v>0</v>
      </c>
    </row>
    <row r="192" spans="1:51" x14ac:dyDescent="0.2">
      <c r="A192" s="113"/>
      <c r="B192" s="123">
        <v>4</v>
      </c>
      <c r="C192" s="110">
        <v>0</v>
      </c>
      <c r="D192" s="110">
        <v>0</v>
      </c>
      <c r="E192" s="110">
        <v>316.91764063574988</v>
      </c>
      <c r="F192" s="110">
        <v>0</v>
      </c>
      <c r="G192" s="110">
        <v>477.29489229003252</v>
      </c>
      <c r="H192" s="110">
        <v>0</v>
      </c>
      <c r="I192" s="110">
        <v>0</v>
      </c>
      <c r="J192" s="110">
        <v>0</v>
      </c>
      <c r="K192" s="110">
        <v>0</v>
      </c>
      <c r="L192" s="110">
        <v>0</v>
      </c>
      <c r="M192" s="110">
        <v>0</v>
      </c>
      <c r="N192" s="110">
        <v>0</v>
      </c>
      <c r="O192" s="110">
        <v>0</v>
      </c>
      <c r="P192" s="110">
        <v>0</v>
      </c>
      <c r="Q192" s="110">
        <v>0</v>
      </c>
      <c r="R192" s="110">
        <v>0</v>
      </c>
      <c r="S192" s="110">
        <v>0</v>
      </c>
      <c r="T192" s="110">
        <v>0</v>
      </c>
      <c r="U192" s="110">
        <v>0</v>
      </c>
      <c r="V192" s="110">
        <v>0</v>
      </c>
      <c r="W192" s="110">
        <v>0</v>
      </c>
      <c r="X192" s="110">
        <v>0</v>
      </c>
      <c r="Y192" s="110">
        <v>0</v>
      </c>
      <c r="Z192" s="110">
        <v>0</v>
      </c>
      <c r="AA192" s="110">
        <v>0</v>
      </c>
      <c r="AB192" s="110">
        <v>0</v>
      </c>
      <c r="AC192" s="110">
        <v>0</v>
      </c>
      <c r="AD192" s="110">
        <v>0</v>
      </c>
      <c r="AE192" s="110">
        <v>0</v>
      </c>
      <c r="AF192" s="110">
        <v>0</v>
      </c>
      <c r="AG192" s="110">
        <v>0</v>
      </c>
      <c r="AH192" s="110">
        <v>0</v>
      </c>
      <c r="AI192" s="110">
        <v>0</v>
      </c>
      <c r="AJ192" s="110">
        <v>0</v>
      </c>
      <c r="AK192" s="110">
        <v>0</v>
      </c>
      <c r="AL192" s="110">
        <v>0</v>
      </c>
      <c r="AM192" s="110">
        <v>0</v>
      </c>
      <c r="AN192" s="110">
        <v>0</v>
      </c>
      <c r="AO192" s="110">
        <v>0</v>
      </c>
      <c r="AP192" s="110">
        <v>0</v>
      </c>
      <c r="AQ192" s="110">
        <v>0</v>
      </c>
      <c r="AR192" s="110">
        <v>0</v>
      </c>
      <c r="AS192" s="110">
        <v>0</v>
      </c>
      <c r="AT192" s="110">
        <v>0</v>
      </c>
      <c r="AU192" s="110">
        <v>0</v>
      </c>
      <c r="AV192" s="110">
        <v>0</v>
      </c>
      <c r="AW192" s="110">
        <v>0</v>
      </c>
      <c r="AX192" s="110">
        <v>0</v>
      </c>
      <c r="AY192" s="110">
        <v>0</v>
      </c>
    </row>
    <row r="193" spans="1:51" x14ac:dyDescent="0.2">
      <c r="A193" s="113"/>
      <c r="B193" s="130">
        <v>5</v>
      </c>
      <c r="C193" s="110">
        <v>0</v>
      </c>
      <c r="D193" s="110">
        <v>0</v>
      </c>
      <c r="E193" s="110">
        <v>0</v>
      </c>
      <c r="F193" s="110">
        <v>0</v>
      </c>
      <c r="G193" s="110">
        <v>0</v>
      </c>
      <c r="H193" s="110">
        <v>0</v>
      </c>
      <c r="I193" s="110">
        <v>0</v>
      </c>
      <c r="J193" s="110">
        <v>0</v>
      </c>
      <c r="K193" s="110">
        <v>0</v>
      </c>
      <c r="L193" s="110">
        <v>0</v>
      </c>
      <c r="M193" s="110">
        <v>0</v>
      </c>
      <c r="N193" s="110">
        <v>0</v>
      </c>
      <c r="O193" s="110">
        <v>0</v>
      </c>
      <c r="P193" s="110">
        <v>0</v>
      </c>
      <c r="Q193" s="110">
        <v>0</v>
      </c>
      <c r="R193" s="110">
        <v>0</v>
      </c>
      <c r="S193" s="110">
        <v>0</v>
      </c>
      <c r="T193" s="110">
        <v>0</v>
      </c>
      <c r="U193" s="110">
        <v>0</v>
      </c>
      <c r="V193" s="110">
        <v>0</v>
      </c>
      <c r="W193" s="110">
        <v>0</v>
      </c>
      <c r="X193" s="110">
        <v>0</v>
      </c>
      <c r="Y193" s="110">
        <v>0</v>
      </c>
      <c r="Z193" s="110">
        <v>0</v>
      </c>
      <c r="AA193" s="110">
        <v>0</v>
      </c>
      <c r="AB193" s="110">
        <v>0</v>
      </c>
      <c r="AC193" s="110">
        <v>0</v>
      </c>
      <c r="AD193" s="110">
        <v>0</v>
      </c>
      <c r="AE193" s="110">
        <v>0</v>
      </c>
      <c r="AF193" s="110">
        <v>0</v>
      </c>
      <c r="AG193" s="110">
        <v>0</v>
      </c>
      <c r="AH193" s="110">
        <v>0</v>
      </c>
      <c r="AI193" s="110">
        <v>0</v>
      </c>
      <c r="AJ193" s="110">
        <v>0</v>
      </c>
      <c r="AK193" s="110">
        <v>0</v>
      </c>
      <c r="AL193" s="110">
        <v>0</v>
      </c>
      <c r="AM193" s="110">
        <v>0</v>
      </c>
      <c r="AN193" s="110">
        <v>0</v>
      </c>
      <c r="AO193" s="110">
        <v>0</v>
      </c>
      <c r="AP193" s="110">
        <v>0</v>
      </c>
      <c r="AQ193" s="110">
        <v>0</v>
      </c>
      <c r="AR193" s="110">
        <v>0</v>
      </c>
      <c r="AS193" s="110">
        <v>0</v>
      </c>
      <c r="AT193" s="110">
        <v>0</v>
      </c>
      <c r="AU193" s="110">
        <v>0</v>
      </c>
      <c r="AV193" s="110">
        <v>0</v>
      </c>
      <c r="AW193" s="110">
        <v>0</v>
      </c>
      <c r="AX193" s="110">
        <v>0</v>
      </c>
      <c r="AY193" s="110">
        <v>0</v>
      </c>
    </row>
    <row r="194" spans="1:51" x14ac:dyDescent="0.2">
      <c r="A194" s="113"/>
      <c r="B194" s="130">
        <v>6</v>
      </c>
      <c r="C194" s="110">
        <v>0</v>
      </c>
      <c r="D194" s="110">
        <v>0</v>
      </c>
      <c r="E194" s="110">
        <v>0</v>
      </c>
      <c r="F194" s="110">
        <v>0</v>
      </c>
      <c r="G194" s="110">
        <v>0</v>
      </c>
      <c r="H194" s="110">
        <v>0</v>
      </c>
      <c r="I194" s="110">
        <v>0</v>
      </c>
      <c r="J194" s="110">
        <v>0</v>
      </c>
      <c r="K194" s="110">
        <v>0</v>
      </c>
      <c r="L194" s="110">
        <v>0</v>
      </c>
      <c r="M194" s="110">
        <v>0</v>
      </c>
      <c r="N194" s="110">
        <v>0</v>
      </c>
      <c r="O194" s="110">
        <v>0</v>
      </c>
      <c r="P194" s="110">
        <v>0</v>
      </c>
      <c r="Q194" s="110">
        <v>0</v>
      </c>
      <c r="R194" s="110">
        <v>0</v>
      </c>
      <c r="S194" s="110">
        <v>0</v>
      </c>
      <c r="T194" s="110">
        <v>0</v>
      </c>
      <c r="U194" s="110">
        <v>0</v>
      </c>
      <c r="V194" s="110">
        <v>0</v>
      </c>
      <c r="W194" s="110">
        <v>0</v>
      </c>
      <c r="X194" s="110">
        <v>0</v>
      </c>
      <c r="Y194" s="110">
        <v>0</v>
      </c>
      <c r="Z194" s="110">
        <v>0</v>
      </c>
      <c r="AA194" s="110">
        <v>0</v>
      </c>
      <c r="AB194" s="110">
        <v>0</v>
      </c>
      <c r="AC194" s="110">
        <v>0</v>
      </c>
      <c r="AD194" s="110">
        <v>0</v>
      </c>
      <c r="AE194" s="110">
        <v>0</v>
      </c>
      <c r="AF194" s="110">
        <v>0</v>
      </c>
      <c r="AG194" s="110">
        <v>0</v>
      </c>
      <c r="AH194" s="110">
        <v>0</v>
      </c>
      <c r="AI194" s="110">
        <v>0</v>
      </c>
      <c r="AJ194" s="110">
        <v>0</v>
      </c>
      <c r="AK194" s="110">
        <v>0</v>
      </c>
      <c r="AL194" s="110">
        <v>0</v>
      </c>
      <c r="AM194" s="110">
        <v>0</v>
      </c>
      <c r="AN194" s="110">
        <v>0</v>
      </c>
      <c r="AO194" s="110">
        <v>0</v>
      </c>
      <c r="AP194" s="110">
        <v>0</v>
      </c>
      <c r="AQ194" s="110">
        <v>0</v>
      </c>
      <c r="AR194" s="110">
        <v>0</v>
      </c>
      <c r="AS194" s="110">
        <v>0</v>
      </c>
      <c r="AT194" s="110">
        <v>0</v>
      </c>
      <c r="AU194" s="110">
        <v>0</v>
      </c>
      <c r="AV194" s="110">
        <v>0</v>
      </c>
      <c r="AW194" s="110">
        <v>0</v>
      </c>
      <c r="AX194" s="110">
        <v>0</v>
      </c>
      <c r="AY194" s="110">
        <v>0</v>
      </c>
    </row>
    <row r="195" spans="1:51" x14ac:dyDescent="0.2">
      <c r="A195" s="113"/>
      <c r="B195" s="133">
        <v>7</v>
      </c>
      <c r="C195" s="110">
        <v>0</v>
      </c>
      <c r="D195" s="110">
        <v>0</v>
      </c>
      <c r="E195" s="110">
        <v>0</v>
      </c>
      <c r="F195" s="110">
        <v>0</v>
      </c>
      <c r="G195" s="110">
        <v>0</v>
      </c>
      <c r="H195" s="110">
        <v>0</v>
      </c>
      <c r="I195" s="110">
        <v>0</v>
      </c>
      <c r="J195" s="110">
        <v>0</v>
      </c>
      <c r="K195" s="110">
        <v>0</v>
      </c>
      <c r="L195" s="110">
        <v>0</v>
      </c>
      <c r="M195" s="110">
        <v>0</v>
      </c>
      <c r="N195" s="110">
        <v>0</v>
      </c>
      <c r="O195" s="110">
        <v>0</v>
      </c>
      <c r="P195" s="110">
        <v>0</v>
      </c>
      <c r="Q195" s="110">
        <v>0</v>
      </c>
      <c r="R195" s="110">
        <v>0</v>
      </c>
      <c r="S195" s="110">
        <v>0</v>
      </c>
      <c r="T195" s="110">
        <v>0</v>
      </c>
      <c r="U195" s="110">
        <v>0</v>
      </c>
      <c r="V195" s="110">
        <v>0</v>
      </c>
      <c r="W195" s="110">
        <v>0</v>
      </c>
      <c r="X195" s="110">
        <v>0</v>
      </c>
      <c r="Y195" s="110">
        <v>0</v>
      </c>
      <c r="Z195" s="110">
        <v>0</v>
      </c>
      <c r="AA195" s="110">
        <v>0</v>
      </c>
      <c r="AB195" s="110">
        <v>0</v>
      </c>
      <c r="AC195" s="110">
        <v>0</v>
      </c>
      <c r="AD195" s="110">
        <v>0</v>
      </c>
      <c r="AE195" s="110">
        <v>0</v>
      </c>
      <c r="AF195" s="110">
        <v>0</v>
      </c>
      <c r="AG195" s="110">
        <v>0</v>
      </c>
      <c r="AH195" s="110">
        <v>0</v>
      </c>
      <c r="AI195" s="110">
        <v>0</v>
      </c>
      <c r="AJ195" s="110">
        <v>0</v>
      </c>
      <c r="AK195" s="110">
        <v>0</v>
      </c>
      <c r="AL195" s="110">
        <v>0</v>
      </c>
      <c r="AM195" s="110">
        <v>0</v>
      </c>
      <c r="AN195" s="110">
        <v>0</v>
      </c>
      <c r="AO195" s="110">
        <v>0</v>
      </c>
      <c r="AP195" s="110">
        <v>0</v>
      </c>
      <c r="AQ195" s="110">
        <v>0</v>
      </c>
      <c r="AR195" s="110">
        <v>0</v>
      </c>
      <c r="AS195" s="110">
        <v>0</v>
      </c>
      <c r="AT195" s="110">
        <v>0</v>
      </c>
      <c r="AU195" s="110">
        <v>0</v>
      </c>
      <c r="AV195" s="110">
        <v>0</v>
      </c>
      <c r="AW195" s="110">
        <v>0</v>
      </c>
      <c r="AX195" s="110">
        <v>0</v>
      </c>
      <c r="AY195" s="110">
        <v>0</v>
      </c>
    </row>
    <row r="196" spans="1:51" x14ac:dyDescent="0.2">
      <c r="A196" s="131"/>
      <c r="B196" s="132">
        <v>8</v>
      </c>
      <c r="C196" s="117">
        <v>0</v>
      </c>
      <c r="D196" s="117">
        <v>0</v>
      </c>
      <c r="E196" s="117">
        <v>0</v>
      </c>
      <c r="F196" s="117">
        <v>0</v>
      </c>
      <c r="G196" s="117">
        <v>0</v>
      </c>
      <c r="H196" s="117">
        <v>0</v>
      </c>
      <c r="I196" s="117">
        <v>0</v>
      </c>
      <c r="J196" s="117">
        <v>0</v>
      </c>
      <c r="K196" s="117">
        <v>0</v>
      </c>
      <c r="L196" s="117">
        <v>0</v>
      </c>
      <c r="M196" s="117">
        <v>0</v>
      </c>
      <c r="N196" s="117">
        <v>0</v>
      </c>
      <c r="O196" s="117">
        <v>0</v>
      </c>
      <c r="P196" s="117">
        <v>0</v>
      </c>
      <c r="Q196" s="117">
        <v>0</v>
      </c>
      <c r="R196" s="117">
        <v>0</v>
      </c>
      <c r="S196" s="117">
        <v>0</v>
      </c>
      <c r="T196" s="117">
        <v>0</v>
      </c>
      <c r="U196" s="117">
        <v>0</v>
      </c>
      <c r="V196" s="117">
        <v>0</v>
      </c>
      <c r="W196" s="117">
        <v>0</v>
      </c>
      <c r="X196" s="117">
        <v>0</v>
      </c>
      <c r="Y196" s="117">
        <v>0</v>
      </c>
      <c r="Z196" s="117">
        <v>0</v>
      </c>
      <c r="AA196" s="117">
        <v>0</v>
      </c>
      <c r="AB196" s="117">
        <v>0</v>
      </c>
      <c r="AC196" s="117">
        <v>0</v>
      </c>
      <c r="AD196" s="117">
        <v>0</v>
      </c>
      <c r="AE196" s="117">
        <v>0</v>
      </c>
      <c r="AF196" s="117">
        <v>0</v>
      </c>
      <c r="AG196" s="117">
        <v>0</v>
      </c>
      <c r="AH196" s="117">
        <v>0</v>
      </c>
      <c r="AI196" s="117">
        <v>0</v>
      </c>
      <c r="AJ196" s="117">
        <v>0</v>
      </c>
      <c r="AK196" s="117">
        <v>0</v>
      </c>
      <c r="AL196" s="117">
        <v>0</v>
      </c>
      <c r="AM196" s="117">
        <v>0</v>
      </c>
      <c r="AN196" s="117">
        <v>0</v>
      </c>
      <c r="AO196" s="117">
        <v>0</v>
      </c>
      <c r="AP196" s="117">
        <v>0</v>
      </c>
      <c r="AQ196" s="117">
        <v>0</v>
      </c>
      <c r="AR196" s="117">
        <v>0</v>
      </c>
      <c r="AS196" s="117">
        <v>0</v>
      </c>
      <c r="AT196" s="117">
        <v>0</v>
      </c>
      <c r="AU196" s="117">
        <v>0</v>
      </c>
      <c r="AV196" s="117">
        <v>0</v>
      </c>
      <c r="AW196" s="117">
        <v>0</v>
      </c>
      <c r="AX196" s="117">
        <v>0</v>
      </c>
      <c r="AY196" s="117">
        <v>0</v>
      </c>
    </row>
    <row r="197" spans="1:51" x14ac:dyDescent="0.2">
      <c r="A197" s="134" t="s">
        <v>134</v>
      </c>
      <c r="B197" s="122">
        <v>1</v>
      </c>
      <c r="C197" s="110">
        <v>0</v>
      </c>
      <c r="D197" s="110">
        <v>0</v>
      </c>
      <c r="E197" s="110">
        <v>0</v>
      </c>
      <c r="F197" s="110">
        <v>0</v>
      </c>
      <c r="G197" s="110">
        <v>0</v>
      </c>
      <c r="H197" s="110">
        <v>0</v>
      </c>
      <c r="I197" s="110">
        <v>0</v>
      </c>
      <c r="J197" s="110">
        <v>0</v>
      </c>
      <c r="K197" s="110">
        <v>0</v>
      </c>
      <c r="L197" s="110">
        <v>0</v>
      </c>
      <c r="M197" s="110">
        <v>0</v>
      </c>
      <c r="N197" s="110">
        <v>0</v>
      </c>
      <c r="O197" s="110">
        <v>0</v>
      </c>
      <c r="P197" s="110">
        <v>0</v>
      </c>
      <c r="Q197" s="110">
        <v>0</v>
      </c>
      <c r="R197" s="110">
        <v>0</v>
      </c>
      <c r="S197" s="110">
        <v>0</v>
      </c>
      <c r="T197" s="110">
        <v>0</v>
      </c>
      <c r="U197" s="110">
        <v>0</v>
      </c>
      <c r="V197" s="110">
        <v>0</v>
      </c>
      <c r="W197" s="110">
        <v>0</v>
      </c>
      <c r="X197" s="110">
        <v>0</v>
      </c>
      <c r="Y197" s="110">
        <v>0</v>
      </c>
      <c r="Z197" s="110">
        <v>0</v>
      </c>
      <c r="AA197" s="110">
        <v>0</v>
      </c>
      <c r="AB197" s="110">
        <v>0</v>
      </c>
      <c r="AC197" s="110">
        <v>0</v>
      </c>
      <c r="AD197" s="110">
        <v>0</v>
      </c>
      <c r="AE197" s="110">
        <v>0</v>
      </c>
      <c r="AF197" s="110">
        <v>0</v>
      </c>
      <c r="AG197" s="110">
        <v>0</v>
      </c>
      <c r="AH197" s="110">
        <v>0</v>
      </c>
      <c r="AI197" s="110">
        <v>0</v>
      </c>
      <c r="AJ197" s="110">
        <v>0</v>
      </c>
      <c r="AK197" s="110">
        <v>0</v>
      </c>
      <c r="AL197" s="110">
        <v>0</v>
      </c>
      <c r="AM197" s="110">
        <v>0</v>
      </c>
      <c r="AN197" s="110">
        <v>0</v>
      </c>
      <c r="AO197" s="110">
        <v>0</v>
      </c>
      <c r="AP197" s="110">
        <v>0</v>
      </c>
      <c r="AQ197" s="110">
        <v>0</v>
      </c>
      <c r="AR197" s="110">
        <v>0</v>
      </c>
      <c r="AS197" s="110">
        <v>0</v>
      </c>
      <c r="AT197" s="110">
        <v>0</v>
      </c>
      <c r="AU197" s="110">
        <v>0</v>
      </c>
      <c r="AV197" s="110">
        <v>0</v>
      </c>
      <c r="AW197" s="110">
        <v>0</v>
      </c>
      <c r="AX197" s="110">
        <v>0</v>
      </c>
      <c r="AY197" s="110">
        <v>0</v>
      </c>
    </row>
    <row r="198" spans="1:51" x14ac:dyDescent="0.2">
      <c r="A198" s="113"/>
      <c r="B198" s="122">
        <v>2</v>
      </c>
      <c r="C198" s="110">
        <v>0</v>
      </c>
      <c r="D198" s="110">
        <v>0</v>
      </c>
      <c r="E198" s="110">
        <v>0</v>
      </c>
      <c r="F198" s="110">
        <v>0</v>
      </c>
      <c r="G198" s="110">
        <v>0</v>
      </c>
      <c r="H198" s="110">
        <v>0</v>
      </c>
      <c r="I198" s="110">
        <v>0</v>
      </c>
      <c r="J198" s="110">
        <v>0</v>
      </c>
      <c r="K198" s="110">
        <v>0</v>
      </c>
      <c r="L198" s="110">
        <v>0</v>
      </c>
      <c r="M198" s="110">
        <v>0</v>
      </c>
      <c r="N198" s="110">
        <v>0</v>
      </c>
      <c r="O198" s="110">
        <v>0</v>
      </c>
      <c r="P198" s="110">
        <v>0</v>
      </c>
      <c r="Q198" s="110">
        <v>0</v>
      </c>
      <c r="R198" s="110">
        <v>0</v>
      </c>
      <c r="S198" s="110">
        <v>0</v>
      </c>
      <c r="T198" s="110">
        <v>0</v>
      </c>
      <c r="U198" s="110">
        <v>0</v>
      </c>
      <c r="V198" s="110">
        <v>0</v>
      </c>
      <c r="W198" s="110">
        <v>0</v>
      </c>
      <c r="X198" s="110">
        <v>0</v>
      </c>
      <c r="Y198" s="110">
        <v>0</v>
      </c>
      <c r="Z198" s="110">
        <v>0</v>
      </c>
      <c r="AA198" s="110">
        <v>0</v>
      </c>
      <c r="AB198" s="110">
        <v>0</v>
      </c>
      <c r="AC198" s="110">
        <v>0</v>
      </c>
      <c r="AD198" s="110">
        <v>0</v>
      </c>
      <c r="AE198" s="110">
        <v>0</v>
      </c>
      <c r="AF198" s="110">
        <v>0</v>
      </c>
      <c r="AG198" s="110">
        <v>0</v>
      </c>
      <c r="AH198" s="110">
        <v>0</v>
      </c>
      <c r="AI198" s="110">
        <v>0</v>
      </c>
      <c r="AJ198" s="110">
        <v>0</v>
      </c>
      <c r="AK198" s="110">
        <v>0</v>
      </c>
      <c r="AL198" s="110">
        <v>0</v>
      </c>
      <c r="AM198" s="110">
        <v>0</v>
      </c>
      <c r="AN198" s="110">
        <v>0</v>
      </c>
      <c r="AO198" s="110">
        <v>0</v>
      </c>
      <c r="AP198" s="110">
        <v>0</v>
      </c>
      <c r="AQ198" s="110">
        <v>0</v>
      </c>
      <c r="AR198" s="110">
        <v>0</v>
      </c>
      <c r="AS198" s="110">
        <v>0</v>
      </c>
      <c r="AT198" s="110">
        <v>0</v>
      </c>
      <c r="AU198" s="110">
        <v>0</v>
      </c>
      <c r="AV198" s="110">
        <v>0</v>
      </c>
      <c r="AW198" s="110">
        <v>0</v>
      </c>
      <c r="AX198" s="110">
        <v>0</v>
      </c>
      <c r="AY198" s="110">
        <v>0</v>
      </c>
    </row>
    <row r="199" spans="1:51" x14ac:dyDescent="0.2">
      <c r="A199" s="113"/>
      <c r="B199" s="122">
        <v>3</v>
      </c>
      <c r="C199" s="110">
        <v>0</v>
      </c>
      <c r="D199" s="110">
        <v>0</v>
      </c>
      <c r="E199" s="110">
        <v>0</v>
      </c>
      <c r="F199" s="110">
        <v>0</v>
      </c>
      <c r="G199" s="110">
        <v>0</v>
      </c>
      <c r="H199" s="110">
        <v>0</v>
      </c>
      <c r="I199" s="110">
        <v>0</v>
      </c>
      <c r="J199" s="110">
        <v>0</v>
      </c>
      <c r="K199" s="110">
        <v>0</v>
      </c>
      <c r="L199" s="110">
        <v>0</v>
      </c>
      <c r="M199" s="110">
        <v>0</v>
      </c>
      <c r="N199" s="110">
        <v>0</v>
      </c>
      <c r="O199" s="110">
        <v>0</v>
      </c>
      <c r="P199" s="110">
        <v>0</v>
      </c>
      <c r="Q199" s="110">
        <v>0</v>
      </c>
      <c r="R199" s="110">
        <v>0</v>
      </c>
      <c r="S199" s="110">
        <v>0</v>
      </c>
      <c r="T199" s="110">
        <v>0</v>
      </c>
      <c r="U199" s="110">
        <v>0</v>
      </c>
      <c r="V199" s="110">
        <v>0</v>
      </c>
      <c r="W199" s="110">
        <v>0</v>
      </c>
      <c r="X199" s="110">
        <v>0</v>
      </c>
      <c r="Y199" s="110">
        <v>0</v>
      </c>
      <c r="Z199" s="110">
        <v>0</v>
      </c>
      <c r="AA199" s="110">
        <v>0</v>
      </c>
      <c r="AB199" s="110">
        <v>0</v>
      </c>
      <c r="AC199" s="110">
        <v>0</v>
      </c>
      <c r="AD199" s="110">
        <v>0</v>
      </c>
      <c r="AE199" s="110">
        <v>0</v>
      </c>
      <c r="AF199" s="110">
        <v>0</v>
      </c>
      <c r="AG199" s="110">
        <v>0</v>
      </c>
      <c r="AH199" s="110">
        <v>0</v>
      </c>
      <c r="AI199" s="110">
        <v>0</v>
      </c>
      <c r="AJ199" s="110">
        <v>0</v>
      </c>
      <c r="AK199" s="110">
        <v>0</v>
      </c>
      <c r="AL199" s="110">
        <v>0</v>
      </c>
      <c r="AM199" s="110">
        <v>0</v>
      </c>
      <c r="AN199" s="110">
        <v>0</v>
      </c>
      <c r="AO199" s="110">
        <v>0</v>
      </c>
      <c r="AP199" s="110">
        <v>0</v>
      </c>
      <c r="AQ199" s="110">
        <v>0</v>
      </c>
      <c r="AR199" s="110">
        <v>0</v>
      </c>
      <c r="AS199" s="110">
        <v>0</v>
      </c>
      <c r="AT199" s="110">
        <v>0</v>
      </c>
      <c r="AU199" s="110">
        <v>0</v>
      </c>
      <c r="AV199" s="110">
        <v>0</v>
      </c>
      <c r="AW199" s="110">
        <v>0</v>
      </c>
      <c r="AX199" s="110">
        <v>0</v>
      </c>
      <c r="AY199" s="110">
        <v>0</v>
      </c>
    </row>
    <row r="200" spans="1:51" x14ac:dyDescent="0.2">
      <c r="A200" s="113"/>
      <c r="B200" s="123">
        <v>4</v>
      </c>
      <c r="C200" s="110">
        <v>0</v>
      </c>
      <c r="D200" s="110">
        <v>0</v>
      </c>
      <c r="E200" s="110">
        <v>0</v>
      </c>
      <c r="F200" s="110">
        <v>0</v>
      </c>
      <c r="G200" s="110">
        <v>0</v>
      </c>
      <c r="H200" s="110">
        <v>0</v>
      </c>
      <c r="I200" s="110">
        <v>0</v>
      </c>
      <c r="J200" s="110">
        <v>0</v>
      </c>
      <c r="K200" s="110">
        <v>0</v>
      </c>
      <c r="L200" s="110">
        <v>0</v>
      </c>
      <c r="M200" s="110">
        <v>0</v>
      </c>
      <c r="N200" s="110">
        <v>0</v>
      </c>
      <c r="O200" s="110">
        <v>0</v>
      </c>
      <c r="P200" s="110">
        <v>0</v>
      </c>
      <c r="Q200" s="110">
        <v>0</v>
      </c>
      <c r="R200" s="110">
        <v>0</v>
      </c>
      <c r="S200" s="110">
        <v>0</v>
      </c>
      <c r="T200" s="110">
        <v>0</v>
      </c>
      <c r="U200" s="110">
        <v>0</v>
      </c>
      <c r="V200" s="110">
        <v>0</v>
      </c>
      <c r="W200" s="110">
        <v>0</v>
      </c>
      <c r="X200" s="110">
        <v>0</v>
      </c>
      <c r="Y200" s="110">
        <v>0</v>
      </c>
      <c r="Z200" s="110">
        <v>0</v>
      </c>
      <c r="AA200" s="110">
        <v>0</v>
      </c>
      <c r="AB200" s="110">
        <v>0</v>
      </c>
      <c r="AC200" s="110">
        <v>0</v>
      </c>
      <c r="AD200" s="110">
        <v>0</v>
      </c>
      <c r="AE200" s="110">
        <v>0</v>
      </c>
      <c r="AF200" s="110">
        <v>0</v>
      </c>
      <c r="AG200" s="110">
        <v>0</v>
      </c>
      <c r="AH200" s="110">
        <v>0</v>
      </c>
      <c r="AI200" s="110">
        <v>0</v>
      </c>
      <c r="AJ200" s="110">
        <v>0</v>
      </c>
      <c r="AK200" s="110">
        <v>0</v>
      </c>
      <c r="AL200" s="110">
        <v>0</v>
      </c>
      <c r="AM200" s="110">
        <v>0</v>
      </c>
      <c r="AN200" s="110">
        <v>0</v>
      </c>
      <c r="AO200" s="110">
        <v>0</v>
      </c>
      <c r="AP200" s="110">
        <v>0</v>
      </c>
      <c r="AQ200" s="110">
        <v>0</v>
      </c>
      <c r="AR200" s="110">
        <v>0</v>
      </c>
      <c r="AS200" s="110">
        <v>0</v>
      </c>
      <c r="AT200" s="110">
        <v>0</v>
      </c>
      <c r="AU200" s="110">
        <v>0</v>
      </c>
      <c r="AV200" s="110">
        <v>0</v>
      </c>
      <c r="AW200" s="110">
        <v>0</v>
      </c>
      <c r="AX200" s="110">
        <v>0</v>
      </c>
      <c r="AY200" s="110">
        <v>0</v>
      </c>
    </row>
    <row r="201" spans="1:51" x14ac:dyDescent="0.2">
      <c r="A201" s="113"/>
      <c r="B201" s="123">
        <v>5</v>
      </c>
      <c r="C201" s="110">
        <v>0</v>
      </c>
      <c r="D201" s="110">
        <v>0</v>
      </c>
      <c r="E201" s="110">
        <v>0</v>
      </c>
      <c r="F201" s="110">
        <v>0</v>
      </c>
      <c r="G201" s="110">
        <v>0</v>
      </c>
      <c r="H201" s="110">
        <v>0</v>
      </c>
      <c r="I201" s="110">
        <v>0</v>
      </c>
      <c r="J201" s="110">
        <v>0</v>
      </c>
      <c r="K201" s="110">
        <v>0</v>
      </c>
      <c r="L201" s="110">
        <v>0</v>
      </c>
      <c r="M201" s="110">
        <v>0</v>
      </c>
      <c r="N201" s="110">
        <v>0</v>
      </c>
      <c r="O201" s="110">
        <v>0</v>
      </c>
      <c r="P201" s="110">
        <v>0</v>
      </c>
      <c r="Q201" s="110">
        <v>0</v>
      </c>
      <c r="R201" s="110">
        <v>0</v>
      </c>
      <c r="S201" s="110">
        <v>0</v>
      </c>
      <c r="T201" s="110">
        <v>0</v>
      </c>
      <c r="U201" s="110">
        <v>0</v>
      </c>
      <c r="V201" s="110">
        <v>0</v>
      </c>
      <c r="W201" s="110">
        <v>0</v>
      </c>
      <c r="X201" s="110">
        <v>0</v>
      </c>
      <c r="Y201" s="110">
        <v>0</v>
      </c>
      <c r="Z201" s="110">
        <v>0</v>
      </c>
      <c r="AA201" s="110">
        <v>0</v>
      </c>
      <c r="AB201" s="110">
        <v>0</v>
      </c>
      <c r="AC201" s="110">
        <v>0</v>
      </c>
      <c r="AD201" s="110">
        <v>0</v>
      </c>
      <c r="AE201" s="110">
        <v>0</v>
      </c>
      <c r="AF201" s="110">
        <v>0</v>
      </c>
      <c r="AG201" s="110">
        <v>0</v>
      </c>
      <c r="AH201" s="110">
        <v>0</v>
      </c>
      <c r="AI201" s="110">
        <v>0</v>
      </c>
      <c r="AJ201" s="110">
        <v>0</v>
      </c>
      <c r="AK201" s="110">
        <v>0</v>
      </c>
      <c r="AL201" s="110">
        <v>0</v>
      </c>
      <c r="AM201" s="110">
        <v>0</v>
      </c>
      <c r="AN201" s="110">
        <v>0</v>
      </c>
      <c r="AO201" s="110">
        <v>0</v>
      </c>
      <c r="AP201" s="110">
        <v>0</v>
      </c>
      <c r="AQ201" s="110">
        <v>0</v>
      </c>
      <c r="AR201" s="110">
        <v>0</v>
      </c>
      <c r="AS201" s="110">
        <v>0</v>
      </c>
      <c r="AT201" s="110">
        <v>0</v>
      </c>
      <c r="AU201" s="110">
        <v>0</v>
      </c>
      <c r="AV201" s="110">
        <v>0</v>
      </c>
      <c r="AW201" s="110">
        <v>0</v>
      </c>
      <c r="AX201" s="110">
        <v>0</v>
      </c>
      <c r="AY201" s="110">
        <v>0</v>
      </c>
    </row>
    <row r="202" spans="1:51" x14ac:dyDescent="0.2">
      <c r="A202" s="113"/>
      <c r="B202" s="123">
        <v>6</v>
      </c>
      <c r="C202" s="110">
        <v>0</v>
      </c>
      <c r="D202" s="110">
        <v>0</v>
      </c>
      <c r="E202" s="110">
        <v>0</v>
      </c>
      <c r="F202" s="110">
        <v>0</v>
      </c>
      <c r="G202" s="110">
        <v>0</v>
      </c>
      <c r="H202" s="110">
        <v>0</v>
      </c>
      <c r="I202" s="110">
        <v>0</v>
      </c>
      <c r="J202" s="110">
        <v>0</v>
      </c>
      <c r="K202" s="110">
        <v>0</v>
      </c>
      <c r="L202" s="110">
        <v>0</v>
      </c>
      <c r="M202" s="110">
        <v>0</v>
      </c>
      <c r="N202" s="110">
        <v>0</v>
      </c>
      <c r="O202" s="110">
        <v>0</v>
      </c>
      <c r="P202" s="110">
        <v>0</v>
      </c>
      <c r="Q202" s="110">
        <v>0</v>
      </c>
      <c r="R202" s="110">
        <v>0</v>
      </c>
      <c r="S202" s="110">
        <v>0</v>
      </c>
      <c r="T202" s="110">
        <v>0</v>
      </c>
      <c r="U202" s="110">
        <v>0</v>
      </c>
      <c r="V202" s="110">
        <v>0</v>
      </c>
      <c r="W202" s="110">
        <v>0</v>
      </c>
      <c r="X202" s="110">
        <v>0</v>
      </c>
      <c r="Y202" s="110">
        <v>0</v>
      </c>
      <c r="Z202" s="110">
        <v>0</v>
      </c>
      <c r="AA202" s="110">
        <v>0</v>
      </c>
      <c r="AB202" s="110">
        <v>0</v>
      </c>
      <c r="AC202" s="110">
        <v>0</v>
      </c>
      <c r="AD202" s="110">
        <v>0</v>
      </c>
      <c r="AE202" s="110">
        <v>0</v>
      </c>
      <c r="AF202" s="110">
        <v>0</v>
      </c>
      <c r="AG202" s="110">
        <v>0</v>
      </c>
      <c r="AH202" s="110">
        <v>0</v>
      </c>
      <c r="AI202" s="110">
        <v>0</v>
      </c>
      <c r="AJ202" s="110">
        <v>0</v>
      </c>
      <c r="AK202" s="110">
        <v>0</v>
      </c>
      <c r="AL202" s="110">
        <v>0</v>
      </c>
      <c r="AM202" s="110">
        <v>0</v>
      </c>
      <c r="AN202" s="110">
        <v>0</v>
      </c>
      <c r="AO202" s="110">
        <v>0</v>
      </c>
      <c r="AP202" s="110">
        <v>0</v>
      </c>
      <c r="AQ202" s="110">
        <v>0</v>
      </c>
      <c r="AR202" s="110">
        <v>0</v>
      </c>
      <c r="AS202" s="110">
        <v>0</v>
      </c>
      <c r="AT202" s="110">
        <v>0</v>
      </c>
      <c r="AU202" s="110">
        <v>0</v>
      </c>
      <c r="AV202" s="110">
        <v>0</v>
      </c>
      <c r="AW202" s="110">
        <v>0</v>
      </c>
      <c r="AX202" s="110">
        <v>0</v>
      </c>
      <c r="AY202" s="110">
        <v>0</v>
      </c>
    </row>
    <row r="203" spans="1:51" x14ac:dyDescent="0.2">
      <c r="A203" s="113"/>
      <c r="B203" s="130">
        <v>7</v>
      </c>
      <c r="C203" s="110">
        <v>219</v>
      </c>
      <c r="D203" s="110">
        <v>0</v>
      </c>
      <c r="E203" s="110">
        <v>0</v>
      </c>
      <c r="F203" s="110">
        <v>0</v>
      </c>
      <c r="G203" s="110">
        <v>0</v>
      </c>
      <c r="H203" s="110">
        <v>0</v>
      </c>
      <c r="I203" s="110">
        <v>0</v>
      </c>
      <c r="J203" s="110">
        <v>0</v>
      </c>
      <c r="K203" s="110">
        <v>0</v>
      </c>
      <c r="L203" s="110">
        <v>0</v>
      </c>
      <c r="M203" s="110">
        <v>0</v>
      </c>
      <c r="N203" s="110">
        <v>0</v>
      </c>
      <c r="O203" s="110">
        <v>0</v>
      </c>
      <c r="P203" s="110">
        <v>0</v>
      </c>
      <c r="Q203" s="110">
        <v>0</v>
      </c>
      <c r="R203" s="110">
        <v>0</v>
      </c>
      <c r="S203" s="110">
        <v>0</v>
      </c>
      <c r="T203" s="110">
        <v>0</v>
      </c>
      <c r="U203" s="110">
        <v>0</v>
      </c>
      <c r="V203" s="110">
        <v>0</v>
      </c>
      <c r="W203" s="110">
        <v>0</v>
      </c>
      <c r="X203" s="110">
        <v>0</v>
      </c>
      <c r="Y203" s="110">
        <v>0</v>
      </c>
      <c r="Z203" s="110">
        <v>0</v>
      </c>
      <c r="AA203" s="110">
        <v>0</v>
      </c>
      <c r="AB203" s="110">
        <v>0</v>
      </c>
      <c r="AC203" s="110">
        <v>0</v>
      </c>
      <c r="AD203" s="110">
        <v>0</v>
      </c>
      <c r="AE203" s="110">
        <v>0</v>
      </c>
      <c r="AF203" s="110">
        <v>0</v>
      </c>
      <c r="AG203" s="110">
        <v>0</v>
      </c>
      <c r="AH203" s="110">
        <v>0</v>
      </c>
      <c r="AI203" s="110">
        <v>0</v>
      </c>
      <c r="AJ203" s="110">
        <v>0</v>
      </c>
      <c r="AK203" s="110">
        <v>0</v>
      </c>
      <c r="AL203" s="110">
        <v>0</v>
      </c>
      <c r="AM203" s="110">
        <v>0</v>
      </c>
      <c r="AN203" s="110">
        <v>0</v>
      </c>
      <c r="AO203" s="110">
        <v>0</v>
      </c>
      <c r="AP203" s="110">
        <v>0</v>
      </c>
      <c r="AQ203" s="110">
        <v>0</v>
      </c>
      <c r="AR203" s="110">
        <v>0</v>
      </c>
      <c r="AS203" s="110">
        <v>0</v>
      </c>
      <c r="AT203" s="110">
        <v>0</v>
      </c>
      <c r="AU203" s="110">
        <v>0</v>
      </c>
      <c r="AV203" s="110">
        <v>0</v>
      </c>
      <c r="AW203" s="110">
        <v>0</v>
      </c>
      <c r="AX203" s="110">
        <v>0</v>
      </c>
      <c r="AY203" s="110">
        <v>0</v>
      </c>
    </row>
    <row r="204" spans="1:51" x14ac:dyDescent="0.2">
      <c r="A204" s="113"/>
      <c r="B204" s="130">
        <v>8</v>
      </c>
      <c r="C204" s="110">
        <v>0</v>
      </c>
      <c r="D204" s="110">
        <v>486</v>
      </c>
      <c r="E204" s="110">
        <v>370.67174179321171</v>
      </c>
      <c r="F204" s="110">
        <v>0</v>
      </c>
      <c r="G204" s="110">
        <v>0</v>
      </c>
      <c r="H204" s="110">
        <v>0</v>
      </c>
      <c r="I204" s="110">
        <v>0</v>
      </c>
      <c r="J204" s="110">
        <v>0</v>
      </c>
      <c r="K204" s="110">
        <v>0</v>
      </c>
      <c r="L204" s="110">
        <v>0</v>
      </c>
      <c r="M204" s="110">
        <v>0</v>
      </c>
      <c r="N204" s="110">
        <v>0</v>
      </c>
      <c r="O204" s="110">
        <v>0</v>
      </c>
      <c r="P204" s="110">
        <v>0</v>
      </c>
      <c r="Q204" s="110">
        <v>0</v>
      </c>
      <c r="R204" s="110">
        <v>0</v>
      </c>
      <c r="S204" s="110">
        <v>0</v>
      </c>
      <c r="T204" s="110">
        <v>0</v>
      </c>
      <c r="U204" s="110">
        <v>0</v>
      </c>
      <c r="V204" s="110">
        <v>0</v>
      </c>
      <c r="W204" s="110">
        <v>0</v>
      </c>
      <c r="X204" s="110">
        <v>0</v>
      </c>
      <c r="Y204" s="110">
        <v>0</v>
      </c>
      <c r="Z204" s="110">
        <v>0</v>
      </c>
      <c r="AA204" s="110">
        <v>0</v>
      </c>
      <c r="AB204" s="110">
        <v>0</v>
      </c>
      <c r="AC204" s="110">
        <v>0</v>
      </c>
      <c r="AD204" s="110">
        <v>0</v>
      </c>
      <c r="AE204" s="110">
        <v>0</v>
      </c>
      <c r="AF204" s="110">
        <v>0</v>
      </c>
      <c r="AG204" s="110">
        <v>0</v>
      </c>
      <c r="AH204" s="110">
        <v>0</v>
      </c>
      <c r="AI204" s="110">
        <v>0</v>
      </c>
      <c r="AJ204" s="110">
        <v>0</v>
      </c>
      <c r="AK204" s="110">
        <v>0</v>
      </c>
      <c r="AL204" s="110">
        <v>0</v>
      </c>
      <c r="AM204" s="110">
        <v>0</v>
      </c>
      <c r="AN204" s="110">
        <v>0</v>
      </c>
      <c r="AO204" s="110">
        <v>0</v>
      </c>
      <c r="AP204" s="110">
        <v>0</v>
      </c>
      <c r="AQ204" s="110">
        <v>0</v>
      </c>
      <c r="AR204" s="110">
        <v>0</v>
      </c>
      <c r="AS204" s="110">
        <v>0</v>
      </c>
      <c r="AT204" s="110">
        <v>0</v>
      </c>
      <c r="AU204" s="110">
        <v>0</v>
      </c>
      <c r="AV204" s="110">
        <v>0</v>
      </c>
      <c r="AW204" s="110">
        <v>0</v>
      </c>
      <c r="AX204" s="110">
        <v>0</v>
      </c>
      <c r="AY204" s="110">
        <v>0</v>
      </c>
    </row>
    <row r="205" spans="1:51" x14ac:dyDescent="0.2">
      <c r="A205" s="113"/>
      <c r="B205" s="130">
        <v>9</v>
      </c>
      <c r="C205" s="110">
        <v>0</v>
      </c>
      <c r="D205" s="110">
        <v>0</v>
      </c>
      <c r="E205" s="110">
        <v>22.328258206788291</v>
      </c>
      <c r="F205" s="110">
        <v>463</v>
      </c>
      <c r="G205" s="110">
        <v>312.09104858719502</v>
      </c>
      <c r="H205" s="110">
        <v>0</v>
      </c>
      <c r="I205" s="110">
        <v>0</v>
      </c>
      <c r="J205" s="110">
        <v>0</v>
      </c>
      <c r="K205" s="110">
        <v>0</v>
      </c>
      <c r="L205" s="110">
        <v>0</v>
      </c>
      <c r="M205" s="110">
        <v>0</v>
      </c>
      <c r="N205" s="110">
        <v>0</v>
      </c>
      <c r="O205" s="110">
        <v>0</v>
      </c>
      <c r="P205" s="110">
        <v>0</v>
      </c>
      <c r="Q205" s="110">
        <v>0</v>
      </c>
      <c r="R205" s="110">
        <v>0</v>
      </c>
      <c r="S205" s="110">
        <v>0</v>
      </c>
      <c r="T205" s="110">
        <v>0</v>
      </c>
      <c r="U205" s="110">
        <v>0</v>
      </c>
      <c r="V205" s="110">
        <v>0</v>
      </c>
      <c r="W205" s="110">
        <v>0</v>
      </c>
      <c r="X205" s="110">
        <v>0</v>
      </c>
      <c r="Y205" s="110">
        <v>0</v>
      </c>
      <c r="Z205" s="110">
        <v>0</v>
      </c>
      <c r="AA205" s="110">
        <v>0</v>
      </c>
      <c r="AB205" s="110">
        <v>0</v>
      </c>
      <c r="AC205" s="110">
        <v>0</v>
      </c>
      <c r="AD205" s="110">
        <v>0</v>
      </c>
      <c r="AE205" s="110">
        <v>0</v>
      </c>
      <c r="AF205" s="110">
        <v>0</v>
      </c>
      <c r="AG205" s="110">
        <v>0</v>
      </c>
      <c r="AH205" s="110">
        <v>0</v>
      </c>
      <c r="AI205" s="110">
        <v>0</v>
      </c>
      <c r="AJ205" s="110">
        <v>0</v>
      </c>
      <c r="AK205" s="110">
        <v>0</v>
      </c>
      <c r="AL205" s="110">
        <v>0</v>
      </c>
      <c r="AM205" s="110">
        <v>0</v>
      </c>
      <c r="AN205" s="110">
        <v>0</v>
      </c>
      <c r="AO205" s="110">
        <v>0</v>
      </c>
      <c r="AP205" s="110">
        <v>0</v>
      </c>
      <c r="AQ205" s="110">
        <v>0</v>
      </c>
      <c r="AR205" s="110">
        <v>0</v>
      </c>
      <c r="AS205" s="110">
        <v>0</v>
      </c>
      <c r="AT205" s="110">
        <v>0</v>
      </c>
      <c r="AU205" s="110">
        <v>0</v>
      </c>
      <c r="AV205" s="110">
        <v>0</v>
      </c>
      <c r="AW205" s="110">
        <v>0</v>
      </c>
      <c r="AX205" s="110">
        <v>0</v>
      </c>
      <c r="AY205" s="110">
        <v>0</v>
      </c>
    </row>
    <row r="206" spans="1:51" x14ac:dyDescent="0.2">
      <c r="A206" s="113"/>
      <c r="B206" s="133">
        <v>10</v>
      </c>
      <c r="C206" s="110">
        <v>0</v>
      </c>
      <c r="D206" s="110">
        <v>0</v>
      </c>
      <c r="E206" s="110">
        <v>0</v>
      </c>
      <c r="F206" s="110">
        <v>0</v>
      </c>
      <c r="G206" s="110">
        <v>182.90895141280498</v>
      </c>
      <c r="H206" s="110">
        <v>809.91182083427179</v>
      </c>
      <c r="I206" s="110">
        <v>811.86684029565174</v>
      </c>
      <c r="J206" s="110">
        <v>0</v>
      </c>
      <c r="K206" s="110">
        <v>0</v>
      </c>
      <c r="L206" s="110">
        <v>0</v>
      </c>
      <c r="M206" s="110">
        <v>0</v>
      </c>
      <c r="N206" s="110">
        <v>0</v>
      </c>
      <c r="O206" s="110">
        <v>0</v>
      </c>
      <c r="P206" s="110">
        <v>0</v>
      </c>
      <c r="Q206" s="110">
        <v>0</v>
      </c>
      <c r="R206" s="110">
        <v>0</v>
      </c>
      <c r="S206" s="110">
        <v>0</v>
      </c>
      <c r="T206" s="110">
        <v>0</v>
      </c>
      <c r="U206" s="110">
        <v>0</v>
      </c>
      <c r="V206" s="110">
        <v>0</v>
      </c>
      <c r="W206" s="110">
        <v>0</v>
      </c>
      <c r="X206" s="110">
        <v>0</v>
      </c>
      <c r="Y206" s="110">
        <v>0</v>
      </c>
      <c r="Z206" s="110">
        <v>0</v>
      </c>
      <c r="AA206" s="110">
        <v>0</v>
      </c>
      <c r="AB206" s="110">
        <v>0</v>
      </c>
      <c r="AC206" s="110">
        <v>0</v>
      </c>
      <c r="AD206" s="110">
        <v>0</v>
      </c>
      <c r="AE206" s="110">
        <v>0</v>
      </c>
      <c r="AF206" s="110">
        <v>0</v>
      </c>
      <c r="AG206" s="110">
        <v>0</v>
      </c>
      <c r="AH206" s="110">
        <v>0</v>
      </c>
      <c r="AI206" s="110">
        <v>0</v>
      </c>
      <c r="AJ206" s="110">
        <v>0</v>
      </c>
      <c r="AK206" s="110">
        <v>0</v>
      </c>
      <c r="AL206" s="110">
        <v>0</v>
      </c>
      <c r="AM206" s="110">
        <v>0</v>
      </c>
      <c r="AN206" s="110">
        <v>0</v>
      </c>
      <c r="AO206" s="110">
        <v>0</v>
      </c>
      <c r="AP206" s="110">
        <v>0</v>
      </c>
      <c r="AQ206" s="110">
        <v>0</v>
      </c>
      <c r="AR206" s="110">
        <v>0</v>
      </c>
      <c r="AS206" s="110">
        <v>0</v>
      </c>
      <c r="AT206" s="110">
        <v>0</v>
      </c>
      <c r="AU206" s="110">
        <v>0</v>
      </c>
      <c r="AV206" s="110">
        <v>0</v>
      </c>
      <c r="AW206" s="110">
        <v>177.99688786138415</v>
      </c>
      <c r="AX206" s="110">
        <v>376.5620807916323</v>
      </c>
      <c r="AY206" s="110">
        <v>585.95861738424037</v>
      </c>
    </row>
    <row r="207" spans="1:51" x14ac:dyDescent="0.2">
      <c r="A207" s="113"/>
      <c r="B207" s="133">
        <v>11</v>
      </c>
      <c r="C207" s="110">
        <v>0</v>
      </c>
      <c r="D207" s="110">
        <v>0</v>
      </c>
      <c r="E207" s="110">
        <v>0</v>
      </c>
      <c r="F207" s="110">
        <v>0</v>
      </c>
      <c r="G207" s="110">
        <v>0</v>
      </c>
      <c r="H207" s="110">
        <v>0</v>
      </c>
      <c r="I207" s="110">
        <v>0</v>
      </c>
      <c r="J207" s="110">
        <v>707.14396233928653</v>
      </c>
      <c r="K207" s="110">
        <v>734.19934955704127</v>
      </c>
      <c r="L207" s="110">
        <v>373.11620246707088</v>
      </c>
      <c r="M207" s="110">
        <v>0</v>
      </c>
      <c r="N207" s="110">
        <v>0</v>
      </c>
      <c r="O207" s="110">
        <v>0</v>
      </c>
      <c r="P207" s="110">
        <v>0</v>
      </c>
      <c r="Q207" s="110">
        <v>0</v>
      </c>
      <c r="R207" s="110">
        <v>0</v>
      </c>
      <c r="S207" s="110">
        <v>0</v>
      </c>
      <c r="T207" s="110">
        <v>0</v>
      </c>
      <c r="U207" s="110">
        <v>0</v>
      </c>
      <c r="V207" s="110">
        <v>0</v>
      </c>
      <c r="W207" s="110">
        <v>0</v>
      </c>
      <c r="X207" s="110">
        <v>129.25472937429345</v>
      </c>
      <c r="Y207" s="110">
        <v>196.36972878627785</v>
      </c>
      <c r="Z207" s="110">
        <v>435.81147856596056</v>
      </c>
      <c r="AA207" s="110">
        <v>744.66830532672793</v>
      </c>
      <c r="AB207" s="110">
        <v>670.2119486409847</v>
      </c>
      <c r="AC207" s="110">
        <v>518.31886428898133</v>
      </c>
      <c r="AD207" s="110">
        <v>355.70461366103495</v>
      </c>
      <c r="AE207" s="110">
        <v>114.92741851380936</v>
      </c>
      <c r="AF207" s="110">
        <v>0</v>
      </c>
      <c r="AG207" s="110">
        <v>0</v>
      </c>
      <c r="AH207" s="110">
        <v>0</v>
      </c>
      <c r="AI207" s="110">
        <v>0</v>
      </c>
      <c r="AJ207" s="110">
        <v>0</v>
      </c>
      <c r="AK207" s="110">
        <v>0</v>
      </c>
      <c r="AL207" s="110">
        <v>0</v>
      </c>
      <c r="AM207" s="110">
        <v>0</v>
      </c>
      <c r="AN207" s="110">
        <v>0</v>
      </c>
      <c r="AO207" s="110">
        <v>0</v>
      </c>
      <c r="AP207" s="110">
        <v>0</v>
      </c>
      <c r="AQ207" s="110">
        <v>0</v>
      </c>
      <c r="AR207" s="110">
        <v>188.27753023381172</v>
      </c>
      <c r="AS207" s="110">
        <v>0</v>
      </c>
      <c r="AT207" s="110">
        <v>0</v>
      </c>
      <c r="AU207" s="110">
        <v>226.53434008200804</v>
      </c>
      <c r="AV207" s="110">
        <v>468.82915684668978</v>
      </c>
      <c r="AW207" s="110">
        <v>528.91928900824587</v>
      </c>
      <c r="AX207" s="110">
        <v>557.9678963388385</v>
      </c>
      <c r="AY207" s="110">
        <v>337.38078695935587</v>
      </c>
    </row>
    <row r="208" spans="1:51" x14ac:dyDescent="0.2">
      <c r="A208" s="113"/>
      <c r="B208" s="133">
        <v>12</v>
      </c>
      <c r="C208" s="110">
        <v>0</v>
      </c>
      <c r="D208" s="110">
        <v>0</v>
      </c>
      <c r="E208" s="110">
        <v>0</v>
      </c>
      <c r="F208" s="110">
        <v>0</v>
      </c>
      <c r="G208" s="110">
        <v>0</v>
      </c>
      <c r="H208" s="110">
        <v>0</v>
      </c>
      <c r="I208" s="110">
        <v>0</v>
      </c>
      <c r="J208" s="110">
        <v>0</v>
      </c>
      <c r="K208" s="110">
        <v>0</v>
      </c>
      <c r="L208" s="110">
        <v>0</v>
      </c>
      <c r="M208" s="110">
        <v>526.09910925804115</v>
      </c>
      <c r="N208" s="110">
        <v>449.22668241949691</v>
      </c>
      <c r="O208" s="110">
        <v>434.67854060135153</v>
      </c>
      <c r="P208" s="110">
        <v>518.54361031502106</v>
      </c>
      <c r="Q208" s="110">
        <v>630.37825600534904</v>
      </c>
      <c r="R208" s="110">
        <v>616.98993318823238</v>
      </c>
      <c r="S208" s="110">
        <v>661.87945095896839</v>
      </c>
      <c r="T208" s="110">
        <v>588.56615459675231</v>
      </c>
      <c r="U208" s="110">
        <v>571.75067767517271</v>
      </c>
      <c r="V208" s="110">
        <v>501.54930919143123</v>
      </c>
      <c r="W208" s="110">
        <v>379.53387363685528</v>
      </c>
      <c r="X208" s="110">
        <v>1034.9035571951476</v>
      </c>
      <c r="Y208" s="110">
        <v>909.63027121372215</v>
      </c>
      <c r="Z208" s="110">
        <v>747.48847955550889</v>
      </c>
      <c r="AA208" s="110">
        <v>249.98785060903367</v>
      </c>
      <c r="AB208" s="110">
        <v>87.628102667202484</v>
      </c>
      <c r="AC208" s="110">
        <v>250.79176894331044</v>
      </c>
      <c r="AD208" s="110">
        <v>411.91263178343036</v>
      </c>
      <c r="AE208" s="110">
        <v>633.78373646945124</v>
      </c>
      <c r="AF208" s="110">
        <v>669.54689036400043</v>
      </c>
      <c r="AG208" s="110">
        <v>821.01616484263855</v>
      </c>
      <c r="AH208" s="110">
        <v>776.5899602075674</v>
      </c>
      <c r="AI208" s="110">
        <v>750</v>
      </c>
      <c r="AJ208" s="110">
        <v>624.05754465856353</v>
      </c>
      <c r="AK208" s="110">
        <v>697.66896489876672</v>
      </c>
      <c r="AL208" s="110">
        <v>584.49489049526176</v>
      </c>
      <c r="AM208" s="110">
        <v>573.93762644352239</v>
      </c>
      <c r="AN208" s="110">
        <v>278.09127283112991</v>
      </c>
      <c r="AO208" s="110">
        <v>251.30216549165823</v>
      </c>
      <c r="AP208" s="110">
        <v>203.1896455822997</v>
      </c>
      <c r="AQ208" s="110">
        <v>255.57326048941906</v>
      </c>
      <c r="AR208" s="110">
        <v>783.09522525584555</v>
      </c>
      <c r="AS208" s="110">
        <v>711.99846336863436</v>
      </c>
      <c r="AT208" s="110">
        <v>588.1741218743432</v>
      </c>
      <c r="AU208" s="110">
        <v>564.84275551609403</v>
      </c>
      <c r="AV208" s="110">
        <v>322.17084315331022</v>
      </c>
      <c r="AW208" s="110">
        <v>161.71780170854652</v>
      </c>
      <c r="AX208" s="110">
        <v>0</v>
      </c>
      <c r="AY208" s="110">
        <v>0</v>
      </c>
    </row>
    <row r="209" spans="1:51" x14ac:dyDescent="0.2">
      <c r="A209" s="129" t="s">
        <v>123</v>
      </c>
      <c r="B209" s="126">
        <v>1</v>
      </c>
      <c r="C209" s="127">
        <v>0</v>
      </c>
      <c r="D209" s="127">
        <v>0</v>
      </c>
      <c r="E209" s="127">
        <v>0</v>
      </c>
      <c r="F209" s="127">
        <v>0</v>
      </c>
      <c r="G209" s="127">
        <v>0</v>
      </c>
      <c r="H209" s="127">
        <v>0</v>
      </c>
      <c r="I209" s="127">
        <v>0</v>
      </c>
      <c r="J209" s="127">
        <v>0</v>
      </c>
      <c r="K209" s="127">
        <v>0</v>
      </c>
      <c r="L209" s="127">
        <v>50.067177432200481</v>
      </c>
      <c r="M209" s="127">
        <v>0</v>
      </c>
      <c r="N209" s="127">
        <v>58.809273247848751</v>
      </c>
      <c r="O209" s="127">
        <v>301.24213781303854</v>
      </c>
      <c r="P209" s="127">
        <v>0</v>
      </c>
      <c r="Q209" s="127">
        <v>0</v>
      </c>
      <c r="R209" s="127">
        <v>0</v>
      </c>
      <c r="S209" s="127">
        <v>0</v>
      </c>
      <c r="T209" s="127">
        <v>0</v>
      </c>
      <c r="U209" s="127">
        <v>0</v>
      </c>
      <c r="V209" s="127">
        <v>0</v>
      </c>
      <c r="W209" s="127">
        <v>0</v>
      </c>
      <c r="X209" s="127">
        <v>0</v>
      </c>
      <c r="Y209" s="127">
        <v>0</v>
      </c>
      <c r="Z209" s="127">
        <v>0</v>
      </c>
      <c r="AA209" s="127">
        <v>0</v>
      </c>
      <c r="AB209" s="127">
        <v>0</v>
      </c>
      <c r="AC209" s="127">
        <v>0</v>
      </c>
      <c r="AD209" s="127">
        <v>0</v>
      </c>
      <c r="AE209" s="127">
        <v>0</v>
      </c>
      <c r="AF209" s="127">
        <v>100.38864199454008</v>
      </c>
      <c r="AG209" s="127">
        <v>623.00472459671846</v>
      </c>
      <c r="AH209" s="127">
        <v>824.57050269920865</v>
      </c>
      <c r="AI209" s="127">
        <v>875.6880935053274</v>
      </c>
      <c r="AJ209" s="127">
        <v>653.04745683096326</v>
      </c>
      <c r="AK209" s="127">
        <v>470.83984006151979</v>
      </c>
      <c r="AL209" s="127">
        <v>552.71910218147173</v>
      </c>
      <c r="AM209" s="127">
        <v>444.32952541707999</v>
      </c>
      <c r="AN209" s="127">
        <v>17.960301430952086</v>
      </c>
      <c r="AO209" s="127">
        <v>0</v>
      </c>
      <c r="AP209" s="127">
        <v>0</v>
      </c>
      <c r="AQ209" s="127">
        <v>0</v>
      </c>
      <c r="AR209" s="127">
        <v>0</v>
      </c>
      <c r="AS209" s="127">
        <v>126.24310678054144</v>
      </c>
      <c r="AT209" s="127">
        <v>166.80400039734383</v>
      </c>
      <c r="AU209" s="127">
        <v>180.68384808679161</v>
      </c>
      <c r="AV209" s="127">
        <v>144.75248168177933</v>
      </c>
      <c r="AW209" s="127">
        <v>272.21908563691221</v>
      </c>
      <c r="AX209" s="127">
        <v>557.75389602705559</v>
      </c>
      <c r="AY209" s="127">
        <v>595.83745185786961</v>
      </c>
    </row>
    <row r="210" spans="1:51" x14ac:dyDescent="0.2">
      <c r="A210" s="113"/>
      <c r="B210" s="122">
        <v>2</v>
      </c>
      <c r="C210" s="110">
        <v>0</v>
      </c>
      <c r="D210" s="114">
        <v>0</v>
      </c>
      <c r="E210" s="114">
        <v>0</v>
      </c>
      <c r="F210" s="114">
        <v>0</v>
      </c>
      <c r="G210" s="114">
        <v>0</v>
      </c>
      <c r="H210" s="114">
        <v>0</v>
      </c>
      <c r="I210" s="114">
        <v>0</v>
      </c>
      <c r="J210" s="114">
        <v>0</v>
      </c>
      <c r="K210" s="114">
        <v>0</v>
      </c>
      <c r="L210" s="114">
        <v>368.96918570960298</v>
      </c>
      <c r="M210" s="114">
        <v>353.46755644273139</v>
      </c>
      <c r="N210" s="114">
        <v>542.71799521926926</v>
      </c>
      <c r="O210" s="114">
        <v>506.43640278831299</v>
      </c>
      <c r="P210" s="114">
        <v>368.543610315021</v>
      </c>
      <c r="Q210" s="114">
        <v>376.0228908767258</v>
      </c>
      <c r="R210" s="114">
        <v>237.20193678420466</v>
      </c>
      <c r="S210" s="114">
        <v>103.3954160256055</v>
      </c>
      <c r="T210" s="114">
        <v>55.202351837133847</v>
      </c>
      <c r="U210" s="114">
        <v>61.984439630341171</v>
      </c>
      <c r="V210" s="114">
        <v>54.64556028401978</v>
      </c>
      <c r="W210" s="114">
        <v>43.24126047859238</v>
      </c>
      <c r="X210" s="114">
        <v>92.065291703960497</v>
      </c>
      <c r="Y210" s="114">
        <v>1.0000200199906999</v>
      </c>
      <c r="Z210" s="114">
        <v>145.0943183770263</v>
      </c>
      <c r="AA210" s="114">
        <v>123.34756109411029</v>
      </c>
      <c r="AB210" s="114">
        <v>134.9553473283662</v>
      </c>
      <c r="AC210" s="114">
        <v>52.706675058560734</v>
      </c>
      <c r="AD210" s="114">
        <v>44.311333080959798</v>
      </c>
      <c r="AE210" s="114">
        <v>0</v>
      </c>
      <c r="AF210" s="114">
        <v>542.71799521926926</v>
      </c>
      <c r="AG210" s="114">
        <v>456.01144024592003</v>
      </c>
      <c r="AH210" s="114">
        <v>291.01945750835881</v>
      </c>
      <c r="AI210" s="114">
        <v>34.010282008143847</v>
      </c>
      <c r="AJ210" s="114">
        <v>4.0100878276002492</v>
      </c>
      <c r="AK210" s="114">
        <v>139.82912483724692</v>
      </c>
      <c r="AL210" s="114">
        <v>253.77578831379</v>
      </c>
      <c r="AM210" s="114">
        <v>309.6081010264424</v>
      </c>
      <c r="AN210" s="114">
        <v>270.13097140017783</v>
      </c>
      <c r="AO210" s="114">
        <v>348.30216549165823</v>
      </c>
      <c r="AP210" s="114">
        <v>210.08329065130025</v>
      </c>
      <c r="AQ210" s="114">
        <v>117.35874051627789</v>
      </c>
      <c r="AR210" s="114">
        <v>398.39625620047826</v>
      </c>
      <c r="AS210" s="114">
        <v>542.71799521926926</v>
      </c>
      <c r="AT210" s="114">
        <v>466.37012147699937</v>
      </c>
      <c r="AU210" s="114">
        <v>547.69324751131046</v>
      </c>
      <c r="AV210" s="114">
        <v>431.24751831822067</v>
      </c>
      <c r="AW210" s="114">
        <v>453.41489294126433</v>
      </c>
      <c r="AX210" s="114">
        <v>374.77608110341515</v>
      </c>
      <c r="AY210" s="114">
        <v>306.50195248572663</v>
      </c>
    </row>
    <row r="211" spans="1:51" x14ac:dyDescent="0.2">
      <c r="A211" s="113"/>
      <c r="B211" s="122">
        <v>3</v>
      </c>
      <c r="C211" s="110">
        <v>0</v>
      </c>
      <c r="D211" s="114">
        <v>0</v>
      </c>
      <c r="E211" s="114">
        <v>0</v>
      </c>
      <c r="F211" s="114">
        <v>0</v>
      </c>
      <c r="G211" s="114">
        <v>0</v>
      </c>
      <c r="H211" s="114">
        <v>0</v>
      </c>
      <c r="I211" s="114">
        <v>116.33611722101497</v>
      </c>
      <c r="J211" s="114">
        <v>58.733519924174288</v>
      </c>
      <c r="K211" s="114">
        <v>199.86990125415704</v>
      </c>
      <c r="L211" s="114">
        <v>334.82258868436952</v>
      </c>
      <c r="M211" s="114">
        <v>281.63155281530976</v>
      </c>
      <c r="N211" s="114">
        <v>97.699413952378947</v>
      </c>
      <c r="O211" s="114">
        <v>0</v>
      </c>
      <c r="P211" s="114">
        <v>0</v>
      </c>
      <c r="Q211" s="114">
        <v>59.355365128623262</v>
      </c>
      <c r="R211" s="114">
        <v>103.78799640402772</v>
      </c>
      <c r="S211" s="114">
        <v>188.48403493336289</v>
      </c>
      <c r="T211" s="114">
        <v>260.36380275961847</v>
      </c>
      <c r="U211" s="114">
        <v>300.76623804483154</v>
      </c>
      <c r="V211" s="114">
        <v>301.90374890741145</v>
      </c>
      <c r="W211" s="114">
        <v>363.2926131582629</v>
      </c>
      <c r="X211" s="114">
        <v>322.09299486548059</v>
      </c>
      <c r="Y211" s="114">
        <v>440.9999799800093</v>
      </c>
      <c r="Z211" s="114">
        <v>334.20563974444309</v>
      </c>
      <c r="AA211" s="114">
        <v>245.30859484165131</v>
      </c>
      <c r="AB211" s="114">
        <v>176.88470397982104</v>
      </c>
      <c r="AC211" s="114">
        <v>333.40395817373104</v>
      </c>
      <c r="AD211" s="114">
        <v>302.30591236350551</v>
      </c>
      <c r="AE211" s="114">
        <v>295.71115498326066</v>
      </c>
      <c r="AF211" s="114">
        <v>227.63059082671609</v>
      </c>
      <c r="AG211" s="114">
        <v>0</v>
      </c>
      <c r="AH211" s="114">
        <v>0</v>
      </c>
      <c r="AI211" s="114">
        <v>0</v>
      </c>
      <c r="AJ211" s="114">
        <v>0</v>
      </c>
      <c r="AK211" s="114">
        <v>0</v>
      </c>
      <c r="AL211" s="114">
        <v>0</v>
      </c>
      <c r="AM211" s="114">
        <v>0</v>
      </c>
      <c r="AN211" s="114">
        <v>0</v>
      </c>
      <c r="AO211" s="114">
        <v>0</v>
      </c>
      <c r="AP211" s="114">
        <v>113.10635493099946</v>
      </c>
      <c r="AQ211" s="114">
        <v>205.21451997314117</v>
      </c>
      <c r="AR211" s="114">
        <v>328.976499289179</v>
      </c>
      <c r="AS211" s="114">
        <v>89.037361368823639</v>
      </c>
      <c r="AT211" s="114">
        <v>0</v>
      </c>
      <c r="AU211" s="114">
        <v>0</v>
      </c>
      <c r="AV211" s="114">
        <v>0</v>
      </c>
      <c r="AW211" s="114">
        <v>0</v>
      </c>
      <c r="AX211" s="114">
        <v>0</v>
      </c>
      <c r="AY211" s="114">
        <v>0</v>
      </c>
    </row>
    <row r="212" spans="1:51" x14ac:dyDescent="0.2">
      <c r="A212" s="113"/>
      <c r="B212" s="122">
        <v>4</v>
      </c>
      <c r="C212" s="110">
        <v>0</v>
      </c>
      <c r="D212" s="114">
        <v>0</v>
      </c>
      <c r="E212" s="114">
        <v>0</v>
      </c>
      <c r="F212" s="114">
        <v>0</v>
      </c>
      <c r="G212" s="114">
        <v>0</v>
      </c>
      <c r="H212" s="114">
        <v>208.85575202308596</v>
      </c>
      <c r="I212" s="114">
        <v>207.14896873837975</v>
      </c>
      <c r="J212" s="114">
        <v>242.41044241511224</v>
      </c>
      <c r="K212" s="114">
        <v>170.32944830288417</v>
      </c>
      <c r="L212" s="114">
        <v>83.25725064089788</v>
      </c>
      <c r="M212" s="114">
        <v>0</v>
      </c>
      <c r="N212" s="114">
        <v>0</v>
      </c>
      <c r="O212" s="114">
        <v>0</v>
      </c>
      <c r="P212" s="114">
        <v>0</v>
      </c>
      <c r="Q212" s="114">
        <v>0</v>
      </c>
      <c r="R212" s="114">
        <v>0</v>
      </c>
      <c r="S212" s="114">
        <v>0</v>
      </c>
      <c r="T212" s="114">
        <v>0</v>
      </c>
      <c r="U212" s="114">
        <v>0</v>
      </c>
      <c r="V212" s="114">
        <v>0</v>
      </c>
      <c r="W212" s="114">
        <v>0</v>
      </c>
      <c r="X212" s="114">
        <v>0</v>
      </c>
      <c r="Y212" s="114">
        <v>0</v>
      </c>
      <c r="Z212" s="114">
        <v>0</v>
      </c>
      <c r="AA212" s="114">
        <v>0</v>
      </c>
      <c r="AB212" s="114">
        <v>0</v>
      </c>
      <c r="AC212" s="114">
        <v>0</v>
      </c>
      <c r="AD212" s="114">
        <v>0</v>
      </c>
      <c r="AE212" s="114">
        <v>0</v>
      </c>
      <c r="AF212" s="114">
        <v>107.80966232347502</v>
      </c>
      <c r="AG212" s="114">
        <v>0</v>
      </c>
      <c r="AH212" s="114">
        <v>0</v>
      </c>
      <c r="AI212" s="114">
        <v>0</v>
      </c>
      <c r="AJ212" s="114">
        <v>0</v>
      </c>
      <c r="AK212" s="114">
        <v>0</v>
      </c>
      <c r="AL212" s="114">
        <v>0</v>
      </c>
      <c r="AM212" s="114">
        <v>0</v>
      </c>
      <c r="AN212" s="114">
        <v>0</v>
      </c>
      <c r="AO212" s="114">
        <v>0</v>
      </c>
      <c r="AP212" s="114">
        <v>0</v>
      </c>
      <c r="AQ212" s="114">
        <v>0</v>
      </c>
      <c r="AR212" s="114">
        <v>0</v>
      </c>
      <c r="AS212" s="114">
        <v>0</v>
      </c>
      <c r="AT212" s="114">
        <v>0</v>
      </c>
      <c r="AU212" s="114">
        <v>0</v>
      </c>
      <c r="AV212" s="114">
        <v>0</v>
      </c>
      <c r="AW212" s="114">
        <v>0</v>
      </c>
      <c r="AX212" s="114">
        <v>0</v>
      </c>
      <c r="AY212" s="114">
        <v>0</v>
      </c>
    </row>
    <row r="213" spans="1:51" x14ac:dyDescent="0.2">
      <c r="A213" s="113"/>
      <c r="B213" s="122">
        <v>5</v>
      </c>
      <c r="C213" s="110">
        <v>229.80160784172676</v>
      </c>
      <c r="D213" s="114">
        <v>166.37591356499678</v>
      </c>
      <c r="E213" s="114">
        <v>346.05552573573482</v>
      </c>
      <c r="F213" s="114">
        <v>329.85582726231399</v>
      </c>
      <c r="G213" s="114">
        <v>322.20043088867186</v>
      </c>
      <c r="H213" s="114">
        <v>55.48936741463374</v>
      </c>
      <c r="I213" s="114">
        <v>24.381754336257032</v>
      </c>
      <c r="J213" s="114">
        <v>0</v>
      </c>
      <c r="K213" s="114">
        <v>0</v>
      </c>
      <c r="L213" s="114">
        <v>0</v>
      </c>
      <c r="M213" s="114">
        <v>0</v>
      </c>
      <c r="N213" s="114">
        <v>0</v>
      </c>
      <c r="O213" s="114">
        <v>0</v>
      </c>
      <c r="P213" s="114">
        <v>0</v>
      </c>
      <c r="Q213" s="114">
        <v>0</v>
      </c>
      <c r="R213" s="114">
        <v>0</v>
      </c>
      <c r="S213" s="114">
        <v>0</v>
      </c>
      <c r="T213" s="114">
        <v>0</v>
      </c>
      <c r="U213" s="114">
        <v>0</v>
      </c>
      <c r="V213" s="114">
        <v>0</v>
      </c>
      <c r="W213" s="114">
        <v>0</v>
      </c>
      <c r="X213" s="114">
        <v>0</v>
      </c>
      <c r="Y213" s="114">
        <v>0</v>
      </c>
      <c r="Z213" s="114">
        <v>0</v>
      </c>
      <c r="AA213" s="114">
        <v>0</v>
      </c>
      <c r="AB213" s="114">
        <v>0</v>
      </c>
      <c r="AC213" s="114">
        <v>0</v>
      </c>
      <c r="AD213" s="114">
        <v>0</v>
      </c>
      <c r="AE213" s="114">
        <v>0</v>
      </c>
      <c r="AF213" s="114">
        <v>0</v>
      </c>
      <c r="AG213" s="114">
        <v>0</v>
      </c>
      <c r="AH213" s="114">
        <v>0</v>
      </c>
      <c r="AI213" s="114">
        <v>0</v>
      </c>
      <c r="AJ213" s="114">
        <v>0</v>
      </c>
      <c r="AK213" s="114">
        <v>0</v>
      </c>
      <c r="AL213" s="114">
        <v>0</v>
      </c>
      <c r="AM213" s="114">
        <v>0</v>
      </c>
      <c r="AN213" s="114">
        <v>0</v>
      </c>
      <c r="AO213" s="114">
        <v>0</v>
      </c>
      <c r="AP213" s="114">
        <v>0</v>
      </c>
      <c r="AQ213" s="114">
        <v>0</v>
      </c>
      <c r="AR213" s="114">
        <v>0</v>
      </c>
      <c r="AS213" s="114">
        <v>0</v>
      </c>
      <c r="AT213" s="114">
        <v>0</v>
      </c>
      <c r="AU213" s="114">
        <v>0</v>
      </c>
      <c r="AV213" s="114">
        <v>0</v>
      </c>
      <c r="AW213" s="114">
        <v>0</v>
      </c>
      <c r="AX213" s="114">
        <v>0</v>
      </c>
      <c r="AY213" s="114">
        <v>0</v>
      </c>
    </row>
    <row r="214" spans="1:51" x14ac:dyDescent="0.2">
      <c r="A214" s="113"/>
      <c r="B214" s="122">
        <v>6</v>
      </c>
      <c r="C214" s="110">
        <v>227.19839215827324</v>
      </c>
      <c r="D214" s="114">
        <v>234.62408643500322</v>
      </c>
      <c r="E214" s="114">
        <v>240.94447426426515</v>
      </c>
      <c r="F214" s="114">
        <v>100.14417273768601</v>
      </c>
      <c r="G214" s="114">
        <v>82.799569111328154</v>
      </c>
      <c r="H214" s="114">
        <v>62.566701396552027</v>
      </c>
      <c r="I214" s="114">
        <v>0</v>
      </c>
      <c r="J214" s="114">
        <v>0</v>
      </c>
      <c r="K214" s="114">
        <v>0</v>
      </c>
      <c r="L214" s="114">
        <v>0</v>
      </c>
      <c r="M214" s="114">
        <v>0</v>
      </c>
      <c r="N214" s="114">
        <v>0</v>
      </c>
      <c r="O214" s="114">
        <v>0</v>
      </c>
      <c r="P214" s="114">
        <v>0</v>
      </c>
      <c r="Q214" s="114">
        <v>0</v>
      </c>
      <c r="R214" s="114">
        <v>0</v>
      </c>
      <c r="S214" s="114">
        <v>0</v>
      </c>
      <c r="T214" s="114">
        <v>0</v>
      </c>
      <c r="U214" s="114">
        <v>0</v>
      </c>
      <c r="V214" s="114">
        <v>0</v>
      </c>
      <c r="W214" s="114">
        <v>0</v>
      </c>
      <c r="X214" s="114">
        <v>0</v>
      </c>
      <c r="Y214" s="114">
        <v>0</v>
      </c>
      <c r="Z214" s="114">
        <v>0</v>
      </c>
      <c r="AA214" s="114">
        <v>0</v>
      </c>
      <c r="AB214" s="114">
        <v>0</v>
      </c>
      <c r="AC214" s="114">
        <v>0</v>
      </c>
      <c r="AD214" s="114">
        <v>0</v>
      </c>
      <c r="AE214" s="114">
        <v>0</v>
      </c>
      <c r="AF214" s="114">
        <v>0</v>
      </c>
      <c r="AG214" s="114">
        <v>0</v>
      </c>
      <c r="AH214" s="114">
        <v>0</v>
      </c>
      <c r="AI214" s="114">
        <v>0</v>
      </c>
      <c r="AJ214" s="114">
        <v>0</v>
      </c>
      <c r="AK214" s="114">
        <v>0</v>
      </c>
      <c r="AL214" s="114">
        <v>0</v>
      </c>
      <c r="AM214" s="114">
        <v>0</v>
      </c>
      <c r="AN214" s="114">
        <v>0</v>
      </c>
      <c r="AO214" s="114">
        <v>0</v>
      </c>
      <c r="AP214" s="114">
        <v>0</v>
      </c>
      <c r="AQ214" s="114">
        <v>0</v>
      </c>
      <c r="AR214" s="114">
        <v>0</v>
      </c>
      <c r="AS214" s="114">
        <v>0</v>
      </c>
      <c r="AT214" s="114">
        <v>0</v>
      </c>
      <c r="AU214" s="114">
        <v>0</v>
      </c>
      <c r="AV214" s="114">
        <v>0</v>
      </c>
      <c r="AW214" s="114">
        <v>0</v>
      </c>
      <c r="AX214" s="114">
        <v>0</v>
      </c>
      <c r="AY214" s="114">
        <v>0</v>
      </c>
    </row>
    <row r="215" spans="1:51" x14ac:dyDescent="0.2">
      <c r="A215" s="113"/>
      <c r="B215" s="122">
        <v>7</v>
      </c>
      <c r="C215" s="110">
        <v>0</v>
      </c>
      <c r="D215" s="114">
        <v>0</v>
      </c>
      <c r="E215" s="114">
        <v>0</v>
      </c>
      <c r="F215" s="114">
        <v>0</v>
      </c>
      <c r="G215" s="114">
        <v>0</v>
      </c>
      <c r="H215" s="114">
        <v>0</v>
      </c>
      <c r="I215" s="114">
        <v>0</v>
      </c>
      <c r="J215" s="114">
        <v>0</v>
      </c>
      <c r="K215" s="114">
        <v>0</v>
      </c>
      <c r="L215" s="114">
        <v>0</v>
      </c>
      <c r="M215" s="114">
        <v>0</v>
      </c>
      <c r="N215" s="114">
        <v>0</v>
      </c>
      <c r="O215" s="114">
        <v>0</v>
      </c>
      <c r="P215" s="114">
        <v>0</v>
      </c>
      <c r="Q215" s="114">
        <v>0</v>
      </c>
      <c r="R215" s="114">
        <v>0</v>
      </c>
      <c r="S215" s="114">
        <v>0</v>
      </c>
      <c r="T215" s="114">
        <v>0</v>
      </c>
      <c r="U215" s="114">
        <v>0</v>
      </c>
      <c r="V215" s="114">
        <v>0</v>
      </c>
      <c r="W215" s="114">
        <v>0</v>
      </c>
      <c r="X215" s="114">
        <v>0</v>
      </c>
      <c r="Y215" s="114">
        <v>0</v>
      </c>
      <c r="Z215" s="114">
        <v>0</v>
      </c>
      <c r="AA215" s="114">
        <v>0</v>
      </c>
      <c r="AB215" s="114">
        <v>0</v>
      </c>
      <c r="AC215" s="114">
        <v>0</v>
      </c>
      <c r="AD215" s="114">
        <v>0</v>
      </c>
      <c r="AE215" s="114">
        <v>0</v>
      </c>
      <c r="AF215" s="114">
        <v>0</v>
      </c>
      <c r="AG215" s="114">
        <v>0</v>
      </c>
      <c r="AH215" s="114">
        <v>0</v>
      </c>
      <c r="AI215" s="114">
        <v>0</v>
      </c>
      <c r="AJ215" s="114">
        <v>0</v>
      </c>
      <c r="AK215" s="114">
        <v>0</v>
      </c>
      <c r="AL215" s="114">
        <v>0</v>
      </c>
      <c r="AM215" s="114">
        <v>0</v>
      </c>
      <c r="AN215" s="114">
        <v>0</v>
      </c>
      <c r="AO215" s="114">
        <v>0</v>
      </c>
      <c r="AP215" s="114">
        <v>0</v>
      </c>
      <c r="AQ215" s="114">
        <v>0</v>
      </c>
      <c r="AR215" s="114">
        <v>0</v>
      </c>
      <c r="AS215" s="114">
        <v>0</v>
      </c>
      <c r="AT215" s="114">
        <v>0</v>
      </c>
      <c r="AU215" s="114">
        <v>0</v>
      </c>
      <c r="AV215" s="114">
        <v>0</v>
      </c>
      <c r="AW215" s="114">
        <v>0</v>
      </c>
      <c r="AX215" s="114">
        <v>0</v>
      </c>
      <c r="AY215" s="114">
        <v>0</v>
      </c>
    </row>
    <row r="216" spans="1:51" x14ac:dyDescent="0.2">
      <c r="A216" s="113"/>
      <c r="B216" s="122">
        <v>8</v>
      </c>
      <c r="C216" s="110">
        <v>0</v>
      </c>
      <c r="D216" s="114">
        <v>0</v>
      </c>
      <c r="E216" s="114">
        <v>0</v>
      </c>
      <c r="F216" s="114">
        <v>0</v>
      </c>
      <c r="G216" s="114">
        <v>0</v>
      </c>
      <c r="H216" s="114">
        <v>0</v>
      </c>
      <c r="I216" s="114">
        <v>0</v>
      </c>
      <c r="J216" s="114">
        <v>0</v>
      </c>
      <c r="K216" s="114">
        <v>0</v>
      </c>
      <c r="L216" s="114">
        <v>0</v>
      </c>
      <c r="M216" s="114">
        <v>0</v>
      </c>
      <c r="N216" s="114">
        <v>0</v>
      </c>
      <c r="O216" s="114">
        <v>0</v>
      </c>
      <c r="P216" s="114">
        <v>0</v>
      </c>
      <c r="Q216" s="114">
        <v>0</v>
      </c>
      <c r="R216" s="114">
        <v>0</v>
      </c>
      <c r="S216" s="114">
        <v>0</v>
      </c>
      <c r="T216" s="114">
        <v>0</v>
      </c>
      <c r="U216" s="114">
        <v>0</v>
      </c>
      <c r="V216" s="114">
        <v>0</v>
      </c>
      <c r="W216" s="114">
        <v>0</v>
      </c>
      <c r="X216" s="114">
        <v>0</v>
      </c>
      <c r="Y216" s="114">
        <v>0</v>
      </c>
      <c r="Z216" s="114">
        <v>0</v>
      </c>
      <c r="AA216" s="114">
        <v>0</v>
      </c>
      <c r="AB216" s="114">
        <v>0</v>
      </c>
      <c r="AC216" s="114">
        <v>0</v>
      </c>
      <c r="AD216" s="114">
        <v>0</v>
      </c>
      <c r="AE216" s="114">
        <v>0</v>
      </c>
      <c r="AF216" s="114">
        <v>0</v>
      </c>
      <c r="AG216" s="114">
        <v>0</v>
      </c>
      <c r="AH216" s="114">
        <v>0</v>
      </c>
      <c r="AI216" s="114">
        <v>0</v>
      </c>
      <c r="AJ216" s="114">
        <v>0</v>
      </c>
      <c r="AK216" s="114">
        <v>0</v>
      </c>
      <c r="AL216" s="114">
        <v>0</v>
      </c>
      <c r="AM216" s="114">
        <v>0</v>
      </c>
      <c r="AN216" s="114">
        <v>0</v>
      </c>
      <c r="AO216" s="114">
        <v>0</v>
      </c>
      <c r="AP216" s="114">
        <v>0</v>
      </c>
      <c r="AQ216" s="114">
        <v>0</v>
      </c>
      <c r="AR216" s="114">
        <v>0</v>
      </c>
      <c r="AS216" s="114">
        <v>0</v>
      </c>
      <c r="AT216" s="114">
        <v>0</v>
      </c>
      <c r="AU216" s="114">
        <v>0</v>
      </c>
      <c r="AV216" s="114">
        <v>0</v>
      </c>
      <c r="AW216" s="114">
        <v>0</v>
      </c>
      <c r="AX216" s="114">
        <v>0</v>
      </c>
      <c r="AY216" s="114">
        <v>0</v>
      </c>
    </row>
    <row r="217" spans="1:51" x14ac:dyDescent="0.2">
      <c r="A217" s="113"/>
      <c r="B217" s="122">
        <v>9</v>
      </c>
      <c r="C217" s="110">
        <v>0</v>
      </c>
      <c r="D217" s="114">
        <v>0</v>
      </c>
      <c r="E217" s="114">
        <v>0</v>
      </c>
      <c r="F217" s="114">
        <v>0</v>
      </c>
      <c r="G217" s="114">
        <v>0</v>
      </c>
      <c r="H217" s="114">
        <v>0</v>
      </c>
      <c r="I217" s="114">
        <v>0</v>
      </c>
      <c r="J217" s="114">
        <v>0</v>
      </c>
      <c r="K217" s="114">
        <v>0</v>
      </c>
      <c r="L217" s="114">
        <v>0</v>
      </c>
      <c r="M217" s="114">
        <v>0</v>
      </c>
      <c r="N217" s="114">
        <v>0</v>
      </c>
      <c r="O217" s="114">
        <v>0</v>
      </c>
      <c r="P217" s="114">
        <v>0</v>
      </c>
      <c r="Q217" s="114">
        <v>0</v>
      </c>
      <c r="R217" s="114">
        <v>0</v>
      </c>
      <c r="S217" s="114">
        <v>0</v>
      </c>
      <c r="T217" s="114">
        <v>0</v>
      </c>
      <c r="U217" s="114">
        <v>0</v>
      </c>
      <c r="V217" s="114">
        <v>0</v>
      </c>
      <c r="W217" s="114">
        <v>0</v>
      </c>
      <c r="X217" s="114">
        <v>0</v>
      </c>
      <c r="Y217" s="114">
        <v>0</v>
      </c>
      <c r="Z217" s="114">
        <v>0</v>
      </c>
      <c r="AA217" s="114">
        <v>0</v>
      </c>
      <c r="AB217" s="114">
        <v>0</v>
      </c>
      <c r="AC217" s="114">
        <v>0</v>
      </c>
      <c r="AD217" s="114">
        <v>0</v>
      </c>
      <c r="AE217" s="114">
        <v>0</v>
      </c>
      <c r="AF217" s="114">
        <v>0</v>
      </c>
      <c r="AG217" s="114">
        <v>0</v>
      </c>
      <c r="AH217" s="114">
        <v>0</v>
      </c>
      <c r="AI217" s="114">
        <v>0</v>
      </c>
      <c r="AJ217" s="114">
        <v>0</v>
      </c>
      <c r="AK217" s="114">
        <v>0</v>
      </c>
      <c r="AL217" s="114">
        <v>0</v>
      </c>
      <c r="AM217" s="114">
        <v>0</v>
      </c>
      <c r="AN217" s="114">
        <v>0</v>
      </c>
      <c r="AO217" s="114">
        <v>0</v>
      </c>
      <c r="AP217" s="114">
        <v>0</v>
      </c>
      <c r="AQ217" s="114">
        <v>0</v>
      </c>
      <c r="AR217" s="114">
        <v>0</v>
      </c>
      <c r="AS217" s="114">
        <v>0</v>
      </c>
      <c r="AT217" s="114">
        <v>0</v>
      </c>
      <c r="AU217" s="114">
        <v>0</v>
      </c>
      <c r="AV217" s="114">
        <v>0</v>
      </c>
      <c r="AW217" s="114">
        <v>0</v>
      </c>
      <c r="AX217" s="114">
        <v>0</v>
      </c>
      <c r="AY217" s="114">
        <v>0</v>
      </c>
    </row>
    <row r="218" spans="1:51" x14ac:dyDescent="0.2">
      <c r="A218" s="113"/>
      <c r="B218" s="122">
        <v>10</v>
      </c>
      <c r="C218" s="110">
        <v>0</v>
      </c>
      <c r="D218" s="114">
        <v>0</v>
      </c>
      <c r="E218" s="114">
        <v>0</v>
      </c>
      <c r="F218" s="114">
        <v>0</v>
      </c>
      <c r="G218" s="114">
        <v>0</v>
      </c>
      <c r="H218" s="114">
        <v>0</v>
      </c>
      <c r="I218" s="114">
        <v>0</v>
      </c>
      <c r="J218" s="114">
        <v>0</v>
      </c>
      <c r="K218" s="114">
        <v>0</v>
      </c>
      <c r="L218" s="114">
        <v>0</v>
      </c>
      <c r="M218" s="114">
        <v>0</v>
      </c>
      <c r="N218" s="114">
        <v>0</v>
      </c>
      <c r="O218" s="114">
        <v>0</v>
      </c>
      <c r="P218" s="114">
        <v>0</v>
      </c>
      <c r="Q218" s="114">
        <v>0</v>
      </c>
      <c r="R218" s="114">
        <v>0</v>
      </c>
      <c r="S218" s="114">
        <v>0</v>
      </c>
      <c r="T218" s="114">
        <v>0</v>
      </c>
      <c r="U218" s="114">
        <v>0</v>
      </c>
      <c r="V218" s="114">
        <v>0</v>
      </c>
      <c r="W218" s="114">
        <v>0</v>
      </c>
      <c r="X218" s="114">
        <v>0</v>
      </c>
      <c r="Y218" s="114">
        <v>0</v>
      </c>
      <c r="Z218" s="114">
        <v>0</v>
      </c>
      <c r="AA218" s="114">
        <v>0</v>
      </c>
      <c r="AB218" s="114">
        <v>0</v>
      </c>
      <c r="AC218" s="114">
        <v>0</v>
      </c>
      <c r="AD218" s="114">
        <v>0</v>
      </c>
      <c r="AE218" s="114">
        <v>0</v>
      </c>
      <c r="AF218" s="114">
        <v>0</v>
      </c>
      <c r="AG218" s="114">
        <v>0</v>
      </c>
      <c r="AH218" s="114">
        <v>0</v>
      </c>
      <c r="AI218" s="114">
        <v>0</v>
      </c>
      <c r="AJ218" s="114">
        <v>0</v>
      </c>
      <c r="AK218" s="114">
        <v>0</v>
      </c>
      <c r="AL218" s="114">
        <v>0</v>
      </c>
      <c r="AM218" s="114">
        <v>0</v>
      </c>
      <c r="AN218" s="114">
        <v>0</v>
      </c>
      <c r="AO218" s="114">
        <v>0</v>
      </c>
      <c r="AP218" s="114">
        <v>0</v>
      </c>
      <c r="AQ218" s="114">
        <v>0</v>
      </c>
      <c r="AR218" s="114">
        <v>0</v>
      </c>
      <c r="AS218" s="114">
        <v>0</v>
      </c>
      <c r="AT218" s="114">
        <v>0</v>
      </c>
      <c r="AU218" s="114">
        <v>0</v>
      </c>
      <c r="AV218" s="114">
        <v>0</v>
      </c>
      <c r="AW218" s="114">
        <v>0</v>
      </c>
      <c r="AX218" s="114">
        <v>0</v>
      </c>
      <c r="AY218" s="114">
        <v>0</v>
      </c>
    </row>
    <row r="219" spans="1:51" x14ac:dyDescent="0.2">
      <c r="A219" s="113"/>
      <c r="B219" s="122">
        <v>11</v>
      </c>
      <c r="C219" s="110">
        <v>0</v>
      </c>
      <c r="D219" s="114">
        <v>0</v>
      </c>
      <c r="E219" s="114">
        <v>0</v>
      </c>
      <c r="F219" s="114">
        <v>0</v>
      </c>
      <c r="G219" s="114">
        <v>0</v>
      </c>
      <c r="H219" s="114">
        <v>0</v>
      </c>
      <c r="I219" s="114">
        <v>0</v>
      </c>
      <c r="J219" s="114">
        <v>0</v>
      </c>
      <c r="K219" s="114">
        <v>0</v>
      </c>
      <c r="L219" s="114">
        <v>0</v>
      </c>
      <c r="M219" s="114">
        <v>0</v>
      </c>
      <c r="N219" s="114">
        <v>0</v>
      </c>
      <c r="O219" s="114">
        <v>0</v>
      </c>
      <c r="P219" s="114">
        <v>0</v>
      </c>
      <c r="Q219" s="114">
        <v>0</v>
      </c>
      <c r="R219" s="114">
        <v>0</v>
      </c>
      <c r="S219" s="114">
        <v>0</v>
      </c>
      <c r="T219" s="114">
        <v>0</v>
      </c>
      <c r="U219" s="114">
        <v>0</v>
      </c>
      <c r="V219" s="114">
        <v>0</v>
      </c>
      <c r="W219" s="114">
        <v>0</v>
      </c>
      <c r="X219" s="114">
        <v>0</v>
      </c>
      <c r="Y219" s="114">
        <v>0</v>
      </c>
      <c r="Z219" s="114">
        <v>0</v>
      </c>
      <c r="AA219" s="114">
        <v>0</v>
      </c>
      <c r="AB219" s="114">
        <v>0</v>
      </c>
      <c r="AC219" s="114">
        <v>0</v>
      </c>
      <c r="AD219" s="114">
        <v>0</v>
      </c>
      <c r="AE219" s="114">
        <v>0</v>
      </c>
      <c r="AF219" s="114">
        <v>0</v>
      </c>
      <c r="AG219" s="114">
        <v>0</v>
      </c>
      <c r="AH219" s="114">
        <v>0</v>
      </c>
      <c r="AI219" s="114">
        <v>0</v>
      </c>
      <c r="AJ219" s="114">
        <v>0</v>
      </c>
      <c r="AK219" s="114">
        <v>0</v>
      </c>
      <c r="AL219" s="114">
        <v>0</v>
      </c>
      <c r="AM219" s="114">
        <v>0</v>
      </c>
      <c r="AN219" s="114">
        <v>0</v>
      </c>
      <c r="AO219" s="114">
        <v>0</v>
      </c>
      <c r="AP219" s="114">
        <v>0</v>
      </c>
      <c r="AQ219" s="114">
        <v>0</v>
      </c>
      <c r="AR219" s="114">
        <v>0</v>
      </c>
      <c r="AS219" s="114">
        <v>0</v>
      </c>
      <c r="AT219" s="114">
        <v>0</v>
      </c>
      <c r="AU219" s="114">
        <v>0</v>
      </c>
      <c r="AV219" s="114">
        <v>0</v>
      </c>
      <c r="AW219" s="114">
        <v>0</v>
      </c>
      <c r="AX219" s="114">
        <v>0</v>
      </c>
      <c r="AY219" s="114">
        <v>0</v>
      </c>
    </row>
    <row r="220" spans="1:51" x14ac:dyDescent="0.2">
      <c r="A220" s="113"/>
      <c r="B220" s="122">
        <v>12</v>
      </c>
      <c r="C220" s="110">
        <v>0</v>
      </c>
      <c r="D220" s="114">
        <v>0</v>
      </c>
      <c r="E220" s="114">
        <v>0</v>
      </c>
      <c r="F220" s="114">
        <v>0</v>
      </c>
      <c r="G220" s="114">
        <v>0</v>
      </c>
      <c r="H220" s="114">
        <v>0</v>
      </c>
      <c r="I220" s="114">
        <v>0</v>
      </c>
      <c r="J220" s="114">
        <v>0</v>
      </c>
      <c r="K220" s="114">
        <v>0</v>
      </c>
      <c r="L220" s="114">
        <v>0</v>
      </c>
      <c r="M220" s="114">
        <v>0</v>
      </c>
      <c r="N220" s="114">
        <v>0</v>
      </c>
      <c r="O220" s="114">
        <v>0</v>
      </c>
      <c r="P220" s="114">
        <v>0</v>
      </c>
      <c r="Q220" s="114">
        <v>0</v>
      </c>
      <c r="R220" s="114">
        <v>0</v>
      </c>
      <c r="S220" s="114">
        <v>0</v>
      </c>
      <c r="T220" s="114">
        <v>0</v>
      </c>
      <c r="U220" s="114">
        <v>0</v>
      </c>
      <c r="V220" s="114">
        <v>0</v>
      </c>
      <c r="W220" s="114">
        <v>0</v>
      </c>
      <c r="X220" s="114">
        <v>0</v>
      </c>
      <c r="Y220" s="114">
        <v>0</v>
      </c>
      <c r="Z220" s="114">
        <v>0</v>
      </c>
      <c r="AA220" s="114">
        <v>0</v>
      </c>
      <c r="AB220" s="114">
        <v>0</v>
      </c>
      <c r="AC220" s="114">
        <v>0</v>
      </c>
      <c r="AD220" s="114">
        <v>0</v>
      </c>
      <c r="AE220" s="114">
        <v>0</v>
      </c>
      <c r="AF220" s="114">
        <v>0</v>
      </c>
      <c r="AG220" s="114">
        <v>0</v>
      </c>
      <c r="AH220" s="114">
        <v>0</v>
      </c>
      <c r="AI220" s="114">
        <v>0</v>
      </c>
      <c r="AJ220" s="114">
        <v>0</v>
      </c>
      <c r="AK220" s="114">
        <v>0</v>
      </c>
      <c r="AL220" s="114">
        <v>0</v>
      </c>
      <c r="AM220" s="114">
        <v>0</v>
      </c>
      <c r="AN220" s="114">
        <v>0</v>
      </c>
      <c r="AO220" s="114">
        <v>0</v>
      </c>
      <c r="AP220" s="114">
        <v>0</v>
      </c>
      <c r="AQ220" s="114">
        <v>0</v>
      </c>
      <c r="AR220" s="114">
        <v>0</v>
      </c>
      <c r="AS220" s="114">
        <v>0</v>
      </c>
      <c r="AT220" s="114">
        <v>0</v>
      </c>
      <c r="AU220" s="114">
        <v>0</v>
      </c>
      <c r="AV220" s="114">
        <v>0</v>
      </c>
      <c r="AW220" s="114">
        <v>0</v>
      </c>
      <c r="AX220" s="114">
        <v>0</v>
      </c>
      <c r="AY220" s="114">
        <v>0</v>
      </c>
    </row>
    <row r="221" spans="1:51" x14ac:dyDescent="0.2">
      <c r="A221" s="113"/>
      <c r="B221" s="123">
        <v>13</v>
      </c>
      <c r="C221" s="110">
        <v>0</v>
      </c>
      <c r="D221" s="114">
        <v>0</v>
      </c>
      <c r="E221" s="114">
        <v>0</v>
      </c>
      <c r="F221" s="114">
        <v>0</v>
      </c>
      <c r="G221" s="114">
        <v>0</v>
      </c>
      <c r="H221" s="114">
        <v>0</v>
      </c>
      <c r="I221" s="114">
        <v>0</v>
      </c>
      <c r="J221" s="114">
        <v>0</v>
      </c>
      <c r="K221" s="114">
        <v>0</v>
      </c>
      <c r="L221" s="114">
        <v>0</v>
      </c>
      <c r="M221" s="114">
        <v>0</v>
      </c>
      <c r="N221" s="114">
        <v>0</v>
      </c>
      <c r="O221" s="114">
        <v>0</v>
      </c>
      <c r="P221" s="114">
        <v>0</v>
      </c>
      <c r="Q221" s="114">
        <v>0</v>
      </c>
      <c r="R221" s="114">
        <v>0</v>
      </c>
      <c r="S221" s="114">
        <v>0</v>
      </c>
      <c r="T221" s="114">
        <v>0</v>
      </c>
      <c r="U221" s="114">
        <v>0</v>
      </c>
      <c r="V221" s="114">
        <v>0</v>
      </c>
      <c r="W221" s="114">
        <v>0</v>
      </c>
      <c r="X221" s="114">
        <v>0</v>
      </c>
      <c r="Y221" s="114">
        <v>0</v>
      </c>
      <c r="Z221" s="114">
        <v>0</v>
      </c>
      <c r="AA221" s="114">
        <v>0</v>
      </c>
      <c r="AB221" s="114">
        <v>0</v>
      </c>
      <c r="AC221" s="114">
        <v>0</v>
      </c>
      <c r="AD221" s="114">
        <v>0</v>
      </c>
      <c r="AE221" s="114">
        <v>0</v>
      </c>
      <c r="AF221" s="114">
        <v>0</v>
      </c>
      <c r="AG221" s="114">
        <v>0</v>
      </c>
      <c r="AH221" s="114">
        <v>0</v>
      </c>
      <c r="AI221" s="114">
        <v>0</v>
      </c>
      <c r="AJ221" s="114">
        <v>0</v>
      </c>
      <c r="AK221" s="114">
        <v>0</v>
      </c>
      <c r="AL221" s="114">
        <v>0</v>
      </c>
      <c r="AM221" s="114">
        <v>0</v>
      </c>
      <c r="AN221" s="114">
        <v>0</v>
      </c>
      <c r="AO221" s="114">
        <v>0</v>
      </c>
      <c r="AP221" s="114">
        <v>0</v>
      </c>
      <c r="AQ221" s="114">
        <v>0</v>
      </c>
      <c r="AR221" s="114">
        <v>0</v>
      </c>
      <c r="AS221" s="114">
        <v>0</v>
      </c>
      <c r="AT221" s="114">
        <v>0</v>
      </c>
      <c r="AU221" s="114">
        <v>0</v>
      </c>
      <c r="AV221" s="114">
        <v>0</v>
      </c>
      <c r="AW221" s="114">
        <v>0</v>
      </c>
      <c r="AX221" s="114">
        <v>0</v>
      </c>
      <c r="AY221" s="114">
        <v>0</v>
      </c>
    </row>
    <row r="222" spans="1:51" x14ac:dyDescent="0.2">
      <c r="A222" s="113"/>
      <c r="B222" s="123">
        <v>14</v>
      </c>
      <c r="C222" s="110">
        <v>0</v>
      </c>
      <c r="D222" s="114">
        <v>0</v>
      </c>
      <c r="E222" s="114">
        <v>0</v>
      </c>
      <c r="F222" s="114">
        <v>0</v>
      </c>
      <c r="G222" s="114">
        <v>0</v>
      </c>
      <c r="H222" s="114">
        <v>0</v>
      </c>
      <c r="I222" s="114">
        <v>0</v>
      </c>
      <c r="J222" s="114">
        <v>0</v>
      </c>
      <c r="K222" s="114">
        <v>0</v>
      </c>
      <c r="L222" s="114">
        <v>0</v>
      </c>
      <c r="M222" s="114">
        <v>0</v>
      </c>
      <c r="N222" s="114">
        <v>0</v>
      </c>
      <c r="O222" s="114">
        <v>0</v>
      </c>
      <c r="P222" s="114">
        <v>0</v>
      </c>
      <c r="Q222" s="114">
        <v>0</v>
      </c>
      <c r="R222" s="114">
        <v>0</v>
      </c>
      <c r="S222" s="114">
        <v>0</v>
      </c>
      <c r="T222" s="114">
        <v>0</v>
      </c>
      <c r="U222" s="114">
        <v>0</v>
      </c>
      <c r="V222" s="114">
        <v>0</v>
      </c>
      <c r="W222" s="114">
        <v>0</v>
      </c>
      <c r="X222" s="114">
        <v>0</v>
      </c>
      <c r="Y222" s="114">
        <v>0</v>
      </c>
      <c r="Z222" s="114">
        <v>0</v>
      </c>
      <c r="AA222" s="114">
        <v>0</v>
      </c>
      <c r="AB222" s="114">
        <v>0</v>
      </c>
      <c r="AC222" s="114">
        <v>0</v>
      </c>
      <c r="AD222" s="114">
        <v>0</v>
      </c>
      <c r="AE222" s="114">
        <v>0</v>
      </c>
      <c r="AF222" s="114">
        <v>0</v>
      </c>
      <c r="AG222" s="114">
        <v>0</v>
      </c>
      <c r="AH222" s="114">
        <v>0</v>
      </c>
      <c r="AI222" s="114">
        <v>0</v>
      </c>
      <c r="AJ222" s="114">
        <v>0</v>
      </c>
      <c r="AK222" s="114">
        <v>0</v>
      </c>
      <c r="AL222" s="114">
        <v>0</v>
      </c>
      <c r="AM222" s="114">
        <v>0</v>
      </c>
      <c r="AN222" s="114">
        <v>0</v>
      </c>
      <c r="AO222" s="114">
        <v>0</v>
      </c>
      <c r="AP222" s="114">
        <v>0</v>
      </c>
      <c r="AQ222" s="114">
        <v>0</v>
      </c>
      <c r="AR222" s="114">
        <v>0</v>
      </c>
      <c r="AS222" s="114">
        <v>0</v>
      </c>
      <c r="AT222" s="114">
        <v>0</v>
      </c>
      <c r="AU222" s="114">
        <v>0</v>
      </c>
      <c r="AV222" s="114">
        <v>0</v>
      </c>
      <c r="AW222" s="114">
        <v>0</v>
      </c>
      <c r="AX222" s="114">
        <v>0</v>
      </c>
      <c r="AY222" s="114">
        <v>0</v>
      </c>
    </row>
    <row r="223" spans="1:51" x14ac:dyDescent="0.2">
      <c r="A223" s="113"/>
      <c r="B223" s="123">
        <v>15</v>
      </c>
      <c r="C223" s="110">
        <v>0</v>
      </c>
      <c r="D223" s="114">
        <v>0</v>
      </c>
      <c r="E223" s="114">
        <v>0</v>
      </c>
      <c r="F223" s="114">
        <v>0</v>
      </c>
      <c r="G223" s="114">
        <v>0</v>
      </c>
      <c r="H223" s="114">
        <v>0</v>
      </c>
      <c r="I223" s="114">
        <v>0</v>
      </c>
      <c r="J223" s="114">
        <v>0</v>
      </c>
      <c r="K223" s="114">
        <v>0</v>
      </c>
      <c r="L223" s="114">
        <v>0</v>
      </c>
      <c r="M223" s="114">
        <v>0</v>
      </c>
      <c r="N223" s="114">
        <v>0</v>
      </c>
      <c r="O223" s="114">
        <v>0</v>
      </c>
      <c r="P223" s="114">
        <v>0</v>
      </c>
      <c r="Q223" s="114">
        <v>0</v>
      </c>
      <c r="R223" s="114">
        <v>0</v>
      </c>
      <c r="S223" s="114">
        <v>0</v>
      </c>
      <c r="T223" s="114">
        <v>0</v>
      </c>
      <c r="U223" s="114">
        <v>0</v>
      </c>
      <c r="V223" s="114">
        <v>0</v>
      </c>
      <c r="W223" s="114">
        <v>0</v>
      </c>
      <c r="X223" s="114">
        <v>0</v>
      </c>
      <c r="Y223" s="114">
        <v>0</v>
      </c>
      <c r="Z223" s="114">
        <v>0</v>
      </c>
      <c r="AA223" s="114">
        <v>0</v>
      </c>
      <c r="AB223" s="114">
        <v>0</v>
      </c>
      <c r="AC223" s="114">
        <v>0</v>
      </c>
      <c r="AD223" s="114">
        <v>0</v>
      </c>
      <c r="AE223" s="114">
        <v>0</v>
      </c>
      <c r="AF223" s="114">
        <v>0</v>
      </c>
      <c r="AG223" s="114">
        <v>0</v>
      </c>
      <c r="AH223" s="114">
        <v>0</v>
      </c>
      <c r="AI223" s="114">
        <v>0</v>
      </c>
      <c r="AJ223" s="114">
        <v>0</v>
      </c>
      <c r="AK223" s="114">
        <v>0</v>
      </c>
      <c r="AL223" s="114">
        <v>0</v>
      </c>
      <c r="AM223" s="114">
        <v>0</v>
      </c>
      <c r="AN223" s="114">
        <v>0</v>
      </c>
      <c r="AO223" s="114">
        <v>0</v>
      </c>
      <c r="AP223" s="114">
        <v>0</v>
      </c>
      <c r="AQ223" s="114">
        <v>0</v>
      </c>
      <c r="AR223" s="114">
        <v>0</v>
      </c>
      <c r="AS223" s="114">
        <v>0</v>
      </c>
      <c r="AT223" s="114">
        <v>0</v>
      </c>
      <c r="AU223" s="114">
        <v>0</v>
      </c>
      <c r="AV223" s="114">
        <v>0</v>
      </c>
      <c r="AW223" s="114">
        <v>0</v>
      </c>
      <c r="AX223" s="114">
        <v>0</v>
      </c>
      <c r="AY223" s="114">
        <v>0</v>
      </c>
    </row>
    <row r="224" spans="1:51" x14ac:dyDescent="0.2">
      <c r="A224" s="113"/>
      <c r="B224" s="123">
        <v>16</v>
      </c>
      <c r="C224" s="110">
        <v>0</v>
      </c>
      <c r="D224" s="114">
        <v>0</v>
      </c>
      <c r="E224" s="114">
        <v>0</v>
      </c>
      <c r="F224" s="114">
        <v>0</v>
      </c>
      <c r="G224" s="114">
        <v>0</v>
      </c>
      <c r="H224" s="114">
        <v>0</v>
      </c>
      <c r="I224" s="114">
        <v>0</v>
      </c>
      <c r="J224" s="114">
        <v>0</v>
      </c>
      <c r="K224" s="114">
        <v>0</v>
      </c>
      <c r="L224" s="114">
        <v>0</v>
      </c>
      <c r="M224" s="114">
        <v>0</v>
      </c>
      <c r="N224" s="114">
        <v>0</v>
      </c>
      <c r="O224" s="114">
        <v>0</v>
      </c>
      <c r="P224" s="114">
        <v>0</v>
      </c>
      <c r="Q224" s="114">
        <v>0</v>
      </c>
      <c r="R224" s="114">
        <v>0</v>
      </c>
      <c r="S224" s="114">
        <v>0</v>
      </c>
      <c r="T224" s="114">
        <v>0</v>
      </c>
      <c r="U224" s="114">
        <v>0</v>
      </c>
      <c r="V224" s="114">
        <v>0</v>
      </c>
      <c r="W224" s="114">
        <v>0</v>
      </c>
      <c r="X224" s="114">
        <v>0</v>
      </c>
      <c r="Y224" s="114">
        <v>0</v>
      </c>
      <c r="Z224" s="114">
        <v>0</v>
      </c>
      <c r="AA224" s="114">
        <v>0</v>
      </c>
      <c r="AB224" s="114">
        <v>0</v>
      </c>
      <c r="AC224" s="114">
        <v>0</v>
      </c>
      <c r="AD224" s="114">
        <v>0</v>
      </c>
      <c r="AE224" s="114">
        <v>0</v>
      </c>
      <c r="AF224" s="114">
        <v>0</v>
      </c>
      <c r="AG224" s="114">
        <v>0</v>
      </c>
      <c r="AH224" s="114">
        <v>0</v>
      </c>
      <c r="AI224" s="114">
        <v>0</v>
      </c>
      <c r="AJ224" s="114">
        <v>0</v>
      </c>
      <c r="AK224" s="114">
        <v>0</v>
      </c>
      <c r="AL224" s="114">
        <v>0</v>
      </c>
      <c r="AM224" s="114">
        <v>0</v>
      </c>
      <c r="AN224" s="114">
        <v>0</v>
      </c>
      <c r="AO224" s="114">
        <v>0</v>
      </c>
      <c r="AP224" s="114">
        <v>0</v>
      </c>
      <c r="AQ224" s="114">
        <v>0</v>
      </c>
      <c r="AR224" s="114">
        <v>0</v>
      </c>
      <c r="AS224" s="114">
        <v>0</v>
      </c>
      <c r="AT224" s="114">
        <v>0</v>
      </c>
      <c r="AU224" s="114">
        <v>0</v>
      </c>
      <c r="AV224" s="114">
        <v>0</v>
      </c>
      <c r="AW224" s="114">
        <v>0</v>
      </c>
      <c r="AX224" s="114">
        <v>0</v>
      </c>
      <c r="AY224" s="114">
        <v>0</v>
      </c>
    </row>
    <row r="225" spans="1:51" x14ac:dyDescent="0.2">
      <c r="A225" s="113"/>
      <c r="B225" s="123">
        <v>17</v>
      </c>
      <c r="C225" s="110">
        <v>0</v>
      </c>
      <c r="D225" s="114">
        <v>0</v>
      </c>
      <c r="E225" s="114">
        <v>0</v>
      </c>
      <c r="F225" s="114">
        <v>0</v>
      </c>
      <c r="G225" s="114">
        <v>0</v>
      </c>
      <c r="H225" s="114">
        <v>0</v>
      </c>
      <c r="I225" s="114">
        <v>0</v>
      </c>
      <c r="J225" s="114">
        <v>0</v>
      </c>
      <c r="K225" s="114">
        <v>0</v>
      </c>
      <c r="L225" s="114">
        <v>0</v>
      </c>
      <c r="M225" s="114">
        <v>0</v>
      </c>
      <c r="N225" s="114">
        <v>0</v>
      </c>
      <c r="O225" s="114">
        <v>0</v>
      </c>
      <c r="P225" s="114">
        <v>0</v>
      </c>
      <c r="Q225" s="114">
        <v>0</v>
      </c>
      <c r="R225" s="114">
        <v>0</v>
      </c>
      <c r="S225" s="114">
        <v>0</v>
      </c>
      <c r="T225" s="114">
        <v>0</v>
      </c>
      <c r="U225" s="114">
        <v>0</v>
      </c>
      <c r="V225" s="114">
        <v>0</v>
      </c>
      <c r="W225" s="114">
        <v>0</v>
      </c>
      <c r="X225" s="114">
        <v>0</v>
      </c>
      <c r="Y225" s="114">
        <v>0</v>
      </c>
      <c r="Z225" s="114">
        <v>0</v>
      </c>
      <c r="AA225" s="114">
        <v>0</v>
      </c>
      <c r="AB225" s="114">
        <v>0</v>
      </c>
      <c r="AC225" s="114">
        <v>0</v>
      </c>
      <c r="AD225" s="114">
        <v>0</v>
      </c>
      <c r="AE225" s="114">
        <v>0</v>
      </c>
      <c r="AF225" s="114">
        <v>0</v>
      </c>
      <c r="AG225" s="114">
        <v>0</v>
      </c>
      <c r="AH225" s="114">
        <v>0</v>
      </c>
      <c r="AI225" s="114">
        <v>0</v>
      </c>
      <c r="AJ225" s="114">
        <v>0</v>
      </c>
      <c r="AK225" s="114">
        <v>0</v>
      </c>
      <c r="AL225" s="114">
        <v>0</v>
      </c>
      <c r="AM225" s="114">
        <v>0</v>
      </c>
      <c r="AN225" s="114">
        <v>0</v>
      </c>
      <c r="AO225" s="114">
        <v>0</v>
      </c>
      <c r="AP225" s="114">
        <v>0</v>
      </c>
      <c r="AQ225" s="114">
        <v>0</v>
      </c>
      <c r="AR225" s="114">
        <v>0</v>
      </c>
      <c r="AS225" s="114">
        <v>0</v>
      </c>
      <c r="AT225" s="114">
        <v>0</v>
      </c>
      <c r="AU225" s="114">
        <v>0</v>
      </c>
      <c r="AV225" s="114">
        <v>0</v>
      </c>
      <c r="AW225" s="114">
        <v>0</v>
      </c>
      <c r="AX225" s="114">
        <v>0</v>
      </c>
      <c r="AY225" s="114">
        <v>0</v>
      </c>
    </row>
    <row r="226" spans="1:51" x14ac:dyDescent="0.2">
      <c r="A226" s="113"/>
      <c r="B226" s="123">
        <v>18</v>
      </c>
      <c r="C226" s="110">
        <v>0</v>
      </c>
      <c r="D226" s="114">
        <v>0</v>
      </c>
      <c r="E226" s="114">
        <v>0</v>
      </c>
      <c r="F226" s="114">
        <v>0</v>
      </c>
      <c r="G226" s="114">
        <v>0</v>
      </c>
      <c r="H226" s="114">
        <v>0</v>
      </c>
      <c r="I226" s="114">
        <v>0</v>
      </c>
      <c r="J226" s="114">
        <v>0</v>
      </c>
      <c r="K226" s="114">
        <v>0</v>
      </c>
      <c r="L226" s="114">
        <v>0</v>
      </c>
      <c r="M226" s="114">
        <v>0</v>
      </c>
      <c r="N226" s="114">
        <v>0</v>
      </c>
      <c r="O226" s="114">
        <v>0</v>
      </c>
      <c r="P226" s="114">
        <v>0</v>
      </c>
      <c r="Q226" s="114">
        <v>0</v>
      </c>
      <c r="R226" s="114">
        <v>0</v>
      </c>
      <c r="S226" s="114">
        <v>0</v>
      </c>
      <c r="T226" s="114">
        <v>0</v>
      </c>
      <c r="U226" s="114">
        <v>0</v>
      </c>
      <c r="V226" s="114">
        <v>0</v>
      </c>
      <c r="W226" s="114">
        <v>0</v>
      </c>
      <c r="X226" s="114">
        <v>0</v>
      </c>
      <c r="Y226" s="114">
        <v>0</v>
      </c>
      <c r="Z226" s="114">
        <v>0</v>
      </c>
      <c r="AA226" s="114">
        <v>0</v>
      </c>
      <c r="AB226" s="114">
        <v>0</v>
      </c>
      <c r="AC226" s="114">
        <v>0</v>
      </c>
      <c r="AD226" s="114">
        <v>0</v>
      </c>
      <c r="AE226" s="114">
        <v>0</v>
      </c>
      <c r="AF226" s="114">
        <v>0</v>
      </c>
      <c r="AG226" s="114">
        <v>0</v>
      </c>
      <c r="AH226" s="114">
        <v>0</v>
      </c>
      <c r="AI226" s="114">
        <v>0</v>
      </c>
      <c r="AJ226" s="114">
        <v>0</v>
      </c>
      <c r="AK226" s="114">
        <v>0</v>
      </c>
      <c r="AL226" s="114">
        <v>0</v>
      </c>
      <c r="AM226" s="114">
        <v>0</v>
      </c>
      <c r="AN226" s="114">
        <v>0</v>
      </c>
      <c r="AO226" s="114">
        <v>0</v>
      </c>
      <c r="AP226" s="114">
        <v>0</v>
      </c>
      <c r="AQ226" s="114">
        <v>0</v>
      </c>
      <c r="AR226" s="114">
        <v>0</v>
      </c>
      <c r="AS226" s="114">
        <v>0</v>
      </c>
      <c r="AT226" s="114">
        <v>0</v>
      </c>
      <c r="AU226" s="114">
        <v>0</v>
      </c>
      <c r="AV226" s="114">
        <v>0</v>
      </c>
      <c r="AW226" s="114">
        <v>0</v>
      </c>
      <c r="AX226" s="114">
        <v>0</v>
      </c>
      <c r="AY226" s="114">
        <v>0</v>
      </c>
    </row>
    <row r="227" spans="1:51" x14ac:dyDescent="0.2">
      <c r="A227" s="113"/>
      <c r="B227" s="123">
        <v>19</v>
      </c>
      <c r="C227" s="110">
        <v>0</v>
      </c>
      <c r="D227" s="114">
        <v>0</v>
      </c>
      <c r="E227" s="114">
        <v>0</v>
      </c>
      <c r="F227" s="114">
        <v>0</v>
      </c>
      <c r="G227" s="114">
        <v>0</v>
      </c>
      <c r="H227" s="114">
        <v>0</v>
      </c>
      <c r="I227" s="114">
        <v>0</v>
      </c>
      <c r="J227" s="114">
        <v>0</v>
      </c>
      <c r="K227" s="114">
        <v>0</v>
      </c>
      <c r="L227" s="114">
        <v>0</v>
      </c>
      <c r="M227" s="114">
        <v>0</v>
      </c>
      <c r="N227" s="114">
        <v>0</v>
      </c>
      <c r="O227" s="114">
        <v>0</v>
      </c>
      <c r="P227" s="114">
        <v>0</v>
      </c>
      <c r="Q227" s="114">
        <v>0</v>
      </c>
      <c r="R227" s="114">
        <v>0</v>
      </c>
      <c r="S227" s="114">
        <v>0</v>
      </c>
      <c r="T227" s="114">
        <v>0</v>
      </c>
      <c r="U227" s="114">
        <v>0</v>
      </c>
      <c r="V227" s="114">
        <v>0</v>
      </c>
      <c r="W227" s="114">
        <v>0</v>
      </c>
      <c r="X227" s="114">
        <v>0</v>
      </c>
      <c r="Y227" s="114">
        <v>0</v>
      </c>
      <c r="Z227" s="114">
        <v>0</v>
      </c>
      <c r="AA227" s="114">
        <v>0</v>
      </c>
      <c r="AB227" s="114">
        <v>0</v>
      </c>
      <c r="AC227" s="114">
        <v>0</v>
      </c>
      <c r="AD227" s="114">
        <v>0</v>
      </c>
      <c r="AE227" s="114">
        <v>0</v>
      </c>
      <c r="AF227" s="114">
        <v>0</v>
      </c>
      <c r="AG227" s="114">
        <v>0</v>
      </c>
      <c r="AH227" s="114">
        <v>0</v>
      </c>
      <c r="AI227" s="114">
        <v>0</v>
      </c>
      <c r="AJ227" s="114">
        <v>0</v>
      </c>
      <c r="AK227" s="114">
        <v>0</v>
      </c>
      <c r="AL227" s="114">
        <v>0</v>
      </c>
      <c r="AM227" s="114">
        <v>0</v>
      </c>
      <c r="AN227" s="114">
        <v>0</v>
      </c>
      <c r="AO227" s="114">
        <v>0</v>
      </c>
      <c r="AP227" s="114">
        <v>0</v>
      </c>
      <c r="AQ227" s="114">
        <v>0</v>
      </c>
      <c r="AR227" s="114">
        <v>0</v>
      </c>
      <c r="AS227" s="114">
        <v>0</v>
      </c>
      <c r="AT227" s="114">
        <v>0</v>
      </c>
      <c r="AU227" s="114">
        <v>0</v>
      </c>
      <c r="AV227" s="114">
        <v>0</v>
      </c>
      <c r="AW227" s="114">
        <v>0</v>
      </c>
      <c r="AX227" s="114">
        <v>0</v>
      </c>
      <c r="AY227" s="114">
        <v>0</v>
      </c>
    </row>
    <row r="228" spans="1:51" x14ac:dyDescent="0.2">
      <c r="A228" s="113"/>
      <c r="B228" s="123">
        <v>20</v>
      </c>
      <c r="C228" s="110">
        <v>0</v>
      </c>
      <c r="D228" s="114">
        <v>0</v>
      </c>
      <c r="E228" s="114">
        <v>0</v>
      </c>
      <c r="F228" s="114">
        <v>0</v>
      </c>
      <c r="G228" s="114">
        <v>0</v>
      </c>
      <c r="H228" s="114">
        <v>0</v>
      </c>
      <c r="I228" s="114">
        <v>0</v>
      </c>
      <c r="J228" s="114">
        <v>0</v>
      </c>
      <c r="K228" s="114">
        <v>0</v>
      </c>
      <c r="L228" s="114">
        <v>0</v>
      </c>
      <c r="M228" s="114">
        <v>0</v>
      </c>
      <c r="N228" s="114">
        <v>0</v>
      </c>
      <c r="O228" s="114">
        <v>0</v>
      </c>
      <c r="P228" s="114">
        <v>0</v>
      </c>
      <c r="Q228" s="114">
        <v>0</v>
      </c>
      <c r="R228" s="114">
        <v>0</v>
      </c>
      <c r="S228" s="114">
        <v>0</v>
      </c>
      <c r="T228" s="114">
        <v>0</v>
      </c>
      <c r="U228" s="114">
        <v>0</v>
      </c>
      <c r="V228" s="114">
        <v>0</v>
      </c>
      <c r="W228" s="114">
        <v>0</v>
      </c>
      <c r="X228" s="114">
        <v>0</v>
      </c>
      <c r="Y228" s="114">
        <v>0</v>
      </c>
      <c r="Z228" s="114">
        <v>0</v>
      </c>
      <c r="AA228" s="114">
        <v>0</v>
      </c>
      <c r="AB228" s="114">
        <v>0</v>
      </c>
      <c r="AC228" s="114">
        <v>0</v>
      </c>
      <c r="AD228" s="114">
        <v>0</v>
      </c>
      <c r="AE228" s="114">
        <v>0</v>
      </c>
      <c r="AF228" s="114">
        <v>0</v>
      </c>
      <c r="AG228" s="114">
        <v>0</v>
      </c>
      <c r="AH228" s="114">
        <v>0</v>
      </c>
      <c r="AI228" s="114">
        <v>0</v>
      </c>
      <c r="AJ228" s="114">
        <v>0</v>
      </c>
      <c r="AK228" s="114">
        <v>0</v>
      </c>
      <c r="AL228" s="114">
        <v>0</v>
      </c>
      <c r="AM228" s="114">
        <v>0</v>
      </c>
      <c r="AN228" s="114">
        <v>0</v>
      </c>
      <c r="AO228" s="114">
        <v>0</v>
      </c>
      <c r="AP228" s="114">
        <v>0</v>
      </c>
      <c r="AQ228" s="114">
        <v>0</v>
      </c>
      <c r="AR228" s="114">
        <v>0</v>
      </c>
      <c r="AS228" s="114">
        <v>0</v>
      </c>
      <c r="AT228" s="114">
        <v>0</v>
      </c>
      <c r="AU228" s="114">
        <v>0</v>
      </c>
      <c r="AV228" s="114">
        <v>0</v>
      </c>
      <c r="AW228" s="114">
        <v>0</v>
      </c>
      <c r="AX228" s="114">
        <v>0</v>
      </c>
      <c r="AY228" s="114">
        <v>0</v>
      </c>
    </row>
    <row r="229" spans="1:51" x14ac:dyDescent="0.2">
      <c r="A229" s="113"/>
      <c r="B229" s="123">
        <v>21</v>
      </c>
      <c r="C229" s="110">
        <v>0</v>
      </c>
      <c r="D229" s="114">
        <v>0</v>
      </c>
      <c r="E229" s="114">
        <v>0</v>
      </c>
      <c r="F229" s="114">
        <v>0</v>
      </c>
      <c r="G229" s="114">
        <v>0</v>
      </c>
      <c r="H229" s="114">
        <v>0</v>
      </c>
      <c r="I229" s="114">
        <v>0</v>
      </c>
      <c r="J229" s="114">
        <v>0</v>
      </c>
      <c r="K229" s="114">
        <v>0</v>
      </c>
      <c r="L229" s="114">
        <v>0</v>
      </c>
      <c r="M229" s="114">
        <v>0</v>
      </c>
      <c r="N229" s="114">
        <v>0</v>
      </c>
      <c r="O229" s="114">
        <v>0</v>
      </c>
      <c r="P229" s="114">
        <v>0</v>
      </c>
      <c r="Q229" s="114">
        <v>0</v>
      </c>
      <c r="R229" s="114">
        <v>0</v>
      </c>
      <c r="S229" s="114">
        <v>0</v>
      </c>
      <c r="T229" s="114">
        <v>0</v>
      </c>
      <c r="U229" s="114">
        <v>0</v>
      </c>
      <c r="V229" s="114">
        <v>0</v>
      </c>
      <c r="W229" s="114">
        <v>0</v>
      </c>
      <c r="X229" s="114">
        <v>0</v>
      </c>
      <c r="Y229" s="114">
        <v>0</v>
      </c>
      <c r="Z229" s="114">
        <v>0</v>
      </c>
      <c r="AA229" s="114">
        <v>0</v>
      </c>
      <c r="AB229" s="114">
        <v>0</v>
      </c>
      <c r="AC229" s="114">
        <v>0</v>
      </c>
      <c r="AD229" s="114">
        <v>0</v>
      </c>
      <c r="AE229" s="114">
        <v>0</v>
      </c>
      <c r="AF229" s="114">
        <v>0</v>
      </c>
      <c r="AG229" s="114">
        <v>0</v>
      </c>
      <c r="AH229" s="114">
        <v>0</v>
      </c>
      <c r="AI229" s="114">
        <v>0</v>
      </c>
      <c r="AJ229" s="114">
        <v>0</v>
      </c>
      <c r="AK229" s="114">
        <v>0</v>
      </c>
      <c r="AL229" s="114">
        <v>0</v>
      </c>
      <c r="AM229" s="114">
        <v>0</v>
      </c>
      <c r="AN229" s="114">
        <v>0</v>
      </c>
      <c r="AO229" s="114">
        <v>0</v>
      </c>
      <c r="AP229" s="114">
        <v>0</v>
      </c>
      <c r="AQ229" s="114">
        <v>0</v>
      </c>
      <c r="AR229" s="114">
        <v>0</v>
      </c>
      <c r="AS229" s="114">
        <v>0</v>
      </c>
      <c r="AT229" s="114">
        <v>0</v>
      </c>
      <c r="AU229" s="114">
        <v>0</v>
      </c>
      <c r="AV229" s="114">
        <v>0</v>
      </c>
      <c r="AW229" s="114">
        <v>0</v>
      </c>
      <c r="AX229" s="114">
        <v>0</v>
      </c>
      <c r="AY229" s="114">
        <v>0</v>
      </c>
    </row>
    <row r="230" spans="1:51" x14ac:dyDescent="0.2">
      <c r="A230" s="113"/>
      <c r="B230" s="123">
        <v>22</v>
      </c>
      <c r="C230" s="110">
        <v>0</v>
      </c>
      <c r="D230" s="114">
        <v>0</v>
      </c>
      <c r="E230" s="114">
        <v>0</v>
      </c>
      <c r="F230" s="114">
        <v>0</v>
      </c>
      <c r="G230" s="114">
        <v>0</v>
      </c>
      <c r="H230" s="114">
        <v>0</v>
      </c>
      <c r="I230" s="114">
        <v>0</v>
      </c>
      <c r="J230" s="114">
        <v>0</v>
      </c>
      <c r="K230" s="114">
        <v>0</v>
      </c>
      <c r="L230" s="114">
        <v>0</v>
      </c>
      <c r="M230" s="114">
        <v>0</v>
      </c>
      <c r="N230" s="114">
        <v>0</v>
      </c>
      <c r="O230" s="114">
        <v>0</v>
      </c>
      <c r="P230" s="114">
        <v>0</v>
      </c>
      <c r="Q230" s="114">
        <v>0</v>
      </c>
      <c r="R230" s="114">
        <v>0</v>
      </c>
      <c r="S230" s="114">
        <v>0</v>
      </c>
      <c r="T230" s="114">
        <v>0</v>
      </c>
      <c r="U230" s="114">
        <v>0</v>
      </c>
      <c r="V230" s="114">
        <v>0</v>
      </c>
      <c r="W230" s="114">
        <v>0</v>
      </c>
      <c r="X230" s="114">
        <v>0</v>
      </c>
      <c r="Y230" s="114">
        <v>0</v>
      </c>
      <c r="Z230" s="114">
        <v>0</v>
      </c>
      <c r="AA230" s="114">
        <v>0</v>
      </c>
      <c r="AB230" s="114">
        <v>0</v>
      </c>
      <c r="AC230" s="114">
        <v>0</v>
      </c>
      <c r="AD230" s="114">
        <v>0</v>
      </c>
      <c r="AE230" s="114">
        <v>0</v>
      </c>
      <c r="AF230" s="114">
        <v>0</v>
      </c>
      <c r="AG230" s="114">
        <v>0</v>
      </c>
      <c r="AH230" s="114">
        <v>0</v>
      </c>
      <c r="AI230" s="114">
        <v>0</v>
      </c>
      <c r="AJ230" s="114">
        <v>0</v>
      </c>
      <c r="AK230" s="114">
        <v>0</v>
      </c>
      <c r="AL230" s="114">
        <v>0</v>
      </c>
      <c r="AM230" s="114">
        <v>0</v>
      </c>
      <c r="AN230" s="114">
        <v>0</v>
      </c>
      <c r="AO230" s="114">
        <v>0</v>
      </c>
      <c r="AP230" s="114">
        <v>0</v>
      </c>
      <c r="AQ230" s="114">
        <v>0</v>
      </c>
      <c r="AR230" s="114">
        <v>0</v>
      </c>
      <c r="AS230" s="114">
        <v>0</v>
      </c>
      <c r="AT230" s="114">
        <v>0</v>
      </c>
      <c r="AU230" s="114">
        <v>0</v>
      </c>
      <c r="AV230" s="114">
        <v>0</v>
      </c>
      <c r="AW230" s="114">
        <v>0</v>
      </c>
      <c r="AX230" s="114">
        <v>0</v>
      </c>
      <c r="AY230" s="114">
        <v>0</v>
      </c>
    </row>
    <row r="231" spans="1:51" x14ac:dyDescent="0.2">
      <c r="A231" s="113"/>
      <c r="B231" s="123">
        <v>23</v>
      </c>
      <c r="C231" s="110">
        <v>0</v>
      </c>
      <c r="D231" s="114">
        <v>0</v>
      </c>
      <c r="E231" s="114">
        <v>0</v>
      </c>
      <c r="F231" s="114">
        <v>0</v>
      </c>
      <c r="G231" s="114">
        <v>0</v>
      </c>
      <c r="H231" s="114">
        <v>0</v>
      </c>
      <c r="I231" s="114">
        <v>0</v>
      </c>
      <c r="J231" s="114">
        <v>0</v>
      </c>
      <c r="K231" s="114">
        <v>0</v>
      </c>
      <c r="L231" s="114">
        <v>0</v>
      </c>
      <c r="M231" s="114">
        <v>0</v>
      </c>
      <c r="N231" s="114">
        <v>0</v>
      </c>
      <c r="O231" s="114">
        <v>0</v>
      </c>
      <c r="P231" s="114">
        <v>0</v>
      </c>
      <c r="Q231" s="114">
        <v>0</v>
      </c>
      <c r="R231" s="114">
        <v>0</v>
      </c>
      <c r="S231" s="114">
        <v>0</v>
      </c>
      <c r="T231" s="114">
        <v>0</v>
      </c>
      <c r="U231" s="114">
        <v>0</v>
      </c>
      <c r="V231" s="114">
        <v>0</v>
      </c>
      <c r="W231" s="114">
        <v>0</v>
      </c>
      <c r="X231" s="114">
        <v>0</v>
      </c>
      <c r="Y231" s="114">
        <v>0</v>
      </c>
      <c r="Z231" s="114">
        <v>0</v>
      </c>
      <c r="AA231" s="114">
        <v>0</v>
      </c>
      <c r="AB231" s="114">
        <v>0</v>
      </c>
      <c r="AC231" s="114">
        <v>0</v>
      </c>
      <c r="AD231" s="114">
        <v>0</v>
      </c>
      <c r="AE231" s="114">
        <v>0</v>
      </c>
      <c r="AF231" s="114">
        <v>0</v>
      </c>
      <c r="AG231" s="114">
        <v>0</v>
      </c>
      <c r="AH231" s="114">
        <v>0</v>
      </c>
      <c r="AI231" s="114">
        <v>0</v>
      </c>
      <c r="AJ231" s="114">
        <v>0</v>
      </c>
      <c r="AK231" s="114">
        <v>0</v>
      </c>
      <c r="AL231" s="114">
        <v>0</v>
      </c>
      <c r="AM231" s="114">
        <v>0</v>
      </c>
      <c r="AN231" s="114">
        <v>0</v>
      </c>
      <c r="AO231" s="114">
        <v>0</v>
      </c>
      <c r="AP231" s="114">
        <v>0</v>
      </c>
      <c r="AQ231" s="114">
        <v>0</v>
      </c>
      <c r="AR231" s="114">
        <v>0</v>
      </c>
      <c r="AS231" s="114">
        <v>0</v>
      </c>
      <c r="AT231" s="114">
        <v>0</v>
      </c>
      <c r="AU231" s="114">
        <v>0</v>
      </c>
      <c r="AV231" s="114">
        <v>0</v>
      </c>
      <c r="AW231" s="114">
        <v>0</v>
      </c>
      <c r="AX231" s="114">
        <v>0</v>
      </c>
      <c r="AY231" s="114">
        <v>0</v>
      </c>
    </row>
    <row r="232" spans="1:51" x14ac:dyDescent="0.2">
      <c r="A232" s="113"/>
      <c r="B232" s="123">
        <v>24</v>
      </c>
      <c r="C232" s="110">
        <v>0</v>
      </c>
      <c r="D232" s="114">
        <v>0</v>
      </c>
      <c r="E232" s="114">
        <v>0</v>
      </c>
      <c r="F232" s="114">
        <v>0</v>
      </c>
      <c r="G232" s="114">
        <v>0</v>
      </c>
      <c r="H232" s="114">
        <v>0</v>
      </c>
      <c r="I232" s="114">
        <v>0</v>
      </c>
      <c r="J232" s="114">
        <v>0</v>
      </c>
      <c r="K232" s="114">
        <v>0</v>
      </c>
      <c r="L232" s="114">
        <v>0</v>
      </c>
      <c r="M232" s="114">
        <v>0</v>
      </c>
      <c r="N232" s="114">
        <v>0</v>
      </c>
      <c r="O232" s="114">
        <v>0</v>
      </c>
      <c r="P232" s="114">
        <v>0</v>
      </c>
      <c r="Q232" s="114">
        <v>0</v>
      </c>
      <c r="R232" s="114">
        <v>0</v>
      </c>
      <c r="S232" s="114">
        <v>0</v>
      </c>
      <c r="T232" s="114">
        <v>0</v>
      </c>
      <c r="U232" s="114">
        <v>0</v>
      </c>
      <c r="V232" s="114">
        <v>0</v>
      </c>
      <c r="W232" s="114">
        <v>0</v>
      </c>
      <c r="X232" s="114">
        <v>0</v>
      </c>
      <c r="Y232" s="114">
        <v>0</v>
      </c>
      <c r="Z232" s="114">
        <v>0</v>
      </c>
      <c r="AA232" s="114">
        <v>0</v>
      </c>
      <c r="AB232" s="114">
        <v>0</v>
      </c>
      <c r="AC232" s="114">
        <v>0</v>
      </c>
      <c r="AD232" s="114">
        <v>0</v>
      </c>
      <c r="AE232" s="114">
        <v>0</v>
      </c>
      <c r="AF232" s="114">
        <v>0</v>
      </c>
      <c r="AG232" s="114">
        <v>0</v>
      </c>
      <c r="AH232" s="114">
        <v>0</v>
      </c>
      <c r="AI232" s="114">
        <v>0</v>
      </c>
      <c r="AJ232" s="114">
        <v>0</v>
      </c>
      <c r="AK232" s="114">
        <v>0</v>
      </c>
      <c r="AL232" s="114">
        <v>0</v>
      </c>
      <c r="AM232" s="114">
        <v>0</v>
      </c>
      <c r="AN232" s="114">
        <v>0</v>
      </c>
      <c r="AO232" s="114">
        <v>0</v>
      </c>
      <c r="AP232" s="114">
        <v>0</v>
      </c>
      <c r="AQ232" s="114">
        <v>0</v>
      </c>
      <c r="AR232" s="114">
        <v>0</v>
      </c>
      <c r="AS232" s="114">
        <v>0</v>
      </c>
      <c r="AT232" s="114">
        <v>0</v>
      </c>
      <c r="AU232" s="114">
        <v>0</v>
      </c>
      <c r="AV232" s="114">
        <v>0</v>
      </c>
      <c r="AW232" s="114">
        <v>0</v>
      </c>
      <c r="AX232" s="114">
        <v>0</v>
      </c>
      <c r="AY232" s="114">
        <v>0</v>
      </c>
    </row>
    <row r="233" spans="1:51" x14ac:dyDescent="0.2">
      <c r="A233" s="113"/>
      <c r="B233" s="130">
        <v>25</v>
      </c>
      <c r="C233" s="110">
        <v>0</v>
      </c>
      <c r="D233" s="114">
        <v>0</v>
      </c>
      <c r="E233" s="114">
        <v>0</v>
      </c>
      <c r="F233" s="114">
        <v>0</v>
      </c>
      <c r="G233" s="114">
        <v>0</v>
      </c>
      <c r="H233" s="114">
        <v>0</v>
      </c>
      <c r="I233" s="114">
        <v>0</v>
      </c>
      <c r="J233" s="114">
        <v>0</v>
      </c>
      <c r="K233" s="114">
        <v>0</v>
      </c>
      <c r="L233" s="114">
        <v>0</v>
      </c>
      <c r="M233" s="114">
        <v>0</v>
      </c>
      <c r="N233" s="114">
        <v>0</v>
      </c>
      <c r="O233" s="114">
        <v>0</v>
      </c>
      <c r="P233" s="114">
        <v>0</v>
      </c>
      <c r="Q233" s="114">
        <v>0</v>
      </c>
      <c r="R233" s="114">
        <v>0</v>
      </c>
      <c r="S233" s="114">
        <v>0</v>
      </c>
      <c r="T233" s="114">
        <v>0</v>
      </c>
      <c r="U233" s="114">
        <v>0</v>
      </c>
      <c r="V233" s="114">
        <v>0</v>
      </c>
      <c r="W233" s="114">
        <v>0</v>
      </c>
      <c r="X233" s="114">
        <v>0</v>
      </c>
      <c r="Y233" s="114">
        <v>0</v>
      </c>
      <c r="Z233" s="114">
        <v>0</v>
      </c>
      <c r="AA233" s="114">
        <v>0</v>
      </c>
      <c r="AB233" s="114">
        <v>0</v>
      </c>
      <c r="AC233" s="114">
        <v>0</v>
      </c>
      <c r="AD233" s="114">
        <v>0</v>
      </c>
      <c r="AE233" s="114">
        <v>0</v>
      </c>
      <c r="AF233" s="114">
        <v>0</v>
      </c>
      <c r="AG233" s="114">
        <v>0</v>
      </c>
      <c r="AH233" s="114">
        <v>0</v>
      </c>
      <c r="AI233" s="114">
        <v>0</v>
      </c>
      <c r="AJ233" s="114">
        <v>0</v>
      </c>
      <c r="AK233" s="114">
        <v>0</v>
      </c>
      <c r="AL233" s="114">
        <v>0</v>
      </c>
      <c r="AM233" s="114">
        <v>0</v>
      </c>
      <c r="AN233" s="114">
        <v>0</v>
      </c>
      <c r="AO233" s="114">
        <v>0</v>
      </c>
      <c r="AP233" s="114">
        <v>0</v>
      </c>
      <c r="AQ233" s="114">
        <v>0</v>
      </c>
      <c r="AR233" s="114">
        <v>0</v>
      </c>
      <c r="AS233" s="114">
        <v>0</v>
      </c>
      <c r="AT233" s="114">
        <v>0</v>
      </c>
      <c r="AU233" s="114">
        <v>0</v>
      </c>
      <c r="AV233" s="114">
        <v>0</v>
      </c>
      <c r="AW233" s="114">
        <v>0</v>
      </c>
      <c r="AX233" s="114">
        <v>0</v>
      </c>
      <c r="AY233" s="114">
        <v>0</v>
      </c>
    </row>
    <row r="234" spans="1:51" x14ac:dyDescent="0.2">
      <c r="A234" s="113"/>
      <c r="B234" s="130">
        <v>26</v>
      </c>
      <c r="C234" s="110">
        <v>0</v>
      </c>
      <c r="D234" s="114">
        <v>0</v>
      </c>
      <c r="E234" s="114">
        <v>0</v>
      </c>
      <c r="F234" s="114">
        <v>0</v>
      </c>
      <c r="G234" s="114">
        <v>0</v>
      </c>
      <c r="H234" s="114">
        <v>0</v>
      </c>
      <c r="I234" s="114">
        <v>0</v>
      </c>
      <c r="J234" s="114">
        <v>0</v>
      </c>
      <c r="K234" s="114">
        <v>0</v>
      </c>
      <c r="L234" s="114">
        <v>0</v>
      </c>
      <c r="M234" s="114">
        <v>0</v>
      </c>
      <c r="N234" s="114">
        <v>0</v>
      </c>
      <c r="O234" s="114">
        <v>0</v>
      </c>
      <c r="P234" s="114">
        <v>0</v>
      </c>
      <c r="Q234" s="114">
        <v>0</v>
      </c>
      <c r="R234" s="114">
        <v>0</v>
      </c>
      <c r="S234" s="114">
        <v>0</v>
      </c>
      <c r="T234" s="114">
        <v>0</v>
      </c>
      <c r="U234" s="114">
        <v>0</v>
      </c>
      <c r="V234" s="114">
        <v>0</v>
      </c>
      <c r="W234" s="114">
        <v>0</v>
      </c>
      <c r="X234" s="114">
        <v>0</v>
      </c>
      <c r="Y234" s="114">
        <v>0</v>
      </c>
      <c r="Z234" s="114">
        <v>0</v>
      </c>
      <c r="AA234" s="114">
        <v>0</v>
      </c>
      <c r="AB234" s="114">
        <v>0</v>
      </c>
      <c r="AC234" s="114">
        <v>0</v>
      </c>
      <c r="AD234" s="114">
        <v>0</v>
      </c>
      <c r="AE234" s="114">
        <v>0</v>
      </c>
      <c r="AF234" s="114">
        <v>0</v>
      </c>
      <c r="AG234" s="114">
        <v>0</v>
      </c>
      <c r="AH234" s="114">
        <v>0</v>
      </c>
      <c r="AI234" s="114">
        <v>0</v>
      </c>
      <c r="AJ234" s="114">
        <v>0</v>
      </c>
      <c r="AK234" s="114">
        <v>0</v>
      </c>
      <c r="AL234" s="114">
        <v>0</v>
      </c>
      <c r="AM234" s="114">
        <v>0</v>
      </c>
      <c r="AN234" s="114">
        <v>0</v>
      </c>
      <c r="AO234" s="114">
        <v>0</v>
      </c>
      <c r="AP234" s="114">
        <v>0</v>
      </c>
      <c r="AQ234" s="114">
        <v>0</v>
      </c>
      <c r="AR234" s="114">
        <v>0</v>
      </c>
      <c r="AS234" s="114">
        <v>0</v>
      </c>
      <c r="AT234" s="114">
        <v>0</v>
      </c>
      <c r="AU234" s="114">
        <v>0</v>
      </c>
      <c r="AV234" s="114">
        <v>0</v>
      </c>
      <c r="AW234" s="114">
        <v>0</v>
      </c>
      <c r="AX234" s="114">
        <v>0</v>
      </c>
      <c r="AY234" s="114">
        <v>0</v>
      </c>
    </row>
    <row r="235" spans="1:51" x14ac:dyDescent="0.2">
      <c r="A235" s="113"/>
      <c r="B235" s="130">
        <v>27</v>
      </c>
      <c r="C235" s="110">
        <v>0</v>
      </c>
      <c r="D235" s="114">
        <v>0</v>
      </c>
      <c r="E235" s="114">
        <v>0</v>
      </c>
      <c r="F235" s="114">
        <v>0</v>
      </c>
      <c r="G235" s="114">
        <v>0</v>
      </c>
      <c r="H235" s="114">
        <v>0</v>
      </c>
      <c r="I235" s="114">
        <v>0</v>
      </c>
      <c r="J235" s="114">
        <v>0</v>
      </c>
      <c r="K235" s="114">
        <v>0</v>
      </c>
      <c r="L235" s="114">
        <v>0</v>
      </c>
      <c r="M235" s="114">
        <v>0</v>
      </c>
      <c r="N235" s="114">
        <v>0</v>
      </c>
      <c r="O235" s="114">
        <v>0</v>
      </c>
      <c r="P235" s="114">
        <v>0</v>
      </c>
      <c r="Q235" s="114">
        <v>0</v>
      </c>
      <c r="R235" s="114">
        <v>0</v>
      </c>
      <c r="S235" s="114">
        <v>0</v>
      </c>
      <c r="T235" s="114">
        <v>0</v>
      </c>
      <c r="U235" s="114">
        <v>0</v>
      </c>
      <c r="V235" s="114">
        <v>0</v>
      </c>
      <c r="W235" s="114">
        <v>0</v>
      </c>
      <c r="X235" s="114">
        <v>0</v>
      </c>
      <c r="Y235" s="114">
        <v>0</v>
      </c>
      <c r="Z235" s="114">
        <v>0</v>
      </c>
      <c r="AA235" s="114">
        <v>0</v>
      </c>
      <c r="AB235" s="114">
        <v>0</v>
      </c>
      <c r="AC235" s="114">
        <v>0</v>
      </c>
      <c r="AD235" s="114">
        <v>0</v>
      </c>
      <c r="AE235" s="114">
        <v>0</v>
      </c>
      <c r="AF235" s="114">
        <v>0</v>
      </c>
      <c r="AG235" s="114">
        <v>0</v>
      </c>
      <c r="AH235" s="114">
        <v>0</v>
      </c>
      <c r="AI235" s="114">
        <v>0</v>
      </c>
      <c r="AJ235" s="114">
        <v>0</v>
      </c>
      <c r="AK235" s="114">
        <v>0</v>
      </c>
      <c r="AL235" s="114">
        <v>0</v>
      </c>
      <c r="AM235" s="114">
        <v>0</v>
      </c>
      <c r="AN235" s="114">
        <v>0</v>
      </c>
      <c r="AO235" s="114">
        <v>0</v>
      </c>
      <c r="AP235" s="114">
        <v>0</v>
      </c>
      <c r="AQ235" s="114">
        <v>0</v>
      </c>
      <c r="AR235" s="114">
        <v>0</v>
      </c>
      <c r="AS235" s="114">
        <v>0</v>
      </c>
      <c r="AT235" s="114">
        <v>0</v>
      </c>
      <c r="AU235" s="114">
        <v>0</v>
      </c>
      <c r="AV235" s="114">
        <v>0</v>
      </c>
      <c r="AW235" s="114">
        <v>0</v>
      </c>
      <c r="AX235" s="114">
        <v>0</v>
      </c>
      <c r="AY235" s="114">
        <v>0</v>
      </c>
    </row>
    <row r="236" spans="1:51" x14ac:dyDescent="0.2">
      <c r="A236" s="113"/>
      <c r="B236" s="130">
        <v>28</v>
      </c>
      <c r="C236" s="110">
        <v>0</v>
      </c>
      <c r="D236" s="114">
        <v>0</v>
      </c>
      <c r="E236" s="114">
        <v>0</v>
      </c>
      <c r="F236" s="114">
        <v>0</v>
      </c>
      <c r="G236" s="114">
        <v>0</v>
      </c>
      <c r="H236" s="114">
        <v>0</v>
      </c>
      <c r="I236" s="114">
        <v>0</v>
      </c>
      <c r="J236" s="114">
        <v>0</v>
      </c>
      <c r="K236" s="114">
        <v>0</v>
      </c>
      <c r="L236" s="114">
        <v>0</v>
      </c>
      <c r="M236" s="114">
        <v>0</v>
      </c>
      <c r="N236" s="114">
        <v>0</v>
      </c>
      <c r="O236" s="114">
        <v>0</v>
      </c>
      <c r="P236" s="114">
        <v>0</v>
      </c>
      <c r="Q236" s="114">
        <v>0</v>
      </c>
      <c r="R236" s="114">
        <v>0</v>
      </c>
      <c r="S236" s="114">
        <v>0</v>
      </c>
      <c r="T236" s="114">
        <v>0</v>
      </c>
      <c r="U236" s="114">
        <v>0</v>
      </c>
      <c r="V236" s="114">
        <v>0</v>
      </c>
      <c r="W236" s="114">
        <v>0</v>
      </c>
      <c r="X236" s="114">
        <v>0</v>
      </c>
      <c r="Y236" s="114">
        <v>0</v>
      </c>
      <c r="Z236" s="114">
        <v>0</v>
      </c>
      <c r="AA236" s="114">
        <v>0</v>
      </c>
      <c r="AB236" s="114">
        <v>0</v>
      </c>
      <c r="AC236" s="114">
        <v>0</v>
      </c>
      <c r="AD236" s="114">
        <v>0</v>
      </c>
      <c r="AE236" s="114">
        <v>0</v>
      </c>
      <c r="AF236" s="114">
        <v>0</v>
      </c>
      <c r="AG236" s="114">
        <v>0</v>
      </c>
      <c r="AH236" s="114">
        <v>0</v>
      </c>
      <c r="AI236" s="114">
        <v>0</v>
      </c>
      <c r="AJ236" s="114">
        <v>0</v>
      </c>
      <c r="AK236" s="114">
        <v>0</v>
      </c>
      <c r="AL236" s="114">
        <v>0</v>
      </c>
      <c r="AM236" s="114">
        <v>0</v>
      </c>
      <c r="AN236" s="114">
        <v>0</v>
      </c>
      <c r="AO236" s="114">
        <v>0</v>
      </c>
      <c r="AP236" s="114">
        <v>0</v>
      </c>
      <c r="AQ236" s="114">
        <v>0</v>
      </c>
      <c r="AR236" s="114">
        <v>0</v>
      </c>
      <c r="AS236" s="114">
        <v>0</v>
      </c>
      <c r="AT236" s="114">
        <v>0</v>
      </c>
      <c r="AU236" s="114">
        <v>0</v>
      </c>
      <c r="AV236" s="114">
        <v>0</v>
      </c>
      <c r="AW236" s="114">
        <v>0</v>
      </c>
      <c r="AX236" s="114">
        <v>0</v>
      </c>
      <c r="AY236" s="114">
        <v>0</v>
      </c>
    </row>
    <row r="237" spans="1:51" x14ac:dyDescent="0.2">
      <c r="A237" s="113"/>
      <c r="B237" s="130">
        <v>29</v>
      </c>
      <c r="C237" s="110">
        <v>0</v>
      </c>
      <c r="D237" s="114">
        <v>0</v>
      </c>
      <c r="E237" s="114">
        <v>0</v>
      </c>
      <c r="F237" s="114">
        <v>0</v>
      </c>
      <c r="G237" s="114">
        <v>0</v>
      </c>
      <c r="H237" s="114">
        <v>0</v>
      </c>
      <c r="I237" s="114">
        <v>0</v>
      </c>
      <c r="J237" s="114">
        <v>0</v>
      </c>
      <c r="K237" s="114">
        <v>0</v>
      </c>
      <c r="L237" s="114">
        <v>0</v>
      </c>
      <c r="M237" s="114">
        <v>0</v>
      </c>
      <c r="N237" s="114">
        <v>0</v>
      </c>
      <c r="O237" s="114">
        <v>0</v>
      </c>
      <c r="P237" s="114">
        <v>0</v>
      </c>
      <c r="Q237" s="114">
        <v>0</v>
      </c>
      <c r="R237" s="114">
        <v>0</v>
      </c>
      <c r="S237" s="114">
        <v>0</v>
      </c>
      <c r="T237" s="114">
        <v>0</v>
      </c>
      <c r="U237" s="114">
        <v>0</v>
      </c>
      <c r="V237" s="114">
        <v>0</v>
      </c>
      <c r="W237" s="114">
        <v>0</v>
      </c>
      <c r="X237" s="114">
        <v>0</v>
      </c>
      <c r="Y237" s="114">
        <v>0</v>
      </c>
      <c r="Z237" s="114">
        <v>0</v>
      </c>
      <c r="AA237" s="114">
        <v>0</v>
      </c>
      <c r="AB237" s="114">
        <v>0</v>
      </c>
      <c r="AC237" s="114">
        <v>0</v>
      </c>
      <c r="AD237" s="114">
        <v>0</v>
      </c>
      <c r="AE237" s="114">
        <v>0</v>
      </c>
      <c r="AF237" s="114">
        <v>0</v>
      </c>
      <c r="AG237" s="114">
        <v>0</v>
      </c>
      <c r="AH237" s="114">
        <v>0</v>
      </c>
      <c r="AI237" s="114">
        <v>0</v>
      </c>
      <c r="AJ237" s="114">
        <v>0</v>
      </c>
      <c r="AK237" s="114">
        <v>0</v>
      </c>
      <c r="AL237" s="114">
        <v>0</v>
      </c>
      <c r="AM237" s="114">
        <v>0</v>
      </c>
      <c r="AN237" s="114">
        <v>0</v>
      </c>
      <c r="AO237" s="114">
        <v>0</v>
      </c>
      <c r="AP237" s="114">
        <v>0</v>
      </c>
      <c r="AQ237" s="114">
        <v>0</v>
      </c>
      <c r="AR237" s="114">
        <v>0</v>
      </c>
      <c r="AS237" s="114">
        <v>0</v>
      </c>
      <c r="AT237" s="114">
        <v>0</v>
      </c>
      <c r="AU237" s="114">
        <v>0</v>
      </c>
      <c r="AV237" s="114">
        <v>0</v>
      </c>
      <c r="AW237" s="114">
        <v>0</v>
      </c>
      <c r="AX237" s="114">
        <v>0</v>
      </c>
      <c r="AY237" s="114">
        <v>0</v>
      </c>
    </row>
    <row r="238" spans="1:51" x14ac:dyDescent="0.2">
      <c r="A238" s="113"/>
      <c r="B238" s="130">
        <v>30</v>
      </c>
      <c r="C238" s="110">
        <v>0</v>
      </c>
      <c r="D238" s="114">
        <v>0</v>
      </c>
      <c r="E238" s="114">
        <v>0</v>
      </c>
      <c r="F238" s="114">
        <v>0</v>
      </c>
      <c r="G238" s="114">
        <v>0</v>
      </c>
      <c r="H238" s="114">
        <v>0</v>
      </c>
      <c r="I238" s="114">
        <v>0</v>
      </c>
      <c r="J238" s="114">
        <v>0</v>
      </c>
      <c r="K238" s="114">
        <v>0</v>
      </c>
      <c r="L238" s="114">
        <v>0</v>
      </c>
      <c r="M238" s="114">
        <v>0</v>
      </c>
      <c r="N238" s="114">
        <v>0</v>
      </c>
      <c r="O238" s="114">
        <v>0</v>
      </c>
      <c r="P238" s="114">
        <v>0</v>
      </c>
      <c r="Q238" s="114">
        <v>0</v>
      </c>
      <c r="R238" s="114">
        <v>0</v>
      </c>
      <c r="S238" s="114">
        <v>0</v>
      </c>
      <c r="T238" s="114">
        <v>0</v>
      </c>
      <c r="U238" s="114">
        <v>0</v>
      </c>
      <c r="V238" s="114">
        <v>0</v>
      </c>
      <c r="W238" s="114">
        <v>0</v>
      </c>
      <c r="X238" s="114">
        <v>0</v>
      </c>
      <c r="Y238" s="114">
        <v>0</v>
      </c>
      <c r="Z238" s="114">
        <v>0</v>
      </c>
      <c r="AA238" s="114">
        <v>0</v>
      </c>
      <c r="AB238" s="114">
        <v>0</v>
      </c>
      <c r="AC238" s="114">
        <v>0</v>
      </c>
      <c r="AD238" s="114">
        <v>0</v>
      </c>
      <c r="AE238" s="114">
        <v>0</v>
      </c>
      <c r="AF238" s="114">
        <v>0</v>
      </c>
      <c r="AG238" s="114">
        <v>0</v>
      </c>
      <c r="AH238" s="114">
        <v>0</v>
      </c>
      <c r="AI238" s="114">
        <v>0</v>
      </c>
      <c r="AJ238" s="114">
        <v>0</v>
      </c>
      <c r="AK238" s="114">
        <v>0</v>
      </c>
      <c r="AL238" s="114">
        <v>0</v>
      </c>
      <c r="AM238" s="114">
        <v>0</v>
      </c>
      <c r="AN238" s="114">
        <v>0</v>
      </c>
      <c r="AO238" s="114">
        <v>0</v>
      </c>
      <c r="AP238" s="114">
        <v>0</v>
      </c>
      <c r="AQ238" s="114">
        <v>0</v>
      </c>
      <c r="AR238" s="114">
        <v>0</v>
      </c>
      <c r="AS238" s="114">
        <v>0</v>
      </c>
      <c r="AT238" s="114">
        <v>0</v>
      </c>
      <c r="AU238" s="114">
        <v>0</v>
      </c>
      <c r="AV238" s="114">
        <v>0</v>
      </c>
      <c r="AW238" s="114">
        <v>0</v>
      </c>
      <c r="AX238" s="114">
        <v>0</v>
      </c>
      <c r="AY238" s="114">
        <v>0</v>
      </c>
    </row>
    <row r="239" spans="1:51" x14ac:dyDescent="0.2">
      <c r="A239" s="113"/>
      <c r="B239" s="130">
        <v>31</v>
      </c>
      <c r="C239" s="110">
        <v>0</v>
      </c>
      <c r="D239" s="114">
        <v>0</v>
      </c>
      <c r="E239" s="114">
        <v>0</v>
      </c>
      <c r="F239" s="114">
        <v>0</v>
      </c>
      <c r="G239" s="114">
        <v>0</v>
      </c>
      <c r="H239" s="114">
        <v>0</v>
      </c>
      <c r="I239" s="114">
        <v>0</v>
      </c>
      <c r="J239" s="114">
        <v>0</v>
      </c>
      <c r="K239" s="114">
        <v>0</v>
      </c>
      <c r="L239" s="114">
        <v>0</v>
      </c>
      <c r="M239" s="114">
        <v>0</v>
      </c>
      <c r="N239" s="114">
        <v>0</v>
      </c>
      <c r="O239" s="114">
        <v>0</v>
      </c>
      <c r="P239" s="114">
        <v>0</v>
      </c>
      <c r="Q239" s="114">
        <v>0</v>
      </c>
      <c r="R239" s="114">
        <v>0</v>
      </c>
      <c r="S239" s="114">
        <v>0</v>
      </c>
      <c r="T239" s="114">
        <v>0</v>
      </c>
      <c r="U239" s="114">
        <v>0</v>
      </c>
      <c r="V239" s="114">
        <v>0</v>
      </c>
      <c r="W239" s="114">
        <v>0</v>
      </c>
      <c r="X239" s="114">
        <v>0</v>
      </c>
      <c r="Y239" s="114">
        <v>0</v>
      </c>
      <c r="Z239" s="114">
        <v>0</v>
      </c>
      <c r="AA239" s="114">
        <v>0</v>
      </c>
      <c r="AB239" s="114">
        <v>0</v>
      </c>
      <c r="AC239" s="114">
        <v>0</v>
      </c>
      <c r="AD239" s="114">
        <v>0</v>
      </c>
      <c r="AE239" s="114">
        <v>0</v>
      </c>
      <c r="AF239" s="114">
        <v>0</v>
      </c>
      <c r="AG239" s="114">
        <v>0</v>
      </c>
      <c r="AH239" s="114">
        <v>0</v>
      </c>
      <c r="AI239" s="114">
        <v>0</v>
      </c>
      <c r="AJ239" s="114">
        <v>0</v>
      </c>
      <c r="AK239" s="114">
        <v>0</v>
      </c>
      <c r="AL239" s="114">
        <v>0</v>
      </c>
      <c r="AM239" s="114">
        <v>0</v>
      </c>
      <c r="AN239" s="114">
        <v>0</v>
      </c>
      <c r="AO239" s="114">
        <v>0</v>
      </c>
      <c r="AP239" s="114">
        <v>0</v>
      </c>
      <c r="AQ239" s="114">
        <v>0</v>
      </c>
      <c r="AR239" s="114">
        <v>0</v>
      </c>
      <c r="AS239" s="114">
        <v>0</v>
      </c>
      <c r="AT239" s="114">
        <v>0</v>
      </c>
      <c r="AU239" s="114">
        <v>0</v>
      </c>
      <c r="AV239" s="114">
        <v>0</v>
      </c>
      <c r="AW239" s="114">
        <v>0</v>
      </c>
      <c r="AX239" s="114">
        <v>0</v>
      </c>
      <c r="AY239" s="114">
        <v>0</v>
      </c>
    </row>
    <row r="240" spans="1:51" x14ac:dyDescent="0.2">
      <c r="A240" s="113"/>
      <c r="B240" s="130">
        <v>32</v>
      </c>
      <c r="C240" s="110">
        <v>0</v>
      </c>
      <c r="D240" s="114">
        <v>0</v>
      </c>
      <c r="E240" s="114">
        <v>0</v>
      </c>
      <c r="F240" s="114">
        <v>0</v>
      </c>
      <c r="G240" s="114">
        <v>0</v>
      </c>
      <c r="H240" s="114">
        <v>0</v>
      </c>
      <c r="I240" s="114">
        <v>0</v>
      </c>
      <c r="J240" s="114">
        <v>0</v>
      </c>
      <c r="K240" s="114">
        <v>0</v>
      </c>
      <c r="L240" s="114">
        <v>0</v>
      </c>
      <c r="M240" s="114">
        <v>0</v>
      </c>
      <c r="N240" s="114">
        <v>0</v>
      </c>
      <c r="O240" s="114">
        <v>0</v>
      </c>
      <c r="P240" s="114">
        <v>0</v>
      </c>
      <c r="Q240" s="114">
        <v>0</v>
      </c>
      <c r="R240" s="114">
        <v>0</v>
      </c>
      <c r="S240" s="114">
        <v>0</v>
      </c>
      <c r="T240" s="114">
        <v>0</v>
      </c>
      <c r="U240" s="114">
        <v>0</v>
      </c>
      <c r="V240" s="114">
        <v>0</v>
      </c>
      <c r="W240" s="114">
        <v>0</v>
      </c>
      <c r="X240" s="114">
        <v>0</v>
      </c>
      <c r="Y240" s="114">
        <v>0</v>
      </c>
      <c r="Z240" s="114">
        <v>0</v>
      </c>
      <c r="AA240" s="114">
        <v>0</v>
      </c>
      <c r="AB240" s="114">
        <v>0</v>
      </c>
      <c r="AC240" s="114">
        <v>0</v>
      </c>
      <c r="AD240" s="114">
        <v>0</v>
      </c>
      <c r="AE240" s="114">
        <v>0</v>
      </c>
      <c r="AF240" s="114">
        <v>0</v>
      </c>
      <c r="AG240" s="114">
        <v>0</v>
      </c>
      <c r="AH240" s="114">
        <v>0</v>
      </c>
      <c r="AI240" s="114">
        <v>0</v>
      </c>
      <c r="AJ240" s="114">
        <v>0</v>
      </c>
      <c r="AK240" s="114">
        <v>0</v>
      </c>
      <c r="AL240" s="114">
        <v>0</v>
      </c>
      <c r="AM240" s="114">
        <v>0</v>
      </c>
      <c r="AN240" s="114">
        <v>0</v>
      </c>
      <c r="AO240" s="114">
        <v>0</v>
      </c>
      <c r="AP240" s="114">
        <v>0</v>
      </c>
      <c r="AQ240" s="114">
        <v>0</v>
      </c>
      <c r="AR240" s="114">
        <v>0</v>
      </c>
      <c r="AS240" s="114">
        <v>0</v>
      </c>
      <c r="AT240" s="114">
        <v>0</v>
      </c>
      <c r="AU240" s="114">
        <v>0</v>
      </c>
      <c r="AV240" s="114">
        <v>0</v>
      </c>
      <c r="AW240" s="114">
        <v>0</v>
      </c>
      <c r="AX240" s="114">
        <v>0</v>
      </c>
      <c r="AY240" s="114">
        <v>0</v>
      </c>
    </row>
    <row r="241" spans="1:51" x14ac:dyDescent="0.2">
      <c r="A241" s="113"/>
      <c r="B241" s="130">
        <v>33</v>
      </c>
      <c r="C241" s="110">
        <v>0</v>
      </c>
      <c r="D241" s="114">
        <v>0</v>
      </c>
      <c r="E241" s="114">
        <v>0</v>
      </c>
      <c r="F241" s="114">
        <v>0</v>
      </c>
      <c r="G241" s="114">
        <v>0</v>
      </c>
      <c r="H241" s="114">
        <v>0</v>
      </c>
      <c r="I241" s="114">
        <v>0</v>
      </c>
      <c r="J241" s="114">
        <v>0</v>
      </c>
      <c r="K241" s="114">
        <v>0</v>
      </c>
      <c r="L241" s="114">
        <v>0</v>
      </c>
      <c r="M241" s="114">
        <v>0</v>
      </c>
      <c r="N241" s="114">
        <v>0</v>
      </c>
      <c r="O241" s="114">
        <v>0</v>
      </c>
      <c r="P241" s="114">
        <v>0</v>
      </c>
      <c r="Q241" s="114">
        <v>0</v>
      </c>
      <c r="R241" s="114">
        <v>0</v>
      </c>
      <c r="S241" s="114">
        <v>0</v>
      </c>
      <c r="T241" s="114">
        <v>0</v>
      </c>
      <c r="U241" s="114">
        <v>0</v>
      </c>
      <c r="V241" s="114">
        <v>0</v>
      </c>
      <c r="W241" s="114">
        <v>0</v>
      </c>
      <c r="X241" s="114">
        <v>0</v>
      </c>
      <c r="Y241" s="114">
        <v>0</v>
      </c>
      <c r="Z241" s="114">
        <v>0</v>
      </c>
      <c r="AA241" s="114">
        <v>0</v>
      </c>
      <c r="AB241" s="114">
        <v>0</v>
      </c>
      <c r="AC241" s="114">
        <v>0</v>
      </c>
      <c r="AD241" s="114">
        <v>0</v>
      </c>
      <c r="AE241" s="114">
        <v>0</v>
      </c>
      <c r="AF241" s="114">
        <v>0</v>
      </c>
      <c r="AG241" s="114">
        <v>0</v>
      </c>
      <c r="AH241" s="114">
        <v>0</v>
      </c>
      <c r="AI241" s="114">
        <v>0</v>
      </c>
      <c r="AJ241" s="114">
        <v>0</v>
      </c>
      <c r="AK241" s="114">
        <v>0</v>
      </c>
      <c r="AL241" s="114">
        <v>0</v>
      </c>
      <c r="AM241" s="114">
        <v>0</v>
      </c>
      <c r="AN241" s="114">
        <v>0</v>
      </c>
      <c r="AO241" s="114">
        <v>0</v>
      </c>
      <c r="AP241" s="114">
        <v>0</v>
      </c>
      <c r="AQ241" s="114">
        <v>0</v>
      </c>
      <c r="AR241" s="114">
        <v>0</v>
      </c>
      <c r="AS241" s="114">
        <v>0</v>
      </c>
      <c r="AT241" s="114">
        <v>0</v>
      </c>
      <c r="AU241" s="114">
        <v>0</v>
      </c>
      <c r="AV241" s="114">
        <v>0</v>
      </c>
      <c r="AW241" s="114">
        <v>0</v>
      </c>
      <c r="AX241" s="114">
        <v>0</v>
      </c>
      <c r="AY241" s="114">
        <v>0</v>
      </c>
    </row>
    <row r="242" spans="1:51" x14ac:dyDescent="0.2">
      <c r="A242" s="113"/>
      <c r="B242" s="130">
        <v>34</v>
      </c>
      <c r="C242" s="110">
        <v>0</v>
      </c>
      <c r="D242" s="114">
        <v>0</v>
      </c>
      <c r="E242" s="114">
        <v>0</v>
      </c>
      <c r="F242" s="114">
        <v>0</v>
      </c>
      <c r="G242" s="114">
        <v>0</v>
      </c>
      <c r="H242" s="114">
        <v>0</v>
      </c>
      <c r="I242" s="114">
        <v>0</v>
      </c>
      <c r="J242" s="114">
        <v>0</v>
      </c>
      <c r="K242" s="114">
        <v>0</v>
      </c>
      <c r="L242" s="114">
        <v>0</v>
      </c>
      <c r="M242" s="114">
        <v>0</v>
      </c>
      <c r="N242" s="114">
        <v>0</v>
      </c>
      <c r="O242" s="114">
        <v>0</v>
      </c>
      <c r="P242" s="114">
        <v>0</v>
      </c>
      <c r="Q242" s="114">
        <v>0</v>
      </c>
      <c r="R242" s="114">
        <v>0</v>
      </c>
      <c r="S242" s="114">
        <v>0</v>
      </c>
      <c r="T242" s="114">
        <v>0</v>
      </c>
      <c r="U242" s="114">
        <v>0</v>
      </c>
      <c r="V242" s="114">
        <v>0</v>
      </c>
      <c r="W242" s="114">
        <v>0</v>
      </c>
      <c r="X242" s="114">
        <v>0</v>
      </c>
      <c r="Y242" s="114">
        <v>0</v>
      </c>
      <c r="Z242" s="114">
        <v>0</v>
      </c>
      <c r="AA242" s="114">
        <v>0</v>
      </c>
      <c r="AB242" s="114">
        <v>0</v>
      </c>
      <c r="AC242" s="114">
        <v>0</v>
      </c>
      <c r="AD242" s="114">
        <v>0</v>
      </c>
      <c r="AE242" s="114">
        <v>0</v>
      </c>
      <c r="AF242" s="114">
        <v>0</v>
      </c>
      <c r="AG242" s="114">
        <v>0</v>
      </c>
      <c r="AH242" s="114">
        <v>0</v>
      </c>
      <c r="AI242" s="114">
        <v>0</v>
      </c>
      <c r="AJ242" s="114">
        <v>0</v>
      </c>
      <c r="AK242" s="114">
        <v>0</v>
      </c>
      <c r="AL242" s="114">
        <v>0</v>
      </c>
      <c r="AM242" s="114">
        <v>0</v>
      </c>
      <c r="AN242" s="114">
        <v>0</v>
      </c>
      <c r="AO242" s="114">
        <v>0</v>
      </c>
      <c r="AP242" s="114">
        <v>0</v>
      </c>
      <c r="AQ242" s="114">
        <v>0</v>
      </c>
      <c r="AR242" s="114">
        <v>0</v>
      </c>
      <c r="AS242" s="114">
        <v>0</v>
      </c>
      <c r="AT242" s="114">
        <v>0</v>
      </c>
      <c r="AU242" s="114">
        <v>0</v>
      </c>
      <c r="AV242" s="114">
        <v>0</v>
      </c>
      <c r="AW242" s="114">
        <v>0</v>
      </c>
      <c r="AX242" s="114">
        <v>0</v>
      </c>
      <c r="AY242" s="114">
        <v>0</v>
      </c>
    </row>
    <row r="243" spans="1:51" x14ac:dyDescent="0.2">
      <c r="A243" s="113"/>
      <c r="B243" s="130">
        <v>35</v>
      </c>
      <c r="C243" s="110">
        <v>0</v>
      </c>
      <c r="D243" s="114">
        <v>0</v>
      </c>
      <c r="E243" s="114">
        <v>0</v>
      </c>
      <c r="F243" s="114">
        <v>0</v>
      </c>
      <c r="G243" s="114">
        <v>0</v>
      </c>
      <c r="H243" s="114">
        <v>0</v>
      </c>
      <c r="I243" s="114">
        <v>0</v>
      </c>
      <c r="J243" s="114">
        <v>0</v>
      </c>
      <c r="K243" s="114">
        <v>0</v>
      </c>
      <c r="L243" s="114">
        <v>0</v>
      </c>
      <c r="M243" s="114">
        <v>0</v>
      </c>
      <c r="N243" s="114">
        <v>0</v>
      </c>
      <c r="O243" s="114">
        <v>0</v>
      </c>
      <c r="P243" s="114">
        <v>0</v>
      </c>
      <c r="Q243" s="114">
        <v>0</v>
      </c>
      <c r="R243" s="114">
        <v>0</v>
      </c>
      <c r="S243" s="114">
        <v>0</v>
      </c>
      <c r="T243" s="114">
        <v>0</v>
      </c>
      <c r="U243" s="114">
        <v>0</v>
      </c>
      <c r="V243" s="114">
        <v>0</v>
      </c>
      <c r="W243" s="114">
        <v>0</v>
      </c>
      <c r="X243" s="114">
        <v>0</v>
      </c>
      <c r="Y243" s="114">
        <v>0</v>
      </c>
      <c r="Z243" s="114">
        <v>0</v>
      </c>
      <c r="AA243" s="114">
        <v>0</v>
      </c>
      <c r="AB243" s="114">
        <v>0</v>
      </c>
      <c r="AC243" s="114">
        <v>0</v>
      </c>
      <c r="AD243" s="114">
        <v>0</v>
      </c>
      <c r="AE243" s="114">
        <v>0</v>
      </c>
      <c r="AF243" s="114">
        <v>0</v>
      </c>
      <c r="AG243" s="114">
        <v>0</v>
      </c>
      <c r="AH243" s="114">
        <v>0</v>
      </c>
      <c r="AI243" s="114">
        <v>0</v>
      </c>
      <c r="AJ243" s="114">
        <v>0</v>
      </c>
      <c r="AK243" s="114">
        <v>0</v>
      </c>
      <c r="AL243" s="114">
        <v>0</v>
      </c>
      <c r="AM243" s="114">
        <v>0</v>
      </c>
      <c r="AN243" s="114">
        <v>0</v>
      </c>
      <c r="AO243" s="114">
        <v>0</v>
      </c>
      <c r="AP243" s="114">
        <v>0</v>
      </c>
      <c r="AQ243" s="114">
        <v>0</v>
      </c>
      <c r="AR243" s="114">
        <v>0</v>
      </c>
      <c r="AS243" s="114">
        <v>0</v>
      </c>
      <c r="AT243" s="114">
        <v>0</v>
      </c>
      <c r="AU243" s="114">
        <v>0</v>
      </c>
      <c r="AV243" s="114">
        <v>0</v>
      </c>
      <c r="AW243" s="114">
        <v>0</v>
      </c>
      <c r="AX243" s="114">
        <v>0</v>
      </c>
      <c r="AY243" s="114">
        <v>0</v>
      </c>
    </row>
    <row r="244" spans="1:51" x14ac:dyDescent="0.2">
      <c r="A244" s="113"/>
      <c r="B244" s="130">
        <v>36</v>
      </c>
      <c r="C244" s="110">
        <v>0</v>
      </c>
      <c r="D244" s="114">
        <v>0</v>
      </c>
      <c r="E244" s="114">
        <v>0</v>
      </c>
      <c r="F244" s="114">
        <v>0</v>
      </c>
      <c r="G244" s="114">
        <v>0</v>
      </c>
      <c r="H244" s="114">
        <v>0</v>
      </c>
      <c r="I244" s="114">
        <v>0</v>
      </c>
      <c r="J244" s="114">
        <v>0</v>
      </c>
      <c r="K244" s="114">
        <v>0</v>
      </c>
      <c r="L244" s="114">
        <v>0</v>
      </c>
      <c r="M244" s="114">
        <v>0</v>
      </c>
      <c r="N244" s="114">
        <v>0</v>
      </c>
      <c r="O244" s="114">
        <v>0</v>
      </c>
      <c r="P244" s="114">
        <v>0</v>
      </c>
      <c r="Q244" s="114">
        <v>0</v>
      </c>
      <c r="R244" s="114">
        <v>0</v>
      </c>
      <c r="S244" s="114">
        <v>0</v>
      </c>
      <c r="T244" s="114">
        <v>0</v>
      </c>
      <c r="U244" s="114">
        <v>0</v>
      </c>
      <c r="V244" s="114">
        <v>0</v>
      </c>
      <c r="W244" s="114">
        <v>0</v>
      </c>
      <c r="X244" s="114">
        <v>0</v>
      </c>
      <c r="Y244" s="114">
        <v>0</v>
      </c>
      <c r="Z244" s="114">
        <v>0</v>
      </c>
      <c r="AA244" s="114">
        <v>0</v>
      </c>
      <c r="AB244" s="114">
        <v>0</v>
      </c>
      <c r="AC244" s="114">
        <v>0</v>
      </c>
      <c r="AD244" s="114">
        <v>0</v>
      </c>
      <c r="AE244" s="114">
        <v>0</v>
      </c>
      <c r="AF244" s="114">
        <v>0</v>
      </c>
      <c r="AG244" s="114">
        <v>0</v>
      </c>
      <c r="AH244" s="114">
        <v>0</v>
      </c>
      <c r="AI244" s="114">
        <v>0</v>
      </c>
      <c r="AJ244" s="114">
        <v>0</v>
      </c>
      <c r="AK244" s="114">
        <v>0</v>
      </c>
      <c r="AL244" s="114">
        <v>0</v>
      </c>
      <c r="AM244" s="114">
        <v>0</v>
      </c>
      <c r="AN244" s="114">
        <v>0</v>
      </c>
      <c r="AO244" s="114">
        <v>0</v>
      </c>
      <c r="AP244" s="114">
        <v>0</v>
      </c>
      <c r="AQ244" s="114">
        <v>0</v>
      </c>
      <c r="AR244" s="114">
        <v>0</v>
      </c>
      <c r="AS244" s="114">
        <v>0</v>
      </c>
      <c r="AT244" s="114">
        <v>0</v>
      </c>
      <c r="AU244" s="114">
        <v>0</v>
      </c>
      <c r="AV244" s="114">
        <v>0</v>
      </c>
      <c r="AW244" s="114">
        <v>0</v>
      </c>
      <c r="AX244" s="114">
        <v>0</v>
      </c>
      <c r="AY244" s="114">
        <v>0</v>
      </c>
    </row>
    <row r="245" spans="1:51" x14ac:dyDescent="0.2">
      <c r="A245" s="113"/>
      <c r="B245" s="133">
        <v>37</v>
      </c>
      <c r="C245" s="110">
        <v>0</v>
      </c>
      <c r="D245" s="114">
        <v>0</v>
      </c>
      <c r="E245" s="114">
        <v>0</v>
      </c>
      <c r="F245" s="114">
        <v>0</v>
      </c>
      <c r="G245" s="114">
        <v>0</v>
      </c>
      <c r="H245" s="114">
        <v>0</v>
      </c>
      <c r="I245" s="114">
        <v>0</v>
      </c>
      <c r="J245" s="114">
        <v>0</v>
      </c>
      <c r="K245" s="114">
        <v>0</v>
      </c>
      <c r="L245" s="114">
        <v>0</v>
      </c>
      <c r="M245" s="114">
        <v>0</v>
      </c>
      <c r="N245" s="114">
        <v>0</v>
      </c>
      <c r="O245" s="114">
        <v>0</v>
      </c>
      <c r="P245" s="114">
        <v>0</v>
      </c>
      <c r="Q245" s="114">
        <v>0</v>
      </c>
      <c r="R245" s="114">
        <v>0</v>
      </c>
      <c r="S245" s="114">
        <v>0</v>
      </c>
      <c r="T245" s="114">
        <v>0</v>
      </c>
      <c r="U245" s="114">
        <v>0</v>
      </c>
      <c r="V245" s="114">
        <v>0</v>
      </c>
      <c r="W245" s="114">
        <v>0</v>
      </c>
      <c r="X245" s="114">
        <v>0</v>
      </c>
      <c r="Y245" s="114">
        <v>0</v>
      </c>
      <c r="Z245" s="114">
        <v>0</v>
      </c>
      <c r="AA245" s="114">
        <v>0</v>
      </c>
      <c r="AB245" s="114">
        <v>0</v>
      </c>
      <c r="AC245" s="114">
        <v>0</v>
      </c>
      <c r="AD245" s="114">
        <v>0</v>
      </c>
      <c r="AE245" s="114">
        <v>0</v>
      </c>
      <c r="AF245" s="114">
        <v>0</v>
      </c>
      <c r="AG245" s="114">
        <v>0</v>
      </c>
      <c r="AH245" s="114">
        <v>0</v>
      </c>
      <c r="AI245" s="114">
        <v>0</v>
      </c>
      <c r="AJ245" s="114">
        <v>0</v>
      </c>
      <c r="AK245" s="114">
        <v>0</v>
      </c>
      <c r="AL245" s="114">
        <v>0</v>
      </c>
      <c r="AM245" s="114">
        <v>0</v>
      </c>
      <c r="AN245" s="114">
        <v>0</v>
      </c>
      <c r="AO245" s="114">
        <v>0</v>
      </c>
      <c r="AP245" s="114">
        <v>0</v>
      </c>
      <c r="AQ245" s="114">
        <v>0</v>
      </c>
      <c r="AR245" s="114">
        <v>0</v>
      </c>
      <c r="AS245" s="114">
        <v>0</v>
      </c>
      <c r="AT245" s="114">
        <v>0</v>
      </c>
      <c r="AU245" s="114">
        <v>0</v>
      </c>
      <c r="AV245" s="114">
        <v>0</v>
      </c>
      <c r="AW245" s="114">
        <v>0</v>
      </c>
      <c r="AX245" s="114">
        <v>0</v>
      </c>
      <c r="AY245" s="114">
        <v>0</v>
      </c>
    </row>
    <row r="246" spans="1:51" x14ac:dyDescent="0.2">
      <c r="A246" s="113"/>
      <c r="B246" s="133">
        <v>38</v>
      </c>
      <c r="C246" s="110">
        <v>0</v>
      </c>
      <c r="D246" s="114">
        <v>0</v>
      </c>
      <c r="E246" s="114">
        <v>0</v>
      </c>
      <c r="F246" s="114">
        <v>0</v>
      </c>
      <c r="G246" s="114">
        <v>0</v>
      </c>
      <c r="H246" s="114">
        <v>0</v>
      </c>
      <c r="I246" s="114">
        <v>0</v>
      </c>
      <c r="J246" s="114">
        <v>0</v>
      </c>
      <c r="K246" s="114">
        <v>0</v>
      </c>
      <c r="L246" s="114">
        <v>0</v>
      </c>
      <c r="M246" s="114">
        <v>0</v>
      </c>
      <c r="N246" s="114">
        <v>0</v>
      </c>
      <c r="O246" s="114">
        <v>0</v>
      </c>
      <c r="P246" s="114">
        <v>0</v>
      </c>
      <c r="Q246" s="114">
        <v>0</v>
      </c>
      <c r="R246" s="114">
        <v>0</v>
      </c>
      <c r="S246" s="114">
        <v>0</v>
      </c>
      <c r="T246" s="114">
        <v>0</v>
      </c>
      <c r="U246" s="114">
        <v>0</v>
      </c>
      <c r="V246" s="114">
        <v>0</v>
      </c>
      <c r="W246" s="114">
        <v>0</v>
      </c>
      <c r="X246" s="114">
        <v>0</v>
      </c>
      <c r="Y246" s="114">
        <v>0</v>
      </c>
      <c r="Z246" s="114">
        <v>0</v>
      </c>
      <c r="AA246" s="114">
        <v>0</v>
      </c>
      <c r="AB246" s="114">
        <v>0</v>
      </c>
      <c r="AC246" s="114">
        <v>0</v>
      </c>
      <c r="AD246" s="114">
        <v>0</v>
      </c>
      <c r="AE246" s="114">
        <v>0</v>
      </c>
      <c r="AF246" s="114">
        <v>0</v>
      </c>
      <c r="AG246" s="114">
        <v>0</v>
      </c>
      <c r="AH246" s="114">
        <v>0</v>
      </c>
      <c r="AI246" s="114">
        <v>0</v>
      </c>
      <c r="AJ246" s="114">
        <v>0</v>
      </c>
      <c r="AK246" s="114">
        <v>0</v>
      </c>
      <c r="AL246" s="114">
        <v>0</v>
      </c>
      <c r="AM246" s="114">
        <v>0</v>
      </c>
      <c r="AN246" s="114">
        <v>0</v>
      </c>
      <c r="AO246" s="114">
        <v>0</v>
      </c>
      <c r="AP246" s="114">
        <v>0</v>
      </c>
      <c r="AQ246" s="114">
        <v>0</v>
      </c>
      <c r="AR246" s="114">
        <v>0</v>
      </c>
      <c r="AS246" s="114">
        <v>0</v>
      </c>
      <c r="AT246" s="114">
        <v>0</v>
      </c>
      <c r="AU246" s="114">
        <v>0</v>
      </c>
      <c r="AV246" s="114">
        <v>0</v>
      </c>
      <c r="AW246" s="114">
        <v>0</v>
      </c>
      <c r="AX246" s="114">
        <v>0</v>
      </c>
      <c r="AY246" s="114">
        <v>0</v>
      </c>
    </row>
    <row r="247" spans="1:51" x14ac:dyDescent="0.2">
      <c r="A247" s="113"/>
      <c r="B247" s="133">
        <v>39</v>
      </c>
      <c r="C247" s="110">
        <v>0</v>
      </c>
      <c r="D247" s="114">
        <v>0</v>
      </c>
      <c r="E247" s="114">
        <v>0</v>
      </c>
      <c r="F247" s="114">
        <v>0</v>
      </c>
      <c r="G247" s="114">
        <v>0</v>
      </c>
      <c r="H247" s="114">
        <v>0</v>
      </c>
      <c r="I247" s="114">
        <v>0</v>
      </c>
      <c r="J247" s="114">
        <v>0</v>
      </c>
      <c r="K247" s="114">
        <v>0</v>
      </c>
      <c r="L247" s="114">
        <v>0</v>
      </c>
      <c r="M247" s="114">
        <v>0</v>
      </c>
      <c r="N247" s="114">
        <v>0</v>
      </c>
      <c r="O247" s="114">
        <v>0</v>
      </c>
      <c r="P247" s="114">
        <v>0</v>
      </c>
      <c r="Q247" s="114">
        <v>0</v>
      </c>
      <c r="R247" s="114">
        <v>0</v>
      </c>
      <c r="S247" s="114">
        <v>0</v>
      </c>
      <c r="T247" s="114">
        <v>0</v>
      </c>
      <c r="U247" s="114">
        <v>0</v>
      </c>
      <c r="V247" s="114">
        <v>0</v>
      </c>
      <c r="W247" s="114">
        <v>0</v>
      </c>
      <c r="X247" s="114">
        <v>0</v>
      </c>
      <c r="Y247" s="114">
        <v>0</v>
      </c>
      <c r="Z247" s="114">
        <v>0</v>
      </c>
      <c r="AA247" s="114">
        <v>0</v>
      </c>
      <c r="AB247" s="114">
        <v>0</v>
      </c>
      <c r="AC247" s="114">
        <v>0</v>
      </c>
      <c r="AD247" s="114">
        <v>0</v>
      </c>
      <c r="AE247" s="114">
        <v>0</v>
      </c>
      <c r="AF247" s="114">
        <v>0</v>
      </c>
      <c r="AG247" s="114">
        <v>0</v>
      </c>
      <c r="AH247" s="114">
        <v>0</v>
      </c>
      <c r="AI247" s="114">
        <v>0</v>
      </c>
      <c r="AJ247" s="114">
        <v>0</v>
      </c>
      <c r="AK247" s="114">
        <v>0</v>
      </c>
      <c r="AL247" s="114">
        <v>0</v>
      </c>
      <c r="AM247" s="114">
        <v>0</v>
      </c>
      <c r="AN247" s="114">
        <v>0</v>
      </c>
      <c r="AO247" s="114">
        <v>0</v>
      </c>
      <c r="AP247" s="114">
        <v>0</v>
      </c>
      <c r="AQ247" s="114">
        <v>0</v>
      </c>
      <c r="AR247" s="114">
        <v>0</v>
      </c>
      <c r="AS247" s="114">
        <v>0</v>
      </c>
      <c r="AT247" s="114">
        <v>0</v>
      </c>
      <c r="AU247" s="114">
        <v>0</v>
      </c>
      <c r="AV247" s="114">
        <v>0</v>
      </c>
      <c r="AW247" s="114">
        <v>0</v>
      </c>
      <c r="AX247" s="114">
        <v>0</v>
      </c>
      <c r="AY247" s="114">
        <v>0</v>
      </c>
    </row>
    <row r="248" spans="1:51" x14ac:dyDescent="0.2">
      <c r="A248" s="113"/>
      <c r="B248" s="133">
        <v>40</v>
      </c>
      <c r="C248" s="110">
        <v>0</v>
      </c>
      <c r="D248" s="114">
        <v>0</v>
      </c>
      <c r="E248" s="114">
        <v>0</v>
      </c>
      <c r="F248" s="114">
        <v>0</v>
      </c>
      <c r="G248" s="114">
        <v>0</v>
      </c>
      <c r="H248" s="114">
        <v>0</v>
      </c>
      <c r="I248" s="114">
        <v>0</v>
      </c>
      <c r="J248" s="114">
        <v>0</v>
      </c>
      <c r="K248" s="114">
        <v>0</v>
      </c>
      <c r="L248" s="114">
        <v>0</v>
      </c>
      <c r="M248" s="114">
        <v>0</v>
      </c>
      <c r="N248" s="114">
        <v>0</v>
      </c>
      <c r="O248" s="114">
        <v>0</v>
      </c>
      <c r="P248" s="114">
        <v>0</v>
      </c>
      <c r="Q248" s="114">
        <v>0</v>
      </c>
      <c r="R248" s="114">
        <v>0</v>
      </c>
      <c r="S248" s="114">
        <v>0</v>
      </c>
      <c r="T248" s="114">
        <v>0</v>
      </c>
      <c r="U248" s="114">
        <v>0</v>
      </c>
      <c r="V248" s="114">
        <v>0</v>
      </c>
      <c r="W248" s="114">
        <v>0</v>
      </c>
      <c r="X248" s="114">
        <v>0</v>
      </c>
      <c r="Y248" s="114">
        <v>0</v>
      </c>
      <c r="Z248" s="114">
        <v>0</v>
      </c>
      <c r="AA248" s="114">
        <v>0</v>
      </c>
      <c r="AB248" s="114">
        <v>0</v>
      </c>
      <c r="AC248" s="114">
        <v>0</v>
      </c>
      <c r="AD248" s="114">
        <v>0</v>
      </c>
      <c r="AE248" s="114">
        <v>0</v>
      </c>
      <c r="AF248" s="114">
        <v>0</v>
      </c>
      <c r="AG248" s="114">
        <v>0</v>
      </c>
      <c r="AH248" s="114">
        <v>0</v>
      </c>
      <c r="AI248" s="114">
        <v>0</v>
      </c>
      <c r="AJ248" s="114">
        <v>0</v>
      </c>
      <c r="AK248" s="114">
        <v>0</v>
      </c>
      <c r="AL248" s="114">
        <v>0</v>
      </c>
      <c r="AM248" s="114">
        <v>0</v>
      </c>
      <c r="AN248" s="114">
        <v>0</v>
      </c>
      <c r="AO248" s="114">
        <v>0</v>
      </c>
      <c r="AP248" s="114">
        <v>0</v>
      </c>
      <c r="AQ248" s="114">
        <v>0</v>
      </c>
      <c r="AR248" s="114">
        <v>0</v>
      </c>
      <c r="AS248" s="114">
        <v>0</v>
      </c>
      <c r="AT248" s="114">
        <v>0</v>
      </c>
      <c r="AU248" s="114">
        <v>0</v>
      </c>
      <c r="AV248" s="114">
        <v>0</v>
      </c>
      <c r="AW248" s="114">
        <v>0</v>
      </c>
      <c r="AX248" s="114">
        <v>0</v>
      </c>
      <c r="AY248" s="114">
        <v>0</v>
      </c>
    </row>
    <row r="249" spans="1:51" x14ac:dyDescent="0.2">
      <c r="A249" s="113"/>
      <c r="B249" s="133">
        <v>41</v>
      </c>
      <c r="C249" s="110">
        <v>0</v>
      </c>
      <c r="D249" s="114">
        <v>0</v>
      </c>
      <c r="E249" s="114">
        <v>0</v>
      </c>
      <c r="F249" s="114">
        <v>0</v>
      </c>
      <c r="G249" s="114">
        <v>0</v>
      </c>
      <c r="H249" s="114">
        <v>0</v>
      </c>
      <c r="I249" s="114">
        <v>0</v>
      </c>
      <c r="J249" s="114">
        <v>0</v>
      </c>
      <c r="K249" s="114">
        <v>0</v>
      </c>
      <c r="L249" s="114">
        <v>0</v>
      </c>
      <c r="M249" s="114">
        <v>0</v>
      </c>
      <c r="N249" s="114">
        <v>0</v>
      </c>
      <c r="O249" s="114">
        <v>0</v>
      </c>
      <c r="P249" s="114">
        <v>0</v>
      </c>
      <c r="Q249" s="114">
        <v>0</v>
      </c>
      <c r="R249" s="114">
        <v>0</v>
      </c>
      <c r="S249" s="114">
        <v>0</v>
      </c>
      <c r="T249" s="114">
        <v>0</v>
      </c>
      <c r="U249" s="114">
        <v>0</v>
      </c>
      <c r="V249" s="114">
        <v>0</v>
      </c>
      <c r="W249" s="114">
        <v>0</v>
      </c>
      <c r="X249" s="114">
        <v>0</v>
      </c>
      <c r="Y249" s="114">
        <v>0</v>
      </c>
      <c r="Z249" s="114">
        <v>0</v>
      </c>
      <c r="AA249" s="114">
        <v>0</v>
      </c>
      <c r="AB249" s="114">
        <v>0</v>
      </c>
      <c r="AC249" s="114">
        <v>0</v>
      </c>
      <c r="AD249" s="114">
        <v>0</v>
      </c>
      <c r="AE249" s="114">
        <v>0</v>
      </c>
      <c r="AF249" s="114">
        <v>0</v>
      </c>
      <c r="AG249" s="114">
        <v>0</v>
      </c>
      <c r="AH249" s="114">
        <v>0</v>
      </c>
      <c r="AI249" s="114">
        <v>0</v>
      </c>
      <c r="AJ249" s="114">
        <v>0</v>
      </c>
      <c r="AK249" s="114">
        <v>0</v>
      </c>
      <c r="AL249" s="114">
        <v>0</v>
      </c>
      <c r="AM249" s="114">
        <v>0</v>
      </c>
      <c r="AN249" s="114">
        <v>0</v>
      </c>
      <c r="AO249" s="114">
        <v>0</v>
      </c>
      <c r="AP249" s="114">
        <v>0</v>
      </c>
      <c r="AQ249" s="114">
        <v>0</v>
      </c>
      <c r="AR249" s="114">
        <v>0</v>
      </c>
      <c r="AS249" s="114">
        <v>0</v>
      </c>
      <c r="AT249" s="114">
        <v>0</v>
      </c>
      <c r="AU249" s="114">
        <v>0</v>
      </c>
      <c r="AV249" s="114">
        <v>0</v>
      </c>
      <c r="AW249" s="114">
        <v>0</v>
      </c>
      <c r="AX249" s="114">
        <v>0</v>
      </c>
      <c r="AY249" s="114">
        <v>0</v>
      </c>
    </row>
    <row r="250" spans="1:51" x14ac:dyDescent="0.2">
      <c r="A250" s="113"/>
      <c r="B250" s="133">
        <v>42</v>
      </c>
      <c r="C250" s="110">
        <v>0</v>
      </c>
      <c r="D250" s="114">
        <v>0</v>
      </c>
      <c r="E250" s="114">
        <v>0</v>
      </c>
      <c r="F250" s="114">
        <v>0</v>
      </c>
      <c r="G250" s="114">
        <v>0</v>
      </c>
      <c r="H250" s="114">
        <v>0</v>
      </c>
      <c r="I250" s="114">
        <v>0</v>
      </c>
      <c r="J250" s="114">
        <v>0</v>
      </c>
      <c r="K250" s="114">
        <v>0</v>
      </c>
      <c r="L250" s="114">
        <v>0</v>
      </c>
      <c r="M250" s="114">
        <v>0</v>
      </c>
      <c r="N250" s="114">
        <v>0</v>
      </c>
      <c r="O250" s="114">
        <v>0</v>
      </c>
      <c r="P250" s="114">
        <v>0</v>
      </c>
      <c r="Q250" s="114">
        <v>0</v>
      </c>
      <c r="R250" s="114">
        <v>0</v>
      </c>
      <c r="S250" s="114">
        <v>0</v>
      </c>
      <c r="T250" s="114">
        <v>0</v>
      </c>
      <c r="U250" s="114">
        <v>0</v>
      </c>
      <c r="V250" s="114">
        <v>0</v>
      </c>
      <c r="W250" s="114">
        <v>0</v>
      </c>
      <c r="X250" s="114">
        <v>0</v>
      </c>
      <c r="Y250" s="114">
        <v>0</v>
      </c>
      <c r="Z250" s="114">
        <v>0</v>
      </c>
      <c r="AA250" s="114">
        <v>0</v>
      </c>
      <c r="AB250" s="114">
        <v>0</v>
      </c>
      <c r="AC250" s="114">
        <v>0</v>
      </c>
      <c r="AD250" s="114">
        <v>0</v>
      </c>
      <c r="AE250" s="114">
        <v>0</v>
      </c>
      <c r="AF250" s="114">
        <v>0</v>
      </c>
      <c r="AG250" s="114">
        <v>0</v>
      </c>
      <c r="AH250" s="114">
        <v>0</v>
      </c>
      <c r="AI250" s="114">
        <v>0</v>
      </c>
      <c r="AJ250" s="114">
        <v>0</v>
      </c>
      <c r="AK250" s="114">
        <v>0</v>
      </c>
      <c r="AL250" s="114">
        <v>0</v>
      </c>
      <c r="AM250" s="114">
        <v>0</v>
      </c>
      <c r="AN250" s="114">
        <v>0</v>
      </c>
      <c r="AO250" s="114">
        <v>0</v>
      </c>
      <c r="AP250" s="114">
        <v>0</v>
      </c>
      <c r="AQ250" s="114">
        <v>0</v>
      </c>
      <c r="AR250" s="114">
        <v>0</v>
      </c>
      <c r="AS250" s="114">
        <v>0</v>
      </c>
      <c r="AT250" s="114">
        <v>0</v>
      </c>
      <c r="AU250" s="114">
        <v>0</v>
      </c>
      <c r="AV250" s="114">
        <v>0</v>
      </c>
      <c r="AW250" s="114">
        <v>0</v>
      </c>
      <c r="AX250" s="114">
        <v>0</v>
      </c>
      <c r="AY250" s="114">
        <v>0</v>
      </c>
    </row>
    <row r="251" spans="1:51" x14ac:dyDescent="0.2">
      <c r="A251" s="113"/>
      <c r="B251" s="133">
        <v>43</v>
      </c>
      <c r="C251" s="110">
        <v>0</v>
      </c>
      <c r="D251" s="114">
        <v>0</v>
      </c>
      <c r="E251" s="114">
        <v>0</v>
      </c>
      <c r="F251" s="114">
        <v>0</v>
      </c>
      <c r="G251" s="114">
        <v>0</v>
      </c>
      <c r="H251" s="114">
        <v>0</v>
      </c>
      <c r="I251" s="114">
        <v>0</v>
      </c>
      <c r="J251" s="114">
        <v>0</v>
      </c>
      <c r="K251" s="114">
        <v>0</v>
      </c>
      <c r="L251" s="114">
        <v>0</v>
      </c>
      <c r="M251" s="114">
        <v>0</v>
      </c>
      <c r="N251" s="114">
        <v>0</v>
      </c>
      <c r="O251" s="114">
        <v>0</v>
      </c>
      <c r="P251" s="114">
        <v>0</v>
      </c>
      <c r="Q251" s="114">
        <v>0</v>
      </c>
      <c r="R251" s="114">
        <v>0</v>
      </c>
      <c r="S251" s="114">
        <v>0</v>
      </c>
      <c r="T251" s="114">
        <v>0</v>
      </c>
      <c r="U251" s="114">
        <v>0</v>
      </c>
      <c r="V251" s="114">
        <v>0</v>
      </c>
      <c r="W251" s="114">
        <v>0</v>
      </c>
      <c r="X251" s="114">
        <v>0</v>
      </c>
      <c r="Y251" s="114">
        <v>0</v>
      </c>
      <c r="Z251" s="114">
        <v>0</v>
      </c>
      <c r="AA251" s="114">
        <v>0</v>
      </c>
      <c r="AB251" s="114">
        <v>0</v>
      </c>
      <c r="AC251" s="114">
        <v>0</v>
      </c>
      <c r="AD251" s="114">
        <v>0</v>
      </c>
      <c r="AE251" s="114">
        <v>0</v>
      </c>
      <c r="AF251" s="114">
        <v>0</v>
      </c>
      <c r="AG251" s="114">
        <v>0</v>
      </c>
      <c r="AH251" s="114">
        <v>0</v>
      </c>
      <c r="AI251" s="114">
        <v>0</v>
      </c>
      <c r="AJ251" s="114">
        <v>0</v>
      </c>
      <c r="AK251" s="114">
        <v>0</v>
      </c>
      <c r="AL251" s="114">
        <v>0</v>
      </c>
      <c r="AM251" s="114">
        <v>0</v>
      </c>
      <c r="AN251" s="114">
        <v>0</v>
      </c>
      <c r="AO251" s="114">
        <v>0</v>
      </c>
      <c r="AP251" s="114">
        <v>0</v>
      </c>
      <c r="AQ251" s="114">
        <v>0</v>
      </c>
      <c r="AR251" s="114">
        <v>0</v>
      </c>
      <c r="AS251" s="114">
        <v>0</v>
      </c>
      <c r="AT251" s="114">
        <v>0</v>
      </c>
      <c r="AU251" s="114">
        <v>0</v>
      </c>
      <c r="AV251" s="114">
        <v>0</v>
      </c>
      <c r="AW251" s="114">
        <v>0</v>
      </c>
      <c r="AX251" s="114">
        <v>0</v>
      </c>
      <c r="AY251" s="114">
        <v>0</v>
      </c>
    </row>
    <row r="252" spans="1:51" x14ac:dyDescent="0.2">
      <c r="A252" s="113"/>
      <c r="B252" s="133">
        <v>44</v>
      </c>
      <c r="C252" s="110">
        <v>0</v>
      </c>
      <c r="D252" s="114">
        <v>0</v>
      </c>
      <c r="E252" s="114">
        <v>0</v>
      </c>
      <c r="F252" s="114">
        <v>0</v>
      </c>
      <c r="G252" s="114">
        <v>0</v>
      </c>
      <c r="H252" s="114">
        <v>0</v>
      </c>
      <c r="I252" s="114">
        <v>0</v>
      </c>
      <c r="J252" s="114">
        <v>0</v>
      </c>
      <c r="K252" s="114">
        <v>0</v>
      </c>
      <c r="L252" s="114">
        <v>0</v>
      </c>
      <c r="M252" s="114">
        <v>0</v>
      </c>
      <c r="N252" s="114">
        <v>0</v>
      </c>
      <c r="O252" s="114">
        <v>0</v>
      </c>
      <c r="P252" s="114">
        <v>0</v>
      </c>
      <c r="Q252" s="114">
        <v>0</v>
      </c>
      <c r="R252" s="114">
        <v>0</v>
      </c>
      <c r="S252" s="114">
        <v>0</v>
      </c>
      <c r="T252" s="114">
        <v>0</v>
      </c>
      <c r="U252" s="114">
        <v>0</v>
      </c>
      <c r="V252" s="114">
        <v>0</v>
      </c>
      <c r="W252" s="114">
        <v>0</v>
      </c>
      <c r="X252" s="114">
        <v>0</v>
      </c>
      <c r="Y252" s="114">
        <v>0</v>
      </c>
      <c r="Z252" s="114">
        <v>0</v>
      </c>
      <c r="AA252" s="114">
        <v>0</v>
      </c>
      <c r="AB252" s="114">
        <v>0</v>
      </c>
      <c r="AC252" s="114">
        <v>0</v>
      </c>
      <c r="AD252" s="114">
        <v>0</v>
      </c>
      <c r="AE252" s="114">
        <v>0</v>
      </c>
      <c r="AF252" s="114">
        <v>0</v>
      </c>
      <c r="AG252" s="114">
        <v>0</v>
      </c>
      <c r="AH252" s="114">
        <v>0</v>
      </c>
      <c r="AI252" s="114">
        <v>0</v>
      </c>
      <c r="AJ252" s="114">
        <v>0</v>
      </c>
      <c r="AK252" s="114">
        <v>0</v>
      </c>
      <c r="AL252" s="114">
        <v>0</v>
      </c>
      <c r="AM252" s="114">
        <v>0</v>
      </c>
      <c r="AN252" s="114">
        <v>0</v>
      </c>
      <c r="AO252" s="114">
        <v>0</v>
      </c>
      <c r="AP252" s="114">
        <v>0</v>
      </c>
      <c r="AQ252" s="114">
        <v>0</v>
      </c>
      <c r="AR252" s="114">
        <v>0</v>
      </c>
      <c r="AS252" s="114">
        <v>0</v>
      </c>
      <c r="AT252" s="114">
        <v>0</v>
      </c>
      <c r="AU252" s="114">
        <v>0</v>
      </c>
      <c r="AV252" s="114">
        <v>0</v>
      </c>
      <c r="AW252" s="114">
        <v>0</v>
      </c>
      <c r="AX252" s="114">
        <v>0</v>
      </c>
      <c r="AY252" s="114">
        <v>0</v>
      </c>
    </row>
    <row r="253" spans="1:51" x14ac:dyDescent="0.2">
      <c r="A253" s="113"/>
      <c r="B253" s="133">
        <v>45</v>
      </c>
      <c r="C253" s="110">
        <v>0</v>
      </c>
      <c r="D253" s="114">
        <v>0</v>
      </c>
      <c r="E253" s="114">
        <v>0</v>
      </c>
      <c r="F253" s="114">
        <v>0</v>
      </c>
      <c r="G253" s="114">
        <v>0</v>
      </c>
      <c r="H253" s="114">
        <v>0</v>
      </c>
      <c r="I253" s="114">
        <v>0</v>
      </c>
      <c r="J253" s="114">
        <v>0</v>
      </c>
      <c r="K253" s="114">
        <v>0</v>
      </c>
      <c r="L253" s="114">
        <v>0</v>
      </c>
      <c r="M253" s="114">
        <v>0</v>
      </c>
      <c r="N253" s="114">
        <v>0</v>
      </c>
      <c r="O253" s="114">
        <v>0</v>
      </c>
      <c r="P253" s="114">
        <v>0</v>
      </c>
      <c r="Q253" s="114">
        <v>0</v>
      </c>
      <c r="R253" s="114">
        <v>0</v>
      </c>
      <c r="S253" s="114">
        <v>0</v>
      </c>
      <c r="T253" s="114">
        <v>0</v>
      </c>
      <c r="U253" s="114">
        <v>0</v>
      </c>
      <c r="V253" s="114">
        <v>0</v>
      </c>
      <c r="W253" s="114">
        <v>0</v>
      </c>
      <c r="X253" s="114">
        <v>0</v>
      </c>
      <c r="Y253" s="114">
        <v>0</v>
      </c>
      <c r="Z253" s="114">
        <v>0</v>
      </c>
      <c r="AA253" s="114">
        <v>0</v>
      </c>
      <c r="AB253" s="114">
        <v>0</v>
      </c>
      <c r="AC253" s="114">
        <v>0</v>
      </c>
      <c r="AD253" s="114">
        <v>0</v>
      </c>
      <c r="AE253" s="114">
        <v>0</v>
      </c>
      <c r="AF253" s="114">
        <v>0</v>
      </c>
      <c r="AG253" s="114">
        <v>0</v>
      </c>
      <c r="AH253" s="114">
        <v>0</v>
      </c>
      <c r="AI253" s="114">
        <v>0</v>
      </c>
      <c r="AJ253" s="114">
        <v>0</v>
      </c>
      <c r="AK253" s="114">
        <v>0</v>
      </c>
      <c r="AL253" s="114">
        <v>0</v>
      </c>
      <c r="AM253" s="114">
        <v>0</v>
      </c>
      <c r="AN253" s="114">
        <v>0</v>
      </c>
      <c r="AO253" s="114">
        <v>0</v>
      </c>
      <c r="AP253" s="114">
        <v>0</v>
      </c>
      <c r="AQ253" s="114">
        <v>0</v>
      </c>
      <c r="AR253" s="114">
        <v>0</v>
      </c>
      <c r="AS253" s="114">
        <v>0</v>
      </c>
      <c r="AT253" s="114">
        <v>0</v>
      </c>
      <c r="AU253" s="114">
        <v>0</v>
      </c>
      <c r="AV253" s="114">
        <v>0</v>
      </c>
      <c r="AW253" s="114">
        <v>0</v>
      </c>
      <c r="AX253" s="114">
        <v>0</v>
      </c>
      <c r="AY253" s="114">
        <v>0</v>
      </c>
    </row>
    <row r="254" spans="1:51" x14ac:dyDescent="0.2">
      <c r="A254" s="113"/>
      <c r="B254" s="133">
        <v>46</v>
      </c>
      <c r="C254" s="110">
        <v>0</v>
      </c>
      <c r="D254" s="114">
        <v>0</v>
      </c>
      <c r="E254" s="114">
        <v>0</v>
      </c>
      <c r="F254" s="114">
        <v>0</v>
      </c>
      <c r="G254" s="114">
        <v>0</v>
      </c>
      <c r="H254" s="114">
        <v>0</v>
      </c>
      <c r="I254" s="114">
        <v>0</v>
      </c>
      <c r="J254" s="114">
        <v>0</v>
      </c>
      <c r="K254" s="114">
        <v>0</v>
      </c>
      <c r="L254" s="114">
        <v>0</v>
      </c>
      <c r="M254" s="114">
        <v>0</v>
      </c>
      <c r="N254" s="114">
        <v>0</v>
      </c>
      <c r="O254" s="114">
        <v>0</v>
      </c>
      <c r="P254" s="114">
        <v>0</v>
      </c>
      <c r="Q254" s="114">
        <v>0</v>
      </c>
      <c r="R254" s="114">
        <v>0</v>
      </c>
      <c r="S254" s="114">
        <v>0</v>
      </c>
      <c r="T254" s="114">
        <v>0</v>
      </c>
      <c r="U254" s="114">
        <v>0</v>
      </c>
      <c r="V254" s="114">
        <v>0</v>
      </c>
      <c r="W254" s="114">
        <v>0</v>
      </c>
      <c r="X254" s="114">
        <v>0</v>
      </c>
      <c r="Y254" s="114">
        <v>0</v>
      </c>
      <c r="Z254" s="114">
        <v>0</v>
      </c>
      <c r="AA254" s="114">
        <v>0</v>
      </c>
      <c r="AB254" s="114">
        <v>0</v>
      </c>
      <c r="AC254" s="114">
        <v>0</v>
      </c>
      <c r="AD254" s="114">
        <v>0</v>
      </c>
      <c r="AE254" s="114">
        <v>0</v>
      </c>
      <c r="AF254" s="114">
        <v>0</v>
      </c>
      <c r="AG254" s="114">
        <v>0</v>
      </c>
      <c r="AH254" s="114">
        <v>0</v>
      </c>
      <c r="AI254" s="114">
        <v>0</v>
      </c>
      <c r="AJ254" s="114">
        <v>0</v>
      </c>
      <c r="AK254" s="114">
        <v>0</v>
      </c>
      <c r="AL254" s="114">
        <v>0</v>
      </c>
      <c r="AM254" s="114">
        <v>0</v>
      </c>
      <c r="AN254" s="114">
        <v>0</v>
      </c>
      <c r="AO254" s="114">
        <v>0</v>
      </c>
      <c r="AP254" s="114">
        <v>0</v>
      </c>
      <c r="AQ254" s="114">
        <v>0</v>
      </c>
      <c r="AR254" s="114">
        <v>0</v>
      </c>
      <c r="AS254" s="114">
        <v>0</v>
      </c>
      <c r="AT254" s="114">
        <v>0</v>
      </c>
      <c r="AU254" s="114">
        <v>0</v>
      </c>
      <c r="AV254" s="114">
        <v>0</v>
      </c>
      <c r="AW254" s="114">
        <v>0</v>
      </c>
      <c r="AX254" s="114">
        <v>0</v>
      </c>
      <c r="AY254" s="114">
        <v>0</v>
      </c>
    </row>
    <row r="255" spans="1:51" x14ac:dyDescent="0.2">
      <c r="A255" s="113"/>
      <c r="B255" s="133">
        <v>47</v>
      </c>
      <c r="C255" s="110">
        <v>0</v>
      </c>
      <c r="D255" s="114">
        <v>0</v>
      </c>
      <c r="E255" s="114">
        <v>0</v>
      </c>
      <c r="F255" s="114">
        <v>0</v>
      </c>
      <c r="G255" s="114">
        <v>0</v>
      </c>
      <c r="H255" s="114">
        <v>0</v>
      </c>
      <c r="I255" s="114">
        <v>0</v>
      </c>
      <c r="J255" s="114">
        <v>0</v>
      </c>
      <c r="K255" s="114">
        <v>0</v>
      </c>
      <c r="L255" s="114">
        <v>0</v>
      </c>
      <c r="M255" s="114">
        <v>0</v>
      </c>
      <c r="N255" s="114">
        <v>0</v>
      </c>
      <c r="O255" s="114">
        <v>0</v>
      </c>
      <c r="P255" s="114">
        <v>0</v>
      </c>
      <c r="Q255" s="114">
        <v>0</v>
      </c>
      <c r="R255" s="114">
        <v>0</v>
      </c>
      <c r="S255" s="114">
        <v>0</v>
      </c>
      <c r="T255" s="114">
        <v>0</v>
      </c>
      <c r="U255" s="114">
        <v>0</v>
      </c>
      <c r="V255" s="114">
        <v>0</v>
      </c>
      <c r="W255" s="114">
        <v>0</v>
      </c>
      <c r="X255" s="114">
        <v>0</v>
      </c>
      <c r="Y255" s="114">
        <v>0</v>
      </c>
      <c r="Z255" s="114">
        <v>0</v>
      </c>
      <c r="AA255" s="114">
        <v>0</v>
      </c>
      <c r="AB255" s="114">
        <v>0</v>
      </c>
      <c r="AC255" s="114">
        <v>0</v>
      </c>
      <c r="AD255" s="114">
        <v>0</v>
      </c>
      <c r="AE255" s="114">
        <v>0</v>
      </c>
      <c r="AF255" s="114">
        <v>0</v>
      </c>
      <c r="AG255" s="114">
        <v>0</v>
      </c>
      <c r="AH255" s="114">
        <v>0</v>
      </c>
      <c r="AI255" s="114">
        <v>0</v>
      </c>
      <c r="AJ255" s="114">
        <v>0</v>
      </c>
      <c r="AK255" s="114">
        <v>0</v>
      </c>
      <c r="AL255" s="114">
        <v>0</v>
      </c>
      <c r="AM255" s="114">
        <v>0</v>
      </c>
      <c r="AN255" s="114">
        <v>0</v>
      </c>
      <c r="AO255" s="114">
        <v>0</v>
      </c>
      <c r="AP255" s="114">
        <v>0</v>
      </c>
      <c r="AQ255" s="114">
        <v>0</v>
      </c>
      <c r="AR255" s="114">
        <v>0</v>
      </c>
      <c r="AS255" s="114">
        <v>0</v>
      </c>
      <c r="AT255" s="114">
        <v>0</v>
      </c>
      <c r="AU255" s="114">
        <v>0</v>
      </c>
      <c r="AV255" s="114">
        <v>0</v>
      </c>
      <c r="AW255" s="114">
        <v>0</v>
      </c>
      <c r="AX255" s="114">
        <v>0</v>
      </c>
      <c r="AY255" s="114">
        <v>0</v>
      </c>
    </row>
    <row r="256" spans="1:51" x14ac:dyDescent="0.2">
      <c r="A256" s="131"/>
      <c r="B256" s="132">
        <v>48</v>
      </c>
      <c r="C256" s="117">
        <v>0</v>
      </c>
      <c r="D256" s="128">
        <v>0</v>
      </c>
      <c r="E256" s="128">
        <v>0</v>
      </c>
      <c r="F256" s="128">
        <v>0</v>
      </c>
      <c r="G256" s="128">
        <v>0</v>
      </c>
      <c r="H256" s="128">
        <v>0</v>
      </c>
      <c r="I256" s="128">
        <v>0</v>
      </c>
      <c r="J256" s="128">
        <v>0</v>
      </c>
      <c r="K256" s="128">
        <v>0</v>
      </c>
      <c r="L256" s="128">
        <v>0</v>
      </c>
      <c r="M256" s="128">
        <v>0</v>
      </c>
      <c r="N256" s="128">
        <v>0</v>
      </c>
      <c r="O256" s="128">
        <v>0</v>
      </c>
      <c r="P256" s="128">
        <v>0</v>
      </c>
      <c r="Q256" s="128">
        <v>0</v>
      </c>
      <c r="R256" s="128">
        <v>0</v>
      </c>
      <c r="S256" s="128">
        <v>0</v>
      </c>
      <c r="T256" s="128">
        <v>0</v>
      </c>
      <c r="U256" s="128">
        <v>0</v>
      </c>
      <c r="V256" s="128">
        <v>0</v>
      </c>
      <c r="W256" s="128">
        <v>0</v>
      </c>
      <c r="X256" s="128">
        <v>0</v>
      </c>
      <c r="Y256" s="128">
        <v>0</v>
      </c>
      <c r="Z256" s="128">
        <v>0</v>
      </c>
      <c r="AA256" s="128">
        <v>0</v>
      </c>
      <c r="AB256" s="128">
        <v>0</v>
      </c>
      <c r="AC256" s="128">
        <v>0</v>
      </c>
      <c r="AD256" s="128">
        <v>0</v>
      </c>
      <c r="AE256" s="128">
        <v>0</v>
      </c>
      <c r="AF256" s="128">
        <v>0</v>
      </c>
      <c r="AG256" s="128">
        <v>0</v>
      </c>
      <c r="AH256" s="128">
        <v>0</v>
      </c>
      <c r="AI256" s="128">
        <v>0</v>
      </c>
      <c r="AJ256" s="128">
        <v>0</v>
      </c>
      <c r="AK256" s="128">
        <v>0</v>
      </c>
      <c r="AL256" s="128">
        <v>0</v>
      </c>
      <c r="AM256" s="128">
        <v>0</v>
      </c>
      <c r="AN256" s="128">
        <v>0</v>
      </c>
      <c r="AO256" s="128">
        <v>0</v>
      </c>
      <c r="AP256" s="128">
        <v>0</v>
      </c>
      <c r="AQ256" s="128">
        <v>0</v>
      </c>
      <c r="AR256" s="128">
        <v>0</v>
      </c>
      <c r="AS256" s="128">
        <v>0</v>
      </c>
      <c r="AT256" s="128">
        <v>0</v>
      </c>
      <c r="AU256" s="128">
        <v>0</v>
      </c>
      <c r="AV256" s="128">
        <v>0</v>
      </c>
      <c r="AW256" s="128">
        <v>0</v>
      </c>
      <c r="AX256" s="128">
        <v>0</v>
      </c>
      <c r="AY256" s="128">
        <v>0</v>
      </c>
    </row>
    <row r="258" spans="1:52" x14ac:dyDescent="0.2">
      <c r="A258" s="1" t="s">
        <v>301</v>
      </c>
    </row>
    <row r="259" spans="1:52" x14ac:dyDescent="0.2">
      <c r="A259" s="140" t="s">
        <v>124</v>
      </c>
      <c r="B259" s="141">
        <v>650</v>
      </c>
      <c r="C259" s="127" t="s">
        <v>293</v>
      </c>
      <c r="D259" s="127">
        <f>E$14*$B$259</f>
        <v>2026826.7409286578</v>
      </c>
      <c r="E259" s="127">
        <f t="shared" ref="E259:AX259" si="5">F$14*$B$259</f>
        <v>1577484.1415306632</v>
      </c>
      <c r="F259" s="127">
        <f t="shared" si="5"/>
        <v>1180471.3240181317</v>
      </c>
      <c r="G259" s="127">
        <f t="shared" si="5"/>
        <v>864203.60690837412</v>
      </c>
      <c r="H259" s="127">
        <f t="shared" si="5"/>
        <v>787357.30853663059</v>
      </c>
      <c r="I259" s="127">
        <f t="shared" si="5"/>
        <v>873055.77680510469</v>
      </c>
      <c r="J259" s="127">
        <f t="shared" si="5"/>
        <v>807044.19101629383</v>
      </c>
      <c r="K259" s="127">
        <f t="shared" si="5"/>
        <v>664288.3240396633</v>
      </c>
      <c r="L259" s="127">
        <f t="shared" si="5"/>
        <v>672687.31217684597</v>
      </c>
      <c r="M259" s="127">
        <f t="shared" si="5"/>
        <v>675275.25038221013</v>
      </c>
      <c r="N259" s="127">
        <f t="shared" si="5"/>
        <v>613507.83542216138</v>
      </c>
      <c r="O259" s="127">
        <f t="shared" si="5"/>
        <v>445769.56396374624</v>
      </c>
      <c r="P259" s="127">
        <f t="shared" si="5"/>
        <v>540992.66519605473</v>
      </c>
      <c r="Q259" s="127">
        <f t="shared" si="5"/>
        <v>598652.41642979183</v>
      </c>
      <c r="R259" s="127">
        <f t="shared" si="5"/>
        <v>604650.47244706762</v>
      </c>
      <c r="S259" s="127">
        <f t="shared" si="5"/>
        <v>643167.427584816</v>
      </c>
      <c r="T259" s="127">
        <f t="shared" si="5"/>
        <v>670069.84582108038</v>
      </c>
      <c r="U259" s="127">
        <f t="shared" si="5"/>
        <v>592750.75549438316</v>
      </c>
      <c r="V259" s="127">
        <f t="shared" si="5"/>
        <v>727514.39726534754</v>
      </c>
      <c r="W259" s="127">
        <f t="shared" si="5"/>
        <v>608897.77613297047</v>
      </c>
      <c r="X259" s="127">
        <f t="shared" si="5"/>
        <v>638556.05854690808</v>
      </c>
      <c r="Y259" s="127">
        <f t="shared" si="5"/>
        <v>752061.50099762168</v>
      </c>
      <c r="Z259" s="127">
        <f t="shared" si="5"/>
        <v>622178.10590110486</v>
      </c>
      <c r="AA259" s="127">
        <f t="shared" si="5"/>
        <v>706324.84382346098</v>
      </c>
      <c r="AB259" s="127">
        <f t="shared" si="5"/>
        <v>699005.42095807369</v>
      </c>
      <c r="AC259" s="127">
        <f t="shared" si="5"/>
        <v>602441.75808027037</v>
      </c>
      <c r="AD259" s="127">
        <f t="shared" si="5"/>
        <v>516905.64218085574</v>
      </c>
      <c r="AE259" s="127">
        <f t="shared" si="5"/>
        <v>693828.0341345215</v>
      </c>
      <c r="AF259" s="127">
        <f t="shared" si="5"/>
        <v>509011.89641629963</v>
      </c>
      <c r="AG259" s="127">
        <f t="shared" si="5"/>
        <v>625864.85787716811</v>
      </c>
      <c r="AH259" s="127">
        <f t="shared" si="5"/>
        <v>472493.30839219445</v>
      </c>
      <c r="AI259" s="127">
        <f t="shared" si="5"/>
        <v>367147.7910854611</v>
      </c>
      <c r="AJ259" s="127">
        <f t="shared" si="5"/>
        <v>356658.36910295684</v>
      </c>
      <c r="AK259" s="127">
        <f t="shared" si="5"/>
        <v>409855.52306090359</v>
      </c>
      <c r="AL259" s="127">
        <f t="shared" si="5"/>
        <v>343797.53785535984</v>
      </c>
      <c r="AM259" s="127">
        <f t="shared" si="5"/>
        <v>478377.10973014473</v>
      </c>
      <c r="AN259" s="127">
        <f t="shared" si="5"/>
        <v>464062.86403814232</v>
      </c>
      <c r="AO259" s="127">
        <f t="shared" si="5"/>
        <v>569605.08984948543</v>
      </c>
      <c r="AP259" s="127">
        <f t="shared" si="5"/>
        <v>506061.47649769473</v>
      </c>
      <c r="AQ259" s="127">
        <f t="shared" si="5"/>
        <v>700440.87467279355</v>
      </c>
      <c r="AR259" s="127">
        <f t="shared" si="5"/>
        <v>706849.62133242143</v>
      </c>
      <c r="AS259" s="127">
        <f t="shared" si="5"/>
        <v>608393.44972519402</v>
      </c>
      <c r="AT259" s="127">
        <f t="shared" si="5"/>
        <v>429599.09793190972</v>
      </c>
      <c r="AU259" s="127">
        <f t="shared" si="5"/>
        <v>576085.02358672349</v>
      </c>
      <c r="AV259" s="127">
        <f t="shared" si="5"/>
        <v>529088.35589404206</v>
      </c>
      <c r="AW259" s="127">
        <f t="shared" si="5"/>
        <v>538034.95055232162</v>
      </c>
      <c r="AX259" s="127">
        <f t="shared" si="5"/>
        <v>392632.39500603866</v>
      </c>
      <c r="AY259" s="127">
        <f>AZ$14*$B$259</f>
        <v>477123.49028198048</v>
      </c>
      <c r="AZ259" s="142">
        <f>SUM($D259:$AY259)</f>
        <v>31467151.57961205</v>
      </c>
    </row>
    <row r="260" spans="1:52" x14ac:dyDescent="0.2">
      <c r="A260" s="143" t="s">
        <v>302</v>
      </c>
      <c r="B260" s="117">
        <v>60</v>
      </c>
      <c r="C260" s="128" t="s">
        <v>293</v>
      </c>
      <c r="D260" s="128">
        <f>(D$175-D$176+D$177-D$178+D$179-D$180+D$181-D$182)*$B$260</f>
        <v>2104668.3008373543</v>
      </c>
      <c r="E260" s="128">
        <f t="shared" ref="E260:AY260" si="6">(E$175-E$176+E$177-E$178+E$179-E$180+E$181-E$182)*$B$260</f>
        <v>2129183.8977907738</v>
      </c>
      <c r="F260" s="128">
        <f t="shared" si="6"/>
        <v>2155013.4162444798</v>
      </c>
      <c r="G260" s="128">
        <f t="shared" si="6"/>
        <v>2188527.3593623042</v>
      </c>
      <c r="H260" s="128">
        <f t="shared" si="6"/>
        <v>2219475.2735275021</v>
      </c>
      <c r="I260" s="128">
        <f t="shared" si="6"/>
        <v>2222849.4111567345</v>
      </c>
      <c r="J260" s="128">
        <f t="shared" si="6"/>
        <v>2239889.5336612351</v>
      </c>
      <c r="K260" s="128">
        <f t="shared" si="6"/>
        <v>2245800.3518391005</v>
      </c>
      <c r="L260" s="128">
        <f t="shared" si="6"/>
        <v>2238015.0382772349</v>
      </c>
      <c r="M260" s="128">
        <f t="shared" si="6"/>
        <v>2242878.2028587456</v>
      </c>
      <c r="N260" s="128">
        <f t="shared" si="6"/>
        <v>2249224.5016141455</v>
      </c>
      <c r="O260" s="128">
        <f t="shared" si="6"/>
        <v>2174176.2843151474</v>
      </c>
      <c r="P260" s="128">
        <f t="shared" si="6"/>
        <v>1937755.0205512424</v>
      </c>
      <c r="Q260" s="128">
        <f t="shared" si="6"/>
        <v>1800192.9158551854</v>
      </c>
      <c r="R260" s="128">
        <f t="shared" si="6"/>
        <v>1720557.5158664156</v>
      </c>
      <c r="S260" s="128">
        <f t="shared" si="6"/>
        <v>1675964.1898873802</v>
      </c>
      <c r="T260" s="128">
        <f t="shared" si="6"/>
        <v>1712683.4367399358</v>
      </c>
      <c r="U260" s="128">
        <f t="shared" si="6"/>
        <v>1692440.1424652464</v>
      </c>
      <c r="V260" s="128">
        <f t="shared" si="6"/>
        <v>1683984.5883748983</v>
      </c>
      <c r="W260" s="128">
        <f t="shared" si="6"/>
        <v>1661951.1289367361</v>
      </c>
      <c r="X260" s="128">
        <f t="shared" si="6"/>
        <v>1634592.3642838786</v>
      </c>
      <c r="Y260" s="128">
        <f t="shared" si="6"/>
        <v>1641719.7459706403</v>
      </c>
      <c r="Z260" s="128">
        <f t="shared" si="6"/>
        <v>1621475.7415014156</v>
      </c>
      <c r="AA260" s="128">
        <f t="shared" si="6"/>
        <v>1634176.471848889</v>
      </c>
      <c r="AB260" s="128">
        <f t="shared" si="6"/>
        <v>1660546.1118693855</v>
      </c>
      <c r="AC260" s="128">
        <f t="shared" si="6"/>
        <v>1664011.2119062892</v>
      </c>
      <c r="AD260" s="128">
        <f t="shared" si="6"/>
        <v>1641951.004360154</v>
      </c>
      <c r="AE260" s="128">
        <f t="shared" si="6"/>
        <v>1672539.1751871135</v>
      </c>
      <c r="AF260" s="128">
        <f t="shared" si="6"/>
        <v>1543461.1849080685</v>
      </c>
      <c r="AG260" s="128">
        <f t="shared" si="6"/>
        <v>1477988.5928398147</v>
      </c>
      <c r="AH260" s="128">
        <f t="shared" si="6"/>
        <v>1473262.08079869</v>
      </c>
      <c r="AI260" s="128">
        <f t="shared" si="6"/>
        <v>1439549.4094894449</v>
      </c>
      <c r="AJ260" s="128">
        <f t="shared" si="6"/>
        <v>1539574.6856891529</v>
      </c>
      <c r="AK260" s="128">
        <f t="shared" si="6"/>
        <v>1581985.4697397251</v>
      </c>
      <c r="AL260" s="128">
        <f t="shared" si="6"/>
        <v>1535677.6264602402</v>
      </c>
      <c r="AM260" s="128">
        <f t="shared" si="6"/>
        <v>1537375.0569888633</v>
      </c>
      <c r="AN260" s="128">
        <f t="shared" si="6"/>
        <v>1538727.2676135092</v>
      </c>
      <c r="AO260" s="128">
        <f t="shared" si="6"/>
        <v>1525685.3546432594</v>
      </c>
      <c r="AP260" s="128">
        <f t="shared" si="6"/>
        <v>1525941.0901178508</v>
      </c>
      <c r="AQ260" s="128">
        <f t="shared" si="6"/>
        <v>1551511.4040895677</v>
      </c>
      <c r="AR260" s="128">
        <f t="shared" si="6"/>
        <v>1492918.6348998493</v>
      </c>
      <c r="AS260" s="128">
        <f t="shared" si="6"/>
        <v>1436421.005121713</v>
      </c>
      <c r="AT260" s="128">
        <f t="shared" si="6"/>
        <v>1443383.4305412532</v>
      </c>
      <c r="AU260" s="128">
        <f t="shared" si="6"/>
        <v>1438976.8888444307</v>
      </c>
      <c r="AV260" s="128">
        <f t="shared" si="6"/>
        <v>1449909.849929044</v>
      </c>
      <c r="AW260" s="128">
        <f t="shared" si="6"/>
        <v>1498593.6234486604</v>
      </c>
      <c r="AX260" s="128">
        <f t="shared" si="6"/>
        <v>1442947.2876111129</v>
      </c>
      <c r="AY260" s="128">
        <f t="shared" si="6"/>
        <v>1433062.1882081612</v>
      </c>
      <c r="AZ260" s="144">
        <f>SUM($D260:$AY260)</f>
        <v>83373194.469071999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75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customWidth="1"/>
    <col min="2" max="2" width="12.7109375" customWidth="1"/>
  </cols>
  <sheetData>
    <row r="1" spans="1:53" x14ac:dyDescent="0.2">
      <c r="A1" s="1" t="s">
        <v>284</v>
      </c>
    </row>
    <row r="2" spans="1:53" x14ac:dyDescent="0.2">
      <c r="A2" t="s">
        <v>285</v>
      </c>
      <c r="B2" s="111" t="s">
        <v>59</v>
      </c>
    </row>
    <row r="3" spans="1:53" x14ac:dyDescent="0.2">
      <c r="A3" t="s">
        <v>286</v>
      </c>
      <c r="B3" s="112">
        <v>43000</v>
      </c>
      <c r="C3" s="113"/>
    </row>
    <row r="4" spans="1:53" x14ac:dyDescent="0.2">
      <c r="B4" s="114"/>
      <c r="C4" s="114"/>
    </row>
    <row r="5" spans="1:53" x14ac:dyDescent="0.2">
      <c r="C5" s="9" t="s">
        <v>287</v>
      </c>
    </row>
    <row r="6" spans="1:53" x14ac:dyDescent="0.2">
      <c r="C6" s="115">
        <v>0</v>
      </c>
      <c r="D6" s="115">
        <v>1</v>
      </c>
      <c r="E6" s="115">
        <v>2</v>
      </c>
      <c r="F6" s="115">
        <v>3</v>
      </c>
      <c r="G6" s="115">
        <v>4</v>
      </c>
      <c r="H6" s="115">
        <v>5</v>
      </c>
      <c r="I6" s="115">
        <v>6</v>
      </c>
      <c r="J6" s="115">
        <v>7</v>
      </c>
      <c r="K6" s="115">
        <v>8</v>
      </c>
      <c r="L6" s="115">
        <v>9</v>
      </c>
      <c r="M6" s="115">
        <v>10</v>
      </c>
      <c r="N6" s="115">
        <v>11</v>
      </c>
      <c r="O6" s="115">
        <v>12</v>
      </c>
      <c r="P6" s="115">
        <v>13</v>
      </c>
      <c r="Q6" s="115">
        <v>14</v>
      </c>
      <c r="R6" s="115">
        <v>15</v>
      </c>
      <c r="S6" s="115">
        <v>16</v>
      </c>
      <c r="T6" s="115">
        <v>17</v>
      </c>
      <c r="U6" s="115">
        <v>18</v>
      </c>
      <c r="V6" s="115">
        <v>19</v>
      </c>
      <c r="W6" s="115">
        <v>20</v>
      </c>
      <c r="X6" s="115">
        <v>21</v>
      </c>
      <c r="Y6" s="115">
        <v>22</v>
      </c>
      <c r="Z6" s="115">
        <v>23</v>
      </c>
      <c r="AA6" s="115">
        <v>24</v>
      </c>
      <c r="AB6" s="115">
        <v>25</v>
      </c>
      <c r="AC6" s="115">
        <v>26</v>
      </c>
      <c r="AD6" s="115">
        <v>27</v>
      </c>
      <c r="AE6" s="115">
        <v>28</v>
      </c>
      <c r="AF6" s="115">
        <v>29</v>
      </c>
      <c r="AG6" s="115">
        <v>30</v>
      </c>
      <c r="AH6" s="115">
        <v>31</v>
      </c>
      <c r="AI6" s="115">
        <v>32</v>
      </c>
      <c r="AJ6" s="115">
        <v>33</v>
      </c>
      <c r="AK6" s="115">
        <v>34</v>
      </c>
      <c r="AL6" s="115">
        <v>35</v>
      </c>
      <c r="AM6" s="115">
        <v>36</v>
      </c>
      <c r="AN6" s="115">
        <v>37</v>
      </c>
      <c r="AO6" s="115">
        <v>38</v>
      </c>
      <c r="AP6" s="115">
        <v>39</v>
      </c>
      <c r="AQ6" s="115">
        <v>40</v>
      </c>
      <c r="AR6" s="115">
        <v>41</v>
      </c>
      <c r="AS6" s="115">
        <v>42</v>
      </c>
      <c r="AT6" s="115">
        <v>43</v>
      </c>
      <c r="AU6" s="115">
        <v>44</v>
      </c>
      <c r="AV6" s="115">
        <v>45</v>
      </c>
      <c r="AW6" s="115">
        <v>46</v>
      </c>
      <c r="AX6" s="115">
        <v>47</v>
      </c>
      <c r="AY6" s="115">
        <v>48</v>
      </c>
    </row>
    <row r="7" spans="1:53" x14ac:dyDescent="0.2">
      <c r="B7" s="114"/>
      <c r="C7" s="116" t="s">
        <v>288</v>
      </c>
      <c r="D7" s="115" t="s">
        <v>289</v>
      </c>
      <c r="E7" s="115" t="s">
        <v>289</v>
      </c>
      <c r="F7" s="115" t="s">
        <v>289</v>
      </c>
      <c r="G7" s="115" t="s">
        <v>289</v>
      </c>
      <c r="H7" s="115" t="s">
        <v>289</v>
      </c>
      <c r="I7" s="115" t="s">
        <v>289</v>
      </c>
      <c r="J7" s="115" t="s">
        <v>289</v>
      </c>
      <c r="K7" s="115" t="s">
        <v>289</v>
      </c>
      <c r="L7" s="115" t="s">
        <v>289</v>
      </c>
      <c r="M7" s="115" t="s">
        <v>289</v>
      </c>
      <c r="N7" s="115" t="s">
        <v>289</v>
      </c>
      <c r="O7" s="115" t="s">
        <v>289</v>
      </c>
      <c r="P7" s="115" t="s">
        <v>289</v>
      </c>
      <c r="Q7" s="115" t="s">
        <v>289</v>
      </c>
      <c r="R7" s="115" t="s">
        <v>289</v>
      </c>
      <c r="S7" s="115" t="s">
        <v>289</v>
      </c>
      <c r="T7" s="115" t="s">
        <v>289</v>
      </c>
      <c r="U7" s="115" t="s">
        <v>289</v>
      </c>
      <c r="V7" s="115" t="s">
        <v>289</v>
      </c>
      <c r="W7" s="115" t="s">
        <v>289</v>
      </c>
      <c r="X7" s="115" t="s">
        <v>289</v>
      </c>
      <c r="Y7" s="115" t="s">
        <v>289</v>
      </c>
      <c r="Z7" s="115" t="s">
        <v>289</v>
      </c>
      <c r="AA7" s="115" t="s">
        <v>289</v>
      </c>
      <c r="AB7" s="115" t="s">
        <v>289</v>
      </c>
      <c r="AC7" s="115" t="s">
        <v>289</v>
      </c>
      <c r="AD7" s="115" t="s">
        <v>289</v>
      </c>
      <c r="AE7" s="115" t="s">
        <v>289</v>
      </c>
      <c r="AF7" s="115" t="s">
        <v>289</v>
      </c>
      <c r="AG7" s="115" t="s">
        <v>289</v>
      </c>
      <c r="AH7" s="115" t="s">
        <v>289</v>
      </c>
      <c r="AI7" s="115" t="s">
        <v>289</v>
      </c>
      <c r="AJ7" s="115" t="s">
        <v>289</v>
      </c>
      <c r="AK7" s="115" t="s">
        <v>289</v>
      </c>
      <c r="AL7" s="115" t="s">
        <v>289</v>
      </c>
      <c r="AM7" s="115" t="s">
        <v>289</v>
      </c>
      <c r="AN7" s="115" t="s">
        <v>289</v>
      </c>
      <c r="AO7" s="115" t="s">
        <v>289</v>
      </c>
      <c r="AP7" s="115" t="s">
        <v>289</v>
      </c>
      <c r="AQ7" s="115" t="s">
        <v>289</v>
      </c>
      <c r="AR7" s="115" t="s">
        <v>289</v>
      </c>
      <c r="AS7" s="115" t="s">
        <v>289</v>
      </c>
      <c r="AT7" s="115" t="s">
        <v>289</v>
      </c>
      <c r="AU7" s="115" t="s">
        <v>289</v>
      </c>
      <c r="AV7" s="115" t="s">
        <v>289</v>
      </c>
      <c r="AW7" s="115" t="s">
        <v>289</v>
      </c>
      <c r="AX7" s="115" t="s">
        <v>289</v>
      </c>
      <c r="AY7" s="9" t="s">
        <v>290</v>
      </c>
      <c r="AZ7" s="9" t="s">
        <v>291</v>
      </c>
    </row>
    <row r="8" spans="1:53" x14ac:dyDescent="0.2">
      <c r="A8" s="1" t="s">
        <v>292</v>
      </c>
      <c r="B8" s="117"/>
      <c r="AY8" s="114"/>
    </row>
    <row r="9" spans="1:53" x14ac:dyDescent="0.2">
      <c r="A9" s="118" t="s">
        <v>125</v>
      </c>
      <c r="B9" s="119">
        <v>1</v>
      </c>
      <c r="C9" s="120" t="s">
        <v>293</v>
      </c>
      <c r="D9" s="120">
        <v>2706.8476702285006</v>
      </c>
      <c r="E9" s="120">
        <v>2706.8476702285006</v>
      </c>
      <c r="F9" s="120">
        <v>2706.8476702285006</v>
      </c>
      <c r="G9" s="120">
        <v>2706.8476702285006</v>
      </c>
      <c r="H9" s="120">
        <v>2706.8476702285006</v>
      </c>
      <c r="I9" s="120">
        <v>2706.8476702285006</v>
      </c>
      <c r="J9" s="120">
        <v>2706.8476702285006</v>
      </c>
      <c r="K9" s="120">
        <v>2706.8476702285006</v>
      </c>
      <c r="L9" s="120">
        <v>2706.8476702285006</v>
      </c>
      <c r="M9" s="120">
        <v>2706.8476702285006</v>
      </c>
      <c r="N9" s="120">
        <v>2706.8476702285006</v>
      </c>
      <c r="O9" s="120">
        <v>2706.8476702285006</v>
      </c>
      <c r="P9" s="120">
        <v>2662.3017071868053</v>
      </c>
      <c r="Q9" s="120">
        <v>2706.8476702285006</v>
      </c>
      <c r="R9" s="120">
        <v>2706.8476702285006</v>
      </c>
      <c r="S9" s="120">
        <v>2706.8476702285006</v>
      </c>
      <c r="T9" s="120">
        <v>2706.8476702285006</v>
      </c>
      <c r="U9" s="120">
        <v>2706.8476702285006</v>
      </c>
      <c r="V9" s="120">
        <v>2706.8476702285006</v>
      </c>
      <c r="W9" s="120">
        <v>2706.8476702285006</v>
      </c>
      <c r="X9" s="120">
        <v>2706.8476702285006</v>
      </c>
      <c r="Y9" s="120">
        <v>2706.8476702285006</v>
      </c>
      <c r="Z9" s="120">
        <v>2706.8476702285006</v>
      </c>
      <c r="AA9" s="120">
        <v>2706.8476702285006</v>
      </c>
      <c r="AB9" s="120">
        <v>2706.8476702285006</v>
      </c>
      <c r="AC9" s="120">
        <v>2706.8476702285006</v>
      </c>
      <c r="AD9" s="120">
        <v>2413.2957864310802</v>
      </c>
      <c r="AE9" s="120">
        <v>2706.8476702285006</v>
      </c>
      <c r="AF9" s="120">
        <v>1752.5948054420583</v>
      </c>
      <c r="AG9" s="120">
        <v>1753.0255770616809</v>
      </c>
      <c r="AH9" s="120">
        <v>2706.8476702285006</v>
      </c>
      <c r="AI9" s="120">
        <v>2706.8476702285006</v>
      </c>
      <c r="AJ9" s="120">
        <v>2706.8476702285006</v>
      </c>
      <c r="AK9" s="120">
        <v>2706.8476702285006</v>
      </c>
      <c r="AL9" s="120">
        <v>2706.8476702285006</v>
      </c>
      <c r="AM9" s="120">
        <v>2706.8476702285006</v>
      </c>
      <c r="AN9" s="120">
        <v>2706.8476702285006</v>
      </c>
      <c r="AO9" s="120">
        <v>2706.8476702285006</v>
      </c>
      <c r="AP9" s="120">
        <v>2706.8476702285006</v>
      </c>
      <c r="AQ9" s="120">
        <v>2706.8476702285006</v>
      </c>
      <c r="AR9" s="120">
        <v>2706.8476702285006</v>
      </c>
      <c r="AS9" s="120">
        <v>1758.0194422359916</v>
      </c>
      <c r="AT9" s="120">
        <v>2706.8476702285006</v>
      </c>
      <c r="AU9" s="120">
        <v>2706.8476702285006</v>
      </c>
      <c r="AV9" s="120">
        <v>2706.8476702285006</v>
      </c>
      <c r="AW9" s="120">
        <v>2706.8476702285006</v>
      </c>
      <c r="AX9" s="120">
        <v>2446.3360815057276</v>
      </c>
      <c r="AY9" s="120">
        <v>2706.8476702285006</v>
      </c>
    </row>
    <row r="10" spans="1:53" x14ac:dyDescent="0.2">
      <c r="A10" s="121" t="s">
        <v>133</v>
      </c>
      <c r="B10" s="122">
        <v>1</v>
      </c>
      <c r="C10" s="110" t="s">
        <v>293</v>
      </c>
      <c r="D10">
        <v>1079.6605458435561</v>
      </c>
      <c r="E10">
        <v>212.38778186494901</v>
      </c>
      <c r="F10">
        <v>536.17807282692706</v>
      </c>
      <c r="G10">
        <v>116.17807282692708</v>
      </c>
      <c r="H10">
        <v>536.17807282692706</v>
      </c>
      <c r="I10">
        <v>116.17807282692708</v>
      </c>
      <c r="J10">
        <v>536.17807282692706</v>
      </c>
      <c r="K10">
        <v>116.17807282692708</v>
      </c>
      <c r="L10">
        <v>536.17807282692706</v>
      </c>
      <c r="M10">
        <v>116.17807282692708</v>
      </c>
      <c r="N10">
        <v>536.17807282692706</v>
      </c>
      <c r="O10">
        <v>116.17807282692708</v>
      </c>
      <c r="P10">
        <v>536.17807282692706</v>
      </c>
      <c r="Q10">
        <v>116.17807282692708</v>
      </c>
      <c r="R10">
        <v>527.23602208876355</v>
      </c>
      <c r="S10">
        <v>116.17807282692708</v>
      </c>
      <c r="T10">
        <v>536.17807282692706</v>
      </c>
      <c r="U10">
        <v>116.17807282692708</v>
      </c>
      <c r="V10">
        <v>536.17807282692706</v>
      </c>
      <c r="W10">
        <v>116.17807282692708</v>
      </c>
      <c r="X10">
        <v>536.17807282692706</v>
      </c>
      <c r="Y10">
        <v>116.17807282692708</v>
      </c>
      <c r="Z10">
        <v>420</v>
      </c>
      <c r="AA10">
        <v>232.35614565385416</v>
      </c>
      <c r="AB10">
        <v>536.17807282692706</v>
      </c>
      <c r="AC10">
        <v>116.17807282692708</v>
      </c>
      <c r="AD10">
        <v>116.17807282692708</v>
      </c>
      <c r="AE10">
        <v>536.17807282692706</v>
      </c>
      <c r="AF10">
        <v>0</v>
      </c>
      <c r="AG10">
        <v>652.35614565385413</v>
      </c>
      <c r="AH10">
        <v>116.17807282692708</v>
      </c>
      <c r="AI10">
        <v>536.17807282692706</v>
      </c>
      <c r="AJ10">
        <v>116.17807282692708</v>
      </c>
      <c r="AK10">
        <v>536.17807282692706</v>
      </c>
      <c r="AL10">
        <v>116.17807282692708</v>
      </c>
      <c r="AM10">
        <v>536.17807282692706</v>
      </c>
      <c r="AN10">
        <v>116.17807282692708</v>
      </c>
      <c r="AO10">
        <v>536.17807282692706</v>
      </c>
      <c r="AP10">
        <v>116.17807282692708</v>
      </c>
      <c r="AQ10">
        <v>536.17807282692706</v>
      </c>
      <c r="AR10">
        <v>116.17807282692708</v>
      </c>
      <c r="AS10">
        <v>536.17807282692706</v>
      </c>
      <c r="AT10">
        <v>116.17807282692708</v>
      </c>
      <c r="AU10">
        <v>536.17807282692706</v>
      </c>
      <c r="AV10">
        <v>116.17807282692708</v>
      </c>
      <c r="AW10">
        <v>536.17807282692706</v>
      </c>
      <c r="AX10">
        <v>116.17807282692708</v>
      </c>
      <c r="AY10">
        <v>536.17807282692706</v>
      </c>
      <c r="AZ10">
        <v>116.17807282692708</v>
      </c>
    </row>
    <row r="11" spans="1:53" x14ac:dyDescent="0.2">
      <c r="B11" s="122">
        <v>2</v>
      </c>
      <c r="C11" s="110" t="s">
        <v>293</v>
      </c>
      <c r="D11">
        <v>0</v>
      </c>
      <c r="E11">
        <v>0</v>
      </c>
      <c r="F11">
        <v>0</v>
      </c>
      <c r="G11">
        <v>36.5</v>
      </c>
      <c r="H11">
        <v>456.5</v>
      </c>
      <c r="J11">
        <v>456.5</v>
      </c>
      <c r="K11">
        <v>36.5</v>
      </c>
      <c r="L11">
        <v>456.5</v>
      </c>
      <c r="M11">
        <v>36.5</v>
      </c>
      <c r="N11">
        <v>456.5</v>
      </c>
      <c r="O11">
        <v>36.5</v>
      </c>
      <c r="P11">
        <v>456.5</v>
      </c>
      <c r="Q11">
        <v>36.5</v>
      </c>
      <c r="R11">
        <v>456.5</v>
      </c>
      <c r="S11">
        <v>0</v>
      </c>
      <c r="T11">
        <v>456.5</v>
      </c>
      <c r="U11">
        <v>36.5</v>
      </c>
      <c r="V11">
        <v>0</v>
      </c>
      <c r="W11">
        <v>36.5</v>
      </c>
      <c r="X11">
        <v>0</v>
      </c>
      <c r="Y11">
        <v>0</v>
      </c>
      <c r="Z11">
        <v>0</v>
      </c>
      <c r="AA11">
        <v>36.5</v>
      </c>
      <c r="AB11">
        <v>0</v>
      </c>
      <c r="AC11">
        <v>36.5</v>
      </c>
      <c r="AD11">
        <v>0</v>
      </c>
      <c r="AE11">
        <v>0</v>
      </c>
      <c r="AG11">
        <v>456.5</v>
      </c>
      <c r="AH11">
        <v>0</v>
      </c>
      <c r="AI11">
        <v>0</v>
      </c>
      <c r="AJ11">
        <v>0</v>
      </c>
      <c r="AK11">
        <v>456.5</v>
      </c>
      <c r="AL11">
        <v>36.5</v>
      </c>
      <c r="AM11">
        <v>456.5</v>
      </c>
      <c r="AN11">
        <v>36.5</v>
      </c>
      <c r="AP11">
        <v>0</v>
      </c>
      <c r="AQ11">
        <v>456.5</v>
      </c>
      <c r="AR11">
        <v>36.5</v>
      </c>
      <c r="AS11">
        <v>456.5</v>
      </c>
      <c r="AT11">
        <v>36.5</v>
      </c>
      <c r="AV11">
        <v>36.5</v>
      </c>
      <c r="AY11">
        <v>0</v>
      </c>
      <c r="AZ11">
        <v>36.5</v>
      </c>
      <c r="BA11">
        <v>456.5</v>
      </c>
    </row>
    <row r="12" spans="1:53" x14ac:dyDescent="0.2">
      <c r="B12" s="123">
        <v>3</v>
      </c>
      <c r="C12" s="110" t="s">
        <v>293</v>
      </c>
      <c r="F12">
        <v>0</v>
      </c>
      <c r="G12">
        <v>456.5</v>
      </c>
      <c r="Y12">
        <v>456.5</v>
      </c>
      <c r="Z12">
        <v>36.5</v>
      </c>
      <c r="AA12">
        <v>456.5</v>
      </c>
      <c r="AC12">
        <v>456.5</v>
      </c>
      <c r="AE12">
        <v>456.5</v>
      </c>
      <c r="AG12">
        <v>36.5</v>
      </c>
      <c r="AI12">
        <v>36.5</v>
      </c>
      <c r="AJ12">
        <v>456.5</v>
      </c>
      <c r="AK12">
        <v>36.5</v>
      </c>
      <c r="AP12">
        <v>456.5</v>
      </c>
      <c r="AQ12">
        <v>36.5</v>
      </c>
      <c r="AV12">
        <v>456.5</v>
      </c>
      <c r="AY12">
        <v>36.5</v>
      </c>
      <c r="AZ12">
        <v>456.5</v>
      </c>
    </row>
    <row r="13" spans="1:53" x14ac:dyDescent="0.2">
      <c r="B13" s="123">
        <v>4</v>
      </c>
      <c r="C13" s="110" t="s">
        <v>293</v>
      </c>
      <c r="K13">
        <v>36.5</v>
      </c>
      <c r="X13">
        <v>456.5</v>
      </c>
      <c r="AG13">
        <v>0</v>
      </c>
      <c r="AY13">
        <v>456.5</v>
      </c>
    </row>
    <row r="14" spans="1:53" x14ac:dyDescent="0.2">
      <c r="A14" s="118" t="s">
        <v>134</v>
      </c>
      <c r="B14" s="124">
        <v>1</v>
      </c>
      <c r="C14" s="120" t="s">
        <v>293</v>
      </c>
      <c r="D14" s="120">
        <v>13460.56693058641</v>
      </c>
      <c r="E14" s="120">
        <f t="shared" ref="E14:AZ14" si="0">D$172*SUM(D$122:D$169)</f>
        <v>15288.1337743358</v>
      </c>
      <c r="F14" s="120">
        <f t="shared" si="0"/>
        <v>10086.084841329002</v>
      </c>
      <c r="G14" s="120">
        <f t="shared" si="0"/>
        <v>7179.2121781887517</v>
      </c>
      <c r="H14" s="120">
        <f t="shared" si="0"/>
        <v>5883.7038113266663</v>
      </c>
      <c r="I14" s="120">
        <f t="shared" si="0"/>
        <v>4957.1206112804157</v>
      </c>
      <c r="J14" s="120">
        <f t="shared" si="0"/>
        <v>5001.6021850793277</v>
      </c>
      <c r="K14" s="120">
        <f t="shared" si="0"/>
        <v>4978.4528100190682</v>
      </c>
      <c r="L14" s="120">
        <f t="shared" si="0"/>
        <v>5052.1306671242137</v>
      </c>
      <c r="M14" s="120">
        <f t="shared" si="0"/>
        <v>5087.4361857144513</v>
      </c>
      <c r="N14" s="120">
        <f t="shared" si="0"/>
        <v>4481.5176748797212</v>
      </c>
      <c r="O14" s="120">
        <f t="shared" si="0"/>
        <v>4378.1569199117803</v>
      </c>
      <c r="P14" s="120">
        <f t="shared" si="0"/>
        <v>4152.9813935592611</v>
      </c>
      <c r="Q14" s="120">
        <f t="shared" si="0"/>
        <v>4237.8811617986148</v>
      </c>
      <c r="R14" s="120">
        <f t="shared" si="0"/>
        <v>4557.1572846274948</v>
      </c>
      <c r="S14" s="120">
        <f t="shared" si="0"/>
        <v>4746.5308543266783</v>
      </c>
      <c r="T14" s="120">
        <f t="shared" si="0"/>
        <v>4897.2130510603711</v>
      </c>
      <c r="U14" s="120">
        <f t="shared" si="0"/>
        <v>4900.8393092880478</v>
      </c>
      <c r="V14" s="120">
        <f t="shared" si="0"/>
        <v>4845.4811420850356</v>
      </c>
      <c r="W14" s="120">
        <f t="shared" si="0"/>
        <v>4844.3987392842009</v>
      </c>
      <c r="X14" s="120">
        <f t="shared" si="0"/>
        <v>4847.9398460556913</v>
      </c>
      <c r="Y14" s="120">
        <f t="shared" si="0"/>
        <v>4817.757046151959</v>
      </c>
      <c r="Z14" s="120">
        <f t="shared" si="0"/>
        <v>4281.8529433116291</v>
      </c>
      <c r="AA14" s="120">
        <f t="shared" si="0"/>
        <v>3927.4994534911898</v>
      </c>
      <c r="AB14" s="120">
        <f t="shared" si="0"/>
        <v>3879.1757176152996</v>
      </c>
      <c r="AC14" s="120">
        <f t="shared" si="0"/>
        <v>3924.090593375242</v>
      </c>
      <c r="AD14" s="120">
        <f t="shared" si="0"/>
        <v>3830.097129988113</v>
      </c>
      <c r="AE14" s="120">
        <f t="shared" si="0"/>
        <v>3793.4221933315971</v>
      </c>
      <c r="AF14" s="120">
        <f t="shared" si="0"/>
        <v>3930.1475765451219</v>
      </c>
      <c r="AG14" s="120">
        <f t="shared" si="0"/>
        <v>3964.069624363367</v>
      </c>
      <c r="AH14" s="120">
        <f t="shared" si="0"/>
        <v>4292.4307673787807</v>
      </c>
      <c r="AI14" s="120">
        <f t="shared" si="0"/>
        <v>4490.2296896314165</v>
      </c>
      <c r="AJ14" s="120">
        <f t="shared" si="0"/>
        <v>4528.4059718019407</v>
      </c>
      <c r="AK14" s="120">
        <f t="shared" si="0"/>
        <v>4606.4005410582658</v>
      </c>
      <c r="AL14" s="120">
        <f t="shared" si="0"/>
        <v>4734.6724583314608</v>
      </c>
      <c r="AM14" s="120">
        <f t="shared" si="0"/>
        <v>4868.3225482311154</v>
      </c>
      <c r="AN14" s="120">
        <f t="shared" si="0"/>
        <v>4909.9600861960162</v>
      </c>
      <c r="AO14" s="120">
        <f t="shared" si="0"/>
        <v>4902.6966144225362</v>
      </c>
      <c r="AP14" s="120">
        <f t="shared" si="0"/>
        <v>4461.286095839675</v>
      </c>
      <c r="AQ14" s="120">
        <f t="shared" si="0"/>
        <v>4325.4729108121464</v>
      </c>
      <c r="AR14" s="120">
        <f t="shared" si="0"/>
        <v>4338.6100206555802</v>
      </c>
      <c r="AS14" s="120">
        <f t="shared" si="0"/>
        <v>4280.1469934863853</v>
      </c>
      <c r="AT14" s="120">
        <f t="shared" si="0"/>
        <v>3687.2011195957957</v>
      </c>
      <c r="AU14" s="120">
        <f t="shared" si="0"/>
        <v>3178.6077086570349</v>
      </c>
      <c r="AV14" s="120">
        <f t="shared" si="0"/>
        <v>3198.3508713039314</v>
      </c>
      <c r="AW14" s="120">
        <f t="shared" si="0"/>
        <v>3279.5840907451798</v>
      </c>
      <c r="AX14" s="120">
        <f t="shared" si="0"/>
        <v>3682.0735396698315</v>
      </c>
      <c r="AY14" s="120">
        <f t="shared" si="0"/>
        <v>3626.9891732939186</v>
      </c>
      <c r="AZ14" s="114">
        <f t="shared" si="0"/>
        <v>3660.9002311822528</v>
      </c>
      <c r="BA14" s="111">
        <f>SUM($E14:$AZ14)</f>
        <v>229804.42815174133</v>
      </c>
    </row>
    <row r="15" spans="1:53" x14ac:dyDescent="0.2">
      <c r="A15" s="125" t="s">
        <v>123</v>
      </c>
      <c r="B15" s="126">
        <v>1</v>
      </c>
      <c r="C15" s="127" t="s">
        <v>293</v>
      </c>
      <c r="D15" s="127">
        <v>5629.1207660849332</v>
      </c>
      <c r="E15" s="127">
        <v>5629.1207660849332</v>
      </c>
      <c r="F15" s="127">
        <v>5629.1207660849332</v>
      </c>
      <c r="G15" s="127">
        <v>5629.1207660849332</v>
      </c>
      <c r="H15" s="127">
        <v>5629.1207660849332</v>
      </c>
      <c r="I15" s="127">
        <v>5629.1207660849332</v>
      </c>
      <c r="J15" s="127">
        <v>5629.1207660849332</v>
      </c>
      <c r="K15" s="127">
        <v>5629.1207660849332</v>
      </c>
      <c r="L15" s="127">
        <v>5629.1207660849332</v>
      </c>
      <c r="M15" s="127">
        <v>5629.1207660849332</v>
      </c>
      <c r="N15" s="127">
        <v>5629.1207660849332</v>
      </c>
      <c r="O15" s="127">
        <v>5629.1207660849332</v>
      </c>
      <c r="P15" s="127">
        <v>5629.1207660849332</v>
      </c>
      <c r="Q15" s="127">
        <v>5629.1207660849332</v>
      </c>
      <c r="R15" s="127">
        <v>5629.1207660849332</v>
      </c>
      <c r="S15" s="127">
        <v>5629.1207660849332</v>
      </c>
      <c r="T15" s="127">
        <v>5629.1207660849332</v>
      </c>
      <c r="U15" s="127">
        <v>5629.1207660849332</v>
      </c>
      <c r="V15" s="127">
        <v>5629.1207660849332</v>
      </c>
      <c r="W15" s="127">
        <v>5629.1207660849332</v>
      </c>
      <c r="X15" s="127">
        <v>5629.1207660849332</v>
      </c>
      <c r="Y15" s="127">
        <v>5629.1207660849332</v>
      </c>
      <c r="Z15" s="127">
        <v>5629.1207660849332</v>
      </c>
      <c r="AA15" s="127">
        <v>5629.1207660849332</v>
      </c>
      <c r="AB15" s="127">
        <v>5629.1207660849332</v>
      </c>
      <c r="AC15" s="127">
        <v>5629.1207660849332</v>
      </c>
      <c r="AD15" s="127">
        <v>5629.1207660849332</v>
      </c>
      <c r="AE15" s="127">
        <v>5629.1207660849332</v>
      </c>
      <c r="AF15" s="127">
        <v>5629.1207660849332</v>
      </c>
      <c r="AG15" s="127">
        <v>5629.1207660849332</v>
      </c>
      <c r="AH15" s="127">
        <v>5629.1207660849332</v>
      </c>
      <c r="AI15" s="127">
        <v>5629.1207660849332</v>
      </c>
      <c r="AJ15" s="127">
        <v>5629.1207660849332</v>
      </c>
      <c r="AK15" s="127">
        <v>5629.1207660849332</v>
      </c>
      <c r="AL15" s="127">
        <v>5629.1207660849332</v>
      </c>
      <c r="AM15" s="127">
        <v>5629.1207660849332</v>
      </c>
      <c r="AN15" s="127">
        <v>5629.1207660849332</v>
      </c>
      <c r="AO15" s="127">
        <v>5629.1207660849332</v>
      </c>
      <c r="AP15" s="127">
        <v>5629.1207660849332</v>
      </c>
      <c r="AQ15" s="127">
        <v>5629.1207660849332</v>
      </c>
      <c r="AR15" s="127">
        <v>5629.1207660849332</v>
      </c>
      <c r="AS15" s="127">
        <v>5629.1207660849332</v>
      </c>
      <c r="AT15" s="127">
        <v>5629.1207660849332</v>
      </c>
      <c r="AU15" s="127">
        <v>5629.1207660849332</v>
      </c>
      <c r="AV15" s="127">
        <v>5629.1207660849332</v>
      </c>
      <c r="AW15" s="127">
        <v>5629.1207660849332</v>
      </c>
      <c r="AX15" s="127">
        <v>5629.1207660849332</v>
      </c>
      <c r="AY15" s="127">
        <v>5629.1207660849332</v>
      </c>
      <c r="AZ15">
        <v>0</v>
      </c>
    </row>
    <row r="16" spans="1:53" x14ac:dyDescent="0.2">
      <c r="A16" s="114"/>
      <c r="B16" s="122">
        <v>2</v>
      </c>
      <c r="C16" s="113" t="s">
        <v>293</v>
      </c>
      <c r="D16" s="110">
        <v>0</v>
      </c>
      <c r="E16" s="114">
        <v>0</v>
      </c>
      <c r="F16" s="114">
        <v>0</v>
      </c>
      <c r="G16" s="114">
        <v>0</v>
      </c>
      <c r="H16" s="114">
        <v>0</v>
      </c>
      <c r="I16" s="114"/>
      <c r="J16" s="114">
        <v>0</v>
      </c>
      <c r="K16" s="114">
        <v>0</v>
      </c>
      <c r="L16" s="114">
        <v>0</v>
      </c>
      <c r="M16" s="114">
        <v>0</v>
      </c>
      <c r="N16" s="114">
        <v>0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/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/>
      <c r="AP16" s="114">
        <v>0</v>
      </c>
      <c r="AQ16" s="114">
        <v>0</v>
      </c>
      <c r="AR16" s="114">
        <v>0</v>
      </c>
      <c r="AS16" s="114">
        <v>0</v>
      </c>
      <c r="AT16" s="114">
        <v>0</v>
      </c>
      <c r="AU16" s="114"/>
      <c r="AV16" s="114">
        <v>0</v>
      </c>
      <c r="AW16" s="114"/>
      <c r="AX16" s="114"/>
      <c r="AY16" s="114">
        <v>0</v>
      </c>
      <c r="AZ16">
        <v>0</v>
      </c>
      <c r="BA16">
        <v>0</v>
      </c>
    </row>
    <row r="17" spans="1:52" x14ac:dyDescent="0.2">
      <c r="A17" s="114"/>
      <c r="B17" s="122">
        <v>3</v>
      </c>
      <c r="C17" s="113" t="s">
        <v>293</v>
      </c>
      <c r="D17" s="110"/>
      <c r="E17" s="114"/>
      <c r="F17" s="114">
        <v>0</v>
      </c>
      <c r="G17" s="114">
        <v>0</v>
      </c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>
        <v>0</v>
      </c>
      <c r="Z17" s="114">
        <v>0</v>
      </c>
      <c r="AA17" s="114">
        <v>0</v>
      </c>
      <c r="AB17" s="114"/>
      <c r="AC17" s="114">
        <v>0</v>
      </c>
      <c r="AD17" s="114"/>
      <c r="AE17" s="114">
        <v>0</v>
      </c>
      <c r="AF17" s="114"/>
      <c r="AG17" s="114">
        <v>0</v>
      </c>
      <c r="AH17" s="114"/>
      <c r="AI17" s="114">
        <v>0</v>
      </c>
      <c r="AJ17" s="114">
        <v>0</v>
      </c>
      <c r="AK17" s="114">
        <v>0</v>
      </c>
      <c r="AL17" s="114"/>
      <c r="AM17" s="114"/>
      <c r="AN17" s="114"/>
      <c r="AO17" s="114"/>
      <c r="AP17" s="114">
        <v>0</v>
      </c>
      <c r="AQ17" s="114">
        <v>0</v>
      </c>
      <c r="AR17" s="114"/>
      <c r="AS17" s="114"/>
      <c r="AT17" s="114"/>
      <c r="AU17" s="114"/>
      <c r="AV17" s="114">
        <v>0</v>
      </c>
      <c r="AW17" s="114"/>
      <c r="AX17" s="114"/>
      <c r="AY17" s="114">
        <v>0</v>
      </c>
      <c r="AZ17">
        <v>0</v>
      </c>
    </row>
    <row r="18" spans="1:52" x14ac:dyDescent="0.2">
      <c r="A18" s="128"/>
      <c r="B18" s="119">
        <v>4</v>
      </c>
      <c r="C18" s="128" t="s">
        <v>293</v>
      </c>
      <c r="D18" s="128"/>
      <c r="E18" s="128"/>
      <c r="F18" s="128"/>
      <c r="G18" s="128"/>
      <c r="H18" s="128"/>
      <c r="I18" s="128"/>
      <c r="J18" s="128"/>
      <c r="K18" s="128">
        <v>0</v>
      </c>
      <c r="L18" s="128"/>
      <c r="M18" s="128"/>
      <c r="N18" s="128"/>
      <c r="O18" s="128"/>
      <c r="P18" s="128"/>
      <c r="Q18" s="128"/>
      <c r="R18" s="128"/>
      <c r="S18" s="128"/>
      <c r="T18" s="128"/>
      <c r="U18" s="128"/>
      <c r="V18" s="128"/>
      <c r="W18" s="128"/>
      <c r="X18" s="128">
        <v>0</v>
      </c>
      <c r="Y18" s="128"/>
      <c r="Z18" s="128"/>
      <c r="AA18" s="128"/>
      <c r="AB18" s="128"/>
      <c r="AC18" s="128"/>
      <c r="AD18" s="128"/>
      <c r="AE18" s="128"/>
      <c r="AF18" s="128"/>
      <c r="AG18" s="128">
        <v>0</v>
      </c>
      <c r="AH18" s="128"/>
      <c r="AI18" s="128"/>
      <c r="AJ18" s="128"/>
      <c r="AK18" s="128"/>
      <c r="AL18" s="128"/>
      <c r="AM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/>
      <c r="AX18" s="128"/>
      <c r="AY18" s="128">
        <v>0</v>
      </c>
    </row>
    <row r="20" spans="1:52" x14ac:dyDescent="0.2">
      <c r="A20" s="1" t="s">
        <v>294</v>
      </c>
    </row>
    <row r="21" spans="1:52" x14ac:dyDescent="0.2">
      <c r="A21" s="129" t="s">
        <v>125</v>
      </c>
      <c r="B21" s="126">
        <v>1</v>
      </c>
      <c r="C21" s="127" t="s">
        <v>293</v>
      </c>
      <c r="D21" s="127">
        <v>2706.8476702285006</v>
      </c>
      <c r="E21" s="127">
        <v>2706.8476702285006</v>
      </c>
      <c r="F21" s="127">
        <v>2706.8476702285006</v>
      </c>
      <c r="G21" s="127">
        <v>2706.8476702285006</v>
      </c>
      <c r="H21" s="127">
        <v>2706.8476702285006</v>
      </c>
      <c r="I21" s="127">
        <v>2706.8476702285006</v>
      </c>
      <c r="J21" s="127">
        <v>2706.8476702285006</v>
      </c>
      <c r="K21" s="127">
        <v>2706.8476702285006</v>
      </c>
      <c r="L21" s="127">
        <v>2706.8476702285006</v>
      </c>
      <c r="M21" s="127">
        <v>2706.8476702285006</v>
      </c>
      <c r="N21" s="127">
        <v>2706.8476702285006</v>
      </c>
      <c r="O21" s="127">
        <v>2706.8476702285006</v>
      </c>
      <c r="P21" s="127">
        <v>2662.3017071868053</v>
      </c>
      <c r="Q21" s="127">
        <v>2706.8476702285006</v>
      </c>
      <c r="R21" s="127">
        <v>2706.8476702285006</v>
      </c>
      <c r="S21" s="127">
        <v>2706.8476702285006</v>
      </c>
      <c r="T21" s="127">
        <v>2706.8476702285006</v>
      </c>
      <c r="U21" s="127">
        <v>2706.8476702285006</v>
      </c>
      <c r="V21" s="127">
        <v>2706.8476702285006</v>
      </c>
      <c r="W21" s="127">
        <v>2706.8476702285006</v>
      </c>
      <c r="X21" s="127">
        <v>2706.8476702285006</v>
      </c>
      <c r="Y21" s="127">
        <v>2706.8476702285006</v>
      </c>
      <c r="Z21" s="127">
        <v>2706.8476702285006</v>
      </c>
      <c r="AA21" s="127">
        <v>2706.8476702285006</v>
      </c>
      <c r="AB21" s="127">
        <v>2706.8476702285006</v>
      </c>
      <c r="AC21" s="127">
        <v>2706.8476702285006</v>
      </c>
      <c r="AD21" s="127">
        <v>2235.7966139772525</v>
      </c>
      <c r="AE21" s="127">
        <v>2635.9559228917883</v>
      </c>
      <c r="AF21" s="127">
        <v>911.40335839374745</v>
      </c>
      <c r="AG21" s="127">
        <v>1380.2073850929187</v>
      </c>
      <c r="AH21" s="127">
        <v>1952.1525977762717</v>
      </c>
      <c r="AI21" s="127">
        <v>2441.2931031804651</v>
      </c>
      <c r="AJ21" s="127">
        <v>2706.8476702285006</v>
      </c>
      <c r="AK21" s="127">
        <v>2706.8476702285006</v>
      </c>
      <c r="AL21" s="127">
        <v>2706.8476702285006</v>
      </c>
      <c r="AM21" s="127">
        <v>2706.8476702285006</v>
      </c>
      <c r="AN21" s="127">
        <v>2706.8476702285006</v>
      </c>
      <c r="AO21" s="127">
        <v>2706.8476702285006</v>
      </c>
      <c r="AP21" s="127">
        <v>2706.8476702285006</v>
      </c>
      <c r="AQ21" s="127">
        <v>2706.8476702285006</v>
      </c>
      <c r="AR21" s="127">
        <v>2706.8476702285006</v>
      </c>
      <c r="AS21" s="127">
        <v>1758.0194422359916</v>
      </c>
      <c r="AT21" s="127">
        <v>2591.8987280650526</v>
      </c>
      <c r="AU21" s="127">
        <v>2119.5547396843654</v>
      </c>
      <c r="AV21" s="127">
        <v>1666.9620905359957</v>
      </c>
      <c r="AW21" s="127">
        <v>1395.9820417499884</v>
      </c>
      <c r="AX21" s="127">
        <v>674.00333562700166</v>
      </c>
      <c r="AY21" s="127">
        <v>891.58711562130873</v>
      </c>
    </row>
    <row r="22" spans="1:52" x14ac:dyDescent="0.2">
      <c r="A22" s="113"/>
      <c r="B22" s="123">
        <v>2</v>
      </c>
      <c r="C22" s="114" t="s">
        <v>293</v>
      </c>
      <c r="D22" s="114">
        <v>0</v>
      </c>
      <c r="E22" s="114">
        <v>0</v>
      </c>
      <c r="F22" s="114">
        <v>0</v>
      </c>
      <c r="G22" s="114">
        <v>0</v>
      </c>
      <c r="H22" s="114">
        <v>0</v>
      </c>
      <c r="I22" s="114">
        <v>0</v>
      </c>
      <c r="J22" s="114">
        <v>0</v>
      </c>
      <c r="K22" s="114">
        <v>0</v>
      </c>
      <c r="L22" s="114">
        <v>0</v>
      </c>
      <c r="M22" s="114">
        <v>0</v>
      </c>
      <c r="N22" s="114">
        <v>0</v>
      </c>
      <c r="O22" s="114">
        <v>0</v>
      </c>
      <c r="P22" s="114">
        <v>0</v>
      </c>
      <c r="Q22" s="114">
        <v>0</v>
      </c>
      <c r="R22" s="114">
        <v>0</v>
      </c>
      <c r="S22" s="114">
        <v>0</v>
      </c>
      <c r="T22" s="114">
        <v>0</v>
      </c>
      <c r="U22" s="114">
        <v>0</v>
      </c>
      <c r="V22" s="114">
        <v>0</v>
      </c>
      <c r="W22" s="114">
        <v>0</v>
      </c>
      <c r="X22" s="114">
        <v>0</v>
      </c>
      <c r="Y22" s="114">
        <v>0</v>
      </c>
      <c r="Z22" s="114">
        <v>0</v>
      </c>
      <c r="AA22" s="114">
        <v>0</v>
      </c>
      <c r="AB22" s="114">
        <v>0</v>
      </c>
      <c r="AC22" s="114">
        <v>0</v>
      </c>
      <c r="AD22" s="114">
        <v>0</v>
      </c>
      <c r="AE22" s="114">
        <v>0</v>
      </c>
      <c r="AF22" s="114">
        <v>0</v>
      </c>
      <c r="AG22" s="114">
        <v>0</v>
      </c>
      <c r="AH22" s="114">
        <v>0</v>
      </c>
      <c r="AI22" s="114">
        <v>0</v>
      </c>
      <c r="AJ22" s="114">
        <v>0</v>
      </c>
      <c r="AK22" s="114">
        <v>0</v>
      </c>
      <c r="AL22" s="114">
        <v>0</v>
      </c>
      <c r="AM22" s="114">
        <v>0</v>
      </c>
      <c r="AN22" s="114">
        <v>0</v>
      </c>
      <c r="AO22" s="114">
        <v>0</v>
      </c>
      <c r="AP22" s="114">
        <v>0</v>
      </c>
      <c r="AQ22" s="114">
        <v>0</v>
      </c>
      <c r="AR22" s="114">
        <v>0</v>
      </c>
      <c r="AS22" s="114">
        <v>0</v>
      </c>
      <c r="AT22" s="114">
        <v>0</v>
      </c>
      <c r="AU22" s="114">
        <v>0</v>
      </c>
      <c r="AV22" s="114">
        <v>0</v>
      </c>
      <c r="AW22" s="114">
        <v>0</v>
      </c>
      <c r="AX22" s="114">
        <v>165.86562847851224</v>
      </c>
      <c r="AY22" s="114">
        <v>837.33274587872597</v>
      </c>
    </row>
    <row r="23" spans="1:52" x14ac:dyDescent="0.2">
      <c r="A23" s="113"/>
      <c r="B23" s="130">
        <v>3</v>
      </c>
      <c r="C23" s="114" t="s">
        <v>293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0</v>
      </c>
      <c r="L23" s="114">
        <v>0</v>
      </c>
      <c r="M23" s="114">
        <v>0</v>
      </c>
      <c r="N23" s="114">
        <v>0</v>
      </c>
      <c r="O23" s="114">
        <v>0</v>
      </c>
      <c r="P23" s="114">
        <v>0</v>
      </c>
      <c r="Q23" s="114">
        <v>0</v>
      </c>
      <c r="R23" s="114">
        <v>0</v>
      </c>
      <c r="S23" s="114">
        <v>0</v>
      </c>
      <c r="T23" s="114">
        <v>0</v>
      </c>
      <c r="U23" s="114">
        <v>0</v>
      </c>
      <c r="V23" s="114">
        <v>0</v>
      </c>
      <c r="W23" s="114">
        <v>0</v>
      </c>
      <c r="X23" s="114">
        <v>0</v>
      </c>
      <c r="Y23" s="114">
        <v>0</v>
      </c>
      <c r="Z23" s="114">
        <v>0</v>
      </c>
      <c r="AA23" s="114">
        <v>0</v>
      </c>
      <c r="AB23" s="114">
        <v>0</v>
      </c>
      <c r="AC23" s="114">
        <v>0</v>
      </c>
      <c r="AD23" s="114">
        <v>0</v>
      </c>
      <c r="AE23" s="114">
        <v>0</v>
      </c>
      <c r="AF23" s="114">
        <v>0</v>
      </c>
      <c r="AG23" s="114">
        <v>0</v>
      </c>
      <c r="AH23" s="114">
        <v>0</v>
      </c>
      <c r="AI23" s="114">
        <v>0</v>
      </c>
      <c r="AJ23" s="114">
        <v>0</v>
      </c>
      <c r="AK23" s="114">
        <v>0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</row>
    <row r="24" spans="1:52" x14ac:dyDescent="0.2">
      <c r="A24" s="131"/>
      <c r="B24" s="132">
        <v>4</v>
      </c>
      <c r="C24" s="131" t="s">
        <v>293</v>
      </c>
      <c r="D24" s="128">
        <v>0</v>
      </c>
      <c r="E24" s="128">
        <v>0</v>
      </c>
      <c r="F24" s="128">
        <v>0</v>
      </c>
      <c r="G24" s="128">
        <v>0</v>
      </c>
      <c r="H24" s="128">
        <v>0</v>
      </c>
      <c r="I24" s="128">
        <v>0</v>
      </c>
      <c r="J24" s="128">
        <v>0</v>
      </c>
      <c r="K24" s="128">
        <v>0</v>
      </c>
      <c r="L24" s="128">
        <v>0</v>
      </c>
      <c r="M24" s="128">
        <v>0</v>
      </c>
      <c r="N24" s="128">
        <v>0</v>
      </c>
      <c r="O24" s="128">
        <v>0</v>
      </c>
      <c r="P24" s="128">
        <v>0</v>
      </c>
      <c r="Q24" s="128">
        <v>0</v>
      </c>
      <c r="R24" s="128">
        <v>0</v>
      </c>
      <c r="S24" s="128">
        <v>0</v>
      </c>
      <c r="T24" s="128">
        <v>0</v>
      </c>
      <c r="U24" s="128">
        <v>0</v>
      </c>
      <c r="V24" s="128">
        <v>0</v>
      </c>
      <c r="W24" s="128">
        <v>0</v>
      </c>
      <c r="X24" s="128">
        <v>0</v>
      </c>
      <c r="Y24" s="128">
        <v>0</v>
      </c>
      <c r="Z24" s="128">
        <v>0</v>
      </c>
      <c r="AA24" s="128">
        <v>0</v>
      </c>
      <c r="AB24" s="128">
        <v>0</v>
      </c>
      <c r="AC24" s="128">
        <v>0</v>
      </c>
      <c r="AD24" s="128">
        <v>0</v>
      </c>
      <c r="AE24" s="128">
        <v>0</v>
      </c>
      <c r="AF24" s="128">
        <v>0</v>
      </c>
      <c r="AG24" s="128">
        <v>0</v>
      </c>
      <c r="AH24" s="128">
        <v>0</v>
      </c>
      <c r="AI24" s="128">
        <v>0</v>
      </c>
      <c r="AJ24" s="128">
        <v>0</v>
      </c>
      <c r="AK24" s="128">
        <v>0</v>
      </c>
      <c r="AL24" s="128">
        <v>0</v>
      </c>
      <c r="AM24" s="128">
        <v>0</v>
      </c>
      <c r="AN24" s="128">
        <v>0</v>
      </c>
      <c r="AO24" s="128">
        <v>0</v>
      </c>
      <c r="AP24" s="128">
        <v>0</v>
      </c>
      <c r="AQ24" s="128">
        <v>0</v>
      </c>
      <c r="AR24" s="128">
        <v>0</v>
      </c>
      <c r="AS24" s="128">
        <v>0</v>
      </c>
      <c r="AT24" s="128">
        <v>0</v>
      </c>
      <c r="AU24" s="128">
        <v>0</v>
      </c>
      <c r="AV24" s="128">
        <v>0</v>
      </c>
      <c r="AW24" s="128">
        <v>0</v>
      </c>
      <c r="AX24" s="128">
        <v>0</v>
      </c>
      <c r="AY24" s="128">
        <v>0</v>
      </c>
    </row>
    <row r="25" spans="1:52" x14ac:dyDescent="0.2">
      <c r="A25" s="129" t="s">
        <v>133</v>
      </c>
      <c r="B25" s="126">
        <v>1</v>
      </c>
      <c r="C25" s="113" t="s">
        <v>293</v>
      </c>
      <c r="D25" s="114">
        <v>1079.6605458435561</v>
      </c>
      <c r="E25" s="114">
        <v>212.38778186494901</v>
      </c>
      <c r="F25" s="114">
        <v>536.17807282692706</v>
      </c>
      <c r="G25" s="114">
        <v>116.17807282692708</v>
      </c>
      <c r="H25" s="114">
        <v>536.17807282692706</v>
      </c>
      <c r="I25" s="114">
        <v>55.844268988912411</v>
      </c>
      <c r="J25" s="114">
        <v>75.731523194127064</v>
      </c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  <c r="AH25" s="114"/>
      <c r="AI25" s="114"/>
      <c r="AJ25" s="114"/>
      <c r="AK25" s="114"/>
      <c r="AL25" s="114"/>
      <c r="AM25" s="114"/>
      <c r="AN25" s="114"/>
      <c r="AO25" s="114"/>
      <c r="AP25" s="114"/>
      <c r="AQ25" s="114"/>
      <c r="AR25" s="114"/>
      <c r="AS25" s="114"/>
      <c r="AT25" s="114"/>
      <c r="AU25" s="114"/>
      <c r="AV25" s="114"/>
      <c r="AW25" s="114"/>
      <c r="AX25" s="114"/>
      <c r="AY25" s="114"/>
    </row>
    <row r="26" spans="1:52" x14ac:dyDescent="0.2">
      <c r="A26" s="113"/>
      <c r="B26" s="122">
        <v>2</v>
      </c>
      <c r="C26" s="113" t="s">
        <v>293</v>
      </c>
      <c r="D26" s="114">
        <v>0</v>
      </c>
      <c r="E26" s="114">
        <v>0</v>
      </c>
      <c r="F26" s="114">
        <v>0</v>
      </c>
      <c r="G26" s="114">
        <v>36.5</v>
      </c>
      <c r="H26" s="114">
        <v>456.5</v>
      </c>
      <c r="I26" s="114">
        <v>0</v>
      </c>
      <c r="J26" s="114">
        <v>456.5</v>
      </c>
      <c r="K26" s="114">
        <v>17.033443723197415</v>
      </c>
      <c r="L26" s="114">
        <v>127.87858984928074</v>
      </c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</row>
    <row r="27" spans="1:52" x14ac:dyDescent="0.2">
      <c r="A27" s="113"/>
      <c r="B27" s="123">
        <v>3</v>
      </c>
      <c r="C27" s="113" t="s">
        <v>293</v>
      </c>
      <c r="D27" s="114">
        <v>0</v>
      </c>
      <c r="E27" s="114">
        <v>0</v>
      </c>
      <c r="F27" s="114">
        <v>0</v>
      </c>
      <c r="G27" s="114">
        <v>456.5</v>
      </c>
      <c r="H27" s="114">
        <v>0</v>
      </c>
      <c r="I27" s="114">
        <v>0</v>
      </c>
      <c r="J27" s="114">
        <v>0</v>
      </c>
      <c r="K27" s="114">
        <v>0</v>
      </c>
      <c r="L27" s="114">
        <v>0</v>
      </c>
      <c r="M27" s="114">
        <v>0</v>
      </c>
      <c r="N27" s="114">
        <v>0</v>
      </c>
      <c r="O27" s="114">
        <v>0</v>
      </c>
      <c r="P27" s="114">
        <v>0</v>
      </c>
      <c r="Q27" s="114"/>
      <c r="R27" s="114">
        <v>0</v>
      </c>
      <c r="S27" s="114"/>
      <c r="T27" s="114">
        <v>0</v>
      </c>
      <c r="U27" s="114"/>
      <c r="V27" s="114">
        <v>0</v>
      </c>
      <c r="W27" s="114">
        <v>0</v>
      </c>
      <c r="X27" s="114">
        <v>0</v>
      </c>
      <c r="Y27" s="114">
        <v>71.08447195599858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>
        <v>0</v>
      </c>
      <c r="AN27" s="114">
        <v>0</v>
      </c>
      <c r="AO27" s="114">
        <v>0</v>
      </c>
      <c r="AP27" s="114">
        <v>1.5478334494801016</v>
      </c>
      <c r="AQ27" s="114">
        <v>2.3514969122058447</v>
      </c>
      <c r="AR27" s="114"/>
      <c r="AS27" s="114"/>
      <c r="AT27" s="114"/>
      <c r="AU27" s="114"/>
      <c r="AV27" s="114"/>
      <c r="AW27" s="114"/>
      <c r="AX27" s="114"/>
      <c r="AY27" s="114"/>
    </row>
    <row r="28" spans="1:52" x14ac:dyDescent="0.2">
      <c r="A28" s="113"/>
      <c r="B28" s="123">
        <v>4</v>
      </c>
      <c r="C28" s="113" t="s">
        <v>293</v>
      </c>
      <c r="D28" s="114">
        <v>0</v>
      </c>
      <c r="E28" s="114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36.5</v>
      </c>
      <c r="L28" s="114">
        <v>0</v>
      </c>
      <c r="M28" s="114">
        <v>0</v>
      </c>
      <c r="N28" s="114">
        <v>0</v>
      </c>
      <c r="O28" s="114">
        <v>0</v>
      </c>
      <c r="P28" s="114">
        <v>0</v>
      </c>
      <c r="Q28" s="114">
        <v>0</v>
      </c>
      <c r="R28" s="114">
        <v>0</v>
      </c>
      <c r="S28" s="114">
        <v>0</v>
      </c>
      <c r="T28" s="114">
        <v>0</v>
      </c>
      <c r="U28" s="114">
        <v>0</v>
      </c>
      <c r="V28" s="114">
        <v>0</v>
      </c>
      <c r="W28" s="114">
        <v>0</v>
      </c>
      <c r="X28" s="114">
        <v>456.5</v>
      </c>
      <c r="Y28" s="114">
        <v>0</v>
      </c>
      <c r="Z28" s="114">
        <v>0</v>
      </c>
      <c r="AA28" s="114">
        <v>0</v>
      </c>
      <c r="AB28" s="114">
        <v>0</v>
      </c>
      <c r="AC28" s="114">
        <v>0</v>
      </c>
      <c r="AD28" s="114"/>
      <c r="AE28" s="114"/>
      <c r="AF28" s="114"/>
      <c r="AG28" s="114"/>
      <c r="AH28" s="114"/>
      <c r="AI28" s="114"/>
      <c r="AJ28" s="114">
        <v>0</v>
      </c>
      <c r="AK28" s="114">
        <v>0</v>
      </c>
      <c r="AL28" s="114">
        <v>0</v>
      </c>
      <c r="AM28" s="114">
        <v>0</v>
      </c>
      <c r="AN28" s="114">
        <v>0</v>
      </c>
      <c r="AO28" s="114">
        <v>0</v>
      </c>
      <c r="AP28" s="114">
        <v>0</v>
      </c>
      <c r="AQ28" s="114">
        <v>0</v>
      </c>
      <c r="AR28" s="114">
        <v>0</v>
      </c>
      <c r="AS28" s="114">
        <v>0</v>
      </c>
      <c r="AT28" s="114"/>
      <c r="AU28" s="114"/>
      <c r="AV28" s="114"/>
      <c r="AW28" s="114"/>
      <c r="AX28" s="114"/>
      <c r="AY28" s="114"/>
    </row>
    <row r="29" spans="1:52" x14ac:dyDescent="0.2">
      <c r="A29" s="113"/>
      <c r="B29" s="130">
        <v>5</v>
      </c>
      <c r="C29" s="113" t="s">
        <v>293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0</v>
      </c>
      <c r="Q29" s="114">
        <v>0</v>
      </c>
      <c r="R29" s="114">
        <v>0</v>
      </c>
      <c r="S29" s="114">
        <v>0</v>
      </c>
      <c r="T29" s="114">
        <v>0</v>
      </c>
      <c r="U29" s="114">
        <v>0</v>
      </c>
      <c r="V29" s="114">
        <v>0</v>
      </c>
      <c r="W29" s="114">
        <v>0</v>
      </c>
      <c r="X29" s="114">
        <v>0</v>
      </c>
      <c r="Y29" s="114">
        <v>0</v>
      </c>
      <c r="Z29" s="114">
        <v>0</v>
      </c>
      <c r="AA29" s="114">
        <v>0</v>
      </c>
      <c r="AB29" s="114">
        <v>0</v>
      </c>
      <c r="AC29" s="114">
        <v>0</v>
      </c>
      <c r="AD29" s="114">
        <v>0</v>
      </c>
      <c r="AE29" s="114">
        <v>0</v>
      </c>
      <c r="AF29" s="114">
        <v>0</v>
      </c>
      <c r="AG29" s="114">
        <v>0</v>
      </c>
      <c r="AH29" s="114">
        <v>0</v>
      </c>
      <c r="AI29" s="114">
        <v>0</v>
      </c>
      <c r="AJ29" s="114">
        <v>0</v>
      </c>
      <c r="AK29" s="114">
        <v>0</v>
      </c>
      <c r="AL29" s="114">
        <v>0</v>
      </c>
      <c r="AM29" s="114">
        <v>0</v>
      </c>
      <c r="AN29" s="114">
        <v>0</v>
      </c>
      <c r="AO29" s="114">
        <v>0</v>
      </c>
      <c r="AP29" s="114">
        <v>0</v>
      </c>
      <c r="AQ29" s="114">
        <v>0</v>
      </c>
      <c r="AR29" s="114">
        <v>0</v>
      </c>
      <c r="AS29" s="114">
        <v>0</v>
      </c>
      <c r="AT29" s="114">
        <v>0</v>
      </c>
      <c r="AU29" s="114">
        <v>0</v>
      </c>
      <c r="AV29" s="114">
        <v>0</v>
      </c>
      <c r="AW29" s="114">
        <v>0</v>
      </c>
      <c r="AX29" s="114">
        <v>0</v>
      </c>
      <c r="AY29" s="114">
        <v>0</v>
      </c>
    </row>
    <row r="30" spans="1:52" x14ac:dyDescent="0.2">
      <c r="A30" s="113"/>
      <c r="B30" s="130">
        <v>6</v>
      </c>
      <c r="C30" s="113" t="s">
        <v>293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0</v>
      </c>
      <c r="P30" s="114">
        <v>0</v>
      </c>
      <c r="Q30" s="114">
        <v>0</v>
      </c>
      <c r="R30" s="114">
        <v>0</v>
      </c>
      <c r="S30" s="114">
        <v>0</v>
      </c>
      <c r="T30" s="114">
        <v>0</v>
      </c>
      <c r="U30" s="114">
        <v>0</v>
      </c>
      <c r="V30" s="114">
        <v>0</v>
      </c>
      <c r="W30" s="114">
        <v>0</v>
      </c>
      <c r="X30" s="114">
        <v>0</v>
      </c>
      <c r="Y30" s="114">
        <v>0</v>
      </c>
      <c r="Z30" s="114">
        <v>0</v>
      </c>
      <c r="AA30" s="114">
        <v>0</v>
      </c>
      <c r="AB30" s="114">
        <v>0</v>
      </c>
      <c r="AC30" s="114">
        <v>0</v>
      </c>
      <c r="AD30" s="114">
        <v>0</v>
      </c>
      <c r="AE30" s="114">
        <v>0</v>
      </c>
      <c r="AF30" s="114">
        <v>0</v>
      </c>
      <c r="AG30" s="114">
        <v>0</v>
      </c>
      <c r="AH30" s="114">
        <v>0</v>
      </c>
      <c r="AI30" s="114">
        <v>0</v>
      </c>
      <c r="AJ30" s="114">
        <v>0</v>
      </c>
      <c r="AK30" s="114">
        <v>0</v>
      </c>
      <c r="AL30" s="114">
        <v>0</v>
      </c>
      <c r="AM30" s="114">
        <v>0</v>
      </c>
      <c r="AN30" s="114">
        <v>0</v>
      </c>
      <c r="AO30" s="114">
        <v>0</v>
      </c>
      <c r="AP30" s="114">
        <v>0</v>
      </c>
      <c r="AQ30" s="114">
        <v>0</v>
      </c>
      <c r="AR30" s="114">
        <v>0</v>
      </c>
      <c r="AS30" s="114">
        <v>0</v>
      </c>
      <c r="AT30" s="114">
        <v>0</v>
      </c>
      <c r="AU30" s="114">
        <v>0</v>
      </c>
      <c r="AV30" s="114">
        <v>0</v>
      </c>
      <c r="AW30" s="114">
        <v>0</v>
      </c>
      <c r="AX30" s="114">
        <v>0</v>
      </c>
      <c r="AY30" s="114">
        <v>0</v>
      </c>
    </row>
    <row r="31" spans="1:52" x14ac:dyDescent="0.2">
      <c r="A31" s="113"/>
      <c r="B31" s="133">
        <v>7</v>
      </c>
      <c r="C31" s="113" t="s">
        <v>293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0</v>
      </c>
      <c r="N31" s="114">
        <v>0</v>
      </c>
      <c r="O31" s="114">
        <v>0</v>
      </c>
      <c r="P31" s="114">
        <v>0</v>
      </c>
      <c r="Q31" s="114">
        <v>0</v>
      </c>
      <c r="R31" s="114">
        <v>0</v>
      </c>
      <c r="S31" s="114">
        <v>0</v>
      </c>
      <c r="T31" s="114">
        <v>0</v>
      </c>
      <c r="U31" s="114">
        <v>0</v>
      </c>
      <c r="V31" s="114">
        <v>0</v>
      </c>
      <c r="W31" s="114">
        <v>0</v>
      </c>
      <c r="X31" s="114">
        <v>0</v>
      </c>
      <c r="Y31" s="114">
        <v>0</v>
      </c>
      <c r="Z31" s="114">
        <v>0</v>
      </c>
      <c r="AA31" s="114">
        <v>0</v>
      </c>
      <c r="AB31" s="114">
        <v>0</v>
      </c>
      <c r="AC31" s="114">
        <v>0</v>
      </c>
      <c r="AD31" s="114">
        <v>0</v>
      </c>
      <c r="AE31" s="114">
        <v>0</v>
      </c>
      <c r="AF31" s="114">
        <v>0</v>
      </c>
      <c r="AG31" s="114">
        <v>0</v>
      </c>
      <c r="AH31" s="114">
        <v>0</v>
      </c>
      <c r="AI31" s="114">
        <v>0</v>
      </c>
      <c r="AJ31" s="114">
        <v>0</v>
      </c>
      <c r="AK31" s="114">
        <v>0</v>
      </c>
      <c r="AL31" s="114">
        <v>0</v>
      </c>
      <c r="AM31" s="114">
        <v>0</v>
      </c>
      <c r="AN31" s="114">
        <v>0</v>
      </c>
      <c r="AO31" s="114">
        <v>0</v>
      </c>
      <c r="AP31" s="114">
        <v>0</v>
      </c>
      <c r="AQ31" s="114">
        <v>0</v>
      </c>
      <c r="AR31" s="114">
        <v>0</v>
      </c>
      <c r="AS31" s="114">
        <v>0</v>
      </c>
      <c r="AT31" s="114">
        <v>0</v>
      </c>
      <c r="AU31" s="114">
        <v>0</v>
      </c>
      <c r="AV31" s="114">
        <v>0</v>
      </c>
      <c r="AW31" s="114">
        <v>0</v>
      </c>
      <c r="AX31" s="114">
        <v>0</v>
      </c>
      <c r="AY31" s="114">
        <v>0</v>
      </c>
    </row>
    <row r="32" spans="1:52" x14ac:dyDescent="0.2">
      <c r="A32" s="131"/>
      <c r="B32" s="132">
        <v>8</v>
      </c>
      <c r="C32" s="131" t="s">
        <v>293</v>
      </c>
      <c r="D32" s="128">
        <v>0</v>
      </c>
      <c r="E32" s="128">
        <v>0</v>
      </c>
      <c r="F32" s="128">
        <v>0</v>
      </c>
      <c r="G32" s="128">
        <v>0</v>
      </c>
      <c r="H32" s="128">
        <v>0</v>
      </c>
      <c r="I32" s="128">
        <v>0</v>
      </c>
      <c r="J32" s="128">
        <v>0</v>
      </c>
      <c r="K32" s="128">
        <v>0</v>
      </c>
      <c r="L32" s="128">
        <v>0</v>
      </c>
      <c r="M32" s="128">
        <v>0</v>
      </c>
      <c r="N32" s="128">
        <v>0</v>
      </c>
      <c r="O32" s="128">
        <v>0</v>
      </c>
      <c r="P32" s="128">
        <v>0</v>
      </c>
      <c r="Q32" s="128">
        <v>0</v>
      </c>
      <c r="R32" s="128">
        <v>0</v>
      </c>
      <c r="S32" s="128">
        <v>0</v>
      </c>
      <c r="T32" s="128">
        <v>0</v>
      </c>
      <c r="U32" s="128">
        <v>0</v>
      </c>
      <c r="V32" s="128">
        <v>0</v>
      </c>
      <c r="W32" s="128">
        <v>0</v>
      </c>
      <c r="X32" s="128">
        <v>0</v>
      </c>
      <c r="Y32" s="128">
        <v>0</v>
      </c>
      <c r="Z32" s="128">
        <v>0</v>
      </c>
      <c r="AA32" s="128">
        <v>0</v>
      </c>
      <c r="AB32" s="128">
        <v>0</v>
      </c>
      <c r="AC32" s="128">
        <v>0</v>
      </c>
      <c r="AD32" s="128">
        <v>0</v>
      </c>
      <c r="AE32" s="128">
        <v>0</v>
      </c>
      <c r="AF32" s="128">
        <v>0</v>
      </c>
      <c r="AG32" s="128">
        <v>0</v>
      </c>
      <c r="AH32" s="128">
        <v>0</v>
      </c>
      <c r="AI32" s="128">
        <v>0</v>
      </c>
      <c r="AJ32" s="128">
        <v>0</v>
      </c>
      <c r="AK32" s="128">
        <v>0</v>
      </c>
      <c r="AL32" s="128">
        <v>0</v>
      </c>
      <c r="AM32" s="128">
        <v>0</v>
      </c>
      <c r="AN32" s="128">
        <v>0</v>
      </c>
      <c r="AO32" s="128">
        <v>0</v>
      </c>
      <c r="AP32" s="128">
        <v>0</v>
      </c>
      <c r="AQ32" s="128">
        <v>0</v>
      </c>
      <c r="AR32" s="128">
        <v>0</v>
      </c>
      <c r="AS32" s="128">
        <v>0</v>
      </c>
      <c r="AT32" s="128">
        <v>0</v>
      </c>
      <c r="AU32" s="128">
        <v>0</v>
      </c>
      <c r="AV32" s="128">
        <v>0</v>
      </c>
      <c r="AW32" s="128">
        <v>0</v>
      </c>
      <c r="AX32" s="128">
        <v>0</v>
      </c>
      <c r="AY32" s="128">
        <v>0</v>
      </c>
    </row>
    <row r="33" spans="1:51" x14ac:dyDescent="0.2">
      <c r="A33" s="134" t="s">
        <v>134</v>
      </c>
      <c r="B33" s="122">
        <v>1</v>
      </c>
      <c r="C33" s="113" t="s">
        <v>293</v>
      </c>
      <c r="D33" s="110">
        <v>3799.1207660849313</v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</row>
    <row r="34" spans="1:51" x14ac:dyDescent="0.2">
      <c r="A34" s="113"/>
      <c r="B34" s="122">
        <v>2</v>
      </c>
      <c r="C34" s="113" t="s">
        <v>293</v>
      </c>
      <c r="D34" s="110">
        <v>0</v>
      </c>
      <c r="E34" s="110">
        <v>2994.1207660849286</v>
      </c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</row>
    <row r="35" spans="1:51" x14ac:dyDescent="0.2">
      <c r="A35" s="113"/>
      <c r="B35" s="122">
        <v>3</v>
      </c>
      <c r="C35" s="113" t="s">
        <v>293</v>
      </c>
      <c r="D35" s="110">
        <v>0</v>
      </c>
      <c r="E35" s="110">
        <v>0</v>
      </c>
      <c r="F35" s="110">
        <v>2595.1207660849313</v>
      </c>
      <c r="G35" s="110">
        <v>2383.9161337533128</v>
      </c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</row>
    <row r="36" spans="1:51" x14ac:dyDescent="0.2">
      <c r="A36" s="113"/>
      <c r="B36" s="123">
        <v>4</v>
      </c>
      <c r="C36" s="113" t="s">
        <v>293</v>
      </c>
      <c r="D36" s="110">
        <v>0</v>
      </c>
      <c r="E36" s="110">
        <v>0</v>
      </c>
      <c r="F36" s="110">
        <v>0</v>
      </c>
      <c r="G36" s="110">
        <v>863.20463233161809</v>
      </c>
      <c r="H36" s="110">
        <v>2638.1207660849386</v>
      </c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1" x14ac:dyDescent="0.2">
      <c r="A37" s="113"/>
      <c r="B37" s="123">
        <v>5</v>
      </c>
      <c r="C37" s="113" t="s">
        <v>293</v>
      </c>
      <c r="D37" s="110">
        <v>0</v>
      </c>
      <c r="E37" s="110">
        <v>0</v>
      </c>
      <c r="F37" s="110">
        <v>0</v>
      </c>
      <c r="G37" s="110">
        <v>0</v>
      </c>
      <c r="H37" s="110">
        <v>0</v>
      </c>
      <c r="I37" s="110">
        <v>3634.4545699229457</v>
      </c>
      <c r="J37" s="110">
        <v>1424.5912073051127</v>
      </c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1" x14ac:dyDescent="0.2">
      <c r="A38" s="113"/>
      <c r="B38" s="123">
        <v>6</v>
      </c>
      <c r="C38" s="113" t="s">
        <v>293</v>
      </c>
      <c r="D38" s="110">
        <v>0</v>
      </c>
      <c r="E38" s="110">
        <v>0</v>
      </c>
      <c r="F38" s="110">
        <v>0</v>
      </c>
      <c r="G38" s="110">
        <v>0</v>
      </c>
      <c r="H38" s="110">
        <v>0</v>
      </c>
      <c r="I38" s="110">
        <v>0</v>
      </c>
      <c r="J38" s="110">
        <v>2182.6423045746014</v>
      </c>
      <c r="K38" s="110">
        <v>3366.3188455558561</v>
      </c>
      <c r="L38" s="110">
        <v>2011.1008314908233</v>
      </c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1" x14ac:dyDescent="0.2">
      <c r="A39" s="113"/>
      <c r="B39" s="130">
        <v>7</v>
      </c>
      <c r="C39" s="113" t="s">
        <v>293</v>
      </c>
      <c r="D39" s="110">
        <v>0</v>
      </c>
      <c r="E39" s="110">
        <v>0</v>
      </c>
      <c r="F39" s="110">
        <v>0</v>
      </c>
      <c r="G39" s="110">
        <v>0</v>
      </c>
      <c r="H39" s="110">
        <v>0</v>
      </c>
      <c r="I39" s="110">
        <v>0</v>
      </c>
      <c r="J39" s="110">
        <v>0</v>
      </c>
      <c r="K39" s="110">
        <v>0</v>
      </c>
      <c r="L39" s="110">
        <v>1986.1747884680331</v>
      </c>
      <c r="M39" s="110">
        <v>2403.9993559342147</v>
      </c>
      <c r="N39" s="110">
        <v>2982.0087753212147</v>
      </c>
      <c r="O39" s="110">
        <v>145.42573007948431</v>
      </c>
      <c r="P39" s="110">
        <v>366.42588488399724</v>
      </c>
      <c r="Q39" s="110"/>
      <c r="R39" s="110">
        <v>281.67037121730027</v>
      </c>
      <c r="S39" s="110"/>
      <c r="T39" s="110">
        <v>131.28710128667262</v>
      </c>
      <c r="U39" s="110"/>
      <c r="V39" s="110">
        <v>438.35403866503566</v>
      </c>
      <c r="W39" s="110">
        <v>753.99341119070323</v>
      </c>
      <c r="X39" s="110">
        <v>1681.733015477017</v>
      </c>
      <c r="Y39" s="110">
        <v>739.11202497845954</v>
      </c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>
        <v>184.26987338310482</v>
      </c>
      <c r="AN39" s="110">
        <v>274.32101510466646</v>
      </c>
      <c r="AO39" s="110">
        <v>305.51101381081435</v>
      </c>
      <c r="AP39" s="110">
        <v>15.354256814853208</v>
      </c>
      <c r="AQ39" s="110">
        <v>296.765387635119</v>
      </c>
      <c r="AR39" s="110"/>
      <c r="AS39" s="110"/>
      <c r="AT39" s="110"/>
      <c r="AU39" s="110"/>
      <c r="AV39" s="110"/>
      <c r="AW39" s="110"/>
      <c r="AX39" s="110"/>
      <c r="AY39" s="110"/>
    </row>
    <row r="40" spans="1:51" x14ac:dyDescent="0.2">
      <c r="A40" s="113"/>
      <c r="B40" s="130">
        <v>8</v>
      </c>
      <c r="C40" s="113" t="s">
        <v>293</v>
      </c>
      <c r="D40" s="110">
        <v>0</v>
      </c>
      <c r="E40" s="110">
        <v>0</v>
      </c>
      <c r="F40" s="110">
        <v>0</v>
      </c>
      <c r="G40" s="110">
        <v>0</v>
      </c>
      <c r="H40" s="110">
        <v>0</v>
      </c>
      <c r="I40" s="110">
        <v>0</v>
      </c>
      <c r="J40" s="110">
        <v>0</v>
      </c>
      <c r="K40" s="110">
        <v>0</v>
      </c>
      <c r="L40" s="110">
        <v>0</v>
      </c>
      <c r="M40" s="110">
        <v>0</v>
      </c>
      <c r="N40" s="110">
        <v>1511.1119907637139</v>
      </c>
      <c r="O40" s="110">
        <v>2132.6950360054516</v>
      </c>
      <c r="P40" s="110">
        <v>4065.6948812009314</v>
      </c>
      <c r="Q40" s="110">
        <v>2846.1207660849359</v>
      </c>
      <c r="R40" s="110">
        <v>4209.5083441294628</v>
      </c>
      <c r="S40" s="110">
        <v>3181.5628168231015</v>
      </c>
      <c r="T40" s="110">
        <v>4439.3336647982633</v>
      </c>
      <c r="U40" s="110">
        <v>3340.7988389118582</v>
      </c>
      <c r="V40" s="110">
        <v>3516.5886545929707</v>
      </c>
      <c r="W40" s="110">
        <v>2742.6273548942254</v>
      </c>
      <c r="X40" s="110">
        <v>2677.8877506079116</v>
      </c>
      <c r="Y40" s="110">
        <v>750.42426915047781</v>
      </c>
      <c r="Z40" s="110">
        <v>898.02716521400362</v>
      </c>
      <c r="AA40" s="110">
        <v>1410.9769117387877</v>
      </c>
      <c r="AB40" s="110">
        <v>728.94269325800633</v>
      </c>
      <c r="AC40" s="110">
        <v>1329.5963465991031</v>
      </c>
      <c r="AD40" s="110"/>
      <c r="AE40" s="110"/>
      <c r="AF40" s="110"/>
      <c r="AG40" s="110"/>
      <c r="AH40" s="110"/>
      <c r="AI40" s="110"/>
      <c r="AJ40" s="110">
        <v>370.66506836837834</v>
      </c>
      <c r="AK40" s="110">
        <v>1789.1952410780723</v>
      </c>
      <c r="AL40" s="110">
        <v>1804.6207660849286</v>
      </c>
      <c r="AM40" s="110">
        <v>3722.8508927018311</v>
      </c>
      <c r="AN40" s="110">
        <v>1587.7997509802622</v>
      </c>
      <c r="AO40" s="110">
        <v>3113.1097522741143</v>
      </c>
      <c r="AP40" s="110">
        <v>3217.7186758206026</v>
      </c>
      <c r="AQ40" s="110">
        <v>3680.0517149870875</v>
      </c>
      <c r="AR40" s="110">
        <v>2752.7988389118655</v>
      </c>
      <c r="AS40" s="110">
        <v>2428.2941901702079</v>
      </c>
      <c r="AT40" s="110"/>
      <c r="AU40" s="110"/>
      <c r="AV40" s="110"/>
      <c r="AW40" s="110"/>
      <c r="AX40" s="110"/>
      <c r="AY40" s="110"/>
    </row>
    <row r="41" spans="1:51" x14ac:dyDescent="0.2">
      <c r="A41" s="113"/>
      <c r="B41" s="130">
        <v>9</v>
      </c>
      <c r="C41" s="113" t="s">
        <v>293</v>
      </c>
      <c r="D41" s="110">
        <v>0</v>
      </c>
      <c r="E41" s="110">
        <v>0</v>
      </c>
      <c r="F41" s="110">
        <v>0</v>
      </c>
      <c r="G41" s="110">
        <v>0</v>
      </c>
      <c r="H41" s="110">
        <v>0</v>
      </c>
      <c r="I41" s="110">
        <v>0</v>
      </c>
      <c r="J41" s="110">
        <v>0</v>
      </c>
      <c r="K41" s="110">
        <v>0</v>
      </c>
      <c r="L41" s="110">
        <v>0</v>
      </c>
      <c r="M41" s="110">
        <v>0</v>
      </c>
      <c r="N41" s="110">
        <v>0</v>
      </c>
      <c r="O41" s="110">
        <v>0</v>
      </c>
      <c r="P41" s="110">
        <v>0</v>
      </c>
      <c r="Q41" s="110">
        <v>0</v>
      </c>
      <c r="R41" s="110">
        <v>0</v>
      </c>
      <c r="S41" s="110">
        <v>0</v>
      </c>
      <c r="T41" s="110">
        <v>0</v>
      </c>
      <c r="U41" s="110">
        <v>0</v>
      </c>
      <c r="V41" s="110">
        <v>0</v>
      </c>
      <c r="W41" s="110">
        <v>0</v>
      </c>
      <c r="X41" s="110">
        <v>0</v>
      </c>
      <c r="Y41" s="110">
        <v>0</v>
      </c>
      <c r="Z41" s="110">
        <v>0</v>
      </c>
      <c r="AA41" s="110">
        <v>0</v>
      </c>
      <c r="AB41" s="110">
        <v>0</v>
      </c>
      <c r="AC41" s="110">
        <v>439.5244194858401</v>
      </c>
      <c r="AD41" s="110">
        <v>1023.6199385387461</v>
      </c>
      <c r="AE41" s="110">
        <v>2386.9252827867945</v>
      </c>
      <c r="AF41" s="110">
        <v>1224.7423929696031</v>
      </c>
      <c r="AG41" s="110">
        <v>2188.1036566592488</v>
      </c>
      <c r="AH41" s="110">
        <v>2060.1125638187154</v>
      </c>
      <c r="AI41" s="110">
        <v>1683.1987490119102</v>
      </c>
      <c r="AJ41" s="110">
        <v>1149.6342047806411</v>
      </c>
      <c r="AK41" s="110">
        <v>1577.4255250068636</v>
      </c>
      <c r="AL41" s="110">
        <v>0</v>
      </c>
      <c r="AM41" s="110">
        <v>0</v>
      </c>
      <c r="AN41" s="110">
        <v>0</v>
      </c>
      <c r="AO41" s="110">
        <v>0</v>
      </c>
      <c r="AP41" s="110">
        <v>0</v>
      </c>
      <c r="AQ41" s="110">
        <v>0</v>
      </c>
      <c r="AR41" s="110">
        <v>0</v>
      </c>
      <c r="AS41" s="110">
        <v>0</v>
      </c>
      <c r="AT41" s="110">
        <v>612.06970824838379</v>
      </c>
      <c r="AU41" s="110">
        <v>2952.0457473186143</v>
      </c>
      <c r="AV41" s="110">
        <v>2928.4612188527785</v>
      </c>
      <c r="AW41" s="110">
        <v>2528.4305818748121</v>
      </c>
      <c r="AX41" s="110">
        <v>1229.1531537774379</v>
      </c>
      <c r="AY41" s="110">
        <v>1424.7332639607148</v>
      </c>
    </row>
    <row r="42" spans="1:51" x14ac:dyDescent="0.2">
      <c r="A42" s="113"/>
      <c r="B42" s="133">
        <v>10</v>
      </c>
      <c r="C42" s="113" t="s">
        <v>293</v>
      </c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166.99964883611801</v>
      </c>
      <c r="AX42" s="110">
        <v>709.09733538774231</v>
      </c>
      <c r="AY42" s="110">
        <v>1946.9505732717855</v>
      </c>
    </row>
    <row r="43" spans="1:51" x14ac:dyDescent="0.2">
      <c r="A43" s="113"/>
      <c r="B43" s="133">
        <v>11</v>
      </c>
      <c r="C43" s="113" t="s">
        <v>293</v>
      </c>
      <c r="D43" s="110">
        <v>0</v>
      </c>
      <c r="E43" s="110">
        <v>0</v>
      </c>
      <c r="F43" s="110">
        <v>0</v>
      </c>
      <c r="G43" s="110">
        <v>0</v>
      </c>
      <c r="H43" s="110">
        <v>0</v>
      </c>
      <c r="I43" s="110">
        <v>0</v>
      </c>
      <c r="J43" s="110">
        <v>0</v>
      </c>
      <c r="K43" s="110">
        <v>0</v>
      </c>
      <c r="L43" s="110">
        <v>0</v>
      </c>
      <c r="M43" s="110">
        <v>0</v>
      </c>
      <c r="N43" s="110">
        <v>0</v>
      </c>
      <c r="O43" s="110">
        <v>0</v>
      </c>
      <c r="P43" s="110">
        <v>0</v>
      </c>
      <c r="Q43" s="110">
        <v>0</v>
      </c>
      <c r="R43" s="110">
        <v>0</v>
      </c>
      <c r="S43" s="110">
        <v>0</v>
      </c>
      <c r="T43" s="110">
        <v>0</v>
      </c>
      <c r="U43" s="110">
        <v>0</v>
      </c>
      <c r="V43" s="110">
        <v>0</v>
      </c>
      <c r="W43" s="110">
        <v>0</v>
      </c>
      <c r="X43" s="110">
        <v>0</v>
      </c>
      <c r="Y43" s="110">
        <v>0</v>
      </c>
      <c r="Z43" s="110">
        <v>0</v>
      </c>
      <c r="AA43" s="110">
        <v>0</v>
      </c>
      <c r="AB43" s="110">
        <v>0</v>
      </c>
      <c r="AC43" s="110">
        <v>0</v>
      </c>
      <c r="AD43" s="110">
        <v>0</v>
      </c>
      <c r="AE43" s="110">
        <v>0</v>
      </c>
      <c r="AF43" s="110">
        <v>0</v>
      </c>
      <c r="AG43" s="110">
        <v>0</v>
      </c>
      <c r="AH43" s="110">
        <v>0</v>
      </c>
      <c r="AI43" s="110">
        <v>0</v>
      </c>
      <c r="AJ43" s="110">
        <v>0</v>
      </c>
      <c r="AK43" s="110">
        <v>0</v>
      </c>
      <c r="AL43" s="110">
        <v>0</v>
      </c>
      <c r="AM43" s="110">
        <v>0</v>
      </c>
      <c r="AN43" s="110">
        <v>0</v>
      </c>
      <c r="AO43" s="110">
        <v>0</v>
      </c>
      <c r="AP43" s="110">
        <v>0</v>
      </c>
      <c r="AQ43" s="110">
        <v>0</v>
      </c>
      <c r="AR43" s="110">
        <v>0</v>
      </c>
      <c r="AS43" s="110">
        <v>0</v>
      </c>
      <c r="AT43" s="110">
        <v>0</v>
      </c>
      <c r="AU43" s="110">
        <v>0</v>
      </c>
      <c r="AV43" s="110">
        <v>0</v>
      </c>
      <c r="AW43" s="110">
        <v>0</v>
      </c>
      <c r="AX43" s="110">
        <v>0</v>
      </c>
      <c r="AY43" s="110">
        <v>0</v>
      </c>
    </row>
    <row r="44" spans="1:51" x14ac:dyDescent="0.2">
      <c r="A44" s="113"/>
      <c r="B44" s="133">
        <v>12</v>
      </c>
      <c r="C44" s="131" t="s">
        <v>293</v>
      </c>
      <c r="D44" s="110">
        <v>0</v>
      </c>
      <c r="E44" s="110">
        <v>0</v>
      </c>
      <c r="F44" s="110">
        <v>0</v>
      </c>
      <c r="G44" s="110">
        <v>0</v>
      </c>
      <c r="H44" s="110">
        <v>0</v>
      </c>
      <c r="I44" s="110">
        <v>0</v>
      </c>
      <c r="J44" s="110">
        <v>0</v>
      </c>
      <c r="K44" s="110">
        <v>0</v>
      </c>
      <c r="L44" s="110">
        <v>0</v>
      </c>
      <c r="M44" s="110">
        <v>0</v>
      </c>
      <c r="N44" s="110">
        <v>0</v>
      </c>
      <c r="O44" s="110">
        <v>0</v>
      </c>
      <c r="P44" s="110">
        <v>0</v>
      </c>
      <c r="Q44" s="110">
        <v>0</v>
      </c>
      <c r="R44" s="110">
        <v>0</v>
      </c>
      <c r="S44" s="110">
        <v>0</v>
      </c>
      <c r="T44" s="110">
        <v>0</v>
      </c>
      <c r="U44" s="110">
        <v>0</v>
      </c>
      <c r="V44" s="110">
        <v>0</v>
      </c>
      <c r="W44" s="110">
        <v>0</v>
      </c>
      <c r="X44" s="110">
        <v>0</v>
      </c>
      <c r="Y44" s="110">
        <v>0</v>
      </c>
      <c r="Z44" s="110">
        <v>0</v>
      </c>
      <c r="AA44" s="110">
        <v>0</v>
      </c>
      <c r="AB44" s="110">
        <v>0</v>
      </c>
      <c r="AC44" s="110">
        <v>0</v>
      </c>
      <c r="AD44" s="110">
        <v>0</v>
      </c>
      <c r="AE44" s="110">
        <v>0</v>
      </c>
      <c r="AF44" s="110">
        <v>0</v>
      </c>
      <c r="AG44" s="110">
        <v>0</v>
      </c>
      <c r="AH44" s="110">
        <v>0</v>
      </c>
      <c r="AI44" s="110">
        <v>0</v>
      </c>
      <c r="AJ44" s="110">
        <v>0</v>
      </c>
      <c r="AK44" s="110">
        <v>0</v>
      </c>
      <c r="AL44" s="110">
        <v>0</v>
      </c>
      <c r="AM44" s="110">
        <v>0</v>
      </c>
      <c r="AN44" s="110">
        <v>0</v>
      </c>
      <c r="AO44" s="110">
        <v>0</v>
      </c>
      <c r="AP44" s="110">
        <v>0</v>
      </c>
      <c r="AQ44" s="110">
        <v>0</v>
      </c>
      <c r="AR44" s="110">
        <v>0</v>
      </c>
      <c r="AS44" s="110">
        <v>0</v>
      </c>
      <c r="AT44" s="110">
        <v>0</v>
      </c>
      <c r="AU44" s="110">
        <v>0</v>
      </c>
      <c r="AV44" s="110">
        <v>0</v>
      </c>
      <c r="AW44" s="110">
        <v>0</v>
      </c>
      <c r="AX44" s="110">
        <v>0</v>
      </c>
      <c r="AY44" s="110">
        <v>0</v>
      </c>
    </row>
    <row r="45" spans="1:51" x14ac:dyDescent="0.2">
      <c r="A45" s="129" t="s">
        <v>123</v>
      </c>
      <c r="B45" s="126">
        <v>1</v>
      </c>
      <c r="C45" s="113" t="s">
        <v>293</v>
      </c>
      <c r="D45" s="127"/>
      <c r="E45" s="127"/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127"/>
      <c r="Q45" s="127"/>
      <c r="R45" s="127"/>
      <c r="S45" s="127"/>
      <c r="T45" s="127"/>
      <c r="U45" s="127"/>
      <c r="V45" s="127"/>
      <c r="W45" s="127"/>
      <c r="X45" s="127"/>
      <c r="Y45" s="127"/>
      <c r="Z45" s="127"/>
      <c r="AA45" s="127"/>
      <c r="AB45" s="127"/>
      <c r="AC45" s="127"/>
      <c r="AD45" s="127"/>
      <c r="AE45" s="127"/>
      <c r="AF45" s="127"/>
      <c r="AG45" s="127"/>
      <c r="AH45" s="127"/>
      <c r="AI45" s="127"/>
      <c r="AJ45" s="127"/>
      <c r="AK45" s="127"/>
      <c r="AL45" s="127"/>
      <c r="AM45" s="127"/>
      <c r="AN45" s="127"/>
      <c r="AO45" s="127"/>
      <c r="AP45" s="127"/>
      <c r="AQ45" s="127"/>
      <c r="AR45" s="127"/>
      <c r="AS45" s="127"/>
      <c r="AT45" s="127"/>
      <c r="AU45" s="127"/>
      <c r="AV45" s="127"/>
      <c r="AW45" s="127"/>
      <c r="AX45" s="127"/>
      <c r="AY45" s="127"/>
    </row>
    <row r="46" spans="1:51" x14ac:dyDescent="0.2">
      <c r="A46" s="113"/>
      <c r="B46" s="122">
        <v>2</v>
      </c>
      <c r="C46" s="113" t="s">
        <v>293</v>
      </c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4"/>
      <c r="AP46" s="114"/>
      <c r="AQ46" s="114"/>
      <c r="AR46" s="114"/>
      <c r="AS46" s="114"/>
      <c r="AT46" s="114"/>
      <c r="AU46" s="114"/>
      <c r="AV46" s="114"/>
      <c r="AW46" s="114"/>
      <c r="AX46" s="114"/>
      <c r="AY46" s="114"/>
    </row>
    <row r="47" spans="1:51" x14ac:dyDescent="0.2">
      <c r="A47" s="113"/>
      <c r="B47" s="122">
        <v>3</v>
      </c>
      <c r="C47" s="113" t="s">
        <v>293</v>
      </c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4"/>
      <c r="AF47" s="114"/>
      <c r="AG47" s="114"/>
      <c r="AH47" s="114"/>
      <c r="AI47" s="114"/>
      <c r="AJ47" s="114"/>
      <c r="AK47" s="114"/>
      <c r="AL47" s="114"/>
      <c r="AM47" s="114"/>
      <c r="AN47" s="114"/>
      <c r="AO47" s="114"/>
      <c r="AP47" s="114"/>
      <c r="AQ47" s="114"/>
      <c r="AR47" s="114"/>
      <c r="AS47" s="114"/>
      <c r="AT47" s="114"/>
      <c r="AU47" s="114"/>
      <c r="AV47" s="114"/>
      <c r="AW47" s="114"/>
      <c r="AX47" s="114"/>
      <c r="AY47" s="114"/>
    </row>
    <row r="48" spans="1:51" x14ac:dyDescent="0.2">
      <c r="A48" s="113"/>
      <c r="B48" s="122">
        <v>4</v>
      </c>
      <c r="C48" s="113" t="s">
        <v>293</v>
      </c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4"/>
      <c r="AF48" s="114"/>
      <c r="AG48" s="114"/>
      <c r="AH48" s="114"/>
      <c r="AI48" s="114"/>
      <c r="AJ48" s="114"/>
      <c r="AK48" s="114"/>
      <c r="AL48" s="114"/>
      <c r="AM48" s="114"/>
      <c r="AN48" s="114"/>
      <c r="AO48" s="114"/>
      <c r="AP48" s="114"/>
      <c r="AQ48" s="114"/>
      <c r="AR48" s="114"/>
      <c r="AS48" s="114"/>
      <c r="AT48" s="114"/>
      <c r="AU48" s="114"/>
      <c r="AV48" s="114"/>
      <c r="AW48" s="114"/>
      <c r="AX48" s="114"/>
      <c r="AY48" s="114"/>
    </row>
    <row r="49" spans="1:51" x14ac:dyDescent="0.2">
      <c r="A49" s="113"/>
      <c r="B49" s="122">
        <v>5</v>
      </c>
      <c r="C49" s="113" t="s">
        <v>293</v>
      </c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4"/>
      <c r="AF49" s="114"/>
      <c r="AG49" s="114"/>
      <c r="AH49" s="114"/>
      <c r="AI49" s="114"/>
      <c r="AJ49" s="114"/>
      <c r="AK49" s="114"/>
      <c r="AL49" s="114"/>
      <c r="AM49" s="114"/>
      <c r="AN49" s="114"/>
      <c r="AO49" s="114"/>
      <c r="AP49" s="114"/>
      <c r="AQ49" s="114"/>
      <c r="AR49" s="114"/>
      <c r="AS49" s="114"/>
      <c r="AT49" s="114"/>
      <c r="AU49" s="114"/>
      <c r="AV49" s="114"/>
      <c r="AW49" s="114"/>
      <c r="AX49" s="114"/>
      <c r="AY49" s="114"/>
    </row>
    <row r="50" spans="1:51" x14ac:dyDescent="0.2">
      <c r="A50" s="113"/>
      <c r="B50" s="122">
        <v>6</v>
      </c>
      <c r="C50" s="113" t="s">
        <v>293</v>
      </c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14"/>
      <c r="AJ50" s="114"/>
      <c r="AK50" s="114"/>
      <c r="AL50" s="114"/>
      <c r="AM50" s="114"/>
      <c r="AN50" s="114"/>
      <c r="AO50" s="114"/>
      <c r="AP50" s="114"/>
      <c r="AQ50" s="114"/>
      <c r="AR50" s="114"/>
      <c r="AS50" s="114"/>
      <c r="AT50" s="114"/>
      <c r="AU50" s="114"/>
      <c r="AV50" s="114"/>
      <c r="AW50" s="114"/>
      <c r="AX50" s="114"/>
      <c r="AY50" s="114"/>
    </row>
    <row r="51" spans="1:51" x14ac:dyDescent="0.2">
      <c r="A51" s="113"/>
      <c r="B51" s="122">
        <v>7</v>
      </c>
      <c r="C51" s="113" t="s">
        <v>293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  <c r="AD51" s="114"/>
      <c r="AE51" s="114"/>
      <c r="AF51" s="114"/>
      <c r="AG51" s="114"/>
      <c r="AH51" s="114"/>
      <c r="AI51" s="114"/>
      <c r="AJ51" s="114"/>
      <c r="AK51" s="114"/>
      <c r="AL51" s="114"/>
      <c r="AM51" s="114"/>
      <c r="AN51" s="114"/>
      <c r="AO51" s="114"/>
      <c r="AP51" s="114"/>
      <c r="AQ51" s="114"/>
      <c r="AR51" s="114"/>
      <c r="AS51" s="114"/>
      <c r="AT51" s="114"/>
      <c r="AU51" s="114"/>
      <c r="AV51" s="114"/>
      <c r="AW51" s="114"/>
      <c r="AX51" s="114"/>
      <c r="AY51" s="114"/>
    </row>
    <row r="52" spans="1:51" x14ac:dyDescent="0.2">
      <c r="A52" s="113"/>
      <c r="B52" s="122">
        <v>8</v>
      </c>
      <c r="C52" s="113" t="s">
        <v>293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  <c r="AD52" s="114"/>
      <c r="AE52" s="114"/>
      <c r="AF52" s="114"/>
      <c r="AG52" s="114"/>
      <c r="AH52" s="114"/>
      <c r="AI52" s="114"/>
      <c r="AJ52" s="114"/>
      <c r="AK52" s="114"/>
      <c r="AL52" s="114"/>
      <c r="AM52" s="114"/>
      <c r="AN52" s="114"/>
      <c r="AO52" s="114"/>
      <c r="AP52" s="114"/>
      <c r="AQ52" s="114"/>
      <c r="AR52" s="114"/>
      <c r="AS52" s="114"/>
      <c r="AT52" s="114"/>
      <c r="AU52" s="114"/>
      <c r="AV52" s="114"/>
      <c r="AW52" s="114"/>
      <c r="AX52" s="114"/>
      <c r="AY52" s="114"/>
    </row>
    <row r="53" spans="1:51" x14ac:dyDescent="0.2">
      <c r="A53" s="113"/>
      <c r="B53" s="122">
        <v>9</v>
      </c>
      <c r="C53" s="113" t="s">
        <v>293</v>
      </c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  <c r="AD53" s="114"/>
      <c r="AE53" s="114"/>
      <c r="AF53" s="114"/>
      <c r="AG53" s="114"/>
      <c r="AH53" s="114"/>
      <c r="AI53" s="114"/>
      <c r="AJ53" s="114"/>
      <c r="AK53" s="114"/>
      <c r="AL53" s="114"/>
      <c r="AM53" s="114"/>
      <c r="AN53" s="114"/>
      <c r="AO53" s="114"/>
      <c r="AP53" s="114"/>
      <c r="AQ53" s="114"/>
      <c r="AR53" s="114"/>
      <c r="AS53" s="114"/>
      <c r="AT53" s="114"/>
      <c r="AU53" s="114"/>
      <c r="AV53" s="114"/>
      <c r="AW53" s="114"/>
      <c r="AX53" s="114"/>
      <c r="AY53" s="114"/>
    </row>
    <row r="54" spans="1:51" x14ac:dyDescent="0.2">
      <c r="A54" s="113"/>
      <c r="B54" s="122">
        <v>10</v>
      </c>
      <c r="C54" s="113" t="s">
        <v>293</v>
      </c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  <c r="AD54" s="114"/>
      <c r="AE54" s="114"/>
      <c r="AF54" s="114"/>
      <c r="AG54" s="114"/>
      <c r="AH54" s="114"/>
      <c r="AI54" s="114"/>
      <c r="AJ54" s="114"/>
      <c r="AK54" s="114"/>
      <c r="AL54" s="114"/>
      <c r="AM54" s="114"/>
      <c r="AN54" s="114"/>
      <c r="AO54" s="114"/>
      <c r="AP54" s="114"/>
      <c r="AQ54" s="114"/>
      <c r="AR54" s="114"/>
      <c r="AS54" s="114"/>
      <c r="AT54" s="114"/>
      <c r="AU54" s="114"/>
      <c r="AV54" s="114"/>
      <c r="AW54" s="114"/>
      <c r="AX54" s="114"/>
      <c r="AY54" s="114"/>
    </row>
    <row r="55" spans="1:51" x14ac:dyDescent="0.2">
      <c r="A55" s="113"/>
      <c r="B55" s="122">
        <v>11</v>
      </c>
      <c r="C55" s="113" t="s">
        <v>293</v>
      </c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114"/>
      <c r="AA55" s="114"/>
      <c r="AB55" s="114"/>
      <c r="AC55" s="114"/>
      <c r="AD55" s="114"/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14"/>
      <c r="AP55" s="114"/>
      <c r="AQ55" s="114"/>
      <c r="AR55" s="114"/>
      <c r="AS55" s="114"/>
      <c r="AT55" s="114"/>
      <c r="AU55" s="114"/>
      <c r="AV55" s="114"/>
      <c r="AW55" s="114"/>
      <c r="AX55" s="114"/>
      <c r="AY55" s="114"/>
    </row>
    <row r="56" spans="1:51" x14ac:dyDescent="0.2">
      <c r="A56" s="113"/>
      <c r="B56" s="122">
        <v>12</v>
      </c>
      <c r="C56" s="113" t="s">
        <v>293</v>
      </c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114"/>
      <c r="AA56" s="114"/>
      <c r="AB56" s="114"/>
      <c r="AC56" s="114"/>
      <c r="AD56" s="114"/>
      <c r="AE56" s="114"/>
      <c r="AF56" s="114"/>
      <c r="AG56" s="114"/>
      <c r="AH56" s="114"/>
      <c r="AI56" s="114"/>
      <c r="AJ56" s="114"/>
      <c r="AK56" s="114"/>
      <c r="AL56" s="114"/>
      <c r="AM56" s="114"/>
      <c r="AN56" s="114"/>
      <c r="AO56" s="114"/>
      <c r="AP56" s="114"/>
      <c r="AQ56" s="114"/>
      <c r="AR56" s="114"/>
      <c r="AS56" s="114"/>
      <c r="AT56" s="114"/>
      <c r="AU56" s="114"/>
      <c r="AV56" s="114"/>
      <c r="AW56" s="114"/>
      <c r="AX56" s="114"/>
      <c r="AY56" s="114"/>
    </row>
    <row r="57" spans="1:51" x14ac:dyDescent="0.2">
      <c r="A57" s="113"/>
      <c r="B57" s="123">
        <v>13</v>
      </c>
      <c r="C57" s="113" t="s">
        <v>293</v>
      </c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114"/>
      <c r="AA57" s="114"/>
      <c r="AB57" s="114"/>
      <c r="AC57" s="114"/>
      <c r="AD57" s="114"/>
      <c r="AE57" s="114"/>
      <c r="AF57" s="114"/>
      <c r="AG57" s="114"/>
      <c r="AH57" s="114"/>
      <c r="AI57" s="114"/>
      <c r="AJ57" s="114"/>
      <c r="AK57" s="114"/>
      <c r="AL57" s="114"/>
      <c r="AM57" s="114"/>
      <c r="AN57" s="114"/>
      <c r="AO57" s="114"/>
      <c r="AP57" s="114"/>
      <c r="AQ57" s="114"/>
      <c r="AR57" s="114"/>
      <c r="AS57" s="114"/>
      <c r="AT57" s="114"/>
      <c r="AU57" s="114"/>
      <c r="AV57" s="114"/>
      <c r="AW57" s="114"/>
      <c r="AX57" s="114"/>
      <c r="AY57" s="114"/>
    </row>
    <row r="58" spans="1:51" x14ac:dyDescent="0.2">
      <c r="A58" s="113"/>
      <c r="B58" s="123">
        <v>14</v>
      </c>
      <c r="C58" s="113" t="s">
        <v>293</v>
      </c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  <c r="AC58" s="114"/>
      <c r="AD58" s="114"/>
      <c r="AE58" s="114"/>
      <c r="AF58" s="114"/>
      <c r="AG58" s="114"/>
      <c r="AH58" s="114"/>
      <c r="AI58" s="114"/>
      <c r="AJ58" s="114"/>
      <c r="AK58" s="114"/>
      <c r="AL58" s="114"/>
      <c r="AM58" s="114"/>
      <c r="AN58" s="114"/>
      <c r="AO58" s="114"/>
      <c r="AP58" s="114"/>
      <c r="AQ58" s="114"/>
      <c r="AR58" s="114"/>
      <c r="AS58" s="114"/>
      <c r="AT58" s="114"/>
      <c r="AU58" s="114"/>
      <c r="AV58" s="114"/>
      <c r="AW58" s="114"/>
      <c r="AX58" s="114"/>
      <c r="AY58" s="114"/>
    </row>
    <row r="59" spans="1:51" x14ac:dyDescent="0.2">
      <c r="A59" s="113"/>
      <c r="B59" s="123">
        <v>15</v>
      </c>
      <c r="C59" s="113" t="s">
        <v>293</v>
      </c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114"/>
      <c r="AA59" s="114"/>
      <c r="AB59" s="114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</row>
    <row r="60" spans="1:51" x14ac:dyDescent="0.2">
      <c r="A60" s="113"/>
      <c r="B60" s="123">
        <v>16</v>
      </c>
      <c r="C60" s="113" t="s">
        <v>293</v>
      </c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114"/>
      <c r="AA60" s="114"/>
      <c r="AB60" s="114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</row>
    <row r="61" spans="1:51" x14ac:dyDescent="0.2">
      <c r="A61" s="113"/>
      <c r="B61" s="123">
        <v>17</v>
      </c>
      <c r="C61" s="113" t="s">
        <v>293</v>
      </c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114"/>
      <c r="AA61" s="114"/>
      <c r="AB61" s="114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</row>
    <row r="62" spans="1:51" x14ac:dyDescent="0.2">
      <c r="A62" s="113"/>
      <c r="B62" s="123">
        <v>18</v>
      </c>
      <c r="C62" s="113" t="s">
        <v>293</v>
      </c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114"/>
      <c r="AA62" s="114"/>
      <c r="AB62" s="114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</row>
    <row r="63" spans="1:51" x14ac:dyDescent="0.2">
      <c r="A63" s="113"/>
      <c r="B63" s="123">
        <v>19</v>
      </c>
      <c r="C63" s="113" t="s">
        <v>293</v>
      </c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</row>
    <row r="64" spans="1:51" x14ac:dyDescent="0.2">
      <c r="A64" s="113"/>
      <c r="B64" s="123">
        <v>20</v>
      </c>
      <c r="C64" s="113" t="s">
        <v>293</v>
      </c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</row>
    <row r="65" spans="1:51" x14ac:dyDescent="0.2">
      <c r="A65" s="113"/>
      <c r="B65" s="123">
        <v>21</v>
      </c>
      <c r="C65" s="113" t="s">
        <v>293</v>
      </c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114"/>
      <c r="AA65" s="114"/>
      <c r="AB65" s="114"/>
      <c r="AC65" s="114"/>
      <c r="AD65" s="114"/>
      <c r="AE65" s="114"/>
      <c r="AF65" s="114"/>
      <c r="AG65" s="114"/>
      <c r="AH65" s="114"/>
      <c r="AI65" s="114"/>
      <c r="AJ65" s="114"/>
      <c r="AK65" s="114"/>
      <c r="AL65" s="114"/>
      <c r="AM65" s="114"/>
      <c r="AN65" s="114"/>
      <c r="AO65" s="114"/>
      <c r="AP65" s="114"/>
      <c r="AQ65" s="114"/>
      <c r="AR65" s="114"/>
      <c r="AS65" s="114"/>
      <c r="AT65" s="114"/>
      <c r="AU65" s="114"/>
      <c r="AV65" s="114"/>
      <c r="AW65" s="114"/>
      <c r="AX65" s="114"/>
      <c r="AY65" s="114"/>
    </row>
    <row r="66" spans="1:51" x14ac:dyDescent="0.2">
      <c r="A66" s="113"/>
      <c r="B66" s="123">
        <v>22</v>
      </c>
      <c r="C66" s="113" t="s">
        <v>293</v>
      </c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114"/>
      <c r="AA66" s="114"/>
      <c r="AB66" s="114"/>
      <c r="AC66" s="114"/>
      <c r="AD66" s="114"/>
      <c r="AE66" s="114"/>
      <c r="AF66" s="114"/>
      <c r="AG66" s="114"/>
      <c r="AH66" s="114"/>
      <c r="AI66" s="114"/>
      <c r="AJ66" s="114"/>
      <c r="AK66" s="114"/>
      <c r="AL66" s="114"/>
      <c r="AM66" s="114"/>
      <c r="AN66" s="114"/>
      <c r="AO66" s="114"/>
      <c r="AP66" s="114"/>
      <c r="AQ66" s="114"/>
      <c r="AR66" s="114"/>
      <c r="AS66" s="114"/>
      <c r="AT66" s="114"/>
      <c r="AU66" s="114"/>
      <c r="AV66" s="114"/>
      <c r="AW66" s="114"/>
      <c r="AX66" s="114"/>
      <c r="AY66" s="114"/>
    </row>
    <row r="67" spans="1:51" x14ac:dyDescent="0.2">
      <c r="A67" s="113"/>
      <c r="B67" s="123">
        <v>23</v>
      </c>
      <c r="C67" s="113" t="s">
        <v>293</v>
      </c>
      <c r="D67" s="114"/>
      <c r="E67" s="114"/>
      <c r="F67" s="114"/>
      <c r="G67" s="114"/>
      <c r="H67" s="114"/>
      <c r="I67" s="114"/>
      <c r="J67" s="114"/>
      <c r="K67" s="114"/>
      <c r="L67" s="114"/>
      <c r="M67" s="114"/>
      <c r="N67" s="114"/>
      <c r="O67" s="114"/>
      <c r="P67" s="114"/>
      <c r="Q67" s="114"/>
      <c r="R67" s="114"/>
      <c r="S67" s="114"/>
      <c r="T67" s="114"/>
      <c r="U67" s="114"/>
      <c r="V67" s="114"/>
      <c r="W67" s="114"/>
      <c r="X67" s="114"/>
      <c r="Y67" s="114"/>
      <c r="Z67" s="114"/>
      <c r="AA67" s="114"/>
      <c r="AB67" s="114"/>
      <c r="AC67" s="114"/>
      <c r="AD67" s="114"/>
      <c r="AE67" s="114"/>
      <c r="AF67" s="114"/>
      <c r="AG67" s="114"/>
      <c r="AH67" s="114"/>
      <c r="AI67" s="114"/>
      <c r="AJ67" s="114"/>
      <c r="AK67" s="114"/>
      <c r="AL67" s="114"/>
      <c r="AM67" s="114"/>
      <c r="AN67" s="114"/>
      <c r="AO67" s="114"/>
      <c r="AP67" s="114"/>
      <c r="AQ67" s="114"/>
      <c r="AR67" s="114"/>
      <c r="AS67" s="114"/>
      <c r="AT67" s="114"/>
      <c r="AU67" s="114"/>
      <c r="AV67" s="114"/>
      <c r="AW67" s="114"/>
      <c r="AX67" s="114"/>
      <c r="AY67" s="114"/>
    </row>
    <row r="68" spans="1:51" x14ac:dyDescent="0.2">
      <c r="A68" s="113"/>
      <c r="B68" s="123">
        <v>24</v>
      </c>
      <c r="C68" s="113" t="s">
        <v>293</v>
      </c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114"/>
      <c r="T68" s="114"/>
      <c r="U68" s="114"/>
      <c r="V68" s="114"/>
      <c r="W68" s="114"/>
      <c r="X68" s="114"/>
      <c r="Y68" s="114"/>
      <c r="Z68" s="114"/>
      <c r="AA68" s="114"/>
      <c r="AB68" s="114"/>
      <c r="AC68" s="114"/>
      <c r="AD68" s="114"/>
      <c r="AE68" s="114"/>
      <c r="AF68" s="114"/>
      <c r="AG68" s="114"/>
      <c r="AH68" s="114"/>
      <c r="AI68" s="114"/>
      <c r="AJ68" s="114"/>
      <c r="AK68" s="114"/>
      <c r="AL68" s="114"/>
      <c r="AM68" s="114"/>
      <c r="AN68" s="114"/>
      <c r="AO68" s="114"/>
      <c r="AP68" s="114"/>
      <c r="AQ68" s="114"/>
      <c r="AR68" s="114"/>
      <c r="AS68" s="114"/>
      <c r="AT68" s="114"/>
      <c r="AU68" s="114"/>
      <c r="AV68" s="114"/>
      <c r="AW68" s="114"/>
      <c r="AX68" s="114"/>
      <c r="AY68" s="114"/>
    </row>
    <row r="69" spans="1:51" x14ac:dyDescent="0.2">
      <c r="A69" s="113"/>
      <c r="B69" s="130">
        <v>25</v>
      </c>
      <c r="C69" s="113" t="s">
        <v>293</v>
      </c>
      <c r="D69" s="114"/>
      <c r="E69" s="114"/>
      <c r="F69" s="114"/>
      <c r="G69" s="114"/>
      <c r="H69" s="114"/>
      <c r="I69" s="114"/>
      <c r="J69" s="114"/>
      <c r="K69" s="114"/>
      <c r="L69" s="114"/>
      <c r="M69" s="114"/>
      <c r="N69" s="114"/>
      <c r="O69" s="114"/>
      <c r="P69" s="114"/>
      <c r="Q69" s="114"/>
      <c r="R69" s="114"/>
      <c r="S69" s="114"/>
      <c r="T69" s="114"/>
      <c r="U69" s="114"/>
      <c r="V69" s="114"/>
      <c r="W69" s="114"/>
      <c r="X69" s="114"/>
      <c r="Y69" s="114"/>
      <c r="Z69" s="114"/>
      <c r="AA69" s="114"/>
      <c r="AB69" s="114"/>
      <c r="AC69" s="114"/>
      <c r="AD69" s="114"/>
      <c r="AE69" s="114"/>
      <c r="AF69" s="114"/>
      <c r="AG69" s="114"/>
      <c r="AH69" s="114"/>
      <c r="AI69" s="114"/>
      <c r="AJ69" s="114"/>
      <c r="AK69" s="114"/>
      <c r="AL69" s="114"/>
      <c r="AM69" s="114"/>
      <c r="AN69" s="114"/>
      <c r="AO69" s="114"/>
      <c r="AP69" s="114"/>
      <c r="AQ69" s="114"/>
      <c r="AR69" s="114"/>
      <c r="AS69" s="114"/>
      <c r="AT69" s="114"/>
      <c r="AU69" s="114"/>
      <c r="AV69" s="114"/>
      <c r="AW69" s="114"/>
      <c r="AX69" s="114"/>
      <c r="AY69" s="114"/>
    </row>
    <row r="70" spans="1:51" x14ac:dyDescent="0.2">
      <c r="A70" s="113"/>
      <c r="B70" s="130">
        <v>26</v>
      </c>
      <c r="C70" s="113" t="s">
        <v>293</v>
      </c>
      <c r="D70" s="114"/>
      <c r="E70" s="114"/>
      <c r="F70" s="114"/>
      <c r="G70" s="114"/>
      <c r="H70" s="114"/>
      <c r="I70" s="114"/>
      <c r="J70" s="114"/>
      <c r="K70" s="114"/>
      <c r="L70" s="114"/>
      <c r="M70" s="114"/>
      <c r="N70" s="114"/>
      <c r="O70" s="114"/>
      <c r="P70" s="114"/>
      <c r="Q70" s="114"/>
      <c r="R70" s="114"/>
      <c r="S70" s="114"/>
      <c r="T70" s="114"/>
      <c r="U70" s="114"/>
      <c r="V70" s="114"/>
      <c r="W70" s="114"/>
      <c r="X70" s="114"/>
      <c r="Y70" s="114"/>
      <c r="Z70" s="114"/>
      <c r="AA70" s="114"/>
      <c r="AB70" s="114"/>
      <c r="AC70" s="114"/>
      <c r="AD70" s="114"/>
      <c r="AE70" s="114"/>
      <c r="AF70" s="114"/>
      <c r="AG70" s="114"/>
      <c r="AH70" s="114"/>
      <c r="AI70" s="114"/>
      <c r="AJ70" s="114"/>
      <c r="AK70" s="114"/>
      <c r="AL70" s="114"/>
      <c r="AM70" s="114"/>
      <c r="AN70" s="114"/>
      <c r="AO70" s="114"/>
      <c r="AP70" s="114"/>
      <c r="AQ70" s="114"/>
      <c r="AR70" s="114"/>
      <c r="AS70" s="114"/>
      <c r="AT70" s="114"/>
      <c r="AU70" s="114"/>
      <c r="AV70" s="114"/>
      <c r="AW70" s="114"/>
      <c r="AX70" s="114"/>
      <c r="AY70" s="114"/>
    </row>
    <row r="71" spans="1:51" x14ac:dyDescent="0.2">
      <c r="A71" s="113"/>
      <c r="B71" s="130">
        <v>27</v>
      </c>
      <c r="C71" s="113" t="s">
        <v>293</v>
      </c>
      <c r="D71" s="114"/>
      <c r="E71" s="114"/>
      <c r="F71" s="114"/>
      <c r="G71" s="114"/>
      <c r="H71" s="114"/>
      <c r="I71" s="114"/>
      <c r="J71" s="114"/>
      <c r="K71" s="114"/>
      <c r="L71" s="114"/>
      <c r="M71" s="114"/>
      <c r="N71" s="114"/>
      <c r="O71" s="114"/>
      <c r="P71" s="114"/>
      <c r="Q71" s="114"/>
      <c r="R71" s="114"/>
      <c r="S71" s="114"/>
      <c r="T71" s="114"/>
      <c r="U71" s="114"/>
      <c r="V71" s="114"/>
      <c r="W71" s="114"/>
      <c r="X71" s="114"/>
      <c r="Y71" s="114"/>
      <c r="Z71" s="114"/>
      <c r="AA71" s="114"/>
      <c r="AB71" s="114"/>
      <c r="AC71" s="114"/>
      <c r="AD71" s="114"/>
      <c r="AE71" s="114"/>
      <c r="AF71" s="114"/>
      <c r="AG71" s="114"/>
      <c r="AH71" s="114"/>
      <c r="AI71" s="114"/>
      <c r="AJ71" s="114"/>
      <c r="AK71" s="114"/>
      <c r="AL71" s="114"/>
      <c r="AM71" s="114"/>
      <c r="AN71" s="114"/>
      <c r="AO71" s="114"/>
      <c r="AP71" s="114"/>
      <c r="AQ71" s="114"/>
      <c r="AR71" s="114"/>
      <c r="AS71" s="114"/>
      <c r="AT71" s="114"/>
      <c r="AU71" s="114"/>
      <c r="AV71" s="114"/>
      <c r="AW71" s="114"/>
      <c r="AX71" s="114"/>
      <c r="AY71" s="114"/>
    </row>
    <row r="72" spans="1:51" x14ac:dyDescent="0.2">
      <c r="A72" s="113"/>
      <c r="B72" s="130">
        <v>28</v>
      </c>
      <c r="C72" s="113" t="s">
        <v>293</v>
      </c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114"/>
      <c r="AA72" s="114"/>
      <c r="AB72" s="114"/>
      <c r="AC72" s="114"/>
      <c r="AD72" s="114"/>
      <c r="AE72" s="114"/>
      <c r="AF72" s="114"/>
      <c r="AG72" s="114"/>
      <c r="AH72" s="114"/>
      <c r="AI72" s="114"/>
      <c r="AJ72" s="114"/>
      <c r="AK72" s="114"/>
      <c r="AL72" s="114"/>
      <c r="AM72" s="114"/>
      <c r="AN72" s="114"/>
      <c r="AO72" s="114"/>
      <c r="AP72" s="114"/>
      <c r="AQ72" s="114"/>
      <c r="AR72" s="114"/>
      <c r="AS72" s="114"/>
      <c r="AT72" s="114"/>
      <c r="AU72" s="114"/>
      <c r="AV72" s="114"/>
      <c r="AW72" s="114"/>
      <c r="AX72" s="114"/>
      <c r="AY72" s="114"/>
    </row>
    <row r="73" spans="1:51" x14ac:dyDescent="0.2">
      <c r="A73" s="113"/>
      <c r="B73" s="130">
        <v>29</v>
      </c>
      <c r="C73" s="113" t="s">
        <v>293</v>
      </c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114"/>
      <c r="AA73" s="114"/>
      <c r="AB73" s="114"/>
      <c r="AC73" s="114"/>
      <c r="AD73" s="114"/>
      <c r="AE73" s="114"/>
      <c r="AF73" s="114"/>
      <c r="AG73" s="114"/>
      <c r="AH73" s="114"/>
      <c r="AI73" s="114"/>
      <c r="AJ73" s="114"/>
      <c r="AK73" s="114"/>
      <c r="AL73" s="114"/>
      <c r="AM73" s="114"/>
      <c r="AN73" s="114"/>
      <c r="AO73" s="114"/>
      <c r="AP73" s="114"/>
      <c r="AQ73" s="114"/>
      <c r="AR73" s="114"/>
      <c r="AS73" s="114"/>
      <c r="AT73" s="114"/>
      <c r="AU73" s="114"/>
      <c r="AV73" s="114"/>
      <c r="AW73" s="114"/>
      <c r="AX73" s="114"/>
      <c r="AY73" s="114"/>
    </row>
    <row r="74" spans="1:51" x14ac:dyDescent="0.2">
      <c r="A74" s="113"/>
      <c r="B74" s="130">
        <v>30</v>
      </c>
      <c r="C74" s="113" t="s">
        <v>293</v>
      </c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114"/>
      <c r="AA74" s="114"/>
      <c r="AB74" s="114"/>
      <c r="AC74" s="114"/>
      <c r="AD74" s="114"/>
      <c r="AE74" s="114"/>
      <c r="AF74" s="114"/>
      <c r="AG74" s="114"/>
      <c r="AH74" s="114"/>
      <c r="AI74" s="114"/>
      <c r="AJ74" s="114"/>
      <c r="AK74" s="114"/>
      <c r="AL74" s="114"/>
      <c r="AM74" s="114"/>
      <c r="AN74" s="114"/>
      <c r="AO74" s="114"/>
      <c r="AP74" s="114"/>
      <c r="AQ74" s="114"/>
      <c r="AR74" s="114"/>
      <c r="AS74" s="114"/>
      <c r="AT74" s="114"/>
      <c r="AU74" s="114"/>
      <c r="AV74" s="114"/>
      <c r="AW74" s="114"/>
      <c r="AX74" s="114"/>
      <c r="AY74" s="114"/>
    </row>
    <row r="75" spans="1:51" x14ac:dyDescent="0.2">
      <c r="A75" s="113"/>
      <c r="B75" s="130">
        <v>31</v>
      </c>
      <c r="C75" s="113" t="s">
        <v>293</v>
      </c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114"/>
      <c r="AA75" s="114"/>
      <c r="AB75" s="114"/>
      <c r="AC75" s="114"/>
      <c r="AD75" s="114"/>
      <c r="AE75" s="114"/>
      <c r="AF75" s="114"/>
      <c r="AG75" s="114"/>
      <c r="AH75" s="114"/>
      <c r="AI75" s="114"/>
      <c r="AJ75" s="114"/>
      <c r="AK75" s="114"/>
      <c r="AL75" s="114"/>
      <c r="AM75" s="114"/>
      <c r="AN75" s="114"/>
      <c r="AO75" s="114"/>
      <c r="AP75" s="114"/>
      <c r="AQ75" s="114"/>
      <c r="AR75" s="114"/>
      <c r="AS75" s="114"/>
      <c r="AT75" s="114"/>
      <c r="AU75" s="114"/>
      <c r="AV75" s="114"/>
      <c r="AW75" s="114"/>
      <c r="AX75" s="114"/>
      <c r="AY75" s="114"/>
    </row>
    <row r="76" spans="1:51" x14ac:dyDescent="0.2">
      <c r="A76" s="113"/>
      <c r="B76" s="130">
        <v>32</v>
      </c>
      <c r="C76" s="113" t="s">
        <v>293</v>
      </c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114"/>
      <c r="AA76" s="114"/>
      <c r="AB76" s="114"/>
      <c r="AC76" s="114"/>
      <c r="AD76" s="114"/>
      <c r="AE76" s="114"/>
      <c r="AF76" s="114"/>
      <c r="AG76" s="114"/>
      <c r="AH76" s="114"/>
      <c r="AI76" s="114"/>
      <c r="AJ76" s="114"/>
      <c r="AK76" s="114"/>
      <c r="AL76" s="114"/>
      <c r="AM76" s="114"/>
      <c r="AN76" s="114"/>
      <c r="AO76" s="114"/>
      <c r="AP76" s="114"/>
      <c r="AQ76" s="114"/>
      <c r="AR76" s="114"/>
      <c r="AS76" s="114"/>
      <c r="AT76" s="114"/>
      <c r="AU76" s="114"/>
      <c r="AV76" s="114"/>
      <c r="AW76" s="114"/>
      <c r="AX76" s="114"/>
      <c r="AY76" s="114"/>
    </row>
    <row r="77" spans="1:51" x14ac:dyDescent="0.2">
      <c r="A77" s="113"/>
      <c r="B77" s="130">
        <v>33</v>
      </c>
      <c r="C77" s="113" t="s">
        <v>293</v>
      </c>
      <c r="D77" s="114"/>
      <c r="E77" s="114"/>
      <c r="F77" s="114"/>
      <c r="G77" s="114"/>
      <c r="H77" s="114"/>
      <c r="I77" s="114"/>
      <c r="J77" s="114"/>
      <c r="K77" s="114"/>
      <c r="L77" s="114"/>
      <c r="M77" s="114"/>
      <c r="N77" s="114"/>
      <c r="O77" s="114"/>
      <c r="P77" s="114"/>
      <c r="Q77" s="114"/>
      <c r="R77" s="114"/>
      <c r="S77" s="114"/>
      <c r="T77" s="114"/>
      <c r="U77" s="114"/>
      <c r="V77" s="114"/>
      <c r="W77" s="114"/>
      <c r="X77" s="114"/>
      <c r="Y77" s="114"/>
      <c r="Z77" s="114"/>
      <c r="AA77" s="114"/>
      <c r="AB77" s="114"/>
      <c r="AC77" s="114"/>
      <c r="AD77" s="114"/>
      <c r="AE77" s="114"/>
      <c r="AF77" s="114"/>
      <c r="AG77" s="114"/>
      <c r="AH77" s="114"/>
      <c r="AI77" s="114"/>
      <c r="AJ77" s="114"/>
      <c r="AK77" s="114"/>
      <c r="AL77" s="114"/>
      <c r="AM77" s="114"/>
      <c r="AN77" s="114"/>
      <c r="AO77" s="114"/>
      <c r="AP77" s="114"/>
      <c r="AQ77" s="114"/>
      <c r="AR77" s="114"/>
      <c r="AS77" s="114"/>
      <c r="AT77" s="114"/>
      <c r="AU77" s="114"/>
      <c r="AV77" s="114"/>
      <c r="AW77" s="114"/>
      <c r="AX77" s="114"/>
      <c r="AY77" s="114"/>
    </row>
    <row r="78" spans="1:51" x14ac:dyDescent="0.2">
      <c r="A78" s="113"/>
      <c r="B78" s="130">
        <v>34</v>
      </c>
      <c r="C78" s="113" t="s">
        <v>293</v>
      </c>
      <c r="D78" s="114"/>
      <c r="E78" s="114"/>
      <c r="F78" s="114"/>
      <c r="G78" s="114"/>
      <c r="H78" s="114"/>
      <c r="I78" s="114"/>
      <c r="J78" s="114"/>
      <c r="K78" s="114"/>
      <c r="L78" s="114"/>
      <c r="M78" s="114"/>
      <c r="N78" s="114"/>
      <c r="O78" s="114"/>
      <c r="P78" s="114"/>
      <c r="Q78" s="114"/>
      <c r="R78" s="114"/>
      <c r="S78" s="114"/>
      <c r="T78" s="114"/>
      <c r="U78" s="114"/>
      <c r="V78" s="114"/>
      <c r="W78" s="114"/>
      <c r="X78" s="114"/>
      <c r="Y78" s="114"/>
      <c r="Z78" s="114"/>
      <c r="AA78" s="114"/>
      <c r="AB78" s="114"/>
      <c r="AC78" s="114"/>
      <c r="AD78" s="114"/>
      <c r="AE78" s="114"/>
      <c r="AF78" s="114"/>
      <c r="AG78" s="114"/>
      <c r="AH78" s="114"/>
      <c r="AI78" s="114"/>
      <c r="AJ78" s="114"/>
      <c r="AK78" s="114"/>
      <c r="AL78" s="114"/>
      <c r="AM78" s="114"/>
      <c r="AN78" s="114"/>
      <c r="AO78" s="114"/>
      <c r="AP78" s="114"/>
      <c r="AQ78" s="114"/>
      <c r="AR78" s="114"/>
      <c r="AS78" s="114"/>
      <c r="AT78" s="114"/>
      <c r="AU78" s="114"/>
      <c r="AV78" s="114"/>
      <c r="AW78" s="114"/>
      <c r="AX78" s="114"/>
      <c r="AY78" s="114"/>
    </row>
    <row r="79" spans="1:51" x14ac:dyDescent="0.2">
      <c r="A79" s="113"/>
      <c r="B79" s="130">
        <v>35</v>
      </c>
      <c r="C79" s="113" t="s">
        <v>293</v>
      </c>
      <c r="D79" s="114"/>
      <c r="E79" s="114"/>
      <c r="F79" s="114"/>
      <c r="G79" s="114"/>
      <c r="H79" s="114"/>
      <c r="I79" s="114"/>
      <c r="J79" s="114"/>
      <c r="K79" s="114"/>
      <c r="L79" s="114"/>
      <c r="M79" s="114"/>
      <c r="N79" s="114"/>
      <c r="O79" s="114"/>
      <c r="P79" s="114"/>
      <c r="Q79" s="114"/>
      <c r="R79" s="114"/>
      <c r="S79" s="114"/>
      <c r="T79" s="114"/>
      <c r="U79" s="114"/>
      <c r="V79" s="114"/>
      <c r="W79" s="114"/>
      <c r="X79" s="114"/>
      <c r="Y79" s="114"/>
      <c r="Z79" s="114"/>
      <c r="AA79" s="114"/>
      <c r="AB79" s="114"/>
      <c r="AC79" s="114"/>
      <c r="AD79" s="114"/>
      <c r="AE79" s="114"/>
      <c r="AF79" s="114"/>
      <c r="AG79" s="114"/>
      <c r="AH79" s="114"/>
      <c r="AI79" s="114"/>
      <c r="AJ79" s="114"/>
      <c r="AK79" s="114"/>
      <c r="AL79" s="114"/>
      <c r="AM79" s="114"/>
      <c r="AN79" s="114"/>
      <c r="AO79" s="114"/>
      <c r="AP79" s="114"/>
      <c r="AQ79" s="114"/>
      <c r="AR79" s="114"/>
      <c r="AS79" s="114"/>
      <c r="AT79" s="114"/>
      <c r="AU79" s="114"/>
      <c r="AV79" s="114"/>
      <c r="AW79" s="114"/>
      <c r="AX79" s="114"/>
      <c r="AY79" s="114"/>
    </row>
    <row r="80" spans="1:51" x14ac:dyDescent="0.2">
      <c r="A80" s="113"/>
      <c r="B80" s="130">
        <v>36</v>
      </c>
      <c r="C80" s="113" t="s">
        <v>293</v>
      </c>
      <c r="D80" s="114"/>
      <c r="E80" s="114"/>
      <c r="F80" s="114"/>
      <c r="G80" s="114"/>
      <c r="H80" s="114"/>
      <c r="I80" s="114"/>
      <c r="J80" s="114"/>
      <c r="K80" s="114"/>
      <c r="L80" s="114"/>
      <c r="M80" s="114"/>
      <c r="N80" s="114"/>
      <c r="O80" s="114"/>
      <c r="P80" s="114"/>
      <c r="Q80" s="114"/>
      <c r="R80" s="114"/>
      <c r="S80" s="114"/>
      <c r="T80" s="114"/>
      <c r="U80" s="114"/>
      <c r="V80" s="114"/>
      <c r="W80" s="114"/>
      <c r="X80" s="114"/>
      <c r="Y80" s="114"/>
      <c r="Z80" s="114"/>
      <c r="AA80" s="114"/>
      <c r="AB80" s="114"/>
      <c r="AC80" s="114"/>
      <c r="AD80" s="114"/>
      <c r="AE80" s="114"/>
      <c r="AF80" s="114"/>
      <c r="AG80" s="114"/>
      <c r="AH80" s="114"/>
      <c r="AI80" s="114"/>
      <c r="AJ80" s="114"/>
      <c r="AK80" s="114"/>
      <c r="AL80" s="114"/>
      <c r="AM80" s="114"/>
      <c r="AN80" s="114"/>
      <c r="AO80" s="114"/>
      <c r="AP80" s="114"/>
      <c r="AQ80" s="114"/>
      <c r="AR80" s="114"/>
      <c r="AS80" s="114"/>
      <c r="AT80" s="114"/>
      <c r="AU80" s="114"/>
      <c r="AV80" s="114"/>
      <c r="AW80" s="114"/>
      <c r="AX80" s="114"/>
      <c r="AY80" s="114"/>
    </row>
    <row r="81" spans="1:52" x14ac:dyDescent="0.2">
      <c r="A81" s="113"/>
      <c r="B81" s="133">
        <v>37</v>
      </c>
      <c r="C81" s="113" t="s">
        <v>293</v>
      </c>
      <c r="D81" s="114">
        <v>0</v>
      </c>
      <c r="E81" s="114"/>
      <c r="F81" s="114"/>
      <c r="G81" s="114"/>
      <c r="H81" s="114"/>
      <c r="I81" s="114"/>
      <c r="J81" s="114"/>
      <c r="K81" s="114"/>
      <c r="L81" s="114"/>
      <c r="M81" s="114"/>
      <c r="N81" s="114"/>
      <c r="O81" s="114"/>
      <c r="P81" s="114"/>
      <c r="Q81" s="114"/>
      <c r="R81" s="114"/>
      <c r="S81" s="114"/>
      <c r="T81" s="114"/>
      <c r="U81" s="114"/>
      <c r="V81" s="114"/>
      <c r="W81" s="114"/>
      <c r="X81" s="114"/>
      <c r="Y81" s="114"/>
      <c r="Z81" s="114"/>
      <c r="AA81" s="114"/>
      <c r="AB81" s="114"/>
      <c r="AC81" s="114"/>
      <c r="AD81" s="114"/>
      <c r="AE81" s="114"/>
      <c r="AF81" s="114"/>
      <c r="AG81" s="114"/>
      <c r="AH81" s="114"/>
      <c r="AI81" s="114"/>
      <c r="AJ81" s="114"/>
      <c r="AK81" s="114"/>
      <c r="AL81" s="114"/>
      <c r="AM81" s="114"/>
      <c r="AN81" s="114"/>
      <c r="AO81" s="114"/>
      <c r="AP81" s="114"/>
      <c r="AQ81" s="114"/>
      <c r="AR81" s="114"/>
      <c r="AS81" s="114"/>
      <c r="AT81" s="114"/>
      <c r="AU81" s="114"/>
      <c r="AV81" s="114"/>
      <c r="AW81" s="114"/>
      <c r="AX81" s="114"/>
      <c r="AY81" s="114"/>
    </row>
    <row r="82" spans="1:52" x14ac:dyDescent="0.2">
      <c r="A82" s="113"/>
      <c r="B82" s="133">
        <v>38</v>
      </c>
      <c r="C82" s="113" t="s">
        <v>293</v>
      </c>
      <c r="D82" s="114">
        <v>0</v>
      </c>
      <c r="E82" s="114">
        <v>0</v>
      </c>
      <c r="F82" s="114"/>
      <c r="G82" s="114"/>
      <c r="H82" s="114"/>
      <c r="I82" s="114"/>
      <c r="J82" s="114"/>
      <c r="K82" s="114"/>
      <c r="L82" s="114"/>
      <c r="M82" s="114"/>
      <c r="N82" s="114"/>
      <c r="O82" s="114"/>
      <c r="P82" s="114"/>
      <c r="Q82" s="114"/>
      <c r="R82" s="114"/>
      <c r="S82" s="114"/>
      <c r="T82" s="114"/>
      <c r="U82" s="114"/>
      <c r="V82" s="114"/>
      <c r="W82" s="114"/>
      <c r="X82" s="114"/>
      <c r="Y82" s="114"/>
      <c r="Z82" s="114"/>
      <c r="AA82" s="114"/>
      <c r="AB82" s="114"/>
      <c r="AC82" s="114"/>
      <c r="AD82" s="114"/>
      <c r="AE82" s="114"/>
      <c r="AF82" s="114"/>
      <c r="AG82" s="114"/>
      <c r="AH82" s="114"/>
      <c r="AI82" s="114"/>
      <c r="AJ82" s="114"/>
      <c r="AK82" s="114"/>
      <c r="AL82" s="114"/>
      <c r="AM82" s="114"/>
      <c r="AN82" s="114"/>
      <c r="AO82" s="114"/>
      <c r="AP82" s="114"/>
      <c r="AQ82" s="114"/>
      <c r="AR82" s="114"/>
      <c r="AS82" s="114"/>
      <c r="AT82" s="114"/>
      <c r="AU82" s="114"/>
      <c r="AV82" s="114"/>
      <c r="AW82" s="114"/>
      <c r="AX82" s="114"/>
      <c r="AY82" s="114"/>
    </row>
    <row r="83" spans="1:52" x14ac:dyDescent="0.2">
      <c r="A83" s="113"/>
      <c r="B83" s="133">
        <v>39</v>
      </c>
      <c r="C83" s="113" t="s">
        <v>293</v>
      </c>
      <c r="D83" s="114">
        <v>0</v>
      </c>
      <c r="E83" s="114">
        <v>0</v>
      </c>
      <c r="F83" s="114">
        <v>0</v>
      </c>
      <c r="G83" s="114">
        <v>0</v>
      </c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114"/>
      <c r="AA83" s="114"/>
      <c r="AB83" s="114"/>
      <c r="AC83" s="114"/>
      <c r="AD83" s="114"/>
      <c r="AE83" s="114"/>
      <c r="AF83" s="114"/>
      <c r="AG83" s="114"/>
      <c r="AH83" s="114"/>
      <c r="AI83" s="114"/>
      <c r="AJ83" s="114"/>
      <c r="AK83" s="114"/>
      <c r="AL83" s="114"/>
      <c r="AM83" s="114"/>
      <c r="AN83" s="114"/>
      <c r="AO83" s="114"/>
      <c r="AP83" s="114"/>
      <c r="AQ83" s="114"/>
      <c r="AR83" s="114"/>
      <c r="AS83" s="114"/>
      <c r="AT83" s="114"/>
      <c r="AU83" s="114"/>
      <c r="AV83" s="114"/>
      <c r="AW83" s="114"/>
      <c r="AX83" s="114"/>
      <c r="AY83" s="114"/>
    </row>
    <row r="84" spans="1:52" x14ac:dyDescent="0.2">
      <c r="A84" s="113"/>
      <c r="B84" s="133">
        <v>40</v>
      </c>
      <c r="C84" s="113" t="s">
        <v>293</v>
      </c>
      <c r="D84" s="114">
        <v>0</v>
      </c>
      <c r="E84" s="114">
        <v>0</v>
      </c>
      <c r="F84" s="114">
        <v>0</v>
      </c>
      <c r="G84" s="114">
        <v>0</v>
      </c>
      <c r="H84" s="114">
        <v>0</v>
      </c>
      <c r="I84" s="114"/>
      <c r="J84" s="114"/>
      <c r="K84" s="114"/>
      <c r="L84" s="114"/>
      <c r="M84" s="114"/>
      <c r="N84" s="114"/>
      <c r="O84" s="114"/>
      <c r="P84" s="114"/>
      <c r="Q84" s="114"/>
      <c r="R84" s="114"/>
      <c r="S84" s="114"/>
      <c r="T84" s="114"/>
      <c r="U84" s="114"/>
      <c r="V84" s="114"/>
      <c r="W84" s="114"/>
      <c r="X84" s="114"/>
      <c r="Y84" s="114"/>
      <c r="Z84" s="114"/>
      <c r="AA84" s="114"/>
      <c r="AB84" s="114"/>
      <c r="AC84" s="114"/>
      <c r="AD84" s="114"/>
      <c r="AE84" s="114"/>
      <c r="AF84" s="114"/>
      <c r="AG84" s="114"/>
      <c r="AH84" s="114"/>
      <c r="AI84" s="114"/>
      <c r="AJ84" s="114"/>
      <c r="AK84" s="114"/>
      <c r="AL84" s="114"/>
      <c r="AM84" s="114"/>
      <c r="AN84" s="114"/>
      <c r="AO84" s="114"/>
      <c r="AP84" s="114"/>
      <c r="AQ84" s="114"/>
      <c r="AR84" s="114"/>
      <c r="AS84" s="114"/>
      <c r="AT84" s="114"/>
      <c r="AU84" s="114"/>
      <c r="AV84" s="114"/>
      <c r="AW84" s="114"/>
      <c r="AX84" s="114"/>
      <c r="AY84" s="114"/>
    </row>
    <row r="85" spans="1:52" x14ac:dyDescent="0.2">
      <c r="A85" s="113"/>
      <c r="B85" s="133">
        <v>41</v>
      </c>
      <c r="C85" s="113" t="s">
        <v>293</v>
      </c>
      <c r="D85" s="114">
        <v>0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/>
      <c r="L85" s="114"/>
      <c r="M85" s="114"/>
      <c r="N85" s="114"/>
      <c r="O85" s="114"/>
      <c r="P85" s="114"/>
      <c r="Q85" s="114"/>
      <c r="R85" s="114"/>
      <c r="S85" s="114"/>
      <c r="T85" s="114"/>
      <c r="U85" s="114"/>
      <c r="V85" s="114"/>
      <c r="W85" s="114"/>
      <c r="X85" s="114"/>
      <c r="Y85" s="114"/>
      <c r="Z85" s="114"/>
      <c r="AA85" s="114"/>
      <c r="AB85" s="114"/>
      <c r="AC85" s="114"/>
      <c r="AD85" s="114"/>
      <c r="AE85" s="114"/>
      <c r="AF85" s="114"/>
      <c r="AG85" s="114"/>
      <c r="AH85" s="114"/>
      <c r="AI85" s="114"/>
      <c r="AJ85" s="114"/>
      <c r="AK85" s="114"/>
      <c r="AL85" s="114"/>
      <c r="AM85" s="114"/>
      <c r="AN85" s="114"/>
      <c r="AO85" s="114"/>
      <c r="AP85" s="114"/>
      <c r="AQ85" s="114"/>
      <c r="AR85" s="114"/>
      <c r="AS85" s="114"/>
      <c r="AT85" s="114"/>
      <c r="AU85" s="114"/>
      <c r="AV85" s="114"/>
      <c r="AW85" s="114"/>
      <c r="AX85" s="114"/>
      <c r="AY85" s="114"/>
    </row>
    <row r="86" spans="1:52" x14ac:dyDescent="0.2">
      <c r="A86" s="113"/>
      <c r="B86" s="133">
        <v>42</v>
      </c>
      <c r="C86" s="113" t="s">
        <v>293</v>
      </c>
      <c r="D86" s="114">
        <v>0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/>
      <c r="N86" s="114"/>
      <c r="O86" s="114"/>
      <c r="P86" s="114"/>
      <c r="Q86" s="114"/>
      <c r="R86" s="114"/>
      <c r="S86" s="114"/>
      <c r="T86" s="114"/>
      <c r="U86" s="114"/>
      <c r="V86" s="114"/>
      <c r="W86" s="114"/>
      <c r="X86" s="114"/>
      <c r="Y86" s="114"/>
      <c r="Z86" s="114"/>
      <c r="AA86" s="114"/>
      <c r="AB86" s="114"/>
      <c r="AC86" s="114"/>
      <c r="AD86" s="114"/>
      <c r="AE86" s="114"/>
      <c r="AF86" s="114"/>
      <c r="AG86" s="114"/>
      <c r="AH86" s="114"/>
      <c r="AI86" s="114"/>
      <c r="AJ86" s="114"/>
      <c r="AK86" s="114"/>
      <c r="AL86" s="114"/>
      <c r="AM86" s="114"/>
      <c r="AN86" s="114"/>
      <c r="AO86" s="114"/>
      <c r="AP86" s="114"/>
      <c r="AQ86" s="114"/>
      <c r="AR86" s="114"/>
      <c r="AS86" s="114"/>
      <c r="AT86" s="114"/>
      <c r="AU86" s="114"/>
      <c r="AV86" s="114"/>
      <c r="AW86" s="114"/>
      <c r="AX86" s="114"/>
      <c r="AY86" s="114"/>
    </row>
    <row r="87" spans="1:52" x14ac:dyDescent="0.2">
      <c r="A87" s="113"/>
      <c r="B87" s="133">
        <v>43</v>
      </c>
      <c r="C87" s="113" t="s">
        <v>293</v>
      </c>
      <c r="D87" s="114">
        <v>0</v>
      </c>
      <c r="E87" s="114">
        <v>0</v>
      </c>
      <c r="F87" s="114">
        <v>0</v>
      </c>
      <c r="G87" s="114">
        <v>0</v>
      </c>
      <c r="H87" s="114">
        <v>0</v>
      </c>
      <c r="I87" s="114">
        <v>0</v>
      </c>
      <c r="J87" s="114">
        <v>0</v>
      </c>
      <c r="K87" s="114">
        <v>0</v>
      </c>
      <c r="L87" s="114">
        <v>0</v>
      </c>
      <c r="M87" s="114">
        <v>0</v>
      </c>
      <c r="N87" s="114">
        <v>0</v>
      </c>
      <c r="O87" s="114">
        <v>0</v>
      </c>
      <c r="P87" s="114">
        <v>0</v>
      </c>
      <c r="Q87" s="114"/>
      <c r="R87" s="114">
        <v>0</v>
      </c>
      <c r="S87" s="114"/>
      <c r="T87" s="114">
        <v>0</v>
      </c>
      <c r="U87" s="114"/>
      <c r="V87" s="114">
        <v>0</v>
      </c>
      <c r="W87" s="114">
        <v>0</v>
      </c>
      <c r="X87" s="114">
        <v>0</v>
      </c>
      <c r="Y87" s="114">
        <v>0</v>
      </c>
      <c r="Z87" s="114"/>
      <c r="AA87" s="114"/>
      <c r="AB87" s="114"/>
      <c r="AC87" s="114"/>
      <c r="AD87" s="114"/>
      <c r="AE87" s="114"/>
      <c r="AF87" s="114"/>
      <c r="AG87" s="114"/>
      <c r="AH87" s="114"/>
      <c r="AI87" s="114"/>
      <c r="AJ87" s="114"/>
      <c r="AK87" s="114"/>
      <c r="AL87" s="114"/>
      <c r="AM87" s="114">
        <v>0</v>
      </c>
      <c r="AN87" s="114">
        <v>0</v>
      </c>
      <c r="AO87" s="114">
        <v>0</v>
      </c>
      <c r="AP87" s="114">
        <v>0</v>
      </c>
      <c r="AQ87" s="114">
        <v>0</v>
      </c>
      <c r="AR87" s="114"/>
      <c r="AS87" s="114"/>
      <c r="AT87" s="114"/>
      <c r="AU87" s="114"/>
      <c r="AV87" s="114"/>
      <c r="AW87" s="114"/>
      <c r="AX87" s="114"/>
      <c r="AY87" s="114"/>
    </row>
    <row r="88" spans="1:52" x14ac:dyDescent="0.2">
      <c r="A88" s="113"/>
      <c r="B88" s="133">
        <v>44</v>
      </c>
      <c r="C88" s="113" t="s">
        <v>293</v>
      </c>
      <c r="D88" s="114">
        <v>0</v>
      </c>
      <c r="E88" s="114">
        <v>0</v>
      </c>
      <c r="F88" s="114">
        <v>0</v>
      </c>
      <c r="G88" s="114">
        <v>0</v>
      </c>
      <c r="H88" s="114">
        <v>0</v>
      </c>
      <c r="I88" s="114">
        <v>0</v>
      </c>
      <c r="J88" s="114">
        <v>0</v>
      </c>
      <c r="K88" s="114">
        <v>0</v>
      </c>
      <c r="L88" s="114">
        <v>0</v>
      </c>
      <c r="M88" s="114">
        <v>0</v>
      </c>
      <c r="N88" s="114">
        <v>0</v>
      </c>
      <c r="O88" s="114">
        <v>0</v>
      </c>
      <c r="P88" s="114">
        <v>0</v>
      </c>
      <c r="Q88" s="114">
        <v>0</v>
      </c>
      <c r="R88" s="114">
        <v>0</v>
      </c>
      <c r="S88" s="114">
        <v>0</v>
      </c>
      <c r="T88" s="114">
        <v>0</v>
      </c>
      <c r="U88" s="114">
        <v>0</v>
      </c>
      <c r="V88" s="114">
        <v>0</v>
      </c>
      <c r="W88" s="114">
        <v>0</v>
      </c>
      <c r="X88" s="114">
        <v>0</v>
      </c>
      <c r="Y88" s="114">
        <v>0</v>
      </c>
      <c r="Z88" s="114">
        <v>0</v>
      </c>
      <c r="AA88" s="114">
        <v>0</v>
      </c>
      <c r="AB88" s="114">
        <v>0</v>
      </c>
      <c r="AC88" s="114">
        <v>0</v>
      </c>
      <c r="AD88" s="114"/>
      <c r="AE88" s="114"/>
      <c r="AF88" s="114"/>
      <c r="AG88" s="114"/>
      <c r="AH88" s="114"/>
      <c r="AI88" s="114"/>
      <c r="AJ88" s="114">
        <v>0</v>
      </c>
      <c r="AK88" s="114">
        <v>0</v>
      </c>
      <c r="AL88" s="114">
        <v>0</v>
      </c>
      <c r="AM88" s="114">
        <v>0</v>
      </c>
      <c r="AN88" s="114">
        <v>0</v>
      </c>
      <c r="AO88" s="114">
        <v>0</v>
      </c>
      <c r="AP88" s="114">
        <v>0</v>
      </c>
      <c r="AQ88" s="114">
        <v>0</v>
      </c>
      <c r="AR88" s="114">
        <v>0</v>
      </c>
      <c r="AS88" s="114">
        <v>0</v>
      </c>
      <c r="AT88" s="114"/>
      <c r="AU88" s="114"/>
      <c r="AV88" s="114"/>
      <c r="AW88" s="114"/>
      <c r="AX88" s="114"/>
      <c r="AY88" s="114"/>
    </row>
    <row r="89" spans="1:52" x14ac:dyDescent="0.2">
      <c r="A89" s="113"/>
      <c r="B89" s="133">
        <v>45</v>
      </c>
      <c r="C89" s="113" t="s">
        <v>293</v>
      </c>
      <c r="D89" s="114">
        <v>0</v>
      </c>
      <c r="E89" s="114">
        <v>0</v>
      </c>
      <c r="F89" s="114">
        <v>0</v>
      </c>
      <c r="G89" s="114">
        <v>0</v>
      </c>
      <c r="H89" s="114">
        <v>0</v>
      </c>
      <c r="I89" s="114">
        <v>0</v>
      </c>
      <c r="J89" s="114">
        <v>0</v>
      </c>
      <c r="K89" s="114">
        <v>0</v>
      </c>
      <c r="L89" s="114">
        <v>0</v>
      </c>
      <c r="M89" s="114">
        <v>0</v>
      </c>
      <c r="N89" s="114">
        <v>0</v>
      </c>
      <c r="O89" s="114">
        <v>0</v>
      </c>
      <c r="P89" s="114">
        <v>0</v>
      </c>
      <c r="Q89" s="114">
        <v>0</v>
      </c>
      <c r="R89" s="114">
        <v>0</v>
      </c>
      <c r="S89" s="114">
        <v>0</v>
      </c>
      <c r="T89" s="114">
        <v>0</v>
      </c>
      <c r="U89" s="114">
        <v>0</v>
      </c>
      <c r="V89" s="114">
        <v>0</v>
      </c>
      <c r="W89" s="114">
        <v>0</v>
      </c>
      <c r="X89" s="114">
        <v>0</v>
      </c>
      <c r="Y89" s="114">
        <v>0</v>
      </c>
      <c r="Z89" s="114">
        <v>0</v>
      </c>
      <c r="AA89" s="114">
        <v>0</v>
      </c>
      <c r="AB89" s="114">
        <v>0</v>
      </c>
      <c r="AC89" s="114">
        <v>0</v>
      </c>
      <c r="AD89" s="114">
        <v>0</v>
      </c>
      <c r="AE89" s="114">
        <v>0</v>
      </c>
      <c r="AF89" s="114">
        <v>0</v>
      </c>
      <c r="AG89" s="114">
        <v>0</v>
      </c>
      <c r="AH89" s="114">
        <v>0</v>
      </c>
      <c r="AI89" s="114">
        <v>0</v>
      </c>
      <c r="AJ89" s="114">
        <v>0</v>
      </c>
      <c r="AK89" s="114">
        <v>0</v>
      </c>
      <c r="AL89" s="114">
        <v>0</v>
      </c>
      <c r="AM89" s="114">
        <v>0</v>
      </c>
      <c r="AN89" s="114">
        <v>0</v>
      </c>
      <c r="AO89" s="114">
        <v>0</v>
      </c>
      <c r="AP89" s="114">
        <v>0</v>
      </c>
      <c r="AQ89" s="114">
        <v>0</v>
      </c>
      <c r="AR89" s="114">
        <v>0</v>
      </c>
      <c r="AS89" s="114">
        <v>0</v>
      </c>
      <c r="AT89" s="114">
        <v>0</v>
      </c>
      <c r="AU89" s="114">
        <v>0</v>
      </c>
      <c r="AV89" s="114">
        <v>0</v>
      </c>
      <c r="AW89" s="114">
        <v>0</v>
      </c>
      <c r="AX89" s="114">
        <v>0</v>
      </c>
      <c r="AY89" s="114">
        <v>0</v>
      </c>
    </row>
    <row r="90" spans="1:52" x14ac:dyDescent="0.2">
      <c r="A90" s="113"/>
      <c r="B90" s="133">
        <v>46</v>
      </c>
      <c r="C90" s="113" t="s">
        <v>293</v>
      </c>
      <c r="D90" s="114">
        <v>0</v>
      </c>
      <c r="E90" s="114">
        <v>0</v>
      </c>
      <c r="F90" s="114">
        <v>0</v>
      </c>
      <c r="G90" s="114">
        <v>0</v>
      </c>
      <c r="H90" s="114">
        <v>0</v>
      </c>
      <c r="I90" s="114">
        <v>0</v>
      </c>
      <c r="J90" s="114">
        <v>0</v>
      </c>
      <c r="K90" s="114">
        <v>0</v>
      </c>
      <c r="L90" s="114">
        <v>0</v>
      </c>
      <c r="M90" s="114">
        <v>0</v>
      </c>
      <c r="N90" s="114">
        <v>0</v>
      </c>
      <c r="O90" s="114">
        <v>0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0</v>
      </c>
      <c r="V90" s="114">
        <v>0</v>
      </c>
      <c r="W90" s="114">
        <v>0</v>
      </c>
      <c r="X90" s="114">
        <v>0</v>
      </c>
      <c r="Y90" s="114">
        <v>0</v>
      </c>
      <c r="Z90" s="114">
        <v>0</v>
      </c>
      <c r="AA90" s="114">
        <v>0</v>
      </c>
      <c r="AB90" s="114">
        <v>0</v>
      </c>
      <c r="AC90" s="114">
        <v>0</v>
      </c>
      <c r="AD90" s="114">
        <v>0</v>
      </c>
      <c r="AE90" s="114">
        <v>0</v>
      </c>
      <c r="AF90" s="114">
        <v>0</v>
      </c>
      <c r="AG90" s="114">
        <v>0</v>
      </c>
      <c r="AH90" s="114">
        <v>0</v>
      </c>
      <c r="AI90" s="114">
        <v>0</v>
      </c>
      <c r="AJ90" s="114">
        <v>0</v>
      </c>
      <c r="AK90" s="114">
        <v>0</v>
      </c>
      <c r="AL90" s="114">
        <v>0</v>
      </c>
      <c r="AM90" s="114">
        <v>0</v>
      </c>
      <c r="AN90" s="114">
        <v>0</v>
      </c>
      <c r="AO90" s="114">
        <v>0</v>
      </c>
      <c r="AP90" s="114">
        <v>0</v>
      </c>
      <c r="AQ90" s="114">
        <v>0</v>
      </c>
      <c r="AR90" s="114">
        <v>0</v>
      </c>
      <c r="AS90" s="114">
        <v>0</v>
      </c>
      <c r="AT90" s="114">
        <v>0</v>
      </c>
      <c r="AU90" s="114">
        <v>0</v>
      </c>
      <c r="AV90" s="114">
        <v>0</v>
      </c>
      <c r="AW90" s="114">
        <v>0</v>
      </c>
      <c r="AX90" s="114">
        <v>0</v>
      </c>
      <c r="AY90" s="114">
        <v>0</v>
      </c>
    </row>
    <row r="91" spans="1:52" x14ac:dyDescent="0.2">
      <c r="A91" s="113"/>
      <c r="B91" s="133">
        <v>47</v>
      </c>
      <c r="C91" s="113" t="s">
        <v>293</v>
      </c>
      <c r="D91" s="114">
        <v>0</v>
      </c>
      <c r="E91" s="114">
        <v>0</v>
      </c>
      <c r="F91" s="114">
        <v>0</v>
      </c>
      <c r="G91" s="114">
        <v>0</v>
      </c>
      <c r="H91" s="114">
        <v>0</v>
      </c>
      <c r="I91" s="114">
        <v>0</v>
      </c>
      <c r="J91" s="114">
        <v>0</v>
      </c>
      <c r="K91" s="114">
        <v>0</v>
      </c>
      <c r="L91" s="114">
        <v>0</v>
      </c>
      <c r="M91" s="114">
        <v>0</v>
      </c>
      <c r="N91" s="114">
        <v>0</v>
      </c>
      <c r="O91" s="114">
        <v>0</v>
      </c>
      <c r="P91" s="114">
        <v>0</v>
      </c>
      <c r="Q91" s="114">
        <v>0</v>
      </c>
      <c r="R91" s="114">
        <v>0</v>
      </c>
      <c r="S91" s="114">
        <v>0</v>
      </c>
      <c r="T91" s="114">
        <v>0</v>
      </c>
      <c r="U91" s="114">
        <v>0</v>
      </c>
      <c r="V91" s="114">
        <v>0</v>
      </c>
      <c r="W91" s="114">
        <v>0</v>
      </c>
      <c r="X91" s="114">
        <v>0</v>
      </c>
      <c r="Y91" s="114">
        <v>0</v>
      </c>
      <c r="Z91" s="114">
        <v>0</v>
      </c>
      <c r="AA91" s="114">
        <v>0</v>
      </c>
      <c r="AB91" s="114">
        <v>0</v>
      </c>
      <c r="AC91" s="114">
        <v>0</v>
      </c>
      <c r="AD91" s="114">
        <v>0</v>
      </c>
      <c r="AE91" s="114">
        <v>0</v>
      </c>
      <c r="AF91" s="114">
        <v>0</v>
      </c>
      <c r="AG91" s="114">
        <v>0</v>
      </c>
      <c r="AH91" s="114">
        <v>0</v>
      </c>
      <c r="AI91" s="114">
        <v>0</v>
      </c>
      <c r="AJ91" s="114">
        <v>0</v>
      </c>
      <c r="AK91" s="114">
        <v>0</v>
      </c>
      <c r="AL91" s="114">
        <v>0</v>
      </c>
      <c r="AM91" s="114">
        <v>0</v>
      </c>
      <c r="AN91" s="114">
        <v>0</v>
      </c>
      <c r="AO91" s="114">
        <v>0</v>
      </c>
      <c r="AP91" s="114">
        <v>0</v>
      </c>
      <c r="AQ91" s="114">
        <v>0</v>
      </c>
      <c r="AR91" s="114">
        <v>0</v>
      </c>
      <c r="AS91" s="114">
        <v>0</v>
      </c>
      <c r="AT91" s="114">
        <v>0</v>
      </c>
      <c r="AU91" s="114">
        <v>0</v>
      </c>
      <c r="AV91" s="114">
        <v>0</v>
      </c>
      <c r="AW91" s="114">
        <v>0</v>
      </c>
      <c r="AX91" s="114">
        <v>0</v>
      </c>
      <c r="AY91" s="114">
        <v>0</v>
      </c>
    </row>
    <row r="92" spans="1:52" x14ac:dyDescent="0.2">
      <c r="A92" s="131"/>
      <c r="B92" s="132">
        <v>48</v>
      </c>
      <c r="C92" s="131" t="s">
        <v>293</v>
      </c>
      <c r="D92" s="128">
        <v>0</v>
      </c>
      <c r="E92" s="128">
        <v>0</v>
      </c>
      <c r="F92" s="128">
        <v>0</v>
      </c>
      <c r="G92" s="128">
        <v>0</v>
      </c>
      <c r="H92" s="128">
        <v>0</v>
      </c>
      <c r="I92" s="128">
        <v>0</v>
      </c>
      <c r="J92" s="128">
        <v>0</v>
      </c>
      <c r="K92" s="128">
        <v>0</v>
      </c>
      <c r="L92" s="128">
        <v>0</v>
      </c>
      <c r="M92" s="128">
        <v>0</v>
      </c>
      <c r="N92" s="128">
        <v>0</v>
      </c>
      <c r="O92" s="128">
        <v>0</v>
      </c>
      <c r="P92" s="128">
        <v>0</v>
      </c>
      <c r="Q92" s="128">
        <v>0</v>
      </c>
      <c r="R92" s="128">
        <v>0</v>
      </c>
      <c r="S92" s="128">
        <v>0</v>
      </c>
      <c r="T92" s="128">
        <v>0</v>
      </c>
      <c r="U92" s="128">
        <v>0</v>
      </c>
      <c r="V92" s="128">
        <v>0</v>
      </c>
      <c r="W92" s="128">
        <v>0</v>
      </c>
      <c r="X92" s="128">
        <v>0</v>
      </c>
      <c r="Y92" s="128">
        <v>0</v>
      </c>
      <c r="Z92" s="128">
        <v>0</v>
      </c>
      <c r="AA92" s="128">
        <v>0</v>
      </c>
      <c r="AB92" s="128">
        <v>0</v>
      </c>
      <c r="AC92" s="128">
        <v>0</v>
      </c>
      <c r="AD92" s="128">
        <v>0</v>
      </c>
      <c r="AE92" s="128">
        <v>0</v>
      </c>
      <c r="AF92" s="128">
        <v>0</v>
      </c>
      <c r="AG92" s="128">
        <v>0</v>
      </c>
      <c r="AH92" s="128">
        <v>0</v>
      </c>
      <c r="AI92" s="128">
        <v>0</v>
      </c>
      <c r="AJ92" s="128">
        <v>0</v>
      </c>
      <c r="AK92" s="128">
        <v>0</v>
      </c>
      <c r="AL92" s="128">
        <v>0</v>
      </c>
      <c r="AM92" s="128">
        <v>0</v>
      </c>
      <c r="AN92" s="128">
        <v>0</v>
      </c>
      <c r="AO92" s="128">
        <v>0</v>
      </c>
      <c r="AP92" s="128">
        <v>0</v>
      </c>
      <c r="AQ92" s="128">
        <v>0</v>
      </c>
      <c r="AR92" s="128">
        <v>0</v>
      </c>
      <c r="AS92" s="128">
        <v>0</v>
      </c>
      <c r="AT92" s="128">
        <v>0</v>
      </c>
      <c r="AU92" s="128">
        <v>0</v>
      </c>
      <c r="AV92" s="128">
        <v>0</v>
      </c>
      <c r="AW92" s="128">
        <v>0</v>
      </c>
      <c r="AX92" s="128">
        <v>0</v>
      </c>
      <c r="AY92" s="128">
        <v>0</v>
      </c>
      <c r="AZ92" s="111">
        <f>SUM(D21:AY92)</f>
        <v>256443.53949266963</v>
      </c>
    </row>
    <row r="94" spans="1:52" x14ac:dyDescent="0.2">
      <c r="A94" s="1" t="s">
        <v>295</v>
      </c>
      <c r="B94" s="110"/>
      <c r="C94" s="110"/>
      <c r="D94" s="117"/>
      <c r="E94" s="117"/>
      <c r="F94" s="117"/>
      <c r="G94" s="117"/>
      <c r="H94" s="117"/>
      <c r="I94" s="117"/>
      <c r="J94" s="117"/>
      <c r="K94" s="117"/>
      <c r="L94" s="117"/>
      <c r="M94" s="117"/>
      <c r="N94" s="117"/>
      <c r="O94" s="117"/>
      <c r="P94" s="117"/>
      <c r="Q94" s="117"/>
      <c r="R94" s="117"/>
      <c r="S94" s="117"/>
      <c r="T94" s="117"/>
      <c r="U94" s="117"/>
      <c r="V94" s="117"/>
      <c r="W94" s="117"/>
      <c r="X94" s="117"/>
      <c r="Y94" s="117"/>
      <c r="Z94" s="117"/>
      <c r="AA94" s="117"/>
      <c r="AB94" s="117"/>
      <c r="AC94" s="117"/>
      <c r="AD94" s="117"/>
      <c r="AE94" s="117"/>
      <c r="AF94" s="117"/>
      <c r="AG94" s="117"/>
      <c r="AH94" s="117"/>
      <c r="AI94" s="117"/>
      <c r="AJ94" s="117"/>
      <c r="AK94" s="117"/>
      <c r="AL94" s="117"/>
      <c r="AM94" s="117"/>
      <c r="AN94" s="117"/>
      <c r="AO94" s="117"/>
      <c r="AP94" s="117"/>
      <c r="AQ94" s="117"/>
      <c r="AR94" s="117"/>
      <c r="AS94" s="117"/>
      <c r="AT94" s="117"/>
      <c r="AU94" s="117"/>
      <c r="AV94" s="117"/>
      <c r="AW94" s="117"/>
      <c r="AX94" s="117"/>
      <c r="AY94" s="117"/>
    </row>
    <row r="95" spans="1:52" x14ac:dyDescent="0.2">
      <c r="A95" s="129" t="s">
        <v>125</v>
      </c>
      <c r="B95" s="126">
        <v>1</v>
      </c>
      <c r="C95" s="127">
        <v>0</v>
      </c>
      <c r="D95" s="114">
        <v>0</v>
      </c>
      <c r="E95" s="114">
        <v>0</v>
      </c>
      <c r="F95" s="114">
        <v>0</v>
      </c>
      <c r="G95" s="114">
        <v>0</v>
      </c>
      <c r="H95" s="114">
        <v>0</v>
      </c>
      <c r="I95" s="114">
        <v>0</v>
      </c>
      <c r="J95" s="114">
        <v>0</v>
      </c>
      <c r="K95" s="114">
        <v>0</v>
      </c>
      <c r="L95" s="114">
        <v>0</v>
      </c>
      <c r="M95" s="114">
        <v>0</v>
      </c>
      <c r="N95" s="114">
        <v>0</v>
      </c>
      <c r="O95" s="114">
        <v>0</v>
      </c>
      <c r="P95" s="114">
        <v>0</v>
      </c>
      <c r="Q95" s="114">
        <v>0</v>
      </c>
      <c r="R95" s="114">
        <v>0</v>
      </c>
      <c r="S95" s="114">
        <v>0</v>
      </c>
      <c r="T95" s="114">
        <v>0</v>
      </c>
      <c r="U95" s="114">
        <v>0</v>
      </c>
      <c r="V95" s="114">
        <v>0</v>
      </c>
      <c r="W95" s="114">
        <v>0</v>
      </c>
      <c r="X95" s="114">
        <v>0</v>
      </c>
      <c r="Y95" s="114">
        <v>0</v>
      </c>
      <c r="Z95" s="114">
        <v>0</v>
      </c>
      <c r="AA95" s="114">
        <v>0</v>
      </c>
      <c r="AB95" s="114">
        <v>0</v>
      </c>
      <c r="AC95" s="114">
        <v>0</v>
      </c>
      <c r="AD95" s="114">
        <v>177.49917245382767</v>
      </c>
      <c r="AE95" s="114">
        <v>70.891747336712342</v>
      </c>
      <c r="AF95" s="114">
        <v>841.19144704831081</v>
      </c>
      <c r="AG95" s="114">
        <v>372.81819196876222</v>
      </c>
      <c r="AH95" s="114">
        <v>754.69507245222894</v>
      </c>
      <c r="AI95" s="114">
        <v>265.55456704803555</v>
      </c>
      <c r="AJ95" s="114">
        <v>0</v>
      </c>
      <c r="AK95" s="114">
        <v>0</v>
      </c>
      <c r="AL95" s="114">
        <v>0</v>
      </c>
      <c r="AM95" s="114">
        <v>0</v>
      </c>
      <c r="AN95" s="114">
        <v>0</v>
      </c>
      <c r="AO95" s="114">
        <v>0</v>
      </c>
      <c r="AP95" s="114">
        <v>0</v>
      </c>
      <c r="AQ95" s="114">
        <v>0</v>
      </c>
      <c r="AR95" s="114">
        <v>0</v>
      </c>
      <c r="AS95" s="114">
        <v>0</v>
      </c>
      <c r="AT95" s="114">
        <v>114.94894216344801</v>
      </c>
      <c r="AU95" s="114">
        <v>587.29293054413529</v>
      </c>
      <c r="AV95" s="114">
        <v>1039.885579692505</v>
      </c>
      <c r="AW95" s="114">
        <v>1310.8656284785122</v>
      </c>
      <c r="AX95" s="114">
        <v>1772.332745878726</v>
      </c>
      <c r="AY95" s="114">
        <v>1815.2605546071918</v>
      </c>
    </row>
    <row r="96" spans="1:52" x14ac:dyDescent="0.2">
      <c r="A96" s="113"/>
      <c r="B96" s="123">
        <v>2</v>
      </c>
      <c r="C96" s="114">
        <v>0</v>
      </c>
      <c r="D96" s="114">
        <v>0</v>
      </c>
      <c r="E96" s="114">
        <v>0</v>
      </c>
      <c r="F96" s="114">
        <v>0</v>
      </c>
      <c r="G96" s="114">
        <v>0</v>
      </c>
      <c r="H96" s="114">
        <v>0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0</v>
      </c>
      <c r="T96" s="114">
        <v>0</v>
      </c>
      <c r="U96" s="114">
        <v>0</v>
      </c>
      <c r="V96" s="114">
        <v>0</v>
      </c>
      <c r="W96" s="114">
        <v>0</v>
      </c>
      <c r="X96" s="114">
        <v>0</v>
      </c>
      <c r="Y96" s="114">
        <v>0</v>
      </c>
      <c r="Z96" s="114">
        <v>0</v>
      </c>
      <c r="AA96" s="114">
        <v>0</v>
      </c>
      <c r="AB96" s="114">
        <v>0</v>
      </c>
      <c r="AC96" s="114">
        <v>0</v>
      </c>
      <c r="AD96" s="114">
        <v>0</v>
      </c>
      <c r="AE96" s="114">
        <v>0</v>
      </c>
      <c r="AF96" s="114">
        <v>0</v>
      </c>
      <c r="AG96" s="114">
        <v>0</v>
      </c>
      <c r="AH96" s="114">
        <v>0</v>
      </c>
      <c r="AI96" s="114">
        <v>0</v>
      </c>
      <c r="AJ96" s="114">
        <v>0</v>
      </c>
      <c r="AK96" s="114">
        <v>0</v>
      </c>
      <c r="AL96" s="114">
        <v>0</v>
      </c>
      <c r="AM96" s="114">
        <v>0</v>
      </c>
      <c r="AN96" s="114">
        <v>0</v>
      </c>
      <c r="AO96" s="114">
        <v>0</v>
      </c>
      <c r="AP96" s="114">
        <v>0</v>
      </c>
      <c r="AQ96" s="114">
        <v>0</v>
      </c>
      <c r="AR96" s="114">
        <v>0</v>
      </c>
      <c r="AS96" s="114">
        <v>0</v>
      </c>
      <c r="AT96" s="114">
        <v>0</v>
      </c>
      <c r="AU96" s="114">
        <v>0</v>
      </c>
      <c r="AV96" s="114">
        <v>0</v>
      </c>
      <c r="AW96" s="114">
        <v>0</v>
      </c>
      <c r="AX96" s="114">
        <v>0</v>
      </c>
      <c r="AY96" s="114">
        <v>0</v>
      </c>
    </row>
    <row r="97" spans="1:52" x14ac:dyDescent="0.2">
      <c r="A97" s="113"/>
      <c r="B97" s="130">
        <v>3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0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0</v>
      </c>
      <c r="AD97" s="114">
        <v>0</v>
      </c>
      <c r="AE97" s="114">
        <v>0</v>
      </c>
      <c r="AF97" s="114">
        <v>0</v>
      </c>
      <c r="AG97" s="114">
        <v>0</v>
      </c>
      <c r="AH97" s="114">
        <v>0</v>
      </c>
      <c r="AI97" s="114">
        <v>0</v>
      </c>
      <c r="AJ97" s="114">
        <v>0</v>
      </c>
      <c r="AK97" s="114">
        <v>0</v>
      </c>
      <c r="AL97" s="114">
        <v>0</v>
      </c>
      <c r="AM97" s="114">
        <v>0</v>
      </c>
      <c r="AN97" s="114">
        <v>0</v>
      </c>
      <c r="AO97" s="114">
        <v>0</v>
      </c>
      <c r="AP97" s="114">
        <v>0</v>
      </c>
      <c r="AQ97" s="114">
        <v>0</v>
      </c>
      <c r="AR97" s="114">
        <v>0</v>
      </c>
      <c r="AS97" s="114">
        <v>0</v>
      </c>
      <c r="AT97" s="114">
        <v>0</v>
      </c>
      <c r="AU97" s="114">
        <v>0</v>
      </c>
      <c r="AV97" s="114">
        <v>0</v>
      </c>
      <c r="AW97" s="114">
        <v>0</v>
      </c>
      <c r="AX97" s="114">
        <v>0</v>
      </c>
      <c r="AY97" s="114">
        <v>0</v>
      </c>
    </row>
    <row r="98" spans="1:52" x14ac:dyDescent="0.2">
      <c r="A98" s="113"/>
      <c r="B98" s="133">
        <v>4</v>
      </c>
      <c r="C98" s="110">
        <v>0</v>
      </c>
      <c r="D98" s="114">
        <v>0</v>
      </c>
      <c r="E98" s="114">
        <v>0</v>
      </c>
      <c r="F98" s="114">
        <v>0</v>
      </c>
      <c r="G98" s="114">
        <v>0</v>
      </c>
      <c r="H98" s="114">
        <v>0</v>
      </c>
      <c r="I98" s="114">
        <v>0</v>
      </c>
      <c r="J98" s="114">
        <v>0</v>
      </c>
      <c r="K98" s="114">
        <v>0</v>
      </c>
      <c r="L98" s="114">
        <v>0</v>
      </c>
      <c r="M98" s="114">
        <v>0</v>
      </c>
      <c r="N98" s="114">
        <v>0</v>
      </c>
      <c r="O98" s="114">
        <v>0</v>
      </c>
      <c r="P98" s="114">
        <v>0</v>
      </c>
      <c r="Q98" s="114">
        <v>0</v>
      </c>
      <c r="R98" s="114">
        <v>0</v>
      </c>
      <c r="S98" s="114">
        <v>0</v>
      </c>
      <c r="T98" s="114">
        <v>0</v>
      </c>
      <c r="U98" s="114">
        <v>0</v>
      </c>
      <c r="V98" s="114">
        <v>0</v>
      </c>
      <c r="W98" s="114">
        <v>0</v>
      </c>
      <c r="X98" s="114">
        <v>0</v>
      </c>
      <c r="Y98" s="114">
        <v>0</v>
      </c>
      <c r="Z98" s="114">
        <v>0</v>
      </c>
      <c r="AA98" s="114">
        <v>0</v>
      </c>
      <c r="AB98" s="114">
        <v>0</v>
      </c>
      <c r="AC98" s="114">
        <v>0</v>
      </c>
      <c r="AD98" s="114">
        <v>0</v>
      </c>
      <c r="AE98" s="114">
        <v>0</v>
      </c>
      <c r="AF98" s="114">
        <v>0</v>
      </c>
      <c r="AG98" s="114">
        <v>0</v>
      </c>
      <c r="AH98" s="114">
        <v>0</v>
      </c>
      <c r="AI98" s="114">
        <v>0</v>
      </c>
      <c r="AJ98" s="114">
        <v>0</v>
      </c>
      <c r="AK98" s="114">
        <v>0</v>
      </c>
      <c r="AL98" s="114">
        <v>0</v>
      </c>
      <c r="AM98" s="114">
        <v>0</v>
      </c>
      <c r="AN98" s="114">
        <v>0</v>
      </c>
      <c r="AO98" s="114">
        <v>0</v>
      </c>
      <c r="AP98" s="114">
        <v>0</v>
      </c>
      <c r="AQ98" s="114">
        <v>0</v>
      </c>
      <c r="AR98" s="114">
        <v>0</v>
      </c>
      <c r="AS98" s="114">
        <v>0</v>
      </c>
      <c r="AT98" s="114">
        <v>0</v>
      </c>
      <c r="AU98" s="114">
        <v>0</v>
      </c>
      <c r="AV98" s="114">
        <v>0</v>
      </c>
      <c r="AW98" s="114">
        <v>0</v>
      </c>
      <c r="AX98" s="114">
        <v>0</v>
      </c>
      <c r="AY98" s="114">
        <v>0</v>
      </c>
    </row>
    <row r="99" spans="1:52" x14ac:dyDescent="0.2">
      <c r="A99" s="131"/>
      <c r="B99" s="135" t="s">
        <v>296</v>
      </c>
      <c r="C99" s="128">
        <v>0</v>
      </c>
      <c r="D99" s="128">
        <v>0</v>
      </c>
      <c r="E99" s="128">
        <v>0</v>
      </c>
      <c r="F99" s="128">
        <v>0</v>
      </c>
      <c r="G99" s="128">
        <v>0</v>
      </c>
      <c r="H99" s="128">
        <v>0</v>
      </c>
      <c r="I99" s="128">
        <v>0</v>
      </c>
      <c r="J99" s="128">
        <v>0</v>
      </c>
      <c r="K99" s="128">
        <v>0</v>
      </c>
      <c r="L99" s="128">
        <v>0</v>
      </c>
      <c r="M99" s="128">
        <v>0</v>
      </c>
      <c r="N99" s="128">
        <v>0</v>
      </c>
      <c r="O99" s="128">
        <v>0</v>
      </c>
      <c r="P99" s="128">
        <v>0</v>
      </c>
      <c r="Q99" s="128">
        <v>0</v>
      </c>
      <c r="R99" s="128">
        <v>0</v>
      </c>
      <c r="S99" s="128">
        <v>0</v>
      </c>
      <c r="T99" s="128">
        <v>0</v>
      </c>
      <c r="U99" s="128">
        <v>0</v>
      </c>
      <c r="V99" s="128">
        <v>0</v>
      </c>
      <c r="W99" s="128">
        <v>0</v>
      </c>
      <c r="X99" s="128">
        <v>0</v>
      </c>
      <c r="Y99" s="128">
        <v>0</v>
      </c>
      <c r="Z99" s="128">
        <v>0</v>
      </c>
      <c r="AA99" s="128">
        <v>0</v>
      </c>
      <c r="AB99" s="128">
        <v>0</v>
      </c>
      <c r="AC99" s="128">
        <v>0</v>
      </c>
      <c r="AD99" s="128">
        <v>0</v>
      </c>
      <c r="AE99" s="128">
        <v>0</v>
      </c>
      <c r="AF99" s="128">
        <v>0</v>
      </c>
      <c r="AG99" s="128">
        <v>0</v>
      </c>
      <c r="AH99" s="128">
        <v>0</v>
      </c>
      <c r="AI99" s="128">
        <v>0</v>
      </c>
      <c r="AJ99" s="128">
        <v>0</v>
      </c>
      <c r="AK99" s="128">
        <v>0</v>
      </c>
      <c r="AL99" s="128">
        <v>0</v>
      </c>
      <c r="AM99" s="128">
        <v>0</v>
      </c>
      <c r="AN99" s="128">
        <v>0</v>
      </c>
      <c r="AO99" s="128">
        <v>0</v>
      </c>
      <c r="AP99" s="128">
        <v>0</v>
      </c>
      <c r="AQ99" s="128">
        <v>0</v>
      </c>
      <c r="AR99" s="128">
        <v>0</v>
      </c>
      <c r="AS99" s="128">
        <v>0</v>
      </c>
      <c r="AT99" s="128">
        <v>0</v>
      </c>
      <c r="AU99" s="128">
        <v>0</v>
      </c>
      <c r="AV99" s="128">
        <v>0</v>
      </c>
      <c r="AW99" s="128">
        <v>0</v>
      </c>
      <c r="AX99" s="128">
        <v>0</v>
      </c>
      <c r="AY99" s="128">
        <v>0</v>
      </c>
      <c r="AZ99" s="111">
        <f>SUM($D99:$AY99)</f>
        <v>0</v>
      </c>
    </row>
    <row r="100" spans="1:52" x14ac:dyDescent="0.2">
      <c r="A100" s="134" t="s">
        <v>133</v>
      </c>
      <c r="B100" s="122">
        <v>1</v>
      </c>
      <c r="C100" s="110">
        <v>0</v>
      </c>
      <c r="D100" s="110">
        <v>0</v>
      </c>
      <c r="E100" s="110">
        <v>0</v>
      </c>
      <c r="F100" s="110">
        <v>0</v>
      </c>
      <c r="G100" s="110">
        <v>0</v>
      </c>
      <c r="H100" s="110">
        <v>0</v>
      </c>
      <c r="I100" s="110">
        <v>60.333803838014667</v>
      </c>
      <c r="J100" s="110">
        <v>460.44654963279999</v>
      </c>
      <c r="K100" s="110">
        <v>116.17807282692708</v>
      </c>
      <c r="L100" s="110">
        <v>536.17807282692706</v>
      </c>
      <c r="M100" s="110">
        <v>116.17807282692708</v>
      </c>
      <c r="N100" s="110">
        <v>536.17807282692706</v>
      </c>
      <c r="O100" s="110">
        <v>116.17807282692708</v>
      </c>
      <c r="P100" s="110">
        <v>536.17807282692706</v>
      </c>
      <c r="Q100" s="110">
        <v>116.17807282692708</v>
      </c>
      <c r="R100" s="110">
        <v>527.23602208876355</v>
      </c>
      <c r="S100" s="110">
        <v>116.17807282692708</v>
      </c>
      <c r="T100" s="110">
        <v>536.17807282692706</v>
      </c>
      <c r="U100" s="110">
        <v>116.17807282692708</v>
      </c>
      <c r="V100" s="110">
        <v>536.17807282692706</v>
      </c>
      <c r="W100" s="110">
        <v>116.17807282692708</v>
      </c>
      <c r="X100" s="110">
        <v>536.17807282692706</v>
      </c>
      <c r="Y100" s="110">
        <v>116.17807282692708</v>
      </c>
      <c r="Z100" s="110">
        <v>420</v>
      </c>
      <c r="AA100" s="110">
        <v>232.35614565385416</v>
      </c>
      <c r="AB100" s="110">
        <v>536.17807282692706</v>
      </c>
      <c r="AC100" s="110">
        <v>116.17807282692708</v>
      </c>
      <c r="AD100" s="110">
        <v>116.17807282692708</v>
      </c>
      <c r="AE100" s="110">
        <v>536.17807282692706</v>
      </c>
      <c r="AF100" s="110">
        <v>0</v>
      </c>
      <c r="AG100" s="110">
        <v>652.35614565385413</v>
      </c>
      <c r="AH100" s="110">
        <v>116.17807282692708</v>
      </c>
      <c r="AI100" s="110">
        <v>536.17807282692706</v>
      </c>
      <c r="AJ100" s="110">
        <v>116.17807282692708</v>
      </c>
      <c r="AK100" s="110">
        <v>536.17807282692706</v>
      </c>
      <c r="AL100" s="110">
        <v>116.17807282692708</v>
      </c>
      <c r="AM100" s="110">
        <v>536.17807282692706</v>
      </c>
      <c r="AN100" s="110">
        <v>116.17807282692708</v>
      </c>
      <c r="AO100" s="110">
        <v>536.17807282692706</v>
      </c>
      <c r="AP100" s="110">
        <v>116.17807282692708</v>
      </c>
      <c r="AQ100" s="110">
        <v>536.17807282692706</v>
      </c>
      <c r="AR100" s="110">
        <v>116.17807282692708</v>
      </c>
      <c r="AS100" s="110">
        <v>536.17807282692706</v>
      </c>
      <c r="AT100" s="110">
        <v>116.17807282692708</v>
      </c>
      <c r="AU100" s="110">
        <v>536.17807282692706</v>
      </c>
      <c r="AV100" s="110">
        <v>116.17807282692708</v>
      </c>
      <c r="AW100" s="110">
        <v>536.17807282692706</v>
      </c>
      <c r="AX100" s="110">
        <v>116.17807282692708</v>
      </c>
      <c r="AY100" s="110">
        <v>536.17807282692706</v>
      </c>
    </row>
    <row r="101" spans="1:52" x14ac:dyDescent="0.2">
      <c r="A101" s="113"/>
      <c r="B101" s="122">
        <v>2</v>
      </c>
      <c r="C101" s="110">
        <v>0</v>
      </c>
      <c r="D101" s="110">
        <v>0</v>
      </c>
      <c r="E101" s="110">
        <v>0</v>
      </c>
      <c r="F101" s="110">
        <v>0</v>
      </c>
      <c r="G101" s="110">
        <v>0</v>
      </c>
      <c r="H101" s="110">
        <v>0</v>
      </c>
      <c r="I101" s="110">
        <v>0</v>
      </c>
      <c r="J101" s="110">
        <v>0</v>
      </c>
      <c r="K101" s="110">
        <v>19.466556276802585</v>
      </c>
      <c r="L101" s="110">
        <v>328.62141015071927</v>
      </c>
      <c r="M101" s="110">
        <v>36.5</v>
      </c>
      <c r="N101" s="110">
        <v>456.5</v>
      </c>
      <c r="O101" s="110">
        <v>36.5</v>
      </c>
      <c r="P101" s="110">
        <v>456.5</v>
      </c>
      <c r="Q101" s="110">
        <v>36.5</v>
      </c>
      <c r="R101" s="110">
        <v>456.5</v>
      </c>
      <c r="S101" s="110">
        <v>0</v>
      </c>
      <c r="T101" s="110">
        <v>456.5</v>
      </c>
      <c r="U101" s="110">
        <v>250.17807282692706</v>
      </c>
      <c r="V101" s="110">
        <v>1.4210854715202004E-14</v>
      </c>
      <c r="W101" s="110">
        <v>36.5</v>
      </c>
      <c r="X101" s="110">
        <v>1.4210854715202004E-14</v>
      </c>
      <c r="Y101" s="110">
        <v>0</v>
      </c>
      <c r="Z101" s="110">
        <v>1.4210854715202004E-14</v>
      </c>
      <c r="AA101" s="110">
        <v>36.5</v>
      </c>
      <c r="AB101" s="110">
        <v>2.8421709430404007E-14</v>
      </c>
      <c r="AC101" s="110">
        <v>36.5</v>
      </c>
      <c r="AD101" s="110">
        <v>1.4210854715202004E-14</v>
      </c>
      <c r="AE101" s="110">
        <v>0</v>
      </c>
      <c r="AF101" s="110">
        <v>0</v>
      </c>
      <c r="AG101" s="110">
        <v>456.5</v>
      </c>
      <c r="AH101" s="110">
        <v>0</v>
      </c>
      <c r="AI101" s="110">
        <v>0</v>
      </c>
      <c r="AJ101" s="110">
        <v>0</v>
      </c>
      <c r="AK101" s="110">
        <v>456.5</v>
      </c>
      <c r="AL101" s="110">
        <v>36.5</v>
      </c>
      <c r="AM101" s="110">
        <v>456.5</v>
      </c>
      <c r="AN101" s="110">
        <v>36.5</v>
      </c>
      <c r="AO101" s="110">
        <v>1.4210854715202004E-14</v>
      </c>
      <c r="AP101" s="110">
        <v>0</v>
      </c>
      <c r="AQ101" s="110">
        <v>456.5</v>
      </c>
      <c r="AR101" s="110">
        <v>356.32657591472116</v>
      </c>
      <c r="AS101" s="110">
        <v>456.5</v>
      </c>
      <c r="AT101" s="110">
        <v>36.5</v>
      </c>
      <c r="AU101" s="110">
        <v>1.4210854715202004E-14</v>
      </c>
      <c r="AV101" s="110">
        <v>36.5</v>
      </c>
      <c r="AW101" s="110">
        <v>1.4210854715202004E-14</v>
      </c>
      <c r="AX101" s="110">
        <v>0</v>
      </c>
      <c r="AY101" s="110">
        <v>0</v>
      </c>
    </row>
    <row r="102" spans="1:52" x14ac:dyDescent="0.2">
      <c r="A102" s="113"/>
      <c r="B102" s="123">
        <v>3</v>
      </c>
      <c r="C102" s="110">
        <v>0</v>
      </c>
      <c r="D102" s="110">
        <v>0</v>
      </c>
      <c r="E102" s="110">
        <v>0</v>
      </c>
      <c r="F102" s="110">
        <v>0</v>
      </c>
      <c r="G102" s="110">
        <v>0</v>
      </c>
      <c r="H102" s="110">
        <v>0</v>
      </c>
      <c r="I102" s="110">
        <v>0</v>
      </c>
      <c r="J102" s="110">
        <v>0</v>
      </c>
      <c r="K102" s="110">
        <v>0</v>
      </c>
      <c r="L102" s="110">
        <v>0</v>
      </c>
      <c r="M102" s="110">
        <v>0</v>
      </c>
      <c r="N102" s="110">
        <v>0</v>
      </c>
      <c r="O102" s="110">
        <v>0</v>
      </c>
      <c r="P102" s="110">
        <v>0</v>
      </c>
      <c r="Q102" s="110">
        <v>0</v>
      </c>
      <c r="R102" s="110">
        <v>0</v>
      </c>
      <c r="S102" s="110">
        <v>0</v>
      </c>
      <c r="T102" s="110">
        <v>0</v>
      </c>
      <c r="U102" s="110">
        <v>0</v>
      </c>
      <c r="V102" s="110">
        <v>0</v>
      </c>
      <c r="W102" s="110">
        <v>0</v>
      </c>
      <c r="X102" s="110">
        <v>0</v>
      </c>
      <c r="Y102" s="110">
        <v>385.41552804400141</v>
      </c>
      <c r="Z102" s="110">
        <v>36.5</v>
      </c>
      <c r="AA102" s="110">
        <v>456.5</v>
      </c>
      <c r="AB102" s="110">
        <v>0</v>
      </c>
      <c r="AC102" s="110">
        <v>456.5</v>
      </c>
      <c r="AD102" s="110">
        <v>0</v>
      </c>
      <c r="AE102" s="110">
        <v>456.5</v>
      </c>
      <c r="AF102" s="110">
        <v>0</v>
      </c>
      <c r="AG102" s="110">
        <v>36.5</v>
      </c>
      <c r="AH102" s="110">
        <v>0</v>
      </c>
      <c r="AI102" s="110">
        <v>36.5</v>
      </c>
      <c r="AJ102" s="110">
        <v>456.5</v>
      </c>
      <c r="AK102" s="110">
        <v>36.5</v>
      </c>
      <c r="AL102" s="110">
        <v>0</v>
      </c>
      <c r="AM102" s="110">
        <v>0</v>
      </c>
      <c r="AN102" s="110">
        <v>0</v>
      </c>
      <c r="AO102" s="110">
        <v>0</v>
      </c>
      <c r="AP102" s="110">
        <v>454.95216655051991</v>
      </c>
      <c r="AQ102" s="110">
        <v>34.148503087794154</v>
      </c>
      <c r="AR102" s="110">
        <v>0</v>
      </c>
      <c r="AS102" s="110">
        <v>0</v>
      </c>
      <c r="AT102" s="110">
        <v>0</v>
      </c>
      <c r="AU102" s="110">
        <v>0</v>
      </c>
      <c r="AV102" s="110">
        <v>456.5</v>
      </c>
      <c r="AW102" s="110">
        <v>0</v>
      </c>
      <c r="AX102" s="110">
        <v>0</v>
      </c>
      <c r="AY102" s="110">
        <v>36.5</v>
      </c>
    </row>
    <row r="103" spans="1:52" x14ac:dyDescent="0.2">
      <c r="A103" s="113"/>
      <c r="B103" s="123">
        <v>4</v>
      </c>
      <c r="C103" s="110">
        <v>0</v>
      </c>
      <c r="D103" s="110">
        <v>0</v>
      </c>
      <c r="E103" s="110">
        <v>0</v>
      </c>
      <c r="F103" s="110">
        <v>0</v>
      </c>
      <c r="G103" s="110">
        <v>0</v>
      </c>
      <c r="H103" s="110">
        <v>0</v>
      </c>
      <c r="I103" s="110">
        <v>0</v>
      </c>
      <c r="J103" s="110">
        <v>0</v>
      </c>
      <c r="K103" s="110">
        <v>0</v>
      </c>
      <c r="L103" s="110">
        <v>0</v>
      </c>
      <c r="M103" s="110">
        <v>0</v>
      </c>
      <c r="N103" s="110">
        <v>0</v>
      </c>
      <c r="O103" s="110">
        <v>0</v>
      </c>
      <c r="P103" s="110">
        <v>0</v>
      </c>
      <c r="Q103" s="110">
        <v>0</v>
      </c>
      <c r="R103" s="110">
        <v>0</v>
      </c>
      <c r="S103" s="110">
        <v>0</v>
      </c>
      <c r="T103" s="110">
        <v>0</v>
      </c>
      <c r="U103" s="110">
        <v>0</v>
      </c>
      <c r="V103" s="110">
        <v>0</v>
      </c>
      <c r="W103" s="110">
        <v>0</v>
      </c>
      <c r="X103" s="110">
        <v>0</v>
      </c>
      <c r="Y103" s="110">
        <v>0</v>
      </c>
      <c r="Z103" s="110">
        <v>0</v>
      </c>
      <c r="AA103" s="110">
        <v>0</v>
      </c>
      <c r="AB103" s="110">
        <v>0</v>
      </c>
      <c r="AC103" s="110">
        <v>0</v>
      </c>
      <c r="AD103" s="110">
        <v>0</v>
      </c>
      <c r="AE103" s="110">
        <v>0</v>
      </c>
      <c r="AF103" s="110">
        <v>0</v>
      </c>
      <c r="AG103" s="110">
        <v>0</v>
      </c>
      <c r="AH103" s="110">
        <v>0</v>
      </c>
      <c r="AI103" s="110">
        <v>0</v>
      </c>
      <c r="AJ103" s="110">
        <v>0</v>
      </c>
      <c r="AK103" s="110">
        <v>0</v>
      </c>
      <c r="AL103" s="110">
        <v>0</v>
      </c>
      <c r="AM103" s="110">
        <v>0</v>
      </c>
      <c r="AN103" s="110">
        <v>0</v>
      </c>
      <c r="AO103" s="110">
        <v>0</v>
      </c>
      <c r="AP103" s="110">
        <v>0</v>
      </c>
      <c r="AQ103" s="110">
        <v>0</v>
      </c>
      <c r="AR103" s="110">
        <v>0</v>
      </c>
      <c r="AS103" s="110">
        <v>0</v>
      </c>
      <c r="AT103" s="110">
        <v>0</v>
      </c>
      <c r="AU103" s="110">
        <v>0</v>
      </c>
      <c r="AV103" s="110">
        <v>0</v>
      </c>
      <c r="AW103" s="110">
        <v>0</v>
      </c>
      <c r="AX103" s="110">
        <v>0</v>
      </c>
      <c r="AY103" s="110">
        <v>456.5</v>
      </c>
    </row>
    <row r="104" spans="1:52" x14ac:dyDescent="0.2">
      <c r="A104" s="113"/>
      <c r="B104" s="130">
        <v>5</v>
      </c>
      <c r="C104" s="110">
        <v>0</v>
      </c>
      <c r="D104" s="110">
        <v>0</v>
      </c>
      <c r="E104" s="110">
        <v>0</v>
      </c>
      <c r="F104" s="110">
        <v>0</v>
      </c>
      <c r="G104" s="110">
        <v>0</v>
      </c>
      <c r="H104" s="110">
        <v>0</v>
      </c>
      <c r="I104" s="110">
        <v>0</v>
      </c>
      <c r="J104" s="110">
        <v>0</v>
      </c>
      <c r="K104" s="110">
        <v>0</v>
      </c>
      <c r="L104" s="110">
        <v>0</v>
      </c>
      <c r="M104" s="110">
        <v>0</v>
      </c>
      <c r="N104" s="110">
        <v>0</v>
      </c>
      <c r="O104" s="110">
        <v>0</v>
      </c>
      <c r="P104" s="110">
        <v>0</v>
      </c>
      <c r="Q104" s="110">
        <v>0</v>
      </c>
      <c r="R104" s="110">
        <v>0</v>
      </c>
      <c r="S104" s="110">
        <v>0</v>
      </c>
      <c r="T104" s="110">
        <v>0</v>
      </c>
      <c r="U104" s="110">
        <v>0</v>
      </c>
      <c r="V104" s="110">
        <v>0</v>
      </c>
      <c r="W104" s="110">
        <v>0</v>
      </c>
      <c r="X104" s="110">
        <v>0</v>
      </c>
      <c r="Y104" s="110">
        <v>0</v>
      </c>
      <c r="Z104" s="110">
        <v>0</v>
      </c>
      <c r="AA104" s="110">
        <v>0</v>
      </c>
      <c r="AB104" s="110">
        <v>0</v>
      </c>
      <c r="AC104" s="110">
        <v>0</v>
      </c>
      <c r="AD104" s="110">
        <v>0</v>
      </c>
      <c r="AE104" s="110">
        <v>0</v>
      </c>
      <c r="AF104" s="110">
        <v>0</v>
      </c>
      <c r="AG104" s="110">
        <v>0</v>
      </c>
      <c r="AH104" s="110">
        <v>0</v>
      </c>
      <c r="AI104" s="110">
        <v>0</v>
      </c>
      <c r="AJ104" s="110">
        <v>0</v>
      </c>
      <c r="AK104" s="110">
        <v>0</v>
      </c>
      <c r="AL104" s="110">
        <v>0</v>
      </c>
      <c r="AM104" s="110">
        <v>0</v>
      </c>
      <c r="AN104" s="110">
        <v>0</v>
      </c>
      <c r="AO104" s="110">
        <v>0</v>
      </c>
      <c r="AP104" s="110">
        <v>0</v>
      </c>
      <c r="AQ104" s="110">
        <v>0</v>
      </c>
      <c r="AR104" s="110">
        <v>0</v>
      </c>
      <c r="AS104" s="110">
        <v>0</v>
      </c>
      <c r="AT104" s="110">
        <v>0</v>
      </c>
      <c r="AU104" s="110">
        <v>0</v>
      </c>
      <c r="AV104" s="110">
        <v>0</v>
      </c>
      <c r="AW104" s="110">
        <v>0</v>
      </c>
      <c r="AX104" s="110">
        <v>0</v>
      </c>
      <c r="AY104" s="110">
        <v>0</v>
      </c>
    </row>
    <row r="105" spans="1:52" x14ac:dyDescent="0.2">
      <c r="A105" s="113"/>
      <c r="B105" s="130">
        <v>6</v>
      </c>
      <c r="C105" s="110">
        <v>0</v>
      </c>
      <c r="D105" s="110">
        <v>0</v>
      </c>
      <c r="E105" s="110">
        <v>0</v>
      </c>
      <c r="F105" s="110">
        <v>0</v>
      </c>
      <c r="G105" s="110">
        <v>0</v>
      </c>
      <c r="H105" s="110">
        <v>0</v>
      </c>
      <c r="I105" s="110">
        <v>0</v>
      </c>
      <c r="J105" s="110">
        <v>0</v>
      </c>
      <c r="K105" s="110">
        <v>0</v>
      </c>
      <c r="L105" s="110">
        <v>0</v>
      </c>
      <c r="M105" s="110">
        <v>0</v>
      </c>
      <c r="N105" s="110">
        <v>0</v>
      </c>
      <c r="O105" s="110">
        <v>0</v>
      </c>
      <c r="P105" s="110">
        <v>0</v>
      </c>
      <c r="Q105" s="110">
        <v>0</v>
      </c>
      <c r="R105" s="110">
        <v>0</v>
      </c>
      <c r="S105" s="110">
        <v>0</v>
      </c>
      <c r="T105" s="110">
        <v>0</v>
      </c>
      <c r="U105" s="110">
        <v>0</v>
      </c>
      <c r="V105" s="110">
        <v>0</v>
      </c>
      <c r="W105" s="110">
        <v>0</v>
      </c>
      <c r="X105" s="110">
        <v>0</v>
      </c>
      <c r="Y105" s="110">
        <v>0</v>
      </c>
      <c r="Z105" s="110">
        <v>0</v>
      </c>
      <c r="AA105" s="110">
        <v>0</v>
      </c>
      <c r="AB105" s="110">
        <v>0</v>
      </c>
      <c r="AC105" s="110">
        <v>0</v>
      </c>
      <c r="AD105" s="110">
        <v>0</v>
      </c>
      <c r="AE105" s="110">
        <v>0</v>
      </c>
      <c r="AF105" s="110">
        <v>0</v>
      </c>
      <c r="AG105" s="110">
        <v>0</v>
      </c>
      <c r="AH105" s="110">
        <v>0</v>
      </c>
      <c r="AI105" s="110">
        <v>0</v>
      </c>
      <c r="AJ105" s="110">
        <v>0</v>
      </c>
      <c r="AK105" s="110">
        <v>0</v>
      </c>
      <c r="AL105" s="110">
        <v>0</v>
      </c>
      <c r="AM105" s="110">
        <v>0</v>
      </c>
      <c r="AN105" s="110">
        <v>0</v>
      </c>
      <c r="AO105" s="110">
        <v>0</v>
      </c>
      <c r="AP105" s="110">
        <v>0</v>
      </c>
      <c r="AQ105" s="110">
        <v>0</v>
      </c>
      <c r="AR105" s="110">
        <v>0</v>
      </c>
      <c r="AS105" s="110">
        <v>0</v>
      </c>
      <c r="AT105" s="110">
        <v>0</v>
      </c>
      <c r="AU105" s="110">
        <v>0</v>
      </c>
      <c r="AV105" s="110">
        <v>0</v>
      </c>
      <c r="AW105" s="110">
        <v>0</v>
      </c>
      <c r="AX105" s="110">
        <v>0</v>
      </c>
      <c r="AY105" s="110">
        <v>0</v>
      </c>
    </row>
    <row r="106" spans="1:52" x14ac:dyDescent="0.2">
      <c r="A106" s="113"/>
      <c r="B106" s="133">
        <v>7</v>
      </c>
      <c r="C106" s="110">
        <v>0</v>
      </c>
      <c r="D106" s="110">
        <v>0</v>
      </c>
      <c r="E106" s="110">
        <v>0</v>
      </c>
      <c r="F106" s="110">
        <v>0</v>
      </c>
      <c r="G106" s="110">
        <v>0</v>
      </c>
      <c r="H106" s="110">
        <v>0</v>
      </c>
      <c r="I106" s="110">
        <v>0</v>
      </c>
      <c r="J106" s="110">
        <v>0</v>
      </c>
      <c r="K106" s="110">
        <v>0</v>
      </c>
      <c r="L106" s="110">
        <v>0</v>
      </c>
      <c r="M106" s="110">
        <v>0</v>
      </c>
      <c r="N106" s="110">
        <v>0</v>
      </c>
      <c r="O106" s="110">
        <v>0</v>
      </c>
      <c r="P106" s="110">
        <v>0</v>
      </c>
      <c r="Q106" s="110">
        <v>0</v>
      </c>
      <c r="R106" s="110">
        <v>0</v>
      </c>
      <c r="S106" s="110">
        <v>0</v>
      </c>
      <c r="T106" s="110">
        <v>0</v>
      </c>
      <c r="U106" s="110">
        <v>0</v>
      </c>
      <c r="V106" s="110">
        <v>0</v>
      </c>
      <c r="W106" s="110">
        <v>0</v>
      </c>
      <c r="X106" s="110">
        <v>0</v>
      </c>
      <c r="Y106" s="110">
        <v>0</v>
      </c>
      <c r="Z106" s="110">
        <v>0</v>
      </c>
      <c r="AA106" s="110">
        <v>0</v>
      </c>
      <c r="AB106" s="110">
        <v>0</v>
      </c>
      <c r="AC106" s="110">
        <v>0</v>
      </c>
      <c r="AD106" s="110">
        <v>0</v>
      </c>
      <c r="AE106" s="110">
        <v>0</v>
      </c>
      <c r="AF106" s="110">
        <v>0</v>
      </c>
      <c r="AG106" s="110">
        <v>0</v>
      </c>
      <c r="AH106" s="110">
        <v>0</v>
      </c>
      <c r="AI106" s="110">
        <v>0</v>
      </c>
      <c r="AJ106" s="110">
        <v>0</v>
      </c>
      <c r="AK106" s="110">
        <v>0</v>
      </c>
      <c r="AL106" s="110">
        <v>0</v>
      </c>
      <c r="AM106" s="110">
        <v>0</v>
      </c>
      <c r="AN106" s="110">
        <v>0</v>
      </c>
      <c r="AO106" s="110">
        <v>0</v>
      </c>
      <c r="AP106" s="110">
        <v>0</v>
      </c>
      <c r="AQ106" s="110">
        <v>0</v>
      </c>
      <c r="AR106" s="110">
        <v>0</v>
      </c>
      <c r="AS106" s="110">
        <v>0</v>
      </c>
      <c r="AT106" s="110">
        <v>0</v>
      </c>
      <c r="AU106" s="110">
        <v>0</v>
      </c>
      <c r="AV106" s="110">
        <v>0</v>
      </c>
      <c r="AW106" s="110">
        <v>0</v>
      </c>
      <c r="AX106" s="110">
        <v>0</v>
      </c>
      <c r="AY106" s="110">
        <v>0</v>
      </c>
    </row>
    <row r="107" spans="1:52" x14ac:dyDescent="0.2">
      <c r="A107" s="113"/>
      <c r="B107" s="133">
        <v>8</v>
      </c>
      <c r="C107" s="110">
        <v>0</v>
      </c>
      <c r="D107" s="110">
        <v>0</v>
      </c>
      <c r="E107" s="110">
        <v>0</v>
      </c>
      <c r="F107" s="110">
        <v>0</v>
      </c>
      <c r="G107" s="110">
        <v>0</v>
      </c>
      <c r="H107" s="110">
        <v>0</v>
      </c>
      <c r="I107" s="110">
        <v>0</v>
      </c>
      <c r="J107" s="110">
        <v>0</v>
      </c>
      <c r="K107" s="110">
        <v>0</v>
      </c>
      <c r="L107" s="110">
        <v>0</v>
      </c>
      <c r="M107" s="110">
        <v>0</v>
      </c>
      <c r="N107" s="110">
        <v>0</v>
      </c>
      <c r="O107" s="110">
        <v>0</v>
      </c>
      <c r="P107" s="110">
        <v>0</v>
      </c>
      <c r="Q107" s="110">
        <v>0</v>
      </c>
      <c r="R107" s="110">
        <v>0</v>
      </c>
      <c r="S107" s="110">
        <v>0</v>
      </c>
      <c r="T107" s="110">
        <v>0</v>
      </c>
      <c r="U107" s="110">
        <v>0</v>
      </c>
      <c r="V107" s="110">
        <v>0</v>
      </c>
      <c r="W107" s="110">
        <v>0</v>
      </c>
      <c r="X107" s="110">
        <v>0</v>
      </c>
      <c r="Y107" s="110">
        <v>0</v>
      </c>
      <c r="Z107" s="110">
        <v>0</v>
      </c>
      <c r="AA107" s="110">
        <v>0</v>
      </c>
      <c r="AB107" s="110">
        <v>0</v>
      </c>
      <c r="AC107" s="110">
        <v>0</v>
      </c>
      <c r="AD107" s="110">
        <v>0</v>
      </c>
      <c r="AE107" s="110">
        <v>0</v>
      </c>
      <c r="AF107" s="110">
        <v>0</v>
      </c>
      <c r="AG107" s="110">
        <v>0</v>
      </c>
      <c r="AH107" s="110">
        <v>0</v>
      </c>
      <c r="AI107" s="110">
        <v>0</v>
      </c>
      <c r="AJ107" s="110">
        <v>0</v>
      </c>
      <c r="AK107" s="110">
        <v>0</v>
      </c>
      <c r="AL107" s="110">
        <v>0</v>
      </c>
      <c r="AM107" s="110">
        <v>0</v>
      </c>
      <c r="AN107" s="110">
        <v>0</v>
      </c>
      <c r="AO107" s="110">
        <v>0</v>
      </c>
      <c r="AP107" s="110">
        <v>0</v>
      </c>
      <c r="AQ107" s="110">
        <v>0</v>
      </c>
      <c r="AR107" s="110">
        <v>0</v>
      </c>
      <c r="AS107" s="110">
        <v>0</v>
      </c>
      <c r="AT107" s="110">
        <v>0</v>
      </c>
      <c r="AU107" s="110">
        <v>0</v>
      </c>
      <c r="AV107" s="110">
        <v>0</v>
      </c>
      <c r="AW107" s="110">
        <v>0</v>
      </c>
      <c r="AX107" s="110">
        <v>0</v>
      </c>
      <c r="AY107" s="110">
        <v>0</v>
      </c>
    </row>
    <row r="108" spans="1:52" x14ac:dyDescent="0.2">
      <c r="A108" s="131"/>
      <c r="B108" s="135" t="s">
        <v>296</v>
      </c>
      <c r="C108" s="117">
        <v>0</v>
      </c>
      <c r="D108" s="128">
        <v>0</v>
      </c>
      <c r="E108" s="128">
        <v>0</v>
      </c>
      <c r="F108" s="128">
        <v>0</v>
      </c>
      <c r="G108" s="128">
        <v>0</v>
      </c>
      <c r="H108" s="128">
        <v>0</v>
      </c>
      <c r="I108" s="128">
        <v>0</v>
      </c>
      <c r="J108" s="128">
        <v>0</v>
      </c>
      <c r="K108" s="128">
        <v>0</v>
      </c>
      <c r="L108" s="128">
        <v>0</v>
      </c>
      <c r="M108" s="128">
        <v>0</v>
      </c>
      <c r="N108" s="128">
        <v>0</v>
      </c>
      <c r="O108" s="128">
        <v>0</v>
      </c>
      <c r="P108" s="128">
        <v>0</v>
      </c>
      <c r="Q108" s="128">
        <v>0</v>
      </c>
      <c r="R108" s="128">
        <v>0</v>
      </c>
      <c r="S108" s="128">
        <v>0</v>
      </c>
      <c r="T108" s="128">
        <v>0</v>
      </c>
      <c r="U108" s="128">
        <v>0</v>
      </c>
      <c r="V108" s="128">
        <v>0</v>
      </c>
      <c r="W108" s="128">
        <v>0</v>
      </c>
      <c r="X108" s="128">
        <v>0</v>
      </c>
      <c r="Y108" s="128">
        <v>0</v>
      </c>
      <c r="Z108" s="128">
        <v>0</v>
      </c>
      <c r="AA108" s="128">
        <v>0</v>
      </c>
      <c r="AB108" s="128">
        <v>0</v>
      </c>
      <c r="AC108" s="128">
        <v>0</v>
      </c>
      <c r="AD108" s="128">
        <v>0</v>
      </c>
      <c r="AE108" s="128">
        <v>0</v>
      </c>
      <c r="AF108" s="128">
        <v>0</v>
      </c>
      <c r="AG108" s="128">
        <v>0</v>
      </c>
      <c r="AH108" s="128">
        <v>0</v>
      </c>
      <c r="AI108" s="128">
        <v>0</v>
      </c>
      <c r="AJ108" s="128">
        <v>0</v>
      </c>
      <c r="AK108" s="128">
        <v>0</v>
      </c>
      <c r="AL108" s="128">
        <v>0</v>
      </c>
      <c r="AM108" s="128">
        <v>0</v>
      </c>
      <c r="AN108" s="128">
        <v>0</v>
      </c>
      <c r="AO108" s="128">
        <v>0</v>
      </c>
      <c r="AP108" s="128">
        <v>0</v>
      </c>
      <c r="AQ108" s="128">
        <v>0</v>
      </c>
      <c r="AR108" s="128">
        <v>0</v>
      </c>
      <c r="AS108" s="128">
        <v>0</v>
      </c>
      <c r="AT108" s="128">
        <v>0</v>
      </c>
      <c r="AU108" s="128">
        <v>0</v>
      </c>
      <c r="AV108" s="128">
        <v>0</v>
      </c>
      <c r="AW108" s="128">
        <v>0</v>
      </c>
      <c r="AX108" s="128">
        <v>0</v>
      </c>
      <c r="AY108" s="128">
        <v>0</v>
      </c>
      <c r="AZ108" s="111">
        <f>SUM($D108:$AY108)</f>
        <v>0</v>
      </c>
    </row>
    <row r="109" spans="1:52" x14ac:dyDescent="0.2">
      <c r="A109" s="134" t="s">
        <v>134</v>
      </c>
      <c r="B109" s="122">
        <v>1</v>
      </c>
      <c r="C109" s="110">
        <v>0</v>
      </c>
      <c r="D109" s="110">
        <v>9661.4461645014781</v>
      </c>
      <c r="E109" s="110">
        <v>15288.1337743358</v>
      </c>
      <c r="F109" s="110">
        <v>10086.084841329002</v>
      </c>
      <c r="G109" s="110">
        <v>7179.2121781887517</v>
      </c>
      <c r="H109" s="110">
        <v>5883.7038113266663</v>
      </c>
      <c r="I109" s="110">
        <v>4957.1206112804157</v>
      </c>
      <c r="J109" s="110">
        <v>5001.6021850793277</v>
      </c>
      <c r="K109" s="110">
        <v>4978.4528100190682</v>
      </c>
      <c r="L109" s="110">
        <v>5052.1306671242137</v>
      </c>
      <c r="M109" s="110">
        <v>5087.4361857144513</v>
      </c>
      <c r="N109" s="110">
        <v>4481.5176748797212</v>
      </c>
      <c r="O109" s="110">
        <v>4378.1569199117803</v>
      </c>
      <c r="P109" s="110">
        <v>4152.9813935592611</v>
      </c>
      <c r="Q109" s="110">
        <v>4237.8811617986148</v>
      </c>
      <c r="R109" s="110">
        <v>4557.1572846274948</v>
      </c>
      <c r="S109" s="110">
        <v>4746.5308543266783</v>
      </c>
      <c r="T109" s="110">
        <v>4897.2130510603711</v>
      </c>
      <c r="U109" s="110">
        <v>4900.8393092880478</v>
      </c>
      <c r="V109" s="110">
        <v>4845.4811420850356</v>
      </c>
      <c r="W109" s="110">
        <v>4844.3987392842009</v>
      </c>
      <c r="X109" s="110">
        <v>4847.9398460556913</v>
      </c>
      <c r="Y109" s="110">
        <v>4817.757046151959</v>
      </c>
      <c r="Z109" s="110">
        <v>4281.8529433116291</v>
      </c>
      <c r="AA109" s="110">
        <v>3927.4994534911898</v>
      </c>
      <c r="AB109" s="110">
        <v>3879.1757176152996</v>
      </c>
      <c r="AC109" s="110">
        <v>3924.090593375242</v>
      </c>
      <c r="AD109" s="110">
        <v>3830.097129988113</v>
      </c>
      <c r="AE109" s="110">
        <v>3793.4221933315971</v>
      </c>
      <c r="AF109" s="110">
        <v>3930.1475765451219</v>
      </c>
      <c r="AG109" s="110">
        <v>3964.069624363367</v>
      </c>
      <c r="AH109" s="110">
        <v>4292.4307673787807</v>
      </c>
      <c r="AI109" s="110">
        <v>4490.2296896314165</v>
      </c>
      <c r="AJ109" s="110">
        <v>4528.4059718019407</v>
      </c>
      <c r="AK109" s="110">
        <v>4606.4005410582658</v>
      </c>
      <c r="AL109" s="110">
        <v>4734.6724583314608</v>
      </c>
      <c r="AM109" s="110">
        <v>4868.3225482311154</v>
      </c>
      <c r="AN109" s="110">
        <v>4909.9600861960162</v>
      </c>
      <c r="AO109" s="110">
        <v>4902.6966144225362</v>
      </c>
      <c r="AP109" s="110">
        <v>4461.286095839675</v>
      </c>
      <c r="AQ109" s="110">
        <v>4325.4729108121464</v>
      </c>
      <c r="AR109" s="110">
        <v>4338.6100206555802</v>
      </c>
      <c r="AS109" s="110">
        <v>4280.1469934863853</v>
      </c>
      <c r="AT109" s="110">
        <v>3687.2011195957957</v>
      </c>
      <c r="AU109" s="110">
        <v>3178.6077086570349</v>
      </c>
      <c r="AV109" s="110">
        <v>3198.3508713039314</v>
      </c>
      <c r="AW109" s="110">
        <v>3279.5840907451798</v>
      </c>
      <c r="AX109" s="110">
        <v>3682.0735396698315</v>
      </c>
      <c r="AY109" s="110">
        <v>3626.9891732939186</v>
      </c>
    </row>
    <row r="110" spans="1:52" x14ac:dyDescent="0.2">
      <c r="A110" s="113"/>
      <c r="B110" s="122">
        <v>2</v>
      </c>
      <c r="C110" s="110">
        <v>0</v>
      </c>
      <c r="D110" s="110">
        <v>0</v>
      </c>
      <c r="E110" s="110">
        <v>5717.3253984165494</v>
      </c>
      <c r="F110" s="110">
        <v>15288.1337743358</v>
      </c>
      <c r="G110" s="110">
        <v>10086.084841329002</v>
      </c>
      <c r="H110" s="110">
        <v>7179.2121781887517</v>
      </c>
      <c r="I110" s="110">
        <v>5883.7038113266663</v>
      </c>
      <c r="J110" s="110">
        <v>4957.1206112804157</v>
      </c>
      <c r="K110" s="110">
        <v>5001.6021850793277</v>
      </c>
      <c r="L110" s="110">
        <v>4978.4528100190682</v>
      </c>
      <c r="M110" s="110">
        <v>5052.1306671242137</v>
      </c>
      <c r="N110" s="110">
        <v>5087.4361857144513</v>
      </c>
      <c r="O110" s="110">
        <v>4481.5176748797212</v>
      </c>
      <c r="P110" s="110">
        <v>4378.1569199117803</v>
      </c>
      <c r="Q110" s="110">
        <v>4152.9813935592611</v>
      </c>
      <c r="R110" s="110">
        <v>4237.8811617986148</v>
      </c>
      <c r="S110" s="110">
        <v>4557.1572846274948</v>
      </c>
      <c r="T110" s="110">
        <v>4746.5308543266783</v>
      </c>
      <c r="U110" s="110">
        <v>4897.2130510603711</v>
      </c>
      <c r="V110" s="110">
        <v>4900.8393092880478</v>
      </c>
      <c r="W110" s="110">
        <v>4845.4811420850356</v>
      </c>
      <c r="X110" s="110">
        <v>4844.3987392842009</v>
      </c>
      <c r="Y110" s="110">
        <v>4847.9398460556913</v>
      </c>
      <c r="Z110" s="110">
        <v>4817.757046151959</v>
      </c>
      <c r="AA110" s="110">
        <v>4281.8529433116291</v>
      </c>
      <c r="AB110" s="110">
        <v>3927.4994534911898</v>
      </c>
      <c r="AC110" s="110">
        <v>3879.1757176152996</v>
      </c>
      <c r="AD110" s="110">
        <v>3924.090593375242</v>
      </c>
      <c r="AE110" s="110">
        <v>3830.097129988113</v>
      </c>
      <c r="AF110" s="110">
        <v>3793.4221933315971</v>
      </c>
      <c r="AG110" s="110">
        <v>3930.1475765451219</v>
      </c>
      <c r="AH110" s="110">
        <v>3964.069624363367</v>
      </c>
      <c r="AI110" s="110">
        <v>4292.4307673787807</v>
      </c>
      <c r="AJ110" s="110">
        <v>4490.2296896314165</v>
      </c>
      <c r="AK110" s="110">
        <v>4528.4059718019407</v>
      </c>
      <c r="AL110" s="110">
        <v>4606.4005410582658</v>
      </c>
      <c r="AM110" s="110">
        <v>4734.6724583314608</v>
      </c>
      <c r="AN110" s="110">
        <v>4868.3225482311154</v>
      </c>
      <c r="AO110" s="110">
        <v>4909.9600861960162</v>
      </c>
      <c r="AP110" s="110">
        <v>4902.6966144225362</v>
      </c>
      <c r="AQ110" s="110">
        <v>4461.286095839675</v>
      </c>
      <c r="AR110" s="110">
        <v>4325.4729108121464</v>
      </c>
      <c r="AS110" s="110">
        <v>4338.6100206555802</v>
      </c>
      <c r="AT110" s="110">
        <v>4280.1469934863853</v>
      </c>
      <c r="AU110" s="110">
        <v>3687.2011195957957</v>
      </c>
      <c r="AV110" s="110">
        <v>3178.6077086570349</v>
      </c>
      <c r="AW110" s="110">
        <v>3198.3508713039314</v>
      </c>
      <c r="AX110" s="110">
        <v>3279.5840907451798</v>
      </c>
      <c r="AY110" s="110">
        <v>3682.0735396698315</v>
      </c>
    </row>
    <row r="111" spans="1:52" x14ac:dyDescent="0.2">
      <c r="A111" s="113"/>
      <c r="B111" s="122">
        <v>3</v>
      </c>
      <c r="C111" s="110">
        <v>0</v>
      </c>
      <c r="D111" s="110">
        <v>0</v>
      </c>
      <c r="E111" s="110">
        <v>0</v>
      </c>
      <c r="F111" s="110">
        <v>1970.2046323316181</v>
      </c>
      <c r="G111" s="110">
        <v>12904.217640582487</v>
      </c>
      <c r="H111" s="110">
        <v>10086.084841329002</v>
      </c>
      <c r="I111" s="110">
        <v>7179.2121781887517</v>
      </c>
      <c r="J111" s="110">
        <v>5883.7038113266663</v>
      </c>
      <c r="K111" s="110">
        <v>4957.1206112804157</v>
      </c>
      <c r="L111" s="110">
        <v>5001.6021850793277</v>
      </c>
      <c r="M111" s="110">
        <v>4978.4528100190682</v>
      </c>
      <c r="N111" s="110">
        <v>5052.1306671242137</v>
      </c>
      <c r="O111" s="110">
        <v>5087.4361857144513</v>
      </c>
      <c r="P111" s="110">
        <v>4481.5176748797212</v>
      </c>
      <c r="Q111" s="110">
        <v>4378.1569199117803</v>
      </c>
      <c r="R111" s="110">
        <v>4152.9813935592611</v>
      </c>
      <c r="S111" s="110">
        <v>4237.8811617986148</v>
      </c>
      <c r="T111" s="110">
        <v>4557.1572846274948</v>
      </c>
      <c r="U111" s="110">
        <v>4746.5308543266783</v>
      </c>
      <c r="V111" s="110">
        <v>4897.2130510603711</v>
      </c>
      <c r="W111" s="110">
        <v>4900.8393092880478</v>
      </c>
      <c r="X111" s="110">
        <v>4845.4811420850356</v>
      </c>
      <c r="Y111" s="110">
        <v>4844.3987392842009</v>
      </c>
      <c r="Z111" s="110">
        <v>4847.9398460556913</v>
      </c>
      <c r="AA111" s="110">
        <v>4817.757046151959</v>
      </c>
      <c r="AB111" s="110">
        <v>4281.8529433116291</v>
      </c>
      <c r="AC111" s="110">
        <v>3927.4994534911898</v>
      </c>
      <c r="AD111" s="110">
        <v>3879.1757176152996</v>
      </c>
      <c r="AE111" s="110">
        <v>3924.090593375242</v>
      </c>
      <c r="AF111" s="110">
        <v>3830.097129988113</v>
      </c>
      <c r="AG111" s="110">
        <v>3793.4221933315971</v>
      </c>
      <c r="AH111" s="110">
        <v>3930.1475765451219</v>
      </c>
      <c r="AI111" s="110">
        <v>3964.069624363367</v>
      </c>
      <c r="AJ111" s="110">
        <v>4292.4307673787807</v>
      </c>
      <c r="AK111" s="110">
        <v>4490.2296896314165</v>
      </c>
      <c r="AL111" s="110">
        <v>4528.4059718019407</v>
      </c>
      <c r="AM111" s="110">
        <v>4606.4005410582658</v>
      </c>
      <c r="AN111" s="110">
        <v>4734.6724583314608</v>
      </c>
      <c r="AO111" s="110">
        <v>4868.3225482311154</v>
      </c>
      <c r="AP111" s="110">
        <v>4909.9600861960162</v>
      </c>
      <c r="AQ111" s="110">
        <v>4902.6966144225362</v>
      </c>
      <c r="AR111" s="110">
        <v>4461.286095839675</v>
      </c>
      <c r="AS111" s="110">
        <v>4325.4729108121464</v>
      </c>
      <c r="AT111" s="110">
        <v>4338.6100206555802</v>
      </c>
      <c r="AU111" s="110">
        <v>4280.1469934863853</v>
      </c>
      <c r="AV111" s="110">
        <v>3687.2011195957957</v>
      </c>
      <c r="AW111" s="110">
        <v>3178.6077086570349</v>
      </c>
      <c r="AX111" s="110">
        <v>3198.3508713039314</v>
      </c>
      <c r="AY111" s="110">
        <v>3279.5840907451798</v>
      </c>
    </row>
    <row r="112" spans="1:52" x14ac:dyDescent="0.2">
      <c r="A112" s="113"/>
      <c r="B112" s="123">
        <v>4</v>
      </c>
      <c r="C112" s="110">
        <v>0</v>
      </c>
      <c r="D112" s="110">
        <v>0</v>
      </c>
      <c r="E112" s="110">
        <v>0</v>
      </c>
      <c r="F112" s="110">
        <v>0</v>
      </c>
      <c r="G112" s="110">
        <v>0</v>
      </c>
      <c r="H112" s="110">
        <v>9041.0968744975471</v>
      </c>
      <c r="I112" s="110">
        <v>10086.084841329002</v>
      </c>
      <c r="J112" s="110">
        <v>7179.2121781887517</v>
      </c>
      <c r="K112" s="110">
        <v>5883.7038113266663</v>
      </c>
      <c r="L112" s="110">
        <v>4957.1206112804157</v>
      </c>
      <c r="M112" s="110">
        <v>5001.6021850793277</v>
      </c>
      <c r="N112" s="110">
        <v>4978.4528100190682</v>
      </c>
      <c r="O112" s="110">
        <v>5052.1306671242137</v>
      </c>
      <c r="P112" s="110">
        <v>5087.4361857144513</v>
      </c>
      <c r="Q112" s="110">
        <v>4481.5176748797212</v>
      </c>
      <c r="R112" s="110">
        <v>4378.1569199117803</v>
      </c>
      <c r="S112" s="110">
        <v>4152.9813935592611</v>
      </c>
      <c r="T112" s="110">
        <v>4237.8811617986148</v>
      </c>
      <c r="U112" s="110">
        <v>4557.1572846274948</v>
      </c>
      <c r="V112" s="110">
        <v>4746.5308543266783</v>
      </c>
      <c r="W112" s="110">
        <v>4897.2130510603711</v>
      </c>
      <c r="X112" s="110">
        <v>4900.8393092880478</v>
      </c>
      <c r="Y112" s="110">
        <v>4845.4811420850356</v>
      </c>
      <c r="Z112" s="110">
        <v>4844.3987392842009</v>
      </c>
      <c r="AA112" s="110">
        <v>4847.9398460556913</v>
      </c>
      <c r="AB112" s="110">
        <v>4817.757046151959</v>
      </c>
      <c r="AC112" s="110">
        <v>4281.8529433116291</v>
      </c>
      <c r="AD112" s="110">
        <v>3927.4994534911898</v>
      </c>
      <c r="AE112" s="110">
        <v>3879.1757176152996</v>
      </c>
      <c r="AF112" s="110">
        <v>3924.090593375242</v>
      </c>
      <c r="AG112" s="110">
        <v>3830.097129988113</v>
      </c>
      <c r="AH112" s="110">
        <v>3793.4221933315971</v>
      </c>
      <c r="AI112" s="110">
        <v>3930.1475765451219</v>
      </c>
      <c r="AJ112" s="110">
        <v>3964.069624363367</v>
      </c>
      <c r="AK112" s="110">
        <v>4292.4307673787807</v>
      </c>
      <c r="AL112" s="110">
        <v>4490.2296896314165</v>
      </c>
      <c r="AM112" s="110">
        <v>4528.4059718019407</v>
      </c>
      <c r="AN112" s="110">
        <v>4606.4005410582658</v>
      </c>
      <c r="AO112" s="110">
        <v>4734.6724583314608</v>
      </c>
      <c r="AP112" s="110">
        <v>4868.3225482311154</v>
      </c>
      <c r="AQ112" s="110">
        <v>4909.9600861960162</v>
      </c>
      <c r="AR112" s="110">
        <v>4902.6966144225362</v>
      </c>
      <c r="AS112" s="110">
        <v>4461.286095839675</v>
      </c>
      <c r="AT112" s="110">
        <v>4325.4729108121464</v>
      </c>
      <c r="AU112" s="110">
        <v>4338.6100206555802</v>
      </c>
      <c r="AV112" s="110">
        <v>4280.1469934863853</v>
      </c>
      <c r="AW112" s="110">
        <v>3687.2011195957957</v>
      </c>
      <c r="AX112" s="110">
        <v>3178.6077086570349</v>
      </c>
      <c r="AY112" s="110">
        <v>3198.3508713039314</v>
      </c>
    </row>
    <row r="113" spans="1:52" x14ac:dyDescent="0.2">
      <c r="A113" s="113"/>
      <c r="B113" s="123">
        <v>5</v>
      </c>
      <c r="C113" s="110">
        <v>0</v>
      </c>
      <c r="D113" s="110">
        <v>0</v>
      </c>
      <c r="E113" s="110">
        <v>0</v>
      </c>
      <c r="F113" s="110">
        <v>0</v>
      </c>
      <c r="G113" s="110">
        <v>0</v>
      </c>
      <c r="H113" s="110">
        <v>0</v>
      </c>
      <c r="I113" s="110">
        <v>3926.6423045746014</v>
      </c>
      <c r="J113" s="110">
        <v>8661.4936340238892</v>
      </c>
      <c r="K113" s="110">
        <v>7179.2121781887517</v>
      </c>
      <c r="L113" s="110">
        <v>5883.7038113266663</v>
      </c>
      <c r="M113" s="110">
        <v>4957.1206112804157</v>
      </c>
      <c r="N113" s="110">
        <v>5001.6021850793277</v>
      </c>
      <c r="O113" s="110">
        <v>4978.4528100190682</v>
      </c>
      <c r="P113" s="110">
        <v>5052.1306671242137</v>
      </c>
      <c r="Q113" s="110">
        <v>5087.4361857144513</v>
      </c>
      <c r="R113" s="110">
        <v>4481.5176748797212</v>
      </c>
      <c r="S113" s="110">
        <v>4378.1569199117803</v>
      </c>
      <c r="T113" s="110">
        <v>4152.9813935592611</v>
      </c>
      <c r="U113" s="110">
        <v>4237.8811617986148</v>
      </c>
      <c r="V113" s="110">
        <v>4557.1572846274948</v>
      </c>
      <c r="W113" s="110">
        <v>4746.5308543266783</v>
      </c>
      <c r="X113" s="110">
        <v>4897.2130510603711</v>
      </c>
      <c r="Y113" s="110">
        <v>4900.8393092880478</v>
      </c>
      <c r="Z113" s="110">
        <v>4845.4811420850356</v>
      </c>
      <c r="AA113" s="110">
        <v>4844.3987392842009</v>
      </c>
      <c r="AB113" s="110">
        <v>4847.9398460556913</v>
      </c>
      <c r="AC113" s="110">
        <v>4817.757046151959</v>
      </c>
      <c r="AD113" s="110">
        <v>4281.8529433116291</v>
      </c>
      <c r="AE113" s="110">
        <v>3927.4994534911898</v>
      </c>
      <c r="AF113" s="110">
        <v>3879.1757176152996</v>
      </c>
      <c r="AG113" s="110">
        <v>3924.090593375242</v>
      </c>
      <c r="AH113" s="110">
        <v>3830.097129988113</v>
      </c>
      <c r="AI113" s="110">
        <v>3793.4221933315971</v>
      </c>
      <c r="AJ113" s="110">
        <v>3930.1475765451219</v>
      </c>
      <c r="AK113" s="110">
        <v>3964.069624363367</v>
      </c>
      <c r="AL113" s="110">
        <v>4292.4307673787807</v>
      </c>
      <c r="AM113" s="110">
        <v>4490.2296896314165</v>
      </c>
      <c r="AN113" s="110">
        <v>4528.4059718019407</v>
      </c>
      <c r="AO113" s="110">
        <v>4606.4005410582658</v>
      </c>
      <c r="AP113" s="110">
        <v>4734.6724583314608</v>
      </c>
      <c r="AQ113" s="110">
        <v>4868.3225482311154</v>
      </c>
      <c r="AR113" s="110">
        <v>4909.9600861960162</v>
      </c>
      <c r="AS113" s="110">
        <v>4902.6966144225362</v>
      </c>
      <c r="AT113" s="110">
        <v>4461.286095839675</v>
      </c>
      <c r="AU113" s="110">
        <v>4325.4729108121464</v>
      </c>
      <c r="AV113" s="110">
        <v>4338.6100206555802</v>
      </c>
      <c r="AW113" s="110">
        <v>4280.1469934863853</v>
      </c>
      <c r="AX113" s="110">
        <v>3687.2011195957957</v>
      </c>
      <c r="AY113" s="110">
        <v>3178.6077086570349</v>
      </c>
    </row>
    <row r="114" spans="1:52" x14ac:dyDescent="0.2">
      <c r="A114" s="113"/>
      <c r="B114" s="123">
        <v>6</v>
      </c>
      <c r="C114" s="110">
        <v>0</v>
      </c>
      <c r="D114" s="110">
        <v>0</v>
      </c>
      <c r="E114" s="110">
        <v>0</v>
      </c>
      <c r="F114" s="110">
        <v>0</v>
      </c>
      <c r="G114" s="110">
        <v>0</v>
      </c>
      <c r="H114" s="110">
        <v>0</v>
      </c>
      <c r="I114" s="110">
        <v>0</v>
      </c>
      <c r="J114" s="110">
        <v>0</v>
      </c>
      <c r="K114" s="110">
        <v>3847.1747884680331</v>
      </c>
      <c r="L114" s="110">
        <v>5168.1113466979286</v>
      </c>
      <c r="M114" s="110">
        <v>5883.7038113266663</v>
      </c>
      <c r="N114" s="110">
        <v>4957.1206112804157</v>
      </c>
      <c r="O114" s="110">
        <v>5001.6021850793277</v>
      </c>
      <c r="P114" s="110">
        <v>4978.4528100190682</v>
      </c>
      <c r="Q114" s="110">
        <v>5052.1306671242137</v>
      </c>
      <c r="R114" s="110">
        <v>5087.4361857144513</v>
      </c>
      <c r="S114" s="110">
        <v>4481.5176748797212</v>
      </c>
      <c r="T114" s="110">
        <v>4378.1569199117803</v>
      </c>
      <c r="U114" s="110">
        <v>4152.9813935592611</v>
      </c>
      <c r="V114" s="110">
        <v>4237.8811617986148</v>
      </c>
      <c r="W114" s="110">
        <v>4557.1572846274948</v>
      </c>
      <c r="X114" s="110">
        <v>4746.5308543266783</v>
      </c>
      <c r="Y114" s="110">
        <v>4897.2130510603711</v>
      </c>
      <c r="Z114" s="110">
        <v>4900.8393092880478</v>
      </c>
      <c r="AA114" s="110">
        <v>4845.4811420850356</v>
      </c>
      <c r="AB114" s="110">
        <v>4844.3987392842009</v>
      </c>
      <c r="AC114" s="110">
        <v>4847.9398460556913</v>
      </c>
      <c r="AD114" s="110">
        <v>4817.757046151959</v>
      </c>
      <c r="AE114" s="110">
        <v>4281.8529433116291</v>
      </c>
      <c r="AF114" s="110">
        <v>3927.4994534911898</v>
      </c>
      <c r="AG114" s="110">
        <v>3879.1757176152996</v>
      </c>
      <c r="AH114" s="110">
        <v>3924.090593375242</v>
      </c>
      <c r="AI114" s="110">
        <v>3830.097129988113</v>
      </c>
      <c r="AJ114" s="110">
        <v>3793.4221933315971</v>
      </c>
      <c r="AK114" s="110">
        <v>3930.1475765451219</v>
      </c>
      <c r="AL114" s="110">
        <v>3964.069624363367</v>
      </c>
      <c r="AM114" s="110">
        <v>4292.4307673787807</v>
      </c>
      <c r="AN114" s="110">
        <v>4490.2296896314165</v>
      </c>
      <c r="AO114" s="110">
        <v>4528.4059718019407</v>
      </c>
      <c r="AP114" s="110">
        <v>4606.4005410582658</v>
      </c>
      <c r="AQ114" s="110">
        <v>4734.6724583314608</v>
      </c>
      <c r="AR114" s="110">
        <v>4868.3225482311154</v>
      </c>
      <c r="AS114" s="110">
        <v>4909.9600861960162</v>
      </c>
      <c r="AT114" s="110">
        <v>4902.6966144225362</v>
      </c>
      <c r="AU114" s="110">
        <v>4461.286095839675</v>
      </c>
      <c r="AV114" s="110">
        <v>4325.4729108121464</v>
      </c>
      <c r="AW114" s="110">
        <v>4338.6100206555802</v>
      </c>
      <c r="AX114" s="110">
        <v>4280.1469934863853</v>
      </c>
      <c r="AY114" s="110">
        <v>3687.2011195957957</v>
      </c>
    </row>
    <row r="115" spans="1:52" x14ac:dyDescent="0.2">
      <c r="A115" s="113"/>
      <c r="B115" s="130">
        <v>7</v>
      </c>
      <c r="C115" s="110">
        <v>0</v>
      </c>
      <c r="D115" s="110">
        <v>0</v>
      </c>
      <c r="E115" s="110">
        <v>0</v>
      </c>
      <c r="F115" s="110">
        <v>0</v>
      </c>
      <c r="G115" s="110">
        <v>0</v>
      </c>
      <c r="H115" s="110">
        <v>0</v>
      </c>
      <c r="I115" s="110">
        <v>0</v>
      </c>
      <c r="J115" s="110">
        <v>0</v>
      </c>
      <c r="K115" s="110">
        <v>0</v>
      </c>
      <c r="L115" s="110">
        <v>0</v>
      </c>
      <c r="M115" s="110">
        <v>2114.1119907637139</v>
      </c>
      <c r="N115" s="110">
        <v>2901.6950360054516</v>
      </c>
      <c r="O115" s="110">
        <v>4811.6948812009314</v>
      </c>
      <c r="P115" s="110">
        <v>4635.1763001953304</v>
      </c>
      <c r="Q115" s="110">
        <v>4978.4528100190682</v>
      </c>
      <c r="R115" s="110">
        <v>4770.4602959069134</v>
      </c>
      <c r="S115" s="110">
        <v>5087.4361857144513</v>
      </c>
      <c r="T115" s="110">
        <v>4350.2305735930486</v>
      </c>
      <c r="U115" s="110">
        <v>4378.1569199117803</v>
      </c>
      <c r="V115" s="110">
        <v>3714.6273548942254</v>
      </c>
      <c r="W115" s="110">
        <v>3483.8877506079116</v>
      </c>
      <c r="X115" s="110">
        <v>2875.4242691504778</v>
      </c>
      <c r="Y115" s="110">
        <v>4007.4188293482189</v>
      </c>
      <c r="Z115" s="110">
        <v>4897.2130510603711</v>
      </c>
      <c r="AA115" s="110">
        <v>4900.8393092880478</v>
      </c>
      <c r="AB115" s="110">
        <v>4845.4811420850356</v>
      </c>
      <c r="AC115" s="110">
        <v>4844.3987392842009</v>
      </c>
      <c r="AD115" s="110">
        <v>4847.9398460556913</v>
      </c>
      <c r="AE115" s="110">
        <v>4817.757046151959</v>
      </c>
      <c r="AF115" s="110">
        <v>4281.8529433116291</v>
      </c>
      <c r="AG115" s="110">
        <v>3927.4994534911898</v>
      </c>
      <c r="AH115" s="110">
        <v>3879.1757176152996</v>
      </c>
      <c r="AI115" s="110">
        <v>3924.090593375242</v>
      </c>
      <c r="AJ115" s="110">
        <v>3830.097129988113</v>
      </c>
      <c r="AK115" s="110">
        <v>3793.4221933315971</v>
      </c>
      <c r="AL115" s="110">
        <v>3930.1475765451219</v>
      </c>
      <c r="AM115" s="110">
        <v>3779.7997509802622</v>
      </c>
      <c r="AN115" s="110">
        <v>4018.1097522741143</v>
      </c>
      <c r="AO115" s="110">
        <v>4184.7186758206026</v>
      </c>
      <c r="AP115" s="110">
        <v>4513.0517149870875</v>
      </c>
      <c r="AQ115" s="110">
        <v>4309.6351534231471</v>
      </c>
      <c r="AR115" s="110">
        <v>4734.6724583314608</v>
      </c>
      <c r="AS115" s="110">
        <v>4868.3225482311154</v>
      </c>
      <c r="AT115" s="110">
        <v>4909.9600861960162</v>
      </c>
      <c r="AU115" s="110">
        <v>4902.6966144225362</v>
      </c>
      <c r="AV115" s="110">
        <v>4461.286095839675</v>
      </c>
      <c r="AW115" s="110">
        <v>4325.4729108121464</v>
      </c>
      <c r="AX115" s="110">
        <v>4338.6100206555802</v>
      </c>
      <c r="AY115" s="110">
        <v>4280.1469934863853</v>
      </c>
    </row>
    <row r="116" spans="1:52" x14ac:dyDescent="0.2">
      <c r="A116" s="113"/>
      <c r="B116" s="130">
        <v>8</v>
      </c>
      <c r="C116" s="110">
        <v>0</v>
      </c>
      <c r="D116" s="110">
        <v>0</v>
      </c>
      <c r="E116" s="110">
        <v>0</v>
      </c>
      <c r="F116" s="110">
        <v>0</v>
      </c>
      <c r="G116" s="110">
        <v>0</v>
      </c>
      <c r="H116" s="110">
        <v>0</v>
      </c>
      <c r="I116" s="110">
        <v>0</v>
      </c>
      <c r="J116" s="110">
        <v>0</v>
      </c>
      <c r="K116" s="110">
        <v>0</v>
      </c>
      <c r="L116" s="110">
        <v>0</v>
      </c>
      <c r="M116" s="110">
        <v>0</v>
      </c>
      <c r="N116" s="110">
        <v>0</v>
      </c>
      <c r="O116" s="110">
        <v>0</v>
      </c>
      <c r="P116" s="110">
        <v>0</v>
      </c>
      <c r="Q116" s="110">
        <v>541.05553411039455</v>
      </c>
      <c r="R116" s="110">
        <v>0</v>
      </c>
      <c r="S116" s="110">
        <v>562.89747908381196</v>
      </c>
      <c r="T116" s="110">
        <v>0</v>
      </c>
      <c r="U116" s="110">
        <v>196.43173468119039</v>
      </c>
      <c r="V116" s="110">
        <v>0</v>
      </c>
      <c r="W116" s="110">
        <v>0</v>
      </c>
      <c r="X116" s="110">
        <v>0</v>
      </c>
      <c r="Y116" s="110">
        <v>0</v>
      </c>
      <c r="Z116" s="110">
        <v>543.39166413421526</v>
      </c>
      <c r="AA116" s="110">
        <v>1349.6278034557986</v>
      </c>
      <c r="AB116" s="110">
        <v>2462.5244194858401</v>
      </c>
      <c r="AC116" s="110">
        <v>3515.8847954859325</v>
      </c>
      <c r="AD116" s="110">
        <v>4844.3987392842009</v>
      </c>
      <c r="AE116" s="110">
        <v>4847.9398460556913</v>
      </c>
      <c r="AF116" s="110">
        <v>4817.757046151959</v>
      </c>
      <c r="AG116" s="110">
        <v>4281.8529433116291</v>
      </c>
      <c r="AH116" s="110">
        <v>3927.4994534911898</v>
      </c>
      <c r="AI116" s="110">
        <v>3879.1757176152996</v>
      </c>
      <c r="AJ116" s="110">
        <v>3553.4255250068636</v>
      </c>
      <c r="AK116" s="110">
        <v>2040.9018889100407</v>
      </c>
      <c r="AL116" s="110">
        <v>1684.7033161567092</v>
      </c>
      <c r="AM116" s="110">
        <v>0</v>
      </c>
      <c r="AN116" s="110">
        <v>0</v>
      </c>
      <c r="AO116" s="110">
        <v>0</v>
      </c>
      <c r="AP116" s="110">
        <v>0</v>
      </c>
      <c r="AQ116" s="110">
        <v>0</v>
      </c>
      <c r="AR116" s="110">
        <v>652.83631451128167</v>
      </c>
      <c r="AS116" s="110">
        <v>1880.2145826725346</v>
      </c>
      <c r="AT116" s="110">
        <v>4868.3225482311154</v>
      </c>
      <c r="AU116" s="110">
        <v>4909.9600861960162</v>
      </c>
      <c r="AV116" s="110">
        <v>4902.6966144225362</v>
      </c>
      <c r="AW116" s="110">
        <v>4461.286095839675</v>
      </c>
      <c r="AX116" s="110">
        <v>4325.4729108121464</v>
      </c>
      <c r="AY116" s="110">
        <v>4338.6100206555802</v>
      </c>
    </row>
    <row r="117" spans="1:52" x14ac:dyDescent="0.2">
      <c r="A117" s="113"/>
      <c r="B117" s="130">
        <v>9</v>
      </c>
      <c r="C117" s="110">
        <v>0</v>
      </c>
      <c r="D117" s="110">
        <v>0</v>
      </c>
      <c r="E117" s="110">
        <v>0</v>
      </c>
      <c r="F117" s="110">
        <v>0</v>
      </c>
      <c r="G117" s="110">
        <v>0</v>
      </c>
      <c r="H117" s="110">
        <v>0</v>
      </c>
      <c r="I117" s="110">
        <v>0</v>
      </c>
      <c r="J117" s="110">
        <v>0</v>
      </c>
      <c r="K117" s="110">
        <v>0</v>
      </c>
      <c r="L117" s="110">
        <v>0</v>
      </c>
      <c r="M117" s="110">
        <v>0</v>
      </c>
      <c r="N117" s="110">
        <v>0</v>
      </c>
      <c r="O117" s="110">
        <v>0</v>
      </c>
      <c r="P117" s="110">
        <v>0</v>
      </c>
      <c r="Q117" s="110">
        <v>0</v>
      </c>
      <c r="R117" s="110">
        <v>0</v>
      </c>
      <c r="S117" s="110">
        <v>0</v>
      </c>
      <c r="T117" s="110">
        <v>0</v>
      </c>
      <c r="U117" s="110">
        <v>0</v>
      </c>
      <c r="V117" s="110">
        <v>0</v>
      </c>
      <c r="W117" s="110">
        <v>0</v>
      </c>
      <c r="X117" s="110">
        <v>0</v>
      </c>
      <c r="Y117" s="110">
        <v>0</v>
      </c>
      <c r="Z117" s="110">
        <v>0</v>
      </c>
      <c r="AA117" s="110">
        <v>0</v>
      </c>
      <c r="AB117" s="110">
        <v>0</v>
      </c>
      <c r="AC117" s="110">
        <v>0</v>
      </c>
      <c r="AD117" s="110">
        <v>81.264856947186445</v>
      </c>
      <c r="AE117" s="110">
        <v>64.194284354078718</v>
      </c>
      <c r="AF117" s="110">
        <v>1130.3917374401669</v>
      </c>
      <c r="AG117" s="110">
        <v>591.04512693287734</v>
      </c>
      <c r="AH117" s="110">
        <v>796.43200146441495</v>
      </c>
      <c r="AI117" s="110">
        <v>183.09195010928238</v>
      </c>
      <c r="AJ117" s="110">
        <v>0</v>
      </c>
      <c r="AK117" s="110">
        <v>0</v>
      </c>
      <c r="AL117" s="110">
        <v>0</v>
      </c>
      <c r="AM117" s="110">
        <v>0</v>
      </c>
      <c r="AN117" s="110">
        <v>0</v>
      </c>
      <c r="AO117" s="110">
        <v>0</v>
      </c>
      <c r="AP117" s="110">
        <v>0</v>
      </c>
      <c r="AQ117" s="110">
        <v>0</v>
      </c>
      <c r="AR117" s="110">
        <v>0</v>
      </c>
      <c r="AS117" s="110">
        <v>0</v>
      </c>
      <c r="AT117" s="110">
        <v>27.144874424150771</v>
      </c>
      <c r="AU117" s="110">
        <v>817.9621717631494</v>
      </c>
      <c r="AV117" s="110">
        <v>1826.8349409161224</v>
      </c>
      <c r="AW117" s="110">
        <v>2374.2660325477241</v>
      </c>
      <c r="AX117" s="110">
        <v>3232.1329420622369</v>
      </c>
      <c r="AY117" s="110">
        <v>2900.7396468514316</v>
      </c>
    </row>
    <row r="118" spans="1:52" x14ac:dyDescent="0.2">
      <c r="A118" s="113"/>
      <c r="B118" s="133">
        <v>10</v>
      </c>
      <c r="C118" s="110">
        <v>0</v>
      </c>
      <c r="D118" s="110">
        <v>0</v>
      </c>
      <c r="E118" s="110">
        <v>0</v>
      </c>
      <c r="F118" s="110">
        <v>0</v>
      </c>
      <c r="G118" s="110">
        <v>0</v>
      </c>
      <c r="H118" s="110">
        <v>0</v>
      </c>
      <c r="I118" s="110">
        <v>0</v>
      </c>
      <c r="J118" s="110">
        <v>0</v>
      </c>
      <c r="K118" s="110">
        <v>0</v>
      </c>
      <c r="L118" s="110">
        <v>0</v>
      </c>
      <c r="M118" s="110">
        <v>0</v>
      </c>
      <c r="N118" s="110">
        <v>0</v>
      </c>
      <c r="O118" s="110">
        <v>0</v>
      </c>
      <c r="P118" s="110">
        <v>0</v>
      </c>
      <c r="Q118" s="110">
        <v>0</v>
      </c>
      <c r="R118" s="110">
        <v>0</v>
      </c>
      <c r="S118" s="110">
        <v>0</v>
      </c>
      <c r="T118" s="110">
        <v>0</v>
      </c>
      <c r="U118" s="110">
        <v>0</v>
      </c>
      <c r="V118" s="110">
        <v>0</v>
      </c>
      <c r="W118" s="110">
        <v>0</v>
      </c>
      <c r="X118" s="110">
        <v>0</v>
      </c>
      <c r="Y118" s="110">
        <v>0</v>
      </c>
      <c r="Z118" s="110">
        <v>0</v>
      </c>
      <c r="AA118" s="110">
        <v>0</v>
      </c>
      <c r="AB118" s="110">
        <v>0</v>
      </c>
      <c r="AC118" s="110">
        <v>0</v>
      </c>
      <c r="AD118" s="110">
        <v>0</v>
      </c>
      <c r="AE118" s="110">
        <v>0</v>
      </c>
      <c r="AF118" s="110">
        <v>0</v>
      </c>
      <c r="AG118" s="110">
        <v>0</v>
      </c>
      <c r="AH118" s="110">
        <v>0</v>
      </c>
      <c r="AI118" s="110">
        <v>0</v>
      </c>
      <c r="AJ118" s="110">
        <v>0</v>
      </c>
      <c r="AK118" s="110">
        <v>0</v>
      </c>
      <c r="AL118" s="110">
        <v>0</v>
      </c>
      <c r="AM118" s="110">
        <v>0</v>
      </c>
      <c r="AN118" s="110">
        <v>0</v>
      </c>
      <c r="AO118" s="110">
        <v>0</v>
      </c>
      <c r="AP118" s="110">
        <v>0</v>
      </c>
      <c r="AQ118" s="110">
        <v>0</v>
      </c>
      <c r="AR118" s="110">
        <v>0</v>
      </c>
      <c r="AS118" s="110">
        <v>0</v>
      </c>
      <c r="AT118" s="110">
        <v>0</v>
      </c>
      <c r="AU118" s="110">
        <v>0</v>
      </c>
      <c r="AV118" s="110">
        <v>0</v>
      </c>
      <c r="AW118" s="110">
        <v>0</v>
      </c>
      <c r="AX118" s="110">
        <v>0</v>
      </c>
      <c r="AY118" s="110">
        <v>0</v>
      </c>
    </row>
    <row r="119" spans="1:52" x14ac:dyDescent="0.2">
      <c r="A119" s="113"/>
      <c r="B119" s="133">
        <v>11</v>
      </c>
      <c r="C119" s="110">
        <v>0</v>
      </c>
      <c r="D119" s="110">
        <v>0</v>
      </c>
      <c r="E119" s="110">
        <v>0</v>
      </c>
      <c r="F119" s="110">
        <v>0</v>
      </c>
      <c r="G119" s="110">
        <v>0</v>
      </c>
      <c r="H119" s="110">
        <v>0</v>
      </c>
      <c r="I119" s="110">
        <v>0</v>
      </c>
      <c r="J119" s="110">
        <v>0</v>
      </c>
      <c r="K119" s="110">
        <v>0</v>
      </c>
      <c r="L119" s="110">
        <v>0</v>
      </c>
      <c r="M119" s="110">
        <v>0</v>
      </c>
      <c r="N119" s="110">
        <v>0</v>
      </c>
      <c r="O119" s="110">
        <v>0</v>
      </c>
      <c r="P119" s="110">
        <v>0</v>
      </c>
      <c r="Q119" s="110">
        <v>0</v>
      </c>
      <c r="R119" s="110">
        <v>0</v>
      </c>
      <c r="S119" s="110">
        <v>0</v>
      </c>
      <c r="T119" s="110">
        <v>0</v>
      </c>
      <c r="U119" s="110">
        <v>0</v>
      </c>
      <c r="V119" s="110">
        <v>0</v>
      </c>
      <c r="W119" s="110">
        <v>0</v>
      </c>
      <c r="X119" s="110">
        <v>0</v>
      </c>
      <c r="Y119" s="110">
        <v>0</v>
      </c>
      <c r="Z119" s="110">
        <v>0</v>
      </c>
      <c r="AA119" s="110">
        <v>0</v>
      </c>
      <c r="AB119" s="110">
        <v>0</v>
      </c>
      <c r="AC119" s="110">
        <v>0</v>
      </c>
      <c r="AD119" s="110">
        <v>0</v>
      </c>
      <c r="AE119" s="110">
        <v>0</v>
      </c>
      <c r="AF119" s="110">
        <v>0</v>
      </c>
      <c r="AG119" s="110">
        <v>0</v>
      </c>
      <c r="AH119" s="110">
        <v>0</v>
      </c>
      <c r="AI119" s="110">
        <v>0</v>
      </c>
      <c r="AJ119" s="110">
        <v>0</v>
      </c>
      <c r="AK119" s="110">
        <v>0</v>
      </c>
      <c r="AL119" s="110">
        <v>0</v>
      </c>
      <c r="AM119" s="110">
        <v>0</v>
      </c>
      <c r="AN119" s="110">
        <v>0</v>
      </c>
      <c r="AO119" s="110">
        <v>0</v>
      </c>
      <c r="AP119" s="110">
        <v>0</v>
      </c>
      <c r="AQ119" s="110">
        <v>0</v>
      </c>
      <c r="AR119" s="110">
        <v>0</v>
      </c>
      <c r="AS119" s="110">
        <v>0</v>
      </c>
      <c r="AT119" s="110">
        <v>0</v>
      </c>
      <c r="AU119" s="110">
        <v>0</v>
      </c>
      <c r="AV119" s="110">
        <v>0</v>
      </c>
      <c r="AW119" s="110">
        <v>0</v>
      </c>
      <c r="AX119" s="110">
        <v>0</v>
      </c>
      <c r="AY119" s="110">
        <v>0</v>
      </c>
    </row>
    <row r="120" spans="1:52" x14ac:dyDescent="0.2">
      <c r="A120" s="113"/>
      <c r="B120" s="133">
        <v>12</v>
      </c>
      <c r="C120" s="110">
        <v>0</v>
      </c>
      <c r="D120" s="110">
        <v>0</v>
      </c>
      <c r="E120" s="110">
        <v>0</v>
      </c>
      <c r="F120" s="110">
        <v>0</v>
      </c>
      <c r="G120" s="110">
        <v>0</v>
      </c>
      <c r="H120" s="110">
        <v>0</v>
      </c>
      <c r="I120" s="110">
        <v>0</v>
      </c>
      <c r="J120" s="110">
        <v>0</v>
      </c>
      <c r="K120" s="110">
        <v>0</v>
      </c>
      <c r="L120" s="110">
        <v>0</v>
      </c>
      <c r="M120" s="110">
        <v>0</v>
      </c>
      <c r="N120" s="110">
        <v>0</v>
      </c>
      <c r="O120" s="110">
        <v>0</v>
      </c>
      <c r="P120" s="110">
        <v>0</v>
      </c>
      <c r="Q120" s="110">
        <v>0</v>
      </c>
      <c r="R120" s="110">
        <v>0</v>
      </c>
      <c r="S120" s="110">
        <v>0</v>
      </c>
      <c r="T120" s="110">
        <v>0</v>
      </c>
      <c r="U120" s="110">
        <v>0</v>
      </c>
      <c r="V120" s="110">
        <v>0</v>
      </c>
      <c r="W120" s="110">
        <v>0</v>
      </c>
      <c r="X120" s="110">
        <v>0</v>
      </c>
      <c r="Y120" s="110">
        <v>0</v>
      </c>
      <c r="Z120" s="110">
        <v>0</v>
      </c>
      <c r="AA120" s="110">
        <v>0</v>
      </c>
      <c r="AB120" s="110">
        <v>0</v>
      </c>
      <c r="AC120" s="110">
        <v>0</v>
      </c>
      <c r="AD120" s="110">
        <v>0</v>
      </c>
      <c r="AE120" s="110">
        <v>0</v>
      </c>
      <c r="AF120" s="110">
        <v>0</v>
      </c>
      <c r="AG120" s="110">
        <v>0</v>
      </c>
      <c r="AH120" s="110">
        <v>0</v>
      </c>
      <c r="AI120" s="110">
        <v>0</v>
      </c>
      <c r="AJ120" s="110">
        <v>0</v>
      </c>
      <c r="AK120" s="110">
        <v>0</v>
      </c>
      <c r="AL120" s="110">
        <v>0</v>
      </c>
      <c r="AM120" s="110">
        <v>0</v>
      </c>
      <c r="AN120" s="110">
        <v>0</v>
      </c>
      <c r="AO120" s="110">
        <v>0</v>
      </c>
      <c r="AP120" s="110">
        <v>0</v>
      </c>
      <c r="AQ120" s="110">
        <v>0</v>
      </c>
      <c r="AR120" s="110">
        <v>0</v>
      </c>
      <c r="AS120" s="110">
        <v>0</v>
      </c>
      <c r="AT120" s="110">
        <v>0</v>
      </c>
      <c r="AU120" s="110">
        <v>0</v>
      </c>
      <c r="AV120" s="110">
        <v>0</v>
      </c>
      <c r="AW120" s="110">
        <v>0</v>
      </c>
      <c r="AX120" s="110">
        <v>0</v>
      </c>
      <c r="AY120" s="110">
        <v>0</v>
      </c>
    </row>
    <row r="121" spans="1:52" x14ac:dyDescent="0.2">
      <c r="A121" s="131"/>
      <c r="B121" s="135" t="s">
        <v>296</v>
      </c>
      <c r="C121" s="117">
        <v>0</v>
      </c>
      <c r="D121" s="128">
        <v>0</v>
      </c>
      <c r="E121" s="128">
        <v>0</v>
      </c>
      <c r="F121" s="128">
        <v>0</v>
      </c>
      <c r="G121" s="128">
        <v>0</v>
      </c>
      <c r="H121" s="128">
        <v>0</v>
      </c>
      <c r="I121" s="128">
        <v>0</v>
      </c>
      <c r="J121" s="128">
        <v>0</v>
      </c>
      <c r="K121" s="128">
        <v>0</v>
      </c>
      <c r="L121" s="128">
        <v>0</v>
      </c>
      <c r="M121" s="128">
        <v>0</v>
      </c>
      <c r="N121" s="128">
        <v>0</v>
      </c>
      <c r="O121" s="128">
        <v>0</v>
      </c>
      <c r="P121" s="128">
        <v>0</v>
      </c>
      <c r="Q121" s="128">
        <v>0</v>
      </c>
      <c r="R121" s="128">
        <v>0</v>
      </c>
      <c r="S121" s="128">
        <v>0</v>
      </c>
      <c r="T121" s="128">
        <v>0</v>
      </c>
      <c r="U121" s="128">
        <v>0</v>
      </c>
      <c r="V121" s="128">
        <v>0</v>
      </c>
      <c r="W121" s="128">
        <v>0</v>
      </c>
      <c r="X121" s="128">
        <v>0</v>
      </c>
      <c r="Y121" s="128">
        <v>0</v>
      </c>
      <c r="Z121" s="128">
        <v>0</v>
      </c>
      <c r="AA121" s="128">
        <v>0</v>
      </c>
      <c r="AB121" s="128">
        <v>0</v>
      </c>
      <c r="AC121" s="128">
        <v>0</v>
      </c>
      <c r="AD121" s="128">
        <v>0</v>
      </c>
      <c r="AE121" s="128">
        <v>0</v>
      </c>
      <c r="AF121" s="128">
        <v>0</v>
      </c>
      <c r="AG121" s="128">
        <v>0</v>
      </c>
      <c r="AH121" s="128">
        <v>0</v>
      </c>
      <c r="AI121" s="128">
        <v>0</v>
      </c>
      <c r="AJ121" s="128">
        <v>0</v>
      </c>
      <c r="AK121" s="128">
        <v>0</v>
      </c>
      <c r="AL121" s="128">
        <v>0</v>
      </c>
      <c r="AM121" s="128">
        <v>0</v>
      </c>
      <c r="AN121" s="128">
        <v>0</v>
      </c>
      <c r="AO121" s="128">
        <v>0</v>
      </c>
      <c r="AP121" s="128">
        <v>0</v>
      </c>
      <c r="AQ121" s="128">
        <v>0</v>
      </c>
      <c r="AR121" s="128">
        <v>0</v>
      </c>
      <c r="AS121" s="128">
        <v>0</v>
      </c>
      <c r="AT121" s="128">
        <v>0</v>
      </c>
      <c r="AU121" s="128">
        <v>0</v>
      </c>
      <c r="AV121" s="128">
        <v>0</v>
      </c>
      <c r="AW121" s="128">
        <v>0</v>
      </c>
      <c r="AX121" s="128">
        <v>0</v>
      </c>
      <c r="AY121" s="128">
        <v>0</v>
      </c>
      <c r="AZ121" s="111">
        <f>SUM($D121:$AY121)</f>
        <v>0</v>
      </c>
    </row>
    <row r="122" spans="1:52" x14ac:dyDescent="0.2">
      <c r="A122" s="134" t="s">
        <v>123</v>
      </c>
      <c r="B122" s="122">
        <v>1</v>
      </c>
      <c r="C122" s="110">
        <v>17673.259999999998</v>
      </c>
      <c r="D122" s="110">
        <v>5629.1207660849332</v>
      </c>
      <c r="E122" s="110">
        <v>5629.1207660849332</v>
      </c>
      <c r="F122" s="110">
        <v>5629.1207660849332</v>
      </c>
      <c r="G122" s="110">
        <v>5629.1207660849332</v>
      </c>
      <c r="H122" s="110">
        <v>5629.1207660849332</v>
      </c>
      <c r="I122" s="110">
        <v>5629.1207660849332</v>
      </c>
      <c r="J122" s="110">
        <v>5629.1207660849332</v>
      </c>
      <c r="K122" s="110">
        <v>5629.1207660849332</v>
      </c>
      <c r="L122" s="110">
        <v>5629.1207660849332</v>
      </c>
      <c r="M122" s="110">
        <v>5629.1207660849332</v>
      </c>
      <c r="N122" s="110">
        <v>5629.1207660849332</v>
      </c>
      <c r="O122" s="110">
        <v>5629.1207660849332</v>
      </c>
      <c r="P122" s="110">
        <v>5629.1207660849332</v>
      </c>
      <c r="Q122" s="110">
        <v>5629.1207660849332</v>
      </c>
      <c r="R122" s="110">
        <v>5629.1207660849332</v>
      </c>
      <c r="S122" s="110">
        <v>5629.1207660849332</v>
      </c>
      <c r="T122" s="110">
        <v>5629.1207660849332</v>
      </c>
      <c r="U122" s="110">
        <v>5629.1207660849332</v>
      </c>
      <c r="V122" s="110">
        <v>5629.1207660849332</v>
      </c>
      <c r="W122" s="110">
        <v>5629.1207660849332</v>
      </c>
      <c r="X122" s="110">
        <v>5629.1207660849332</v>
      </c>
      <c r="Y122" s="110">
        <v>5629.1207660849332</v>
      </c>
      <c r="Z122" s="110">
        <v>5629.1207660849332</v>
      </c>
      <c r="AA122" s="110">
        <v>5629.1207660849332</v>
      </c>
      <c r="AB122" s="110">
        <v>5629.1207660849332</v>
      </c>
      <c r="AC122" s="110">
        <v>5629.1207660849332</v>
      </c>
      <c r="AD122" s="110">
        <v>5629.1207660849332</v>
      </c>
      <c r="AE122" s="110">
        <v>5629.1207660849332</v>
      </c>
      <c r="AF122" s="110">
        <v>5629.1207660849332</v>
      </c>
      <c r="AG122" s="110">
        <v>5629.1207660849332</v>
      </c>
      <c r="AH122" s="110">
        <v>5629.1207660849332</v>
      </c>
      <c r="AI122" s="110">
        <v>5629.1207660849332</v>
      </c>
      <c r="AJ122" s="110">
        <v>5629.1207660849332</v>
      </c>
      <c r="AK122" s="110">
        <v>5629.1207660849332</v>
      </c>
      <c r="AL122" s="110">
        <v>5629.1207660849332</v>
      </c>
      <c r="AM122" s="110">
        <v>5629.1207660849332</v>
      </c>
      <c r="AN122" s="110">
        <v>5629.1207660849332</v>
      </c>
      <c r="AO122" s="110">
        <v>5629.1207660849332</v>
      </c>
      <c r="AP122" s="110">
        <v>5629.1207660849332</v>
      </c>
      <c r="AQ122" s="110">
        <v>5629.1207660849332</v>
      </c>
      <c r="AR122" s="110">
        <v>5629.1207660849332</v>
      </c>
      <c r="AS122" s="110">
        <v>5629.1207660849332</v>
      </c>
      <c r="AT122" s="110">
        <v>5629.1207660849332</v>
      </c>
      <c r="AU122" s="110">
        <v>5629.1207660849332</v>
      </c>
      <c r="AV122" s="110">
        <v>5629.1207660849332</v>
      </c>
      <c r="AW122" s="110">
        <v>5629.1207660849332</v>
      </c>
      <c r="AX122" s="110">
        <v>5629.1207660849332</v>
      </c>
      <c r="AY122" s="110">
        <v>5629.1207660849332</v>
      </c>
    </row>
    <row r="123" spans="1:52" x14ac:dyDescent="0.2">
      <c r="A123" s="113"/>
      <c r="B123" s="122">
        <v>2</v>
      </c>
      <c r="C123" s="110">
        <v>12140.885602054521</v>
      </c>
      <c r="D123" s="110">
        <v>12140.885602054521</v>
      </c>
      <c r="E123" s="110">
        <v>3047.7625065624793</v>
      </c>
      <c r="F123" s="110">
        <v>3047.7625065624793</v>
      </c>
      <c r="G123" s="110">
        <v>3047.7625065624793</v>
      </c>
      <c r="H123" s="110">
        <v>3047.7625065624793</v>
      </c>
      <c r="I123" s="110">
        <v>3047.7625065624793</v>
      </c>
      <c r="J123" s="110">
        <v>3047.7625065624793</v>
      </c>
      <c r="K123" s="110">
        <v>3047.7625065624793</v>
      </c>
      <c r="L123" s="110">
        <v>3047.7625065624793</v>
      </c>
      <c r="M123" s="110">
        <v>3047.7625065624793</v>
      </c>
      <c r="N123" s="110">
        <v>3047.7625065624793</v>
      </c>
      <c r="O123" s="110">
        <v>3047.7625065624793</v>
      </c>
      <c r="P123" s="110">
        <v>3047.7625065624793</v>
      </c>
      <c r="Q123" s="110">
        <v>3047.7625065624793</v>
      </c>
      <c r="R123" s="110">
        <v>3047.7625065624793</v>
      </c>
      <c r="S123" s="110">
        <v>3047.7625065624793</v>
      </c>
      <c r="T123" s="110">
        <v>3047.7625065624793</v>
      </c>
      <c r="U123" s="110">
        <v>3047.7625065624793</v>
      </c>
      <c r="V123" s="110">
        <v>3047.7625065624793</v>
      </c>
      <c r="W123" s="110">
        <v>3047.7625065624793</v>
      </c>
      <c r="X123" s="110">
        <v>3047.7625065624793</v>
      </c>
      <c r="Y123" s="110">
        <v>3047.7625065624793</v>
      </c>
      <c r="Z123" s="110">
        <v>2935.5054925439217</v>
      </c>
      <c r="AA123" s="110">
        <v>2830.1268051376646</v>
      </c>
      <c r="AB123" s="110">
        <v>2928.0718536072973</v>
      </c>
      <c r="AC123" s="110">
        <v>2723.1020263169885</v>
      </c>
      <c r="AD123" s="110">
        <v>2643.1256624138082</v>
      </c>
      <c r="AE123" s="110">
        <v>2941.2802060766303</v>
      </c>
      <c r="AF123" s="110">
        <v>3015.2533956164416</v>
      </c>
      <c r="AG123" s="110">
        <v>3047.7625065624793</v>
      </c>
      <c r="AH123" s="110">
        <v>3047.7625065624793</v>
      </c>
      <c r="AI123" s="110">
        <v>3047.7625065624793</v>
      </c>
      <c r="AJ123" s="110">
        <v>3047.7625065624793</v>
      </c>
      <c r="AK123" s="110">
        <v>3047.7625065624793</v>
      </c>
      <c r="AL123" s="110">
        <v>3047.7625065624793</v>
      </c>
      <c r="AM123" s="110">
        <v>3047.7625065624793</v>
      </c>
      <c r="AN123" s="110">
        <v>3047.7625065624793</v>
      </c>
      <c r="AO123" s="110">
        <v>3047.7625065624793</v>
      </c>
      <c r="AP123" s="110">
        <v>3047.7625065624793</v>
      </c>
      <c r="AQ123" s="110">
        <v>3047.7625065624793</v>
      </c>
      <c r="AR123" s="110">
        <v>3047.7625065624793</v>
      </c>
      <c r="AS123" s="110">
        <v>2411.4913087721511</v>
      </c>
      <c r="AT123" s="110">
        <v>1302.4109552612886</v>
      </c>
      <c r="AU123" s="110">
        <v>1345.4645091156845</v>
      </c>
      <c r="AV123" s="110">
        <v>1522.6083057064218</v>
      </c>
      <c r="AW123" s="110">
        <v>2400.3096889661706</v>
      </c>
      <c r="AX123" s="110">
        <v>2280.1882182212912</v>
      </c>
      <c r="AY123" s="110">
        <v>2354.1374422218541</v>
      </c>
    </row>
    <row r="124" spans="1:52" x14ac:dyDescent="0.2">
      <c r="A124" s="113"/>
      <c r="B124" s="122">
        <v>3</v>
      </c>
      <c r="C124" s="110">
        <v>8340.3459917510845</v>
      </c>
      <c r="D124" s="110">
        <v>8340.3459917510845</v>
      </c>
      <c r="E124" s="110">
        <v>6573.4130554355388</v>
      </c>
      <c r="F124" s="110">
        <v>1650.1433673927781</v>
      </c>
      <c r="G124" s="110">
        <v>1650.1433673927781</v>
      </c>
      <c r="H124" s="110">
        <v>1650.1433673927781</v>
      </c>
      <c r="I124" s="110">
        <v>1650.1433673927781</v>
      </c>
      <c r="J124" s="110">
        <v>1650.1433673927781</v>
      </c>
      <c r="K124" s="110">
        <v>1650.1433673927781</v>
      </c>
      <c r="L124" s="110">
        <v>1650.1433673927781</v>
      </c>
      <c r="M124" s="110">
        <v>1095.8803932178034</v>
      </c>
      <c r="N124" s="110">
        <v>870.48348442301449</v>
      </c>
      <c r="O124" s="110">
        <v>379.44733059616738</v>
      </c>
      <c r="P124" s="110">
        <v>564.58670312183926</v>
      </c>
      <c r="Q124" s="110">
        <v>1260.8263074081569</v>
      </c>
      <c r="R124" s="110">
        <v>1650.1433673927781</v>
      </c>
      <c r="S124" s="110">
        <v>1650.1433673927781</v>
      </c>
      <c r="T124" s="110">
        <v>1650.1433673927781</v>
      </c>
      <c r="U124" s="110">
        <v>1650.1433673927781</v>
      </c>
      <c r="V124" s="110">
        <v>1650.1433673927781</v>
      </c>
      <c r="W124" s="110">
        <v>1650.1433673927781</v>
      </c>
      <c r="X124" s="110">
        <v>1650.1433673927781</v>
      </c>
      <c r="Y124" s="110">
        <v>660.47516320813941</v>
      </c>
      <c r="Z124" s="110">
        <v>0</v>
      </c>
      <c r="AA124" s="110">
        <v>0</v>
      </c>
      <c r="AB124" s="110">
        <v>0</v>
      </c>
      <c r="AC124" s="110">
        <v>0</v>
      </c>
      <c r="AD124" s="110">
        <v>0</v>
      </c>
      <c r="AE124" s="110">
        <v>0</v>
      </c>
      <c r="AF124" s="110">
        <v>0</v>
      </c>
      <c r="AG124" s="110">
        <v>683.54203077552825</v>
      </c>
      <c r="AH124" s="110">
        <v>1114.8785245203044</v>
      </c>
      <c r="AI124" s="110">
        <v>1198.1288451394084</v>
      </c>
      <c r="AJ124" s="110">
        <v>1368.2101764784593</v>
      </c>
      <c r="AK124" s="110">
        <v>1647.9304015051252</v>
      </c>
      <c r="AL124" s="110">
        <v>1650.1433673927781</v>
      </c>
      <c r="AM124" s="110">
        <v>1650.1433673927781</v>
      </c>
      <c r="AN124" s="110">
        <v>1650.1433673927781</v>
      </c>
      <c r="AO124" s="110">
        <v>1051.7617586637275</v>
      </c>
      <c r="AP124" s="110">
        <v>755.59642890898544</v>
      </c>
      <c r="AQ124" s="110">
        <v>784.24428418177172</v>
      </c>
      <c r="AR124" s="110">
        <v>656.75502961112443</v>
      </c>
      <c r="AS124" s="110">
        <v>0</v>
      </c>
      <c r="AT124" s="110">
        <v>0</v>
      </c>
      <c r="AU124" s="110">
        <v>0</v>
      </c>
      <c r="AV124" s="110">
        <v>0</v>
      </c>
      <c r="AW124" s="110">
        <v>0</v>
      </c>
      <c r="AX124" s="110">
        <v>0</v>
      </c>
      <c r="AY124" s="110">
        <v>0</v>
      </c>
    </row>
    <row r="125" spans="1:52" x14ac:dyDescent="0.2">
      <c r="A125" s="113"/>
      <c r="B125" s="122">
        <v>4</v>
      </c>
      <c r="C125" s="110">
        <v>4845.5084061943853</v>
      </c>
      <c r="D125" s="110">
        <v>5729.5137720716993</v>
      </c>
      <c r="E125" s="110">
        <v>4515.6952322941297</v>
      </c>
      <c r="F125" s="110">
        <v>3559.0286090874861</v>
      </c>
      <c r="G125" s="110">
        <v>893.43350313130975</v>
      </c>
      <c r="H125" s="110">
        <v>482.87565461783691</v>
      </c>
      <c r="I125" s="110">
        <v>579.87580942235434</v>
      </c>
      <c r="J125" s="110">
        <v>529.39439042795925</v>
      </c>
      <c r="K125" s="110">
        <v>690.06234649382372</v>
      </c>
      <c r="L125" s="110">
        <v>767.0524454545432</v>
      </c>
      <c r="M125" s="110">
        <v>0</v>
      </c>
      <c r="N125" s="110">
        <v>0</v>
      </c>
      <c r="O125" s="110">
        <v>0</v>
      </c>
      <c r="P125" s="110">
        <v>0</v>
      </c>
      <c r="Q125" s="110">
        <v>0</v>
      </c>
      <c r="R125" s="110">
        <v>23.646421472816655</v>
      </c>
      <c r="S125" s="110">
        <v>352.23633323107117</v>
      </c>
      <c r="T125" s="110">
        <v>360.14404825563304</v>
      </c>
      <c r="U125" s="110">
        <v>239.42550505251802</v>
      </c>
      <c r="V125" s="110">
        <v>237.0651290524155</v>
      </c>
      <c r="W125" s="110">
        <v>244.78715585314694</v>
      </c>
      <c r="X125" s="110">
        <v>178.96807588238778</v>
      </c>
      <c r="Y125" s="110">
        <v>0</v>
      </c>
      <c r="Z125" s="110">
        <v>0</v>
      </c>
      <c r="AA125" s="110">
        <v>0</v>
      </c>
      <c r="AB125" s="110">
        <v>0</v>
      </c>
      <c r="AC125" s="110">
        <v>0</v>
      </c>
      <c r="AD125" s="110">
        <v>0</v>
      </c>
      <c r="AE125" s="110">
        <v>0</v>
      </c>
      <c r="AF125" s="110">
        <v>0</v>
      </c>
      <c r="AG125" s="110">
        <v>0</v>
      </c>
      <c r="AH125" s="110">
        <v>0</v>
      </c>
      <c r="AI125" s="110">
        <v>0</v>
      </c>
      <c r="AJ125" s="110">
        <v>0</v>
      </c>
      <c r="AK125" s="110">
        <v>0</v>
      </c>
      <c r="AL125" s="110">
        <v>289.23534186581946</v>
      </c>
      <c r="AM125" s="110">
        <v>380.0335597196364</v>
      </c>
      <c r="AN125" s="110">
        <v>364.19423960855318</v>
      </c>
      <c r="AO125" s="110">
        <v>0</v>
      </c>
      <c r="AP125" s="110">
        <v>0</v>
      </c>
      <c r="AQ125" s="110">
        <v>0</v>
      </c>
      <c r="AR125" s="110">
        <v>0</v>
      </c>
      <c r="AS125" s="110">
        <v>0</v>
      </c>
      <c r="AT125" s="110">
        <v>0</v>
      </c>
      <c r="AU125" s="110">
        <v>0</v>
      </c>
      <c r="AV125" s="110">
        <v>0</v>
      </c>
      <c r="AW125" s="110">
        <v>0</v>
      </c>
      <c r="AX125" s="110">
        <v>0</v>
      </c>
      <c r="AY125" s="110">
        <v>0</v>
      </c>
    </row>
    <row r="126" spans="1:52" x14ac:dyDescent="0.2">
      <c r="A126" s="113"/>
      <c r="B126" s="122">
        <v>5</v>
      </c>
      <c r="C126" s="110">
        <v>0</v>
      </c>
      <c r="D126" s="110">
        <v>1498.6877035362781</v>
      </c>
      <c r="E126" s="110">
        <v>2228.5492668705683</v>
      </c>
      <c r="F126" s="110">
        <v>1769.5215028759037</v>
      </c>
      <c r="G126" s="110">
        <v>1610.0251967282607</v>
      </c>
      <c r="H126" s="110">
        <v>0</v>
      </c>
      <c r="I126" s="110">
        <v>0</v>
      </c>
      <c r="J126" s="110">
        <v>0</v>
      </c>
      <c r="K126" s="110">
        <v>0</v>
      </c>
      <c r="L126" s="110">
        <v>0</v>
      </c>
      <c r="M126" s="110">
        <v>0</v>
      </c>
      <c r="N126" s="110">
        <v>0</v>
      </c>
      <c r="O126" s="110">
        <v>0</v>
      </c>
      <c r="P126" s="110">
        <v>0</v>
      </c>
      <c r="Q126" s="110">
        <v>0</v>
      </c>
      <c r="R126" s="110">
        <v>0</v>
      </c>
      <c r="S126" s="110">
        <v>0</v>
      </c>
      <c r="T126" s="110">
        <v>0</v>
      </c>
      <c r="U126" s="110">
        <v>0</v>
      </c>
      <c r="V126" s="110">
        <v>0</v>
      </c>
      <c r="W126" s="110">
        <v>0</v>
      </c>
      <c r="X126" s="110">
        <v>0</v>
      </c>
      <c r="Y126" s="110">
        <v>0</v>
      </c>
      <c r="Z126" s="110">
        <v>0</v>
      </c>
      <c r="AA126" s="110">
        <v>0</v>
      </c>
      <c r="AB126" s="110">
        <v>0</v>
      </c>
      <c r="AC126" s="110">
        <v>0</v>
      </c>
      <c r="AD126" s="110">
        <v>0</v>
      </c>
      <c r="AE126" s="110">
        <v>0</v>
      </c>
      <c r="AF126" s="110">
        <v>0</v>
      </c>
      <c r="AG126" s="110">
        <v>0</v>
      </c>
      <c r="AH126" s="110">
        <v>0</v>
      </c>
      <c r="AI126" s="110">
        <v>0</v>
      </c>
      <c r="AJ126" s="110">
        <v>0</v>
      </c>
      <c r="AK126" s="110">
        <v>0</v>
      </c>
      <c r="AL126" s="110">
        <v>0</v>
      </c>
      <c r="AM126" s="110">
        <v>0</v>
      </c>
      <c r="AN126" s="110">
        <v>0</v>
      </c>
      <c r="AO126" s="110">
        <v>0</v>
      </c>
      <c r="AP126" s="110">
        <v>0</v>
      </c>
      <c r="AQ126" s="110">
        <v>0</v>
      </c>
      <c r="AR126" s="110">
        <v>0</v>
      </c>
      <c r="AS126" s="110">
        <v>0</v>
      </c>
      <c r="AT126" s="110">
        <v>0</v>
      </c>
      <c r="AU126" s="110">
        <v>0</v>
      </c>
      <c r="AV126" s="110">
        <v>0</v>
      </c>
      <c r="AW126" s="110">
        <v>0</v>
      </c>
      <c r="AX126" s="110">
        <v>0</v>
      </c>
      <c r="AY126" s="110">
        <v>0</v>
      </c>
    </row>
    <row r="127" spans="1:52" x14ac:dyDescent="0.2">
      <c r="A127" s="113"/>
      <c r="B127" s="122">
        <v>6</v>
      </c>
      <c r="C127" s="110">
        <v>0</v>
      </c>
      <c r="D127" s="110">
        <v>0</v>
      </c>
      <c r="E127" s="110">
        <v>0</v>
      </c>
      <c r="F127" s="110">
        <v>0</v>
      </c>
      <c r="G127" s="110">
        <v>0</v>
      </c>
      <c r="H127" s="110">
        <v>0</v>
      </c>
      <c r="I127" s="110">
        <v>0</v>
      </c>
      <c r="J127" s="110">
        <v>0</v>
      </c>
      <c r="K127" s="110">
        <v>0</v>
      </c>
      <c r="L127" s="110">
        <v>0</v>
      </c>
      <c r="M127" s="110">
        <v>0</v>
      </c>
      <c r="N127" s="110">
        <v>0</v>
      </c>
      <c r="O127" s="110">
        <v>0</v>
      </c>
      <c r="P127" s="110">
        <v>0</v>
      </c>
      <c r="Q127" s="110">
        <v>0</v>
      </c>
      <c r="R127" s="110">
        <v>0</v>
      </c>
      <c r="S127" s="110">
        <v>0</v>
      </c>
      <c r="T127" s="110">
        <v>0</v>
      </c>
      <c r="U127" s="110">
        <v>0</v>
      </c>
      <c r="V127" s="110">
        <v>0</v>
      </c>
      <c r="W127" s="110">
        <v>0</v>
      </c>
      <c r="X127" s="110">
        <v>0</v>
      </c>
      <c r="Y127" s="110">
        <v>0</v>
      </c>
      <c r="Z127" s="110">
        <v>0</v>
      </c>
      <c r="AA127" s="110">
        <v>0</v>
      </c>
      <c r="AB127" s="110">
        <v>0</v>
      </c>
      <c r="AC127" s="110">
        <v>0</v>
      </c>
      <c r="AD127" s="110">
        <v>0</v>
      </c>
      <c r="AE127" s="110">
        <v>0</v>
      </c>
      <c r="AF127" s="110">
        <v>0</v>
      </c>
      <c r="AG127" s="110">
        <v>0</v>
      </c>
      <c r="AH127" s="110">
        <v>0</v>
      </c>
      <c r="AI127" s="110">
        <v>0</v>
      </c>
      <c r="AJ127" s="110">
        <v>0</v>
      </c>
      <c r="AK127" s="110">
        <v>0</v>
      </c>
      <c r="AL127" s="110">
        <v>0</v>
      </c>
      <c r="AM127" s="110">
        <v>0</v>
      </c>
      <c r="AN127" s="110">
        <v>0</v>
      </c>
      <c r="AO127" s="110">
        <v>0</v>
      </c>
      <c r="AP127" s="110">
        <v>0</v>
      </c>
      <c r="AQ127" s="110">
        <v>0</v>
      </c>
      <c r="AR127" s="110">
        <v>0</v>
      </c>
      <c r="AS127" s="110">
        <v>0</v>
      </c>
      <c r="AT127" s="110">
        <v>0</v>
      </c>
      <c r="AU127" s="110">
        <v>0</v>
      </c>
      <c r="AV127" s="110">
        <v>0</v>
      </c>
      <c r="AW127" s="110">
        <v>0</v>
      </c>
      <c r="AX127" s="110">
        <v>0</v>
      </c>
      <c r="AY127" s="110">
        <v>0</v>
      </c>
    </row>
    <row r="128" spans="1:52" x14ac:dyDescent="0.2">
      <c r="A128" s="113"/>
      <c r="B128" s="122">
        <v>7</v>
      </c>
      <c r="C128" s="110">
        <v>0</v>
      </c>
      <c r="D128" s="110">
        <v>0</v>
      </c>
      <c r="E128" s="110">
        <v>0</v>
      </c>
      <c r="F128" s="110">
        <v>0</v>
      </c>
      <c r="G128" s="110">
        <v>0</v>
      </c>
      <c r="H128" s="110">
        <v>0</v>
      </c>
      <c r="I128" s="110">
        <v>0</v>
      </c>
      <c r="J128" s="110">
        <v>0</v>
      </c>
      <c r="K128" s="110">
        <v>0</v>
      </c>
      <c r="L128" s="110">
        <v>0</v>
      </c>
      <c r="M128" s="110">
        <v>0</v>
      </c>
      <c r="N128" s="110">
        <v>0</v>
      </c>
      <c r="O128" s="110">
        <v>0</v>
      </c>
      <c r="P128" s="110">
        <v>0</v>
      </c>
      <c r="Q128" s="110">
        <v>0</v>
      </c>
      <c r="R128" s="110">
        <v>0</v>
      </c>
      <c r="S128" s="110">
        <v>0</v>
      </c>
      <c r="T128" s="110">
        <v>0</v>
      </c>
      <c r="U128" s="110">
        <v>0</v>
      </c>
      <c r="V128" s="110">
        <v>0</v>
      </c>
      <c r="W128" s="110">
        <v>0</v>
      </c>
      <c r="X128" s="110">
        <v>0</v>
      </c>
      <c r="Y128" s="110">
        <v>0</v>
      </c>
      <c r="Z128" s="110">
        <v>0</v>
      </c>
      <c r="AA128" s="110">
        <v>0</v>
      </c>
      <c r="AB128" s="110">
        <v>0</v>
      </c>
      <c r="AC128" s="110">
        <v>0</v>
      </c>
      <c r="AD128" s="110">
        <v>0</v>
      </c>
      <c r="AE128" s="110">
        <v>0</v>
      </c>
      <c r="AF128" s="110">
        <v>0</v>
      </c>
      <c r="AG128" s="110">
        <v>0</v>
      </c>
      <c r="AH128" s="110">
        <v>0</v>
      </c>
      <c r="AI128" s="110">
        <v>0</v>
      </c>
      <c r="AJ128" s="110">
        <v>0</v>
      </c>
      <c r="AK128" s="110">
        <v>0</v>
      </c>
      <c r="AL128" s="110">
        <v>0</v>
      </c>
      <c r="AM128" s="110">
        <v>0</v>
      </c>
      <c r="AN128" s="110">
        <v>0</v>
      </c>
      <c r="AO128" s="110">
        <v>0</v>
      </c>
      <c r="AP128" s="110">
        <v>0</v>
      </c>
      <c r="AQ128" s="110">
        <v>0</v>
      </c>
      <c r="AR128" s="110">
        <v>0</v>
      </c>
      <c r="AS128" s="110">
        <v>0</v>
      </c>
      <c r="AT128" s="110">
        <v>0</v>
      </c>
      <c r="AU128" s="110">
        <v>0</v>
      </c>
      <c r="AV128" s="110">
        <v>0</v>
      </c>
      <c r="AW128" s="110">
        <v>0</v>
      </c>
      <c r="AX128" s="110">
        <v>0</v>
      </c>
      <c r="AY128" s="110">
        <v>0</v>
      </c>
    </row>
    <row r="129" spans="1:51" x14ac:dyDescent="0.2">
      <c r="A129" s="113"/>
      <c r="B129" s="122">
        <v>8</v>
      </c>
      <c r="C129" s="110">
        <v>0</v>
      </c>
      <c r="D129" s="110">
        <v>0</v>
      </c>
      <c r="E129" s="110">
        <v>0</v>
      </c>
      <c r="F129" s="110">
        <v>0</v>
      </c>
      <c r="G129" s="110">
        <v>0</v>
      </c>
      <c r="H129" s="110">
        <v>0</v>
      </c>
      <c r="I129" s="110">
        <v>0</v>
      </c>
      <c r="J129" s="110">
        <v>0</v>
      </c>
      <c r="K129" s="110">
        <v>0</v>
      </c>
      <c r="L129" s="110">
        <v>0</v>
      </c>
      <c r="M129" s="110">
        <v>0</v>
      </c>
      <c r="N129" s="110">
        <v>0</v>
      </c>
      <c r="O129" s="110">
        <v>0</v>
      </c>
      <c r="P129" s="110">
        <v>0</v>
      </c>
      <c r="Q129" s="110">
        <v>0</v>
      </c>
      <c r="R129" s="110">
        <v>0</v>
      </c>
      <c r="S129" s="110">
        <v>0</v>
      </c>
      <c r="T129" s="110">
        <v>0</v>
      </c>
      <c r="U129" s="110">
        <v>0</v>
      </c>
      <c r="V129" s="110">
        <v>0</v>
      </c>
      <c r="W129" s="110">
        <v>0</v>
      </c>
      <c r="X129" s="110">
        <v>0</v>
      </c>
      <c r="Y129" s="110">
        <v>0</v>
      </c>
      <c r="Z129" s="110">
        <v>0</v>
      </c>
      <c r="AA129" s="110">
        <v>0</v>
      </c>
      <c r="AB129" s="110">
        <v>0</v>
      </c>
      <c r="AC129" s="110">
        <v>0</v>
      </c>
      <c r="AD129" s="110">
        <v>0</v>
      </c>
      <c r="AE129" s="110">
        <v>0</v>
      </c>
      <c r="AF129" s="110">
        <v>0</v>
      </c>
      <c r="AG129" s="110">
        <v>0</v>
      </c>
      <c r="AH129" s="110">
        <v>0</v>
      </c>
      <c r="AI129" s="110">
        <v>0</v>
      </c>
      <c r="AJ129" s="110">
        <v>0</v>
      </c>
      <c r="AK129" s="110">
        <v>0</v>
      </c>
      <c r="AL129" s="110">
        <v>0</v>
      </c>
      <c r="AM129" s="110">
        <v>0</v>
      </c>
      <c r="AN129" s="110">
        <v>0</v>
      </c>
      <c r="AO129" s="110">
        <v>0</v>
      </c>
      <c r="AP129" s="110">
        <v>0</v>
      </c>
      <c r="AQ129" s="110">
        <v>0</v>
      </c>
      <c r="AR129" s="110">
        <v>0</v>
      </c>
      <c r="AS129" s="110">
        <v>0</v>
      </c>
      <c r="AT129" s="110">
        <v>0</v>
      </c>
      <c r="AU129" s="110">
        <v>0</v>
      </c>
      <c r="AV129" s="110">
        <v>0</v>
      </c>
      <c r="AW129" s="110">
        <v>0</v>
      </c>
      <c r="AX129" s="110">
        <v>0</v>
      </c>
      <c r="AY129" s="110">
        <v>0</v>
      </c>
    </row>
    <row r="130" spans="1:51" x14ac:dyDescent="0.2">
      <c r="A130" s="113"/>
      <c r="B130" s="122">
        <v>9</v>
      </c>
      <c r="C130" s="110">
        <v>0</v>
      </c>
      <c r="D130" s="110">
        <v>0</v>
      </c>
      <c r="E130" s="110">
        <v>0</v>
      </c>
      <c r="F130" s="110">
        <v>0</v>
      </c>
      <c r="G130" s="110">
        <v>0</v>
      </c>
      <c r="H130" s="110">
        <v>0</v>
      </c>
      <c r="I130" s="110">
        <v>0</v>
      </c>
      <c r="J130" s="110">
        <v>0</v>
      </c>
      <c r="K130" s="110">
        <v>0</v>
      </c>
      <c r="L130" s="110">
        <v>0</v>
      </c>
      <c r="M130" s="110">
        <v>0</v>
      </c>
      <c r="N130" s="110">
        <v>0</v>
      </c>
      <c r="O130" s="110">
        <v>0</v>
      </c>
      <c r="P130" s="110">
        <v>0</v>
      </c>
      <c r="Q130" s="110">
        <v>0</v>
      </c>
      <c r="R130" s="110">
        <v>0</v>
      </c>
      <c r="S130" s="110">
        <v>0</v>
      </c>
      <c r="T130" s="110">
        <v>0</v>
      </c>
      <c r="U130" s="110">
        <v>0</v>
      </c>
      <c r="V130" s="110">
        <v>0</v>
      </c>
      <c r="W130" s="110">
        <v>0</v>
      </c>
      <c r="X130" s="110">
        <v>0</v>
      </c>
      <c r="Y130" s="110">
        <v>0</v>
      </c>
      <c r="Z130" s="110">
        <v>0</v>
      </c>
      <c r="AA130" s="110">
        <v>0</v>
      </c>
      <c r="AB130" s="110">
        <v>0</v>
      </c>
      <c r="AC130" s="110">
        <v>0</v>
      </c>
      <c r="AD130" s="110">
        <v>0</v>
      </c>
      <c r="AE130" s="110">
        <v>0</v>
      </c>
      <c r="AF130" s="110">
        <v>0</v>
      </c>
      <c r="AG130" s="110">
        <v>0</v>
      </c>
      <c r="AH130" s="110">
        <v>0</v>
      </c>
      <c r="AI130" s="110">
        <v>0</v>
      </c>
      <c r="AJ130" s="110">
        <v>0</v>
      </c>
      <c r="AK130" s="110">
        <v>0</v>
      </c>
      <c r="AL130" s="110">
        <v>0</v>
      </c>
      <c r="AM130" s="110">
        <v>0</v>
      </c>
      <c r="AN130" s="110">
        <v>0</v>
      </c>
      <c r="AO130" s="110">
        <v>0</v>
      </c>
      <c r="AP130" s="110">
        <v>0</v>
      </c>
      <c r="AQ130" s="110">
        <v>0</v>
      </c>
      <c r="AR130" s="110">
        <v>0</v>
      </c>
      <c r="AS130" s="110">
        <v>0</v>
      </c>
      <c r="AT130" s="110">
        <v>0</v>
      </c>
      <c r="AU130" s="110">
        <v>0</v>
      </c>
      <c r="AV130" s="110">
        <v>0</v>
      </c>
      <c r="AW130" s="110">
        <v>0</v>
      </c>
      <c r="AX130" s="110">
        <v>0</v>
      </c>
      <c r="AY130" s="110">
        <v>0</v>
      </c>
    </row>
    <row r="131" spans="1:51" x14ac:dyDescent="0.2">
      <c r="A131" s="113"/>
      <c r="B131" s="122">
        <v>10</v>
      </c>
      <c r="C131" s="110">
        <v>0</v>
      </c>
      <c r="D131" s="110">
        <v>0</v>
      </c>
      <c r="E131" s="110">
        <v>0</v>
      </c>
      <c r="F131" s="110">
        <v>0</v>
      </c>
      <c r="G131" s="110">
        <v>0</v>
      </c>
      <c r="H131" s="110">
        <v>0</v>
      </c>
      <c r="I131" s="110">
        <v>0</v>
      </c>
      <c r="J131" s="110">
        <v>0</v>
      </c>
      <c r="K131" s="110">
        <v>0</v>
      </c>
      <c r="L131" s="110">
        <v>0</v>
      </c>
      <c r="M131" s="110">
        <v>0</v>
      </c>
      <c r="N131" s="110">
        <v>0</v>
      </c>
      <c r="O131" s="110">
        <v>0</v>
      </c>
      <c r="P131" s="110">
        <v>0</v>
      </c>
      <c r="Q131" s="110">
        <v>0</v>
      </c>
      <c r="R131" s="110">
        <v>0</v>
      </c>
      <c r="S131" s="110">
        <v>0</v>
      </c>
      <c r="T131" s="110">
        <v>0</v>
      </c>
      <c r="U131" s="110">
        <v>0</v>
      </c>
      <c r="V131" s="110">
        <v>0</v>
      </c>
      <c r="W131" s="110">
        <v>0</v>
      </c>
      <c r="X131" s="110">
        <v>0</v>
      </c>
      <c r="Y131" s="110">
        <v>0</v>
      </c>
      <c r="Z131" s="110">
        <v>0</v>
      </c>
      <c r="AA131" s="110">
        <v>0</v>
      </c>
      <c r="AB131" s="110">
        <v>0</v>
      </c>
      <c r="AC131" s="110">
        <v>0</v>
      </c>
      <c r="AD131" s="110">
        <v>0</v>
      </c>
      <c r="AE131" s="110">
        <v>0</v>
      </c>
      <c r="AF131" s="110">
        <v>0</v>
      </c>
      <c r="AG131" s="110">
        <v>0</v>
      </c>
      <c r="AH131" s="110">
        <v>0</v>
      </c>
      <c r="AI131" s="110">
        <v>0</v>
      </c>
      <c r="AJ131" s="110">
        <v>0</v>
      </c>
      <c r="AK131" s="110">
        <v>0</v>
      </c>
      <c r="AL131" s="110">
        <v>0</v>
      </c>
      <c r="AM131" s="110">
        <v>0</v>
      </c>
      <c r="AN131" s="110">
        <v>0</v>
      </c>
      <c r="AO131" s="110">
        <v>0</v>
      </c>
      <c r="AP131" s="110">
        <v>0</v>
      </c>
      <c r="AQ131" s="110">
        <v>0</v>
      </c>
      <c r="AR131" s="110">
        <v>0</v>
      </c>
      <c r="AS131" s="110">
        <v>0</v>
      </c>
      <c r="AT131" s="110">
        <v>0</v>
      </c>
      <c r="AU131" s="110">
        <v>0</v>
      </c>
      <c r="AV131" s="110">
        <v>0</v>
      </c>
      <c r="AW131" s="110">
        <v>0</v>
      </c>
      <c r="AX131" s="110">
        <v>0</v>
      </c>
      <c r="AY131" s="110">
        <v>0</v>
      </c>
    </row>
    <row r="132" spans="1:51" x14ac:dyDescent="0.2">
      <c r="A132" s="113"/>
      <c r="B132" s="122">
        <v>11</v>
      </c>
      <c r="C132" s="110">
        <v>0</v>
      </c>
      <c r="D132" s="110">
        <v>0</v>
      </c>
      <c r="E132" s="110">
        <v>0</v>
      </c>
      <c r="F132" s="110">
        <v>0</v>
      </c>
      <c r="G132" s="110">
        <v>0</v>
      </c>
      <c r="H132" s="110">
        <v>0</v>
      </c>
      <c r="I132" s="110">
        <v>0</v>
      </c>
      <c r="J132" s="110">
        <v>0</v>
      </c>
      <c r="K132" s="110">
        <v>0</v>
      </c>
      <c r="L132" s="110">
        <v>0</v>
      </c>
      <c r="M132" s="110">
        <v>0</v>
      </c>
      <c r="N132" s="110">
        <v>0</v>
      </c>
      <c r="O132" s="110">
        <v>0</v>
      </c>
      <c r="P132" s="110">
        <v>0</v>
      </c>
      <c r="Q132" s="110">
        <v>0</v>
      </c>
      <c r="R132" s="110">
        <v>0</v>
      </c>
      <c r="S132" s="110">
        <v>0</v>
      </c>
      <c r="T132" s="110">
        <v>0</v>
      </c>
      <c r="U132" s="110">
        <v>0</v>
      </c>
      <c r="V132" s="110">
        <v>0</v>
      </c>
      <c r="W132" s="110">
        <v>0</v>
      </c>
      <c r="X132" s="110">
        <v>0</v>
      </c>
      <c r="Y132" s="110">
        <v>0</v>
      </c>
      <c r="Z132" s="110">
        <v>0</v>
      </c>
      <c r="AA132" s="110">
        <v>0</v>
      </c>
      <c r="AB132" s="110">
        <v>0</v>
      </c>
      <c r="AC132" s="110">
        <v>0</v>
      </c>
      <c r="AD132" s="110">
        <v>0</v>
      </c>
      <c r="AE132" s="110">
        <v>0</v>
      </c>
      <c r="AF132" s="110">
        <v>0</v>
      </c>
      <c r="AG132" s="110">
        <v>0</v>
      </c>
      <c r="AH132" s="110">
        <v>0</v>
      </c>
      <c r="AI132" s="110">
        <v>0</v>
      </c>
      <c r="AJ132" s="110">
        <v>0</v>
      </c>
      <c r="AK132" s="110">
        <v>0</v>
      </c>
      <c r="AL132" s="110">
        <v>0</v>
      </c>
      <c r="AM132" s="110">
        <v>0</v>
      </c>
      <c r="AN132" s="110">
        <v>0</v>
      </c>
      <c r="AO132" s="110">
        <v>0</v>
      </c>
      <c r="AP132" s="110">
        <v>0</v>
      </c>
      <c r="AQ132" s="110">
        <v>0</v>
      </c>
      <c r="AR132" s="110">
        <v>0</v>
      </c>
      <c r="AS132" s="110">
        <v>0</v>
      </c>
      <c r="AT132" s="110">
        <v>0</v>
      </c>
      <c r="AU132" s="110">
        <v>0</v>
      </c>
      <c r="AV132" s="110">
        <v>0</v>
      </c>
      <c r="AW132" s="110">
        <v>0</v>
      </c>
      <c r="AX132" s="110">
        <v>0</v>
      </c>
      <c r="AY132" s="110">
        <v>0</v>
      </c>
    </row>
    <row r="133" spans="1:51" x14ac:dyDescent="0.2">
      <c r="A133" s="113"/>
      <c r="B133" s="122">
        <v>12</v>
      </c>
      <c r="C133" s="110">
        <v>0</v>
      </c>
      <c r="D133" s="110">
        <v>0</v>
      </c>
      <c r="E133" s="110">
        <v>0</v>
      </c>
      <c r="F133" s="110">
        <v>0</v>
      </c>
      <c r="G133" s="110">
        <v>0</v>
      </c>
      <c r="H133" s="110">
        <v>0</v>
      </c>
      <c r="I133" s="110">
        <v>0</v>
      </c>
      <c r="J133" s="110">
        <v>0</v>
      </c>
      <c r="K133" s="110">
        <v>0</v>
      </c>
      <c r="L133" s="110">
        <v>0</v>
      </c>
      <c r="M133" s="110">
        <v>0</v>
      </c>
      <c r="N133" s="110">
        <v>0</v>
      </c>
      <c r="O133" s="110">
        <v>0</v>
      </c>
      <c r="P133" s="110">
        <v>0</v>
      </c>
      <c r="Q133" s="110">
        <v>0</v>
      </c>
      <c r="R133" s="110">
        <v>0</v>
      </c>
      <c r="S133" s="110">
        <v>0</v>
      </c>
      <c r="T133" s="110">
        <v>0</v>
      </c>
      <c r="U133" s="110">
        <v>0</v>
      </c>
      <c r="V133" s="110">
        <v>0</v>
      </c>
      <c r="W133" s="110">
        <v>0</v>
      </c>
      <c r="X133" s="110">
        <v>0</v>
      </c>
      <c r="Y133" s="110">
        <v>0</v>
      </c>
      <c r="Z133" s="110">
        <v>0</v>
      </c>
      <c r="AA133" s="110">
        <v>0</v>
      </c>
      <c r="AB133" s="110">
        <v>0</v>
      </c>
      <c r="AC133" s="110">
        <v>0</v>
      </c>
      <c r="AD133" s="110">
        <v>0</v>
      </c>
      <c r="AE133" s="110">
        <v>0</v>
      </c>
      <c r="AF133" s="110">
        <v>0</v>
      </c>
      <c r="AG133" s="110">
        <v>0</v>
      </c>
      <c r="AH133" s="110">
        <v>0</v>
      </c>
      <c r="AI133" s="110">
        <v>0</v>
      </c>
      <c r="AJ133" s="110">
        <v>0</v>
      </c>
      <c r="AK133" s="110">
        <v>0</v>
      </c>
      <c r="AL133" s="110">
        <v>0</v>
      </c>
      <c r="AM133" s="110">
        <v>0</v>
      </c>
      <c r="AN133" s="110">
        <v>0</v>
      </c>
      <c r="AO133" s="110">
        <v>0</v>
      </c>
      <c r="AP133" s="110">
        <v>0</v>
      </c>
      <c r="AQ133" s="110">
        <v>0</v>
      </c>
      <c r="AR133" s="110">
        <v>0</v>
      </c>
      <c r="AS133" s="110">
        <v>0</v>
      </c>
      <c r="AT133" s="110">
        <v>0</v>
      </c>
      <c r="AU133" s="110">
        <v>0</v>
      </c>
      <c r="AV133" s="110">
        <v>0</v>
      </c>
      <c r="AW133" s="110">
        <v>0</v>
      </c>
      <c r="AX133" s="110">
        <v>0</v>
      </c>
      <c r="AY133" s="110">
        <v>0</v>
      </c>
    </row>
    <row r="134" spans="1:51" x14ac:dyDescent="0.2">
      <c r="A134" s="113"/>
      <c r="B134" s="123">
        <v>13</v>
      </c>
      <c r="C134" s="110">
        <v>0</v>
      </c>
      <c r="D134" s="110">
        <v>0</v>
      </c>
      <c r="E134" s="110">
        <v>0</v>
      </c>
      <c r="F134" s="110">
        <v>0</v>
      </c>
      <c r="G134" s="110">
        <v>0</v>
      </c>
      <c r="H134" s="110">
        <v>0</v>
      </c>
      <c r="I134" s="110">
        <v>0</v>
      </c>
      <c r="J134" s="110">
        <v>0</v>
      </c>
      <c r="K134" s="110">
        <v>0</v>
      </c>
      <c r="L134" s="110">
        <v>0</v>
      </c>
      <c r="M134" s="110">
        <v>0</v>
      </c>
      <c r="N134" s="110">
        <v>0</v>
      </c>
      <c r="O134" s="110">
        <v>0</v>
      </c>
      <c r="P134" s="110">
        <v>0</v>
      </c>
      <c r="Q134" s="110">
        <v>0</v>
      </c>
      <c r="R134" s="110">
        <v>0</v>
      </c>
      <c r="S134" s="110">
        <v>0</v>
      </c>
      <c r="T134" s="110">
        <v>0</v>
      </c>
      <c r="U134" s="110">
        <v>0</v>
      </c>
      <c r="V134" s="110">
        <v>0</v>
      </c>
      <c r="W134" s="110">
        <v>0</v>
      </c>
      <c r="X134" s="110">
        <v>0</v>
      </c>
      <c r="Y134" s="110">
        <v>0</v>
      </c>
      <c r="Z134" s="110">
        <v>0</v>
      </c>
      <c r="AA134" s="110">
        <v>0</v>
      </c>
      <c r="AB134" s="110">
        <v>0</v>
      </c>
      <c r="AC134" s="110">
        <v>0</v>
      </c>
      <c r="AD134" s="110">
        <v>0</v>
      </c>
      <c r="AE134" s="110">
        <v>0</v>
      </c>
      <c r="AF134" s="110">
        <v>0</v>
      </c>
      <c r="AG134" s="110">
        <v>0</v>
      </c>
      <c r="AH134" s="110">
        <v>0</v>
      </c>
      <c r="AI134" s="110">
        <v>0</v>
      </c>
      <c r="AJ134" s="110">
        <v>0</v>
      </c>
      <c r="AK134" s="110">
        <v>0</v>
      </c>
      <c r="AL134" s="110">
        <v>0</v>
      </c>
      <c r="AM134" s="110">
        <v>0</v>
      </c>
      <c r="AN134" s="110">
        <v>0</v>
      </c>
      <c r="AO134" s="110">
        <v>0</v>
      </c>
      <c r="AP134" s="110">
        <v>0</v>
      </c>
      <c r="AQ134" s="110">
        <v>0</v>
      </c>
      <c r="AR134" s="110">
        <v>0</v>
      </c>
      <c r="AS134" s="110">
        <v>0</v>
      </c>
      <c r="AT134" s="110">
        <v>0</v>
      </c>
      <c r="AU134" s="110">
        <v>0</v>
      </c>
      <c r="AV134" s="110">
        <v>0</v>
      </c>
      <c r="AW134" s="110">
        <v>0</v>
      </c>
      <c r="AX134" s="110">
        <v>0</v>
      </c>
      <c r="AY134" s="110">
        <v>0</v>
      </c>
    </row>
    <row r="135" spans="1:51" x14ac:dyDescent="0.2">
      <c r="A135" s="113"/>
      <c r="B135" s="123">
        <v>14</v>
      </c>
      <c r="C135" s="110">
        <v>0</v>
      </c>
      <c r="D135" s="110">
        <v>0</v>
      </c>
      <c r="E135" s="110">
        <v>0</v>
      </c>
      <c r="F135" s="110">
        <v>0</v>
      </c>
      <c r="G135" s="110">
        <v>0</v>
      </c>
      <c r="H135" s="110">
        <v>0</v>
      </c>
      <c r="I135" s="110">
        <v>0</v>
      </c>
      <c r="J135" s="110">
        <v>0</v>
      </c>
      <c r="K135" s="110">
        <v>0</v>
      </c>
      <c r="L135" s="110">
        <v>0</v>
      </c>
      <c r="M135" s="110">
        <v>0</v>
      </c>
      <c r="N135" s="110">
        <v>0</v>
      </c>
      <c r="O135" s="110">
        <v>0</v>
      </c>
      <c r="P135" s="110">
        <v>0</v>
      </c>
      <c r="Q135" s="110">
        <v>0</v>
      </c>
      <c r="R135" s="110">
        <v>0</v>
      </c>
      <c r="S135" s="110">
        <v>0</v>
      </c>
      <c r="T135" s="110">
        <v>0</v>
      </c>
      <c r="U135" s="110">
        <v>0</v>
      </c>
      <c r="V135" s="110">
        <v>0</v>
      </c>
      <c r="W135" s="110">
        <v>0</v>
      </c>
      <c r="X135" s="110">
        <v>0</v>
      </c>
      <c r="Y135" s="110">
        <v>0</v>
      </c>
      <c r="Z135" s="110">
        <v>0</v>
      </c>
      <c r="AA135" s="110">
        <v>0</v>
      </c>
      <c r="AB135" s="110">
        <v>0</v>
      </c>
      <c r="AC135" s="110">
        <v>0</v>
      </c>
      <c r="AD135" s="110">
        <v>0</v>
      </c>
      <c r="AE135" s="110">
        <v>0</v>
      </c>
      <c r="AF135" s="110">
        <v>0</v>
      </c>
      <c r="AG135" s="110">
        <v>0</v>
      </c>
      <c r="AH135" s="110">
        <v>0</v>
      </c>
      <c r="AI135" s="110">
        <v>0</v>
      </c>
      <c r="AJ135" s="110">
        <v>0</v>
      </c>
      <c r="AK135" s="110">
        <v>0</v>
      </c>
      <c r="AL135" s="110">
        <v>0</v>
      </c>
      <c r="AM135" s="110">
        <v>0</v>
      </c>
      <c r="AN135" s="110">
        <v>0</v>
      </c>
      <c r="AO135" s="110">
        <v>0</v>
      </c>
      <c r="AP135" s="110">
        <v>0</v>
      </c>
      <c r="AQ135" s="110">
        <v>0</v>
      </c>
      <c r="AR135" s="110">
        <v>0</v>
      </c>
      <c r="AS135" s="110">
        <v>0</v>
      </c>
      <c r="AT135" s="110">
        <v>0</v>
      </c>
      <c r="AU135" s="110">
        <v>0</v>
      </c>
      <c r="AV135" s="110">
        <v>0</v>
      </c>
      <c r="AW135" s="110">
        <v>0</v>
      </c>
      <c r="AX135" s="110">
        <v>0</v>
      </c>
      <c r="AY135" s="110">
        <v>0</v>
      </c>
    </row>
    <row r="136" spans="1:51" x14ac:dyDescent="0.2">
      <c r="A136" s="113"/>
      <c r="B136" s="123">
        <v>15</v>
      </c>
      <c r="C136" s="110">
        <v>0</v>
      </c>
      <c r="D136" s="110">
        <v>0</v>
      </c>
      <c r="E136" s="110">
        <v>0</v>
      </c>
      <c r="F136" s="110">
        <v>0</v>
      </c>
      <c r="G136" s="110">
        <v>0</v>
      </c>
      <c r="H136" s="110">
        <v>0</v>
      </c>
      <c r="I136" s="110">
        <v>0</v>
      </c>
      <c r="J136" s="110">
        <v>0</v>
      </c>
      <c r="K136" s="110">
        <v>0</v>
      </c>
      <c r="L136" s="110">
        <v>0</v>
      </c>
      <c r="M136" s="110">
        <v>0</v>
      </c>
      <c r="N136" s="110">
        <v>0</v>
      </c>
      <c r="O136" s="110">
        <v>0</v>
      </c>
      <c r="P136" s="110">
        <v>0</v>
      </c>
      <c r="Q136" s="110">
        <v>0</v>
      </c>
      <c r="R136" s="110">
        <v>0</v>
      </c>
      <c r="S136" s="110">
        <v>0</v>
      </c>
      <c r="T136" s="110">
        <v>0</v>
      </c>
      <c r="U136" s="110">
        <v>0</v>
      </c>
      <c r="V136" s="110">
        <v>0</v>
      </c>
      <c r="W136" s="110">
        <v>0</v>
      </c>
      <c r="X136" s="110">
        <v>0</v>
      </c>
      <c r="Y136" s="110">
        <v>0</v>
      </c>
      <c r="Z136" s="110">
        <v>0</v>
      </c>
      <c r="AA136" s="110">
        <v>0</v>
      </c>
      <c r="AB136" s="110">
        <v>0</v>
      </c>
      <c r="AC136" s="110">
        <v>0</v>
      </c>
      <c r="AD136" s="110">
        <v>0</v>
      </c>
      <c r="AE136" s="110">
        <v>0</v>
      </c>
      <c r="AF136" s="110">
        <v>0</v>
      </c>
      <c r="AG136" s="110">
        <v>0</v>
      </c>
      <c r="AH136" s="110">
        <v>0</v>
      </c>
      <c r="AI136" s="110">
        <v>0</v>
      </c>
      <c r="AJ136" s="110">
        <v>0</v>
      </c>
      <c r="AK136" s="110">
        <v>0</v>
      </c>
      <c r="AL136" s="110">
        <v>0</v>
      </c>
      <c r="AM136" s="110">
        <v>0</v>
      </c>
      <c r="AN136" s="110">
        <v>0</v>
      </c>
      <c r="AO136" s="110">
        <v>0</v>
      </c>
      <c r="AP136" s="110">
        <v>0</v>
      </c>
      <c r="AQ136" s="110">
        <v>0</v>
      </c>
      <c r="AR136" s="110">
        <v>0</v>
      </c>
      <c r="AS136" s="110">
        <v>0</v>
      </c>
      <c r="AT136" s="110">
        <v>0</v>
      </c>
      <c r="AU136" s="110">
        <v>0</v>
      </c>
      <c r="AV136" s="110">
        <v>0</v>
      </c>
      <c r="AW136" s="110">
        <v>0</v>
      </c>
      <c r="AX136" s="110">
        <v>0</v>
      </c>
      <c r="AY136" s="110">
        <v>0</v>
      </c>
    </row>
    <row r="137" spans="1:51" x14ac:dyDescent="0.2">
      <c r="A137" s="113"/>
      <c r="B137" s="123">
        <v>16</v>
      </c>
      <c r="C137" s="110">
        <v>0</v>
      </c>
      <c r="D137" s="110">
        <v>0</v>
      </c>
      <c r="E137" s="110">
        <v>0</v>
      </c>
      <c r="F137" s="110">
        <v>0</v>
      </c>
      <c r="G137" s="110">
        <v>0</v>
      </c>
      <c r="H137" s="110">
        <v>0</v>
      </c>
      <c r="I137" s="110">
        <v>0</v>
      </c>
      <c r="J137" s="110">
        <v>0</v>
      </c>
      <c r="K137" s="110">
        <v>0</v>
      </c>
      <c r="L137" s="110">
        <v>0</v>
      </c>
      <c r="M137" s="110">
        <v>0</v>
      </c>
      <c r="N137" s="110">
        <v>0</v>
      </c>
      <c r="O137" s="110">
        <v>0</v>
      </c>
      <c r="P137" s="110">
        <v>0</v>
      </c>
      <c r="Q137" s="110">
        <v>0</v>
      </c>
      <c r="R137" s="110">
        <v>0</v>
      </c>
      <c r="S137" s="110">
        <v>0</v>
      </c>
      <c r="T137" s="110">
        <v>0</v>
      </c>
      <c r="U137" s="110">
        <v>0</v>
      </c>
      <c r="V137" s="110">
        <v>0</v>
      </c>
      <c r="W137" s="110">
        <v>0</v>
      </c>
      <c r="X137" s="110">
        <v>0</v>
      </c>
      <c r="Y137" s="110">
        <v>0</v>
      </c>
      <c r="Z137" s="110">
        <v>0</v>
      </c>
      <c r="AA137" s="110">
        <v>0</v>
      </c>
      <c r="AB137" s="110">
        <v>0</v>
      </c>
      <c r="AC137" s="110">
        <v>0</v>
      </c>
      <c r="AD137" s="110">
        <v>0</v>
      </c>
      <c r="AE137" s="110">
        <v>0</v>
      </c>
      <c r="AF137" s="110">
        <v>0</v>
      </c>
      <c r="AG137" s="110">
        <v>0</v>
      </c>
      <c r="AH137" s="110">
        <v>0</v>
      </c>
      <c r="AI137" s="110">
        <v>0</v>
      </c>
      <c r="AJ137" s="110">
        <v>0</v>
      </c>
      <c r="AK137" s="110">
        <v>0</v>
      </c>
      <c r="AL137" s="110">
        <v>0</v>
      </c>
      <c r="AM137" s="110">
        <v>0</v>
      </c>
      <c r="AN137" s="110">
        <v>0</v>
      </c>
      <c r="AO137" s="110">
        <v>0</v>
      </c>
      <c r="AP137" s="110">
        <v>0</v>
      </c>
      <c r="AQ137" s="110">
        <v>0</v>
      </c>
      <c r="AR137" s="110">
        <v>0</v>
      </c>
      <c r="AS137" s="110">
        <v>0</v>
      </c>
      <c r="AT137" s="110">
        <v>0</v>
      </c>
      <c r="AU137" s="110">
        <v>0</v>
      </c>
      <c r="AV137" s="110">
        <v>0</v>
      </c>
      <c r="AW137" s="110">
        <v>0</v>
      </c>
      <c r="AX137" s="110">
        <v>0</v>
      </c>
      <c r="AY137" s="110">
        <v>0</v>
      </c>
    </row>
    <row r="138" spans="1:51" x14ac:dyDescent="0.2">
      <c r="A138" s="113"/>
      <c r="B138" s="123">
        <v>17</v>
      </c>
      <c r="C138" s="110">
        <v>0</v>
      </c>
      <c r="D138" s="110">
        <v>0</v>
      </c>
      <c r="E138" s="110">
        <v>0</v>
      </c>
      <c r="F138" s="110">
        <v>0</v>
      </c>
      <c r="G138" s="110">
        <v>0</v>
      </c>
      <c r="H138" s="110">
        <v>0</v>
      </c>
      <c r="I138" s="110">
        <v>0</v>
      </c>
      <c r="J138" s="110">
        <v>0</v>
      </c>
      <c r="K138" s="110">
        <v>0</v>
      </c>
      <c r="L138" s="110">
        <v>0</v>
      </c>
      <c r="M138" s="110">
        <v>0</v>
      </c>
      <c r="N138" s="110">
        <v>0</v>
      </c>
      <c r="O138" s="110">
        <v>0</v>
      </c>
      <c r="P138" s="110">
        <v>0</v>
      </c>
      <c r="Q138" s="110">
        <v>0</v>
      </c>
      <c r="R138" s="110">
        <v>0</v>
      </c>
      <c r="S138" s="110">
        <v>0</v>
      </c>
      <c r="T138" s="110">
        <v>0</v>
      </c>
      <c r="U138" s="110">
        <v>0</v>
      </c>
      <c r="V138" s="110">
        <v>0</v>
      </c>
      <c r="W138" s="110">
        <v>0</v>
      </c>
      <c r="X138" s="110">
        <v>0</v>
      </c>
      <c r="Y138" s="110">
        <v>0</v>
      </c>
      <c r="Z138" s="110">
        <v>0</v>
      </c>
      <c r="AA138" s="110">
        <v>0</v>
      </c>
      <c r="AB138" s="110">
        <v>0</v>
      </c>
      <c r="AC138" s="110">
        <v>0</v>
      </c>
      <c r="AD138" s="110">
        <v>0</v>
      </c>
      <c r="AE138" s="110">
        <v>0</v>
      </c>
      <c r="AF138" s="110">
        <v>0</v>
      </c>
      <c r="AG138" s="110">
        <v>0</v>
      </c>
      <c r="AH138" s="110">
        <v>0</v>
      </c>
      <c r="AI138" s="110">
        <v>0</v>
      </c>
      <c r="AJ138" s="110">
        <v>0</v>
      </c>
      <c r="AK138" s="110">
        <v>0</v>
      </c>
      <c r="AL138" s="110">
        <v>0</v>
      </c>
      <c r="AM138" s="110">
        <v>0</v>
      </c>
      <c r="AN138" s="110">
        <v>0</v>
      </c>
      <c r="AO138" s="110">
        <v>0</v>
      </c>
      <c r="AP138" s="110">
        <v>0</v>
      </c>
      <c r="AQ138" s="110">
        <v>0</v>
      </c>
      <c r="AR138" s="110">
        <v>0</v>
      </c>
      <c r="AS138" s="110">
        <v>0</v>
      </c>
      <c r="AT138" s="110">
        <v>0</v>
      </c>
      <c r="AU138" s="110">
        <v>0</v>
      </c>
      <c r="AV138" s="110">
        <v>0</v>
      </c>
      <c r="AW138" s="110">
        <v>0</v>
      </c>
      <c r="AX138" s="110">
        <v>0</v>
      </c>
      <c r="AY138" s="110">
        <v>0</v>
      </c>
    </row>
    <row r="139" spans="1:51" x14ac:dyDescent="0.2">
      <c r="A139" s="113"/>
      <c r="B139" s="123">
        <v>18</v>
      </c>
      <c r="C139" s="110">
        <v>0</v>
      </c>
      <c r="D139" s="110">
        <v>0</v>
      </c>
      <c r="E139" s="110">
        <v>0</v>
      </c>
      <c r="F139" s="110">
        <v>0</v>
      </c>
      <c r="G139" s="110">
        <v>0</v>
      </c>
      <c r="H139" s="110">
        <v>0</v>
      </c>
      <c r="I139" s="110">
        <v>0</v>
      </c>
      <c r="J139" s="110">
        <v>0</v>
      </c>
      <c r="K139" s="110">
        <v>0</v>
      </c>
      <c r="L139" s="110">
        <v>0</v>
      </c>
      <c r="M139" s="110">
        <v>0</v>
      </c>
      <c r="N139" s="110">
        <v>0</v>
      </c>
      <c r="O139" s="110">
        <v>0</v>
      </c>
      <c r="P139" s="110">
        <v>0</v>
      </c>
      <c r="Q139" s="110">
        <v>0</v>
      </c>
      <c r="R139" s="110">
        <v>0</v>
      </c>
      <c r="S139" s="110">
        <v>0</v>
      </c>
      <c r="T139" s="110">
        <v>0</v>
      </c>
      <c r="U139" s="110">
        <v>0</v>
      </c>
      <c r="V139" s="110">
        <v>0</v>
      </c>
      <c r="W139" s="110">
        <v>0</v>
      </c>
      <c r="X139" s="110">
        <v>0</v>
      </c>
      <c r="Y139" s="110">
        <v>0</v>
      </c>
      <c r="Z139" s="110">
        <v>0</v>
      </c>
      <c r="AA139" s="110">
        <v>0</v>
      </c>
      <c r="AB139" s="110">
        <v>0</v>
      </c>
      <c r="AC139" s="110">
        <v>0</v>
      </c>
      <c r="AD139" s="110">
        <v>0</v>
      </c>
      <c r="AE139" s="110">
        <v>0</v>
      </c>
      <c r="AF139" s="110">
        <v>0</v>
      </c>
      <c r="AG139" s="110">
        <v>0</v>
      </c>
      <c r="AH139" s="110">
        <v>0</v>
      </c>
      <c r="AI139" s="110">
        <v>0</v>
      </c>
      <c r="AJ139" s="110">
        <v>0</v>
      </c>
      <c r="AK139" s="110">
        <v>0</v>
      </c>
      <c r="AL139" s="110">
        <v>0</v>
      </c>
      <c r="AM139" s="110">
        <v>0</v>
      </c>
      <c r="AN139" s="110">
        <v>0</v>
      </c>
      <c r="AO139" s="110">
        <v>0</v>
      </c>
      <c r="AP139" s="110">
        <v>0</v>
      </c>
      <c r="AQ139" s="110">
        <v>0</v>
      </c>
      <c r="AR139" s="110">
        <v>0</v>
      </c>
      <c r="AS139" s="110">
        <v>0</v>
      </c>
      <c r="AT139" s="110">
        <v>0</v>
      </c>
      <c r="AU139" s="110">
        <v>0</v>
      </c>
      <c r="AV139" s="110">
        <v>0</v>
      </c>
      <c r="AW139" s="110">
        <v>0</v>
      </c>
      <c r="AX139" s="110">
        <v>0</v>
      </c>
      <c r="AY139" s="110">
        <v>0</v>
      </c>
    </row>
    <row r="140" spans="1:51" x14ac:dyDescent="0.2">
      <c r="A140" s="113"/>
      <c r="B140" s="123">
        <v>19</v>
      </c>
      <c r="C140" s="110">
        <v>0</v>
      </c>
      <c r="D140" s="110">
        <v>0</v>
      </c>
      <c r="E140" s="110">
        <v>0</v>
      </c>
      <c r="F140" s="110">
        <v>0</v>
      </c>
      <c r="G140" s="110">
        <v>0</v>
      </c>
      <c r="H140" s="110">
        <v>0</v>
      </c>
      <c r="I140" s="110">
        <v>0</v>
      </c>
      <c r="J140" s="110">
        <v>0</v>
      </c>
      <c r="K140" s="110">
        <v>0</v>
      </c>
      <c r="L140" s="110">
        <v>0</v>
      </c>
      <c r="M140" s="110">
        <v>0</v>
      </c>
      <c r="N140" s="110">
        <v>0</v>
      </c>
      <c r="O140" s="110">
        <v>0</v>
      </c>
      <c r="P140" s="110">
        <v>0</v>
      </c>
      <c r="Q140" s="110">
        <v>0</v>
      </c>
      <c r="R140" s="110">
        <v>0</v>
      </c>
      <c r="S140" s="110">
        <v>0</v>
      </c>
      <c r="T140" s="110">
        <v>0</v>
      </c>
      <c r="U140" s="110">
        <v>0</v>
      </c>
      <c r="V140" s="110">
        <v>0</v>
      </c>
      <c r="W140" s="110">
        <v>0</v>
      </c>
      <c r="X140" s="110">
        <v>0</v>
      </c>
      <c r="Y140" s="110">
        <v>0</v>
      </c>
      <c r="Z140" s="110">
        <v>0</v>
      </c>
      <c r="AA140" s="110">
        <v>0</v>
      </c>
      <c r="AB140" s="110">
        <v>0</v>
      </c>
      <c r="AC140" s="110">
        <v>0</v>
      </c>
      <c r="AD140" s="110">
        <v>0</v>
      </c>
      <c r="AE140" s="110">
        <v>0</v>
      </c>
      <c r="AF140" s="110">
        <v>0</v>
      </c>
      <c r="AG140" s="110">
        <v>0</v>
      </c>
      <c r="AH140" s="110">
        <v>0</v>
      </c>
      <c r="AI140" s="110">
        <v>0</v>
      </c>
      <c r="AJ140" s="110">
        <v>0</v>
      </c>
      <c r="AK140" s="110">
        <v>0</v>
      </c>
      <c r="AL140" s="110">
        <v>0</v>
      </c>
      <c r="AM140" s="110">
        <v>0</v>
      </c>
      <c r="AN140" s="110">
        <v>0</v>
      </c>
      <c r="AO140" s="110">
        <v>0</v>
      </c>
      <c r="AP140" s="110">
        <v>0</v>
      </c>
      <c r="AQ140" s="110">
        <v>0</v>
      </c>
      <c r="AR140" s="110">
        <v>0</v>
      </c>
      <c r="AS140" s="110">
        <v>0</v>
      </c>
      <c r="AT140" s="110">
        <v>0</v>
      </c>
      <c r="AU140" s="110">
        <v>0</v>
      </c>
      <c r="AV140" s="110">
        <v>0</v>
      </c>
      <c r="AW140" s="110">
        <v>0</v>
      </c>
      <c r="AX140" s="110">
        <v>0</v>
      </c>
      <c r="AY140" s="110">
        <v>0</v>
      </c>
    </row>
    <row r="141" spans="1:51" x14ac:dyDescent="0.2">
      <c r="A141" s="113"/>
      <c r="B141" s="123">
        <v>20</v>
      </c>
      <c r="C141" s="110">
        <v>0</v>
      </c>
      <c r="D141" s="110">
        <v>0</v>
      </c>
      <c r="E141" s="110">
        <v>0</v>
      </c>
      <c r="F141" s="110">
        <v>0</v>
      </c>
      <c r="G141" s="110">
        <v>0</v>
      </c>
      <c r="H141" s="110">
        <v>0</v>
      </c>
      <c r="I141" s="110">
        <v>0</v>
      </c>
      <c r="J141" s="110">
        <v>0</v>
      </c>
      <c r="K141" s="110">
        <v>0</v>
      </c>
      <c r="L141" s="110">
        <v>0</v>
      </c>
      <c r="M141" s="110">
        <v>0</v>
      </c>
      <c r="N141" s="110">
        <v>0</v>
      </c>
      <c r="O141" s="110">
        <v>0</v>
      </c>
      <c r="P141" s="110">
        <v>0</v>
      </c>
      <c r="Q141" s="110">
        <v>0</v>
      </c>
      <c r="R141" s="110">
        <v>0</v>
      </c>
      <c r="S141" s="110">
        <v>0</v>
      </c>
      <c r="T141" s="110">
        <v>0</v>
      </c>
      <c r="U141" s="110">
        <v>0</v>
      </c>
      <c r="V141" s="110">
        <v>0</v>
      </c>
      <c r="W141" s="110">
        <v>0</v>
      </c>
      <c r="X141" s="110">
        <v>0</v>
      </c>
      <c r="Y141" s="110">
        <v>0</v>
      </c>
      <c r="Z141" s="110">
        <v>0</v>
      </c>
      <c r="AA141" s="110">
        <v>0</v>
      </c>
      <c r="AB141" s="110">
        <v>0</v>
      </c>
      <c r="AC141" s="110">
        <v>0</v>
      </c>
      <c r="AD141" s="110">
        <v>0</v>
      </c>
      <c r="AE141" s="110">
        <v>0</v>
      </c>
      <c r="AF141" s="110">
        <v>0</v>
      </c>
      <c r="AG141" s="110">
        <v>0</v>
      </c>
      <c r="AH141" s="110">
        <v>0</v>
      </c>
      <c r="AI141" s="110">
        <v>0</v>
      </c>
      <c r="AJ141" s="110">
        <v>0</v>
      </c>
      <c r="AK141" s="110">
        <v>0</v>
      </c>
      <c r="AL141" s="110">
        <v>0</v>
      </c>
      <c r="AM141" s="110">
        <v>0</v>
      </c>
      <c r="AN141" s="110">
        <v>0</v>
      </c>
      <c r="AO141" s="110">
        <v>0</v>
      </c>
      <c r="AP141" s="110">
        <v>0</v>
      </c>
      <c r="AQ141" s="110">
        <v>0</v>
      </c>
      <c r="AR141" s="110">
        <v>0</v>
      </c>
      <c r="AS141" s="110">
        <v>0</v>
      </c>
      <c r="AT141" s="110">
        <v>0</v>
      </c>
      <c r="AU141" s="110">
        <v>0</v>
      </c>
      <c r="AV141" s="110">
        <v>0</v>
      </c>
      <c r="AW141" s="110">
        <v>0</v>
      </c>
      <c r="AX141" s="110">
        <v>0</v>
      </c>
      <c r="AY141" s="110">
        <v>0</v>
      </c>
    </row>
    <row r="142" spans="1:51" x14ac:dyDescent="0.2">
      <c r="A142" s="113"/>
      <c r="B142" s="123">
        <v>21</v>
      </c>
      <c r="C142" s="110">
        <v>0</v>
      </c>
      <c r="D142" s="110">
        <v>0</v>
      </c>
      <c r="E142" s="110">
        <v>0</v>
      </c>
      <c r="F142" s="110">
        <v>0</v>
      </c>
      <c r="G142" s="110">
        <v>0</v>
      </c>
      <c r="H142" s="110">
        <v>0</v>
      </c>
      <c r="I142" s="110">
        <v>0</v>
      </c>
      <c r="J142" s="110">
        <v>0</v>
      </c>
      <c r="K142" s="110">
        <v>0</v>
      </c>
      <c r="L142" s="110">
        <v>0</v>
      </c>
      <c r="M142" s="110">
        <v>0</v>
      </c>
      <c r="N142" s="110">
        <v>0</v>
      </c>
      <c r="O142" s="110">
        <v>0</v>
      </c>
      <c r="P142" s="110">
        <v>0</v>
      </c>
      <c r="Q142" s="110">
        <v>0</v>
      </c>
      <c r="R142" s="110">
        <v>0</v>
      </c>
      <c r="S142" s="110">
        <v>0</v>
      </c>
      <c r="T142" s="110">
        <v>0</v>
      </c>
      <c r="U142" s="110">
        <v>0</v>
      </c>
      <c r="V142" s="110">
        <v>0</v>
      </c>
      <c r="W142" s="110">
        <v>0</v>
      </c>
      <c r="X142" s="110">
        <v>0</v>
      </c>
      <c r="Y142" s="110">
        <v>0</v>
      </c>
      <c r="Z142" s="110">
        <v>0</v>
      </c>
      <c r="AA142" s="110">
        <v>0</v>
      </c>
      <c r="AB142" s="110">
        <v>0</v>
      </c>
      <c r="AC142" s="110">
        <v>0</v>
      </c>
      <c r="AD142" s="110">
        <v>0</v>
      </c>
      <c r="AE142" s="110">
        <v>0</v>
      </c>
      <c r="AF142" s="110">
        <v>0</v>
      </c>
      <c r="AG142" s="110">
        <v>0</v>
      </c>
      <c r="AH142" s="110">
        <v>0</v>
      </c>
      <c r="AI142" s="110">
        <v>0</v>
      </c>
      <c r="AJ142" s="110">
        <v>0</v>
      </c>
      <c r="AK142" s="110">
        <v>0</v>
      </c>
      <c r="AL142" s="110">
        <v>0</v>
      </c>
      <c r="AM142" s="110">
        <v>0</v>
      </c>
      <c r="AN142" s="110">
        <v>0</v>
      </c>
      <c r="AO142" s="110">
        <v>0</v>
      </c>
      <c r="AP142" s="110">
        <v>0</v>
      </c>
      <c r="AQ142" s="110">
        <v>0</v>
      </c>
      <c r="AR142" s="110">
        <v>0</v>
      </c>
      <c r="AS142" s="110">
        <v>0</v>
      </c>
      <c r="AT142" s="110">
        <v>0</v>
      </c>
      <c r="AU142" s="110">
        <v>0</v>
      </c>
      <c r="AV142" s="110">
        <v>0</v>
      </c>
      <c r="AW142" s="110">
        <v>0</v>
      </c>
      <c r="AX142" s="110">
        <v>0</v>
      </c>
      <c r="AY142" s="110">
        <v>0</v>
      </c>
    </row>
    <row r="143" spans="1:51" x14ac:dyDescent="0.2">
      <c r="A143" s="113"/>
      <c r="B143" s="123">
        <v>22</v>
      </c>
      <c r="C143" s="110">
        <v>0</v>
      </c>
      <c r="D143" s="110">
        <v>0</v>
      </c>
      <c r="E143" s="110">
        <v>0</v>
      </c>
      <c r="F143" s="110">
        <v>0</v>
      </c>
      <c r="G143" s="110">
        <v>0</v>
      </c>
      <c r="H143" s="110">
        <v>0</v>
      </c>
      <c r="I143" s="110">
        <v>0</v>
      </c>
      <c r="J143" s="110">
        <v>0</v>
      </c>
      <c r="K143" s="110">
        <v>0</v>
      </c>
      <c r="L143" s="110">
        <v>0</v>
      </c>
      <c r="M143" s="110">
        <v>0</v>
      </c>
      <c r="N143" s="110">
        <v>0</v>
      </c>
      <c r="O143" s="110">
        <v>0</v>
      </c>
      <c r="P143" s="110">
        <v>0</v>
      </c>
      <c r="Q143" s="110">
        <v>0</v>
      </c>
      <c r="R143" s="110">
        <v>0</v>
      </c>
      <c r="S143" s="110">
        <v>0</v>
      </c>
      <c r="T143" s="110">
        <v>0</v>
      </c>
      <c r="U143" s="110">
        <v>0</v>
      </c>
      <c r="V143" s="110">
        <v>0</v>
      </c>
      <c r="W143" s="110">
        <v>0</v>
      </c>
      <c r="X143" s="110">
        <v>0</v>
      </c>
      <c r="Y143" s="110">
        <v>0</v>
      </c>
      <c r="Z143" s="110">
        <v>0</v>
      </c>
      <c r="AA143" s="110">
        <v>0</v>
      </c>
      <c r="AB143" s="110">
        <v>0</v>
      </c>
      <c r="AC143" s="110">
        <v>0</v>
      </c>
      <c r="AD143" s="110">
        <v>0</v>
      </c>
      <c r="AE143" s="110">
        <v>0</v>
      </c>
      <c r="AF143" s="110">
        <v>0</v>
      </c>
      <c r="AG143" s="110">
        <v>0</v>
      </c>
      <c r="AH143" s="110">
        <v>0</v>
      </c>
      <c r="AI143" s="110">
        <v>0</v>
      </c>
      <c r="AJ143" s="110">
        <v>0</v>
      </c>
      <c r="AK143" s="110">
        <v>0</v>
      </c>
      <c r="AL143" s="110">
        <v>0</v>
      </c>
      <c r="AM143" s="110">
        <v>0</v>
      </c>
      <c r="AN143" s="110">
        <v>0</v>
      </c>
      <c r="AO143" s="110">
        <v>0</v>
      </c>
      <c r="AP143" s="110">
        <v>0</v>
      </c>
      <c r="AQ143" s="110">
        <v>0</v>
      </c>
      <c r="AR143" s="110">
        <v>0</v>
      </c>
      <c r="AS143" s="110">
        <v>0</v>
      </c>
      <c r="AT143" s="110">
        <v>0</v>
      </c>
      <c r="AU143" s="110">
        <v>0</v>
      </c>
      <c r="AV143" s="110">
        <v>0</v>
      </c>
      <c r="AW143" s="110">
        <v>0</v>
      </c>
      <c r="AX143" s="110">
        <v>0</v>
      </c>
      <c r="AY143" s="110">
        <v>0</v>
      </c>
    </row>
    <row r="144" spans="1:51" x14ac:dyDescent="0.2">
      <c r="A144" s="113"/>
      <c r="B144" s="123">
        <v>23</v>
      </c>
      <c r="C144" s="110">
        <v>0</v>
      </c>
      <c r="D144" s="110">
        <v>0</v>
      </c>
      <c r="E144" s="110">
        <v>0</v>
      </c>
      <c r="F144" s="110">
        <v>0</v>
      </c>
      <c r="G144" s="110">
        <v>0</v>
      </c>
      <c r="H144" s="110">
        <v>0</v>
      </c>
      <c r="I144" s="110">
        <v>0</v>
      </c>
      <c r="J144" s="110">
        <v>0</v>
      </c>
      <c r="K144" s="110">
        <v>0</v>
      </c>
      <c r="L144" s="110">
        <v>0</v>
      </c>
      <c r="M144" s="110">
        <v>0</v>
      </c>
      <c r="N144" s="110">
        <v>0</v>
      </c>
      <c r="O144" s="110">
        <v>0</v>
      </c>
      <c r="P144" s="110">
        <v>0</v>
      </c>
      <c r="Q144" s="110">
        <v>0</v>
      </c>
      <c r="R144" s="110">
        <v>0</v>
      </c>
      <c r="S144" s="110">
        <v>0</v>
      </c>
      <c r="T144" s="110">
        <v>0</v>
      </c>
      <c r="U144" s="110">
        <v>0</v>
      </c>
      <c r="V144" s="110">
        <v>0</v>
      </c>
      <c r="W144" s="110">
        <v>0</v>
      </c>
      <c r="X144" s="110">
        <v>0</v>
      </c>
      <c r="Y144" s="110">
        <v>0</v>
      </c>
      <c r="Z144" s="110">
        <v>0</v>
      </c>
      <c r="AA144" s="110">
        <v>0</v>
      </c>
      <c r="AB144" s="110">
        <v>0</v>
      </c>
      <c r="AC144" s="110">
        <v>0</v>
      </c>
      <c r="AD144" s="110">
        <v>0</v>
      </c>
      <c r="AE144" s="110">
        <v>0</v>
      </c>
      <c r="AF144" s="110">
        <v>0</v>
      </c>
      <c r="AG144" s="110">
        <v>0</v>
      </c>
      <c r="AH144" s="110">
        <v>0</v>
      </c>
      <c r="AI144" s="110">
        <v>0</v>
      </c>
      <c r="AJ144" s="110">
        <v>0</v>
      </c>
      <c r="AK144" s="110">
        <v>0</v>
      </c>
      <c r="AL144" s="110">
        <v>0</v>
      </c>
      <c r="AM144" s="110">
        <v>0</v>
      </c>
      <c r="AN144" s="110">
        <v>0</v>
      </c>
      <c r="AO144" s="110">
        <v>0</v>
      </c>
      <c r="AP144" s="110">
        <v>0</v>
      </c>
      <c r="AQ144" s="110">
        <v>0</v>
      </c>
      <c r="AR144" s="110">
        <v>0</v>
      </c>
      <c r="AS144" s="110">
        <v>0</v>
      </c>
      <c r="AT144" s="110">
        <v>0</v>
      </c>
      <c r="AU144" s="110">
        <v>0</v>
      </c>
      <c r="AV144" s="110">
        <v>0</v>
      </c>
      <c r="AW144" s="110">
        <v>0</v>
      </c>
      <c r="AX144" s="110">
        <v>0</v>
      </c>
      <c r="AY144" s="110">
        <v>0</v>
      </c>
    </row>
    <row r="145" spans="1:51" x14ac:dyDescent="0.2">
      <c r="A145" s="113"/>
      <c r="B145" s="123">
        <v>24</v>
      </c>
      <c r="C145" s="110">
        <v>0</v>
      </c>
      <c r="D145" s="110">
        <v>0</v>
      </c>
      <c r="E145" s="110">
        <v>0</v>
      </c>
      <c r="F145" s="110">
        <v>0</v>
      </c>
      <c r="G145" s="110">
        <v>0</v>
      </c>
      <c r="H145" s="110">
        <v>0</v>
      </c>
      <c r="I145" s="110">
        <v>0</v>
      </c>
      <c r="J145" s="110">
        <v>0</v>
      </c>
      <c r="K145" s="110">
        <v>0</v>
      </c>
      <c r="L145" s="110">
        <v>0</v>
      </c>
      <c r="M145" s="110">
        <v>0</v>
      </c>
      <c r="N145" s="110">
        <v>0</v>
      </c>
      <c r="O145" s="110">
        <v>0</v>
      </c>
      <c r="P145" s="110">
        <v>0</v>
      </c>
      <c r="Q145" s="110">
        <v>0</v>
      </c>
      <c r="R145" s="110">
        <v>0</v>
      </c>
      <c r="S145" s="110">
        <v>0</v>
      </c>
      <c r="T145" s="110">
        <v>0</v>
      </c>
      <c r="U145" s="110">
        <v>0</v>
      </c>
      <c r="V145" s="110">
        <v>0</v>
      </c>
      <c r="W145" s="110">
        <v>0</v>
      </c>
      <c r="X145" s="110">
        <v>0</v>
      </c>
      <c r="Y145" s="110">
        <v>0</v>
      </c>
      <c r="Z145" s="110">
        <v>0</v>
      </c>
      <c r="AA145" s="110">
        <v>0</v>
      </c>
      <c r="AB145" s="110">
        <v>0</v>
      </c>
      <c r="AC145" s="110">
        <v>0</v>
      </c>
      <c r="AD145" s="110">
        <v>0</v>
      </c>
      <c r="AE145" s="110">
        <v>0</v>
      </c>
      <c r="AF145" s="110">
        <v>0</v>
      </c>
      <c r="AG145" s="110">
        <v>0</v>
      </c>
      <c r="AH145" s="110">
        <v>0</v>
      </c>
      <c r="AI145" s="110">
        <v>0</v>
      </c>
      <c r="AJ145" s="110">
        <v>0</v>
      </c>
      <c r="AK145" s="110">
        <v>0</v>
      </c>
      <c r="AL145" s="110">
        <v>0</v>
      </c>
      <c r="AM145" s="110">
        <v>0</v>
      </c>
      <c r="AN145" s="110">
        <v>0</v>
      </c>
      <c r="AO145" s="110">
        <v>0</v>
      </c>
      <c r="AP145" s="110">
        <v>0</v>
      </c>
      <c r="AQ145" s="110">
        <v>0</v>
      </c>
      <c r="AR145" s="110">
        <v>0</v>
      </c>
      <c r="AS145" s="110">
        <v>0</v>
      </c>
      <c r="AT145" s="110">
        <v>0</v>
      </c>
      <c r="AU145" s="110">
        <v>0</v>
      </c>
      <c r="AV145" s="110">
        <v>0</v>
      </c>
      <c r="AW145" s="110">
        <v>0</v>
      </c>
      <c r="AX145" s="110">
        <v>0</v>
      </c>
      <c r="AY145" s="110">
        <v>0</v>
      </c>
    </row>
    <row r="146" spans="1:51" x14ac:dyDescent="0.2">
      <c r="A146" s="113"/>
      <c r="B146" s="130">
        <v>25</v>
      </c>
      <c r="C146" s="110">
        <v>0</v>
      </c>
      <c r="D146" s="110">
        <v>0</v>
      </c>
      <c r="E146" s="110">
        <v>0</v>
      </c>
      <c r="F146" s="110">
        <v>0</v>
      </c>
      <c r="G146" s="110">
        <v>0</v>
      </c>
      <c r="H146" s="110">
        <v>0</v>
      </c>
      <c r="I146" s="110">
        <v>0</v>
      </c>
      <c r="J146" s="110">
        <v>0</v>
      </c>
      <c r="K146" s="110">
        <v>0</v>
      </c>
      <c r="L146" s="110">
        <v>0</v>
      </c>
      <c r="M146" s="110">
        <v>0</v>
      </c>
      <c r="N146" s="110">
        <v>0</v>
      </c>
      <c r="O146" s="110">
        <v>0</v>
      </c>
      <c r="P146" s="110">
        <v>0</v>
      </c>
      <c r="Q146" s="110">
        <v>0</v>
      </c>
      <c r="R146" s="110">
        <v>0</v>
      </c>
      <c r="S146" s="110">
        <v>0</v>
      </c>
      <c r="T146" s="110">
        <v>0</v>
      </c>
      <c r="U146" s="110">
        <v>0</v>
      </c>
      <c r="V146" s="110">
        <v>0</v>
      </c>
      <c r="W146" s="110">
        <v>0</v>
      </c>
      <c r="X146" s="110">
        <v>0</v>
      </c>
      <c r="Y146" s="110">
        <v>0</v>
      </c>
      <c r="Z146" s="110">
        <v>0</v>
      </c>
      <c r="AA146" s="110">
        <v>0</v>
      </c>
      <c r="AB146" s="110">
        <v>0</v>
      </c>
      <c r="AC146" s="110">
        <v>0</v>
      </c>
      <c r="AD146" s="110">
        <v>0</v>
      </c>
      <c r="AE146" s="110">
        <v>0</v>
      </c>
      <c r="AF146" s="110">
        <v>0</v>
      </c>
      <c r="AG146" s="110">
        <v>0</v>
      </c>
      <c r="AH146" s="110">
        <v>0</v>
      </c>
      <c r="AI146" s="110">
        <v>0</v>
      </c>
      <c r="AJ146" s="110">
        <v>0</v>
      </c>
      <c r="AK146" s="110">
        <v>0</v>
      </c>
      <c r="AL146" s="110">
        <v>0</v>
      </c>
      <c r="AM146" s="110">
        <v>0</v>
      </c>
      <c r="AN146" s="110">
        <v>0</v>
      </c>
      <c r="AO146" s="110">
        <v>0</v>
      </c>
      <c r="AP146" s="110">
        <v>0</v>
      </c>
      <c r="AQ146" s="110">
        <v>0</v>
      </c>
      <c r="AR146" s="110">
        <v>0</v>
      </c>
      <c r="AS146" s="110">
        <v>0</v>
      </c>
      <c r="AT146" s="110">
        <v>0</v>
      </c>
      <c r="AU146" s="110">
        <v>0</v>
      </c>
      <c r="AV146" s="110">
        <v>0</v>
      </c>
      <c r="AW146" s="110">
        <v>0</v>
      </c>
      <c r="AX146" s="110">
        <v>0</v>
      </c>
      <c r="AY146" s="110">
        <v>0</v>
      </c>
    </row>
    <row r="147" spans="1:51" x14ac:dyDescent="0.2">
      <c r="A147" s="113"/>
      <c r="B147" s="130">
        <v>26</v>
      </c>
      <c r="C147" s="110">
        <v>0</v>
      </c>
      <c r="D147" s="110">
        <v>0</v>
      </c>
      <c r="E147" s="110">
        <v>0</v>
      </c>
      <c r="F147" s="110">
        <v>0</v>
      </c>
      <c r="G147" s="110">
        <v>0</v>
      </c>
      <c r="H147" s="110">
        <v>0</v>
      </c>
      <c r="I147" s="110">
        <v>0</v>
      </c>
      <c r="J147" s="110">
        <v>0</v>
      </c>
      <c r="K147" s="110">
        <v>0</v>
      </c>
      <c r="L147" s="110">
        <v>0</v>
      </c>
      <c r="M147" s="110">
        <v>0</v>
      </c>
      <c r="N147" s="110">
        <v>0</v>
      </c>
      <c r="O147" s="110">
        <v>0</v>
      </c>
      <c r="P147" s="110">
        <v>0</v>
      </c>
      <c r="Q147" s="110">
        <v>0</v>
      </c>
      <c r="R147" s="110">
        <v>0</v>
      </c>
      <c r="S147" s="110">
        <v>0</v>
      </c>
      <c r="T147" s="110">
        <v>0</v>
      </c>
      <c r="U147" s="110">
        <v>0</v>
      </c>
      <c r="V147" s="110">
        <v>0</v>
      </c>
      <c r="W147" s="110">
        <v>0</v>
      </c>
      <c r="X147" s="110">
        <v>0</v>
      </c>
      <c r="Y147" s="110">
        <v>0</v>
      </c>
      <c r="Z147" s="110">
        <v>0</v>
      </c>
      <c r="AA147" s="110">
        <v>0</v>
      </c>
      <c r="AB147" s="110">
        <v>0</v>
      </c>
      <c r="AC147" s="110">
        <v>0</v>
      </c>
      <c r="AD147" s="110">
        <v>0</v>
      </c>
      <c r="AE147" s="110">
        <v>0</v>
      </c>
      <c r="AF147" s="110">
        <v>0</v>
      </c>
      <c r="AG147" s="110">
        <v>0</v>
      </c>
      <c r="AH147" s="110">
        <v>0</v>
      </c>
      <c r="AI147" s="110">
        <v>0</v>
      </c>
      <c r="AJ147" s="110">
        <v>0</v>
      </c>
      <c r="AK147" s="110">
        <v>0</v>
      </c>
      <c r="AL147" s="110">
        <v>0</v>
      </c>
      <c r="AM147" s="110">
        <v>0</v>
      </c>
      <c r="AN147" s="110">
        <v>0</v>
      </c>
      <c r="AO147" s="110">
        <v>0</v>
      </c>
      <c r="AP147" s="110">
        <v>0</v>
      </c>
      <c r="AQ147" s="110">
        <v>0</v>
      </c>
      <c r="AR147" s="110">
        <v>0</v>
      </c>
      <c r="AS147" s="110">
        <v>0</v>
      </c>
      <c r="AT147" s="110">
        <v>0</v>
      </c>
      <c r="AU147" s="110">
        <v>0</v>
      </c>
      <c r="AV147" s="110">
        <v>0</v>
      </c>
      <c r="AW147" s="110">
        <v>0</v>
      </c>
      <c r="AX147" s="110">
        <v>0</v>
      </c>
      <c r="AY147" s="110">
        <v>0</v>
      </c>
    </row>
    <row r="148" spans="1:51" x14ac:dyDescent="0.2">
      <c r="A148" s="113"/>
      <c r="B148" s="130">
        <v>27</v>
      </c>
      <c r="C148" s="110">
        <v>0</v>
      </c>
      <c r="D148" s="110">
        <v>0</v>
      </c>
      <c r="E148" s="110">
        <v>0</v>
      </c>
      <c r="F148" s="110">
        <v>0</v>
      </c>
      <c r="G148" s="110">
        <v>0</v>
      </c>
      <c r="H148" s="110">
        <v>0</v>
      </c>
      <c r="I148" s="110">
        <v>0</v>
      </c>
      <c r="J148" s="110">
        <v>0</v>
      </c>
      <c r="K148" s="110">
        <v>0</v>
      </c>
      <c r="L148" s="110">
        <v>0</v>
      </c>
      <c r="M148" s="110">
        <v>0</v>
      </c>
      <c r="N148" s="110">
        <v>0</v>
      </c>
      <c r="O148" s="110">
        <v>0</v>
      </c>
      <c r="P148" s="110">
        <v>0</v>
      </c>
      <c r="Q148" s="110">
        <v>0</v>
      </c>
      <c r="R148" s="110">
        <v>0</v>
      </c>
      <c r="S148" s="110">
        <v>0</v>
      </c>
      <c r="T148" s="110">
        <v>0</v>
      </c>
      <c r="U148" s="110">
        <v>0</v>
      </c>
      <c r="V148" s="110">
        <v>0</v>
      </c>
      <c r="W148" s="110">
        <v>0</v>
      </c>
      <c r="X148" s="110">
        <v>0</v>
      </c>
      <c r="Y148" s="110">
        <v>0</v>
      </c>
      <c r="Z148" s="110">
        <v>0</v>
      </c>
      <c r="AA148" s="110">
        <v>0</v>
      </c>
      <c r="AB148" s="110">
        <v>0</v>
      </c>
      <c r="AC148" s="110">
        <v>0</v>
      </c>
      <c r="AD148" s="110">
        <v>0</v>
      </c>
      <c r="AE148" s="110">
        <v>0</v>
      </c>
      <c r="AF148" s="110">
        <v>0</v>
      </c>
      <c r="AG148" s="110">
        <v>0</v>
      </c>
      <c r="AH148" s="110">
        <v>0</v>
      </c>
      <c r="AI148" s="110">
        <v>0</v>
      </c>
      <c r="AJ148" s="110">
        <v>0</v>
      </c>
      <c r="AK148" s="110">
        <v>0</v>
      </c>
      <c r="AL148" s="110">
        <v>0</v>
      </c>
      <c r="AM148" s="110">
        <v>0</v>
      </c>
      <c r="AN148" s="110">
        <v>0</v>
      </c>
      <c r="AO148" s="110">
        <v>0</v>
      </c>
      <c r="AP148" s="110">
        <v>0</v>
      </c>
      <c r="AQ148" s="110">
        <v>0</v>
      </c>
      <c r="AR148" s="110">
        <v>0</v>
      </c>
      <c r="AS148" s="110">
        <v>0</v>
      </c>
      <c r="AT148" s="110">
        <v>0</v>
      </c>
      <c r="AU148" s="110">
        <v>0</v>
      </c>
      <c r="AV148" s="110">
        <v>0</v>
      </c>
      <c r="AW148" s="110">
        <v>0</v>
      </c>
      <c r="AX148" s="110">
        <v>0</v>
      </c>
      <c r="AY148" s="110">
        <v>0</v>
      </c>
    </row>
    <row r="149" spans="1:51" x14ac:dyDescent="0.2">
      <c r="A149" s="113"/>
      <c r="B149" s="130">
        <v>28</v>
      </c>
      <c r="C149" s="110">
        <v>0</v>
      </c>
      <c r="D149" s="110">
        <v>0</v>
      </c>
      <c r="E149" s="110">
        <v>0</v>
      </c>
      <c r="F149" s="110">
        <v>0</v>
      </c>
      <c r="G149" s="110">
        <v>0</v>
      </c>
      <c r="H149" s="110">
        <v>0</v>
      </c>
      <c r="I149" s="110">
        <v>0</v>
      </c>
      <c r="J149" s="110">
        <v>0</v>
      </c>
      <c r="K149" s="110">
        <v>0</v>
      </c>
      <c r="L149" s="110">
        <v>0</v>
      </c>
      <c r="M149" s="110">
        <v>0</v>
      </c>
      <c r="N149" s="110">
        <v>0</v>
      </c>
      <c r="O149" s="110">
        <v>0</v>
      </c>
      <c r="P149" s="110">
        <v>0</v>
      </c>
      <c r="Q149" s="110">
        <v>0</v>
      </c>
      <c r="R149" s="110">
        <v>0</v>
      </c>
      <c r="S149" s="110">
        <v>0</v>
      </c>
      <c r="T149" s="110">
        <v>0</v>
      </c>
      <c r="U149" s="110">
        <v>0</v>
      </c>
      <c r="V149" s="110">
        <v>0</v>
      </c>
      <c r="W149" s="110">
        <v>0</v>
      </c>
      <c r="X149" s="110">
        <v>0</v>
      </c>
      <c r="Y149" s="110">
        <v>0</v>
      </c>
      <c r="Z149" s="110">
        <v>0</v>
      </c>
      <c r="AA149" s="110">
        <v>0</v>
      </c>
      <c r="AB149" s="110">
        <v>0</v>
      </c>
      <c r="AC149" s="110">
        <v>0</v>
      </c>
      <c r="AD149" s="110">
        <v>0</v>
      </c>
      <c r="AE149" s="110">
        <v>0</v>
      </c>
      <c r="AF149" s="110">
        <v>0</v>
      </c>
      <c r="AG149" s="110">
        <v>0</v>
      </c>
      <c r="AH149" s="110">
        <v>0</v>
      </c>
      <c r="AI149" s="110">
        <v>0</v>
      </c>
      <c r="AJ149" s="110">
        <v>0</v>
      </c>
      <c r="AK149" s="110">
        <v>0</v>
      </c>
      <c r="AL149" s="110">
        <v>0</v>
      </c>
      <c r="AM149" s="110">
        <v>0</v>
      </c>
      <c r="AN149" s="110">
        <v>0</v>
      </c>
      <c r="AO149" s="110">
        <v>0</v>
      </c>
      <c r="AP149" s="110">
        <v>0</v>
      </c>
      <c r="AQ149" s="110">
        <v>0</v>
      </c>
      <c r="AR149" s="110">
        <v>0</v>
      </c>
      <c r="AS149" s="110">
        <v>0</v>
      </c>
      <c r="AT149" s="110">
        <v>0</v>
      </c>
      <c r="AU149" s="110">
        <v>0</v>
      </c>
      <c r="AV149" s="110">
        <v>0</v>
      </c>
      <c r="AW149" s="110">
        <v>0</v>
      </c>
      <c r="AX149" s="110">
        <v>0</v>
      </c>
      <c r="AY149" s="110">
        <v>0</v>
      </c>
    </row>
    <row r="150" spans="1:51" x14ac:dyDescent="0.2">
      <c r="A150" s="113"/>
      <c r="B150" s="130">
        <v>29</v>
      </c>
      <c r="C150" s="110">
        <v>0</v>
      </c>
      <c r="D150" s="110">
        <v>0</v>
      </c>
      <c r="E150" s="110">
        <v>0</v>
      </c>
      <c r="F150" s="110">
        <v>0</v>
      </c>
      <c r="G150" s="110">
        <v>0</v>
      </c>
      <c r="H150" s="110">
        <v>0</v>
      </c>
      <c r="I150" s="110">
        <v>0</v>
      </c>
      <c r="J150" s="110">
        <v>0</v>
      </c>
      <c r="K150" s="110">
        <v>0</v>
      </c>
      <c r="L150" s="110">
        <v>0</v>
      </c>
      <c r="M150" s="110">
        <v>0</v>
      </c>
      <c r="N150" s="110">
        <v>0</v>
      </c>
      <c r="O150" s="110">
        <v>0</v>
      </c>
      <c r="P150" s="110">
        <v>0</v>
      </c>
      <c r="Q150" s="110">
        <v>0</v>
      </c>
      <c r="R150" s="110">
        <v>0</v>
      </c>
      <c r="S150" s="110">
        <v>0</v>
      </c>
      <c r="T150" s="110">
        <v>0</v>
      </c>
      <c r="U150" s="110">
        <v>0</v>
      </c>
      <c r="V150" s="110">
        <v>0</v>
      </c>
      <c r="W150" s="110">
        <v>0</v>
      </c>
      <c r="X150" s="110">
        <v>0</v>
      </c>
      <c r="Y150" s="110">
        <v>0</v>
      </c>
      <c r="Z150" s="110">
        <v>0</v>
      </c>
      <c r="AA150" s="110">
        <v>0</v>
      </c>
      <c r="AB150" s="110">
        <v>0</v>
      </c>
      <c r="AC150" s="110">
        <v>0</v>
      </c>
      <c r="AD150" s="110">
        <v>0</v>
      </c>
      <c r="AE150" s="110">
        <v>0</v>
      </c>
      <c r="AF150" s="110">
        <v>0</v>
      </c>
      <c r="AG150" s="110">
        <v>0</v>
      </c>
      <c r="AH150" s="110">
        <v>0</v>
      </c>
      <c r="AI150" s="110">
        <v>0</v>
      </c>
      <c r="AJ150" s="110">
        <v>0</v>
      </c>
      <c r="AK150" s="110">
        <v>0</v>
      </c>
      <c r="AL150" s="110">
        <v>0</v>
      </c>
      <c r="AM150" s="110">
        <v>0</v>
      </c>
      <c r="AN150" s="110">
        <v>0</v>
      </c>
      <c r="AO150" s="110">
        <v>0</v>
      </c>
      <c r="AP150" s="110">
        <v>0</v>
      </c>
      <c r="AQ150" s="110">
        <v>0</v>
      </c>
      <c r="AR150" s="110">
        <v>0</v>
      </c>
      <c r="AS150" s="110">
        <v>0</v>
      </c>
      <c r="AT150" s="110">
        <v>0</v>
      </c>
      <c r="AU150" s="110">
        <v>0</v>
      </c>
      <c r="AV150" s="110">
        <v>0</v>
      </c>
      <c r="AW150" s="110">
        <v>0</v>
      </c>
      <c r="AX150" s="110">
        <v>0</v>
      </c>
      <c r="AY150" s="110">
        <v>0</v>
      </c>
    </row>
    <row r="151" spans="1:51" x14ac:dyDescent="0.2">
      <c r="A151" s="113"/>
      <c r="B151" s="130">
        <v>30</v>
      </c>
      <c r="C151" s="110">
        <v>0</v>
      </c>
      <c r="D151" s="110">
        <v>0</v>
      </c>
      <c r="E151" s="110">
        <v>0</v>
      </c>
      <c r="F151" s="110">
        <v>0</v>
      </c>
      <c r="G151" s="110">
        <v>0</v>
      </c>
      <c r="H151" s="110">
        <v>0</v>
      </c>
      <c r="I151" s="110">
        <v>0</v>
      </c>
      <c r="J151" s="110">
        <v>0</v>
      </c>
      <c r="K151" s="110">
        <v>0</v>
      </c>
      <c r="L151" s="110">
        <v>0</v>
      </c>
      <c r="M151" s="110">
        <v>0</v>
      </c>
      <c r="N151" s="110">
        <v>0</v>
      </c>
      <c r="O151" s="110">
        <v>0</v>
      </c>
      <c r="P151" s="110">
        <v>0</v>
      </c>
      <c r="Q151" s="110">
        <v>0</v>
      </c>
      <c r="R151" s="110">
        <v>0</v>
      </c>
      <c r="S151" s="110">
        <v>0</v>
      </c>
      <c r="T151" s="110">
        <v>0</v>
      </c>
      <c r="U151" s="110">
        <v>0</v>
      </c>
      <c r="V151" s="110">
        <v>0</v>
      </c>
      <c r="W151" s="110">
        <v>0</v>
      </c>
      <c r="X151" s="110">
        <v>0</v>
      </c>
      <c r="Y151" s="110">
        <v>0</v>
      </c>
      <c r="Z151" s="110">
        <v>0</v>
      </c>
      <c r="AA151" s="110">
        <v>0</v>
      </c>
      <c r="AB151" s="110">
        <v>0</v>
      </c>
      <c r="AC151" s="110">
        <v>0</v>
      </c>
      <c r="AD151" s="110">
        <v>0</v>
      </c>
      <c r="AE151" s="110">
        <v>0</v>
      </c>
      <c r="AF151" s="110">
        <v>0</v>
      </c>
      <c r="AG151" s="110">
        <v>0</v>
      </c>
      <c r="AH151" s="110">
        <v>0</v>
      </c>
      <c r="AI151" s="110">
        <v>0</v>
      </c>
      <c r="AJ151" s="110">
        <v>0</v>
      </c>
      <c r="AK151" s="110">
        <v>0</v>
      </c>
      <c r="AL151" s="110">
        <v>0</v>
      </c>
      <c r="AM151" s="110">
        <v>0</v>
      </c>
      <c r="AN151" s="110">
        <v>0</v>
      </c>
      <c r="AO151" s="110">
        <v>0</v>
      </c>
      <c r="AP151" s="110">
        <v>0</v>
      </c>
      <c r="AQ151" s="110">
        <v>0</v>
      </c>
      <c r="AR151" s="110">
        <v>0</v>
      </c>
      <c r="AS151" s="110">
        <v>0</v>
      </c>
      <c r="AT151" s="110">
        <v>0</v>
      </c>
      <c r="AU151" s="110">
        <v>0</v>
      </c>
      <c r="AV151" s="110">
        <v>0</v>
      </c>
      <c r="AW151" s="110">
        <v>0</v>
      </c>
      <c r="AX151" s="110">
        <v>0</v>
      </c>
      <c r="AY151" s="110">
        <v>0</v>
      </c>
    </row>
    <row r="152" spans="1:51" x14ac:dyDescent="0.2">
      <c r="A152" s="113"/>
      <c r="B152" s="130">
        <v>31</v>
      </c>
      <c r="C152" s="110">
        <v>0</v>
      </c>
      <c r="D152" s="110">
        <v>0</v>
      </c>
      <c r="E152" s="110">
        <v>0</v>
      </c>
      <c r="F152" s="110">
        <v>0</v>
      </c>
      <c r="G152" s="110">
        <v>0</v>
      </c>
      <c r="H152" s="110">
        <v>0</v>
      </c>
      <c r="I152" s="110">
        <v>0</v>
      </c>
      <c r="J152" s="110">
        <v>0</v>
      </c>
      <c r="K152" s="110">
        <v>0</v>
      </c>
      <c r="L152" s="110">
        <v>0</v>
      </c>
      <c r="M152" s="110">
        <v>0</v>
      </c>
      <c r="N152" s="110">
        <v>0</v>
      </c>
      <c r="O152" s="110">
        <v>0</v>
      </c>
      <c r="P152" s="110">
        <v>0</v>
      </c>
      <c r="Q152" s="110">
        <v>0</v>
      </c>
      <c r="R152" s="110">
        <v>0</v>
      </c>
      <c r="S152" s="110">
        <v>0</v>
      </c>
      <c r="T152" s="110">
        <v>0</v>
      </c>
      <c r="U152" s="110">
        <v>0</v>
      </c>
      <c r="V152" s="110">
        <v>0</v>
      </c>
      <c r="W152" s="110">
        <v>0</v>
      </c>
      <c r="X152" s="110">
        <v>0</v>
      </c>
      <c r="Y152" s="110">
        <v>0</v>
      </c>
      <c r="Z152" s="110">
        <v>0</v>
      </c>
      <c r="AA152" s="110">
        <v>0</v>
      </c>
      <c r="AB152" s="110">
        <v>0</v>
      </c>
      <c r="AC152" s="110">
        <v>0</v>
      </c>
      <c r="AD152" s="110">
        <v>0</v>
      </c>
      <c r="AE152" s="110">
        <v>0</v>
      </c>
      <c r="AF152" s="110">
        <v>0</v>
      </c>
      <c r="AG152" s="110">
        <v>0</v>
      </c>
      <c r="AH152" s="110">
        <v>0</v>
      </c>
      <c r="AI152" s="110">
        <v>0</v>
      </c>
      <c r="AJ152" s="110">
        <v>0</v>
      </c>
      <c r="AK152" s="110">
        <v>0</v>
      </c>
      <c r="AL152" s="110">
        <v>0</v>
      </c>
      <c r="AM152" s="110">
        <v>0</v>
      </c>
      <c r="AN152" s="110">
        <v>0</v>
      </c>
      <c r="AO152" s="110">
        <v>0</v>
      </c>
      <c r="AP152" s="110">
        <v>0</v>
      </c>
      <c r="AQ152" s="110">
        <v>0</v>
      </c>
      <c r="AR152" s="110">
        <v>0</v>
      </c>
      <c r="AS152" s="110">
        <v>0</v>
      </c>
      <c r="AT152" s="110">
        <v>0</v>
      </c>
      <c r="AU152" s="110">
        <v>0</v>
      </c>
      <c r="AV152" s="110">
        <v>0</v>
      </c>
      <c r="AW152" s="110">
        <v>0</v>
      </c>
      <c r="AX152" s="110">
        <v>0</v>
      </c>
      <c r="AY152" s="110">
        <v>0</v>
      </c>
    </row>
    <row r="153" spans="1:51" x14ac:dyDescent="0.2">
      <c r="A153" s="113"/>
      <c r="B153" s="130">
        <v>32</v>
      </c>
      <c r="C153" s="110">
        <v>0</v>
      </c>
      <c r="D153" s="110">
        <v>0</v>
      </c>
      <c r="E153" s="110">
        <v>0</v>
      </c>
      <c r="F153" s="110">
        <v>0</v>
      </c>
      <c r="G153" s="110">
        <v>0</v>
      </c>
      <c r="H153" s="110">
        <v>0</v>
      </c>
      <c r="I153" s="110">
        <v>0</v>
      </c>
      <c r="J153" s="110">
        <v>0</v>
      </c>
      <c r="K153" s="110">
        <v>0</v>
      </c>
      <c r="L153" s="110">
        <v>0</v>
      </c>
      <c r="M153" s="110">
        <v>0</v>
      </c>
      <c r="N153" s="110">
        <v>0</v>
      </c>
      <c r="O153" s="110">
        <v>0</v>
      </c>
      <c r="P153" s="110">
        <v>0</v>
      </c>
      <c r="Q153" s="110">
        <v>0</v>
      </c>
      <c r="R153" s="110">
        <v>0</v>
      </c>
      <c r="S153" s="110">
        <v>0</v>
      </c>
      <c r="T153" s="110">
        <v>0</v>
      </c>
      <c r="U153" s="110">
        <v>0</v>
      </c>
      <c r="V153" s="110">
        <v>0</v>
      </c>
      <c r="W153" s="110">
        <v>0</v>
      </c>
      <c r="X153" s="110">
        <v>0</v>
      </c>
      <c r="Y153" s="110">
        <v>0</v>
      </c>
      <c r="Z153" s="110">
        <v>0</v>
      </c>
      <c r="AA153" s="110">
        <v>0</v>
      </c>
      <c r="AB153" s="110">
        <v>0</v>
      </c>
      <c r="AC153" s="110">
        <v>0</v>
      </c>
      <c r="AD153" s="110">
        <v>0</v>
      </c>
      <c r="AE153" s="110">
        <v>0</v>
      </c>
      <c r="AF153" s="110">
        <v>0</v>
      </c>
      <c r="AG153" s="110">
        <v>0</v>
      </c>
      <c r="AH153" s="110">
        <v>0</v>
      </c>
      <c r="AI153" s="110">
        <v>0</v>
      </c>
      <c r="AJ153" s="110">
        <v>0</v>
      </c>
      <c r="AK153" s="110">
        <v>0</v>
      </c>
      <c r="AL153" s="110">
        <v>0</v>
      </c>
      <c r="AM153" s="110">
        <v>0</v>
      </c>
      <c r="AN153" s="110">
        <v>0</v>
      </c>
      <c r="AO153" s="110">
        <v>0</v>
      </c>
      <c r="AP153" s="110">
        <v>0</v>
      </c>
      <c r="AQ153" s="110">
        <v>0</v>
      </c>
      <c r="AR153" s="110">
        <v>0</v>
      </c>
      <c r="AS153" s="110">
        <v>0</v>
      </c>
      <c r="AT153" s="110">
        <v>0</v>
      </c>
      <c r="AU153" s="110">
        <v>0</v>
      </c>
      <c r="AV153" s="110">
        <v>0</v>
      </c>
      <c r="AW153" s="110">
        <v>0</v>
      </c>
      <c r="AX153" s="110">
        <v>0</v>
      </c>
      <c r="AY153" s="110">
        <v>0</v>
      </c>
    </row>
    <row r="154" spans="1:51" x14ac:dyDescent="0.2">
      <c r="A154" s="113"/>
      <c r="B154" s="130">
        <v>33</v>
      </c>
      <c r="C154" s="110">
        <v>0</v>
      </c>
      <c r="D154" s="110">
        <v>0</v>
      </c>
      <c r="E154" s="110">
        <v>0</v>
      </c>
      <c r="F154" s="110">
        <v>0</v>
      </c>
      <c r="G154" s="110">
        <v>0</v>
      </c>
      <c r="H154" s="110">
        <v>0</v>
      </c>
      <c r="I154" s="110">
        <v>0</v>
      </c>
      <c r="J154" s="110">
        <v>0</v>
      </c>
      <c r="K154" s="110">
        <v>0</v>
      </c>
      <c r="L154" s="110">
        <v>0</v>
      </c>
      <c r="M154" s="110">
        <v>0</v>
      </c>
      <c r="N154" s="110">
        <v>0</v>
      </c>
      <c r="O154" s="110">
        <v>0</v>
      </c>
      <c r="P154" s="110">
        <v>0</v>
      </c>
      <c r="Q154" s="110">
        <v>0</v>
      </c>
      <c r="R154" s="110">
        <v>0</v>
      </c>
      <c r="S154" s="110">
        <v>0</v>
      </c>
      <c r="T154" s="110">
        <v>0</v>
      </c>
      <c r="U154" s="110">
        <v>0</v>
      </c>
      <c r="V154" s="110">
        <v>0</v>
      </c>
      <c r="W154" s="110">
        <v>0</v>
      </c>
      <c r="X154" s="110">
        <v>0</v>
      </c>
      <c r="Y154" s="110">
        <v>0</v>
      </c>
      <c r="Z154" s="110">
        <v>0</v>
      </c>
      <c r="AA154" s="110">
        <v>0</v>
      </c>
      <c r="AB154" s="110">
        <v>0</v>
      </c>
      <c r="AC154" s="110">
        <v>0</v>
      </c>
      <c r="AD154" s="110">
        <v>0</v>
      </c>
      <c r="AE154" s="110">
        <v>0</v>
      </c>
      <c r="AF154" s="110">
        <v>0</v>
      </c>
      <c r="AG154" s="110">
        <v>0</v>
      </c>
      <c r="AH154" s="110">
        <v>0</v>
      </c>
      <c r="AI154" s="110">
        <v>0</v>
      </c>
      <c r="AJ154" s="110">
        <v>0</v>
      </c>
      <c r="AK154" s="110">
        <v>0</v>
      </c>
      <c r="AL154" s="110">
        <v>0</v>
      </c>
      <c r="AM154" s="110">
        <v>0</v>
      </c>
      <c r="AN154" s="110">
        <v>0</v>
      </c>
      <c r="AO154" s="110">
        <v>0</v>
      </c>
      <c r="AP154" s="110">
        <v>0</v>
      </c>
      <c r="AQ154" s="110">
        <v>0</v>
      </c>
      <c r="AR154" s="110">
        <v>0</v>
      </c>
      <c r="AS154" s="110">
        <v>0</v>
      </c>
      <c r="AT154" s="110">
        <v>0</v>
      </c>
      <c r="AU154" s="110">
        <v>0</v>
      </c>
      <c r="AV154" s="110">
        <v>0</v>
      </c>
      <c r="AW154" s="110">
        <v>0</v>
      </c>
      <c r="AX154" s="110">
        <v>0</v>
      </c>
      <c r="AY154" s="110">
        <v>0</v>
      </c>
    </row>
    <row r="155" spans="1:51" x14ac:dyDescent="0.2">
      <c r="A155" s="113"/>
      <c r="B155" s="130">
        <v>34</v>
      </c>
      <c r="C155" s="110">
        <v>0</v>
      </c>
      <c r="D155" s="110">
        <v>0</v>
      </c>
      <c r="E155" s="110">
        <v>0</v>
      </c>
      <c r="F155" s="110">
        <v>0</v>
      </c>
      <c r="G155" s="110">
        <v>0</v>
      </c>
      <c r="H155" s="110">
        <v>0</v>
      </c>
      <c r="I155" s="110">
        <v>0</v>
      </c>
      <c r="J155" s="110">
        <v>0</v>
      </c>
      <c r="K155" s="110">
        <v>0</v>
      </c>
      <c r="L155" s="110">
        <v>0</v>
      </c>
      <c r="M155" s="110">
        <v>0</v>
      </c>
      <c r="N155" s="110">
        <v>0</v>
      </c>
      <c r="O155" s="110">
        <v>0</v>
      </c>
      <c r="P155" s="110">
        <v>0</v>
      </c>
      <c r="Q155" s="110">
        <v>0</v>
      </c>
      <c r="R155" s="110">
        <v>0</v>
      </c>
      <c r="S155" s="110">
        <v>0</v>
      </c>
      <c r="T155" s="110">
        <v>0</v>
      </c>
      <c r="U155" s="110">
        <v>0</v>
      </c>
      <c r="V155" s="110">
        <v>0</v>
      </c>
      <c r="W155" s="110">
        <v>0</v>
      </c>
      <c r="X155" s="110">
        <v>0</v>
      </c>
      <c r="Y155" s="110">
        <v>0</v>
      </c>
      <c r="Z155" s="110">
        <v>0</v>
      </c>
      <c r="AA155" s="110">
        <v>0</v>
      </c>
      <c r="AB155" s="110">
        <v>0</v>
      </c>
      <c r="AC155" s="110">
        <v>0</v>
      </c>
      <c r="AD155" s="110">
        <v>0</v>
      </c>
      <c r="AE155" s="110">
        <v>0</v>
      </c>
      <c r="AF155" s="110">
        <v>0</v>
      </c>
      <c r="AG155" s="110">
        <v>0</v>
      </c>
      <c r="AH155" s="110">
        <v>0</v>
      </c>
      <c r="AI155" s="110">
        <v>0</v>
      </c>
      <c r="AJ155" s="110">
        <v>0</v>
      </c>
      <c r="AK155" s="110">
        <v>0</v>
      </c>
      <c r="AL155" s="110">
        <v>0</v>
      </c>
      <c r="AM155" s="110">
        <v>0</v>
      </c>
      <c r="AN155" s="110">
        <v>0</v>
      </c>
      <c r="AO155" s="110">
        <v>0</v>
      </c>
      <c r="AP155" s="110">
        <v>0</v>
      </c>
      <c r="AQ155" s="110">
        <v>0</v>
      </c>
      <c r="AR155" s="110">
        <v>0</v>
      </c>
      <c r="AS155" s="110">
        <v>0</v>
      </c>
      <c r="AT155" s="110">
        <v>0</v>
      </c>
      <c r="AU155" s="110">
        <v>0</v>
      </c>
      <c r="AV155" s="110">
        <v>0</v>
      </c>
      <c r="AW155" s="110">
        <v>0</v>
      </c>
      <c r="AX155" s="110">
        <v>0</v>
      </c>
      <c r="AY155" s="110">
        <v>0</v>
      </c>
    </row>
    <row r="156" spans="1:51" x14ac:dyDescent="0.2">
      <c r="A156" s="113"/>
      <c r="B156" s="130">
        <v>35</v>
      </c>
      <c r="C156" s="110">
        <v>0</v>
      </c>
      <c r="D156" s="110">
        <v>0</v>
      </c>
      <c r="E156" s="110">
        <v>0</v>
      </c>
      <c r="F156" s="110">
        <v>0</v>
      </c>
      <c r="G156" s="110">
        <v>0</v>
      </c>
      <c r="H156" s="110">
        <v>0</v>
      </c>
      <c r="I156" s="110">
        <v>0</v>
      </c>
      <c r="J156" s="110">
        <v>0</v>
      </c>
      <c r="K156" s="110">
        <v>0</v>
      </c>
      <c r="L156" s="110">
        <v>0</v>
      </c>
      <c r="M156" s="110">
        <v>0</v>
      </c>
      <c r="N156" s="110">
        <v>0</v>
      </c>
      <c r="O156" s="110">
        <v>0</v>
      </c>
      <c r="P156" s="110">
        <v>0</v>
      </c>
      <c r="Q156" s="110">
        <v>0</v>
      </c>
      <c r="R156" s="110">
        <v>0</v>
      </c>
      <c r="S156" s="110">
        <v>0</v>
      </c>
      <c r="T156" s="110">
        <v>0</v>
      </c>
      <c r="U156" s="110">
        <v>0</v>
      </c>
      <c r="V156" s="110">
        <v>0</v>
      </c>
      <c r="W156" s="110">
        <v>0</v>
      </c>
      <c r="X156" s="110">
        <v>0</v>
      </c>
      <c r="Y156" s="110">
        <v>0</v>
      </c>
      <c r="Z156" s="110">
        <v>0</v>
      </c>
      <c r="AA156" s="110">
        <v>0</v>
      </c>
      <c r="AB156" s="110">
        <v>0</v>
      </c>
      <c r="AC156" s="110">
        <v>0</v>
      </c>
      <c r="AD156" s="110">
        <v>0</v>
      </c>
      <c r="AE156" s="110">
        <v>0</v>
      </c>
      <c r="AF156" s="110">
        <v>0</v>
      </c>
      <c r="AG156" s="110">
        <v>0</v>
      </c>
      <c r="AH156" s="110">
        <v>0</v>
      </c>
      <c r="AI156" s="110">
        <v>0</v>
      </c>
      <c r="AJ156" s="110">
        <v>0</v>
      </c>
      <c r="AK156" s="110">
        <v>0</v>
      </c>
      <c r="AL156" s="110">
        <v>0</v>
      </c>
      <c r="AM156" s="110">
        <v>0</v>
      </c>
      <c r="AN156" s="110">
        <v>0</v>
      </c>
      <c r="AO156" s="110">
        <v>0</v>
      </c>
      <c r="AP156" s="110">
        <v>0</v>
      </c>
      <c r="AQ156" s="110">
        <v>0</v>
      </c>
      <c r="AR156" s="110">
        <v>0</v>
      </c>
      <c r="AS156" s="110">
        <v>0</v>
      </c>
      <c r="AT156" s="110">
        <v>0</v>
      </c>
      <c r="AU156" s="110">
        <v>0</v>
      </c>
      <c r="AV156" s="110">
        <v>0</v>
      </c>
      <c r="AW156" s="110">
        <v>0</v>
      </c>
      <c r="AX156" s="110">
        <v>0</v>
      </c>
      <c r="AY156" s="110">
        <v>0</v>
      </c>
    </row>
    <row r="157" spans="1:51" x14ac:dyDescent="0.2">
      <c r="A157" s="113"/>
      <c r="B157" s="130">
        <v>36</v>
      </c>
      <c r="C157" s="110">
        <v>0</v>
      </c>
      <c r="D157" s="110">
        <v>0</v>
      </c>
      <c r="E157" s="110">
        <v>0</v>
      </c>
      <c r="F157" s="110">
        <v>0</v>
      </c>
      <c r="G157" s="110">
        <v>0</v>
      </c>
      <c r="H157" s="110">
        <v>0</v>
      </c>
      <c r="I157" s="110">
        <v>0</v>
      </c>
      <c r="J157" s="110">
        <v>0</v>
      </c>
      <c r="K157" s="110">
        <v>0</v>
      </c>
      <c r="L157" s="110">
        <v>0</v>
      </c>
      <c r="M157" s="110">
        <v>0</v>
      </c>
      <c r="N157" s="110">
        <v>0</v>
      </c>
      <c r="O157" s="110">
        <v>0</v>
      </c>
      <c r="P157" s="110">
        <v>0</v>
      </c>
      <c r="Q157" s="110">
        <v>0</v>
      </c>
      <c r="R157" s="110">
        <v>0</v>
      </c>
      <c r="S157" s="110">
        <v>0</v>
      </c>
      <c r="T157" s="110">
        <v>0</v>
      </c>
      <c r="U157" s="110">
        <v>0</v>
      </c>
      <c r="V157" s="110">
        <v>0</v>
      </c>
      <c r="W157" s="110">
        <v>0</v>
      </c>
      <c r="X157" s="110">
        <v>0</v>
      </c>
      <c r="Y157" s="110">
        <v>0</v>
      </c>
      <c r="Z157" s="110">
        <v>0</v>
      </c>
      <c r="AA157" s="110">
        <v>0</v>
      </c>
      <c r="AB157" s="110">
        <v>0</v>
      </c>
      <c r="AC157" s="110">
        <v>0</v>
      </c>
      <c r="AD157" s="110">
        <v>0</v>
      </c>
      <c r="AE157" s="110">
        <v>0</v>
      </c>
      <c r="AF157" s="110">
        <v>0</v>
      </c>
      <c r="AG157" s="110">
        <v>0</v>
      </c>
      <c r="AH157" s="110">
        <v>0</v>
      </c>
      <c r="AI157" s="110">
        <v>0</v>
      </c>
      <c r="AJ157" s="110">
        <v>0</v>
      </c>
      <c r="AK157" s="110">
        <v>0</v>
      </c>
      <c r="AL157" s="110">
        <v>0</v>
      </c>
      <c r="AM157" s="110">
        <v>0</v>
      </c>
      <c r="AN157" s="110">
        <v>0</v>
      </c>
      <c r="AO157" s="110">
        <v>0</v>
      </c>
      <c r="AP157" s="110">
        <v>0</v>
      </c>
      <c r="AQ157" s="110">
        <v>0</v>
      </c>
      <c r="AR157" s="110">
        <v>0</v>
      </c>
      <c r="AS157" s="110">
        <v>0</v>
      </c>
      <c r="AT157" s="110">
        <v>0</v>
      </c>
      <c r="AU157" s="110">
        <v>0</v>
      </c>
      <c r="AV157" s="110">
        <v>0</v>
      </c>
      <c r="AW157" s="110">
        <v>0</v>
      </c>
      <c r="AX157" s="110">
        <v>0</v>
      </c>
      <c r="AY157" s="110">
        <v>0</v>
      </c>
    </row>
    <row r="158" spans="1:51" x14ac:dyDescent="0.2">
      <c r="A158" s="113"/>
      <c r="B158" s="133">
        <v>37</v>
      </c>
      <c r="C158" s="110">
        <v>0</v>
      </c>
      <c r="D158" s="110">
        <v>0</v>
      </c>
      <c r="E158" s="110">
        <v>0</v>
      </c>
      <c r="F158" s="110">
        <v>0</v>
      </c>
      <c r="G158" s="110">
        <v>0</v>
      </c>
      <c r="H158" s="110">
        <v>0</v>
      </c>
      <c r="I158" s="110">
        <v>0</v>
      </c>
      <c r="J158" s="110">
        <v>0</v>
      </c>
      <c r="K158" s="110">
        <v>0</v>
      </c>
      <c r="L158" s="110">
        <v>0</v>
      </c>
      <c r="M158" s="110">
        <v>0</v>
      </c>
      <c r="N158" s="110">
        <v>0</v>
      </c>
      <c r="O158" s="110">
        <v>0</v>
      </c>
      <c r="P158" s="110">
        <v>0</v>
      </c>
      <c r="Q158" s="110">
        <v>0</v>
      </c>
      <c r="R158" s="110">
        <v>0</v>
      </c>
      <c r="S158" s="110">
        <v>0</v>
      </c>
      <c r="T158" s="110">
        <v>0</v>
      </c>
      <c r="U158" s="110">
        <v>0</v>
      </c>
      <c r="V158" s="110">
        <v>0</v>
      </c>
      <c r="W158" s="110">
        <v>0</v>
      </c>
      <c r="X158" s="110">
        <v>0</v>
      </c>
      <c r="Y158" s="110">
        <v>0</v>
      </c>
      <c r="Z158" s="110">
        <v>0</v>
      </c>
      <c r="AA158" s="110">
        <v>0</v>
      </c>
      <c r="AB158" s="110">
        <v>0</v>
      </c>
      <c r="AC158" s="110">
        <v>0</v>
      </c>
      <c r="AD158" s="110">
        <v>0</v>
      </c>
      <c r="AE158" s="110">
        <v>0</v>
      </c>
      <c r="AF158" s="110">
        <v>0</v>
      </c>
      <c r="AG158" s="110">
        <v>0</v>
      </c>
      <c r="AH158" s="110">
        <v>0</v>
      </c>
      <c r="AI158" s="110">
        <v>0</v>
      </c>
      <c r="AJ158" s="110">
        <v>0</v>
      </c>
      <c r="AK158" s="110">
        <v>0</v>
      </c>
      <c r="AL158" s="110">
        <v>0</v>
      </c>
      <c r="AM158" s="110">
        <v>0</v>
      </c>
      <c r="AN158" s="110">
        <v>0</v>
      </c>
      <c r="AO158" s="110">
        <v>0</v>
      </c>
      <c r="AP158" s="110">
        <v>0</v>
      </c>
      <c r="AQ158" s="110">
        <v>0</v>
      </c>
      <c r="AR158" s="110">
        <v>0</v>
      </c>
      <c r="AS158" s="110">
        <v>0</v>
      </c>
      <c r="AT158" s="110">
        <v>0</v>
      </c>
      <c r="AU158" s="110">
        <v>0</v>
      </c>
      <c r="AV158" s="110">
        <v>0</v>
      </c>
      <c r="AW158" s="110">
        <v>0</v>
      </c>
      <c r="AX158" s="110">
        <v>0</v>
      </c>
      <c r="AY158" s="110">
        <v>0</v>
      </c>
    </row>
    <row r="159" spans="1:51" x14ac:dyDescent="0.2">
      <c r="A159" s="113"/>
      <c r="B159" s="133">
        <v>38</v>
      </c>
      <c r="C159" s="110">
        <v>0</v>
      </c>
      <c r="D159" s="110">
        <v>0</v>
      </c>
      <c r="E159" s="110">
        <v>0</v>
      </c>
      <c r="F159" s="110">
        <v>0</v>
      </c>
      <c r="G159" s="110">
        <v>0</v>
      </c>
      <c r="H159" s="110">
        <v>0</v>
      </c>
      <c r="I159" s="110">
        <v>0</v>
      </c>
      <c r="J159" s="110">
        <v>0</v>
      </c>
      <c r="K159" s="110">
        <v>0</v>
      </c>
      <c r="L159" s="110">
        <v>0</v>
      </c>
      <c r="M159" s="110">
        <v>0</v>
      </c>
      <c r="N159" s="110">
        <v>0</v>
      </c>
      <c r="O159" s="110">
        <v>0</v>
      </c>
      <c r="P159" s="110">
        <v>0</v>
      </c>
      <c r="Q159" s="110">
        <v>0</v>
      </c>
      <c r="R159" s="110">
        <v>0</v>
      </c>
      <c r="S159" s="110">
        <v>0</v>
      </c>
      <c r="T159" s="110">
        <v>0</v>
      </c>
      <c r="U159" s="110">
        <v>0</v>
      </c>
      <c r="V159" s="110">
        <v>0</v>
      </c>
      <c r="W159" s="110">
        <v>0</v>
      </c>
      <c r="X159" s="110">
        <v>0</v>
      </c>
      <c r="Y159" s="110">
        <v>0</v>
      </c>
      <c r="Z159" s="110">
        <v>0</v>
      </c>
      <c r="AA159" s="110">
        <v>0</v>
      </c>
      <c r="AB159" s="110">
        <v>0</v>
      </c>
      <c r="AC159" s="110">
        <v>0</v>
      </c>
      <c r="AD159" s="110">
        <v>0</v>
      </c>
      <c r="AE159" s="110">
        <v>0</v>
      </c>
      <c r="AF159" s="110">
        <v>0</v>
      </c>
      <c r="AG159" s="110">
        <v>0</v>
      </c>
      <c r="AH159" s="110">
        <v>0</v>
      </c>
      <c r="AI159" s="110">
        <v>0</v>
      </c>
      <c r="AJ159" s="110">
        <v>0</v>
      </c>
      <c r="AK159" s="110">
        <v>0</v>
      </c>
      <c r="AL159" s="110">
        <v>0</v>
      </c>
      <c r="AM159" s="110">
        <v>0</v>
      </c>
      <c r="AN159" s="110">
        <v>0</v>
      </c>
      <c r="AO159" s="110">
        <v>0</v>
      </c>
      <c r="AP159" s="110">
        <v>0</v>
      </c>
      <c r="AQ159" s="110">
        <v>0</v>
      </c>
      <c r="AR159" s="110">
        <v>0</v>
      </c>
      <c r="AS159" s="110">
        <v>0</v>
      </c>
      <c r="AT159" s="110">
        <v>0</v>
      </c>
      <c r="AU159" s="110">
        <v>0</v>
      </c>
      <c r="AV159" s="110">
        <v>0</v>
      </c>
      <c r="AW159" s="110">
        <v>0</v>
      </c>
      <c r="AX159" s="110">
        <v>0</v>
      </c>
      <c r="AY159" s="110">
        <v>0</v>
      </c>
    </row>
    <row r="160" spans="1:51" x14ac:dyDescent="0.2">
      <c r="A160" s="113"/>
      <c r="B160" s="133">
        <v>39</v>
      </c>
      <c r="C160" s="110">
        <v>0</v>
      </c>
      <c r="D160" s="110">
        <v>0</v>
      </c>
      <c r="E160" s="110">
        <v>0</v>
      </c>
      <c r="F160" s="110">
        <v>0</v>
      </c>
      <c r="G160" s="110">
        <v>0</v>
      </c>
      <c r="H160" s="110">
        <v>0</v>
      </c>
      <c r="I160" s="110">
        <v>0</v>
      </c>
      <c r="J160" s="110">
        <v>0</v>
      </c>
      <c r="K160" s="110">
        <v>0</v>
      </c>
      <c r="L160" s="110">
        <v>0</v>
      </c>
      <c r="M160" s="110">
        <v>0</v>
      </c>
      <c r="N160" s="110">
        <v>0</v>
      </c>
      <c r="O160" s="110">
        <v>0</v>
      </c>
      <c r="P160" s="110">
        <v>0</v>
      </c>
      <c r="Q160" s="110">
        <v>0</v>
      </c>
      <c r="R160" s="110">
        <v>0</v>
      </c>
      <c r="S160" s="110">
        <v>0</v>
      </c>
      <c r="T160" s="110">
        <v>0</v>
      </c>
      <c r="U160" s="110">
        <v>0</v>
      </c>
      <c r="V160" s="110">
        <v>0</v>
      </c>
      <c r="W160" s="110">
        <v>0</v>
      </c>
      <c r="X160" s="110">
        <v>0</v>
      </c>
      <c r="Y160" s="110">
        <v>0</v>
      </c>
      <c r="Z160" s="110">
        <v>0</v>
      </c>
      <c r="AA160" s="110">
        <v>0</v>
      </c>
      <c r="AB160" s="110">
        <v>0</v>
      </c>
      <c r="AC160" s="110">
        <v>0</v>
      </c>
      <c r="AD160" s="110">
        <v>0</v>
      </c>
      <c r="AE160" s="110">
        <v>0</v>
      </c>
      <c r="AF160" s="110">
        <v>0</v>
      </c>
      <c r="AG160" s="110">
        <v>0</v>
      </c>
      <c r="AH160" s="110">
        <v>0</v>
      </c>
      <c r="AI160" s="110">
        <v>0</v>
      </c>
      <c r="AJ160" s="110">
        <v>0</v>
      </c>
      <c r="AK160" s="110">
        <v>0</v>
      </c>
      <c r="AL160" s="110">
        <v>0</v>
      </c>
      <c r="AM160" s="110">
        <v>0</v>
      </c>
      <c r="AN160" s="110">
        <v>0</v>
      </c>
      <c r="AO160" s="110">
        <v>0</v>
      </c>
      <c r="AP160" s="110">
        <v>0</v>
      </c>
      <c r="AQ160" s="110">
        <v>0</v>
      </c>
      <c r="AR160" s="110">
        <v>0</v>
      </c>
      <c r="AS160" s="110">
        <v>0</v>
      </c>
      <c r="AT160" s="110">
        <v>0</v>
      </c>
      <c r="AU160" s="110">
        <v>0</v>
      </c>
      <c r="AV160" s="110">
        <v>0</v>
      </c>
      <c r="AW160" s="110">
        <v>0</v>
      </c>
      <c r="AX160" s="110">
        <v>0</v>
      </c>
      <c r="AY160" s="110">
        <v>0</v>
      </c>
    </row>
    <row r="161" spans="1:52" x14ac:dyDescent="0.2">
      <c r="A161" s="113"/>
      <c r="B161" s="133">
        <v>40</v>
      </c>
      <c r="C161" s="110">
        <v>0</v>
      </c>
      <c r="D161" s="110">
        <v>0</v>
      </c>
      <c r="E161" s="110">
        <v>0</v>
      </c>
      <c r="F161" s="110">
        <v>0</v>
      </c>
      <c r="G161" s="110">
        <v>0</v>
      </c>
      <c r="H161" s="110">
        <v>0</v>
      </c>
      <c r="I161" s="110">
        <v>0</v>
      </c>
      <c r="J161" s="110">
        <v>0</v>
      </c>
      <c r="K161" s="110">
        <v>0</v>
      </c>
      <c r="L161" s="110">
        <v>0</v>
      </c>
      <c r="M161" s="110">
        <v>0</v>
      </c>
      <c r="N161" s="110">
        <v>0</v>
      </c>
      <c r="O161" s="110">
        <v>0</v>
      </c>
      <c r="P161" s="110">
        <v>0</v>
      </c>
      <c r="Q161" s="110">
        <v>0</v>
      </c>
      <c r="R161" s="110">
        <v>0</v>
      </c>
      <c r="S161" s="110">
        <v>0</v>
      </c>
      <c r="T161" s="110">
        <v>0</v>
      </c>
      <c r="U161" s="110">
        <v>0</v>
      </c>
      <c r="V161" s="110">
        <v>0</v>
      </c>
      <c r="W161" s="110">
        <v>0</v>
      </c>
      <c r="X161" s="110">
        <v>0</v>
      </c>
      <c r="Y161" s="110">
        <v>0</v>
      </c>
      <c r="Z161" s="110">
        <v>0</v>
      </c>
      <c r="AA161" s="110">
        <v>0</v>
      </c>
      <c r="AB161" s="110">
        <v>0</v>
      </c>
      <c r="AC161" s="110">
        <v>0</v>
      </c>
      <c r="AD161" s="110">
        <v>0</v>
      </c>
      <c r="AE161" s="110">
        <v>0</v>
      </c>
      <c r="AF161" s="110">
        <v>0</v>
      </c>
      <c r="AG161" s="110">
        <v>0</v>
      </c>
      <c r="AH161" s="110">
        <v>0</v>
      </c>
      <c r="AI161" s="110">
        <v>0</v>
      </c>
      <c r="AJ161" s="110">
        <v>0</v>
      </c>
      <c r="AK161" s="110">
        <v>0</v>
      </c>
      <c r="AL161" s="110">
        <v>0</v>
      </c>
      <c r="AM161" s="110">
        <v>0</v>
      </c>
      <c r="AN161" s="110">
        <v>0</v>
      </c>
      <c r="AO161" s="110">
        <v>0</v>
      </c>
      <c r="AP161" s="110">
        <v>0</v>
      </c>
      <c r="AQ161" s="110">
        <v>0</v>
      </c>
      <c r="AR161" s="110">
        <v>0</v>
      </c>
      <c r="AS161" s="110">
        <v>0</v>
      </c>
      <c r="AT161" s="110">
        <v>0</v>
      </c>
      <c r="AU161" s="110">
        <v>0</v>
      </c>
      <c r="AV161" s="110">
        <v>0</v>
      </c>
      <c r="AW161" s="110">
        <v>0</v>
      </c>
      <c r="AX161" s="110">
        <v>0</v>
      </c>
      <c r="AY161" s="110">
        <v>0</v>
      </c>
    </row>
    <row r="162" spans="1:52" x14ac:dyDescent="0.2">
      <c r="A162" s="113"/>
      <c r="B162" s="133">
        <v>41</v>
      </c>
      <c r="C162" s="110">
        <v>0</v>
      </c>
      <c r="D162" s="110">
        <v>0</v>
      </c>
      <c r="E162" s="110">
        <v>0</v>
      </c>
      <c r="F162" s="110">
        <v>0</v>
      </c>
      <c r="G162" s="110">
        <v>0</v>
      </c>
      <c r="H162" s="110">
        <v>0</v>
      </c>
      <c r="I162" s="110">
        <v>0</v>
      </c>
      <c r="J162" s="110">
        <v>0</v>
      </c>
      <c r="K162" s="110">
        <v>0</v>
      </c>
      <c r="L162" s="110">
        <v>0</v>
      </c>
      <c r="M162" s="110">
        <v>0</v>
      </c>
      <c r="N162" s="110">
        <v>0</v>
      </c>
      <c r="O162" s="110">
        <v>0</v>
      </c>
      <c r="P162" s="110">
        <v>0</v>
      </c>
      <c r="Q162" s="110">
        <v>0</v>
      </c>
      <c r="R162" s="110">
        <v>0</v>
      </c>
      <c r="S162" s="110">
        <v>0</v>
      </c>
      <c r="T162" s="110">
        <v>0</v>
      </c>
      <c r="U162" s="110">
        <v>0</v>
      </c>
      <c r="V162" s="110">
        <v>0</v>
      </c>
      <c r="W162" s="110">
        <v>0</v>
      </c>
      <c r="X162" s="110">
        <v>0</v>
      </c>
      <c r="Y162" s="110">
        <v>0</v>
      </c>
      <c r="Z162" s="110">
        <v>0</v>
      </c>
      <c r="AA162" s="110">
        <v>0</v>
      </c>
      <c r="AB162" s="110">
        <v>0</v>
      </c>
      <c r="AC162" s="110">
        <v>0</v>
      </c>
      <c r="AD162" s="110">
        <v>0</v>
      </c>
      <c r="AE162" s="110">
        <v>0</v>
      </c>
      <c r="AF162" s="110">
        <v>0</v>
      </c>
      <c r="AG162" s="110">
        <v>0</v>
      </c>
      <c r="AH162" s="110">
        <v>0</v>
      </c>
      <c r="AI162" s="110">
        <v>0</v>
      </c>
      <c r="AJ162" s="110">
        <v>0</v>
      </c>
      <c r="AK162" s="110">
        <v>0</v>
      </c>
      <c r="AL162" s="110">
        <v>0</v>
      </c>
      <c r="AM162" s="110">
        <v>0</v>
      </c>
      <c r="AN162" s="110">
        <v>0</v>
      </c>
      <c r="AO162" s="110">
        <v>0</v>
      </c>
      <c r="AP162" s="110">
        <v>0</v>
      </c>
      <c r="AQ162" s="110">
        <v>0</v>
      </c>
      <c r="AR162" s="110">
        <v>0</v>
      </c>
      <c r="AS162" s="110">
        <v>0</v>
      </c>
      <c r="AT162" s="110">
        <v>0</v>
      </c>
      <c r="AU162" s="110">
        <v>0</v>
      </c>
      <c r="AV162" s="110">
        <v>0</v>
      </c>
      <c r="AW162" s="110">
        <v>0</v>
      </c>
      <c r="AX162" s="110">
        <v>0</v>
      </c>
      <c r="AY162" s="110">
        <v>0</v>
      </c>
    </row>
    <row r="163" spans="1:52" x14ac:dyDescent="0.2">
      <c r="A163" s="113"/>
      <c r="B163" s="133">
        <v>42</v>
      </c>
      <c r="C163" s="110">
        <v>0</v>
      </c>
      <c r="D163" s="110">
        <v>0</v>
      </c>
      <c r="E163" s="110">
        <v>0</v>
      </c>
      <c r="F163" s="110">
        <v>0</v>
      </c>
      <c r="G163" s="110">
        <v>0</v>
      </c>
      <c r="H163" s="110">
        <v>0</v>
      </c>
      <c r="I163" s="110">
        <v>0</v>
      </c>
      <c r="J163" s="110">
        <v>0</v>
      </c>
      <c r="K163" s="110">
        <v>0</v>
      </c>
      <c r="L163" s="110">
        <v>0</v>
      </c>
      <c r="M163" s="110">
        <v>0</v>
      </c>
      <c r="N163" s="110">
        <v>0</v>
      </c>
      <c r="O163" s="110">
        <v>0</v>
      </c>
      <c r="P163" s="110">
        <v>0</v>
      </c>
      <c r="Q163" s="110">
        <v>0</v>
      </c>
      <c r="R163" s="110">
        <v>0</v>
      </c>
      <c r="S163" s="110">
        <v>0</v>
      </c>
      <c r="T163" s="110">
        <v>0</v>
      </c>
      <c r="U163" s="110">
        <v>0</v>
      </c>
      <c r="V163" s="110">
        <v>0</v>
      </c>
      <c r="W163" s="110">
        <v>0</v>
      </c>
      <c r="X163" s="110">
        <v>0</v>
      </c>
      <c r="Y163" s="110">
        <v>0</v>
      </c>
      <c r="Z163" s="110">
        <v>0</v>
      </c>
      <c r="AA163" s="110">
        <v>0</v>
      </c>
      <c r="AB163" s="110">
        <v>0</v>
      </c>
      <c r="AC163" s="110">
        <v>0</v>
      </c>
      <c r="AD163" s="110">
        <v>0</v>
      </c>
      <c r="AE163" s="110">
        <v>0</v>
      </c>
      <c r="AF163" s="110">
        <v>0</v>
      </c>
      <c r="AG163" s="110">
        <v>0</v>
      </c>
      <c r="AH163" s="110">
        <v>0</v>
      </c>
      <c r="AI163" s="110">
        <v>0</v>
      </c>
      <c r="AJ163" s="110">
        <v>0</v>
      </c>
      <c r="AK163" s="110">
        <v>0</v>
      </c>
      <c r="AL163" s="110">
        <v>0</v>
      </c>
      <c r="AM163" s="110">
        <v>0</v>
      </c>
      <c r="AN163" s="110">
        <v>0</v>
      </c>
      <c r="AO163" s="110">
        <v>0</v>
      </c>
      <c r="AP163" s="110">
        <v>0</v>
      </c>
      <c r="AQ163" s="110">
        <v>0</v>
      </c>
      <c r="AR163" s="110">
        <v>0</v>
      </c>
      <c r="AS163" s="110">
        <v>0</v>
      </c>
      <c r="AT163" s="110">
        <v>0</v>
      </c>
      <c r="AU163" s="110">
        <v>0</v>
      </c>
      <c r="AV163" s="110">
        <v>0</v>
      </c>
      <c r="AW163" s="110">
        <v>0</v>
      </c>
      <c r="AX163" s="110">
        <v>0</v>
      </c>
      <c r="AY163" s="110">
        <v>0</v>
      </c>
    </row>
    <row r="164" spans="1:52" x14ac:dyDescent="0.2">
      <c r="A164" s="113"/>
      <c r="B164" s="133">
        <v>43</v>
      </c>
      <c r="C164" s="110">
        <v>0</v>
      </c>
      <c r="D164" s="110">
        <v>0</v>
      </c>
      <c r="E164" s="110">
        <v>0</v>
      </c>
      <c r="F164" s="110">
        <v>0</v>
      </c>
      <c r="G164" s="110">
        <v>0</v>
      </c>
      <c r="H164" s="110">
        <v>0</v>
      </c>
      <c r="I164" s="110">
        <v>0</v>
      </c>
      <c r="J164" s="110">
        <v>0</v>
      </c>
      <c r="K164" s="110">
        <v>0</v>
      </c>
      <c r="L164" s="110">
        <v>0</v>
      </c>
      <c r="M164" s="110">
        <v>0</v>
      </c>
      <c r="N164" s="110">
        <v>0</v>
      </c>
      <c r="O164" s="110">
        <v>0</v>
      </c>
      <c r="P164" s="110">
        <v>0</v>
      </c>
      <c r="Q164" s="110">
        <v>0</v>
      </c>
      <c r="R164" s="110">
        <v>0</v>
      </c>
      <c r="S164" s="110">
        <v>0</v>
      </c>
      <c r="T164" s="110">
        <v>0</v>
      </c>
      <c r="U164" s="110">
        <v>0</v>
      </c>
      <c r="V164" s="110">
        <v>0</v>
      </c>
      <c r="W164" s="110">
        <v>0</v>
      </c>
      <c r="X164" s="110">
        <v>0</v>
      </c>
      <c r="Y164" s="110">
        <v>0</v>
      </c>
      <c r="Z164" s="110">
        <v>0</v>
      </c>
      <c r="AA164" s="110">
        <v>0</v>
      </c>
      <c r="AB164" s="110">
        <v>0</v>
      </c>
      <c r="AC164" s="110">
        <v>0</v>
      </c>
      <c r="AD164" s="110">
        <v>0</v>
      </c>
      <c r="AE164" s="110">
        <v>0</v>
      </c>
      <c r="AF164" s="110">
        <v>0</v>
      </c>
      <c r="AG164" s="110">
        <v>0</v>
      </c>
      <c r="AH164" s="110">
        <v>0</v>
      </c>
      <c r="AI164" s="110">
        <v>0</v>
      </c>
      <c r="AJ164" s="110">
        <v>0</v>
      </c>
      <c r="AK164" s="110">
        <v>0</v>
      </c>
      <c r="AL164" s="110">
        <v>0</v>
      </c>
      <c r="AM164" s="110">
        <v>0</v>
      </c>
      <c r="AN164" s="110">
        <v>0</v>
      </c>
      <c r="AO164" s="110">
        <v>0</v>
      </c>
      <c r="AP164" s="110">
        <v>0</v>
      </c>
      <c r="AQ164" s="110">
        <v>0</v>
      </c>
      <c r="AR164" s="110">
        <v>0</v>
      </c>
      <c r="AS164" s="110">
        <v>0</v>
      </c>
      <c r="AT164" s="110">
        <v>0</v>
      </c>
      <c r="AU164" s="110">
        <v>0</v>
      </c>
      <c r="AV164" s="110">
        <v>0</v>
      </c>
      <c r="AW164" s="110">
        <v>0</v>
      </c>
      <c r="AX164" s="110">
        <v>0</v>
      </c>
      <c r="AY164" s="110">
        <v>0</v>
      </c>
    </row>
    <row r="165" spans="1:52" x14ac:dyDescent="0.2">
      <c r="A165" s="113"/>
      <c r="B165" s="133">
        <v>44</v>
      </c>
      <c r="C165" s="110">
        <v>0</v>
      </c>
      <c r="D165" s="110">
        <v>0</v>
      </c>
      <c r="E165" s="110">
        <v>0</v>
      </c>
      <c r="F165" s="110">
        <v>0</v>
      </c>
      <c r="G165" s="110">
        <v>0</v>
      </c>
      <c r="H165" s="110">
        <v>0</v>
      </c>
      <c r="I165" s="110">
        <v>0</v>
      </c>
      <c r="J165" s="110">
        <v>0</v>
      </c>
      <c r="K165" s="110">
        <v>0</v>
      </c>
      <c r="L165" s="110">
        <v>0</v>
      </c>
      <c r="M165" s="110">
        <v>0</v>
      </c>
      <c r="N165" s="110">
        <v>0</v>
      </c>
      <c r="O165" s="110">
        <v>0</v>
      </c>
      <c r="P165" s="110">
        <v>0</v>
      </c>
      <c r="Q165" s="110">
        <v>0</v>
      </c>
      <c r="R165" s="110">
        <v>0</v>
      </c>
      <c r="S165" s="110">
        <v>0</v>
      </c>
      <c r="T165" s="110">
        <v>0</v>
      </c>
      <c r="U165" s="110">
        <v>0</v>
      </c>
      <c r="V165" s="110">
        <v>0</v>
      </c>
      <c r="W165" s="110">
        <v>0</v>
      </c>
      <c r="X165" s="110">
        <v>0</v>
      </c>
      <c r="Y165" s="110">
        <v>0</v>
      </c>
      <c r="Z165" s="110">
        <v>0</v>
      </c>
      <c r="AA165" s="110">
        <v>0</v>
      </c>
      <c r="AB165" s="110">
        <v>0</v>
      </c>
      <c r="AC165" s="110">
        <v>0</v>
      </c>
      <c r="AD165" s="110">
        <v>0</v>
      </c>
      <c r="AE165" s="110">
        <v>0</v>
      </c>
      <c r="AF165" s="110">
        <v>0</v>
      </c>
      <c r="AG165" s="110">
        <v>0</v>
      </c>
      <c r="AH165" s="110">
        <v>0</v>
      </c>
      <c r="AI165" s="110">
        <v>0</v>
      </c>
      <c r="AJ165" s="110">
        <v>0</v>
      </c>
      <c r="AK165" s="110">
        <v>0</v>
      </c>
      <c r="AL165" s="110">
        <v>0</v>
      </c>
      <c r="AM165" s="110">
        <v>0</v>
      </c>
      <c r="AN165" s="110">
        <v>0</v>
      </c>
      <c r="AO165" s="110">
        <v>0</v>
      </c>
      <c r="AP165" s="110">
        <v>0</v>
      </c>
      <c r="AQ165" s="110">
        <v>0</v>
      </c>
      <c r="AR165" s="110">
        <v>0</v>
      </c>
      <c r="AS165" s="110">
        <v>0</v>
      </c>
      <c r="AT165" s="110">
        <v>0</v>
      </c>
      <c r="AU165" s="110">
        <v>0</v>
      </c>
      <c r="AV165" s="110">
        <v>0</v>
      </c>
      <c r="AW165" s="110">
        <v>0</v>
      </c>
      <c r="AX165" s="110">
        <v>0</v>
      </c>
      <c r="AY165" s="110">
        <v>0</v>
      </c>
    </row>
    <row r="166" spans="1:52" x14ac:dyDescent="0.2">
      <c r="A166" s="113"/>
      <c r="B166" s="133">
        <v>45</v>
      </c>
      <c r="C166" s="110">
        <v>0</v>
      </c>
      <c r="D166" s="110">
        <v>0</v>
      </c>
      <c r="E166" s="110">
        <v>0</v>
      </c>
      <c r="F166" s="110">
        <v>0</v>
      </c>
      <c r="G166" s="110">
        <v>0</v>
      </c>
      <c r="H166" s="110">
        <v>0</v>
      </c>
      <c r="I166" s="110">
        <v>0</v>
      </c>
      <c r="J166" s="110">
        <v>0</v>
      </c>
      <c r="K166" s="110">
        <v>0</v>
      </c>
      <c r="L166" s="110">
        <v>0</v>
      </c>
      <c r="M166" s="110">
        <v>0</v>
      </c>
      <c r="N166" s="110">
        <v>0</v>
      </c>
      <c r="O166" s="110">
        <v>0</v>
      </c>
      <c r="P166" s="110">
        <v>0</v>
      </c>
      <c r="Q166" s="110">
        <v>0</v>
      </c>
      <c r="R166" s="110">
        <v>0</v>
      </c>
      <c r="S166" s="110">
        <v>0</v>
      </c>
      <c r="T166" s="110">
        <v>0</v>
      </c>
      <c r="U166" s="110">
        <v>0</v>
      </c>
      <c r="V166" s="110">
        <v>0</v>
      </c>
      <c r="W166" s="110">
        <v>0</v>
      </c>
      <c r="X166" s="110">
        <v>0</v>
      </c>
      <c r="Y166" s="110">
        <v>0</v>
      </c>
      <c r="Z166" s="110">
        <v>0</v>
      </c>
      <c r="AA166" s="110">
        <v>0</v>
      </c>
      <c r="AB166" s="110">
        <v>0</v>
      </c>
      <c r="AC166" s="110">
        <v>0</v>
      </c>
      <c r="AD166" s="110">
        <v>0</v>
      </c>
      <c r="AE166" s="110">
        <v>0</v>
      </c>
      <c r="AF166" s="110">
        <v>0</v>
      </c>
      <c r="AG166" s="110">
        <v>0</v>
      </c>
      <c r="AH166" s="110">
        <v>0</v>
      </c>
      <c r="AI166" s="110">
        <v>0</v>
      </c>
      <c r="AJ166" s="110">
        <v>0</v>
      </c>
      <c r="AK166" s="110">
        <v>0</v>
      </c>
      <c r="AL166" s="110">
        <v>0</v>
      </c>
      <c r="AM166" s="110">
        <v>0</v>
      </c>
      <c r="AN166" s="110">
        <v>0</v>
      </c>
      <c r="AO166" s="110">
        <v>0</v>
      </c>
      <c r="AP166" s="110">
        <v>0</v>
      </c>
      <c r="AQ166" s="110">
        <v>0</v>
      </c>
      <c r="AR166" s="110">
        <v>0</v>
      </c>
      <c r="AS166" s="110">
        <v>0</v>
      </c>
      <c r="AT166" s="110">
        <v>0</v>
      </c>
      <c r="AU166" s="110">
        <v>0</v>
      </c>
      <c r="AV166" s="110">
        <v>0</v>
      </c>
      <c r="AW166" s="110">
        <v>0</v>
      </c>
      <c r="AX166" s="110">
        <v>0</v>
      </c>
      <c r="AY166" s="110">
        <v>0</v>
      </c>
    </row>
    <row r="167" spans="1:52" x14ac:dyDescent="0.2">
      <c r="A167" s="113"/>
      <c r="B167" s="133">
        <v>46</v>
      </c>
      <c r="C167" s="110">
        <v>0</v>
      </c>
      <c r="D167" s="110">
        <v>0</v>
      </c>
      <c r="E167" s="110">
        <v>0</v>
      </c>
      <c r="F167" s="110">
        <v>0</v>
      </c>
      <c r="G167" s="110">
        <v>0</v>
      </c>
      <c r="H167" s="110">
        <v>0</v>
      </c>
      <c r="I167" s="110">
        <v>0</v>
      </c>
      <c r="J167" s="110">
        <v>0</v>
      </c>
      <c r="K167" s="110">
        <v>0</v>
      </c>
      <c r="L167" s="110">
        <v>0</v>
      </c>
      <c r="M167" s="110">
        <v>0</v>
      </c>
      <c r="N167" s="110">
        <v>0</v>
      </c>
      <c r="O167" s="110">
        <v>0</v>
      </c>
      <c r="P167" s="110">
        <v>0</v>
      </c>
      <c r="Q167" s="110">
        <v>0</v>
      </c>
      <c r="R167" s="110">
        <v>0</v>
      </c>
      <c r="S167" s="110">
        <v>0</v>
      </c>
      <c r="T167" s="110">
        <v>0</v>
      </c>
      <c r="U167" s="110">
        <v>0</v>
      </c>
      <c r="V167" s="110">
        <v>0</v>
      </c>
      <c r="W167" s="110">
        <v>0</v>
      </c>
      <c r="X167" s="110">
        <v>0</v>
      </c>
      <c r="Y167" s="110">
        <v>0</v>
      </c>
      <c r="Z167" s="110">
        <v>0</v>
      </c>
      <c r="AA167" s="110">
        <v>0</v>
      </c>
      <c r="AB167" s="110">
        <v>0</v>
      </c>
      <c r="AC167" s="110">
        <v>0</v>
      </c>
      <c r="AD167" s="110">
        <v>0</v>
      </c>
      <c r="AE167" s="110">
        <v>0</v>
      </c>
      <c r="AF167" s="110">
        <v>0</v>
      </c>
      <c r="AG167" s="110">
        <v>0</v>
      </c>
      <c r="AH167" s="110">
        <v>0</v>
      </c>
      <c r="AI167" s="110">
        <v>0</v>
      </c>
      <c r="AJ167" s="110">
        <v>0</v>
      </c>
      <c r="AK167" s="110">
        <v>0</v>
      </c>
      <c r="AL167" s="110">
        <v>0</v>
      </c>
      <c r="AM167" s="110">
        <v>0</v>
      </c>
      <c r="AN167" s="110">
        <v>0</v>
      </c>
      <c r="AO167" s="110">
        <v>0</v>
      </c>
      <c r="AP167" s="110">
        <v>0</v>
      </c>
      <c r="AQ167" s="110">
        <v>0</v>
      </c>
      <c r="AR167" s="110">
        <v>0</v>
      </c>
      <c r="AS167" s="110">
        <v>0</v>
      </c>
      <c r="AT167" s="110">
        <v>0</v>
      </c>
      <c r="AU167" s="110">
        <v>0</v>
      </c>
      <c r="AV167" s="110">
        <v>0</v>
      </c>
      <c r="AW167" s="110">
        <v>0</v>
      </c>
      <c r="AX167" s="110">
        <v>0</v>
      </c>
      <c r="AY167" s="110">
        <v>0</v>
      </c>
    </row>
    <row r="168" spans="1:52" x14ac:dyDescent="0.2">
      <c r="A168" s="113"/>
      <c r="B168" s="133">
        <v>47</v>
      </c>
      <c r="C168" s="110">
        <v>0</v>
      </c>
      <c r="D168" s="110">
        <v>0</v>
      </c>
      <c r="E168" s="110">
        <v>0</v>
      </c>
      <c r="F168" s="110">
        <v>0</v>
      </c>
      <c r="G168" s="110">
        <v>0</v>
      </c>
      <c r="H168" s="110">
        <v>0</v>
      </c>
      <c r="I168" s="110">
        <v>0</v>
      </c>
      <c r="J168" s="110">
        <v>0</v>
      </c>
      <c r="K168" s="110">
        <v>0</v>
      </c>
      <c r="L168" s="110">
        <v>0</v>
      </c>
      <c r="M168" s="110">
        <v>0</v>
      </c>
      <c r="N168" s="110">
        <v>0</v>
      </c>
      <c r="O168" s="110">
        <v>0</v>
      </c>
      <c r="P168" s="110">
        <v>0</v>
      </c>
      <c r="Q168" s="110">
        <v>0</v>
      </c>
      <c r="R168" s="110">
        <v>0</v>
      </c>
      <c r="S168" s="110">
        <v>0</v>
      </c>
      <c r="T168" s="110">
        <v>0</v>
      </c>
      <c r="U168" s="110">
        <v>0</v>
      </c>
      <c r="V168" s="110">
        <v>0</v>
      </c>
      <c r="W168" s="110">
        <v>0</v>
      </c>
      <c r="X168" s="110">
        <v>0</v>
      </c>
      <c r="Y168" s="110">
        <v>0</v>
      </c>
      <c r="Z168" s="110">
        <v>0</v>
      </c>
      <c r="AA168" s="110">
        <v>0</v>
      </c>
      <c r="AB168" s="110">
        <v>0</v>
      </c>
      <c r="AC168" s="110">
        <v>0</v>
      </c>
      <c r="AD168" s="110">
        <v>0</v>
      </c>
      <c r="AE168" s="110">
        <v>0</v>
      </c>
      <c r="AF168" s="110">
        <v>0</v>
      </c>
      <c r="AG168" s="110">
        <v>0</v>
      </c>
      <c r="AH168" s="110">
        <v>0</v>
      </c>
      <c r="AI168" s="110">
        <v>0</v>
      </c>
      <c r="AJ168" s="110">
        <v>0</v>
      </c>
      <c r="AK168" s="110">
        <v>0</v>
      </c>
      <c r="AL168" s="110">
        <v>0</v>
      </c>
      <c r="AM168" s="110">
        <v>0</v>
      </c>
      <c r="AN168" s="110">
        <v>0</v>
      </c>
      <c r="AO168" s="110">
        <v>0</v>
      </c>
      <c r="AP168" s="110">
        <v>0</v>
      </c>
      <c r="AQ168" s="110">
        <v>0</v>
      </c>
      <c r="AR168" s="110">
        <v>0</v>
      </c>
      <c r="AS168" s="110">
        <v>0</v>
      </c>
      <c r="AT168" s="110">
        <v>0</v>
      </c>
      <c r="AU168" s="110">
        <v>0</v>
      </c>
      <c r="AV168" s="110">
        <v>0</v>
      </c>
      <c r="AW168" s="110">
        <v>0</v>
      </c>
      <c r="AX168" s="110">
        <v>0</v>
      </c>
      <c r="AY168" s="110">
        <v>0</v>
      </c>
    </row>
    <row r="169" spans="1:52" x14ac:dyDescent="0.2">
      <c r="A169" s="113"/>
      <c r="B169" s="133">
        <v>48</v>
      </c>
      <c r="C169" s="110">
        <v>0</v>
      </c>
      <c r="D169" s="110">
        <v>0</v>
      </c>
      <c r="E169" s="110">
        <v>0</v>
      </c>
      <c r="F169" s="110">
        <v>0</v>
      </c>
      <c r="G169" s="110">
        <v>0</v>
      </c>
      <c r="H169" s="110">
        <v>0</v>
      </c>
      <c r="I169" s="110">
        <v>0</v>
      </c>
      <c r="J169" s="110">
        <v>0</v>
      </c>
      <c r="K169" s="110">
        <v>0</v>
      </c>
      <c r="L169" s="110">
        <v>0</v>
      </c>
      <c r="M169" s="110">
        <v>0</v>
      </c>
      <c r="N169" s="110">
        <v>0</v>
      </c>
      <c r="O169" s="110">
        <v>0</v>
      </c>
      <c r="P169" s="110">
        <v>0</v>
      </c>
      <c r="Q169" s="110">
        <v>0</v>
      </c>
      <c r="R169" s="110">
        <v>0</v>
      </c>
      <c r="S169" s="110">
        <v>0</v>
      </c>
      <c r="T169" s="110">
        <v>0</v>
      </c>
      <c r="U169" s="110">
        <v>0</v>
      </c>
      <c r="V169" s="110">
        <v>0</v>
      </c>
      <c r="W169" s="110">
        <v>0</v>
      </c>
      <c r="X169" s="110">
        <v>0</v>
      </c>
      <c r="Y169" s="110">
        <v>0</v>
      </c>
      <c r="Z169" s="110">
        <v>0</v>
      </c>
      <c r="AA169" s="110">
        <v>0</v>
      </c>
      <c r="AB169" s="110">
        <v>0</v>
      </c>
      <c r="AC169" s="110">
        <v>0</v>
      </c>
      <c r="AD169" s="110">
        <v>0</v>
      </c>
      <c r="AE169" s="110">
        <v>0</v>
      </c>
      <c r="AF169" s="110">
        <v>0</v>
      </c>
      <c r="AG169" s="110">
        <v>0</v>
      </c>
      <c r="AH169" s="110">
        <v>0</v>
      </c>
      <c r="AI169" s="110">
        <v>0</v>
      </c>
      <c r="AJ169" s="110">
        <v>0</v>
      </c>
      <c r="AK169" s="110">
        <v>0</v>
      </c>
      <c r="AL169" s="110">
        <v>0</v>
      </c>
      <c r="AM169" s="110">
        <v>0</v>
      </c>
      <c r="AN169" s="110">
        <v>0</v>
      </c>
      <c r="AO169" s="110">
        <v>0</v>
      </c>
      <c r="AP169" s="110">
        <v>0</v>
      </c>
      <c r="AQ169" s="110">
        <v>0</v>
      </c>
      <c r="AR169" s="110">
        <v>0</v>
      </c>
      <c r="AS169" s="110">
        <v>0</v>
      </c>
      <c r="AT169" s="110">
        <v>0</v>
      </c>
      <c r="AU169" s="110">
        <v>0</v>
      </c>
      <c r="AV169" s="110">
        <v>0</v>
      </c>
      <c r="AW169" s="110">
        <v>0</v>
      </c>
      <c r="AX169" s="110">
        <v>0</v>
      </c>
      <c r="AY169" s="110">
        <v>0</v>
      </c>
    </row>
    <row r="170" spans="1:52" x14ac:dyDescent="0.2">
      <c r="A170" s="131"/>
      <c r="B170" s="135" t="s">
        <v>296</v>
      </c>
      <c r="C170" s="117">
        <v>0</v>
      </c>
      <c r="D170" s="128">
        <v>0</v>
      </c>
      <c r="E170" s="128">
        <v>0</v>
      </c>
      <c r="F170" s="128">
        <v>0</v>
      </c>
      <c r="G170" s="128">
        <v>0</v>
      </c>
      <c r="H170" s="128">
        <v>0</v>
      </c>
      <c r="I170" s="128">
        <v>0</v>
      </c>
      <c r="J170" s="128">
        <v>0</v>
      </c>
      <c r="K170" s="128">
        <v>0</v>
      </c>
      <c r="L170" s="128">
        <v>0</v>
      </c>
      <c r="M170" s="128">
        <v>0</v>
      </c>
      <c r="N170" s="128">
        <v>0</v>
      </c>
      <c r="O170" s="128">
        <v>0</v>
      </c>
      <c r="P170" s="128">
        <v>0</v>
      </c>
      <c r="Q170" s="128">
        <v>0</v>
      </c>
      <c r="R170" s="128">
        <v>0</v>
      </c>
      <c r="S170" s="128">
        <v>0</v>
      </c>
      <c r="T170" s="128">
        <v>0</v>
      </c>
      <c r="U170" s="128">
        <v>0</v>
      </c>
      <c r="V170" s="128">
        <v>0</v>
      </c>
      <c r="W170" s="128">
        <v>0</v>
      </c>
      <c r="X170" s="128">
        <v>0</v>
      </c>
      <c r="Y170" s="128">
        <v>0</v>
      </c>
      <c r="Z170" s="128">
        <v>0</v>
      </c>
      <c r="AA170" s="128">
        <v>0</v>
      </c>
      <c r="AB170" s="128">
        <v>0</v>
      </c>
      <c r="AC170" s="128">
        <v>0</v>
      </c>
      <c r="AD170" s="128">
        <v>0</v>
      </c>
      <c r="AE170" s="128">
        <v>0</v>
      </c>
      <c r="AF170" s="128">
        <v>0</v>
      </c>
      <c r="AG170" s="128">
        <v>0</v>
      </c>
      <c r="AH170" s="128">
        <v>0</v>
      </c>
      <c r="AI170" s="128">
        <v>0</v>
      </c>
      <c r="AJ170" s="128">
        <v>0</v>
      </c>
      <c r="AK170" s="128">
        <v>0</v>
      </c>
      <c r="AL170" s="128">
        <v>0</v>
      </c>
      <c r="AM170" s="128">
        <v>0</v>
      </c>
      <c r="AN170" s="128">
        <v>0</v>
      </c>
      <c r="AO170" s="128">
        <v>0</v>
      </c>
      <c r="AP170" s="128">
        <v>0</v>
      </c>
      <c r="AQ170" s="128">
        <v>0</v>
      </c>
      <c r="AR170" s="128">
        <v>0</v>
      </c>
      <c r="AS170" s="128">
        <v>0</v>
      </c>
      <c r="AT170" s="128">
        <v>0</v>
      </c>
      <c r="AU170" s="128">
        <v>0</v>
      </c>
      <c r="AV170" s="128">
        <v>0</v>
      </c>
      <c r="AW170" s="128">
        <v>0</v>
      </c>
      <c r="AX170" s="128">
        <v>0</v>
      </c>
      <c r="AY170" s="128">
        <v>0</v>
      </c>
      <c r="AZ170" s="111">
        <f>SUM($D170:$AY170)</f>
        <v>0</v>
      </c>
    </row>
    <row r="172" spans="1:52" x14ac:dyDescent="0.2">
      <c r="A172" s="1" t="s">
        <v>124</v>
      </c>
      <c r="B172" s="136" t="s">
        <v>297</v>
      </c>
      <c r="C172" s="137">
        <v>0.31303644024619565</v>
      </c>
      <c r="D172" s="137">
        <v>0.45857219391613702</v>
      </c>
      <c r="E172" s="137">
        <v>0.45857219391613702</v>
      </c>
      <c r="F172" s="137">
        <v>0.45857219391613702</v>
      </c>
      <c r="G172" s="137">
        <v>0.45857219391613702</v>
      </c>
      <c r="H172" s="137">
        <v>0.45857219391613702</v>
      </c>
      <c r="I172" s="137">
        <v>0.45857219391613702</v>
      </c>
      <c r="J172" s="137">
        <v>0.45857219391613702</v>
      </c>
      <c r="K172" s="137">
        <v>0.45857219391613702</v>
      </c>
      <c r="L172" s="137">
        <v>0.45857219391613702</v>
      </c>
      <c r="M172" s="137">
        <v>0.45857219391613702</v>
      </c>
      <c r="N172" s="137">
        <v>0.45857219391613702</v>
      </c>
      <c r="O172" s="137">
        <v>0.45857219391613702</v>
      </c>
      <c r="P172" s="137">
        <v>0.45857219391613702</v>
      </c>
      <c r="Q172" s="137">
        <v>0.45857219391613702</v>
      </c>
      <c r="R172" s="137">
        <v>0.45857219391613702</v>
      </c>
      <c r="S172" s="137">
        <v>0.45857219391613702</v>
      </c>
      <c r="T172" s="137">
        <v>0.45857219391613702</v>
      </c>
      <c r="U172" s="137">
        <v>0.45857219391613702</v>
      </c>
      <c r="V172" s="137">
        <v>0.45857219391613702</v>
      </c>
      <c r="W172" s="137">
        <v>0.45857219391613702</v>
      </c>
      <c r="X172" s="137">
        <v>0.45857219391613702</v>
      </c>
      <c r="Y172" s="137">
        <v>0.45857219391613702</v>
      </c>
      <c r="Z172" s="137">
        <v>0.45857219391613702</v>
      </c>
      <c r="AA172" s="137">
        <v>0.45857219391613702</v>
      </c>
      <c r="AB172" s="137">
        <v>0.45857219391613702</v>
      </c>
      <c r="AC172" s="137">
        <v>0.45857219391613702</v>
      </c>
      <c r="AD172" s="137">
        <v>0.45857219391613702</v>
      </c>
      <c r="AE172" s="137">
        <v>0.45857219391613702</v>
      </c>
      <c r="AF172" s="137">
        <v>0.45857219391613702</v>
      </c>
      <c r="AG172" s="137">
        <v>0.45857219391613702</v>
      </c>
      <c r="AH172" s="137">
        <v>0.45857219391613702</v>
      </c>
      <c r="AI172" s="137">
        <v>0.45857219391613702</v>
      </c>
      <c r="AJ172" s="137">
        <v>0.45857219391613702</v>
      </c>
      <c r="AK172" s="137">
        <v>0.45857219391613702</v>
      </c>
      <c r="AL172" s="137">
        <v>0.45857219391613702</v>
      </c>
      <c r="AM172" s="137">
        <v>0.45857219391613702</v>
      </c>
      <c r="AN172" s="137">
        <v>0.45857219391613702</v>
      </c>
      <c r="AO172" s="137">
        <v>0.45857219391613702</v>
      </c>
      <c r="AP172" s="137">
        <v>0.45857219391613702</v>
      </c>
      <c r="AQ172" s="137">
        <v>0.45857219391613702</v>
      </c>
      <c r="AR172" s="137">
        <v>0.45857219391613702</v>
      </c>
      <c r="AS172" s="137">
        <v>0.45857219391613702</v>
      </c>
      <c r="AT172" s="137">
        <v>0.45857219391613702</v>
      </c>
      <c r="AU172" s="137">
        <v>0.45857219391613702</v>
      </c>
      <c r="AV172" s="137">
        <v>0.45857219391613702</v>
      </c>
      <c r="AW172" s="137">
        <v>0.45857219391613702</v>
      </c>
      <c r="AX172" s="137">
        <v>0.45857219391613702</v>
      </c>
      <c r="AY172" s="137">
        <v>0.45857219391613702</v>
      </c>
    </row>
    <row r="174" spans="1:52" x14ac:dyDescent="0.2">
      <c r="A174" s="1" t="s">
        <v>272</v>
      </c>
    </row>
    <row r="175" spans="1:52" x14ac:dyDescent="0.2">
      <c r="A175" s="138" t="s">
        <v>125</v>
      </c>
      <c r="B175" s="138" t="s">
        <v>298</v>
      </c>
      <c r="C175" s="127" t="s">
        <v>293</v>
      </c>
      <c r="D175" s="127">
        <f t="shared" ref="D175:AY175" si="1">SUM(D95:D98)</f>
        <v>0</v>
      </c>
      <c r="E175" s="127">
        <f t="shared" si="1"/>
        <v>0</v>
      </c>
      <c r="F175" s="127">
        <f t="shared" si="1"/>
        <v>0</v>
      </c>
      <c r="G175" s="127">
        <f t="shared" si="1"/>
        <v>0</v>
      </c>
      <c r="H175" s="127">
        <f t="shared" si="1"/>
        <v>0</v>
      </c>
      <c r="I175" s="127">
        <f t="shared" si="1"/>
        <v>0</v>
      </c>
      <c r="J175" s="127">
        <f t="shared" si="1"/>
        <v>0</v>
      </c>
      <c r="K175" s="127">
        <f t="shared" si="1"/>
        <v>0</v>
      </c>
      <c r="L175" s="127">
        <f t="shared" si="1"/>
        <v>0</v>
      </c>
      <c r="M175" s="127">
        <f t="shared" si="1"/>
        <v>0</v>
      </c>
      <c r="N175" s="127">
        <f t="shared" si="1"/>
        <v>0</v>
      </c>
      <c r="O175" s="127">
        <f t="shared" si="1"/>
        <v>0</v>
      </c>
      <c r="P175" s="127">
        <f t="shared" si="1"/>
        <v>0</v>
      </c>
      <c r="Q175" s="127">
        <f t="shared" si="1"/>
        <v>0</v>
      </c>
      <c r="R175" s="127">
        <f t="shared" si="1"/>
        <v>0</v>
      </c>
      <c r="S175" s="127">
        <f t="shared" si="1"/>
        <v>0</v>
      </c>
      <c r="T175" s="127">
        <f t="shared" si="1"/>
        <v>0</v>
      </c>
      <c r="U175" s="127">
        <f t="shared" si="1"/>
        <v>0</v>
      </c>
      <c r="V175" s="127">
        <f t="shared" si="1"/>
        <v>0</v>
      </c>
      <c r="W175" s="127">
        <f t="shared" si="1"/>
        <v>0</v>
      </c>
      <c r="X175" s="127">
        <f t="shared" si="1"/>
        <v>0</v>
      </c>
      <c r="Y175" s="127">
        <f t="shared" si="1"/>
        <v>0</v>
      </c>
      <c r="Z175" s="127">
        <f t="shared" si="1"/>
        <v>0</v>
      </c>
      <c r="AA175" s="127">
        <f t="shared" si="1"/>
        <v>0</v>
      </c>
      <c r="AB175" s="127">
        <f t="shared" si="1"/>
        <v>0</v>
      </c>
      <c r="AC175" s="127">
        <f t="shared" si="1"/>
        <v>0</v>
      </c>
      <c r="AD175" s="127">
        <f t="shared" si="1"/>
        <v>177.49917245382767</v>
      </c>
      <c r="AE175" s="127">
        <f t="shared" si="1"/>
        <v>70.891747336712342</v>
      </c>
      <c r="AF175" s="127">
        <f t="shared" si="1"/>
        <v>841.19144704831081</v>
      </c>
      <c r="AG175" s="127">
        <f t="shared" si="1"/>
        <v>372.81819196876222</v>
      </c>
      <c r="AH175" s="127">
        <f t="shared" si="1"/>
        <v>754.69507245222894</v>
      </c>
      <c r="AI175" s="127">
        <f t="shared" si="1"/>
        <v>265.55456704803555</v>
      </c>
      <c r="AJ175" s="127">
        <f t="shared" si="1"/>
        <v>0</v>
      </c>
      <c r="AK175" s="127">
        <f t="shared" si="1"/>
        <v>0</v>
      </c>
      <c r="AL175" s="127">
        <f t="shared" si="1"/>
        <v>0</v>
      </c>
      <c r="AM175" s="127">
        <f t="shared" si="1"/>
        <v>0</v>
      </c>
      <c r="AN175" s="127">
        <f t="shared" si="1"/>
        <v>0</v>
      </c>
      <c r="AO175" s="127">
        <f t="shared" si="1"/>
        <v>0</v>
      </c>
      <c r="AP175" s="127">
        <f t="shared" si="1"/>
        <v>0</v>
      </c>
      <c r="AQ175" s="127">
        <f t="shared" si="1"/>
        <v>0</v>
      </c>
      <c r="AR175" s="127">
        <f t="shared" si="1"/>
        <v>0</v>
      </c>
      <c r="AS175" s="127">
        <f t="shared" si="1"/>
        <v>0</v>
      </c>
      <c r="AT175" s="127">
        <f t="shared" si="1"/>
        <v>114.94894216344801</v>
      </c>
      <c r="AU175" s="127">
        <f t="shared" si="1"/>
        <v>587.29293054413529</v>
      </c>
      <c r="AV175" s="127">
        <f t="shared" si="1"/>
        <v>1039.885579692505</v>
      </c>
      <c r="AW175" s="127">
        <f t="shared" si="1"/>
        <v>1310.8656284785122</v>
      </c>
      <c r="AX175" s="127">
        <f t="shared" si="1"/>
        <v>1772.332745878726</v>
      </c>
      <c r="AY175" s="127">
        <f t="shared" si="1"/>
        <v>1815.2605546071918</v>
      </c>
    </row>
    <row r="176" spans="1:52" x14ac:dyDescent="0.2">
      <c r="A176" s="128"/>
      <c r="B176" s="139" t="s">
        <v>299</v>
      </c>
      <c r="C176" s="128" t="s">
        <v>293</v>
      </c>
      <c r="D176" s="128">
        <v>0</v>
      </c>
      <c r="E176" s="128">
        <v>0</v>
      </c>
      <c r="F176" s="128">
        <v>0</v>
      </c>
      <c r="G176" s="128">
        <v>0</v>
      </c>
      <c r="H176" s="128">
        <v>0</v>
      </c>
      <c r="I176" s="128">
        <v>0</v>
      </c>
      <c r="J176" s="128">
        <v>0</v>
      </c>
      <c r="K176" s="128">
        <v>0</v>
      </c>
      <c r="L176" s="128">
        <v>0</v>
      </c>
      <c r="M176" s="128">
        <v>0</v>
      </c>
      <c r="N176" s="128">
        <v>0</v>
      </c>
      <c r="O176" s="128">
        <v>0</v>
      </c>
      <c r="P176" s="128">
        <v>0</v>
      </c>
      <c r="Q176" s="128">
        <v>0</v>
      </c>
      <c r="R176" s="128">
        <v>0</v>
      </c>
      <c r="S176" s="128">
        <v>0</v>
      </c>
      <c r="T176" s="128">
        <v>0</v>
      </c>
      <c r="U176" s="128">
        <v>0</v>
      </c>
      <c r="V176" s="128">
        <v>0</v>
      </c>
      <c r="W176" s="128">
        <v>0</v>
      </c>
      <c r="X176" s="128">
        <v>0</v>
      </c>
      <c r="Y176" s="128">
        <v>0</v>
      </c>
      <c r="Z176" s="128">
        <v>0</v>
      </c>
      <c r="AA176" s="128">
        <v>0</v>
      </c>
      <c r="AB176" s="128">
        <v>0</v>
      </c>
      <c r="AC176" s="128">
        <v>0</v>
      </c>
      <c r="AD176" s="128">
        <v>177.49917245382767</v>
      </c>
      <c r="AE176" s="128">
        <v>70.891747336712342</v>
      </c>
      <c r="AF176" s="128">
        <v>841.19144704831081</v>
      </c>
      <c r="AG176" s="128">
        <v>372.81819196876222</v>
      </c>
      <c r="AH176" s="128">
        <v>754.69507245222894</v>
      </c>
      <c r="AI176" s="128">
        <v>265.55456704803555</v>
      </c>
      <c r="AJ176" s="128">
        <v>0</v>
      </c>
      <c r="AK176" s="128">
        <v>0</v>
      </c>
      <c r="AL176" s="128">
        <v>0</v>
      </c>
      <c r="AM176" s="128">
        <v>0</v>
      </c>
      <c r="AN176" s="128">
        <v>0</v>
      </c>
      <c r="AO176" s="128">
        <v>0</v>
      </c>
      <c r="AP176" s="128">
        <v>0</v>
      </c>
      <c r="AQ176" s="128">
        <v>0</v>
      </c>
      <c r="AR176" s="128">
        <v>0</v>
      </c>
      <c r="AS176" s="128">
        <v>0</v>
      </c>
      <c r="AT176" s="128">
        <v>114.94894216344801</v>
      </c>
      <c r="AU176" s="128">
        <v>587.29293054413529</v>
      </c>
      <c r="AV176" s="128">
        <v>1039.885579692505</v>
      </c>
      <c r="AW176" s="128">
        <v>1145</v>
      </c>
      <c r="AX176" s="128">
        <v>935</v>
      </c>
      <c r="AY176" s="128">
        <v>1013</v>
      </c>
    </row>
    <row r="177" spans="1:51" x14ac:dyDescent="0.2">
      <c r="A177" s="138" t="s">
        <v>133</v>
      </c>
      <c r="B177" s="138" t="s">
        <v>298</v>
      </c>
      <c r="C177" s="127" t="s">
        <v>293</v>
      </c>
      <c r="D177" s="127">
        <f t="shared" ref="D177:AY177" si="2">SUM(D100:D107)</f>
        <v>0</v>
      </c>
      <c r="E177" s="127">
        <f t="shared" si="2"/>
        <v>0</v>
      </c>
      <c r="F177" s="127">
        <f t="shared" si="2"/>
        <v>0</v>
      </c>
      <c r="G177" s="127">
        <f t="shared" si="2"/>
        <v>0</v>
      </c>
      <c r="H177" s="127">
        <f t="shared" si="2"/>
        <v>0</v>
      </c>
      <c r="I177" s="127">
        <f t="shared" si="2"/>
        <v>60.333803838014667</v>
      </c>
      <c r="J177" s="127">
        <f t="shared" si="2"/>
        <v>460.44654963279999</v>
      </c>
      <c r="K177" s="127">
        <f t="shared" si="2"/>
        <v>135.64462910372967</v>
      </c>
      <c r="L177" s="127">
        <f t="shared" si="2"/>
        <v>864.79948297764633</v>
      </c>
      <c r="M177" s="127">
        <f t="shared" si="2"/>
        <v>152.67807282692706</v>
      </c>
      <c r="N177" s="127">
        <f t="shared" si="2"/>
        <v>992.67807282692706</v>
      </c>
      <c r="O177" s="127">
        <f t="shared" si="2"/>
        <v>152.67807282692706</v>
      </c>
      <c r="P177" s="127">
        <f t="shared" si="2"/>
        <v>992.67807282692706</v>
      </c>
      <c r="Q177" s="127">
        <f t="shared" si="2"/>
        <v>152.67807282692706</v>
      </c>
      <c r="R177" s="127">
        <f t="shared" si="2"/>
        <v>983.73602208876355</v>
      </c>
      <c r="S177" s="127">
        <f t="shared" si="2"/>
        <v>116.17807282692708</v>
      </c>
      <c r="T177" s="127">
        <f t="shared" si="2"/>
        <v>992.67807282692706</v>
      </c>
      <c r="U177" s="127">
        <f t="shared" si="2"/>
        <v>366.35614565385413</v>
      </c>
      <c r="V177" s="127">
        <f t="shared" si="2"/>
        <v>536.17807282692706</v>
      </c>
      <c r="W177" s="127">
        <f t="shared" si="2"/>
        <v>152.67807282692706</v>
      </c>
      <c r="X177" s="127">
        <f t="shared" si="2"/>
        <v>536.17807282692706</v>
      </c>
      <c r="Y177" s="127">
        <f t="shared" si="2"/>
        <v>501.59360087092847</v>
      </c>
      <c r="Z177" s="127">
        <f t="shared" si="2"/>
        <v>456.5</v>
      </c>
      <c r="AA177" s="127">
        <f t="shared" si="2"/>
        <v>725.35614565385413</v>
      </c>
      <c r="AB177" s="127">
        <f t="shared" si="2"/>
        <v>536.17807282692706</v>
      </c>
      <c r="AC177" s="127">
        <f t="shared" si="2"/>
        <v>609.17807282692706</v>
      </c>
      <c r="AD177" s="127">
        <f t="shared" si="2"/>
        <v>116.17807282692709</v>
      </c>
      <c r="AE177" s="127">
        <f t="shared" si="2"/>
        <v>992.67807282692706</v>
      </c>
      <c r="AF177" s="127">
        <f t="shared" si="2"/>
        <v>0</v>
      </c>
      <c r="AG177" s="127">
        <f t="shared" si="2"/>
        <v>1145.3561456538541</v>
      </c>
      <c r="AH177" s="127">
        <f t="shared" si="2"/>
        <v>116.17807282692708</v>
      </c>
      <c r="AI177" s="127">
        <f t="shared" si="2"/>
        <v>572.67807282692706</v>
      </c>
      <c r="AJ177" s="127">
        <f t="shared" si="2"/>
        <v>572.67807282692706</v>
      </c>
      <c r="AK177" s="127">
        <f t="shared" si="2"/>
        <v>1029.1780728269271</v>
      </c>
      <c r="AL177" s="127">
        <f t="shared" si="2"/>
        <v>152.67807282692706</v>
      </c>
      <c r="AM177" s="127">
        <f t="shared" si="2"/>
        <v>992.67807282692706</v>
      </c>
      <c r="AN177" s="127">
        <f t="shared" si="2"/>
        <v>152.67807282692706</v>
      </c>
      <c r="AO177" s="127">
        <f t="shared" si="2"/>
        <v>536.17807282692706</v>
      </c>
      <c r="AP177" s="127">
        <f t="shared" si="2"/>
        <v>571.13023937744697</v>
      </c>
      <c r="AQ177" s="127">
        <f t="shared" si="2"/>
        <v>1026.8265759147212</v>
      </c>
      <c r="AR177" s="127">
        <f t="shared" si="2"/>
        <v>472.50464874164823</v>
      </c>
      <c r="AS177" s="127">
        <f t="shared" si="2"/>
        <v>992.67807282692706</v>
      </c>
      <c r="AT177" s="127">
        <f t="shared" si="2"/>
        <v>152.67807282692706</v>
      </c>
      <c r="AU177" s="127">
        <f t="shared" si="2"/>
        <v>536.17807282692706</v>
      </c>
      <c r="AV177" s="127">
        <f t="shared" si="2"/>
        <v>609.17807282692706</v>
      </c>
      <c r="AW177" s="127">
        <f t="shared" si="2"/>
        <v>536.17807282692706</v>
      </c>
      <c r="AX177" s="127">
        <f t="shared" si="2"/>
        <v>116.17807282692708</v>
      </c>
      <c r="AY177" s="127">
        <f t="shared" si="2"/>
        <v>1029.1780728269271</v>
      </c>
    </row>
    <row r="178" spans="1:51" x14ac:dyDescent="0.2">
      <c r="A178" s="128"/>
      <c r="B178" s="139" t="s">
        <v>299</v>
      </c>
      <c r="C178" s="128" t="s">
        <v>293</v>
      </c>
      <c r="D178" s="128">
        <v>0</v>
      </c>
      <c r="E178" s="128">
        <v>0</v>
      </c>
      <c r="F178" s="128">
        <v>0</v>
      </c>
      <c r="G178" s="128">
        <v>0</v>
      </c>
      <c r="H178" s="128">
        <v>0</v>
      </c>
      <c r="I178" s="128">
        <v>60.333803838014667</v>
      </c>
      <c r="J178" s="128">
        <v>460.44654963279999</v>
      </c>
      <c r="K178" s="128">
        <v>135.64462910372967</v>
      </c>
      <c r="L178" s="128">
        <v>864.79948297764633</v>
      </c>
      <c r="M178" s="128">
        <v>152.67807282692706</v>
      </c>
      <c r="N178" s="128">
        <v>992.67807282692706</v>
      </c>
      <c r="O178" s="128">
        <v>152.67807282692706</v>
      </c>
      <c r="P178" s="128">
        <v>992.67807282692706</v>
      </c>
      <c r="Q178" s="128">
        <v>152.67807282692706</v>
      </c>
      <c r="R178" s="128">
        <v>983.73602208876355</v>
      </c>
      <c r="S178" s="128">
        <v>116.17807282692708</v>
      </c>
      <c r="T178" s="128">
        <v>779</v>
      </c>
      <c r="U178" s="128">
        <v>366.35614565385413</v>
      </c>
      <c r="V178" s="128">
        <v>536.17807282692706</v>
      </c>
      <c r="W178" s="128">
        <v>152.67807282692706</v>
      </c>
      <c r="X178" s="128">
        <v>536.17807282692706</v>
      </c>
      <c r="Y178" s="128">
        <v>501.59360087092847</v>
      </c>
      <c r="Z178" s="128">
        <v>456.5</v>
      </c>
      <c r="AA178" s="128">
        <v>725.35614565385413</v>
      </c>
      <c r="AB178" s="128">
        <v>536.17807282692706</v>
      </c>
      <c r="AC178" s="128">
        <v>609.17807282692706</v>
      </c>
      <c r="AD178" s="128">
        <v>116.17807282692709</v>
      </c>
      <c r="AE178" s="128">
        <v>992.67807282692706</v>
      </c>
      <c r="AF178" s="128">
        <v>0</v>
      </c>
      <c r="AG178" s="128">
        <v>1145.3561456538541</v>
      </c>
      <c r="AH178" s="128">
        <v>116.17807282692708</v>
      </c>
      <c r="AI178" s="128">
        <v>572.67807282692706</v>
      </c>
      <c r="AJ178" s="128">
        <v>572.67807282692706</v>
      </c>
      <c r="AK178" s="128">
        <v>1029.1780728269271</v>
      </c>
      <c r="AL178" s="128">
        <v>152.67807282692706</v>
      </c>
      <c r="AM178" s="128">
        <v>992.67807282692706</v>
      </c>
      <c r="AN178" s="128">
        <v>152.67807282692706</v>
      </c>
      <c r="AO178" s="128">
        <v>536.17807282692706</v>
      </c>
      <c r="AP178" s="128">
        <v>571.13023937744697</v>
      </c>
      <c r="AQ178" s="128">
        <v>707</v>
      </c>
      <c r="AR178" s="128">
        <v>472.50464874164823</v>
      </c>
      <c r="AS178" s="128">
        <v>992.67807282692706</v>
      </c>
      <c r="AT178" s="128">
        <v>152.67807282692706</v>
      </c>
      <c r="AU178" s="128">
        <v>536.17807282692706</v>
      </c>
      <c r="AV178" s="128">
        <v>609.17807282692706</v>
      </c>
      <c r="AW178" s="128">
        <v>536.17807282692706</v>
      </c>
      <c r="AX178" s="128">
        <v>116.17807282692708</v>
      </c>
      <c r="AY178" s="128">
        <v>1029.1780728269271</v>
      </c>
    </row>
    <row r="179" spans="1:51" x14ac:dyDescent="0.2">
      <c r="A179" s="138" t="s">
        <v>134</v>
      </c>
      <c r="B179" s="138" t="s">
        <v>298</v>
      </c>
      <c r="C179" s="127" t="s">
        <v>293</v>
      </c>
      <c r="D179" s="127">
        <f t="shared" ref="D179:AY179" si="3">SUM(D109:D120)</f>
        <v>9661.4461645014781</v>
      </c>
      <c r="E179" s="127">
        <f t="shared" si="3"/>
        <v>21005.459172752351</v>
      </c>
      <c r="F179" s="127">
        <f t="shared" si="3"/>
        <v>27344.423247996419</v>
      </c>
      <c r="G179" s="127">
        <f t="shared" si="3"/>
        <v>30169.514660100242</v>
      </c>
      <c r="H179" s="127">
        <f t="shared" si="3"/>
        <v>32190.09770534197</v>
      </c>
      <c r="I179" s="127">
        <f t="shared" si="3"/>
        <v>32032.763746699438</v>
      </c>
      <c r="J179" s="127">
        <f t="shared" si="3"/>
        <v>31683.132419899051</v>
      </c>
      <c r="K179" s="127">
        <f t="shared" si="3"/>
        <v>31847.266384362261</v>
      </c>
      <c r="L179" s="127">
        <f t="shared" si="3"/>
        <v>31041.121431527623</v>
      </c>
      <c r="M179" s="127">
        <f t="shared" si="3"/>
        <v>33074.558261307851</v>
      </c>
      <c r="N179" s="127">
        <f t="shared" si="3"/>
        <v>32459.955170102647</v>
      </c>
      <c r="O179" s="127">
        <f t="shared" si="3"/>
        <v>33790.991323929491</v>
      </c>
      <c r="P179" s="127">
        <f t="shared" si="3"/>
        <v>32765.851951403823</v>
      </c>
      <c r="Q179" s="127">
        <f t="shared" si="3"/>
        <v>32909.612347117501</v>
      </c>
      <c r="R179" s="127">
        <f t="shared" si="3"/>
        <v>31665.590916398232</v>
      </c>
      <c r="S179" s="127">
        <f t="shared" si="3"/>
        <v>32204.558953901811</v>
      </c>
      <c r="T179" s="127">
        <f t="shared" si="3"/>
        <v>31320.15123887725</v>
      </c>
      <c r="U179" s="127">
        <f t="shared" si="3"/>
        <v>32067.191709253439</v>
      </c>
      <c r="V179" s="127">
        <f t="shared" si="3"/>
        <v>31899.730158080467</v>
      </c>
      <c r="W179" s="127">
        <f t="shared" si="3"/>
        <v>32275.508131279737</v>
      </c>
      <c r="X179" s="127">
        <f t="shared" si="3"/>
        <v>31957.8272112505</v>
      </c>
      <c r="Y179" s="127">
        <f t="shared" si="3"/>
        <v>33161.047963273522</v>
      </c>
      <c r="Z179" s="127">
        <f t="shared" si="3"/>
        <v>33978.873741371142</v>
      </c>
      <c r="AA179" s="127">
        <f t="shared" si="3"/>
        <v>33815.396283123548</v>
      </c>
      <c r="AB179" s="127">
        <f t="shared" si="3"/>
        <v>33906.629307480849</v>
      </c>
      <c r="AC179" s="127">
        <f t="shared" si="3"/>
        <v>34038.599134771146</v>
      </c>
      <c r="AD179" s="127">
        <f t="shared" si="3"/>
        <v>34434.076326220507</v>
      </c>
      <c r="AE179" s="127">
        <f t="shared" si="3"/>
        <v>33366.029207674801</v>
      </c>
      <c r="AF179" s="127">
        <f t="shared" si="3"/>
        <v>33514.43439125031</v>
      </c>
      <c r="AG179" s="127">
        <f t="shared" si="3"/>
        <v>32121.400358954437</v>
      </c>
      <c r="AH179" s="127">
        <f t="shared" si="3"/>
        <v>32337.365057553128</v>
      </c>
      <c r="AI179" s="127">
        <f t="shared" si="3"/>
        <v>32286.755242338222</v>
      </c>
      <c r="AJ179" s="127">
        <f t="shared" si="3"/>
        <v>32382.2284780472</v>
      </c>
      <c r="AK179" s="127">
        <f t="shared" si="3"/>
        <v>31646.008253020529</v>
      </c>
      <c r="AL179" s="127">
        <f t="shared" si="3"/>
        <v>32231.059945267061</v>
      </c>
      <c r="AM179" s="127">
        <f t="shared" si="3"/>
        <v>31300.261727413243</v>
      </c>
      <c r="AN179" s="127">
        <f t="shared" si="3"/>
        <v>32156.101047524327</v>
      </c>
      <c r="AO179" s="127">
        <f t="shared" si="3"/>
        <v>32735.176895861936</v>
      </c>
      <c r="AP179" s="127">
        <f t="shared" si="3"/>
        <v>32996.390059066158</v>
      </c>
      <c r="AQ179" s="127">
        <f t="shared" si="3"/>
        <v>32512.0458672561</v>
      </c>
      <c r="AR179" s="127">
        <f t="shared" si="3"/>
        <v>33193.857048999809</v>
      </c>
      <c r="AS179" s="127">
        <f t="shared" si="3"/>
        <v>33966.709852315988</v>
      </c>
      <c r="AT179" s="127">
        <f t="shared" si="3"/>
        <v>35800.841263663402</v>
      </c>
      <c r="AU179" s="127">
        <f t="shared" si="3"/>
        <v>34901.943721428324</v>
      </c>
      <c r="AV179" s="127">
        <f t="shared" si="3"/>
        <v>34199.207275689208</v>
      </c>
      <c r="AW179" s="127">
        <f t="shared" si="3"/>
        <v>33123.525843643452</v>
      </c>
      <c r="AX179" s="127">
        <f t="shared" si="3"/>
        <v>33202.18019698812</v>
      </c>
      <c r="AY179" s="127">
        <f t="shared" si="3"/>
        <v>32172.30316425909</v>
      </c>
    </row>
    <row r="180" spans="1:51" x14ac:dyDescent="0.2">
      <c r="A180" s="128"/>
      <c r="B180" s="139" t="s">
        <v>299</v>
      </c>
      <c r="C180" s="128" t="s">
        <v>293</v>
      </c>
      <c r="D180" s="128">
        <v>950</v>
      </c>
      <c r="E180" s="128">
        <v>1152</v>
      </c>
      <c r="F180" s="128">
        <v>1107</v>
      </c>
      <c r="G180" s="128">
        <v>1225</v>
      </c>
      <c r="H180" s="128">
        <v>1480</v>
      </c>
      <c r="I180" s="128">
        <v>1744</v>
      </c>
      <c r="J180" s="128">
        <v>1448</v>
      </c>
      <c r="K180" s="128">
        <v>1861</v>
      </c>
      <c r="L180" s="128">
        <v>650</v>
      </c>
      <c r="M180" s="128">
        <v>603</v>
      </c>
      <c r="N180" s="128">
        <v>769</v>
      </c>
      <c r="O180" s="128">
        <v>746</v>
      </c>
      <c r="P180" s="128">
        <v>1248</v>
      </c>
      <c r="Q180" s="128">
        <v>1310</v>
      </c>
      <c r="R180" s="128">
        <v>1026</v>
      </c>
      <c r="S180" s="128">
        <v>1211</v>
      </c>
      <c r="T180" s="128">
        <v>813</v>
      </c>
      <c r="U180" s="128">
        <v>1058</v>
      </c>
      <c r="V180" s="128">
        <v>972</v>
      </c>
      <c r="W180" s="128">
        <v>806</v>
      </c>
      <c r="X180" s="128">
        <v>2125</v>
      </c>
      <c r="Y180" s="128">
        <v>2566</v>
      </c>
      <c r="Z180" s="128">
        <v>2680</v>
      </c>
      <c r="AA180" s="128">
        <v>3059</v>
      </c>
      <c r="AB180" s="128">
        <v>2023</v>
      </c>
      <c r="AC180" s="128">
        <v>2411</v>
      </c>
      <c r="AD180" s="128">
        <v>2474.544029090514</v>
      </c>
      <c r="AE180" s="128">
        <v>2557</v>
      </c>
      <c r="AF180" s="128">
        <v>3169</v>
      </c>
      <c r="AG180" s="128">
        <v>2016.3535049613763</v>
      </c>
      <c r="AH180" s="128">
        <v>2857.6407558344122</v>
      </c>
      <c r="AI180" s="128">
        <v>2912.6334629439411</v>
      </c>
      <c r="AJ180" s="128">
        <v>1976</v>
      </c>
      <c r="AK180" s="128">
        <v>2345</v>
      </c>
      <c r="AL180" s="128">
        <v>1892</v>
      </c>
      <c r="AM180" s="128">
        <v>2192</v>
      </c>
      <c r="AN180" s="128">
        <v>905</v>
      </c>
      <c r="AO180" s="128">
        <v>967</v>
      </c>
      <c r="AP180" s="128">
        <v>833</v>
      </c>
      <c r="AQ180" s="128">
        <v>904</v>
      </c>
      <c r="AR180" s="128">
        <v>1079</v>
      </c>
      <c r="AS180" s="128">
        <v>1241</v>
      </c>
      <c r="AT180" s="128">
        <v>1125.4595035735024</v>
      </c>
      <c r="AU180" s="128">
        <v>972.6260981902642</v>
      </c>
      <c r="AV180" s="128">
        <v>1659.8352920800044</v>
      </c>
      <c r="AW180" s="128">
        <v>1665.1686971599818</v>
      </c>
      <c r="AX180" s="128">
        <v>1285.1823687904514</v>
      </c>
      <c r="AY180" s="128">
        <v>1356.0775696129933</v>
      </c>
    </row>
    <row r="181" spans="1:51" x14ac:dyDescent="0.2">
      <c r="A181" s="138" t="s">
        <v>123</v>
      </c>
      <c r="B181" s="138" t="s">
        <v>298</v>
      </c>
      <c r="C181" s="127" t="s">
        <v>293</v>
      </c>
      <c r="D181" s="127">
        <f t="shared" ref="D181:AY181" si="4">(1-D172)*SUM(D122:D169)</f>
        <v>18050.420061162717</v>
      </c>
      <c r="E181" s="127">
        <f t="shared" si="4"/>
        <v>11908.455985918647</v>
      </c>
      <c r="F181" s="127">
        <f t="shared" si="4"/>
        <v>8476.364573814828</v>
      </c>
      <c r="G181" s="127">
        <f t="shared" si="4"/>
        <v>6946.781528573094</v>
      </c>
      <c r="H181" s="127">
        <f t="shared" si="4"/>
        <v>5852.7816833776124</v>
      </c>
      <c r="I181" s="127">
        <f t="shared" si="4"/>
        <v>5905.3002643832169</v>
      </c>
      <c r="J181" s="127">
        <f t="shared" si="4"/>
        <v>5877.9682204490809</v>
      </c>
      <c r="K181" s="127">
        <f t="shared" si="4"/>
        <v>5964.9583194098004</v>
      </c>
      <c r="L181" s="127">
        <f t="shared" si="4"/>
        <v>6006.6428997802823</v>
      </c>
      <c r="M181" s="127">
        <f t="shared" si="4"/>
        <v>5291.2459909854942</v>
      </c>
      <c r="N181" s="127">
        <f t="shared" si="4"/>
        <v>5169.2098371586471</v>
      </c>
      <c r="O181" s="127">
        <f t="shared" si="4"/>
        <v>4903.3492096843183</v>
      </c>
      <c r="P181" s="127">
        <f t="shared" si="4"/>
        <v>5003.5888139706358</v>
      </c>
      <c r="Q181" s="127">
        <f t="shared" si="4"/>
        <v>5380.5522954280741</v>
      </c>
      <c r="R181" s="127">
        <f t="shared" si="4"/>
        <v>5604.142207186329</v>
      </c>
      <c r="S181" s="127">
        <f t="shared" si="4"/>
        <v>5782.0499222108901</v>
      </c>
      <c r="T181" s="127">
        <f t="shared" si="4"/>
        <v>5786.3313790077764</v>
      </c>
      <c r="U181" s="127">
        <f t="shared" si="4"/>
        <v>5720.971003007674</v>
      </c>
      <c r="V181" s="127">
        <f t="shared" si="4"/>
        <v>5719.6930298084044</v>
      </c>
      <c r="W181" s="127">
        <f t="shared" si="4"/>
        <v>5723.8739498376453</v>
      </c>
      <c r="X181" s="127">
        <f t="shared" si="4"/>
        <v>5688.2376697706186</v>
      </c>
      <c r="Y181" s="127">
        <f t="shared" si="4"/>
        <v>5055.5054925439217</v>
      </c>
      <c r="Z181" s="127">
        <f t="shared" si="4"/>
        <v>4637.1268051376637</v>
      </c>
      <c r="AA181" s="127">
        <f t="shared" si="4"/>
        <v>4580.0718536072973</v>
      </c>
      <c r="AB181" s="127">
        <f t="shared" si="4"/>
        <v>4633.1020263169885</v>
      </c>
      <c r="AC181" s="127">
        <f t="shared" si="4"/>
        <v>4522.1256624138077</v>
      </c>
      <c r="AD181" s="127">
        <f t="shared" si="4"/>
        <v>4478.8242351671452</v>
      </c>
      <c r="AE181" s="127">
        <f t="shared" si="4"/>
        <v>4640.2533956164416</v>
      </c>
      <c r="AF181" s="127">
        <f t="shared" si="4"/>
        <v>4680.3045373380073</v>
      </c>
      <c r="AG181" s="127">
        <f t="shared" si="4"/>
        <v>5067.9945360441598</v>
      </c>
      <c r="AH181" s="127">
        <f t="shared" si="4"/>
        <v>5301.5321075363008</v>
      </c>
      <c r="AI181" s="127">
        <f t="shared" si="4"/>
        <v>5346.6061459848797</v>
      </c>
      <c r="AJ181" s="127">
        <f t="shared" si="4"/>
        <v>5438.6929080676045</v>
      </c>
      <c r="AK181" s="127">
        <f t="shared" si="4"/>
        <v>5590.1412158210769</v>
      </c>
      <c r="AL181" s="127">
        <f t="shared" si="4"/>
        <v>5747.9394336748937</v>
      </c>
      <c r="AM181" s="127">
        <f t="shared" si="4"/>
        <v>5797.1001135638116</v>
      </c>
      <c r="AN181" s="127">
        <f t="shared" si="4"/>
        <v>5788.5242652262068</v>
      </c>
      <c r="AO181" s="127">
        <f t="shared" si="4"/>
        <v>5267.358935471465</v>
      </c>
      <c r="AP181" s="127">
        <f t="shared" si="4"/>
        <v>5107.0067907442517</v>
      </c>
      <c r="AQ181" s="127">
        <f t="shared" si="4"/>
        <v>5122.5175361736037</v>
      </c>
      <c r="AR181" s="127">
        <f t="shared" si="4"/>
        <v>5053.4913087721507</v>
      </c>
      <c r="AS181" s="127">
        <f t="shared" si="4"/>
        <v>4353.410955261289</v>
      </c>
      <c r="AT181" s="127">
        <f t="shared" si="4"/>
        <v>3752.9240126891873</v>
      </c>
      <c r="AU181" s="127">
        <f t="shared" si="4"/>
        <v>3776.2344038966862</v>
      </c>
      <c r="AV181" s="127">
        <f t="shared" si="4"/>
        <v>3872.144981046175</v>
      </c>
      <c r="AW181" s="127">
        <f t="shared" si="4"/>
        <v>4347.3569153812732</v>
      </c>
      <c r="AX181" s="127">
        <f t="shared" si="4"/>
        <v>4282.3198110123058</v>
      </c>
      <c r="AY181" s="127">
        <f t="shared" si="4"/>
        <v>4322.357977124535</v>
      </c>
    </row>
    <row r="182" spans="1:51" x14ac:dyDescent="0.2">
      <c r="A182" s="128"/>
      <c r="B182" s="139" t="s">
        <v>299</v>
      </c>
      <c r="C182" s="128" t="s">
        <v>293</v>
      </c>
      <c r="D182" s="128">
        <v>1685</v>
      </c>
      <c r="E182" s="128">
        <v>1882</v>
      </c>
      <c r="F182" s="128">
        <v>1275</v>
      </c>
      <c r="G182" s="128">
        <v>1766</v>
      </c>
      <c r="H182" s="128">
        <v>575</v>
      </c>
      <c r="I182" s="128">
        <v>678</v>
      </c>
      <c r="J182" s="128">
        <v>490</v>
      </c>
      <c r="K182" s="128">
        <v>500</v>
      </c>
      <c r="L182" s="128">
        <v>1863</v>
      </c>
      <c r="M182" s="128">
        <v>1373</v>
      </c>
      <c r="N182" s="128">
        <v>1742</v>
      </c>
      <c r="O182" s="128">
        <v>1291</v>
      </c>
      <c r="P182" s="128">
        <v>695</v>
      </c>
      <c r="Q182" s="128">
        <v>659</v>
      </c>
      <c r="R182" s="128">
        <v>554</v>
      </c>
      <c r="S182" s="128">
        <v>724</v>
      </c>
      <c r="T182" s="128">
        <v>849</v>
      </c>
      <c r="U182" s="128">
        <v>786</v>
      </c>
      <c r="V182" s="128">
        <v>777</v>
      </c>
      <c r="W182" s="128">
        <v>847</v>
      </c>
      <c r="X182" s="128">
        <v>1980</v>
      </c>
      <c r="Y182" s="128">
        <v>2120</v>
      </c>
      <c r="Z182" s="128">
        <v>1807</v>
      </c>
      <c r="AA182" s="128">
        <v>1652</v>
      </c>
      <c r="AB182" s="128">
        <v>1910</v>
      </c>
      <c r="AC182" s="128">
        <v>1879</v>
      </c>
      <c r="AD182" s="128">
        <v>1537.5440290905142</v>
      </c>
      <c r="AE182" s="128">
        <v>1625</v>
      </c>
      <c r="AF182" s="128">
        <v>949</v>
      </c>
      <c r="AG182" s="128">
        <v>905.3535049613763</v>
      </c>
      <c r="AH182" s="128">
        <v>1055.6407558344124</v>
      </c>
      <c r="AI182" s="128">
        <v>930.63346294394103</v>
      </c>
      <c r="AJ182" s="128">
        <v>743</v>
      </c>
      <c r="AK182" s="128">
        <v>603</v>
      </c>
      <c r="AL182" s="128">
        <v>670</v>
      </c>
      <c r="AM182" s="128">
        <v>735</v>
      </c>
      <c r="AN182" s="128">
        <v>1689</v>
      </c>
      <c r="AO182" s="128">
        <v>1464</v>
      </c>
      <c r="AP182" s="128">
        <v>1275</v>
      </c>
      <c r="AQ182" s="128">
        <v>1418</v>
      </c>
      <c r="AR182" s="128">
        <v>2642</v>
      </c>
      <c r="AS182" s="128">
        <v>3051</v>
      </c>
      <c r="AT182" s="128">
        <v>2407.4595035735024</v>
      </c>
      <c r="AU182" s="128">
        <v>2253.6260981902642</v>
      </c>
      <c r="AV182" s="128">
        <v>1471.8352920800044</v>
      </c>
      <c r="AW182" s="128">
        <v>2067.1686971599815</v>
      </c>
      <c r="AX182" s="128">
        <v>1928.1823687904514</v>
      </c>
      <c r="AY182" s="128">
        <v>1454.0775696129933</v>
      </c>
    </row>
    <row r="184" spans="1:51" x14ac:dyDescent="0.2">
      <c r="A184" s="1" t="s">
        <v>300</v>
      </c>
    </row>
    <row r="185" spans="1:51" x14ac:dyDescent="0.2">
      <c r="A185" s="129" t="s">
        <v>125</v>
      </c>
      <c r="B185" s="126">
        <v>1</v>
      </c>
      <c r="C185" s="127">
        <v>0</v>
      </c>
      <c r="D185" s="127">
        <v>0</v>
      </c>
      <c r="E185" s="127">
        <v>0</v>
      </c>
      <c r="F185" s="127">
        <v>0</v>
      </c>
      <c r="G185" s="127">
        <v>0</v>
      </c>
      <c r="H185" s="127">
        <v>0</v>
      </c>
      <c r="I185" s="127">
        <v>0</v>
      </c>
      <c r="J185" s="127">
        <v>0</v>
      </c>
      <c r="K185" s="127">
        <v>0</v>
      </c>
      <c r="L185" s="127">
        <v>0</v>
      </c>
      <c r="M185" s="127">
        <v>0</v>
      </c>
      <c r="N185" s="127">
        <v>0</v>
      </c>
      <c r="O185" s="127">
        <v>0</v>
      </c>
      <c r="P185" s="127">
        <v>0</v>
      </c>
      <c r="Q185" s="127">
        <v>0</v>
      </c>
      <c r="R185" s="127">
        <v>0</v>
      </c>
      <c r="S185" s="127">
        <v>0</v>
      </c>
      <c r="T185" s="127">
        <v>0</v>
      </c>
      <c r="U185" s="127">
        <v>0</v>
      </c>
      <c r="V185" s="127">
        <v>0</v>
      </c>
      <c r="W185" s="127">
        <v>0</v>
      </c>
      <c r="X185" s="127">
        <v>0</v>
      </c>
      <c r="Y185" s="127">
        <v>0</v>
      </c>
      <c r="Z185" s="127">
        <v>0</v>
      </c>
      <c r="AA185" s="127">
        <v>0</v>
      </c>
      <c r="AB185" s="127">
        <v>0</v>
      </c>
      <c r="AC185" s="127">
        <v>0</v>
      </c>
      <c r="AD185" s="127">
        <v>177.49917245382767</v>
      </c>
      <c r="AE185" s="127">
        <v>70.891747336712342</v>
      </c>
      <c r="AF185" s="127">
        <v>841.19144704831081</v>
      </c>
      <c r="AG185" s="127">
        <v>372.81819196876222</v>
      </c>
      <c r="AH185" s="127">
        <v>754.69507245222894</v>
      </c>
      <c r="AI185" s="127">
        <v>265.55456704803555</v>
      </c>
      <c r="AJ185" s="127">
        <v>0</v>
      </c>
      <c r="AK185" s="127">
        <v>0</v>
      </c>
      <c r="AL185" s="127">
        <v>0</v>
      </c>
      <c r="AM185" s="127">
        <v>0</v>
      </c>
      <c r="AN185" s="127">
        <v>0</v>
      </c>
      <c r="AO185" s="127">
        <v>0</v>
      </c>
      <c r="AP185" s="127">
        <v>0</v>
      </c>
      <c r="AQ185" s="127">
        <v>0</v>
      </c>
      <c r="AR185" s="127">
        <v>0</v>
      </c>
      <c r="AS185" s="127">
        <v>0</v>
      </c>
      <c r="AT185" s="127">
        <v>114.94894216344801</v>
      </c>
      <c r="AU185" s="127">
        <v>587.29293054413529</v>
      </c>
      <c r="AV185" s="127">
        <v>1039.885579692505</v>
      </c>
      <c r="AW185" s="127">
        <v>1145</v>
      </c>
      <c r="AX185" s="127">
        <v>935</v>
      </c>
      <c r="AY185" s="127">
        <v>1013</v>
      </c>
    </row>
    <row r="186" spans="1:51" x14ac:dyDescent="0.2">
      <c r="A186" s="113"/>
      <c r="B186" s="123">
        <v>2</v>
      </c>
      <c r="C186" s="110">
        <v>0</v>
      </c>
      <c r="D186" s="110">
        <v>0</v>
      </c>
      <c r="E186" s="110">
        <v>0</v>
      </c>
      <c r="F186" s="110">
        <v>0</v>
      </c>
      <c r="G186" s="110">
        <v>0</v>
      </c>
      <c r="H186" s="110">
        <v>0</v>
      </c>
      <c r="I186" s="110">
        <v>0</v>
      </c>
      <c r="J186" s="110">
        <v>0</v>
      </c>
      <c r="K186" s="110">
        <v>0</v>
      </c>
      <c r="L186" s="110">
        <v>0</v>
      </c>
      <c r="M186" s="110">
        <v>0</v>
      </c>
      <c r="N186" s="110">
        <v>0</v>
      </c>
      <c r="O186" s="110">
        <v>0</v>
      </c>
      <c r="P186" s="110">
        <v>0</v>
      </c>
      <c r="Q186" s="110">
        <v>0</v>
      </c>
      <c r="R186" s="110">
        <v>0</v>
      </c>
      <c r="S186" s="110">
        <v>0</v>
      </c>
      <c r="T186" s="110">
        <v>0</v>
      </c>
      <c r="U186" s="110">
        <v>0</v>
      </c>
      <c r="V186" s="110">
        <v>0</v>
      </c>
      <c r="W186" s="110">
        <v>0</v>
      </c>
      <c r="X186" s="110">
        <v>0</v>
      </c>
      <c r="Y186" s="110">
        <v>0</v>
      </c>
      <c r="Z186" s="110">
        <v>0</v>
      </c>
      <c r="AA186" s="110">
        <v>0</v>
      </c>
      <c r="AB186" s="110">
        <v>0</v>
      </c>
      <c r="AC186" s="110">
        <v>0</v>
      </c>
      <c r="AD186" s="110">
        <v>0</v>
      </c>
      <c r="AE186" s="110">
        <v>0</v>
      </c>
      <c r="AF186" s="110">
        <v>0</v>
      </c>
      <c r="AG186" s="110">
        <v>0</v>
      </c>
      <c r="AH186" s="110">
        <v>0</v>
      </c>
      <c r="AI186" s="110">
        <v>0</v>
      </c>
      <c r="AJ186" s="110">
        <v>0</v>
      </c>
      <c r="AK186" s="110">
        <v>0</v>
      </c>
      <c r="AL186" s="110">
        <v>0</v>
      </c>
      <c r="AM186" s="110">
        <v>0</v>
      </c>
      <c r="AN186" s="110">
        <v>0</v>
      </c>
      <c r="AO186" s="110">
        <v>0</v>
      </c>
      <c r="AP186" s="110">
        <v>0</v>
      </c>
      <c r="AQ186" s="110">
        <v>0</v>
      </c>
      <c r="AR186" s="110">
        <v>0</v>
      </c>
      <c r="AS186" s="110">
        <v>0</v>
      </c>
      <c r="AT186" s="110">
        <v>0</v>
      </c>
      <c r="AU186" s="110">
        <v>0</v>
      </c>
      <c r="AV186" s="110">
        <v>0</v>
      </c>
      <c r="AW186" s="110">
        <v>0</v>
      </c>
      <c r="AX186" s="110">
        <v>0</v>
      </c>
      <c r="AY186" s="110">
        <v>0</v>
      </c>
    </row>
    <row r="187" spans="1:51" x14ac:dyDescent="0.2">
      <c r="A187" s="113"/>
      <c r="B187" s="130">
        <v>3</v>
      </c>
      <c r="C187" s="110">
        <v>0</v>
      </c>
      <c r="D187" s="110">
        <v>0</v>
      </c>
      <c r="E187" s="110">
        <v>0</v>
      </c>
      <c r="F187" s="110">
        <v>0</v>
      </c>
      <c r="G187" s="110">
        <v>0</v>
      </c>
      <c r="H187" s="110">
        <v>0</v>
      </c>
      <c r="I187" s="110">
        <v>0</v>
      </c>
      <c r="J187" s="110">
        <v>0</v>
      </c>
      <c r="K187" s="110">
        <v>0</v>
      </c>
      <c r="L187" s="110">
        <v>0</v>
      </c>
      <c r="M187" s="110">
        <v>0</v>
      </c>
      <c r="N187" s="110">
        <v>0</v>
      </c>
      <c r="O187" s="110">
        <v>0</v>
      </c>
      <c r="P187" s="110">
        <v>0</v>
      </c>
      <c r="Q187" s="110">
        <v>0</v>
      </c>
      <c r="R187" s="110">
        <v>0</v>
      </c>
      <c r="S187" s="110">
        <v>0</v>
      </c>
      <c r="T187" s="110">
        <v>0</v>
      </c>
      <c r="U187" s="110">
        <v>0</v>
      </c>
      <c r="V187" s="110">
        <v>0</v>
      </c>
      <c r="W187" s="110">
        <v>0</v>
      </c>
      <c r="X187" s="110">
        <v>0</v>
      </c>
      <c r="Y187" s="110">
        <v>0</v>
      </c>
      <c r="Z187" s="110">
        <v>0</v>
      </c>
      <c r="AA187" s="110">
        <v>0</v>
      </c>
      <c r="AB187" s="110">
        <v>0</v>
      </c>
      <c r="AC187" s="110">
        <v>0</v>
      </c>
      <c r="AD187" s="110">
        <v>0</v>
      </c>
      <c r="AE187" s="110">
        <v>0</v>
      </c>
      <c r="AF187" s="110">
        <v>0</v>
      </c>
      <c r="AG187" s="110">
        <v>0</v>
      </c>
      <c r="AH187" s="110">
        <v>0</v>
      </c>
      <c r="AI187" s="110">
        <v>0</v>
      </c>
      <c r="AJ187" s="110">
        <v>0</v>
      </c>
      <c r="AK187" s="110">
        <v>0</v>
      </c>
      <c r="AL187" s="110">
        <v>0</v>
      </c>
      <c r="AM187" s="110">
        <v>0</v>
      </c>
      <c r="AN187" s="110">
        <v>0</v>
      </c>
      <c r="AO187" s="110">
        <v>0</v>
      </c>
      <c r="AP187" s="110">
        <v>0</v>
      </c>
      <c r="AQ187" s="110">
        <v>0</v>
      </c>
      <c r="AR187" s="110">
        <v>0</v>
      </c>
      <c r="AS187" s="110">
        <v>0</v>
      </c>
      <c r="AT187" s="110">
        <v>0</v>
      </c>
      <c r="AU187" s="110">
        <v>0</v>
      </c>
      <c r="AV187" s="110">
        <v>0</v>
      </c>
      <c r="AW187" s="110">
        <v>0</v>
      </c>
      <c r="AX187" s="110">
        <v>0</v>
      </c>
      <c r="AY187" s="110">
        <v>0</v>
      </c>
    </row>
    <row r="188" spans="1:51" x14ac:dyDescent="0.2">
      <c r="A188" s="131"/>
      <c r="B188" s="132">
        <v>4</v>
      </c>
      <c r="C188" s="110">
        <v>0</v>
      </c>
      <c r="D188" s="110">
        <v>0</v>
      </c>
      <c r="E188" s="110">
        <v>0</v>
      </c>
      <c r="F188" s="110">
        <v>0</v>
      </c>
      <c r="G188" s="110">
        <v>0</v>
      </c>
      <c r="H188" s="110">
        <v>0</v>
      </c>
      <c r="I188" s="110">
        <v>0</v>
      </c>
      <c r="J188" s="110">
        <v>0</v>
      </c>
      <c r="K188" s="110">
        <v>0</v>
      </c>
      <c r="L188" s="110">
        <v>0</v>
      </c>
      <c r="M188" s="110">
        <v>0</v>
      </c>
      <c r="N188" s="110">
        <v>0</v>
      </c>
      <c r="O188" s="110">
        <v>0</v>
      </c>
      <c r="P188" s="110">
        <v>0</v>
      </c>
      <c r="Q188" s="110">
        <v>0</v>
      </c>
      <c r="R188" s="110">
        <v>0</v>
      </c>
      <c r="S188" s="110">
        <v>0</v>
      </c>
      <c r="T188" s="110">
        <v>0</v>
      </c>
      <c r="U188" s="110">
        <v>0</v>
      </c>
      <c r="V188" s="110">
        <v>0</v>
      </c>
      <c r="W188" s="110">
        <v>0</v>
      </c>
      <c r="X188" s="110">
        <v>0</v>
      </c>
      <c r="Y188" s="110">
        <v>0</v>
      </c>
      <c r="Z188" s="110">
        <v>0</v>
      </c>
      <c r="AA188" s="110">
        <v>0</v>
      </c>
      <c r="AB188" s="110">
        <v>0</v>
      </c>
      <c r="AC188" s="110">
        <v>0</v>
      </c>
      <c r="AD188" s="110">
        <v>0</v>
      </c>
      <c r="AE188" s="110">
        <v>0</v>
      </c>
      <c r="AF188" s="110">
        <v>0</v>
      </c>
      <c r="AG188" s="110">
        <v>0</v>
      </c>
      <c r="AH188" s="110">
        <v>0</v>
      </c>
      <c r="AI188" s="110">
        <v>0</v>
      </c>
      <c r="AJ188" s="110">
        <v>0</v>
      </c>
      <c r="AK188" s="110">
        <v>0</v>
      </c>
      <c r="AL188" s="110">
        <v>0</v>
      </c>
      <c r="AM188" s="110">
        <v>0</v>
      </c>
      <c r="AN188" s="110">
        <v>0</v>
      </c>
      <c r="AO188" s="110">
        <v>0</v>
      </c>
      <c r="AP188" s="110">
        <v>0</v>
      </c>
      <c r="AQ188" s="110">
        <v>0</v>
      </c>
      <c r="AR188" s="110">
        <v>0</v>
      </c>
      <c r="AS188" s="110">
        <v>0</v>
      </c>
      <c r="AT188" s="110">
        <v>0</v>
      </c>
      <c r="AU188" s="110">
        <v>0</v>
      </c>
      <c r="AV188" s="110">
        <v>0</v>
      </c>
      <c r="AW188" s="110">
        <v>0</v>
      </c>
      <c r="AX188" s="110">
        <v>0</v>
      </c>
      <c r="AY188" s="110">
        <v>0</v>
      </c>
    </row>
    <row r="189" spans="1:51" x14ac:dyDescent="0.2">
      <c r="A189" s="129" t="s">
        <v>133</v>
      </c>
      <c r="B189" s="126">
        <v>1</v>
      </c>
      <c r="C189" s="127">
        <v>0</v>
      </c>
      <c r="D189" s="127">
        <v>0</v>
      </c>
      <c r="E189" s="127">
        <v>0</v>
      </c>
      <c r="F189" s="127">
        <v>0</v>
      </c>
      <c r="G189" s="127">
        <v>0</v>
      </c>
      <c r="H189" s="127">
        <v>0</v>
      </c>
      <c r="I189" s="127">
        <v>60.333803838014667</v>
      </c>
      <c r="J189" s="127">
        <v>460.44654963279999</v>
      </c>
      <c r="K189" s="127">
        <v>116.17807282692708</v>
      </c>
      <c r="L189" s="127">
        <v>536.17807282692706</v>
      </c>
      <c r="M189" s="127">
        <v>116.17807282692706</v>
      </c>
      <c r="N189" s="127">
        <v>536.17807282692706</v>
      </c>
      <c r="O189" s="127">
        <v>116.17807282692706</v>
      </c>
      <c r="P189" s="127">
        <v>536.17807282692706</v>
      </c>
      <c r="Q189" s="127">
        <v>116.17807282692706</v>
      </c>
      <c r="R189" s="127">
        <v>527.23602208876355</v>
      </c>
      <c r="S189" s="127">
        <v>116.17807282692708</v>
      </c>
      <c r="T189" s="127">
        <v>322.5</v>
      </c>
      <c r="U189" s="127">
        <v>116.17807282692706</v>
      </c>
      <c r="V189" s="127">
        <v>536.17807282692706</v>
      </c>
      <c r="W189" s="127">
        <v>116.17807282692706</v>
      </c>
      <c r="X189" s="127">
        <v>536.17807282692706</v>
      </c>
      <c r="Y189" s="127">
        <v>116.17807282692706</v>
      </c>
      <c r="Z189" s="127">
        <v>420</v>
      </c>
      <c r="AA189" s="127">
        <v>232.35614565385413</v>
      </c>
      <c r="AB189" s="127">
        <v>536.17807282692706</v>
      </c>
      <c r="AC189" s="127">
        <v>116.17807282692706</v>
      </c>
      <c r="AD189" s="127">
        <v>116.17807282692708</v>
      </c>
      <c r="AE189" s="127">
        <v>536.17807282692706</v>
      </c>
      <c r="AF189" s="127">
        <v>0</v>
      </c>
      <c r="AG189" s="127">
        <v>652.35614565385413</v>
      </c>
      <c r="AH189" s="127">
        <v>116.17807282692708</v>
      </c>
      <c r="AI189" s="127">
        <v>536.17807282692706</v>
      </c>
      <c r="AJ189" s="127">
        <v>116.17807282692706</v>
      </c>
      <c r="AK189" s="127">
        <v>536.17807282692706</v>
      </c>
      <c r="AL189" s="127">
        <v>116.17807282692706</v>
      </c>
      <c r="AM189" s="127">
        <v>536.17807282692706</v>
      </c>
      <c r="AN189" s="127">
        <v>116.17807282692706</v>
      </c>
      <c r="AO189" s="127">
        <v>536.17807282692706</v>
      </c>
      <c r="AP189" s="127">
        <v>116.17807282692706</v>
      </c>
      <c r="AQ189" s="127">
        <v>216.3514969122059</v>
      </c>
      <c r="AR189" s="127">
        <v>116.17807282692706</v>
      </c>
      <c r="AS189" s="127">
        <v>536.17807282692706</v>
      </c>
      <c r="AT189" s="127">
        <v>116.17807282692706</v>
      </c>
      <c r="AU189" s="127">
        <v>536.17807282692706</v>
      </c>
      <c r="AV189" s="127">
        <v>116.17807282692706</v>
      </c>
      <c r="AW189" s="127">
        <v>536.17807282692706</v>
      </c>
      <c r="AX189" s="127">
        <v>116.17807282692708</v>
      </c>
      <c r="AY189" s="127">
        <v>536.17807282692706</v>
      </c>
    </row>
    <row r="190" spans="1:51" x14ac:dyDescent="0.2">
      <c r="A190" s="113"/>
      <c r="B190" s="122">
        <v>2</v>
      </c>
      <c r="C190" s="110">
        <v>0</v>
      </c>
      <c r="D190" s="110">
        <v>0</v>
      </c>
      <c r="E190" s="110">
        <v>0</v>
      </c>
      <c r="F190" s="110">
        <v>0</v>
      </c>
      <c r="G190" s="110">
        <v>0</v>
      </c>
      <c r="H190" s="110">
        <v>0</v>
      </c>
      <c r="I190" s="110">
        <v>0</v>
      </c>
      <c r="J190" s="110">
        <v>0</v>
      </c>
      <c r="K190" s="110">
        <v>19.466556276802585</v>
      </c>
      <c r="L190" s="110">
        <v>328.62141015071927</v>
      </c>
      <c r="M190" s="110">
        <v>36.5</v>
      </c>
      <c r="N190" s="110">
        <v>456.5</v>
      </c>
      <c r="O190" s="110">
        <v>36.5</v>
      </c>
      <c r="P190" s="110">
        <v>456.5</v>
      </c>
      <c r="Q190" s="110">
        <v>36.5</v>
      </c>
      <c r="R190" s="110">
        <v>456.5</v>
      </c>
      <c r="S190" s="110">
        <v>0</v>
      </c>
      <c r="T190" s="110">
        <v>456.5</v>
      </c>
      <c r="U190" s="110">
        <v>250.17807282692706</v>
      </c>
      <c r="V190" s="110">
        <v>1.4210854715202004E-14</v>
      </c>
      <c r="W190" s="110">
        <v>36.5</v>
      </c>
      <c r="X190" s="110">
        <v>1.4210854715202004E-14</v>
      </c>
      <c r="Y190" s="110">
        <v>0</v>
      </c>
      <c r="Z190" s="110">
        <v>1.4210854715202004E-14</v>
      </c>
      <c r="AA190" s="110">
        <v>36.5</v>
      </c>
      <c r="AB190" s="110">
        <v>2.8421709430404007E-14</v>
      </c>
      <c r="AC190" s="110">
        <v>36.5</v>
      </c>
      <c r="AD190" s="110">
        <v>1.4210854715202004E-14</v>
      </c>
      <c r="AE190" s="110">
        <v>0</v>
      </c>
      <c r="AF190" s="110">
        <v>0</v>
      </c>
      <c r="AG190" s="110">
        <v>456.5</v>
      </c>
      <c r="AH190" s="110">
        <v>0</v>
      </c>
      <c r="AI190" s="110">
        <v>0</v>
      </c>
      <c r="AJ190" s="110">
        <v>0</v>
      </c>
      <c r="AK190" s="110">
        <v>456.5</v>
      </c>
      <c r="AL190" s="110">
        <v>36.5</v>
      </c>
      <c r="AM190" s="110">
        <v>456.5</v>
      </c>
      <c r="AN190" s="110">
        <v>36.5</v>
      </c>
      <c r="AO190" s="110">
        <v>1.4210854715202004E-14</v>
      </c>
      <c r="AP190" s="110">
        <v>0</v>
      </c>
      <c r="AQ190" s="110">
        <v>456.5</v>
      </c>
      <c r="AR190" s="110">
        <v>356.32657591472116</v>
      </c>
      <c r="AS190" s="110">
        <v>456.5</v>
      </c>
      <c r="AT190" s="110">
        <v>36.5</v>
      </c>
      <c r="AU190" s="110">
        <v>1.4210854715202004E-14</v>
      </c>
      <c r="AV190" s="110">
        <v>36.5</v>
      </c>
      <c r="AW190" s="110">
        <v>1.4210854715202004E-14</v>
      </c>
      <c r="AX190" s="110">
        <v>0</v>
      </c>
      <c r="AY190" s="110">
        <v>0</v>
      </c>
    </row>
    <row r="191" spans="1:51" x14ac:dyDescent="0.2">
      <c r="A191" s="113"/>
      <c r="B191" s="123">
        <v>3</v>
      </c>
      <c r="C191" s="110">
        <v>0</v>
      </c>
      <c r="D191" s="110">
        <v>0</v>
      </c>
      <c r="E191" s="110">
        <v>0</v>
      </c>
      <c r="F191" s="110">
        <v>0</v>
      </c>
      <c r="G191" s="110">
        <v>0</v>
      </c>
      <c r="H191" s="110">
        <v>0</v>
      </c>
      <c r="I191" s="110">
        <v>0</v>
      </c>
      <c r="J191" s="110">
        <v>0</v>
      </c>
      <c r="K191" s="110">
        <v>0</v>
      </c>
      <c r="L191" s="110">
        <v>0</v>
      </c>
      <c r="M191" s="110">
        <v>0</v>
      </c>
      <c r="N191" s="110">
        <v>0</v>
      </c>
      <c r="O191" s="110">
        <v>0</v>
      </c>
      <c r="P191" s="110">
        <v>0</v>
      </c>
      <c r="Q191" s="110">
        <v>0</v>
      </c>
      <c r="R191" s="110">
        <v>0</v>
      </c>
      <c r="S191" s="110">
        <v>0</v>
      </c>
      <c r="T191" s="110">
        <v>0</v>
      </c>
      <c r="U191" s="110">
        <v>0</v>
      </c>
      <c r="V191" s="110">
        <v>0</v>
      </c>
      <c r="W191" s="110">
        <v>0</v>
      </c>
      <c r="X191" s="110">
        <v>0</v>
      </c>
      <c r="Y191" s="110">
        <v>385.41552804400141</v>
      </c>
      <c r="Z191" s="110">
        <v>36.5</v>
      </c>
      <c r="AA191" s="110">
        <v>456.5</v>
      </c>
      <c r="AB191" s="110">
        <v>0</v>
      </c>
      <c r="AC191" s="110">
        <v>456.5</v>
      </c>
      <c r="AD191" s="110">
        <v>0</v>
      </c>
      <c r="AE191" s="110">
        <v>456.5</v>
      </c>
      <c r="AF191" s="110">
        <v>0</v>
      </c>
      <c r="AG191" s="110">
        <v>36.5</v>
      </c>
      <c r="AH191" s="110">
        <v>0</v>
      </c>
      <c r="AI191" s="110">
        <v>36.5</v>
      </c>
      <c r="AJ191" s="110">
        <v>456.5</v>
      </c>
      <c r="AK191" s="110">
        <v>36.5</v>
      </c>
      <c r="AL191" s="110">
        <v>0</v>
      </c>
      <c r="AM191" s="110">
        <v>0</v>
      </c>
      <c r="AN191" s="110">
        <v>0</v>
      </c>
      <c r="AO191" s="110">
        <v>0</v>
      </c>
      <c r="AP191" s="110">
        <v>454.95216655051991</v>
      </c>
      <c r="AQ191" s="110">
        <v>34.148503087794154</v>
      </c>
      <c r="AR191" s="110">
        <v>0</v>
      </c>
      <c r="AS191" s="110">
        <v>0</v>
      </c>
      <c r="AT191" s="110">
        <v>0</v>
      </c>
      <c r="AU191" s="110">
        <v>0</v>
      </c>
      <c r="AV191" s="110">
        <v>456.5</v>
      </c>
      <c r="AW191" s="110">
        <v>0</v>
      </c>
      <c r="AX191" s="110">
        <v>0</v>
      </c>
      <c r="AY191" s="110">
        <v>36.5</v>
      </c>
    </row>
    <row r="192" spans="1:51" x14ac:dyDescent="0.2">
      <c r="A192" s="113"/>
      <c r="B192" s="123">
        <v>4</v>
      </c>
      <c r="C192" s="110">
        <v>0</v>
      </c>
      <c r="D192" s="110">
        <v>0</v>
      </c>
      <c r="E192" s="110">
        <v>0</v>
      </c>
      <c r="F192" s="110">
        <v>0</v>
      </c>
      <c r="G192" s="110">
        <v>0</v>
      </c>
      <c r="H192" s="110">
        <v>0</v>
      </c>
      <c r="I192" s="110">
        <v>0</v>
      </c>
      <c r="J192" s="110">
        <v>0</v>
      </c>
      <c r="K192" s="110">
        <v>0</v>
      </c>
      <c r="L192" s="110">
        <v>0</v>
      </c>
      <c r="M192" s="110">
        <v>0</v>
      </c>
      <c r="N192" s="110">
        <v>0</v>
      </c>
      <c r="O192" s="110">
        <v>0</v>
      </c>
      <c r="P192" s="110">
        <v>0</v>
      </c>
      <c r="Q192" s="110">
        <v>0</v>
      </c>
      <c r="R192" s="110">
        <v>0</v>
      </c>
      <c r="S192" s="110">
        <v>0</v>
      </c>
      <c r="T192" s="110">
        <v>0</v>
      </c>
      <c r="U192" s="110">
        <v>0</v>
      </c>
      <c r="V192" s="110">
        <v>0</v>
      </c>
      <c r="W192" s="110">
        <v>0</v>
      </c>
      <c r="X192" s="110">
        <v>0</v>
      </c>
      <c r="Y192" s="110">
        <v>0</v>
      </c>
      <c r="Z192" s="110">
        <v>0</v>
      </c>
      <c r="AA192" s="110">
        <v>0</v>
      </c>
      <c r="AB192" s="110">
        <v>0</v>
      </c>
      <c r="AC192" s="110">
        <v>0</v>
      </c>
      <c r="AD192" s="110">
        <v>0</v>
      </c>
      <c r="AE192" s="110">
        <v>0</v>
      </c>
      <c r="AF192" s="110">
        <v>0</v>
      </c>
      <c r="AG192" s="110">
        <v>0</v>
      </c>
      <c r="AH192" s="110">
        <v>0</v>
      </c>
      <c r="AI192" s="110">
        <v>0</v>
      </c>
      <c r="AJ192" s="110">
        <v>0</v>
      </c>
      <c r="AK192" s="110">
        <v>0</v>
      </c>
      <c r="AL192" s="110">
        <v>0</v>
      </c>
      <c r="AM192" s="110">
        <v>0</v>
      </c>
      <c r="AN192" s="110">
        <v>0</v>
      </c>
      <c r="AO192" s="110">
        <v>0</v>
      </c>
      <c r="AP192" s="110">
        <v>0</v>
      </c>
      <c r="AQ192" s="110">
        <v>0</v>
      </c>
      <c r="AR192" s="110">
        <v>0</v>
      </c>
      <c r="AS192" s="110">
        <v>0</v>
      </c>
      <c r="AT192" s="110">
        <v>0</v>
      </c>
      <c r="AU192" s="110">
        <v>0</v>
      </c>
      <c r="AV192" s="110">
        <v>0</v>
      </c>
      <c r="AW192" s="110">
        <v>0</v>
      </c>
      <c r="AX192" s="110">
        <v>0</v>
      </c>
      <c r="AY192" s="110">
        <v>456.5</v>
      </c>
    </row>
    <row r="193" spans="1:51" x14ac:dyDescent="0.2">
      <c r="A193" s="113"/>
      <c r="B193" s="130">
        <v>5</v>
      </c>
      <c r="C193" s="110">
        <v>0</v>
      </c>
      <c r="D193" s="110">
        <v>0</v>
      </c>
      <c r="E193" s="110">
        <v>0</v>
      </c>
      <c r="F193" s="110">
        <v>0</v>
      </c>
      <c r="G193" s="110">
        <v>0</v>
      </c>
      <c r="H193" s="110">
        <v>0</v>
      </c>
      <c r="I193" s="110">
        <v>0</v>
      </c>
      <c r="J193" s="110">
        <v>0</v>
      </c>
      <c r="K193" s="110">
        <v>0</v>
      </c>
      <c r="L193" s="110">
        <v>0</v>
      </c>
      <c r="M193" s="110">
        <v>0</v>
      </c>
      <c r="N193" s="110">
        <v>0</v>
      </c>
      <c r="O193" s="110">
        <v>0</v>
      </c>
      <c r="P193" s="110">
        <v>0</v>
      </c>
      <c r="Q193" s="110">
        <v>0</v>
      </c>
      <c r="R193" s="110">
        <v>0</v>
      </c>
      <c r="S193" s="110">
        <v>0</v>
      </c>
      <c r="T193" s="110">
        <v>0</v>
      </c>
      <c r="U193" s="110">
        <v>0</v>
      </c>
      <c r="V193" s="110">
        <v>0</v>
      </c>
      <c r="W193" s="110">
        <v>0</v>
      </c>
      <c r="X193" s="110">
        <v>0</v>
      </c>
      <c r="Y193" s="110">
        <v>0</v>
      </c>
      <c r="Z193" s="110">
        <v>0</v>
      </c>
      <c r="AA193" s="110">
        <v>0</v>
      </c>
      <c r="AB193" s="110">
        <v>0</v>
      </c>
      <c r="AC193" s="110">
        <v>0</v>
      </c>
      <c r="AD193" s="110">
        <v>0</v>
      </c>
      <c r="AE193" s="110">
        <v>0</v>
      </c>
      <c r="AF193" s="110">
        <v>0</v>
      </c>
      <c r="AG193" s="110">
        <v>0</v>
      </c>
      <c r="AH193" s="110">
        <v>0</v>
      </c>
      <c r="AI193" s="110">
        <v>0</v>
      </c>
      <c r="AJ193" s="110">
        <v>0</v>
      </c>
      <c r="AK193" s="110">
        <v>0</v>
      </c>
      <c r="AL193" s="110">
        <v>0</v>
      </c>
      <c r="AM193" s="110">
        <v>0</v>
      </c>
      <c r="AN193" s="110">
        <v>0</v>
      </c>
      <c r="AO193" s="110">
        <v>0</v>
      </c>
      <c r="AP193" s="110">
        <v>0</v>
      </c>
      <c r="AQ193" s="110">
        <v>0</v>
      </c>
      <c r="AR193" s="110">
        <v>0</v>
      </c>
      <c r="AS193" s="110">
        <v>0</v>
      </c>
      <c r="AT193" s="110">
        <v>0</v>
      </c>
      <c r="AU193" s="110">
        <v>0</v>
      </c>
      <c r="AV193" s="110">
        <v>0</v>
      </c>
      <c r="AW193" s="110">
        <v>0</v>
      </c>
      <c r="AX193" s="110">
        <v>0</v>
      </c>
      <c r="AY193" s="110">
        <v>0</v>
      </c>
    </row>
    <row r="194" spans="1:51" x14ac:dyDescent="0.2">
      <c r="A194" s="113"/>
      <c r="B194" s="130">
        <v>6</v>
      </c>
      <c r="C194" s="110">
        <v>0</v>
      </c>
      <c r="D194" s="110">
        <v>0</v>
      </c>
      <c r="E194" s="110">
        <v>0</v>
      </c>
      <c r="F194" s="110">
        <v>0</v>
      </c>
      <c r="G194" s="110">
        <v>0</v>
      </c>
      <c r="H194" s="110">
        <v>0</v>
      </c>
      <c r="I194" s="110">
        <v>0</v>
      </c>
      <c r="J194" s="110">
        <v>0</v>
      </c>
      <c r="K194" s="110">
        <v>0</v>
      </c>
      <c r="L194" s="110">
        <v>0</v>
      </c>
      <c r="M194" s="110">
        <v>0</v>
      </c>
      <c r="N194" s="110">
        <v>0</v>
      </c>
      <c r="O194" s="110">
        <v>0</v>
      </c>
      <c r="P194" s="110">
        <v>0</v>
      </c>
      <c r="Q194" s="110">
        <v>0</v>
      </c>
      <c r="R194" s="110">
        <v>0</v>
      </c>
      <c r="S194" s="110">
        <v>0</v>
      </c>
      <c r="T194" s="110">
        <v>0</v>
      </c>
      <c r="U194" s="110">
        <v>0</v>
      </c>
      <c r="V194" s="110">
        <v>0</v>
      </c>
      <c r="W194" s="110">
        <v>0</v>
      </c>
      <c r="X194" s="110">
        <v>0</v>
      </c>
      <c r="Y194" s="110">
        <v>0</v>
      </c>
      <c r="Z194" s="110">
        <v>0</v>
      </c>
      <c r="AA194" s="110">
        <v>0</v>
      </c>
      <c r="AB194" s="110">
        <v>0</v>
      </c>
      <c r="AC194" s="110">
        <v>0</v>
      </c>
      <c r="AD194" s="110">
        <v>0</v>
      </c>
      <c r="AE194" s="110">
        <v>0</v>
      </c>
      <c r="AF194" s="110">
        <v>0</v>
      </c>
      <c r="AG194" s="110">
        <v>0</v>
      </c>
      <c r="AH194" s="110">
        <v>0</v>
      </c>
      <c r="AI194" s="110">
        <v>0</v>
      </c>
      <c r="AJ194" s="110">
        <v>0</v>
      </c>
      <c r="AK194" s="110">
        <v>0</v>
      </c>
      <c r="AL194" s="110">
        <v>0</v>
      </c>
      <c r="AM194" s="110">
        <v>0</v>
      </c>
      <c r="AN194" s="110">
        <v>0</v>
      </c>
      <c r="AO194" s="110">
        <v>0</v>
      </c>
      <c r="AP194" s="110">
        <v>0</v>
      </c>
      <c r="AQ194" s="110">
        <v>0</v>
      </c>
      <c r="AR194" s="110">
        <v>0</v>
      </c>
      <c r="AS194" s="110">
        <v>0</v>
      </c>
      <c r="AT194" s="110">
        <v>0</v>
      </c>
      <c r="AU194" s="110">
        <v>0</v>
      </c>
      <c r="AV194" s="110">
        <v>0</v>
      </c>
      <c r="AW194" s="110">
        <v>0</v>
      </c>
      <c r="AX194" s="110">
        <v>0</v>
      </c>
      <c r="AY194" s="110">
        <v>0</v>
      </c>
    </row>
    <row r="195" spans="1:51" x14ac:dyDescent="0.2">
      <c r="A195" s="113"/>
      <c r="B195" s="133">
        <v>7</v>
      </c>
      <c r="C195" s="110">
        <v>0</v>
      </c>
      <c r="D195" s="110">
        <v>0</v>
      </c>
      <c r="E195" s="110">
        <v>0</v>
      </c>
      <c r="F195" s="110">
        <v>0</v>
      </c>
      <c r="G195" s="110">
        <v>0</v>
      </c>
      <c r="H195" s="110">
        <v>0</v>
      </c>
      <c r="I195" s="110">
        <v>0</v>
      </c>
      <c r="J195" s="110">
        <v>0</v>
      </c>
      <c r="K195" s="110">
        <v>0</v>
      </c>
      <c r="L195" s="110">
        <v>0</v>
      </c>
      <c r="M195" s="110">
        <v>0</v>
      </c>
      <c r="N195" s="110">
        <v>0</v>
      </c>
      <c r="O195" s="110">
        <v>0</v>
      </c>
      <c r="P195" s="110">
        <v>0</v>
      </c>
      <c r="Q195" s="110">
        <v>0</v>
      </c>
      <c r="R195" s="110">
        <v>0</v>
      </c>
      <c r="S195" s="110">
        <v>0</v>
      </c>
      <c r="T195" s="110">
        <v>0</v>
      </c>
      <c r="U195" s="110">
        <v>0</v>
      </c>
      <c r="V195" s="110">
        <v>0</v>
      </c>
      <c r="W195" s="110">
        <v>0</v>
      </c>
      <c r="X195" s="110">
        <v>0</v>
      </c>
      <c r="Y195" s="110">
        <v>0</v>
      </c>
      <c r="Z195" s="110">
        <v>0</v>
      </c>
      <c r="AA195" s="110">
        <v>0</v>
      </c>
      <c r="AB195" s="110">
        <v>0</v>
      </c>
      <c r="AC195" s="110">
        <v>0</v>
      </c>
      <c r="AD195" s="110">
        <v>0</v>
      </c>
      <c r="AE195" s="110">
        <v>0</v>
      </c>
      <c r="AF195" s="110">
        <v>0</v>
      </c>
      <c r="AG195" s="110">
        <v>0</v>
      </c>
      <c r="AH195" s="110">
        <v>0</v>
      </c>
      <c r="AI195" s="110">
        <v>0</v>
      </c>
      <c r="AJ195" s="110">
        <v>0</v>
      </c>
      <c r="AK195" s="110">
        <v>0</v>
      </c>
      <c r="AL195" s="110">
        <v>0</v>
      </c>
      <c r="AM195" s="110">
        <v>0</v>
      </c>
      <c r="AN195" s="110">
        <v>0</v>
      </c>
      <c r="AO195" s="110">
        <v>0</v>
      </c>
      <c r="AP195" s="110">
        <v>0</v>
      </c>
      <c r="AQ195" s="110">
        <v>0</v>
      </c>
      <c r="AR195" s="110">
        <v>0</v>
      </c>
      <c r="AS195" s="110">
        <v>0</v>
      </c>
      <c r="AT195" s="110">
        <v>0</v>
      </c>
      <c r="AU195" s="110">
        <v>0</v>
      </c>
      <c r="AV195" s="110">
        <v>0</v>
      </c>
      <c r="AW195" s="110">
        <v>0</v>
      </c>
      <c r="AX195" s="110">
        <v>0</v>
      </c>
      <c r="AY195" s="110">
        <v>0</v>
      </c>
    </row>
    <row r="196" spans="1:51" x14ac:dyDescent="0.2">
      <c r="A196" s="131"/>
      <c r="B196" s="132">
        <v>8</v>
      </c>
      <c r="C196" s="117">
        <v>0</v>
      </c>
      <c r="D196" s="117">
        <v>0</v>
      </c>
      <c r="E196" s="117">
        <v>0</v>
      </c>
      <c r="F196" s="117">
        <v>0</v>
      </c>
      <c r="G196" s="117">
        <v>0</v>
      </c>
      <c r="H196" s="117">
        <v>0</v>
      </c>
      <c r="I196" s="117">
        <v>0</v>
      </c>
      <c r="J196" s="117">
        <v>0</v>
      </c>
      <c r="K196" s="117">
        <v>0</v>
      </c>
      <c r="L196" s="117">
        <v>0</v>
      </c>
      <c r="M196" s="117">
        <v>0</v>
      </c>
      <c r="N196" s="117">
        <v>0</v>
      </c>
      <c r="O196" s="117">
        <v>0</v>
      </c>
      <c r="P196" s="117">
        <v>0</v>
      </c>
      <c r="Q196" s="117">
        <v>0</v>
      </c>
      <c r="R196" s="117">
        <v>0</v>
      </c>
      <c r="S196" s="117">
        <v>0</v>
      </c>
      <c r="T196" s="117">
        <v>0</v>
      </c>
      <c r="U196" s="117">
        <v>0</v>
      </c>
      <c r="V196" s="117">
        <v>0</v>
      </c>
      <c r="W196" s="117">
        <v>0</v>
      </c>
      <c r="X196" s="117">
        <v>0</v>
      </c>
      <c r="Y196" s="117">
        <v>0</v>
      </c>
      <c r="Z196" s="117">
        <v>0</v>
      </c>
      <c r="AA196" s="117">
        <v>0</v>
      </c>
      <c r="AB196" s="117">
        <v>0</v>
      </c>
      <c r="AC196" s="117">
        <v>0</v>
      </c>
      <c r="AD196" s="117">
        <v>0</v>
      </c>
      <c r="AE196" s="117">
        <v>0</v>
      </c>
      <c r="AF196" s="117">
        <v>0</v>
      </c>
      <c r="AG196" s="117">
        <v>0</v>
      </c>
      <c r="AH196" s="117">
        <v>0</v>
      </c>
      <c r="AI196" s="117">
        <v>0</v>
      </c>
      <c r="AJ196" s="117">
        <v>0</v>
      </c>
      <c r="AK196" s="117">
        <v>0</v>
      </c>
      <c r="AL196" s="117">
        <v>0</v>
      </c>
      <c r="AM196" s="117">
        <v>0</v>
      </c>
      <c r="AN196" s="117">
        <v>0</v>
      </c>
      <c r="AO196" s="117">
        <v>0</v>
      </c>
      <c r="AP196" s="117">
        <v>0</v>
      </c>
      <c r="AQ196" s="117">
        <v>0</v>
      </c>
      <c r="AR196" s="117">
        <v>0</v>
      </c>
      <c r="AS196" s="117">
        <v>0</v>
      </c>
      <c r="AT196" s="117">
        <v>0</v>
      </c>
      <c r="AU196" s="117">
        <v>0</v>
      </c>
      <c r="AV196" s="117">
        <v>0</v>
      </c>
      <c r="AW196" s="117">
        <v>0</v>
      </c>
      <c r="AX196" s="117">
        <v>0</v>
      </c>
      <c r="AY196" s="117">
        <v>0</v>
      </c>
    </row>
    <row r="197" spans="1:51" x14ac:dyDescent="0.2">
      <c r="A197" s="134" t="s">
        <v>134</v>
      </c>
      <c r="B197" s="122">
        <v>1</v>
      </c>
      <c r="C197" s="110">
        <v>0</v>
      </c>
      <c r="D197" s="110">
        <v>950</v>
      </c>
      <c r="E197" s="110">
        <v>0</v>
      </c>
      <c r="F197" s="110">
        <v>0</v>
      </c>
      <c r="G197" s="110">
        <v>0</v>
      </c>
      <c r="H197" s="110">
        <v>0</v>
      </c>
      <c r="I197" s="110">
        <v>0</v>
      </c>
      <c r="J197" s="110">
        <v>0</v>
      </c>
      <c r="K197" s="110">
        <v>0</v>
      </c>
      <c r="L197" s="110">
        <v>0</v>
      </c>
      <c r="M197" s="110">
        <v>0</v>
      </c>
      <c r="N197" s="110">
        <v>0</v>
      </c>
      <c r="O197" s="110">
        <v>0</v>
      </c>
      <c r="P197" s="110">
        <v>0</v>
      </c>
      <c r="Q197" s="110">
        <v>0</v>
      </c>
      <c r="R197" s="110">
        <v>0</v>
      </c>
      <c r="S197" s="110">
        <v>0</v>
      </c>
      <c r="T197" s="110">
        <v>0</v>
      </c>
      <c r="U197" s="110">
        <v>0</v>
      </c>
      <c r="V197" s="110">
        <v>0</v>
      </c>
      <c r="W197" s="110">
        <v>0</v>
      </c>
      <c r="X197" s="110">
        <v>0</v>
      </c>
      <c r="Y197" s="110">
        <v>0</v>
      </c>
      <c r="Z197" s="110">
        <v>0</v>
      </c>
      <c r="AA197" s="110">
        <v>0</v>
      </c>
      <c r="AB197" s="110">
        <v>0</v>
      </c>
      <c r="AC197" s="110">
        <v>0</v>
      </c>
      <c r="AD197" s="110">
        <v>0</v>
      </c>
      <c r="AE197" s="110">
        <v>0</v>
      </c>
      <c r="AF197" s="110">
        <v>0</v>
      </c>
      <c r="AG197" s="110">
        <v>0</v>
      </c>
      <c r="AH197" s="110">
        <v>0</v>
      </c>
      <c r="AI197" s="110">
        <v>0</v>
      </c>
      <c r="AJ197" s="110">
        <v>0</v>
      </c>
      <c r="AK197" s="110">
        <v>0</v>
      </c>
      <c r="AL197" s="110">
        <v>0</v>
      </c>
      <c r="AM197" s="110">
        <v>0</v>
      </c>
      <c r="AN197" s="110">
        <v>0</v>
      </c>
      <c r="AO197" s="110">
        <v>0</v>
      </c>
      <c r="AP197" s="110">
        <v>0</v>
      </c>
      <c r="AQ197" s="110">
        <v>0</v>
      </c>
      <c r="AR197" s="110">
        <v>0</v>
      </c>
      <c r="AS197" s="110">
        <v>0</v>
      </c>
      <c r="AT197" s="110">
        <v>0</v>
      </c>
      <c r="AU197" s="110">
        <v>0</v>
      </c>
      <c r="AV197" s="110">
        <v>0</v>
      </c>
      <c r="AW197" s="110">
        <v>0</v>
      </c>
      <c r="AX197" s="110">
        <v>0</v>
      </c>
      <c r="AY197" s="110">
        <v>0</v>
      </c>
    </row>
    <row r="198" spans="1:51" x14ac:dyDescent="0.2">
      <c r="A198" s="113"/>
      <c r="B198" s="122">
        <v>2</v>
      </c>
      <c r="C198" s="110">
        <v>0</v>
      </c>
      <c r="D198" s="110">
        <v>0</v>
      </c>
      <c r="E198" s="110">
        <v>1152</v>
      </c>
      <c r="F198" s="110">
        <v>0</v>
      </c>
      <c r="G198" s="110">
        <v>0</v>
      </c>
      <c r="H198" s="110">
        <v>0</v>
      </c>
      <c r="I198" s="110">
        <v>0</v>
      </c>
      <c r="J198" s="110">
        <v>0</v>
      </c>
      <c r="K198" s="110">
        <v>0</v>
      </c>
      <c r="L198" s="110">
        <v>0</v>
      </c>
      <c r="M198" s="110">
        <v>0</v>
      </c>
      <c r="N198" s="110">
        <v>0</v>
      </c>
      <c r="O198" s="110">
        <v>0</v>
      </c>
      <c r="P198" s="110">
        <v>0</v>
      </c>
      <c r="Q198" s="110">
        <v>0</v>
      </c>
      <c r="R198" s="110">
        <v>0</v>
      </c>
      <c r="S198" s="110">
        <v>0</v>
      </c>
      <c r="T198" s="110">
        <v>0</v>
      </c>
      <c r="U198" s="110">
        <v>0</v>
      </c>
      <c r="V198" s="110">
        <v>0</v>
      </c>
      <c r="W198" s="110">
        <v>0</v>
      </c>
      <c r="X198" s="110">
        <v>0</v>
      </c>
      <c r="Y198" s="110">
        <v>0</v>
      </c>
      <c r="Z198" s="110">
        <v>0</v>
      </c>
      <c r="AA198" s="110">
        <v>0</v>
      </c>
      <c r="AB198" s="110">
        <v>0</v>
      </c>
      <c r="AC198" s="110">
        <v>0</v>
      </c>
      <c r="AD198" s="110">
        <v>0</v>
      </c>
      <c r="AE198" s="110">
        <v>0</v>
      </c>
      <c r="AF198" s="110">
        <v>0</v>
      </c>
      <c r="AG198" s="110">
        <v>0</v>
      </c>
      <c r="AH198" s="110">
        <v>0</v>
      </c>
      <c r="AI198" s="110">
        <v>0</v>
      </c>
      <c r="AJ198" s="110">
        <v>0</v>
      </c>
      <c r="AK198" s="110">
        <v>0</v>
      </c>
      <c r="AL198" s="110">
        <v>0</v>
      </c>
      <c r="AM198" s="110">
        <v>0</v>
      </c>
      <c r="AN198" s="110">
        <v>0</v>
      </c>
      <c r="AO198" s="110">
        <v>0</v>
      </c>
      <c r="AP198" s="110">
        <v>0</v>
      </c>
      <c r="AQ198" s="110">
        <v>0</v>
      </c>
      <c r="AR198" s="110">
        <v>0</v>
      </c>
      <c r="AS198" s="110">
        <v>0</v>
      </c>
      <c r="AT198" s="110">
        <v>0</v>
      </c>
      <c r="AU198" s="110">
        <v>0</v>
      </c>
      <c r="AV198" s="110">
        <v>0</v>
      </c>
      <c r="AW198" s="110">
        <v>0</v>
      </c>
      <c r="AX198" s="110">
        <v>0</v>
      </c>
      <c r="AY198" s="110">
        <v>0</v>
      </c>
    </row>
    <row r="199" spans="1:51" x14ac:dyDescent="0.2">
      <c r="A199" s="113"/>
      <c r="B199" s="122">
        <v>3</v>
      </c>
      <c r="C199" s="110">
        <v>0</v>
      </c>
      <c r="D199" s="110">
        <v>0</v>
      </c>
      <c r="E199" s="110">
        <v>0</v>
      </c>
      <c r="F199" s="110">
        <v>1107</v>
      </c>
      <c r="G199" s="110">
        <v>1225</v>
      </c>
      <c r="H199" s="110">
        <v>0</v>
      </c>
      <c r="I199" s="110">
        <v>0</v>
      </c>
      <c r="J199" s="110">
        <v>0</v>
      </c>
      <c r="K199" s="110">
        <v>0</v>
      </c>
      <c r="L199" s="110">
        <v>0</v>
      </c>
      <c r="M199" s="110">
        <v>0</v>
      </c>
      <c r="N199" s="110">
        <v>0</v>
      </c>
      <c r="O199" s="110">
        <v>0</v>
      </c>
      <c r="P199" s="110">
        <v>0</v>
      </c>
      <c r="Q199" s="110">
        <v>0</v>
      </c>
      <c r="R199" s="110">
        <v>0</v>
      </c>
      <c r="S199" s="110">
        <v>0</v>
      </c>
      <c r="T199" s="110">
        <v>0</v>
      </c>
      <c r="U199" s="110">
        <v>0</v>
      </c>
      <c r="V199" s="110">
        <v>0</v>
      </c>
      <c r="W199" s="110">
        <v>0</v>
      </c>
      <c r="X199" s="110">
        <v>0</v>
      </c>
      <c r="Y199" s="110">
        <v>0</v>
      </c>
      <c r="Z199" s="110">
        <v>0</v>
      </c>
      <c r="AA199" s="110">
        <v>0</v>
      </c>
      <c r="AB199" s="110">
        <v>0</v>
      </c>
      <c r="AC199" s="110">
        <v>0</v>
      </c>
      <c r="AD199" s="110">
        <v>0</v>
      </c>
      <c r="AE199" s="110">
        <v>0</v>
      </c>
      <c r="AF199" s="110">
        <v>0</v>
      </c>
      <c r="AG199" s="110">
        <v>0</v>
      </c>
      <c r="AH199" s="110">
        <v>0</v>
      </c>
      <c r="AI199" s="110">
        <v>0</v>
      </c>
      <c r="AJ199" s="110">
        <v>0</v>
      </c>
      <c r="AK199" s="110">
        <v>0</v>
      </c>
      <c r="AL199" s="110">
        <v>0</v>
      </c>
      <c r="AM199" s="110">
        <v>0</v>
      </c>
      <c r="AN199" s="110">
        <v>0</v>
      </c>
      <c r="AO199" s="110">
        <v>0</v>
      </c>
      <c r="AP199" s="110">
        <v>0</v>
      </c>
      <c r="AQ199" s="110">
        <v>0</v>
      </c>
      <c r="AR199" s="110">
        <v>0</v>
      </c>
      <c r="AS199" s="110">
        <v>0</v>
      </c>
      <c r="AT199" s="110">
        <v>0</v>
      </c>
      <c r="AU199" s="110">
        <v>0</v>
      </c>
      <c r="AV199" s="110">
        <v>0</v>
      </c>
      <c r="AW199" s="110">
        <v>0</v>
      </c>
      <c r="AX199" s="110">
        <v>0</v>
      </c>
      <c r="AY199" s="110">
        <v>0</v>
      </c>
    </row>
    <row r="200" spans="1:51" x14ac:dyDescent="0.2">
      <c r="A200" s="113"/>
      <c r="B200" s="123">
        <v>4</v>
      </c>
      <c r="C200" s="110">
        <v>0</v>
      </c>
      <c r="D200" s="110">
        <v>0</v>
      </c>
      <c r="E200" s="110">
        <v>0</v>
      </c>
      <c r="F200" s="110">
        <v>0</v>
      </c>
      <c r="G200" s="110">
        <v>0</v>
      </c>
      <c r="H200" s="110">
        <v>1480</v>
      </c>
      <c r="I200" s="110">
        <v>0</v>
      </c>
      <c r="J200" s="110">
        <v>0</v>
      </c>
      <c r="K200" s="110">
        <v>0</v>
      </c>
      <c r="L200" s="110">
        <v>0</v>
      </c>
      <c r="M200" s="110">
        <v>0</v>
      </c>
      <c r="N200" s="110">
        <v>0</v>
      </c>
      <c r="O200" s="110">
        <v>0</v>
      </c>
      <c r="P200" s="110">
        <v>0</v>
      </c>
      <c r="Q200" s="110">
        <v>0</v>
      </c>
      <c r="R200" s="110">
        <v>0</v>
      </c>
      <c r="S200" s="110">
        <v>0</v>
      </c>
      <c r="T200" s="110">
        <v>0</v>
      </c>
      <c r="U200" s="110">
        <v>0</v>
      </c>
      <c r="V200" s="110">
        <v>0</v>
      </c>
      <c r="W200" s="110">
        <v>0</v>
      </c>
      <c r="X200" s="110">
        <v>0</v>
      </c>
      <c r="Y200" s="110">
        <v>0</v>
      </c>
      <c r="Z200" s="110">
        <v>0</v>
      </c>
      <c r="AA200" s="110">
        <v>0</v>
      </c>
      <c r="AB200" s="110">
        <v>0</v>
      </c>
      <c r="AC200" s="110">
        <v>0</v>
      </c>
      <c r="AD200" s="110">
        <v>0</v>
      </c>
      <c r="AE200" s="110">
        <v>0</v>
      </c>
      <c r="AF200" s="110">
        <v>0</v>
      </c>
      <c r="AG200" s="110">
        <v>0</v>
      </c>
      <c r="AH200" s="110">
        <v>0</v>
      </c>
      <c r="AI200" s="110">
        <v>0</v>
      </c>
      <c r="AJ200" s="110">
        <v>0</v>
      </c>
      <c r="AK200" s="110">
        <v>0</v>
      </c>
      <c r="AL200" s="110">
        <v>0</v>
      </c>
      <c r="AM200" s="110">
        <v>0</v>
      </c>
      <c r="AN200" s="110">
        <v>0</v>
      </c>
      <c r="AO200" s="110">
        <v>0</v>
      </c>
      <c r="AP200" s="110">
        <v>0</v>
      </c>
      <c r="AQ200" s="110">
        <v>0</v>
      </c>
      <c r="AR200" s="110">
        <v>0</v>
      </c>
      <c r="AS200" s="110">
        <v>0</v>
      </c>
      <c r="AT200" s="110">
        <v>0</v>
      </c>
      <c r="AU200" s="110">
        <v>0</v>
      </c>
      <c r="AV200" s="110">
        <v>0</v>
      </c>
      <c r="AW200" s="110">
        <v>0</v>
      </c>
      <c r="AX200" s="110">
        <v>0</v>
      </c>
      <c r="AY200" s="110">
        <v>0</v>
      </c>
    </row>
    <row r="201" spans="1:51" x14ac:dyDescent="0.2">
      <c r="A201" s="113"/>
      <c r="B201" s="123">
        <v>5</v>
      </c>
      <c r="C201" s="110">
        <v>0</v>
      </c>
      <c r="D201" s="110">
        <v>0</v>
      </c>
      <c r="E201" s="110">
        <v>0</v>
      </c>
      <c r="F201" s="110">
        <v>0</v>
      </c>
      <c r="G201" s="110">
        <v>0</v>
      </c>
      <c r="H201" s="110">
        <v>0</v>
      </c>
      <c r="I201" s="110">
        <v>1744</v>
      </c>
      <c r="J201" s="110">
        <v>1448</v>
      </c>
      <c r="K201" s="110">
        <v>0</v>
      </c>
      <c r="L201" s="110">
        <v>0</v>
      </c>
      <c r="M201" s="110">
        <v>0</v>
      </c>
      <c r="N201" s="110">
        <v>0</v>
      </c>
      <c r="O201" s="110">
        <v>0</v>
      </c>
      <c r="P201" s="110">
        <v>0</v>
      </c>
      <c r="Q201" s="110">
        <v>0</v>
      </c>
      <c r="R201" s="110">
        <v>0</v>
      </c>
      <c r="S201" s="110">
        <v>0</v>
      </c>
      <c r="T201" s="110">
        <v>0</v>
      </c>
      <c r="U201" s="110">
        <v>0</v>
      </c>
      <c r="V201" s="110">
        <v>0</v>
      </c>
      <c r="W201" s="110">
        <v>0</v>
      </c>
      <c r="X201" s="110">
        <v>0</v>
      </c>
      <c r="Y201" s="110">
        <v>0</v>
      </c>
      <c r="Z201" s="110">
        <v>0</v>
      </c>
      <c r="AA201" s="110">
        <v>0</v>
      </c>
      <c r="AB201" s="110">
        <v>0</v>
      </c>
      <c r="AC201" s="110">
        <v>0</v>
      </c>
      <c r="AD201" s="110">
        <v>0</v>
      </c>
      <c r="AE201" s="110">
        <v>0</v>
      </c>
      <c r="AF201" s="110">
        <v>0</v>
      </c>
      <c r="AG201" s="110">
        <v>0</v>
      </c>
      <c r="AH201" s="110">
        <v>0</v>
      </c>
      <c r="AI201" s="110">
        <v>0</v>
      </c>
      <c r="AJ201" s="110">
        <v>0</v>
      </c>
      <c r="AK201" s="110">
        <v>0</v>
      </c>
      <c r="AL201" s="110">
        <v>0</v>
      </c>
      <c r="AM201" s="110">
        <v>0</v>
      </c>
      <c r="AN201" s="110">
        <v>0</v>
      </c>
      <c r="AO201" s="110">
        <v>0</v>
      </c>
      <c r="AP201" s="110">
        <v>0</v>
      </c>
      <c r="AQ201" s="110">
        <v>0</v>
      </c>
      <c r="AR201" s="110">
        <v>0</v>
      </c>
      <c r="AS201" s="110">
        <v>0</v>
      </c>
      <c r="AT201" s="110">
        <v>0</v>
      </c>
      <c r="AU201" s="110">
        <v>0</v>
      </c>
      <c r="AV201" s="110">
        <v>0</v>
      </c>
      <c r="AW201" s="110">
        <v>0</v>
      </c>
      <c r="AX201" s="110">
        <v>0</v>
      </c>
      <c r="AY201" s="110">
        <v>0</v>
      </c>
    </row>
    <row r="202" spans="1:51" x14ac:dyDescent="0.2">
      <c r="A202" s="113"/>
      <c r="B202" s="123">
        <v>6</v>
      </c>
      <c r="C202" s="110">
        <v>0</v>
      </c>
      <c r="D202" s="110">
        <v>0</v>
      </c>
      <c r="E202" s="110">
        <v>0</v>
      </c>
      <c r="F202" s="110">
        <v>0</v>
      </c>
      <c r="G202" s="110">
        <v>0</v>
      </c>
      <c r="H202" s="110">
        <v>0</v>
      </c>
      <c r="I202" s="110">
        <v>0</v>
      </c>
      <c r="J202" s="110">
        <v>0</v>
      </c>
      <c r="K202" s="110">
        <v>1861</v>
      </c>
      <c r="L202" s="110">
        <v>650</v>
      </c>
      <c r="M202" s="110">
        <v>0</v>
      </c>
      <c r="N202" s="110">
        <v>0</v>
      </c>
      <c r="O202" s="110">
        <v>0</v>
      </c>
      <c r="P202" s="110">
        <v>0</v>
      </c>
      <c r="Q202" s="110">
        <v>0</v>
      </c>
      <c r="R202" s="110">
        <v>0</v>
      </c>
      <c r="S202" s="110">
        <v>0</v>
      </c>
      <c r="T202" s="110">
        <v>0</v>
      </c>
      <c r="U202" s="110">
        <v>0</v>
      </c>
      <c r="V202" s="110">
        <v>0</v>
      </c>
      <c r="W202" s="110">
        <v>0</v>
      </c>
      <c r="X202" s="110">
        <v>0</v>
      </c>
      <c r="Y202" s="110">
        <v>0</v>
      </c>
      <c r="Z202" s="110">
        <v>0</v>
      </c>
      <c r="AA202" s="110">
        <v>0</v>
      </c>
      <c r="AB202" s="110">
        <v>0</v>
      </c>
      <c r="AC202" s="110">
        <v>0</v>
      </c>
      <c r="AD202" s="110">
        <v>0</v>
      </c>
      <c r="AE202" s="110">
        <v>0</v>
      </c>
      <c r="AF202" s="110">
        <v>0</v>
      </c>
      <c r="AG202" s="110">
        <v>0</v>
      </c>
      <c r="AH202" s="110">
        <v>0</v>
      </c>
      <c r="AI202" s="110">
        <v>0</v>
      </c>
      <c r="AJ202" s="110">
        <v>0</v>
      </c>
      <c r="AK202" s="110">
        <v>0</v>
      </c>
      <c r="AL202" s="110">
        <v>0</v>
      </c>
      <c r="AM202" s="110">
        <v>0</v>
      </c>
      <c r="AN202" s="110">
        <v>0</v>
      </c>
      <c r="AO202" s="110">
        <v>0</v>
      </c>
      <c r="AP202" s="110">
        <v>0</v>
      </c>
      <c r="AQ202" s="110">
        <v>0</v>
      </c>
      <c r="AR202" s="110">
        <v>0</v>
      </c>
      <c r="AS202" s="110">
        <v>0</v>
      </c>
      <c r="AT202" s="110">
        <v>0</v>
      </c>
      <c r="AU202" s="110">
        <v>0</v>
      </c>
      <c r="AV202" s="110">
        <v>0</v>
      </c>
      <c r="AW202" s="110">
        <v>0</v>
      </c>
      <c r="AX202" s="110">
        <v>0</v>
      </c>
      <c r="AY202" s="110">
        <v>0</v>
      </c>
    </row>
    <row r="203" spans="1:51" x14ac:dyDescent="0.2">
      <c r="A203" s="113"/>
      <c r="B203" s="130">
        <v>7</v>
      </c>
      <c r="C203" s="110">
        <v>0</v>
      </c>
      <c r="D203" s="110">
        <v>0</v>
      </c>
      <c r="E203" s="110">
        <v>0</v>
      </c>
      <c r="F203" s="110">
        <v>0</v>
      </c>
      <c r="G203" s="110">
        <v>0</v>
      </c>
      <c r="H203" s="110">
        <v>0</v>
      </c>
      <c r="I203" s="110">
        <v>0</v>
      </c>
      <c r="J203" s="110">
        <v>0</v>
      </c>
      <c r="K203" s="110">
        <v>0</v>
      </c>
      <c r="L203" s="110">
        <v>0</v>
      </c>
      <c r="M203" s="110">
        <v>603</v>
      </c>
      <c r="N203" s="110">
        <v>769</v>
      </c>
      <c r="O203" s="110">
        <v>746</v>
      </c>
      <c r="P203" s="110">
        <v>1248</v>
      </c>
      <c r="Q203" s="110">
        <v>768.94446588960545</v>
      </c>
      <c r="R203" s="110">
        <v>1026</v>
      </c>
      <c r="S203" s="110">
        <v>648.10252091618804</v>
      </c>
      <c r="T203" s="110">
        <v>813</v>
      </c>
      <c r="U203" s="110">
        <v>861.56826531880961</v>
      </c>
      <c r="V203" s="110">
        <v>972</v>
      </c>
      <c r="W203" s="110">
        <v>806</v>
      </c>
      <c r="X203" s="110">
        <v>2125</v>
      </c>
      <c r="Y203" s="110">
        <v>2566</v>
      </c>
      <c r="Z203" s="110">
        <v>2136.6083358657847</v>
      </c>
      <c r="AA203" s="110">
        <v>1709.3721965442014</v>
      </c>
      <c r="AB203" s="110">
        <v>0</v>
      </c>
      <c r="AC203" s="110">
        <v>0</v>
      </c>
      <c r="AD203" s="110">
        <v>0</v>
      </c>
      <c r="AE203" s="110">
        <v>0</v>
      </c>
      <c r="AF203" s="110">
        <v>0</v>
      </c>
      <c r="AG203" s="110">
        <v>0</v>
      </c>
      <c r="AH203" s="110">
        <v>0</v>
      </c>
      <c r="AI203" s="110">
        <v>0</v>
      </c>
      <c r="AJ203" s="110">
        <v>0</v>
      </c>
      <c r="AK203" s="110">
        <v>304.09811108995927</v>
      </c>
      <c r="AL203" s="110">
        <v>207.29668384329079</v>
      </c>
      <c r="AM203" s="110">
        <v>2192</v>
      </c>
      <c r="AN203" s="110">
        <v>905</v>
      </c>
      <c r="AO203" s="110">
        <v>967</v>
      </c>
      <c r="AP203" s="110">
        <v>833</v>
      </c>
      <c r="AQ203" s="110">
        <v>904</v>
      </c>
      <c r="AR203" s="110">
        <v>426.16368548871833</v>
      </c>
      <c r="AS203" s="110">
        <v>0</v>
      </c>
      <c r="AT203" s="110">
        <v>0</v>
      </c>
      <c r="AU203" s="110">
        <v>0</v>
      </c>
      <c r="AV203" s="110">
        <v>0</v>
      </c>
      <c r="AW203" s="110">
        <v>0</v>
      </c>
      <c r="AX203" s="110">
        <v>0</v>
      </c>
      <c r="AY203" s="110">
        <v>0</v>
      </c>
    </row>
    <row r="204" spans="1:51" x14ac:dyDescent="0.2">
      <c r="A204" s="113"/>
      <c r="B204" s="130">
        <v>8</v>
      </c>
      <c r="C204" s="110">
        <v>0</v>
      </c>
      <c r="D204" s="110">
        <v>0</v>
      </c>
      <c r="E204" s="110">
        <v>0</v>
      </c>
      <c r="F204" s="110">
        <v>0</v>
      </c>
      <c r="G204" s="110">
        <v>0</v>
      </c>
      <c r="H204" s="110">
        <v>0</v>
      </c>
      <c r="I204" s="110">
        <v>0</v>
      </c>
      <c r="J204" s="110">
        <v>0</v>
      </c>
      <c r="K204" s="110">
        <v>0</v>
      </c>
      <c r="L204" s="110">
        <v>0</v>
      </c>
      <c r="M204" s="110">
        <v>0</v>
      </c>
      <c r="N204" s="110">
        <v>0</v>
      </c>
      <c r="O204" s="110">
        <v>0</v>
      </c>
      <c r="P204" s="110">
        <v>0</v>
      </c>
      <c r="Q204" s="110">
        <v>541.05553411039455</v>
      </c>
      <c r="R204" s="110">
        <v>0</v>
      </c>
      <c r="S204" s="110">
        <v>562.89747908381196</v>
      </c>
      <c r="T204" s="110">
        <v>0</v>
      </c>
      <c r="U204" s="110">
        <v>196.43173468119039</v>
      </c>
      <c r="V204" s="110">
        <v>0</v>
      </c>
      <c r="W204" s="110">
        <v>0</v>
      </c>
      <c r="X204" s="110">
        <v>0</v>
      </c>
      <c r="Y204" s="110">
        <v>0</v>
      </c>
      <c r="Z204" s="110">
        <v>543.39166413421526</v>
      </c>
      <c r="AA204" s="110">
        <v>1349.6278034557986</v>
      </c>
      <c r="AB204" s="110">
        <v>2023</v>
      </c>
      <c r="AC204" s="110">
        <v>2411</v>
      </c>
      <c r="AD204" s="110">
        <v>2393.2791721433277</v>
      </c>
      <c r="AE204" s="110">
        <v>2492.8057156459213</v>
      </c>
      <c r="AF204" s="110">
        <v>2038.6082625598331</v>
      </c>
      <c r="AG204" s="110">
        <v>1425.308378028499</v>
      </c>
      <c r="AH204" s="110">
        <v>2061.2087543699972</v>
      </c>
      <c r="AI204" s="110">
        <v>2729.5415128346585</v>
      </c>
      <c r="AJ204" s="110">
        <v>1976</v>
      </c>
      <c r="AK204" s="110">
        <v>2040.9018889100407</v>
      </c>
      <c r="AL204" s="110">
        <v>1684.7033161567092</v>
      </c>
      <c r="AM204" s="110">
        <v>0</v>
      </c>
      <c r="AN204" s="110">
        <v>0</v>
      </c>
      <c r="AO204" s="110">
        <v>0</v>
      </c>
      <c r="AP204" s="110">
        <v>0</v>
      </c>
      <c r="AQ204" s="110">
        <v>0</v>
      </c>
      <c r="AR204" s="110">
        <v>652.83631451128167</v>
      </c>
      <c r="AS204" s="110">
        <v>1241</v>
      </c>
      <c r="AT204" s="110">
        <v>1098.3146291493517</v>
      </c>
      <c r="AU204" s="110">
        <v>154.6639264271148</v>
      </c>
      <c r="AV204" s="110">
        <v>0</v>
      </c>
      <c r="AW204" s="110">
        <v>0</v>
      </c>
      <c r="AX204" s="110">
        <v>0</v>
      </c>
      <c r="AY204" s="110">
        <v>0</v>
      </c>
    </row>
    <row r="205" spans="1:51" x14ac:dyDescent="0.2">
      <c r="A205" s="113"/>
      <c r="B205" s="130">
        <v>9</v>
      </c>
      <c r="C205" s="110">
        <v>0</v>
      </c>
      <c r="D205" s="110">
        <v>0</v>
      </c>
      <c r="E205" s="110">
        <v>0</v>
      </c>
      <c r="F205" s="110">
        <v>0</v>
      </c>
      <c r="G205" s="110">
        <v>0</v>
      </c>
      <c r="H205" s="110">
        <v>0</v>
      </c>
      <c r="I205" s="110">
        <v>0</v>
      </c>
      <c r="J205" s="110">
        <v>0</v>
      </c>
      <c r="K205" s="110">
        <v>0</v>
      </c>
      <c r="L205" s="110">
        <v>0</v>
      </c>
      <c r="M205" s="110">
        <v>0</v>
      </c>
      <c r="N205" s="110">
        <v>0</v>
      </c>
      <c r="O205" s="110">
        <v>0</v>
      </c>
      <c r="P205" s="110">
        <v>0</v>
      </c>
      <c r="Q205" s="110">
        <v>0</v>
      </c>
      <c r="R205" s="110">
        <v>0</v>
      </c>
      <c r="S205" s="110">
        <v>0</v>
      </c>
      <c r="T205" s="110">
        <v>0</v>
      </c>
      <c r="U205" s="110">
        <v>0</v>
      </c>
      <c r="V205" s="110">
        <v>0</v>
      </c>
      <c r="W205" s="110">
        <v>0</v>
      </c>
      <c r="X205" s="110">
        <v>0</v>
      </c>
      <c r="Y205" s="110">
        <v>0</v>
      </c>
      <c r="Z205" s="110">
        <v>0</v>
      </c>
      <c r="AA205" s="110">
        <v>0</v>
      </c>
      <c r="AB205" s="110">
        <v>0</v>
      </c>
      <c r="AC205" s="110">
        <v>0</v>
      </c>
      <c r="AD205" s="110">
        <v>81.264856947186445</v>
      </c>
      <c r="AE205" s="110">
        <v>64.194284354078718</v>
      </c>
      <c r="AF205" s="110">
        <v>1130.3917374401669</v>
      </c>
      <c r="AG205" s="110">
        <v>591.04512693287734</v>
      </c>
      <c r="AH205" s="110">
        <v>796.43200146441495</v>
      </c>
      <c r="AI205" s="110">
        <v>183.09195010928238</v>
      </c>
      <c r="AJ205" s="110">
        <v>0</v>
      </c>
      <c r="AK205" s="110">
        <v>0</v>
      </c>
      <c r="AL205" s="110">
        <v>0</v>
      </c>
      <c r="AM205" s="110">
        <v>0</v>
      </c>
      <c r="AN205" s="110">
        <v>0</v>
      </c>
      <c r="AO205" s="110">
        <v>0</v>
      </c>
      <c r="AP205" s="110">
        <v>0</v>
      </c>
      <c r="AQ205" s="110">
        <v>0</v>
      </c>
      <c r="AR205" s="110">
        <v>0</v>
      </c>
      <c r="AS205" s="110">
        <v>0</v>
      </c>
      <c r="AT205" s="110">
        <v>27.144874424150771</v>
      </c>
      <c r="AU205" s="110">
        <v>817.9621717631494</v>
      </c>
      <c r="AV205" s="110">
        <v>1659.8352920800044</v>
      </c>
      <c r="AW205" s="110">
        <v>1665.1686971599818</v>
      </c>
      <c r="AX205" s="110">
        <v>1285.1823687904514</v>
      </c>
      <c r="AY205" s="110">
        <v>1356.0775696129933</v>
      </c>
    </row>
    <row r="206" spans="1:51" x14ac:dyDescent="0.2">
      <c r="A206" s="113"/>
      <c r="B206" s="133">
        <v>10</v>
      </c>
      <c r="C206" s="110">
        <v>0</v>
      </c>
      <c r="D206" s="110">
        <v>0</v>
      </c>
      <c r="E206" s="110">
        <v>0</v>
      </c>
      <c r="F206" s="110">
        <v>0</v>
      </c>
      <c r="G206" s="110">
        <v>0</v>
      </c>
      <c r="H206" s="110">
        <v>0</v>
      </c>
      <c r="I206" s="110">
        <v>0</v>
      </c>
      <c r="J206" s="110">
        <v>0</v>
      </c>
      <c r="K206" s="110">
        <v>0</v>
      </c>
      <c r="L206" s="110">
        <v>0</v>
      </c>
      <c r="M206" s="110">
        <v>0</v>
      </c>
      <c r="N206" s="110">
        <v>0</v>
      </c>
      <c r="O206" s="110">
        <v>0</v>
      </c>
      <c r="P206" s="110">
        <v>0</v>
      </c>
      <c r="Q206" s="110">
        <v>0</v>
      </c>
      <c r="R206" s="110">
        <v>0</v>
      </c>
      <c r="S206" s="110">
        <v>0</v>
      </c>
      <c r="T206" s="110">
        <v>0</v>
      </c>
      <c r="U206" s="110">
        <v>0</v>
      </c>
      <c r="V206" s="110">
        <v>0</v>
      </c>
      <c r="W206" s="110">
        <v>0</v>
      </c>
      <c r="X206" s="110">
        <v>0</v>
      </c>
      <c r="Y206" s="110">
        <v>0</v>
      </c>
      <c r="Z206" s="110">
        <v>0</v>
      </c>
      <c r="AA206" s="110">
        <v>0</v>
      </c>
      <c r="AB206" s="110">
        <v>0</v>
      </c>
      <c r="AC206" s="110">
        <v>0</v>
      </c>
      <c r="AD206" s="110">
        <v>0</v>
      </c>
      <c r="AE206" s="110">
        <v>0</v>
      </c>
      <c r="AF206" s="110">
        <v>0</v>
      </c>
      <c r="AG206" s="110">
        <v>0</v>
      </c>
      <c r="AH206" s="110">
        <v>0</v>
      </c>
      <c r="AI206" s="110">
        <v>0</v>
      </c>
      <c r="AJ206" s="110">
        <v>0</v>
      </c>
      <c r="AK206" s="110">
        <v>0</v>
      </c>
      <c r="AL206" s="110">
        <v>0</v>
      </c>
      <c r="AM206" s="110">
        <v>0</v>
      </c>
      <c r="AN206" s="110">
        <v>0</v>
      </c>
      <c r="AO206" s="110">
        <v>0</v>
      </c>
      <c r="AP206" s="110">
        <v>0</v>
      </c>
      <c r="AQ206" s="110">
        <v>0</v>
      </c>
      <c r="AR206" s="110">
        <v>0</v>
      </c>
      <c r="AS206" s="110">
        <v>0</v>
      </c>
      <c r="AT206" s="110">
        <v>0</v>
      </c>
      <c r="AU206" s="110">
        <v>0</v>
      </c>
      <c r="AV206" s="110">
        <v>0</v>
      </c>
      <c r="AW206" s="110">
        <v>0</v>
      </c>
      <c r="AX206" s="110">
        <v>0</v>
      </c>
      <c r="AY206" s="110">
        <v>0</v>
      </c>
    </row>
    <row r="207" spans="1:51" x14ac:dyDescent="0.2">
      <c r="A207" s="113"/>
      <c r="B207" s="133">
        <v>11</v>
      </c>
      <c r="C207" s="110">
        <v>0</v>
      </c>
      <c r="D207" s="110">
        <v>0</v>
      </c>
      <c r="E207" s="110">
        <v>0</v>
      </c>
      <c r="F207" s="110">
        <v>0</v>
      </c>
      <c r="G207" s="110">
        <v>0</v>
      </c>
      <c r="H207" s="110">
        <v>0</v>
      </c>
      <c r="I207" s="110">
        <v>0</v>
      </c>
      <c r="J207" s="110">
        <v>0</v>
      </c>
      <c r="K207" s="110">
        <v>0</v>
      </c>
      <c r="L207" s="110">
        <v>0</v>
      </c>
      <c r="M207" s="110">
        <v>0</v>
      </c>
      <c r="N207" s="110">
        <v>0</v>
      </c>
      <c r="O207" s="110">
        <v>0</v>
      </c>
      <c r="P207" s="110">
        <v>0</v>
      </c>
      <c r="Q207" s="110">
        <v>0</v>
      </c>
      <c r="R207" s="110">
        <v>0</v>
      </c>
      <c r="S207" s="110">
        <v>0</v>
      </c>
      <c r="T207" s="110">
        <v>0</v>
      </c>
      <c r="U207" s="110">
        <v>0</v>
      </c>
      <c r="V207" s="110">
        <v>0</v>
      </c>
      <c r="W207" s="110">
        <v>0</v>
      </c>
      <c r="X207" s="110">
        <v>0</v>
      </c>
      <c r="Y207" s="110">
        <v>0</v>
      </c>
      <c r="Z207" s="110">
        <v>0</v>
      </c>
      <c r="AA207" s="110">
        <v>0</v>
      </c>
      <c r="AB207" s="110">
        <v>0</v>
      </c>
      <c r="AC207" s="110">
        <v>0</v>
      </c>
      <c r="AD207" s="110">
        <v>0</v>
      </c>
      <c r="AE207" s="110">
        <v>0</v>
      </c>
      <c r="AF207" s="110">
        <v>0</v>
      </c>
      <c r="AG207" s="110">
        <v>0</v>
      </c>
      <c r="AH207" s="110">
        <v>0</v>
      </c>
      <c r="AI207" s="110">
        <v>0</v>
      </c>
      <c r="AJ207" s="110">
        <v>0</v>
      </c>
      <c r="AK207" s="110">
        <v>0</v>
      </c>
      <c r="AL207" s="110">
        <v>0</v>
      </c>
      <c r="AM207" s="110">
        <v>0</v>
      </c>
      <c r="AN207" s="110">
        <v>0</v>
      </c>
      <c r="AO207" s="110">
        <v>0</v>
      </c>
      <c r="AP207" s="110">
        <v>0</v>
      </c>
      <c r="AQ207" s="110">
        <v>0</v>
      </c>
      <c r="AR207" s="110">
        <v>0</v>
      </c>
      <c r="AS207" s="110">
        <v>0</v>
      </c>
      <c r="AT207" s="110">
        <v>0</v>
      </c>
      <c r="AU207" s="110">
        <v>0</v>
      </c>
      <c r="AV207" s="110">
        <v>0</v>
      </c>
      <c r="AW207" s="110">
        <v>0</v>
      </c>
      <c r="AX207" s="110">
        <v>0</v>
      </c>
      <c r="AY207" s="110">
        <v>0</v>
      </c>
    </row>
    <row r="208" spans="1:51" x14ac:dyDescent="0.2">
      <c r="A208" s="113"/>
      <c r="B208" s="133">
        <v>12</v>
      </c>
      <c r="C208" s="110">
        <v>0</v>
      </c>
      <c r="D208" s="110">
        <v>0</v>
      </c>
      <c r="E208" s="110">
        <v>0</v>
      </c>
      <c r="F208" s="110">
        <v>0</v>
      </c>
      <c r="G208" s="110">
        <v>0</v>
      </c>
      <c r="H208" s="110">
        <v>0</v>
      </c>
      <c r="I208" s="110">
        <v>0</v>
      </c>
      <c r="J208" s="110">
        <v>0</v>
      </c>
      <c r="K208" s="110">
        <v>0</v>
      </c>
      <c r="L208" s="110">
        <v>0</v>
      </c>
      <c r="M208" s="110">
        <v>0</v>
      </c>
      <c r="N208" s="110">
        <v>0</v>
      </c>
      <c r="O208" s="110">
        <v>0</v>
      </c>
      <c r="P208" s="110">
        <v>0</v>
      </c>
      <c r="Q208" s="110">
        <v>0</v>
      </c>
      <c r="R208" s="110">
        <v>0</v>
      </c>
      <c r="S208" s="110">
        <v>0</v>
      </c>
      <c r="T208" s="110">
        <v>0</v>
      </c>
      <c r="U208" s="110">
        <v>0</v>
      </c>
      <c r="V208" s="110">
        <v>0</v>
      </c>
      <c r="W208" s="110">
        <v>0</v>
      </c>
      <c r="X208" s="110">
        <v>0</v>
      </c>
      <c r="Y208" s="110">
        <v>0</v>
      </c>
      <c r="Z208" s="110">
        <v>0</v>
      </c>
      <c r="AA208" s="110">
        <v>0</v>
      </c>
      <c r="AB208" s="110">
        <v>0</v>
      </c>
      <c r="AC208" s="110">
        <v>0</v>
      </c>
      <c r="AD208" s="110">
        <v>0</v>
      </c>
      <c r="AE208" s="110">
        <v>0</v>
      </c>
      <c r="AF208" s="110">
        <v>0</v>
      </c>
      <c r="AG208" s="110">
        <v>0</v>
      </c>
      <c r="AH208" s="110">
        <v>0</v>
      </c>
      <c r="AI208" s="110">
        <v>0</v>
      </c>
      <c r="AJ208" s="110">
        <v>0</v>
      </c>
      <c r="AK208" s="110">
        <v>0</v>
      </c>
      <c r="AL208" s="110">
        <v>0</v>
      </c>
      <c r="AM208" s="110">
        <v>0</v>
      </c>
      <c r="AN208" s="110">
        <v>0</v>
      </c>
      <c r="AO208" s="110">
        <v>0</v>
      </c>
      <c r="AP208" s="110">
        <v>0</v>
      </c>
      <c r="AQ208" s="110">
        <v>0</v>
      </c>
      <c r="AR208" s="110">
        <v>0</v>
      </c>
      <c r="AS208" s="110">
        <v>0</v>
      </c>
      <c r="AT208" s="110">
        <v>0</v>
      </c>
      <c r="AU208" s="110">
        <v>0</v>
      </c>
      <c r="AV208" s="110">
        <v>0</v>
      </c>
      <c r="AW208" s="110">
        <v>0</v>
      </c>
      <c r="AX208" s="110">
        <v>0</v>
      </c>
      <c r="AY208" s="110">
        <v>0</v>
      </c>
    </row>
    <row r="209" spans="1:51" x14ac:dyDescent="0.2">
      <c r="A209" s="129" t="s">
        <v>123</v>
      </c>
      <c r="B209" s="126">
        <v>1</v>
      </c>
      <c r="C209" s="127">
        <v>0</v>
      </c>
      <c r="D209" s="127">
        <v>0</v>
      </c>
      <c r="E209" s="127">
        <v>0</v>
      </c>
      <c r="F209" s="127">
        <v>0</v>
      </c>
      <c r="G209" s="127">
        <v>0</v>
      </c>
      <c r="H209" s="127">
        <v>0</v>
      </c>
      <c r="I209" s="127">
        <v>0</v>
      </c>
      <c r="J209" s="127">
        <v>0</v>
      </c>
      <c r="K209" s="127">
        <v>0</v>
      </c>
      <c r="L209" s="127">
        <v>0</v>
      </c>
      <c r="M209" s="127">
        <v>0</v>
      </c>
      <c r="N209" s="127">
        <v>0</v>
      </c>
      <c r="O209" s="127">
        <v>0</v>
      </c>
      <c r="P209" s="127">
        <v>0</v>
      </c>
      <c r="Q209" s="127">
        <v>0</v>
      </c>
      <c r="R209" s="127">
        <v>0</v>
      </c>
      <c r="S209" s="127">
        <v>0</v>
      </c>
      <c r="T209" s="127">
        <v>0</v>
      </c>
      <c r="U209" s="127">
        <v>0</v>
      </c>
      <c r="V209" s="127">
        <v>0</v>
      </c>
      <c r="W209" s="127">
        <v>0</v>
      </c>
      <c r="X209" s="127">
        <v>0</v>
      </c>
      <c r="Y209" s="127">
        <v>112.25701401855758</v>
      </c>
      <c r="Z209" s="127">
        <v>217.6357014248149</v>
      </c>
      <c r="AA209" s="127">
        <v>119.6906529551818</v>
      </c>
      <c r="AB209" s="127">
        <v>324.66048024549104</v>
      </c>
      <c r="AC209" s="127">
        <v>404.63684414867112</v>
      </c>
      <c r="AD209" s="127">
        <v>106.48230048584901</v>
      </c>
      <c r="AE209" s="127">
        <v>32.509110946037708</v>
      </c>
      <c r="AF209" s="127">
        <v>0</v>
      </c>
      <c r="AG209" s="127">
        <v>0</v>
      </c>
      <c r="AH209" s="127">
        <v>0</v>
      </c>
      <c r="AI209" s="127">
        <v>0</v>
      </c>
      <c r="AJ209" s="127">
        <v>0</v>
      </c>
      <c r="AK209" s="127">
        <v>0</v>
      </c>
      <c r="AL209" s="127">
        <v>0</v>
      </c>
      <c r="AM209" s="127">
        <v>0</v>
      </c>
      <c r="AN209" s="127">
        <v>0</v>
      </c>
      <c r="AO209" s="127">
        <v>0</v>
      </c>
      <c r="AP209" s="127">
        <v>0</v>
      </c>
      <c r="AQ209" s="127">
        <v>0</v>
      </c>
      <c r="AR209" s="127">
        <v>636.27119779032819</v>
      </c>
      <c r="AS209" s="127">
        <v>1745.3515513011907</v>
      </c>
      <c r="AT209" s="127">
        <v>1702.2979974467949</v>
      </c>
      <c r="AU209" s="127">
        <v>1525.1542008560575</v>
      </c>
      <c r="AV209" s="127">
        <v>647.45281759630871</v>
      </c>
      <c r="AW209" s="127">
        <v>767.57428834118832</v>
      </c>
      <c r="AX209" s="127">
        <v>693.62506434062516</v>
      </c>
      <c r="AY209" s="127">
        <v>179.48209905093813</v>
      </c>
    </row>
    <row r="210" spans="1:51" x14ac:dyDescent="0.2">
      <c r="A210" s="113"/>
      <c r="B210" s="122">
        <v>2</v>
      </c>
      <c r="C210" s="110">
        <v>0</v>
      </c>
      <c r="D210" s="114">
        <v>0</v>
      </c>
      <c r="E210" s="114">
        <v>0</v>
      </c>
      <c r="F210" s="114">
        <v>0</v>
      </c>
      <c r="G210" s="114">
        <v>0</v>
      </c>
      <c r="H210" s="114">
        <v>0</v>
      </c>
      <c r="I210" s="114">
        <v>0</v>
      </c>
      <c r="J210" s="114">
        <v>0</v>
      </c>
      <c r="K210" s="114">
        <v>0</v>
      </c>
      <c r="L210" s="114">
        <v>554.26297417497483</v>
      </c>
      <c r="M210" s="114">
        <v>779.65988296976366</v>
      </c>
      <c r="N210" s="114">
        <v>1270.6960367966108</v>
      </c>
      <c r="O210" s="114">
        <v>1085.5566642709389</v>
      </c>
      <c r="P210" s="114">
        <v>389.31705998462127</v>
      </c>
      <c r="Q210" s="114">
        <v>0</v>
      </c>
      <c r="R210" s="114">
        <v>0</v>
      </c>
      <c r="S210" s="114">
        <v>0</v>
      </c>
      <c r="T210" s="114">
        <v>0</v>
      </c>
      <c r="U210" s="114">
        <v>0</v>
      </c>
      <c r="V210" s="114">
        <v>0</v>
      </c>
      <c r="W210" s="114">
        <v>0</v>
      </c>
      <c r="X210" s="114">
        <v>989.66820418463874</v>
      </c>
      <c r="Y210" s="114">
        <v>1650.1433673927781</v>
      </c>
      <c r="Z210" s="114">
        <v>1589.3642985751851</v>
      </c>
      <c r="AA210" s="114">
        <v>1532.3093470448182</v>
      </c>
      <c r="AB210" s="114">
        <v>1585.339519754509</v>
      </c>
      <c r="AC210" s="114">
        <v>1474.3631558513289</v>
      </c>
      <c r="AD210" s="114">
        <v>1431.0617286046652</v>
      </c>
      <c r="AE210" s="114">
        <v>1592.4908890539623</v>
      </c>
      <c r="AF210" s="114">
        <v>949</v>
      </c>
      <c r="AG210" s="114">
        <v>535.26484287247376</v>
      </c>
      <c r="AH210" s="114">
        <v>452.01452225336971</v>
      </c>
      <c r="AI210" s="114">
        <v>281.93319091431874</v>
      </c>
      <c r="AJ210" s="114">
        <v>2.2129658876527856</v>
      </c>
      <c r="AK210" s="114">
        <v>0</v>
      </c>
      <c r="AL210" s="114">
        <v>0</v>
      </c>
      <c r="AM210" s="114">
        <v>0</v>
      </c>
      <c r="AN210" s="114">
        <v>598.38160872905053</v>
      </c>
      <c r="AO210" s="114">
        <v>894.5469384837927</v>
      </c>
      <c r="AP210" s="114">
        <v>865.89908321100643</v>
      </c>
      <c r="AQ210" s="114">
        <v>993.38833778165372</v>
      </c>
      <c r="AR210" s="114">
        <v>1650.1433673927781</v>
      </c>
      <c r="AS210" s="114">
        <v>1305.6484486988093</v>
      </c>
      <c r="AT210" s="114">
        <v>705.16150612670765</v>
      </c>
      <c r="AU210" s="114">
        <v>728.47189733420669</v>
      </c>
      <c r="AV210" s="114">
        <v>824.38247448369566</v>
      </c>
      <c r="AW210" s="114">
        <v>1299.5944088187932</v>
      </c>
      <c r="AX210" s="114">
        <v>1234.5573044498262</v>
      </c>
      <c r="AY210" s="114">
        <v>1274.5954705620552</v>
      </c>
    </row>
    <row r="211" spans="1:51" x14ac:dyDescent="0.2">
      <c r="A211" s="113"/>
      <c r="B211" s="122">
        <v>3</v>
      </c>
      <c r="C211" s="110">
        <v>0</v>
      </c>
      <c r="D211" s="114">
        <v>0</v>
      </c>
      <c r="E211" s="114">
        <v>0</v>
      </c>
      <c r="F211" s="114">
        <v>0</v>
      </c>
      <c r="G211" s="114">
        <v>410.55784851347283</v>
      </c>
      <c r="H211" s="114">
        <v>313.55769370895541</v>
      </c>
      <c r="I211" s="114">
        <v>364.03911270335044</v>
      </c>
      <c r="J211" s="114">
        <v>203.37115663748602</v>
      </c>
      <c r="K211" s="114">
        <v>126.38105767676655</v>
      </c>
      <c r="L211" s="114">
        <v>893.43350313130975</v>
      </c>
      <c r="M211" s="114">
        <v>593.34011703023634</v>
      </c>
      <c r="N211" s="114">
        <v>471.30396320338923</v>
      </c>
      <c r="O211" s="114">
        <v>205.44333572906115</v>
      </c>
      <c r="P211" s="114">
        <v>305.68294001537873</v>
      </c>
      <c r="Q211" s="114">
        <v>659</v>
      </c>
      <c r="R211" s="114">
        <v>541.19716990023858</v>
      </c>
      <c r="S211" s="114">
        <v>533.28945487567671</v>
      </c>
      <c r="T211" s="114">
        <v>654.00799807879173</v>
      </c>
      <c r="U211" s="114">
        <v>656.36837407889425</v>
      </c>
      <c r="V211" s="114">
        <v>648.64634727816281</v>
      </c>
      <c r="W211" s="114">
        <v>714.46542724892197</v>
      </c>
      <c r="X211" s="114">
        <v>893.43350313130975</v>
      </c>
      <c r="Y211" s="114">
        <v>357.59961858866427</v>
      </c>
      <c r="Z211" s="114">
        <v>0</v>
      </c>
      <c r="AA211" s="114">
        <v>0</v>
      </c>
      <c r="AB211" s="114">
        <v>0</v>
      </c>
      <c r="AC211" s="114">
        <v>0</v>
      </c>
      <c r="AD211" s="114">
        <v>0</v>
      </c>
      <c r="AE211" s="114">
        <v>0</v>
      </c>
      <c r="AF211" s="114">
        <v>0</v>
      </c>
      <c r="AG211" s="114">
        <v>370.08866208890259</v>
      </c>
      <c r="AH211" s="114">
        <v>603.6262335810427</v>
      </c>
      <c r="AI211" s="114">
        <v>648.70027202962228</v>
      </c>
      <c r="AJ211" s="114">
        <v>740.78703411234721</v>
      </c>
      <c r="AK211" s="114">
        <v>603</v>
      </c>
      <c r="AL211" s="114">
        <v>513.39994341167335</v>
      </c>
      <c r="AM211" s="114">
        <v>529.23926352275657</v>
      </c>
      <c r="AN211" s="114">
        <v>893.43350313130975</v>
      </c>
      <c r="AO211" s="114">
        <v>569.4530615162073</v>
      </c>
      <c r="AP211" s="114">
        <v>409.10091678899352</v>
      </c>
      <c r="AQ211" s="114">
        <v>424.61166221834623</v>
      </c>
      <c r="AR211" s="114">
        <v>355.58543481689355</v>
      </c>
      <c r="AS211" s="114">
        <v>0</v>
      </c>
      <c r="AT211" s="114">
        <v>0</v>
      </c>
      <c r="AU211" s="114">
        <v>0</v>
      </c>
      <c r="AV211" s="114">
        <v>0</v>
      </c>
      <c r="AW211" s="114">
        <v>0</v>
      </c>
      <c r="AX211" s="114">
        <v>0</v>
      </c>
      <c r="AY211" s="114">
        <v>0</v>
      </c>
    </row>
    <row r="212" spans="1:51" x14ac:dyDescent="0.2">
      <c r="A212" s="113"/>
      <c r="B212" s="122">
        <v>4</v>
      </c>
      <c r="C212" s="110">
        <v>1830</v>
      </c>
      <c r="D212" s="114">
        <v>873.56880466949008</v>
      </c>
      <c r="E212" s="114">
        <v>675.40145968846696</v>
      </c>
      <c r="F212" s="114">
        <v>316.93185487967946</v>
      </c>
      <c r="G212" s="114">
        <v>483.72974148220516</v>
      </c>
      <c r="H212" s="114">
        <v>261.44230629104459</v>
      </c>
      <c r="I212" s="114">
        <v>313.96088729664956</v>
      </c>
      <c r="J212" s="114">
        <v>286.62884336251398</v>
      </c>
      <c r="K212" s="114">
        <v>373.61894232323345</v>
      </c>
      <c r="L212" s="114">
        <v>415.30352269371531</v>
      </c>
      <c r="M212" s="114">
        <v>0</v>
      </c>
      <c r="N212" s="114">
        <v>0</v>
      </c>
      <c r="O212" s="114">
        <v>0</v>
      </c>
      <c r="P212" s="114">
        <v>0</v>
      </c>
      <c r="Q212" s="114">
        <v>0</v>
      </c>
      <c r="R212" s="114">
        <v>12.80283009976147</v>
      </c>
      <c r="S212" s="114">
        <v>190.71054512432335</v>
      </c>
      <c r="T212" s="114">
        <v>194.99200192120827</v>
      </c>
      <c r="U212" s="114">
        <v>129.63162592110569</v>
      </c>
      <c r="V212" s="114">
        <v>128.35365272183716</v>
      </c>
      <c r="W212" s="114">
        <v>132.534572751078</v>
      </c>
      <c r="X212" s="114">
        <v>96.898292684051526</v>
      </c>
      <c r="Y212" s="114">
        <v>0</v>
      </c>
      <c r="Z212" s="114">
        <v>0</v>
      </c>
      <c r="AA212" s="114">
        <v>0</v>
      </c>
      <c r="AB212" s="114">
        <v>0</v>
      </c>
      <c r="AC212" s="114">
        <v>0</v>
      </c>
      <c r="AD212" s="114">
        <v>0</v>
      </c>
      <c r="AE212" s="114">
        <v>0</v>
      </c>
      <c r="AF212" s="114">
        <v>0</v>
      </c>
      <c r="AG212" s="114">
        <v>0</v>
      </c>
      <c r="AH212" s="114">
        <v>0</v>
      </c>
      <c r="AI212" s="114">
        <v>0</v>
      </c>
      <c r="AJ212" s="114">
        <v>0</v>
      </c>
      <c r="AK212" s="114">
        <v>0</v>
      </c>
      <c r="AL212" s="114">
        <v>156.60005658832671</v>
      </c>
      <c r="AM212" s="114">
        <v>205.76073647724346</v>
      </c>
      <c r="AN212" s="114">
        <v>197.18488813963967</v>
      </c>
      <c r="AO212" s="114">
        <v>0</v>
      </c>
      <c r="AP212" s="114">
        <v>0</v>
      </c>
      <c r="AQ212" s="114">
        <v>0</v>
      </c>
      <c r="AR212" s="114">
        <v>0</v>
      </c>
      <c r="AS212" s="114">
        <v>0</v>
      </c>
      <c r="AT212" s="114">
        <v>0</v>
      </c>
      <c r="AU212" s="114">
        <v>0</v>
      </c>
      <c r="AV212" s="114">
        <v>0</v>
      </c>
      <c r="AW212" s="114">
        <v>0</v>
      </c>
      <c r="AX212" s="114">
        <v>0</v>
      </c>
      <c r="AY212" s="114">
        <v>0</v>
      </c>
    </row>
    <row r="213" spans="1:51" x14ac:dyDescent="0.2">
      <c r="A213" s="113"/>
      <c r="B213" s="122">
        <v>5</v>
      </c>
      <c r="C213" s="110">
        <v>0</v>
      </c>
      <c r="D213" s="114">
        <v>811.43119533050992</v>
      </c>
      <c r="E213" s="114">
        <v>1206.598540311533</v>
      </c>
      <c r="F213" s="114">
        <v>958.06814512032054</v>
      </c>
      <c r="G213" s="114">
        <v>871.71241000432201</v>
      </c>
      <c r="H213" s="114">
        <v>0</v>
      </c>
      <c r="I213" s="114">
        <v>0</v>
      </c>
      <c r="J213" s="114">
        <v>0</v>
      </c>
      <c r="K213" s="114">
        <v>0</v>
      </c>
      <c r="L213" s="114">
        <v>0</v>
      </c>
      <c r="M213" s="114">
        <v>0</v>
      </c>
      <c r="N213" s="114">
        <v>0</v>
      </c>
      <c r="O213" s="114">
        <v>0</v>
      </c>
      <c r="P213" s="114">
        <v>0</v>
      </c>
      <c r="Q213" s="114">
        <v>0</v>
      </c>
      <c r="R213" s="114">
        <v>0</v>
      </c>
      <c r="S213" s="114">
        <v>0</v>
      </c>
      <c r="T213" s="114">
        <v>0</v>
      </c>
      <c r="U213" s="114">
        <v>0</v>
      </c>
      <c r="V213" s="114">
        <v>0</v>
      </c>
      <c r="W213" s="114">
        <v>0</v>
      </c>
      <c r="X213" s="114">
        <v>0</v>
      </c>
      <c r="Y213" s="114">
        <v>0</v>
      </c>
      <c r="Z213" s="114">
        <v>0</v>
      </c>
      <c r="AA213" s="114">
        <v>0</v>
      </c>
      <c r="AB213" s="114">
        <v>0</v>
      </c>
      <c r="AC213" s="114">
        <v>0</v>
      </c>
      <c r="AD213" s="114">
        <v>0</v>
      </c>
      <c r="AE213" s="114">
        <v>0</v>
      </c>
      <c r="AF213" s="114">
        <v>0</v>
      </c>
      <c r="AG213" s="114">
        <v>0</v>
      </c>
      <c r="AH213" s="114">
        <v>0</v>
      </c>
      <c r="AI213" s="114">
        <v>0</v>
      </c>
      <c r="AJ213" s="114">
        <v>0</v>
      </c>
      <c r="AK213" s="114">
        <v>0</v>
      </c>
      <c r="AL213" s="114">
        <v>0</v>
      </c>
      <c r="AM213" s="114">
        <v>0</v>
      </c>
      <c r="AN213" s="114">
        <v>0</v>
      </c>
      <c r="AO213" s="114">
        <v>0</v>
      </c>
      <c r="AP213" s="114">
        <v>0</v>
      </c>
      <c r="AQ213" s="114">
        <v>0</v>
      </c>
      <c r="AR213" s="114">
        <v>0</v>
      </c>
      <c r="AS213" s="114">
        <v>0</v>
      </c>
      <c r="AT213" s="114">
        <v>0</v>
      </c>
      <c r="AU213" s="114">
        <v>0</v>
      </c>
      <c r="AV213" s="114">
        <v>0</v>
      </c>
      <c r="AW213" s="114">
        <v>0</v>
      </c>
      <c r="AX213" s="114">
        <v>0</v>
      </c>
      <c r="AY213" s="114">
        <v>0</v>
      </c>
    </row>
    <row r="214" spans="1:51" x14ac:dyDescent="0.2">
      <c r="A214" s="113"/>
      <c r="B214" s="122">
        <v>6</v>
      </c>
      <c r="C214" s="110">
        <v>0</v>
      </c>
      <c r="D214" s="114">
        <v>0</v>
      </c>
      <c r="E214" s="114">
        <v>0</v>
      </c>
      <c r="F214" s="114">
        <v>0</v>
      </c>
      <c r="G214" s="114">
        <v>0</v>
      </c>
      <c r="H214" s="114">
        <v>0</v>
      </c>
      <c r="I214" s="114">
        <v>0</v>
      </c>
      <c r="J214" s="114">
        <v>0</v>
      </c>
      <c r="K214" s="114">
        <v>0</v>
      </c>
      <c r="L214" s="114">
        <v>0</v>
      </c>
      <c r="M214" s="114">
        <v>0</v>
      </c>
      <c r="N214" s="114">
        <v>0</v>
      </c>
      <c r="O214" s="114">
        <v>0</v>
      </c>
      <c r="P214" s="114">
        <v>0</v>
      </c>
      <c r="Q214" s="114">
        <v>0</v>
      </c>
      <c r="R214" s="114">
        <v>0</v>
      </c>
      <c r="S214" s="114">
        <v>0</v>
      </c>
      <c r="T214" s="114">
        <v>0</v>
      </c>
      <c r="U214" s="114">
        <v>0</v>
      </c>
      <c r="V214" s="114">
        <v>0</v>
      </c>
      <c r="W214" s="114">
        <v>0</v>
      </c>
      <c r="X214" s="114">
        <v>0</v>
      </c>
      <c r="Y214" s="114">
        <v>0</v>
      </c>
      <c r="Z214" s="114">
        <v>0</v>
      </c>
      <c r="AA214" s="114">
        <v>0</v>
      </c>
      <c r="AB214" s="114">
        <v>0</v>
      </c>
      <c r="AC214" s="114">
        <v>0</v>
      </c>
      <c r="AD214" s="114">
        <v>0</v>
      </c>
      <c r="AE214" s="114">
        <v>0</v>
      </c>
      <c r="AF214" s="114">
        <v>0</v>
      </c>
      <c r="AG214" s="114">
        <v>0</v>
      </c>
      <c r="AH214" s="114">
        <v>0</v>
      </c>
      <c r="AI214" s="114">
        <v>0</v>
      </c>
      <c r="AJ214" s="114">
        <v>0</v>
      </c>
      <c r="AK214" s="114">
        <v>0</v>
      </c>
      <c r="AL214" s="114">
        <v>0</v>
      </c>
      <c r="AM214" s="114">
        <v>0</v>
      </c>
      <c r="AN214" s="114">
        <v>0</v>
      </c>
      <c r="AO214" s="114">
        <v>0</v>
      </c>
      <c r="AP214" s="114">
        <v>0</v>
      </c>
      <c r="AQ214" s="114">
        <v>0</v>
      </c>
      <c r="AR214" s="114">
        <v>0</v>
      </c>
      <c r="AS214" s="114">
        <v>0</v>
      </c>
      <c r="AT214" s="114">
        <v>0</v>
      </c>
      <c r="AU214" s="114">
        <v>0</v>
      </c>
      <c r="AV214" s="114">
        <v>0</v>
      </c>
      <c r="AW214" s="114">
        <v>0</v>
      </c>
      <c r="AX214" s="114">
        <v>0</v>
      </c>
      <c r="AY214" s="114">
        <v>0</v>
      </c>
    </row>
    <row r="215" spans="1:51" x14ac:dyDescent="0.2">
      <c r="A215" s="113"/>
      <c r="B215" s="122">
        <v>7</v>
      </c>
      <c r="C215" s="110">
        <v>0</v>
      </c>
      <c r="D215" s="114">
        <v>0</v>
      </c>
      <c r="E215" s="114">
        <v>0</v>
      </c>
      <c r="F215" s="114">
        <v>0</v>
      </c>
      <c r="G215" s="114">
        <v>0</v>
      </c>
      <c r="H215" s="114">
        <v>0</v>
      </c>
      <c r="I215" s="114">
        <v>0</v>
      </c>
      <c r="J215" s="114">
        <v>0</v>
      </c>
      <c r="K215" s="114">
        <v>0</v>
      </c>
      <c r="L215" s="114">
        <v>0</v>
      </c>
      <c r="M215" s="114">
        <v>0</v>
      </c>
      <c r="N215" s="114">
        <v>0</v>
      </c>
      <c r="O215" s="114">
        <v>0</v>
      </c>
      <c r="P215" s="114">
        <v>0</v>
      </c>
      <c r="Q215" s="114">
        <v>0</v>
      </c>
      <c r="R215" s="114">
        <v>0</v>
      </c>
      <c r="S215" s="114">
        <v>0</v>
      </c>
      <c r="T215" s="114">
        <v>0</v>
      </c>
      <c r="U215" s="114">
        <v>0</v>
      </c>
      <c r="V215" s="114">
        <v>0</v>
      </c>
      <c r="W215" s="114">
        <v>0</v>
      </c>
      <c r="X215" s="114">
        <v>0</v>
      </c>
      <c r="Y215" s="114">
        <v>0</v>
      </c>
      <c r="Z215" s="114">
        <v>0</v>
      </c>
      <c r="AA215" s="114">
        <v>0</v>
      </c>
      <c r="AB215" s="114">
        <v>0</v>
      </c>
      <c r="AC215" s="114">
        <v>0</v>
      </c>
      <c r="AD215" s="114">
        <v>0</v>
      </c>
      <c r="AE215" s="114">
        <v>0</v>
      </c>
      <c r="AF215" s="114">
        <v>0</v>
      </c>
      <c r="AG215" s="114">
        <v>0</v>
      </c>
      <c r="AH215" s="114">
        <v>0</v>
      </c>
      <c r="AI215" s="114">
        <v>0</v>
      </c>
      <c r="AJ215" s="114">
        <v>0</v>
      </c>
      <c r="AK215" s="114">
        <v>0</v>
      </c>
      <c r="AL215" s="114">
        <v>0</v>
      </c>
      <c r="AM215" s="114">
        <v>0</v>
      </c>
      <c r="AN215" s="114">
        <v>0</v>
      </c>
      <c r="AO215" s="114">
        <v>0</v>
      </c>
      <c r="AP215" s="114">
        <v>0</v>
      </c>
      <c r="AQ215" s="114">
        <v>0</v>
      </c>
      <c r="AR215" s="114">
        <v>0</v>
      </c>
      <c r="AS215" s="114">
        <v>0</v>
      </c>
      <c r="AT215" s="114">
        <v>0</v>
      </c>
      <c r="AU215" s="114">
        <v>0</v>
      </c>
      <c r="AV215" s="114">
        <v>0</v>
      </c>
      <c r="AW215" s="114">
        <v>0</v>
      </c>
      <c r="AX215" s="114">
        <v>0</v>
      </c>
      <c r="AY215" s="114">
        <v>0</v>
      </c>
    </row>
    <row r="216" spans="1:51" x14ac:dyDescent="0.2">
      <c r="A216" s="113"/>
      <c r="B216" s="122">
        <v>8</v>
      </c>
      <c r="C216" s="110">
        <v>0</v>
      </c>
      <c r="D216" s="114">
        <v>0</v>
      </c>
      <c r="E216" s="114">
        <v>0</v>
      </c>
      <c r="F216" s="114">
        <v>0</v>
      </c>
      <c r="G216" s="114">
        <v>0</v>
      </c>
      <c r="H216" s="114">
        <v>0</v>
      </c>
      <c r="I216" s="114">
        <v>0</v>
      </c>
      <c r="J216" s="114">
        <v>0</v>
      </c>
      <c r="K216" s="114">
        <v>0</v>
      </c>
      <c r="L216" s="114">
        <v>0</v>
      </c>
      <c r="M216" s="114">
        <v>0</v>
      </c>
      <c r="N216" s="114">
        <v>0</v>
      </c>
      <c r="O216" s="114">
        <v>0</v>
      </c>
      <c r="P216" s="114">
        <v>0</v>
      </c>
      <c r="Q216" s="114">
        <v>0</v>
      </c>
      <c r="R216" s="114">
        <v>0</v>
      </c>
      <c r="S216" s="114">
        <v>0</v>
      </c>
      <c r="T216" s="114">
        <v>0</v>
      </c>
      <c r="U216" s="114">
        <v>0</v>
      </c>
      <c r="V216" s="114">
        <v>0</v>
      </c>
      <c r="W216" s="114">
        <v>0</v>
      </c>
      <c r="X216" s="114">
        <v>0</v>
      </c>
      <c r="Y216" s="114">
        <v>0</v>
      </c>
      <c r="Z216" s="114">
        <v>0</v>
      </c>
      <c r="AA216" s="114">
        <v>0</v>
      </c>
      <c r="AB216" s="114">
        <v>0</v>
      </c>
      <c r="AC216" s="114">
        <v>0</v>
      </c>
      <c r="AD216" s="114">
        <v>0</v>
      </c>
      <c r="AE216" s="114">
        <v>0</v>
      </c>
      <c r="AF216" s="114">
        <v>0</v>
      </c>
      <c r="AG216" s="114">
        <v>0</v>
      </c>
      <c r="AH216" s="114">
        <v>0</v>
      </c>
      <c r="AI216" s="114">
        <v>0</v>
      </c>
      <c r="AJ216" s="114">
        <v>0</v>
      </c>
      <c r="AK216" s="114">
        <v>0</v>
      </c>
      <c r="AL216" s="114">
        <v>0</v>
      </c>
      <c r="AM216" s="114">
        <v>0</v>
      </c>
      <c r="AN216" s="114">
        <v>0</v>
      </c>
      <c r="AO216" s="114">
        <v>0</v>
      </c>
      <c r="AP216" s="114">
        <v>0</v>
      </c>
      <c r="AQ216" s="114">
        <v>0</v>
      </c>
      <c r="AR216" s="114">
        <v>0</v>
      </c>
      <c r="AS216" s="114">
        <v>0</v>
      </c>
      <c r="AT216" s="114">
        <v>0</v>
      </c>
      <c r="AU216" s="114">
        <v>0</v>
      </c>
      <c r="AV216" s="114">
        <v>0</v>
      </c>
      <c r="AW216" s="114">
        <v>0</v>
      </c>
      <c r="AX216" s="114">
        <v>0</v>
      </c>
      <c r="AY216" s="114">
        <v>0</v>
      </c>
    </row>
    <row r="217" spans="1:51" x14ac:dyDescent="0.2">
      <c r="A217" s="113"/>
      <c r="B217" s="122">
        <v>9</v>
      </c>
      <c r="C217" s="110">
        <v>0</v>
      </c>
      <c r="D217" s="114">
        <v>0</v>
      </c>
      <c r="E217" s="114">
        <v>0</v>
      </c>
      <c r="F217" s="114">
        <v>0</v>
      </c>
      <c r="G217" s="114">
        <v>0</v>
      </c>
      <c r="H217" s="114">
        <v>0</v>
      </c>
      <c r="I217" s="114">
        <v>0</v>
      </c>
      <c r="J217" s="114">
        <v>0</v>
      </c>
      <c r="K217" s="114">
        <v>0</v>
      </c>
      <c r="L217" s="114">
        <v>0</v>
      </c>
      <c r="M217" s="114">
        <v>0</v>
      </c>
      <c r="N217" s="114">
        <v>0</v>
      </c>
      <c r="O217" s="114">
        <v>0</v>
      </c>
      <c r="P217" s="114">
        <v>0</v>
      </c>
      <c r="Q217" s="114">
        <v>0</v>
      </c>
      <c r="R217" s="114">
        <v>0</v>
      </c>
      <c r="S217" s="114">
        <v>0</v>
      </c>
      <c r="T217" s="114">
        <v>0</v>
      </c>
      <c r="U217" s="114">
        <v>0</v>
      </c>
      <c r="V217" s="114">
        <v>0</v>
      </c>
      <c r="W217" s="114">
        <v>0</v>
      </c>
      <c r="X217" s="114">
        <v>0</v>
      </c>
      <c r="Y217" s="114">
        <v>0</v>
      </c>
      <c r="Z217" s="114">
        <v>0</v>
      </c>
      <c r="AA217" s="114">
        <v>0</v>
      </c>
      <c r="AB217" s="114">
        <v>0</v>
      </c>
      <c r="AC217" s="114">
        <v>0</v>
      </c>
      <c r="AD217" s="114">
        <v>0</v>
      </c>
      <c r="AE217" s="114">
        <v>0</v>
      </c>
      <c r="AF217" s="114">
        <v>0</v>
      </c>
      <c r="AG217" s="114">
        <v>0</v>
      </c>
      <c r="AH217" s="114">
        <v>0</v>
      </c>
      <c r="AI217" s="114">
        <v>0</v>
      </c>
      <c r="AJ217" s="114">
        <v>0</v>
      </c>
      <c r="AK217" s="114">
        <v>0</v>
      </c>
      <c r="AL217" s="114">
        <v>0</v>
      </c>
      <c r="AM217" s="114">
        <v>0</v>
      </c>
      <c r="AN217" s="114">
        <v>0</v>
      </c>
      <c r="AO217" s="114">
        <v>0</v>
      </c>
      <c r="AP217" s="114">
        <v>0</v>
      </c>
      <c r="AQ217" s="114">
        <v>0</v>
      </c>
      <c r="AR217" s="114">
        <v>0</v>
      </c>
      <c r="AS217" s="114">
        <v>0</v>
      </c>
      <c r="AT217" s="114">
        <v>0</v>
      </c>
      <c r="AU217" s="114">
        <v>0</v>
      </c>
      <c r="AV217" s="114">
        <v>0</v>
      </c>
      <c r="AW217" s="114">
        <v>0</v>
      </c>
      <c r="AX217" s="114">
        <v>0</v>
      </c>
      <c r="AY217" s="114">
        <v>0</v>
      </c>
    </row>
    <row r="218" spans="1:51" x14ac:dyDescent="0.2">
      <c r="A218" s="113"/>
      <c r="B218" s="122">
        <v>10</v>
      </c>
      <c r="C218" s="110">
        <v>0</v>
      </c>
      <c r="D218" s="114">
        <v>0</v>
      </c>
      <c r="E218" s="114">
        <v>0</v>
      </c>
      <c r="F218" s="114">
        <v>0</v>
      </c>
      <c r="G218" s="114">
        <v>0</v>
      </c>
      <c r="H218" s="114">
        <v>0</v>
      </c>
      <c r="I218" s="114">
        <v>0</v>
      </c>
      <c r="J218" s="114">
        <v>0</v>
      </c>
      <c r="K218" s="114">
        <v>0</v>
      </c>
      <c r="L218" s="114">
        <v>0</v>
      </c>
      <c r="M218" s="114">
        <v>0</v>
      </c>
      <c r="N218" s="114">
        <v>0</v>
      </c>
      <c r="O218" s="114">
        <v>0</v>
      </c>
      <c r="P218" s="114">
        <v>0</v>
      </c>
      <c r="Q218" s="114">
        <v>0</v>
      </c>
      <c r="R218" s="114">
        <v>0</v>
      </c>
      <c r="S218" s="114">
        <v>0</v>
      </c>
      <c r="T218" s="114">
        <v>0</v>
      </c>
      <c r="U218" s="114">
        <v>0</v>
      </c>
      <c r="V218" s="114">
        <v>0</v>
      </c>
      <c r="W218" s="114">
        <v>0</v>
      </c>
      <c r="X218" s="114">
        <v>0</v>
      </c>
      <c r="Y218" s="114">
        <v>0</v>
      </c>
      <c r="Z218" s="114">
        <v>0</v>
      </c>
      <c r="AA218" s="114">
        <v>0</v>
      </c>
      <c r="AB218" s="114">
        <v>0</v>
      </c>
      <c r="AC218" s="114">
        <v>0</v>
      </c>
      <c r="AD218" s="114">
        <v>0</v>
      </c>
      <c r="AE218" s="114">
        <v>0</v>
      </c>
      <c r="AF218" s="114">
        <v>0</v>
      </c>
      <c r="AG218" s="114">
        <v>0</v>
      </c>
      <c r="AH218" s="114">
        <v>0</v>
      </c>
      <c r="AI218" s="114">
        <v>0</v>
      </c>
      <c r="AJ218" s="114">
        <v>0</v>
      </c>
      <c r="AK218" s="114">
        <v>0</v>
      </c>
      <c r="AL218" s="114">
        <v>0</v>
      </c>
      <c r="AM218" s="114">
        <v>0</v>
      </c>
      <c r="AN218" s="114">
        <v>0</v>
      </c>
      <c r="AO218" s="114">
        <v>0</v>
      </c>
      <c r="AP218" s="114">
        <v>0</v>
      </c>
      <c r="AQ218" s="114">
        <v>0</v>
      </c>
      <c r="AR218" s="114">
        <v>0</v>
      </c>
      <c r="AS218" s="114">
        <v>0</v>
      </c>
      <c r="AT218" s="114">
        <v>0</v>
      </c>
      <c r="AU218" s="114">
        <v>0</v>
      </c>
      <c r="AV218" s="114">
        <v>0</v>
      </c>
      <c r="AW218" s="114">
        <v>0</v>
      </c>
      <c r="AX218" s="114">
        <v>0</v>
      </c>
      <c r="AY218" s="114">
        <v>0</v>
      </c>
    </row>
    <row r="219" spans="1:51" x14ac:dyDescent="0.2">
      <c r="A219" s="113"/>
      <c r="B219" s="122">
        <v>11</v>
      </c>
      <c r="C219" s="110">
        <v>0</v>
      </c>
      <c r="D219" s="114">
        <v>0</v>
      </c>
      <c r="E219" s="114">
        <v>0</v>
      </c>
      <c r="F219" s="114">
        <v>0</v>
      </c>
      <c r="G219" s="114">
        <v>0</v>
      </c>
      <c r="H219" s="114">
        <v>0</v>
      </c>
      <c r="I219" s="114">
        <v>0</v>
      </c>
      <c r="J219" s="114">
        <v>0</v>
      </c>
      <c r="K219" s="114">
        <v>0</v>
      </c>
      <c r="L219" s="114">
        <v>0</v>
      </c>
      <c r="M219" s="114">
        <v>0</v>
      </c>
      <c r="N219" s="114">
        <v>0</v>
      </c>
      <c r="O219" s="114">
        <v>0</v>
      </c>
      <c r="P219" s="114">
        <v>0</v>
      </c>
      <c r="Q219" s="114">
        <v>0</v>
      </c>
      <c r="R219" s="114">
        <v>0</v>
      </c>
      <c r="S219" s="114">
        <v>0</v>
      </c>
      <c r="T219" s="114">
        <v>0</v>
      </c>
      <c r="U219" s="114">
        <v>0</v>
      </c>
      <c r="V219" s="114">
        <v>0</v>
      </c>
      <c r="W219" s="114">
        <v>0</v>
      </c>
      <c r="X219" s="114">
        <v>0</v>
      </c>
      <c r="Y219" s="114">
        <v>0</v>
      </c>
      <c r="Z219" s="114">
        <v>0</v>
      </c>
      <c r="AA219" s="114">
        <v>0</v>
      </c>
      <c r="AB219" s="114">
        <v>0</v>
      </c>
      <c r="AC219" s="114">
        <v>0</v>
      </c>
      <c r="AD219" s="114">
        <v>0</v>
      </c>
      <c r="AE219" s="114">
        <v>0</v>
      </c>
      <c r="AF219" s="114">
        <v>0</v>
      </c>
      <c r="AG219" s="114">
        <v>0</v>
      </c>
      <c r="AH219" s="114">
        <v>0</v>
      </c>
      <c r="AI219" s="114">
        <v>0</v>
      </c>
      <c r="AJ219" s="114">
        <v>0</v>
      </c>
      <c r="AK219" s="114">
        <v>0</v>
      </c>
      <c r="AL219" s="114">
        <v>0</v>
      </c>
      <c r="AM219" s="114">
        <v>0</v>
      </c>
      <c r="AN219" s="114">
        <v>0</v>
      </c>
      <c r="AO219" s="114">
        <v>0</v>
      </c>
      <c r="AP219" s="114">
        <v>0</v>
      </c>
      <c r="AQ219" s="114">
        <v>0</v>
      </c>
      <c r="AR219" s="114">
        <v>0</v>
      </c>
      <c r="AS219" s="114">
        <v>0</v>
      </c>
      <c r="AT219" s="114">
        <v>0</v>
      </c>
      <c r="AU219" s="114">
        <v>0</v>
      </c>
      <c r="AV219" s="114">
        <v>0</v>
      </c>
      <c r="AW219" s="114">
        <v>0</v>
      </c>
      <c r="AX219" s="114">
        <v>0</v>
      </c>
      <c r="AY219" s="114">
        <v>0</v>
      </c>
    </row>
    <row r="220" spans="1:51" x14ac:dyDescent="0.2">
      <c r="A220" s="113"/>
      <c r="B220" s="122">
        <v>12</v>
      </c>
      <c r="C220" s="110">
        <v>0</v>
      </c>
      <c r="D220" s="114">
        <v>0</v>
      </c>
      <c r="E220" s="114">
        <v>0</v>
      </c>
      <c r="F220" s="114">
        <v>0</v>
      </c>
      <c r="G220" s="114">
        <v>0</v>
      </c>
      <c r="H220" s="114">
        <v>0</v>
      </c>
      <c r="I220" s="114">
        <v>0</v>
      </c>
      <c r="J220" s="114">
        <v>0</v>
      </c>
      <c r="K220" s="114">
        <v>0</v>
      </c>
      <c r="L220" s="114">
        <v>0</v>
      </c>
      <c r="M220" s="114">
        <v>0</v>
      </c>
      <c r="N220" s="114">
        <v>0</v>
      </c>
      <c r="O220" s="114">
        <v>0</v>
      </c>
      <c r="P220" s="114">
        <v>0</v>
      </c>
      <c r="Q220" s="114">
        <v>0</v>
      </c>
      <c r="R220" s="114">
        <v>0</v>
      </c>
      <c r="S220" s="114">
        <v>0</v>
      </c>
      <c r="T220" s="114">
        <v>0</v>
      </c>
      <c r="U220" s="114">
        <v>0</v>
      </c>
      <c r="V220" s="114">
        <v>0</v>
      </c>
      <c r="W220" s="114">
        <v>0</v>
      </c>
      <c r="X220" s="114">
        <v>0</v>
      </c>
      <c r="Y220" s="114">
        <v>0</v>
      </c>
      <c r="Z220" s="114">
        <v>0</v>
      </c>
      <c r="AA220" s="114">
        <v>0</v>
      </c>
      <c r="AB220" s="114">
        <v>0</v>
      </c>
      <c r="AC220" s="114">
        <v>0</v>
      </c>
      <c r="AD220" s="114">
        <v>0</v>
      </c>
      <c r="AE220" s="114">
        <v>0</v>
      </c>
      <c r="AF220" s="114">
        <v>0</v>
      </c>
      <c r="AG220" s="114">
        <v>0</v>
      </c>
      <c r="AH220" s="114">
        <v>0</v>
      </c>
      <c r="AI220" s="114">
        <v>0</v>
      </c>
      <c r="AJ220" s="114">
        <v>0</v>
      </c>
      <c r="AK220" s="114">
        <v>0</v>
      </c>
      <c r="AL220" s="114">
        <v>0</v>
      </c>
      <c r="AM220" s="114">
        <v>0</v>
      </c>
      <c r="AN220" s="114">
        <v>0</v>
      </c>
      <c r="AO220" s="114">
        <v>0</v>
      </c>
      <c r="AP220" s="114">
        <v>0</v>
      </c>
      <c r="AQ220" s="114">
        <v>0</v>
      </c>
      <c r="AR220" s="114">
        <v>0</v>
      </c>
      <c r="AS220" s="114">
        <v>0</v>
      </c>
      <c r="AT220" s="114">
        <v>0</v>
      </c>
      <c r="AU220" s="114">
        <v>0</v>
      </c>
      <c r="AV220" s="114">
        <v>0</v>
      </c>
      <c r="AW220" s="114">
        <v>0</v>
      </c>
      <c r="AX220" s="114">
        <v>0</v>
      </c>
      <c r="AY220" s="114">
        <v>0</v>
      </c>
    </row>
    <row r="221" spans="1:51" x14ac:dyDescent="0.2">
      <c r="A221" s="113"/>
      <c r="B221" s="123">
        <v>13</v>
      </c>
      <c r="C221" s="110">
        <v>0</v>
      </c>
      <c r="D221" s="114">
        <v>0</v>
      </c>
      <c r="E221" s="114">
        <v>0</v>
      </c>
      <c r="F221" s="114">
        <v>0</v>
      </c>
      <c r="G221" s="114">
        <v>0</v>
      </c>
      <c r="H221" s="114">
        <v>0</v>
      </c>
      <c r="I221" s="114">
        <v>0</v>
      </c>
      <c r="J221" s="114">
        <v>0</v>
      </c>
      <c r="K221" s="114">
        <v>0</v>
      </c>
      <c r="L221" s="114">
        <v>0</v>
      </c>
      <c r="M221" s="114">
        <v>0</v>
      </c>
      <c r="N221" s="114">
        <v>0</v>
      </c>
      <c r="O221" s="114">
        <v>0</v>
      </c>
      <c r="P221" s="114">
        <v>0</v>
      </c>
      <c r="Q221" s="114">
        <v>0</v>
      </c>
      <c r="R221" s="114">
        <v>0</v>
      </c>
      <c r="S221" s="114">
        <v>0</v>
      </c>
      <c r="T221" s="114">
        <v>0</v>
      </c>
      <c r="U221" s="114">
        <v>0</v>
      </c>
      <c r="V221" s="114">
        <v>0</v>
      </c>
      <c r="W221" s="114">
        <v>0</v>
      </c>
      <c r="X221" s="114">
        <v>0</v>
      </c>
      <c r="Y221" s="114">
        <v>0</v>
      </c>
      <c r="Z221" s="114">
        <v>0</v>
      </c>
      <c r="AA221" s="114">
        <v>0</v>
      </c>
      <c r="AB221" s="114">
        <v>0</v>
      </c>
      <c r="AC221" s="114">
        <v>0</v>
      </c>
      <c r="AD221" s="114">
        <v>0</v>
      </c>
      <c r="AE221" s="114">
        <v>0</v>
      </c>
      <c r="AF221" s="114">
        <v>0</v>
      </c>
      <c r="AG221" s="114">
        <v>0</v>
      </c>
      <c r="AH221" s="114">
        <v>0</v>
      </c>
      <c r="AI221" s="114">
        <v>0</v>
      </c>
      <c r="AJ221" s="114">
        <v>0</v>
      </c>
      <c r="AK221" s="114">
        <v>0</v>
      </c>
      <c r="AL221" s="114">
        <v>0</v>
      </c>
      <c r="AM221" s="114">
        <v>0</v>
      </c>
      <c r="AN221" s="114">
        <v>0</v>
      </c>
      <c r="AO221" s="114">
        <v>0</v>
      </c>
      <c r="AP221" s="114">
        <v>0</v>
      </c>
      <c r="AQ221" s="114">
        <v>0</v>
      </c>
      <c r="AR221" s="114">
        <v>0</v>
      </c>
      <c r="AS221" s="114">
        <v>0</v>
      </c>
      <c r="AT221" s="114">
        <v>0</v>
      </c>
      <c r="AU221" s="114">
        <v>0</v>
      </c>
      <c r="AV221" s="114">
        <v>0</v>
      </c>
      <c r="AW221" s="114">
        <v>0</v>
      </c>
      <c r="AX221" s="114">
        <v>0</v>
      </c>
      <c r="AY221" s="114">
        <v>0</v>
      </c>
    </row>
    <row r="222" spans="1:51" x14ac:dyDescent="0.2">
      <c r="A222" s="113"/>
      <c r="B222" s="123">
        <v>14</v>
      </c>
      <c r="C222" s="110">
        <v>0</v>
      </c>
      <c r="D222" s="114">
        <v>0</v>
      </c>
      <c r="E222" s="114">
        <v>0</v>
      </c>
      <c r="F222" s="114">
        <v>0</v>
      </c>
      <c r="G222" s="114">
        <v>0</v>
      </c>
      <c r="H222" s="114">
        <v>0</v>
      </c>
      <c r="I222" s="114">
        <v>0</v>
      </c>
      <c r="J222" s="114">
        <v>0</v>
      </c>
      <c r="K222" s="114">
        <v>0</v>
      </c>
      <c r="L222" s="114">
        <v>0</v>
      </c>
      <c r="M222" s="114">
        <v>0</v>
      </c>
      <c r="N222" s="114">
        <v>0</v>
      </c>
      <c r="O222" s="114">
        <v>0</v>
      </c>
      <c r="P222" s="114">
        <v>0</v>
      </c>
      <c r="Q222" s="114">
        <v>0</v>
      </c>
      <c r="R222" s="114">
        <v>0</v>
      </c>
      <c r="S222" s="114">
        <v>0</v>
      </c>
      <c r="T222" s="114">
        <v>0</v>
      </c>
      <c r="U222" s="114">
        <v>0</v>
      </c>
      <c r="V222" s="114">
        <v>0</v>
      </c>
      <c r="W222" s="114">
        <v>0</v>
      </c>
      <c r="X222" s="114">
        <v>0</v>
      </c>
      <c r="Y222" s="114">
        <v>0</v>
      </c>
      <c r="Z222" s="114">
        <v>0</v>
      </c>
      <c r="AA222" s="114">
        <v>0</v>
      </c>
      <c r="AB222" s="114">
        <v>0</v>
      </c>
      <c r="AC222" s="114">
        <v>0</v>
      </c>
      <c r="AD222" s="114">
        <v>0</v>
      </c>
      <c r="AE222" s="114">
        <v>0</v>
      </c>
      <c r="AF222" s="114">
        <v>0</v>
      </c>
      <c r="AG222" s="114">
        <v>0</v>
      </c>
      <c r="AH222" s="114">
        <v>0</v>
      </c>
      <c r="AI222" s="114">
        <v>0</v>
      </c>
      <c r="AJ222" s="114">
        <v>0</v>
      </c>
      <c r="AK222" s="114">
        <v>0</v>
      </c>
      <c r="AL222" s="114">
        <v>0</v>
      </c>
      <c r="AM222" s="114">
        <v>0</v>
      </c>
      <c r="AN222" s="114">
        <v>0</v>
      </c>
      <c r="AO222" s="114">
        <v>0</v>
      </c>
      <c r="AP222" s="114">
        <v>0</v>
      </c>
      <c r="AQ222" s="114">
        <v>0</v>
      </c>
      <c r="AR222" s="114">
        <v>0</v>
      </c>
      <c r="AS222" s="114">
        <v>0</v>
      </c>
      <c r="AT222" s="114">
        <v>0</v>
      </c>
      <c r="AU222" s="114">
        <v>0</v>
      </c>
      <c r="AV222" s="114">
        <v>0</v>
      </c>
      <c r="AW222" s="114">
        <v>0</v>
      </c>
      <c r="AX222" s="114">
        <v>0</v>
      </c>
      <c r="AY222" s="114">
        <v>0</v>
      </c>
    </row>
    <row r="223" spans="1:51" x14ac:dyDescent="0.2">
      <c r="A223" s="113"/>
      <c r="B223" s="123">
        <v>15</v>
      </c>
      <c r="C223" s="110">
        <v>0</v>
      </c>
      <c r="D223" s="114">
        <v>0</v>
      </c>
      <c r="E223" s="114">
        <v>0</v>
      </c>
      <c r="F223" s="114">
        <v>0</v>
      </c>
      <c r="G223" s="114">
        <v>0</v>
      </c>
      <c r="H223" s="114">
        <v>0</v>
      </c>
      <c r="I223" s="114">
        <v>0</v>
      </c>
      <c r="J223" s="114">
        <v>0</v>
      </c>
      <c r="K223" s="114">
        <v>0</v>
      </c>
      <c r="L223" s="114">
        <v>0</v>
      </c>
      <c r="M223" s="114">
        <v>0</v>
      </c>
      <c r="N223" s="114">
        <v>0</v>
      </c>
      <c r="O223" s="114">
        <v>0</v>
      </c>
      <c r="P223" s="114">
        <v>0</v>
      </c>
      <c r="Q223" s="114">
        <v>0</v>
      </c>
      <c r="R223" s="114">
        <v>0</v>
      </c>
      <c r="S223" s="114">
        <v>0</v>
      </c>
      <c r="T223" s="114">
        <v>0</v>
      </c>
      <c r="U223" s="114">
        <v>0</v>
      </c>
      <c r="V223" s="114">
        <v>0</v>
      </c>
      <c r="W223" s="114">
        <v>0</v>
      </c>
      <c r="X223" s="114">
        <v>0</v>
      </c>
      <c r="Y223" s="114">
        <v>0</v>
      </c>
      <c r="Z223" s="114">
        <v>0</v>
      </c>
      <c r="AA223" s="114">
        <v>0</v>
      </c>
      <c r="AB223" s="114">
        <v>0</v>
      </c>
      <c r="AC223" s="114">
        <v>0</v>
      </c>
      <c r="AD223" s="114">
        <v>0</v>
      </c>
      <c r="AE223" s="114">
        <v>0</v>
      </c>
      <c r="AF223" s="114">
        <v>0</v>
      </c>
      <c r="AG223" s="114">
        <v>0</v>
      </c>
      <c r="AH223" s="114">
        <v>0</v>
      </c>
      <c r="AI223" s="114">
        <v>0</v>
      </c>
      <c r="AJ223" s="114">
        <v>0</v>
      </c>
      <c r="AK223" s="114">
        <v>0</v>
      </c>
      <c r="AL223" s="114">
        <v>0</v>
      </c>
      <c r="AM223" s="114">
        <v>0</v>
      </c>
      <c r="AN223" s="114">
        <v>0</v>
      </c>
      <c r="AO223" s="114">
        <v>0</v>
      </c>
      <c r="AP223" s="114">
        <v>0</v>
      </c>
      <c r="AQ223" s="114">
        <v>0</v>
      </c>
      <c r="AR223" s="114">
        <v>0</v>
      </c>
      <c r="AS223" s="114">
        <v>0</v>
      </c>
      <c r="AT223" s="114">
        <v>0</v>
      </c>
      <c r="AU223" s="114">
        <v>0</v>
      </c>
      <c r="AV223" s="114">
        <v>0</v>
      </c>
      <c r="AW223" s="114">
        <v>0</v>
      </c>
      <c r="AX223" s="114">
        <v>0</v>
      </c>
      <c r="AY223" s="114">
        <v>0</v>
      </c>
    </row>
    <row r="224" spans="1:51" x14ac:dyDescent="0.2">
      <c r="A224" s="113"/>
      <c r="B224" s="123">
        <v>16</v>
      </c>
      <c r="C224" s="110">
        <v>0</v>
      </c>
      <c r="D224" s="114">
        <v>0</v>
      </c>
      <c r="E224" s="114">
        <v>0</v>
      </c>
      <c r="F224" s="114">
        <v>0</v>
      </c>
      <c r="G224" s="114">
        <v>0</v>
      </c>
      <c r="H224" s="114">
        <v>0</v>
      </c>
      <c r="I224" s="114">
        <v>0</v>
      </c>
      <c r="J224" s="114">
        <v>0</v>
      </c>
      <c r="K224" s="114">
        <v>0</v>
      </c>
      <c r="L224" s="114">
        <v>0</v>
      </c>
      <c r="M224" s="114">
        <v>0</v>
      </c>
      <c r="N224" s="114">
        <v>0</v>
      </c>
      <c r="O224" s="114">
        <v>0</v>
      </c>
      <c r="P224" s="114">
        <v>0</v>
      </c>
      <c r="Q224" s="114">
        <v>0</v>
      </c>
      <c r="R224" s="114">
        <v>0</v>
      </c>
      <c r="S224" s="114">
        <v>0</v>
      </c>
      <c r="T224" s="114">
        <v>0</v>
      </c>
      <c r="U224" s="114">
        <v>0</v>
      </c>
      <c r="V224" s="114">
        <v>0</v>
      </c>
      <c r="W224" s="114">
        <v>0</v>
      </c>
      <c r="X224" s="114">
        <v>0</v>
      </c>
      <c r="Y224" s="114">
        <v>0</v>
      </c>
      <c r="Z224" s="114">
        <v>0</v>
      </c>
      <c r="AA224" s="114">
        <v>0</v>
      </c>
      <c r="AB224" s="114">
        <v>0</v>
      </c>
      <c r="AC224" s="114">
        <v>0</v>
      </c>
      <c r="AD224" s="114">
        <v>0</v>
      </c>
      <c r="AE224" s="114">
        <v>0</v>
      </c>
      <c r="AF224" s="114">
        <v>0</v>
      </c>
      <c r="AG224" s="114">
        <v>0</v>
      </c>
      <c r="AH224" s="114">
        <v>0</v>
      </c>
      <c r="AI224" s="114">
        <v>0</v>
      </c>
      <c r="AJ224" s="114">
        <v>0</v>
      </c>
      <c r="AK224" s="114">
        <v>0</v>
      </c>
      <c r="AL224" s="114">
        <v>0</v>
      </c>
      <c r="AM224" s="114">
        <v>0</v>
      </c>
      <c r="AN224" s="114">
        <v>0</v>
      </c>
      <c r="AO224" s="114">
        <v>0</v>
      </c>
      <c r="AP224" s="114">
        <v>0</v>
      </c>
      <c r="AQ224" s="114">
        <v>0</v>
      </c>
      <c r="AR224" s="114">
        <v>0</v>
      </c>
      <c r="AS224" s="114">
        <v>0</v>
      </c>
      <c r="AT224" s="114">
        <v>0</v>
      </c>
      <c r="AU224" s="114">
        <v>0</v>
      </c>
      <c r="AV224" s="114">
        <v>0</v>
      </c>
      <c r="AW224" s="114">
        <v>0</v>
      </c>
      <c r="AX224" s="114">
        <v>0</v>
      </c>
      <c r="AY224" s="114">
        <v>0</v>
      </c>
    </row>
    <row r="225" spans="1:51" x14ac:dyDescent="0.2">
      <c r="A225" s="113"/>
      <c r="B225" s="123">
        <v>17</v>
      </c>
      <c r="C225" s="110">
        <v>0</v>
      </c>
      <c r="D225" s="114">
        <v>0</v>
      </c>
      <c r="E225" s="114">
        <v>0</v>
      </c>
      <c r="F225" s="114">
        <v>0</v>
      </c>
      <c r="G225" s="114">
        <v>0</v>
      </c>
      <c r="H225" s="114">
        <v>0</v>
      </c>
      <c r="I225" s="114">
        <v>0</v>
      </c>
      <c r="J225" s="114">
        <v>0</v>
      </c>
      <c r="K225" s="114">
        <v>0</v>
      </c>
      <c r="L225" s="114">
        <v>0</v>
      </c>
      <c r="M225" s="114">
        <v>0</v>
      </c>
      <c r="N225" s="114">
        <v>0</v>
      </c>
      <c r="O225" s="114">
        <v>0</v>
      </c>
      <c r="P225" s="114">
        <v>0</v>
      </c>
      <c r="Q225" s="114">
        <v>0</v>
      </c>
      <c r="R225" s="114">
        <v>0</v>
      </c>
      <c r="S225" s="114">
        <v>0</v>
      </c>
      <c r="T225" s="114">
        <v>0</v>
      </c>
      <c r="U225" s="114">
        <v>0</v>
      </c>
      <c r="V225" s="114">
        <v>0</v>
      </c>
      <c r="W225" s="114">
        <v>0</v>
      </c>
      <c r="X225" s="114">
        <v>0</v>
      </c>
      <c r="Y225" s="114">
        <v>0</v>
      </c>
      <c r="Z225" s="114">
        <v>0</v>
      </c>
      <c r="AA225" s="114">
        <v>0</v>
      </c>
      <c r="AB225" s="114">
        <v>0</v>
      </c>
      <c r="AC225" s="114">
        <v>0</v>
      </c>
      <c r="AD225" s="114">
        <v>0</v>
      </c>
      <c r="AE225" s="114">
        <v>0</v>
      </c>
      <c r="AF225" s="114">
        <v>0</v>
      </c>
      <c r="AG225" s="114">
        <v>0</v>
      </c>
      <c r="AH225" s="114">
        <v>0</v>
      </c>
      <c r="AI225" s="114">
        <v>0</v>
      </c>
      <c r="AJ225" s="114">
        <v>0</v>
      </c>
      <c r="AK225" s="114">
        <v>0</v>
      </c>
      <c r="AL225" s="114">
        <v>0</v>
      </c>
      <c r="AM225" s="114">
        <v>0</v>
      </c>
      <c r="AN225" s="114">
        <v>0</v>
      </c>
      <c r="AO225" s="114">
        <v>0</v>
      </c>
      <c r="AP225" s="114">
        <v>0</v>
      </c>
      <c r="AQ225" s="114">
        <v>0</v>
      </c>
      <c r="AR225" s="114">
        <v>0</v>
      </c>
      <c r="AS225" s="114">
        <v>0</v>
      </c>
      <c r="AT225" s="114">
        <v>0</v>
      </c>
      <c r="AU225" s="114">
        <v>0</v>
      </c>
      <c r="AV225" s="114">
        <v>0</v>
      </c>
      <c r="AW225" s="114">
        <v>0</v>
      </c>
      <c r="AX225" s="114">
        <v>0</v>
      </c>
      <c r="AY225" s="114">
        <v>0</v>
      </c>
    </row>
    <row r="226" spans="1:51" x14ac:dyDescent="0.2">
      <c r="A226" s="113"/>
      <c r="B226" s="123">
        <v>18</v>
      </c>
      <c r="C226" s="110">
        <v>0</v>
      </c>
      <c r="D226" s="114">
        <v>0</v>
      </c>
      <c r="E226" s="114">
        <v>0</v>
      </c>
      <c r="F226" s="114">
        <v>0</v>
      </c>
      <c r="G226" s="114">
        <v>0</v>
      </c>
      <c r="H226" s="114">
        <v>0</v>
      </c>
      <c r="I226" s="114">
        <v>0</v>
      </c>
      <c r="J226" s="114">
        <v>0</v>
      </c>
      <c r="K226" s="114">
        <v>0</v>
      </c>
      <c r="L226" s="114">
        <v>0</v>
      </c>
      <c r="M226" s="114">
        <v>0</v>
      </c>
      <c r="N226" s="114">
        <v>0</v>
      </c>
      <c r="O226" s="114">
        <v>0</v>
      </c>
      <c r="P226" s="114">
        <v>0</v>
      </c>
      <c r="Q226" s="114">
        <v>0</v>
      </c>
      <c r="R226" s="114">
        <v>0</v>
      </c>
      <c r="S226" s="114">
        <v>0</v>
      </c>
      <c r="T226" s="114">
        <v>0</v>
      </c>
      <c r="U226" s="114">
        <v>0</v>
      </c>
      <c r="V226" s="114">
        <v>0</v>
      </c>
      <c r="W226" s="114">
        <v>0</v>
      </c>
      <c r="X226" s="114">
        <v>0</v>
      </c>
      <c r="Y226" s="114">
        <v>0</v>
      </c>
      <c r="Z226" s="114">
        <v>0</v>
      </c>
      <c r="AA226" s="114">
        <v>0</v>
      </c>
      <c r="AB226" s="114">
        <v>0</v>
      </c>
      <c r="AC226" s="114">
        <v>0</v>
      </c>
      <c r="AD226" s="114">
        <v>0</v>
      </c>
      <c r="AE226" s="114">
        <v>0</v>
      </c>
      <c r="AF226" s="114">
        <v>0</v>
      </c>
      <c r="AG226" s="114">
        <v>0</v>
      </c>
      <c r="AH226" s="114">
        <v>0</v>
      </c>
      <c r="AI226" s="114">
        <v>0</v>
      </c>
      <c r="AJ226" s="114">
        <v>0</v>
      </c>
      <c r="AK226" s="114">
        <v>0</v>
      </c>
      <c r="AL226" s="114">
        <v>0</v>
      </c>
      <c r="AM226" s="114">
        <v>0</v>
      </c>
      <c r="AN226" s="114">
        <v>0</v>
      </c>
      <c r="AO226" s="114">
        <v>0</v>
      </c>
      <c r="AP226" s="114">
        <v>0</v>
      </c>
      <c r="AQ226" s="114">
        <v>0</v>
      </c>
      <c r="AR226" s="114">
        <v>0</v>
      </c>
      <c r="AS226" s="114">
        <v>0</v>
      </c>
      <c r="AT226" s="114">
        <v>0</v>
      </c>
      <c r="AU226" s="114">
        <v>0</v>
      </c>
      <c r="AV226" s="114">
        <v>0</v>
      </c>
      <c r="AW226" s="114">
        <v>0</v>
      </c>
      <c r="AX226" s="114">
        <v>0</v>
      </c>
      <c r="AY226" s="114">
        <v>0</v>
      </c>
    </row>
    <row r="227" spans="1:51" x14ac:dyDescent="0.2">
      <c r="A227" s="113"/>
      <c r="B227" s="123">
        <v>19</v>
      </c>
      <c r="C227" s="110">
        <v>0</v>
      </c>
      <c r="D227" s="114">
        <v>0</v>
      </c>
      <c r="E227" s="114">
        <v>0</v>
      </c>
      <c r="F227" s="114">
        <v>0</v>
      </c>
      <c r="G227" s="114">
        <v>0</v>
      </c>
      <c r="H227" s="114">
        <v>0</v>
      </c>
      <c r="I227" s="114">
        <v>0</v>
      </c>
      <c r="J227" s="114">
        <v>0</v>
      </c>
      <c r="K227" s="114">
        <v>0</v>
      </c>
      <c r="L227" s="114">
        <v>0</v>
      </c>
      <c r="M227" s="114">
        <v>0</v>
      </c>
      <c r="N227" s="114">
        <v>0</v>
      </c>
      <c r="O227" s="114">
        <v>0</v>
      </c>
      <c r="P227" s="114">
        <v>0</v>
      </c>
      <c r="Q227" s="114">
        <v>0</v>
      </c>
      <c r="R227" s="114">
        <v>0</v>
      </c>
      <c r="S227" s="114">
        <v>0</v>
      </c>
      <c r="T227" s="114">
        <v>0</v>
      </c>
      <c r="U227" s="114">
        <v>0</v>
      </c>
      <c r="V227" s="114">
        <v>0</v>
      </c>
      <c r="W227" s="114">
        <v>0</v>
      </c>
      <c r="X227" s="114">
        <v>0</v>
      </c>
      <c r="Y227" s="114">
        <v>0</v>
      </c>
      <c r="Z227" s="114">
        <v>0</v>
      </c>
      <c r="AA227" s="114">
        <v>0</v>
      </c>
      <c r="AB227" s="114">
        <v>0</v>
      </c>
      <c r="AC227" s="114">
        <v>0</v>
      </c>
      <c r="AD227" s="114">
        <v>0</v>
      </c>
      <c r="AE227" s="114">
        <v>0</v>
      </c>
      <c r="AF227" s="114">
        <v>0</v>
      </c>
      <c r="AG227" s="114">
        <v>0</v>
      </c>
      <c r="AH227" s="114">
        <v>0</v>
      </c>
      <c r="AI227" s="114">
        <v>0</v>
      </c>
      <c r="AJ227" s="114">
        <v>0</v>
      </c>
      <c r="AK227" s="114">
        <v>0</v>
      </c>
      <c r="AL227" s="114">
        <v>0</v>
      </c>
      <c r="AM227" s="114">
        <v>0</v>
      </c>
      <c r="AN227" s="114">
        <v>0</v>
      </c>
      <c r="AO227" s="114">
        <v>0</v>
      </c>
      <c r="AP227" s="114">
        <v>0</v>
      </c>
      <c r="AQ227" s="114">
        <v>0</v>
      </c>
      <c r="AR227" s="114">
        <v>0</v>
      </c>
      <c r="AS227" s="114">
        <v>0</v>
      </c>
      <c r="AT227" s="114">
        <v>0</v>
      </c>
      <c r="AU227" s="114">
        <v>0</v>
      </c>
      <c r="AV227" s="114">
        <v>0</v>
      </c>
      <c r="AW227" s="114">
        <v>0</v>
      </c>
      <c r="AX227" s="114">
        <v>0</v>
      </c>
      <c r="AY227" s="114">
        <v>0</v>
      </c>
    </row>
    <row r="228" spans="1:51" x14ac:dyDescent="0.2">
      <c r="A228" s="113"/>
      <c r="B228" s="123">
        <v>20</v>
      </c>
      <c r="C228" s="110">
        <v>0</v>
      </c>
      <c r="D228" s="114">
        <v>0</v>
      </c>
      <c r="E228" s="114">
        <v>0</v>
      </c>
      <c r="F228" s="114">
        <v>0</v>
      </c>
      <c r="G228" s="114">
        <v>0</v>
      </c>
      <c r="H228" s="114">
        <v>0</v>
      </c>
      <c r="I228" s="114">
        <v>0</v>
      </c>
      <c r="J228" s="114">
        <v>0</v>
      </c>
      <c r="K228" s="114">
        <v>0</v>
      </c>
      <c r="L228" s="114">
        <v>0</v>
      </c>
      <c r="M228" s="114">
        <v>0</v>
      </c>
      <c r="N228" s="114">
        <v>0</v>
      </c>
      <c r="O228" s="114">
        <v>0</v>
      </c>
      <c r="P228" s="114">
        <v>0</v>
      </c>
      <c r="Q228" s="114">
        <v>0</v>
      </c>
      <c r="R228" s="114">
        <v>0</v>
      </c>
      <c r="S228" s="114">
        <v>0</v>
      </c>
      <c r="T228" s="114">
        <v>0</v>
      </c>
      <c r="U228" s="114">
        <v>0</v>
      </c>
      <c r="V228" s="114">
        <v>0</v>
      </c>
      <c r="W228" s="114">
        <v>0</v>
      </c>
      <c r="X228" s="114">
        <v>0</v>
      </c>
      <c r="Y228" s="114">
        <v>0</v>
      </c>
      <c r="Z228" s="114">
        <v>0</v>
      </c>
      <c r="AA228" s="114">
        <v>0</v>
      </c>
      <c r="AB228" s="114">
        <v>0</v>
      </c>
      <c r="AC228" s="114">
        <v>0</v>
      </c>
      <c r="AD228" s="114">
        <v>0</v>
      </c>
      <c r="AE228" s="114">
        <v>0</v>
      </c>
      <c r="AF228" s="114">
        <v>0</v>
      </c>
      <c r="AG228" s="114">
        <v>0</v>
      </c>
      <c r="AH228" s="114">
        <v>0</v>
      </c>
      <c r="AI228" s="114">
        <v>0</v>
      </c>
      <c r="AJ228" s="114">
        <v>0</v>
      </c>
      <c r="AK228" s="114">
        <v>0</v>
      </c>
      <c r="AL228" s="114">
        <v>0</v>
      </c>
      <c r="AM228" s="114">
        <v>0</v>
      </c>
      <c r="AN228" s="114">
        <v>0</v>
      </c>
      <c r="AO228" s="114">
        <v>0</v>
      </c>
      <c r="AP228" s="114">
        <v>0</v>
      </c>
      <c r="AQ228" s="114">
        <v>0</v>
      </c>
      <c r="AR228" s="114">
        <v>0</v>
      </c>
      <c r="AS228" s="114">
        <v>0</v>
      </c>
      <c r="AT228" s="114">
        <v>0</v>
      </c>
      <c r="AU228" s="114">
        <v>0</v>
      </c>
      <c r="AV228" s="114">
        <v>0</v>
      </c>
      <c r="AW228" s="114">
        <v>0</v>
      </c>
      <c r="AX228" s="114">
        <v>0</v>
      </c>
      <c r="AY228" s="114">
        <v>0</v>
      </c>
    </row>
    <row r="229" spans="1:51" x14ac:dyDescent="0.2">
      <c r="A229" s="113"/>
      <c r="B229" s="123">
        <v>21</v>
      </c>
      <c r="C229" s="110">
        <v>0</v>
      </c>
      <c r="D229" s="114">
        <v>0</v>
      </c>
      <c r="E229" s="114">
        <v>0</v>
      </c>
      <c r="F229" s="114">
        <v>0</v>
      </c>
      <c r="G229" s="114">
        <v>0</v>
      </c>
      <c r="H229" s="114">
        <v>0</v>
      </c>
      <c r="I229" s="114">
        <v>0</v>
      </c>
      <c r="J229" s="114">
        <v>0</v>
      </c>
      <c r="K229" s="114">
        <v>0</v>
      </c>
      <c r="L229" s="114">
        <v>0</v>
      </c>
      <c r="M229" s="114">
        <v>0</v>
      </c>
      <c r="N229" s="114">
        <v>0</v>
      </c>
      <c r="O229" s="114">
        <v>0</v>
      </c>
      <c r="P229" s="114">
        <v>0</v>
      </c>
      <c r="Q229" s="114">
        <v>0</v>
      </c>
      <c r="R229" s="114">
        <v>0</v>
      </c>
      <c r="S229" s="114">
        <v>0</v>
      </c>
      <c r="T229" s="114">
        <v>0</v>
      </c>
      <c r="U229" s="114">
        <v>0</v>
      </c>
      <c r="V229" s="114">
        <v>0</v>
      </c>
      <c r="W229" s="114">
        <v>0</v>
      </c>
      <c r="X229" s="114">
        <v>0</v>
      </c>
      <c r="Y229" s="114">
        <v>0</v>
      </c>
      <c r="Z229" s="114">
        <v>0</v>
      </c>
      <c r="AA229" s="114">
        <v>0</v>
      </c>
      <c r="AB229" s="114">
        <v>0</v>
      </c>
      <c r="AC229" s="114">
        <v>0</v>
      </c>
      <c r="AD229" s="114">
        <v>0</v>
      </c>
      <c r="AE229" s="114">
        <v>0</v>
      </c>
      <c r="AF229" s="114">
        <v>0</v>
      </c>
      <c r="AG229" s="114">
        <v>0</v>
      </c>
      <c r="AH229" s="114">
        <v>0</v>
      </c>
      <c r="AI229" s="114">
        <v>0</v>
      </c>
      <c r="AJ229" s="114">
        <v>0</v>
      </c>
      <c r="AK229" s="114">
        <v>0</v>
      </c>
      <c r="AL229" s="114">
        <v>0</v>
      </c>
      <c r="AM229" s="114">
        <v>0</v>
      </c>
      <c r="AN229" s="114">
        <v>0</v>
      </c>
      <c r="AO229" s="114">
        <v>0</v>
      </c>
      <c r="AP229" s="114">
        <v>0</v>
      </c>
      <c r="AQ229" s="114">
        <v>0</v>
      </c>
      <c r="AR229" s="114">
        <v>0</v>
      </c>
      <c r="AS229" s="114">
        <v>0</v>
      </c>
      <c r="AT229" s="114">
        <v>0</v>
      </c>
      <c r="AU229" s="114">
        <v>0</v>
      </c>
      <c r="AV229" s="114">
        <v>0</v>
      </c>
      <c r="AW229" s="114">
        <v>0</v>
      </c>
      <c r="AX229" s="114">
        <v>0</v>
      </c>
      <c r="AY229" s="114">
        <v>0</v>
      </c>
    </row>
    <row r="230" spans="1:51" x14ac:dyDescent="0.2">
      <c r="A230" s="113"/>
      <c r="B230" s="123">
        <v>22</v>
      </c>
      <c r="C230" s="110">
        <v>0</v>
      </c>
      <c r="D230" s="114">
        <v>0</v>
      </c>
      <c r="E230" s="114">
        <v>0</v>
      </c>
      <c r="F230" s="114">
        <v>0</v>
      </c>
      <c r="G230" s="114">
        <v>0</v>
      </c>
      <c r="H230" s="114">
        <v>0</v>
      </c>
      <c r="I230" s="114">
        <v>0</v>
      </c>
      <c r="J230" s="114">
        <v>0</v>
      </c>
      <c r="K230" s="114">
        <v>0</v>
      </c>
      <c r="L230" s="114">
        <v>0</v>
      </c>
      <c r="M230" s="114">
        <v>0</v>
      </c>
      <c r="N230" s="114">
        <v>0</v>
      </c>
      <c r="O230" s="114">
        <v>0</v>
      </c>
      <c r="P230" s="114">
        <v>0</v>
      </c>
      <c r="Q230" s="114">
        <v>0</v>
      </c>
      <c r="R230" s="114">
        <v>0</v>
      </c>
      <c r="S230" s="114">
        <v>0</v>
      </c>
      <c r="T230" s="114">
        <v>0</v>
      </c>
      <c r="U230" s="114">
        <v>0</v>
      </c>
      <c r="V230" s="114">
        <v>0</v>
      </c>
      <c r="W230" s="114">
        <v>0</v>
      </c>
      <c r="X230" s="114">
        <v>0</v>
      </c>
      <c r="Y230" s="114">
        <v>0</v>
      </c>
      <c r="Z230" s="114">
        <v>0</v>
      </c>
      <c r="AA230" s="114">
        <v>0</v>
      </c>
      <c r="AB230" s="114">
        <v>0</v>
      </c>
      <c r="AC230" s="114">
        <v>0</v>
      </c>
      <c r="AD230" s="114">
        <v>0</v>
      </c>
      <c r="AE230" s="114">
        <v>0</v>
      </c>
      <c r="AF230" s="114">
        <v>0</v>
      </c>
      <c r="AG230" s="114">
        <v>0</v>
      </c>
      <c r="AH230" s="114">
        <v>0</v>
      </c>
      <c r="AI230" s="114">
        <v>0</v>
      </c>
      <c r="AJ230" s="114">
        <v>0</v>
      </c>
      <c r="AK230" s="114">
        <v>0</v>
      </c>
      <c r="AL230" s="114">
        <v>0</v>
      </c>
      <c r="AM230" s="114">
        <v>0</v>
      </c>
      <c r="AN230" s="114">
        <v>0</v>
      </c>
      <c r="AO230" s="114">
        <v>0</v>
      </c>
      <c r="AP230" s="114">
        <v>0</v>
      </c>
      <c r="AQ230" s="114">
        <v>0</v>
      </c>
      <c r="AR230" s="114">
        <v>0</v>
      </c>
      <c r="AS230" s="114">
        <v>0</v>
      </c>
      <c r="AT230" s="114">
        <v>0</v>
      </c>
      <c r="AU230" s="114">
        <v>0</v>
      </c>
      <c r="AV230" s="114">
        <v>0</v>
      </c>
      <c r="AW230" s="114">
        <v>0</v>
      </c>
      <c r="AX230" s="114">
        <v>0</v>
      </c>
      <c r="AY230" s="114">
        <v>0</v>
      </c>
    </row>
    <row r="231" spans="1:51" x14ac:dyDescent="0.2">
      <c r="A231" s="113"/>
      <c r="B231" s="123">
        <v>23</v>
      </c>
      <c r="C231" s="110">
        <v>0</v>
      </c>
      <c r="D231" s="114">
        <v>0</v>
      </c>
      <c r="E231" s="114">
        <v>0</v>
      </c>
      <c r="F231" s="114">
        <v>0</v>
      </c>
      <c r="G231" s="114">
        <v>0</v>
      </c>
      <c r="H231" s="114">
        <v>0</v>
      </c>
      <c r="I231" s="114">
        <v>0</v>
      </c>
      <c r="J231" s="114">
        <v>0</v>
      </c>
      <c r="K231" s="114">
        <v>0</v>
      </c>
      <c r="L231" s="114">
        <v>0</v>
      </c>
      <c r="M231" s="114">
        <v>0</v>
      </c>
      <c r="N231" s="114">
        <v>0</v>
      </c>
      <c r="O231" s="114">
        <v>0</v>
      </c>
      <c r="P231" s="114">
        <v>0</v>
      </c>
      <c r="Q231" s="114">
        <v>0</v>
      </c>
      <c r="R231" s="114">
        <v>0</v>
      </c>
      <c r="S231" s="114">
        <v>0</v>
      </c>
      <c r="T231" s="114">
        <v>0</v>
      </c>
      <c r="U231" s="114">
        <v>0</v>
      </c>
      <c r="V231" s="114">
        <v>0</v>
      </c>
      <c r="W231" s="114">
        <v>0</v>
      </c>
      <c r="X231" s="114">
        <v>0</v>
      </c>
      <c r="Y231" s="114">
        <v>0</v>
      </c>
      <c r="Z231" s="114">
        <v>0</v>
      </c>
      <c r="AA231" s="114">
        <v>0</v>
      </c>
      <c r="AB231" s="114">
        <v>0</v>
      </c>
      <c r="AC231" s="114">
        <v>0</v>
      </c>
      <c r="AD231" s="114">
        <v>0</v>
      </c>
      <c r="AE231" s="114">
        <v>0</v>
      </c>
      <c r="AF231" s="114">
        <v>0</v>
      </c>
      <c r="AG231" s="114">
        <v>0</v>
      </c>
      <c r="AH231" s="114">
        <v>0</v>
      </c>
      <c r="AI231" s="114">
        <v>0</v>
      </c>
      <c r="AJ231" s="114">
        <v>0</v>
      </c>
      <c r="AK231" s="114">
        <v>0</v>
      </c>
      <c r="AL231" s="114">
        <v>0</v>
      </c>
      <c r="AM231" s="114">
        <v>0</v>
      </c>
      <c r="AN231" s="114">
        <v>0</v>
      </c>
      <c r="AO231" s="114">
        <v>0</v>
      </c>
      <c r="AP231" s="114">
        <v>0</v>
      </c>
      <c r="AQ231" s="114">
        <v>0</v>
      </c>
      <c r="AR231" s="114">
        <v>0</v>
      </c>
      <c r="AS231" s="114">
        <v>0</v>
      </c>
      <c r="AT231" s="114">
        <v>0</v>
      </c>
      <c r="AU231" s="114">
        <v>0</v>
      </c>
      <c r="AV231" s="114">
        <v>0</v>
      </c>
      <c r="AW231" s="114">
        <v>0</v>
      </c>
      <c r="AX231" s="114">
        <v>0</v>
      </c>
      <c r="AY231" s="114">
        <v>0</v>
      </c>
    </row>
    <row r="232" spans="1:51" x14ac:dyDescent="0.2">
      <c r="A232" s="113"/>
      <c r="B232" s="123">
        <v>24</v>
      </c>
      <c r="C232" s="110">
        <v>0</v>
      </c>
      <c r="D232" s="114">
        <v>0</v>
      </c>
      <c r="E232" s="114">
        <v>0</v>
      </c>
      <c r="F232" s="114">
        <v>0</v>
      </c>
      <c r="G232" s="114">
        <v>0</v>
      </c>
      <c r="H232" s="114">
        <v>0</v>
      </c>
      <c r="I232" s="114">
        <v>0</v>
      </c>
      <c r="J232" s="114">
        <v>0</v>
      </c>
      <c r="K232" s="114">
        <v>0</v>
      </c>
      <c r="L232" s="114">
        <v>0</v>
      </c>
      <c r="M232" s="114">
        <v>0</v>
      </c>
      <c r="N232" s="114">
        <v>0</v>
      </c>
      <c r="O232" s="114">
        <v>0</v>
      </c>
      <c r="P232" s="114">
        <v>0</v>
      </c>
      <c r="Q232" s="114">
        <v>0</v>
      </c>
      <c r="R232" s="114">
        <v>0</v>
      </c>
      <c r="S232" s="114">
        <v>0</v>
      </c>
      <c r="T232" s="114">
        <v>0</v>
      </c>
      <c r="U232" s="114">
        <v>0</v>
      </c>
      <c r="V232" s="114">
        <v>0</v>
      </c>
      <c r="W232" s="114">
        <v>0</v>
      </c>
      <c r="X232" s="114">
        <v>0</v>
      </c>
      <c r="Y232" s="114">
        <v>0</v>
      </c>
      <c r="Z232" s="114">
        <v>0</v>
      </c>
      <c r="AA232" s="114">
        <v>0</v>
      </c>
      <c r="AB232" s="114">
        <v>0</v>
      </c>
      <c r="AC232" s="114">
        <v>0</v>
      </c>
      <c r="AD232" s="114">
        <v>0</v>
      </c>
      <c r="AE232" s="114">
        <v>0</v>
      </c>
      <c r="AF232" s="114">
        <v>0</v>
      </c>
      <c r="AG232" s="114">
        <v>0</v>
      </c>
      <c r="AH232" s="114">
        <v>0</v>
      </c>
      <c r="AI232" s="114">
        <v>0</v>
      </c>
      <c r="AJ232" s="114">
        <v>0</v>
      </c>
      <c r="AK232" s="114">
        <v>0</v>
      </c>
      <c r="AL232" s="114">
        <v>0</v>
      </c>
      <c r="AM232" s="114">
        <v>0</v>
      </c>
      <c r="AN232" s="114">
        <v>0</v>
      </c>
      <c r="AO232" s="114">
        <v>0</v>
      </c>
      <c r="AP232" s="114">
        <v>0</v>
      </c>
      <c r="AQ232" s="114">
        <v>0</v>
      </c>
      <c r="AR232" s="114">
        <v>0</v>
      </c>
      <c r="AS232" s="114">
        <v>0</v>
      </c>
      <c r="AT232" s="114">
        <v>0</v>
      </c>
      <c r="AU232" s="114">
        <v>0</v>
      </c>
      <c r="AV232" s="114">
        <v>0</v>
      </c>
      <c r="AW232" s="114">
        <v>0</v>
      </c>
      <c r="AX232" s="114">
        <v>0</v>
      </c>
      <c r="AY232" s="114">
        <v>0</v>
      </c>
    </row>
    <row r="233" spans="1:51" x14ac:dyDescent="0.2">
      <c r="A233" s="113"/>
      <c r="B233" s="130">
        <v>25</v>
      </c>
      <c r="C233" s="110">
        <v>0</v>
      </c>
      <c r="D233" s="114">
        <v>0</v>
      </c>
      <c r="E233" s="114">
        <v>0</v>
      </c>
      <c r="F233" s="114">
        <v>0</v>
      </c>
      <c r="G233" s="114">
        <v>0</v>
      </c>
      <c r="H233" s="114">
        <v>0</v>
      </c>
      <c r="I233" s="114">
        <v>0</v>
      </c>
      <c r="J233" s="114">
        <v>0</v>
      </c>
      <c r="K233" s="114">
        <v>0</v>
      </c>
      <c r="L233" s="114">
        <v>0</v>
      </c>
      <c r="M233" s="114">
        <v>0</v>
      </c>
      <c r="N233" s="114">
        <v>0</v>
      </c>
      <c r="O233" s="114">
        <v>0</v>
      </c>
      <c r="P233" s="114">
        <v>0</v>
      </c>
      <c r="Q233" s="114">
        <v>0</v>
      </c>
      <c r="R233" s="114">
        <v>0</v>
      </c>
      <c r="S233" s="114">
        <v>0</v>
      </c>
      <c r="T233" s="114">
        <v>0</v>
      </c>
      <c r="U233" s="114">
        <v>0</v>
      </c>
      <c r="V233" s="114">
        <v>0</v>
      </c>
      <c r="W233" s="114">
        <v>0</v>
      </c>
      <c r="X233" s="114">
        <v>0</v>
      </c>
      <c r="Y233" s="114">
        <v>0</v>
      </c>
      <c r="Z233" s="114">
        <v>0</v>
      </c>
      <c r="AA233" s="114">
        <v>0</v>
      </c>
      <c r="AB233" s="114">
        <v>0</v>
      </c>
      <c r="AC233" s="114">
        <v>0</v>
      </c>
      <c r="AD233" s="114">
        <v>0</v>
      </c>
      <c r="AE233" s="114">
        <v>0</v>
      </c>
      <c r="AF233" s="114">
        <v>0</v>
      </c>
      <c r="AG233" s="114">
        <v>0</v>
      </c>
      <c r="AH233" s="114">
        <v>0</v>
      </c>
      <c r="AI233" s="114">
        <v>0</v>
      </c>
      <c r="AJ233" s="114">
        <v>0</v>
      </c>
      <c r="AK233" s="114">
        <v>0</v>
      </c>
      <c r="AL233" s="114">
        <v>0</v>
      </c>
      <c r="AM233" s="114">
        <v>0</v>
      </c>
      <c r="AN233" s="114">
        <v>0</v>
      </c>
      <c r="AO233" s="114">
        <v>0</v>
      </c>
      <c r="AP233" s="114">
        <v>0</v>
      </c>
      <c r="AQ233" s="114">
        <v>0</v>
      </c>
      <c r="AR233" s="114">
        <v>0</v>
      </c>
      <c r="AS233" s="114">
        <v>0</v>
      </c>
      <c r="AT233" s="114">
        <v>0</v>
      </c>
      <c r="AU233" s="114">
        <v>0</v>
      </c>
      <c r="AV233" s="114">
        <v>0</v>
      </c>
      <c r="AW233" s="114">
        <v>0</v>
      </c>
      <c r="AX233" s="114">
        <v>0</v>
      </c>
      <c r="AY233" s="114">
        <v>0</v>
      </c>
    </row>
    <row r="234" spans="1:51" x14ac:dyDescent="0.2">
      <c r="A234" s="113"/>
      <c r="B234" s="130">
        <v>26</v>
      </c>
      <c r="C234" s="110">
        <v>0</v>
      </c>
      <c r="D234" s="114">
        <v>0</v>
      </c>
      <c r="E234" s="114">
        <v>0</v>
      </c>
      <c r="F234" s="114">
        <v>0</v>
      </c>
      <c r="G234" s="114">
        <v>0</v>
      </c>
      <c r="H234" s="114">
        <v>0</v>
      </c>
      <c r="I234" s="114">
        <v>0</v>
      </c>
      <c r="J234" s="114">
        <v>0</v>
      </c>
      <c r="K234" s="114">
        <v>0</v>
      </c>
      <c r="L234" s="114">
        <v>0</v>
      </c>
      <c r="M234" s="114">
        <v>0</v>
      </c>
      <c r="N234" s="114">
        <v>0</v>
      </c>
      <c r="O234" s="114">
        <v>0</v>
      </c>
      <c r="P234" s="114">
        <v>0</v>
      </c>
      <c r="Q234" s="114">
        <v>0</v>
      </c>
      <c r="R234" s="114">
        <v>0</v>
      </c>
      <c r="S234" s="114">
        <v>0</v>
      </c>
      <c r="T234" s="114">
        <v>0</v>
      </c>
      <c r="U234" s="114">
        <v>0</v>
      </c>
      <c r="V234" s="114">
        <v>0</v>
      </c>
      <c r="W234" s="114">
        <v>0</v>
      </c>
      <c r="X234" s="114">
        <v>0</v>
      </c>
      <c r="Y234" s="114">
        <v>0</v>
      </c>
      <c r="Z234" s="114">
        <v>0</v>
      </c>
      <c r="AA234" s="114">
        <v>0</v>
      </c>
      <c r="AB234" s="114">
        <v>0</v>
      </c>
      <c r="AC234" s="114">
        <v>0</v>
      </c>
      <c r="AD234" s="114">
        <v>0</v>
      </c>
      <c r="AE234" s="114">
        <v>0</v>
      </c>
      <c r="AF234" s="114">
        <v>0</v>
      </c>
      <c r="AG234" s="114">
        <v>0</v>
      </c>
      <c r="AH234" s="114">
        <v>0</v>
      </c>
      <c r="AI234" s="114">
        <v>0</v>
      </c>
      <c r="AJ234" s="114">
        <v>0</v>
      </c>
      <c r="AK234" s="114">
        <v>0</v>
      </c>
      <c r="AL234" s="114">
        <v>0</v>
      </c>
      <c r="AM234" s="114">
        <v>0</v>
      </c>
      <c r="AN234" s="114">
        <v>0</v>
      </c>
      <c r="AO234" s="114">
        <v>0</v>
      </c>
      <c r="AP234" s="114">
        <v>0</v>
      </c>
      <c r="AQ234" s="114">
        <v>0</v>
      </c>
      <c r="AR234" s="114">
        <v>0</v>
      </c>
      <c r="AS234" s="114">
        <v>0</v>
      </c>
      <c r="AT234" s="114">
        <v>0</v>
      </c>
      <c r="AU234" s="114">
        <v>0</v>
      </c>
      <c r="AV234" s="114">
        <v>0</v>
      </c>
      <c r="AW234" s="114">
        <v>0</v>
      </c>
      <c r="AX234" s="114">
        <v>0</v>
      </c>
      <c r="AY234" s="114">
        <v>0</v>
      </c>
    </row>
    <row r="235" spans="1:51" x14ac:dyDescent="0.2">
      <c r="A235" s="113"/>
      <c r="B235" s="130">
        <v>27</v>
      </c>
      <c r="C235" s="110">
        <v>0</v>
      </c>
      <c r="D235" s="114">
        <v>0</v>
      </c>
      <c r="E235" s="114">
        <v>0</v>
      </c>
      <c r="F235" s="114">
        <v>0</v>
      </c>
      <c r="G235" s="114">
        <v>0</v>
      </c>
      <c r="H235" s="114">
        <v>0</v>
      </c>
      <c r="I235" s="114">
        <v>0</v>
      </c>
      <c r="J235" s="114">
        <v>0</v>
      </c>
      <c r="K235" s="114">
        <v>0</v>
      </c>
      <c r="L235" s="114">
        <v>0</v>
      </c>
      <c r="M235" s="114">
        <v>0</v>
      </c>
      <c r="N235" s="114">
        <v>0</v>
      </c>
      <c r="O235" s="114">
        <v>0</v>
      </c>
      <c r="P235" s="114">
        <v>0</v>
      </c>
      <c r="Q235" s="114">
        <v>0</v>
      </c>
      <c r="R235" s="114">
        <v>0</v>
      </c>
      <c r="S235" s="114">
        <v>0</v>
      </c>
      <c r="T235" s="114">
        <v>0</v>
      </c>
      <c r="U235" s="114">
        <v>0</v>
      </c>
      <c r="V235" s="114">
        <v>0</v>
      </c>
      <c r="W235" s="114">
        <v>0</v>
      </c>
      <c r="X235" s="114">
        <v>0</v>
      </c>
      <c r="Y235" s="114">
        <v>0</v>
      </c>
      <c r="Z235" s="114">
        <v>0</v>
      </c>
      <c r="AA235" s="114">
        <v>0</v>
      </c>
      <c r="AB235" s="114">
        <v>0</v>
      </c>
      <c r="AC235" s="114">
        <v>0</v>
      </c>
      <c r="AD235" s="114">
        <v>0</v>
      </c>
      <c r="AE235" s="114">
        <v>0</v>
      </c>
      <c r="AF235" s="114">
        <v>0</v>
      </c>
      <c r="AG235" s="114">
        <v>0</v>
      </c>
      <c r="AH235" s="114">
        <v>0</v>
      </c>
      <c r="AI235" s="114">
        <v>0</v>
      </c>
      <c r="AJ235" s="114">
        <v>0</v>
      </c>
      <c r="AK235" s="114">
        <v>0</v>
      </c>
      <c r="AL235" s="114">
        <v>0</v>
      </c>
      <c r="AM235" s="114">
        <v>0</v>
      </c>
      <c r="AN235" s="114">
        <v>0</v>
      </c>
      <c r="AO235" s="114">
        <v>0</v>
      </c>
      <c r="AP235" s="114">
        <v>0</v>
      </c>
      <c r="AQ235" s="114">
        <v>0</v>
      </c>
      <c r="AR235" s="114">
        <v>0</v>
      </c>
      <c r="AS235" s="114">
        <v>0</v>
      </c>
      <c r="AT235" s="114">
        <v>0</v>
      </c>
      <c r="AU235" s="114">
        <v>0</v>
      </c>
      <c r="AV235" s="114">
        <v>0</v>
      </c>
      <c r="AW235" s="114">
        <v>0</v>
      </c>
      <c r="AX235" s="114">
        <v>0</v>
      </c>
      <c r="AY235" s="114">
        <v>0</v>
      </c>
    </row>
    <row r="236" spans="1:51" x14ac:dyDescent="0.2">
      <c r="A236" s="113"/>
      <c r="B236" s="130">
        <v>28</v>
      </c>
      <c r="C236" s="110">
        <v>0</v>
      </c>
      <c r="D236" s="114">
        <v>0</v>
      </c>
      <c r="E236" s="114">
        <v>0</v>
      </c>
      <c r="F236" s="114">
        <v>0</v>
      </c>
      <c r="G236" s="114">
        <v>0</v>
      </c>
      <c r="H236" s="114">
        <v>0</v>
      </c>
      <c r="I236" s="114">
        <v>0</v>
      </c>
      <c r="J236" s="114">
        <v>0</v>
      </c>
      <c r="K236" s="114">
        <v>0</v>
      </c>
      <c r="L236" s="114">
        <v>0</v>
      </c>
      <c r="M236" s="114">
        <v>0</v>
      </c>
      <c r="N236" s="114">
        <v>0</v>
      </c>
      <c r="O236" s="114">
        <v>0</v>
      </c>
      <c r="P236" s="114">
        <v>0</v>
      </c>
      <c r="Q236" s="114">
        <v>0</v>
      </c>
      <c r="R236" s="114">
        <v>0</v>
      </c>
      <c r="S236" s="114">
        <v>0</v>
      </c>
      <c r="T236" s="114">
        <v>0</v>
      </c>
      <c r="U236" s="114">
        <v>0</v>
      </c>
      <c r="V236" s="114">
        <v>0</v>
      </c>
      <c r="W236" s="114">
        <v>0</v>
      </c>
      <c r="X236" s="114">
        <v>0</v>
      </c>
      <c r="Y236" s="114">
        <v>0</v>
      </c>
      <c r="Z236" s="114">
        <v>0</v>
      </c>
      <c r="AA236" s="114">
        <v>0</v>
      </c>
      <c r="AB236" s="114">
        <v>0</v>
      </c>
      <c r="AC236" s="114">
        <v>0</v>
      </c>
      <c r="AD236" s="114">
        <v>0</v>
      </c>
      <c r="AE236" s="114">
        <v>0</v>
      </c>
      <c r="AF236" s="114">
        <v>0</v>
      </c>
      <c r="AG236" s="114">
        <v>0</v>
      </c>
      <c r="AH236" s="114">
        <v>0</v>
      </c>
      <c r="AI236" s="114">
        <v>0</v>
      </c>
      <c r="AJ236" s="114">
        <v>0</v>
      </c>
      <c r="AK236" s="114">
        <v>0</v>
      </c>
      <c r="AL236" s="114">
        <v>0</v>
      </c>
      <c r="AM236" s="114">
        <v>0</v>
      </c>
      <c r="AN236" s="114">
        <v>0</v>
      </c>
      <c r="AO236" s="114">
        <v>0</v>
      </c>
      <c r="AP236" s="114">
        <v>0</v>
      </c>
      <c r="AQ236" s="114">
        <v>0</v>
      </c>
      <c r="AR236" s="114">
        <v>0</v>
      </c>
      <c r="AS236" s="114">
        <v>0</v>
      </c>
      <c r="AT236" s="114">
        <v>0</v>
      </c>
      <c r="AU236" s="114">
        <v>0</v>
      </c>
      <c r="AV236" s="114">
        <v>0</v>
      </c>
      <c r="AW236" s="114">
        <v>0</v>
      </c>
      <c r="AX236" s="114">
        <v>0</v>
      </c>
      <c r="AY236" s="114">
        <v>0</v>
      </c>
    </row>
    <row r="237" spans="1:51" x14ac:dyDescent="0.2">
      <c r="A237" s="113"/>
      <c r="B237" s="130">
        <v>29</v>
      </c>
      <c r="C237" s="110">
        <v>0</v>
      </c>
      <c r="D237" s="114">
        <v>0</v>
      </c>
      <c r="E237" s="114">
        <v>0</v>
      </c>
      <c r="F237" s="114">
        <v>0</v>
      </c>
      <c r="G237" s="114">
        <v>0</v>
      </c>
      <c r="H237" s="114">
        <v>0</v>
      </c>
      <c r="I237" s="114">
        <v>0</v>
      </c>
      <c r="J237" s="114">
        <v>0</v>
      </c>
      <c r="K237" s="114">
        <v>0</v>
      </c>
      <c r="L237" s="114">
        <v>0</v>
      </c>
      <c r="M237" s="114">
        <v>0</v>
      </c>
      <c r="N237" s="114">
        <v>0</v>
      </c>
      <c r="O237" s="114">
        <v>0</v>
      </c>
      <c r="P237" s="114">
        <v>0</v>
      </c>
      <c r="Q237" s="114">
        <v>0</v>
      </c>
      <c r="R237" s="114">
        <v>0</v>
      </c>
      <c r="S237" s="114">
        <v>0</v>
      </c>
      <c r="T237" s="114">
        <v>0</v>
      </c>
      <c r="U237" s="114">
        <v>0</v>
      </c>
      <c r="V237" s="114">
        <v>0</v>
      </c>
      <c r="W237" s="114">
        <v>0</v>
      </c>
      <c r="X237" s="114">
        <v>0</v>
      </c>
      <c r="Y237" s="114">
        <v>0</v>
      </c>
      <c r="Z237" s="114">
        <v>0</v>
      </c>
      <c r="AA237" s="114">
        <v>0</v>
      </c>
      <c r="AB237" s="114">
        <v>0</v>
      </c>
      <c r="AC237" s="114">
        <v>0</v>
      </c>
      <c r="AD237" s="114">
        <v>0</v>
      </c>
      <c r="AE237" s="114">
        <v>0</v>
      </c>
      <c r="AF237" s="114">
        <v>0</v>
      </c>
      <c r="AG237" s="114">
        <v>0</v>
      </c>
      <c r="AH237" s="114">
        <v>0</v>
      </c>
      <c r="AI237" s="114">
        <v>0</v>
      </c>
      <c r="AJ237" s="114">
        <v>0</v>
      </c>
      <c r="AK237" s="114">
        <v>0</v>
      </c>
      <c r="AL237" s="114">
        <v>0</v>
      </c>
      <c r="AM237" s="114">
        <v>0</v>
      </c>
      <c r="AN237" s="114">
        <v>0</v>
      </c>
      <c r="AO237" s="114">
        <v>0</v>
      </c>
      <c r="AP237" s="114">
        <v>0</v>
      </c>
      <c r="AQ237" s="114">
        <v>0</v>
      </c>
      <c r="AR237" s="114">
        <v>0</v>
      </c>
      <c r="AS237" s="114">
        <v>0</v>
      </c>
      <c r="AT237" s="114">
        <v>0</v>
      </c>
      <c r="AU237" s="114">
        <v>0</v>
      </c>
      <c r="AV237" s="114">
        <v>0</v>
      </c>
      <c r="AW237" s="114">
        <v>0</v>
      </c>
      <c r="AX237" s="114">
        <v>0</v>
      </c>
      <c r="AY237" s="114">
        <v>0</v>
      </c>
    </row>
    <row r="238" spans="1:51" x14ac:dyDescent="0.2">
      <c r="A238" s="113"/>
      <c r="B238" s="130">
        <v>30</v>
      </c>
      <c r="C238" s="110">
        <v>0</v>
      </c>
      <c r="D238" s="114">
        <v>0</v>
      </c>
      <c r="E238" s="114">
        <v>0</v>
      </c>
      <c r="F238" s="114">
        <v>0</v>
      </c>
      <c r="G238" s="114">
        <v>0</v>
      </c>
      <c r="H238" s="114">
        <v>0</v>
      </c>
      <c r="I238" s="114">
        <v>0</v>
      </c>
      <c r="J238" s="114">
        <v>0</v>
      </c>
      <c r="K238" s="114">
        <v>0</v>
      </c>
      <c r="L238" s="114">
        <v>0</v>
      </c>
      <c r="M238" s="114">
        <v>0</v>
      </c>
      <c r="N238" s="114">
        <v>0</v>
      </c>
      <c r="O238" s="114">
        <v>0</v>
      </c>
      <c r="P238" s="114">
        <v>0</v>
      </c>
      <c r="Q238" s="114">
        <v>0</v>
      </c>
      <c r="R238" s="114">
        <v>0</v>
      </c>
      <c r="S238" s="114">
        <v>0</v>
      </c>
      <c r="T238" s="114">
        <v>0</v>
      </c>
      <c r="U238" s="114">
        <v>0</v>
      </c>
      <c r="V238" s="114">
        <v>0</v>
      </c>
      <c r="W238" s="114">
        <v>0</v>
      </c>
      <c r="X238" s="114">
        <v>0</v>
      </c>
      <c r="Y238" s="114">
        <v>0</v>
      </c>
      <c r="Z238" s="114">
        <v>0</v>
      </c>
      <c r="AA238" s="114">
        <v>0</v>
      </c>
      <c r="AB238" s="114">
        <v>0</v>
      </c>
      <c r="AC238" s="114">
        <v>0</v>
      </c>
      <c r="AD238" s="114">
        <v>0</v>
      </c>
      <c r="AE238" s="114">
        <v>0</v>
      </c>
      <c r="AF238" s="114">
        <v>0</v>
      </c>
      <c r="AG238" s="114">
        <v>0</v>
      </c>
      <c r="AH238" s="114">
        <v>0</v>
      </c>
      <c r="AI238" s="114">
        <v>0</v>
      </c>
      <c r="AJ238" s="114">
        <v>0</v>
      </c>
      <c r="AK238" s="114">
        <v>0</v>
      </c>
      <c r="AL238" s="114">
        <v>0</v>
      </c>
      <c r="AM238" s="114">
        <v>0</v>
      </c>
      <c r="AN238" s="114">
        <v>0</v>
      </c>
      <c r="AO238" s="114">
        <v>0</v>
      </c>
      <c r="AP238" s="114">
        <v>0</v>
      </c>
      <c r="AQ238" s="114">
        <v>0</v>
      </c>
      <c r="AR238" s="114">
        <v>0</v>
      </c>
      <c r="AS238" s="114">
        <v>0</v>
      </c>
      <c r="AT238" s="114">
        <v>0</v>
      </c>
      <c r="AU238" s="114">
        <v>0</v>
      </c>
      <c r="AV238" s="114">
        <v>0</v>
      </c>
      <c r="AW238" s="114">
        <v>0</v>
      </c>
      <c r="AX238" s="114">
        <v>0</v>
      </c>
      <c r="AY238" s="114">
        <v>0</v>
      </c>
    </row>
    <row r="239" spans="1:51" x14ac:dyDescent="0.2">
      <c r="A239" s="113"/>
      <c r="B239" s="130">
        <v>31</v>
      </c>
      <c r="C239" s="110">
        <v>0</v>
      </c>
      <c r="D239" s="114">
        <v>0</v>
      </c>
      <c r="E239" s="114">
        <v>0</v>
      </c>
      <c r="F239" s="114">
        <v>0</v>
      </c>
      <c r="G239" s="114">
        <v>0</v>
      </c>
      <c r="H239" s="114">
        <v>0</v>
      </c>
      <c r="I239" s="114">
        <v>0</v>
      </c>
      <c r="J239" s="114">
        <v>0</v>
      </c>
      <c r="K239" s="114">
        <v>0</v>
      </c>
      <c r="L239" s="114">
        <v>0</v>
      </c>
      <c r="M239" s="114">
        <v>0</v>
      </c>
      <c r="N239" s="114">
        <v>0</v>
      </c>
      <c r="O239" s="114">
        <v>0</v>
      </c>
      <c r="P239" s="114">
        <v>0</v>
      </c>
      <c r="Q239" s="114">
        <v>0</v>
      </c>
      <c r="R239" s="114">
        <v>0</v>
      </c>
      <c r="S239" s="114">
        <v>0</v>
      </c>
      <c r="T239" s="114">
        <v>0</v>
      </c>
      <c r="U239" s="114">
        <v>0</v>
      </c>
      <c r="V239" s="114">
        <v>0</v>
      </c>
      <c r="W239" s="114">
        <v>0</v>
      </c>
      <c r="X239" s="114">
        <v>0</v>
      </c>
      <c r="Y239" s="114">
        <v>0</v>
      </c>
      <c r="Z239" s="114">
        <v>0</v>
      </c>
      <c r="AA239" s="114">
        <v>0</v>
      </c>
      <c r="AB239" s="114">
        <v>0</v>
      </c>
      <c r="AC239" s="114">
        <v>0</v>
      </c>
      <c r="AD239" s="114">
        <v>0</v>
      </c>
      <c r="AE239" s="114">
        <v>0</v>
      </c>
      <c r="AF239" s="114">
        <v>0</v>
      </c>
      <c r="AG239" s="114">
        <v>0</v>
      </c>
      <c r="AH239" s="114">
        <v>0</v>
      </c>
      <c r="AI239" s="114">
        <v>0</v>
      </c>
      <c r="AJ239" s="114">
        <v>0</v>
      </c>
      <c r="AK239" s="114">
        <v>0</v>
      </c>
      <c r="AL239" s="114">
        <v>0</v>
      </c>
      <c r="AM239" s="114">
        <v>0</v>
      </c>
      <c r="AN239" s="114">
        <v>0</v>
      </c>
      <c r="AO239" s="114">
        <v>0</v>
      </c>
      <c r="AP239" s="114">
        <v>0</v>
      </c>
      <c r="AQ239" s="114">
        <v>0</v>
      </c>
      <c r="AR239" s="114">
        <v>0</v>
      </c>
      <c r="AS239" s="114">
        <v>0</v>
      </c>
      <c r="AT239" s="114">
        <v>0</v>
      </c>
      <c r="AU239" s="114">
        <v>0</v>
      </c>
      <c r="AV239" s="114">
        <v>0</v>
      </c>
      <c r="AW239" s="114">
        <v>0</v>
      </c>
      <c r="AX239" s="114">
        <v>0</v>
      </c>
      <c r="AY239" s="114">
        <v>0</v>
      </c>
    </row>
    <row r="240" spans="1:51" x14ac:dyDescent="0.2">
      <c r="A240" s="113"/>
      <c r="B240" s="130">
        <v>32</v>
      </c>
      <c r="C240" s="110">
        <v>0</v>
      </c>
      <c r="D240" s="114">
        <v>0</v>
      </c>
      <c r="E240" s="114">
        <v>0</v>
      </c>
      <c r="F240" s="114">
        <v>0</v>
      </c>
      <c r="G240" s="114">
        <v>0</v>
      </c>
      <c r="H240" s="114">
        <v>0</v>
      </c>
      <c r="I240" s="114">
        <v>0</v>
      </c>
      <c r="J240" s="114">
        <v>0</v>
      </c>
      <c r="K240" s="114">
        <v>0</v>
      </c>
      <c r="L240" s="114">
        <v>0</v>
      </c>
      <c r="M240" s="114">
        <v>0</v>
      </c>
      <c r="N240" s="114">
        <v>0</v>
      </c>
      <c r="O240" s="114">
        <v>0</v>
      </c>
      <c r="P240" s="114">
        <v>0</v>
      </c>
      <c r="Q240" s="114">
        <v>0</v>
      </c>
      <c r="R240" s="114">
        <v>0</v>
      </c>
      <c r="S240" s="114">
        <v>0</v>
      </c>
      <c r="T240" s="114">
        <v>0</v>
      </c>
      <c r="U240" s="114">
        <v>0</v>
      </c>
      <c r="V240" s="114">
        <v>0</v>
      </c>
      <c r="W240" s="114">
        <v>0</v>
      </c>
      <c r="X240" s="114">
        <v>0</v>
      </c>
      <c r="Y240" s="114">
        <v>0</v>
      </c>
      <c r="Z240" s="114">
        <v>0</v>
      </c>
      <c r="AA240" s="114">
        <v>0</v>
      </c>
      <c r="AB240" s="114">
        <v>0</v>
      </c>
      <c r="AC240" s="114">
        <v>0</v>
      </c>
      <c r="AD240" s="114">
        <v>0</v>
      </c>
      <c r="AE240" s="114">
        <v>0</v>
      </c>
      <c r="AF240" s="114">
        <v>0</v>
      </c>
      <c r="AG240" s="114">
        <v>0</v>
      </c>
      <c r="AH240" s="114">
        <v>0</v>
      </c>
      <c r="AI240" s="114">
        <v>0</v>
      </c>
      <c r="AJ240" s="114">
        <v>0</v>
      </c>
      <c r="AK240" s="114">
        <v>0</v>
      </c>
      <c r="AL240" s="114">
        <v>0</v>
      </c>
      <c r="AM240" s="114">
        <v>0</v>
      </c>
      <c r="AN240" s="114">
        <v>0</v>
      </c>
      <c r="AO240" s="114">
        <v>0</v>
      </c>
      <c r="AP240" s="114">
        <v>0</v>
      </c>
      <c r="AQ240" s="114">
        <v>0</v>
      </c>
      <c r="AR240" s="114">
        <v>0</v>
      </c>
      <c r="AS240" s="114">
        <v>0</v>
      </c>
      <c r="AT240" s="114">
        <v>0</v>
      </c>
      <c r="AU240" s="114">
        <v>0</v>
      </c>
      <c r="AV240" s="114">
        <v>0</v>
      </c>
      <c r="AW240" s="114">
        <v>0</v>
      </c>
      <c r="AX240" s="114">
        <v>0</v>
      </c>
      <c r="AY240" s="114">
        <v>0</v>
      </c>
    </row>
    <row r="241" spans="1:51" x14ac:dyDescent="0.2">
      <c r="A241" s="113"/>
      <c r="B241" s="130">
        <v>33</v>
      </c>
      <c r="C241" s="110">
        <v>0</v>
      </c>
      <c r="D241" s="114">
        <v>0</v>
      </c>
      <c r="E241" s="114">
        <v>0</v>
      </c>
      <c r="F241" s="114">
        <v>0</v>
      </c>
      <c r="G241" s="114">
        <v>0</v>
      </c>
      <c r="H241" s="114">
        <v>0</v>
      </c>
      <c r="I241" s="114">
        <v>0</v>
      </c>
      <c r="J241" s="114">
        <v>0</v>
      </c>
      <c r="K241" s="114">
        <v>0</v>
      </c>
      <c r="L241" s="114">
        <v>0</v>
      </c>
      <c r="M241" s="114">
        <v>0</v>
      </c>
      <c r="N241" s="114">
        <v>0</v>
      </c>
      <c r="O241" s="114">
        <v>0</v>
      </c>
      <c r="P241" s="114">
        <v>0</v>
      </c>
      <c r="Q241" s="114">
        <v>0</v>
      </c>
      <c r="R241" s="114">
        <v>0</v>
      </c>
      <c r="S241" s="114">
        <v>0</v>
      </c>
      <c r="T241" s="114">
        <v>0</v>
      </c>
      <c r="U241" s="114">
        <v>0</v>
      </c>
      <c r="V241" s="114">
        <v>0</v>
      </c>
      <c r="W241" s="114">
        <v>0</v>
      </c>
      <c r="X241" s="114">
        <v>0</v>
      </c>
      <c r="Y241" s="114">
        <v>0</v>
      </c>
      <c r="Z241" s="114">
        <v>0</v>
      </c>
      <c r="AA241" s="114">
        <v>0</v>
      </c>
      <c r="AB241" s="114">
        <v>0</v>
      </c>
      <c r="AC241" s="114">
        <v>0</v>
      </c>
      <c r="AD241" s="114">
        <v>0</v>
      </c>
      <c r="AE241" s="114">
        <v>0</v>
      </c>
      <c r="AF241" s="114">
        <v>0</v>
      </c>
      <c r="AG241" s="114">
        <v>0</v>
      </c>
      <c r="AH241" s="114">
        <v>0</v>
      </c>
      <c r="AI241" s="114">
        <v>0</v>
      </c>
      <c r="AJ241" s="114">
        <v>0</v>
      </c>
      <c r="AK241" s="114">
        <v>0</v>
      </c>
      <c r="AL241" s="114">
        <v>0</v>
      </c>
      <c r="AM241" s="114">
        <v>0</v>
      </c>
      <c r="AN241" s="114">
        <v>0</v>
      </c>
      <c r="AO241" s="114">
        <v>0</v>
      </c>
      <c r="AP241" s="114">
        <v>0</v>
      </c>
      <c r="AQ241" s="114">
        <v>0</v>
      </c>
      <c r="AR241" s="114">
        <v>0</v>
      </c>
      <c r="AS241" s="114">
        <v>0</v>
      </c>
      <c r="AT241" s="114">
        <v>0</v>
      </c>
      <c r="AU241" s="114">
        <v>0</v>
      </c>
      <c r="AV241" s="114">
        <v>0</v>
      </c>
      <c r="AW241" s="114">
        <v>0</v>
      </c>
      <c r="AX241" s="114">
        <v>0</v>
      </c>
      <c r="AY241" s="114">
        <v>0</v>
      </c>
    </row>
    <row r="242" spans="1:51" x14ac:dyDescent="0.2">
      <c r="A242" s="113"/>
      <c r="B242" s="130">
        <v>34</v>
      </c>
      <c r="C242" s="110">
        <v>0</v>
      </c>
      <c r="D242" s="114">
        <v>0</v>
      </c>
      <c r="E242" s="114">
        <v>0</v>
      </c>
      <c r="F242" s="114">
        <v>0</v>
      </c>
      <c r="G242" s="114">
        <v>0</v>
      </c>
      <c r="H242" s="114">
        <v>0</v>
      </c>
      <c r="I242" s="114">
        <v>0</v>
      </c>
      <c r="J242" s="114">
        <v>0</v>
      </c>
      <c r="K242" s="114">
        <v>0</v>
      </c>
      <c r="L242" s="114">
        <v>0</v>
      </c>
      <c r="M242" s="114">
        <v>0</v>
      </c>
      <c r="N242" s="114">
        <v>0</v>
      </c>
      <c r="O242" s="114">
        <v>0</v>
      </c>
      <c r="P242" s="114">
        <v>0</v>
      </c>
      <c r="Q242" s="114">
        <v>0</v>
      </c>
      <c r="R242" s="114">
        <v>0</v>
      </c>
      <c r="S242" s="114">
        <v>0</v>
      </c>
      <c r="T242" s="114">
        <v>0</v>
      </c>
      <c r="U242" s="114">
        <v>0</v>
      </c>
      <c r="V242" s="114">
        <v>0</v>
      </c>
      <c r="W242" s="114">
        <v>0</v>
      </c>
      <c r="X242" s="114">
        <v>0</v>
      </c>
      <c r="Y242" s="114">
        <v>0</v>
      </c>
      <c r="Z242" s="114">
        <v>0</v>
      </c>
      <c r="AA242" s="114">
        <v>0</v>
      </c>
      <c r="AB242" s="114">
        <v>0</v>
      </c>
      <c r="AC242" s="114">
        <v>0</v>
      </c>
      <c r="AD242" s="114">
        <v>0</v>
      </c>
      <c r="AE242" s="114">
        <v>0</v>
      </c>
      <c r="AF242" s="114">
        <v>0</v>
      </c>
      <c r="AG242" s="114">
        <v>0</v>
      </c>
      <c r="AH242" s="114">
        <v>0</v>
      </c>
      <c r="AI242" s="114">
        <v>0</v>
      </c>
      <c r="AJ242" s="114">
        <v>0</v>
      </c>
      <c r="AK242" s="114">
        <v>0</v>
      </c>
      <c r="AL242" s="114">
        <v>0</v>
      </c>
      <c r="AM242" s="114">
        <v>0</v>
      </c>
      <c r="AN242" s="114">
        <v>0</v>
      </c>
      <c r="AO242" s="114">
        <v>0</v>
      </c>
      <c r="AP242" s="114">
        <v>0</v>
      </c>
      <c r="AQ242" s="114">
        <v>0</v>
      </c>
      <c r="AR242" s="114">
        <v>0</v>
      </c>
      <c r="AS242" s="114">
        <v>0</v>
      </c>
      <c r="AT242" s="114">
        <v>0</v>
      </c>
      <c r="AU242" s="114">
        <v>0</v>
      </c>
      <c r="AV242" s="114">
        <v>0</v>
      </c>
      <c r="AW242" s="114">
        <v>0</v>
      </c>
      <c r="AX242" s="114">
        <v>0</v>
      </c>
      <c r="AY242" s="114">
        <v>0</v>
      </c>
    </row>
    <row r="243" spans="1:51" x14ac:dyDescent="0.2">
      <c r="A243" s="113"/>
      <c r="B243" s="130">
        <v>35</v>
      </c>
      <c r="C243" s="110">
        <v>0</v>
      </c>
      <c r="D243" s="114">
        <v>0</v>
      </c>
      <c r="E243" s="114">
        <v>0</v>
      </c>
      <c r="F243" s="114">
        <v>0</v>
      </c>
      <c r="G243" s="114">
        <v>0</v>
      </c>
      <c r="H243" s="114">
        <v>0</v>
      </c>
      <c r="I243" s="114">
        <v>0</v>
      </c>
      <c r="J243" s="114">
        <v>0</v>
      </c>
      <c r="K243" s="114">
        <v>0</v>
      </c>
      <c r="L243" s="114">
        <v>0</v>
      </c>
      <c r="M243" s="114">
        <v>0</v>
      </c>
      <c r="N243" s="114">
        <v>0</v>
      </c>
      <c r="O243" s="114">
        <v>0</v>
      </c>
      <c r="P243" s="114">
        <v>0</v>
      </c>
      <c r="Q243" s="114">
        <v>0</v>
      </c>
      <c r="R243" s="114">
        <v>0</v>
      </c>
      <c r="S243" s="114">
        <v>0</v>
      </c>
      <c r="T243" s="114">
        <v>0</v>
      </c>
      <c r="U243" s="114">
        <v>0</v>
      </c>
      <c r="V243" s="114">
        <v>0</v>
      </c>
      <c r="W243" s="114">
        <v>0</v>
      </c>
      <c r="X243" s="114">
        <v>0</v>
      </c>
      <c r="Y243" s="114">
        <v>0</v>
      </c>
      <c r="Z243" s="114">
        <v>0</v>
      </c>
      <c r="AA243" s="114">
        <v>0</v>
      </c>
      <c r="AB243" s="114">
        <v>0</v>
      </c>
      <c r="AC243" s="114">
        <v>0</v>
      </c>
      <c r="AD243" s="114">
        <v>0</v>
      </c>
      <c r="AE243" s="114">
        <v>0</v>
      </c>
      <c r="AF243" s="114">
        <v>0</v>
      </c>
      <c r="AG243" s="114">
        <v>0</v>
      </c>
      <c r="AH243" s="114">
        <v>0</v>
      </c>
      <c r="AI243" s="114">
        <v>0</v>
      </c>
      <c r="AJ243" s="114">
        <v>0</v>
      </c>
      <c r="AK243" s="114">
        <v>0</v>
      </c>
      <c r="AL243" s="114">
        <v>0</v>
      </c>
      <c r="AM243" s="114">
        <v>0</v>
      </c>
      <c r="AN243" s="114">
        <v>0</v>
      </c>
      <c r="AO243" s="114">
        <v>0</v>
      </c>
      <c r="AP243" s="114">
        <v>0</v>
      </c>
      <c r="AQ243" s="114">
        <v>0</v>
      </c>
      <c r="AR243" s="114">
        <v>0</v>
      </c>
      <c r="AS243" s="114">
        <v>0</v>
      </c>
      <c r="AT243" s="114">
        <v>0</v>
      </c>
      <c r="AU243" s="114">
        <v>0</v>
      </c>
      <c r="AV243" s="114">
        <v>0</v>
      </c>
      <c r="AW243" s="114">
        <v>0</v>
      </c>
      <c r="AX243" s="114">
        <v>0</v>
      </c>
      <c r="AY243" s="114">
        <v>0</v>
      </c>
    </row>
    <row r="244" spans="1:51" x14ac:dyDescent="0.2">
      <c r="A244" s="113"/>
      <c r="B244" s="130">
        <v>36</v>
      </c>
      <c r="C244" s="110">
        <v>0</v>
      </c>
      <c r="D244" s="114">
        <v>0</v>
      </c>
      <c r="E244" s="114">
        <v>0</v>
      </c>
      <c r="F244" s="114">
        <v>0</v>
      </c>
      <c r="G244" s="114">
        <v>0</v>
      </c>
      <c r="H244" s="114">
        <v>0</v>
      </c>
      <c r="I244" s="114">
        <v>0</v>
      </c>
      <c r="J244" s="114">
        <v>0</v>
      </c>
      <c r="K244" s="114">
        <v>0</v>
      </c>
      <c r="L244" s="114">
        <v>0</v>
      </c>
      <c r="M244" s="114">
        <v>0</v>
      </c>
      <c r="N244" s="114">
        <v>0</v>
      </c>
      <c r="O244" s="114">
        <v>0</v>
      </c>
      <c r="P244" s="114">
        <v>0</v>
      </c>
      <c r="Q244" s="114">
        <v>0</v>
      </c>
      <c r="R244" s="114">
        <v>0</v>
      </c>
      <c r="S244" s="114">
        <v>0</v>
      </c>
      <c r="T244" s="114">
        <v>0</v>
      </c>
      <c r="U244" s="114">
        <v>0</v>
      </c>
      <c r="V244" s="114">
        <v>0</v>
      </c>
      <c r="W244" s="114">
        <v>0</v>
      </c>
      <c r="X244" s="114">
        <v>0</v>
      </c>
      <c r="Y244" s="114">
        <v>0</v>
      </c>
      <c r="Z244" s="114">
        <v>0</v>
      </c>
      <c r="AA244" s="114">
        <v>0</v>
      </c>
      <c r="AB244" s="114">
        <v>0</v>
      </c>
      <c r="AC244" s="114">
        <v>0</v>
      </c>
      <c r="AD244" s="114">
        <v>0</v>
      </c>
      <c r="AE244" s="114">
        <v>0</v>
      </c>
      <c r="AF244" s="114">
        <v>0</v>
      </c>
      <c r="AG244" s="114">
        <v>0</v>
      </c>
      <c r="AH244" s="114">
        <v>0</v>
      </c>
      <c r="AI244" s="114">
        <v>0</v>
      </c>
      <c r="AJ244" s="114">
        <v>0</v>
      </c>
      <c r="AK244" s="114">
        <v>0</v>
      </c>
      <c r="AL244" s="114">
        <v>0</v>
      </c>
      <c r="AM244" s="114">
        <v>0</v>
      </c>
      <c r="AN244" s="114">
        <v>0</v>
      </c>
      <c r="AO244" s="114">
        <v>0</v>
      </c>
      <c r="AP244" s="114">
        <v>0</v>
      </c>
      <c r="AQ244" s="114">
        <v>0</v>
      </c>
      <c r="AR244" s="114">
        <v>0</v>
      </c>
      <c r="AS244" s="114">
        <v>0</v>
      </c>
      <c r="AT244" s="114">
        <v>0</v>
      </c>
      <c r="AU244" s="114">
        <v>0</v>
      </c>
      <c r="AV244" s="114">
        <v>0</v>
      </c>
      <c r="AW244" s="114">
        <v>0</v>
      </c>
      <c r="AX244" s="114">
        <v>0</v>
      </c>
      <c r="AY244" s="114">
        <v>0</v>
      </c>
    </row>
    <row r="245" spans="1:51" x14ac:dyDescent="0.2">
      <c r="A245" s="113"/>
      <c r="B245" s="133">
        <v>37</v>
      </c>
      <c r="C245" s="110">
        <v>0</v>
      </c>
      <c r="D245" s="114">
        <v>0</v>
      </c>
      <c r="E245" s="114">
        <v>0</v>
      </c>
      <c r="F245" s="114">
        <v>0</v>
      </c>
      <c r="G245" s="114">
        <v>0</v>
      </c>
      <c r="H245" s="114">
        <v>0</v>
      </c>
      <c r="I245" s="114">
        <v>0</v>
      </c>
      <c r="J245" s="114">
        <v>0</v>
      </c>
      <c r="K245" s="114">
        <v>0</v>
      </c>
      <c r="L245" s="114">
        <v>0</v>
      </c>
      <c r="M245" s="114">
        <v>0</v>
      </c>
      <c r="N245" s="114">
        <v>0</v>
      </c>
      <c r="O245" s="114">
        <v>0</v>
      </c>
      <c r="P245" s="114">
        <v>0</v>
      </c>
      <c r="Q245" s="114">
        <v>0</v>
      </c>
      <c r="R245" s="114">
        <v>0</v>
      </c>
      <c r="S245" s="114">
        <v>0</v>
      </c>
      <c r="T245" s="114">
        <v>0</v>
      </c>
      <c r="U245" s="114">
        <v>0</v>
      </c>
      <c r="V245" s="114">
        <v>0</v>
      </c>
      <c r="W245" s="114">
        <v>0</v>
      </c>
      <c r="X245" s="114">
        <v>0</v>
      </c>
      <c r="Y245" s="114">
        <v>0</v>
      </c>
      <c r="Z245" s="114">
        <v>0</v>
      </c>
      <c r="AA245" s="114">
        <v>0</v>
      </c>
      <c r="AB245" s="114">
        <v>0</v>
      </c>
      <c r="AC245" s="114">
        <v>0</v>
      </c>
      <c r="AD245" s="114">
        <v>0</v>
      </c>
      <c r="AE245" s="114">
        <v>0</v>
      </c>
      <c r="AF245" s="114">
        <v>0</v>
      </c>
      <c r="AG245" s="114">
        <v>0</v>
      </c>
      <c r="AH245" s="114">
        <v>0</v>
      </c>
      <c r="AI245" s="114">
        <v>0</v>
      </c>
      <c r="AJ245" s="114">
        <v>0</v>
      </c>
      <c r="AK245" s="114">
        <v>0</v>
      </c>
      <c r="AL245" s="114">
        <v>0</v>
      </c>
      <c r="AM245" s="114">
        <v>0</v>
      </c>
      <c r="AN245" s="114">
        <v>0</v>
      </c>
      <c r="AO245" s="114">
        <v>0</v>
      </c>
      <c r="AP245" s="114">
        <v>0</v>
      </c>
      <c r="AQ245" s="114">
        <v>0</v>
      </c>
      <c r="AR245" s="114">
        <v>0</v>
      </c>
      <c r="AS245" s="114">
        <v>0</v>
      </c>
      <c r="AT245" s="114">
        <v>0</v>
      </c>
      <c r="AU245" s="114">
        <v>0</v>
      </c>
      <c r="AV245" s="114">
        <v>0</v>
      </c>
      <c r="AW245" s="114">
        <v>0</v>
      </c>
      <c r="AX245" s="114">
        <v>0</v>
      </c>
      <c r="AY245" s="114">
        <v>0</v>
      </c>
    </row>
    <row r="246" spans="1:51" x14ac:dyDescent="0.2">
      <c r="A246" s="113"/>
      <c r="B246" s="133">
        <v>38</v>
      </c>
      <c r="C246" s="110">
        <v>0</v>
      </c>
      <c r="D246" s="114">
        <v>0</v>
      </c>
      <c r="E246" s="114">
        <v>0</v>
      </c>
      <c r="F246" s="114">
        <v>0</v>
      </c>
      <c r="G246" s="114">
        <v>0</v>
      </c>
      <c r="H246" s="114">
        <v>0</v>
      </c>
      <c r="I246" s="114">
        <v>0</v>
      </c>
      <c r="J246" s="114">
        <v>0</v>
      </c>
      <c r="K246" s="114">
        <v>0</v>
      </c>
      <c r="L246" s="114">
        <v>0</v>
      </c>
      <c r="M246" s="114">
        <v>0</v>
      </c>
      <c r="N246" s="114">
        <v>0</v>
      </c>
      <c r="O246" s="114">
        <v>0</v>
      </c>
      <c r="P246" s="114">
        <v>0</v>
      </c>
      <c r="Q246" s="114">
        <v>0</v>
      </c>
      <c r="R246" s="114">
        <v>0</v>
      </c>
      <c r="S246" s="114">
        <v>0</v>
      </c>
      <c r="T246" s="114">
        <v>0</v>
      </c>
      <c r="U246" s="114">
        <v>0</v>
      </c>
      <c r="V246" s="114">
        <v>0</v>
      </c>
      <c r="W246" s="114">
        <v>0</v>
      </c>
      <c r="X246" s="114">
        <v>0</v>
      </c>
      <c r="Y246" s="114">
        <v>0</v>
      </c>
      <c r="Z246" s="114">
        <v>0</v>
      </c>
      <c r="AA246" s="114">
        <v>0</v>
      </c>
      <c r="AB246" s="114">
        <v>0</v>
      </c>
      <c r="AC246" s="114">
        <v>0</v>
      </c>
      <c r="AD246" s="114">
        <v>0</v>
      </c>
      <c r="AE246" s="114">
        <v>0</v>
      </c>
      <c r="AF246" s="114">
        <v>0</v>
      </c>
      <c r="AG246" s="114">
        <v>0</v>
      </c>
      <c r="AH246" s="114">
        <v>0</v>
      </c>
      <c r="AI246" s="114">
        <v>0</v>
      </c>
      <c r="AJ246" s="114">
        <v>0</v>
      </c>
      <c r="AK246" s="114">
        <v>0</v>
      </c>
      <c r="AL246" s="114">
        <v>0</v>
      </c>
      <c r="AM246" s="114">
        <v>0</v>
      </c>
      <c r="AN246" s="114">
        <v>0</v>
      </c>
      <c r="AO246" s="114">
        <v>0</v>
      </c>
      <c r="AP246" s="114">
        <v>0</v>
      </c>
      <c r="AQ246" s="114">
        <v>0</v>
      </c>
      <c r="AR246" s="114">
        <v>0</v>
      </c>
      <c r="AS246" s="114">
        <v>0</v>
      </c>
      <c r="AT246" s="114">
        <v>0</v>
      </c>
      <c r="AU246" s="114">
        <v>0</v>
      </c>
      <c r="AV246" s="114">
        <v>0</v>
      </c>
      <c r="AW246" s="114">
        <v>0</v>
      </c>
      <c r="AX246" s="114">
        <v>0</v>
      </c>
      <c r="AY246" s="114">
        <v>0</v>
      </c>
    </row>
    <row r="247" spans="1:51" x14ac:dyDescent="0.2">
      <c r="A247" s="113"/>
      <c r="B247" s="133">
        <v>39</v>
      </c>
      <c r="C247" s="110">
        <v>0</v>
      </c>
      <c r="D247" s="114">
        <v>0</v>
      </c>
      <c r="E247" s="114">
        <v>0</v>
      </c>
      <c r="F247" s="114">
        <v>0</v>
      </c>
      <c r="G247" s="114">
        <v>0</v>
      </c>
      <c r="H247" s="114">
        <v>0</v>
      </c>
      <c r="I247" s="114">
        <v>0</v>
      </c>
      <c r="J247" s="114">
        <v>0</v>
      </c>
      <c r="K247" s="114">
        <v>0</v>
      </c>
      <c r="L247" s="114">
        <v>0</v>
      </c>
      <c r="M247" s="114">
        <v>0</v>
      </c>
      <c r="N247" s="114">
        <v>0</v>
      </c>
      <c r="O247" s="114">
        <v>0</v>
      </c>
      <c r="P247" s="114">
        <v>0</v>
      </c>
      <c r="Q247" s="114">
        <v>0</v>
      </c>
      <c r="R247" s="114">
        <v>0</v>
      </c>
      <c r="S247" s="114">
        <v>0</v>
      </c>
      <c r="T247" s="114">
        <v>0</v>
      </c>
      <c r="U247" s="114">
        <v>0</v>
      </c>
      <c r="V247" s="114">
        <v>0</v>
      </c>
      <c r="W247" s="114">
        <v>0</v>
      </c>
      <c r="X247" s="114">
        <v>0</v>
      </c>
      <c r="Y247" s="114">
        <v>0</v>
      </c>
      <c r="Z247" s="114">
        <v>0</v>
      </c>
      <c r="AA247" s="114">
        <v>0</v>
      </c>
      <c r="AB247" s="114">
        <v>0</v>
      </c>
      <c r="AC247" s="114">
        <v>0</v>
      </c>
      <c r="AD247" s="114">
        <v>0</v>
      </c>
      <c r="AE247" s="114">
        <v>0</v>
      </c>
      <c r="AF247" s="114">
        <v>0</v>
      </c>
      <c r="AG247" s="114">
        <v>0</v>
      </c>
      <c r="AH247" s="114">
        <v>0</v>
      </c>
      <c r="AI247" s="114">
        <v>0</v>
      </c>
      <c r="AJ247" s="114">
        <v>0</v>
      </c>
      <c r="AK247" s="114">
        <v>0</v>
      </c>
      <c r="AL247" s="114">
        <v>0</v>
      </c>
      <c r="AM247" s="114">
        <v>0</v>
      </c>
      <c r="AN247" s="114">
        <v>0</v>
      </c>
      <c r="AO247" s="114">
        <v>0</v>
      </c>
      <c r="AP247" s="114">
        <v>0</v>
      </c>
      <c r="AQ247" s="114">
        <v>0</v>
      </c>
      <c r="AR247" s="114">
        <v>0</v>
      </c>
      <c r="AS247" s="114">
        <v>0</v>
      </c>
      <c r="AT247" s="114">
        <v>0</v>
      </c>
      <c r="AU247" s="114">
        <v>0</v>
      </c>
      <c r="AV247" s="114">
        <v>0</v>
      </c>
      <c r="AW247" s="114">
        <v>0</v>
      </c>
      <c r="AX247" s="114">
        <v>0</v>
      </c>
      <c r="AY247" s="114">
        <v>0</v>
      </c>
    </row>
    <row r="248" spans="1:51" x14ac:dyDescent="0.2">
      <c r="A248" s="113"/>
      <c r="B248" s="133">
        <v>40</v>
      </c>
      <c r="C248" s="110">
        <v>0</v>
      </c>
      <c r="D248" s="114">
        <v>0</v>
      </c>
      <c r="E248" s="114">
        <v>0</v>
      </c>
      <c r="F248" s="114">
        <v>0</v>
      </c>
      <c r="G248" s="114">
        <v>0</v>
      </c>
      <c r="H248" s="114">
        <v>0</v>
      </c>
      <c r="I248" s="114">
        <v>0</v>
      </c>
      <c r="J248" s="114">
        <v>0</v>
      </c>
      <c r="K248" s="114">
        <v>0</v>
      </c>
      <c r="L248" s="114">
        <v>0</v>
      </c>
      <c r="M248" s="114">
        <v>0</v>
      </c>
      <c r="N248" s="114">
        <v>0</v>
      </c>
      <c r="O248" s="114">
        <v>0</v>
      </c>
      <c r="P248" s="114">
        <v>0</v>
      </c>
      <c r="Q248" s="114">
        <v>0</v>
      </c>
      <c r="R248" s="114">
        <v>0</v>
      </c>
      <c r="S248" s="114">
        <v>0</v>
      </c>
      <c r="T248" s="114">
        <v>0</v>
      </c>
      <c r="U248" s="114">
        <v>0</v>
      </c>
      <c r="V248" s="114">
        <v>0</v>
      </c>
      <c r="W248" s="114">
        <v>0</v>
      </c>
      <c r="X248" s="114">
        <v>0</v>
      </c>
      <c r="Y248" s="114">
        <v>0</v>
      </c>
      <c r="Z248" s="114">
        <v>0</v>
      </c>
      <c r="AA248" s="114">
        <v>0</v>
      </c>
      <c r="AB248" s="114">
        <v>0</v>
      </c>
      <c r="AC248" s="114">
        <v>0</v>
      </c>
      <c r="AD248" s="114">
        <v>0</v>
      </c>
      <c r="AE248" s="114">
        <v>0</v>
      </c>
      <c r="AF248" s="114">
        <v>0</v>
      </c>
      <c r="AG248" s="114">
        <v>0</v>
      </c>
      <c r="AH248" s="114">
        <v>0</v>
      </c>
      <c r="AI248" s="114">
        <v>0</v>
      </c>
      <c r="AJ248" s="114">
        <v>0</v>
      </c>
      <c r="AK248" s="114">
        <v>0</v>
      </c>
      <c r="AL248" s="114">
        <v>0</v>
      </c>
      <c r="AM248" s="114">
        <v>0</v>
      </c>
      <c r="AN248" s="114">
        <v>0</v>
      </c>
      <c r="AO248" s="114">
        <v>0</v>
      </c>
      <c r="AP248" s="114">
        <v>0</v>
      </c>
      <c r="AQ248" s="114">
        <v>0</v>
      </c>
      <c r="AR248" s="114">
        <v>0</v>
      </c>
      <c r="AS248" s="114">
        <v>0</v>
      </c>
      <c r="AT248" s="114">
        <v>0</v>
      </c>
      <c r="AU248" s="114">
        <v>0</v>
      </c>
      <c r="AV248" s="114">
        <v>0</v>
      </c>
      <c r="AW248" s="114">
        <v>0</v>
      </c>
      <c r="AX248" s="114">
        <v>0</v>
      </c>
      <c r="AY248" s="114">
        <v>0</v>
      </c>
    </row>
    <row r="249" spans="1:51" x14ac:dyDescent="0.2">
      <c r="A249" s="113"/>
      <c r="B249" s="133">
        <v>41</v>
      </c>
      <c r="C249" s="110">
        <v>0</v>
      </c>
      <c r="D249" s="114">
        <v>0</v>
      </c>
      <c r="E249" s="114">
        <v>0</v>
      </c>
      <c r="F249" s="114">
        <v>0</v>
      </c>
      <c r="G249" s="114">
        <v>0</v>
      </c>
      <c r="H249" s="114">
        <v>0</v>
      </c>
      <c r="I249" s="114">
        <v>0</v>
      </c>
      <c r="J249" s="114">
        <v>0</v>
      </c>
      <c r="K249" s="114">
        <v>0</v>
      </c>
      <c r="L249" s="114">
        <v>0</v>
      </c>
      <c r="M249" s="114">
        <v>0</v>
      </c>
      <c r="N249" s="114">
        <v>0</v>
      </c>
      <c r="O249" s="114">
        <v>0</v>
      </c>
      <c r="P249" s="114">
        <v>0</v>
      </c>
      <c r="Q249" s="114">
        <v>0</v>
      </c>
      <c r="R249" s="114">
        <v>0</v>
      </c>
      <c r="S249" s="114">
        <v>0</v>
      </c>
      <c r="T249" s="114">
        <v>0</v>
      </c>
      <c r="U249" s="114">
        <v>0</v>
      </c>
      <c r="V249" s="114">
        <v>0</v>
      </c>
      <c r="W249" s="114">
        <v>0</v>
      </c>
      <c r="X249" s="114">
        <v>0</v>
      </c>
      <c r="Y249" s="114">
        <v>0</v>
      </c>
      <c r="Z249" s="114">
        <v>0</v>
      </c>
      <c r="AA249" s="114">
        <v>0</v>
      </c>
      <c r="AB249" s="114">
        <v>0</v>
      </c>
      <c r="AC249" s="114">
        <v>0</v>
      </c>
      <c r="AD249" s="114">
        <v>0</v>
      </c>
      <c r="AE249" s="114">
        <v>0</v>
      </c>
      <c r="AF249" s="114">
        <v>0</v>
      </c>
      <c r="AG249" s="114">
        <v>0</v>
      </c>
      <c r="AH249" s="114">
        <v>0</v>
      </c>
      <c r="AI249" s="114">
        <v>0</v>
      </c>
      <c r="AJ249" s="114">
        <v>0</v>
      </c>
      <c r="AK249" s="114">
        <v>0</v>
      </c>
      <c r="AL249" s="114">
        <v>0</v>
      </c>
      <c r="AM249" s="114">
        <v>0</v>
      </c>
      <c r="AN249" s="114">
        <v>0</v>
      </c>
      <c r="AO249" s="114">
        <v>0</v>
      </c>
      <c r="AP249" s="114">
        <v>0</v>
      </c>
      <c r="AQ249" s="114">
        <v>0</v>
      </c>
      <c r="AR249" s="114">
        <v>0</v>
      </c>
      <c r="AS249" s="114">
        <v>0</v>
      </c>
      <c r="AT249" s="114">
        <v>0</v>
      </c>
      <c r="AU249" s="114">
        <v>0</v>
      </c>
      <c r="AV249" s="114">
        <v>0</v>
      </c>
      <c r="AW249" s="114">
        <v>0</v>
      </c>
      <c r="AX249" s="114">
        <v>0</v>
      </c>
      <c r="AY249" s="114">
        <v>0</v>
      </c>
    </row>
    <row r="250" spans="1:51" x14ac:dyDescent="0.2">
      <c r="A250" s="113"/>
      <c r="B250" s="133">
        <v>42</v>
      </c>
      <c r="C250" s="110">
        <v>0</v>
      </c>
      <c r="D250" s="114">
        <v>0</v>
      </c>
      <c r="E250" s="114">
        <v>0</v>
      </c>
      <c r="F250" s="114">
        <v>0</v>
      </c>
      <c r="G250" s="114">
        <v>0</v>
      </c>
      <c r="H250" s="114">
        <v>0</v>
      </c>
      <c r="I250" s="114">
        <v>0</v>
      </c>
      <c r="J250" s="114">
        <v>0</v>
      </c>
      <c r="K250" s="114">
        <v>0</v>
      </c>
      <c r="L250" s="114">
        <v>0</v>
      </c>
      <c r="M250" s="114">
        <v>0</v>
      </c>
      <c r="N250" s="114">
        <v>0</v>
      </c>
      <c r="O250" s="114">
        <v>0</v>
      </c>
      <c r="P250" s="114">
        <v>0</v>
      </c>
      <c r="Q250" s="114">
        <v>0</v>
      </c>
      <c r="R250" s="114">
        <v>0</v>
      </c>
      <c r="S250" s="114">
        <v>0</v>
      </c>
      <c r="T250" s="114">
        <v>0</v>
      </c>
      <c r="U250" s="114">
        <v>0</v>
      </c>
      <c r="V250" s="114">
        <v>0</v>
      </c>
      <c r="W250" s="114">
        <v>0</v>
      </c>
      <c r="X250" s="114">
        <v>0</v>
      </c>
      <c r="Y250" s="114">
        <v>0</v>
      </c>
      <c r="Z250" s="114">
        <v>0</v>
      </c>
      <c r="AA250" s="114">
        <v>0</v>
      </c>
      <c r="AB250" s="114">
        <v>0</v>
      </c>
      <c r="AC250" s="114">
        <v>0</v>
      </c>
      <c r="AD250" s="114">
        <v>0</v>
      </c>
      <c r="AE250" s="114">
        <v>0</v>
      </c>
      <c r="AF250" s="114">
        <v>0</v>
      </c>
      <c r="AG250" s="114">
        <v>0</v>
      </c>
      <c r="AH250" s="114">
        <v>0</v>
      </c>
      <c r="AI250" s="114">
        <v>0</v>
      </c>
      <c r="AJ250" s="114">
        <v>0</v>
      </c>
      <c r="AK250" s="114">
        <v>0</v>
      </c>
      <c r="AL250" s="114">
        <v>0</v>
      </c>
      <c r="AM250" s="114">
        <v>0</v>
      </c>
      <c r="AN250" s="114">
        <v>0</v>
      </c>
      <c r="AO250" s="114">
        <v>0</v>
      </c>
      <c r="AP250" s="114">
        <v>0</v>
      </c>
      <c r="AQ250" s="114">
        <v>0</v>
      </c>
      <c r="AR250" s="114">
        <v>0</v>
      </c>
      <c r="AS250" s="114">
        <v>0</v>
      </c>
      <c r="AT250" s="114">
        <v>0</v>
      </c>
      <c r="AU250" s="114">
        <v>0</v>
      </c>
      <c r="AV250" s="114">
        <v>0</v>
      </c>
      <c r="AW250" s="114">
        <v>0</v>
      </c>
      <c r="AX250" s="114">
        <v>0</v>
      </c>
      <c r="AY250" s="114">
        <v>0</v>
      </c>
    </row>
    <row r="251" spans="1:51" x14ac:dyDescent="0.2">
      <c r="A251" s="113"/>
      <c r="B251" s="133">
        <v>43</v>
      </c>
      <c r="C251" s="110">
        <v>0</v>
      </c>
      <c r="D251" s="114">
        <v>0</v>
      </c>
      <c r="E251" s="114">
        <v>0</v>
      </c>
      <c r="F251" s="114">
        <v>0</v>
      </c>
      <c r="G251" s="114">
        <v>0</v>
      </c>
      <c r="H251" s="114">
        <v>0</v>
      </c>
      <c r="I251" s="114">
        <v>0</v>
      </c>
      <c r="J251" s="114">
        <v>0</v>
      </c>
      <c r="K251" s="114">
        <v>0</v>
      </c>
      <c r="L251" s="114">
        <v>0</v>
      </c>
      <c r="M251" s="114">
        <v>0</v>
      </c>
      <c r="N251" s="114">
        <v>0</v>
      </c>
      <c r="O251" s="114">
        <v>0</v>
      </c>
      <c r="P251" s="114">
        <v>0</v>
      </c>
      <c r="Q251" s="114">
        <v>0</v>
      </c>
      <c r="R251" s="114">
        <v>0</v>
      </c>
      <c r="S251" s="114">
        <v>0</v>
      </c>
      <c r="T251" s="114">
        <v>0</v>
      </c>
      <c r="U251" s="114">
        <v>0</v>
      </c>
      <c r="V251" s="114">
        <v>0</v>
      </c>
      <c r="W251" s="114">
        <v>0</v>
      </c>
      <c r="X251" s="114">
        <v>0</v>
      </c>
      <c r="Y251" s="114">
        <v>0</v>
      </c>
      <c r="Z251" s="114">
        <v>0</v>
      </c>
      <c r="AA251" s="114">
        <v>0</v>
      </c>
      <c r="AB251" s="114">
        <v>0</v>
      </c>
      <c r="AC251" s="114">
        <v>0</v>
      </c>
      <c r="AD251" s="114">
        <v>0</v>
      </c>
      <c r="AE251" s="114">
        <v>0</v>
      </c>
      <c r="AF251" s="114">
        <v>0</v>
      </c>
      <c r="AG251" s="114">
        <v>0</v>
      </c>
      <c r="AH251" s="114">
        <v>0</v>
      </c>
      <c r="AI251" s="114">
        <v>0</v>
      </c>
      <c r="AJ251" s="114">
        <v>0</v>
      </c>
      <c r="AK251" s="114">
        <v>0</v>
      </c>
      <c r="AL251" s="114">
        <v>0</v>
      </c>
      <c r="AM251" s="114">
        <v>0</v>
      </c>
      <c r="AN251" s="114">
        <v>0</v>
      </c>
      <c r="AO251" s="114">
        <v>0</v>
      </c>
      <c r="AP251" s="114">
        <v>0</v>
      </c>
      <c r="AQ251" s="114">
        <v>0</v>
      </c>
      <c r="AR251" s="114">
        <v>0</v>
      </c>
      <c r="AS251" s="114">
        <v>0</v>
      </c>
      <c r="AT251" s="114">
        <v>0</v>
      </c>
      <c r="AU251" s="114">
        <v>0</v>
      </c>
      <c r="AV251" s="114">
        <v>0</v>
      </c>
      <c r="AW251" s="114">
        <v>0</v>
      </c>
      <c r="AX251" s="114">
        <v>0</v>
      </c>
      <c r="AY251" s="114">
        <v>0</v>
      </c>
    </row>
    <row r="252" spans="1:51" x14ac:dyDescent="0.2">
      <c r="A252" s="113"/>
      <c r="B252" s="133">
        <v>44</v>
      </c>
      <c r="C252" s="110">
        <v>0</v>
      </c>
      <c r="D252" s="114">
        <v>0</v>
      </c>
      <c r="E252" s="114">
        <v>0</v>
      </c>
      <c r="F252" s="114">
        <v>0</v>
      </c>
      <c r="G252" s="114">
        <v>0</v>
      </c>
      <c r="H252" s="114">
        <v>0</v>
      </c>
      <c r="I252" s="114">
        <v>0</v>
      </c>
      <c r="J252" s="114">
        <v>0</v>
      </c>
      <c r="K252" s="114">
        <v>0</v>
      </c>
      <c r="L252" s="114">
        <v>0</v>
      </c>
      <c r="M252" s="114">
        <v>0</v>
      </c>
      <c r="N252" s="114">
        <v>0</v>
      </c>
      <c r="O252" s="114">
        <v>0</v>
      </c>
      <c r="P252" s="114">
        <v>0</v>
      </c>
      <c r="Q252" s="114">
        <v>0</v>
      </c>
      <c r="R252" s="114">
        <v>0</v>
      </c>
      <c r="S252" s="114">
        <v>0</v>
      </c>
      <c r="T252" s="114">
        <v>0</v>
      </c>
      <c r="U252" s="114">
        <v>0</v>
      </c>
      <c r="V252" s="114">
        <v>0</v>
      </c>
      <c r="W252" s="114">
        <v>0</v>
      </c>
      <c r="X252" s="114">
        <v>0</v>
      </c>
      <c r="Y252" s="114">
        <v>0</v>
      </c>
      <c r="Z252" s="114">
        <v>0</v>
      </c>
      <c r="AA252" s="114">
        <v>0</v>
      </c>
      <c r="AB252" s="114">
        <v>0</v>
      </c>
      <c r="AC252" s="114">
        <v>0</v>
      </c>
      <c r="AD252" s="114">
        <v>0</v>
      </c>
      <c r="AE252" s="114">
        <v>0</v>
      </c>
      <c r="AF252" s="114">
        <v>0</v>
      </c>
      <c r="AG252" s="114">
        <v>0</v>
      </c>
      <c r="AH252" s="114">
        <v>0</v>
      </c>
      <c r="AI252" s="114">
        <v>0</v>
      </c>
      <c r="AJ252" s="114">
        <v>0</v>
      </c>
      <c r="AK252" s="114">
        <v>0</v>
      </c>
      <c r="AL252" s="114">
        <v>0</v>
      </c>
      <c r="AM252" s="114">
        <v>0</v>
      </c>
      <c r="AN252" s="114">
        <v>0</v>
      </c>
      <c r="AO252" s="114">
        <v>0</v>
      </c>
      <c r="AP252" s="114">
        <v>0</v>
      </c>
      <c r="AQ252" s="114">
        <v>0</v>
      </c>
      <c r="AR252" s="114">
        <v>0</v>
      </c>
      <c r="AS252" s="114">
        <v>0</v>
      </c>
      <c r="AT252" s="114">
        <v>0</v>
      </c>
      <c r="AU252" s="114">
        <v>0</v>
      </c>
      <c r="AV252" s="114">
        <v>0</v>
      </c>
      <c r="AW252" s="114">
        <v>0</v>
      </c>
      <c r="AX252" s="114">
        <v>0</v>
      </c>
      <c r="AY252" s="114">
        <v>0</v>
      </c>
    </row>
    <row r="253" spans="1:51" x14ac:dyDescent="0.2">
      <c r="A253" s="113"/>
      <c r="B253" s="133">
        <v>45</v>
      </c>
      <c r="C253" s="110">
        <v>0</v>
      </c>
      <c r="D253" s="114">
        <v>0</v>
      </c>
      <c r="E253" s="114">
        <v>0</v>
      </c>
      <c r="F253" s="114">
        <v>0</v>
      </c>
      <c r="G253" s="114">
        <v>0</v>
      </c>
      <c r="H253" s="114">
        <v>0</v>
      </c>
      <c r="I253" s="114">
        <v>0</v>
      </c>
      <c r="J253" s="114">
        <v>0</v>
      </c>
      <c r="K253" s="114">
        <v>0</v>
      </c>
      <c r="L253" s="114">
        <v>0</v>
      </c>
      <c r="M253" s="114">
        <v>0</v>
      </c>
      <c r="N253" s="114">
        <v>0</v>
      </c>
      <c r="O253" s="114">
        <v>0</v>
      </c>
      <c r="P253" s="114">
        <v>0</v>
      </c>
      <c r="Q253" s="114">
        <v>0</v>
      </c>
      <c r="R253" s="114">
        <v>0</v>
      </c>
      <c r="S253" s="114">
        <v>0</v>
      </c>
      <c r="T253" s="114">
        <v>0</v>
      </c>
      <c r="U253" s="114">
        <v>0</v>
      </c>
      <c r="V253" s="114">
        <v>0</v>
      </c>
      <c r="W253" s="114">
        <v>0</v>
      </c>
      <c r="X253" s="114">
        <v>0</v>
      </c>
      <c r="Y253" s="114">
        <v>0</v>
      </c>
      <c r="Z253" s="114">
        <v>0</v>
      </c>
      <c r="AA253" s="114">
        <v>0</v>
      </c>
      <c r="AB253" s="114">
        <v>0</v>
      </c>
      <c r="AC253" s="114">
        <v>0</v>
      </c>
      <c r="AD253" s="114">
        <v>0</v>
      </c>
      <c r="AE253" s="114">
        <v>0</v>
      </c>
      <c r="AF253" s="114">
        <v>0</v>
      </c>
      <c r="AG253" s="114">
        <v>0</v>
      </c>
      <c r="AH253" s="114">
        <v>0</v>
      </c>
      <c r="AI253" s="114">
        <v>0</v>
      </c>
      <c r="AJ253" s="114">
        <v>0</v>
      </c>
      <c r="AK253" s="114">
        <v>0</v>
      </c>
      <c r="AL253" s="114">
        <v>0</v>
      </c>
      <c r="AM253" s="114">
        <v>0</v>
      </c>
      <c r="AN253" s="114">
        <v>0</v>
      </c>
      <c r="AO253" s="114">
        <v>0</v>
      </c>
      <c r="AP253" s="114">
        <v>0</v>
      </c>
      <c r="AQ253" s="114">
        <v>0</v>
      </c>
      <c r="AR253" s="114">
        <v>0</v>
      </c>
      <c r="AS253" s="114">
        <v>0</v>
      </c>
      <c r="AT253" s="114">
        <v>0</v>
      </c>
      <c r="AU253" s="114">
        <v>0</v>
      </c>
      <c r="AV253" s="114">
        <v>0</v>
      </c>
      <c r="AW253" s="114">
        <v>0</v>
      </c>
      <c r="AX253" s="114">
        <v>0</v>
      </c>
      <c r="AY253" s="114">
        <v>0</v>
      </c>
    </row>
    <row r="254" spans="1:51" x14ac:dyDescent="0.2">
      <c r="A254" s="113"/>
      <c r="B254" s="133">
        <v>46</v>
      </c>
      <c r="C254" s="110">
        <v>0</v>
      </c>
      <c r="D254" s="114">
        <v>0</v>
      </c>
      <c r="E254" s="114">
        <v>0</v>
      </c>
      <c r="F254" s="114">
        <v>0</v>
      </c>
      <c r="G254" s="114">
        <v>0</v>
      </c>
      <c r="H254" s="114">
        <v>0</v>
      </c>
      <c r="I254" s="114">
        <v>0</v>
      </c>
      <c r="J254" s="114">
        <v>0</v>
      </c>
      <c r="K254" s="114">
        <v>0</v>
      </c>
      <c r="L254" s="114">
        <v>0</v>
      </c>
      <c r="M254" s="114">
        <v>0</v>
      </c>
      <c r="N254" s="114">
        <v>0</v>
      </c>
      <c r="O254" s="114">
        <v>0</v>
      </c>
      <c r="P254" s="114">
        <v>0</v>
      </c>
      <c r="Q254" s="114">
        <v>0</v>
      </c>
      <c r="R254" s="114">
        <v>0</v>
      </c>
      <c r="S254" s="114">
        <v>0</v>
      </c>
      <c r="T254" s="114">
        <v>0</v>
      </c>
      <c r="U254" s="114">
        <v>0</v>
      </c>
      <c r="V254" s="114">
        <v>0</v>
      </c>
      <c r="W254" s="114">
        <v>0</v>
      </c>
      <c r="X254" s="114">
        <v>0</v>
      </c>
      <c r="Y254" s="114">
        <v>0</v>
      </c>
      <c r="Z254" s="114">
        <v>0</v>
      </c>
      <c r="AA254" s="114">
        <v>0</v>
      </c>
      <c r="AB254" s="114">
        <v>0</v>
      </c>
      <c r="AC254" s="114">
        <v>0</v>
      </c>
      <c r="AD254" s="114">
        <v>0</v>
      </c>
      <c r="AE254" s="114">
        <v>0</v>
      </c>
      <c r="AF254" s="114">
        <v>0</v>
      </c>
      <c r="AG254" s="114">
        <v>0</v>
      </c>
      <c r="AH254" s="114">
        <v>0</v>
      </c>
      <c r="AI254" s="114">
        <v>0</v>
      </c>
      <c r="AJ254" s="114">
        <v>0</v>
      </c>
      <c r="AK254" s="114">
        <v>0</v>
      </c>
      <c r="AL254" s="114">
        <v>0</v>
      </c>
      <c r="AM254" s="114">
        <v>0</v>
      </c>
      <c r="AN254" s="114">
        <v>0</v>
      </c>
      <c r="AO254" s="114">
        <v>0</v>
      </c>
      <c r="AP254" s="114">
        <v>0</v>
      </c>
      <c r="AQ254" s="114">
        <v>0</v>
      </c>
      <c r="AR254" s="114">
        <v>0</v>
      </c>
      <c r="AS254" s="114">
        <v>0</v>
      </c>
      <c r="AT254" s="114">
        <v>0</v>
      </c>
      <c r="AU254" s="114">
        <v>0</v>
      </c>
      <c r="AV254" s="114">
        <v>0</v>
      </c>
      <c r="AW254" s="114">
        <v>0</v>
      </c>
      <c r="AX254" s="114">
        <v>0</v>
      </c>
      <c r="AY254" s="114">
        <v>0</v>
      </c>
    </row>
    <row r="255" spans="1:51" x14ac:dyDescent="0.2">
      <c r="A255" s="113"/>
      <c r="B255" s="133">
        <v>47</v>
      </c>
      <c r="C255" s="110">
        <v>0</v>
      </c>
      <c r="D255" s="114">
        <v>0</v>
      </c>
      <c r="E255" s="114">
        <v>0</v>
      </c>
      <c r="F255" s="114">
        <v>0</v>
      </c>
      <c r="G255" s="114">
        <v>0</v>
      </c>
      <c r="H255" s="114">
        <v>0</v>
      </c>
      <c r="I255" s="114">
        <v>0</v>
      </c>
      <c r="J255" s="114">
        <v>0</v>
      </c>
      <c r="K255" s="114">
        <v>0</v>
      </c>
      <c r="L255" s="114">
        <v>0</v>
      </c>
      <c r="M255" s="114">
        <v>0</v>
      </c>
      <c r="N255" s="114">
        <v>0</v>
      </c>
      <c r="O255" s="114">
        <v>0</v>
      </c>
      <c r="P255" s="114">
        <v>0</v>
      </c>
      <c r="Q255" s="114">
        <v>0</v>
      </c>
      <c r="R255" s="114">
        <v>0</v>
      </c>
      <c r="S255" s="114">
        <v>0</v>
      </c>
      <c r="T255" s="114">
        <v>0</v>
      </c>
      <c r="U255" s="114">
        <v>0</v>
      </c>
      <c r="V255" s="114">
        <v>0</v>
      </c>
      <c r="W255" s="114">
        <v>0</v>
      </c>
      <c r="X255" s="114">
        <v>0</v>
      </c>
      <c r="Y255" s="114">
        <v>0</v>
      </c>
      <c r="Z255" s="114">
        <v>0</v>
      </c>
      <c r="AA255" s="114">
        <v>0</v>
      </c>
      <c r="AB255" s="114">
        <v>0</v>
      </c>
      <c r="AC255" s="114">
        <v>0</v>
      </c>
      <c r="AD255" s="114">
        <v>0</v>
      </c>
      <c r="AE255" s="114">
        <v>0</v>
      </c>
      <c r="AF255" s="114">
        <v>0</v>
      </c>
      <c r="AG255" s="114">
        <v>0</v>
      </c>
      <c r="AH255" s="114">
        <v>0</v>
      </c>
      <c r="AI255" s="114">
        <v>0</v>
      </c>
      <c r="AJ255" s="114">
        <v>0</v>
      </c>
      <c r="AK255" s="114">
        <v>0</v>
      </c>
      <c r="AL255" s="114">
        <v>0</v>
      </c>
      <c r="AM255" s="114">
        <v>0</v>
      </c>
      <c r="AN255" s="114">
        <v>0</v>
      </c>
      <c r="AO255" s="114">
        <v>0</v>
      </c>
      <c r="AP255" s="114">
        <v>0</v>
      </c>
      <c r="AQ255" s="114">
        <v>0</v>
      </c>
      <c r="AR255" s="114">
        <v>0</v>
      </c>
      <c r="AS255" s="114">
        <v>0</v>
      </c>
      <c r="AT255" s="114">
        <v>0</v>
      </c>
      <c r="AU255" s="114">
        <v>0</v>
      </c>
      <c r="AV255" s="114">
        <v>0</v>
      </c>
      <c r="AW255" s="114">
        <v>0</v>
      </c>
      <c r="AX255" s="114">
        <v>0</v>
      </c>
      <c r="AY255" s="114">
        <v>0</v>
      </c>
    </row>
    <row r="256" spans="1:51" x14ac:dyDescent="0.2">
      <c r="A256" s="131"/>
      <c r="B256" s="132">
        <v>48</v>
      </c>
      <c r="C256" s="117">
        <v>0</v>
      </c>
      <c r="D256" s="128">
        <v>0</v>
      </c>
      <c r="E256" s="128">
        <v>0</v>
      </c>
      <c r="F256" s="128">
        <v>0</v>
      </c>
      <c r="G256" s="128">
        <v>0</v>
      </c>
      <c r="H256" s="128">
        <v>0</v>
      </c>
      <c r="I256" s="128">
        <v>0</v>
      </c>
      <c r="J256" s="128">
        <v>0</v>
      </c>
      <c r="K256" s="128">
        <v>0</v>
      </c>
      <c r="L256" s="128">
        <v>0</v>
      </c>
      <c r="M256" s="128">
        <v>0</v>
      </c>
      <c r="N256" s="128">
        <v>0</v>
      </c>
      <c r="O256" s="128">
        <v>0</v>
      </c>
      <c r="P256" s="128">
        <v>0</v>
      </c>
      <c r="Q256" s="128">
        <v>0</v>
      </c>
      <c r="R256" s="128">
        <v>0</v>
      </c>
      <c r="S256" s="128">
        <v>0</v>
      </c>
      <c r="T256" s="128">
        <v>0</v>
      </c>
      <c r="U256" s="128">
        <v>0</v>
      </c>
      <c r="V256" s="128">
        <v>0</v>
      </c>
      <c r="W256" s="128">
        <v>0</v>
      </c>
      <c r="X256" s="128">
        <v>0</v>
      </c>
      <c r="Y256" s="128">
        <v>0</v>
      </c>
      <c r="Z256" s="128">
        <v>0</v>
      </c>
      <c r="AA256" s="128">
        <v>0</v>
      </c>
      <c r="AB256" s="128">
        <v>0</v>
      </c>
      <c r="AC256" s="128">
        <v>0</v>
      </c>
      <c r="AD256" s="128">
        <v>0</v>
      </c>
      <c r="AE256" s="128">
        <v>0</v>
      </c>
      <c r="AF256" s="128">
        <v>0</v>
      </c>
      <c r="AG256" s="128">
        <v>0</v>
      </c>
      <c r="AH256" s="128">
        <v>0</v>
      </c>
      <c r="AI256" s="128">
        <v>0</v>
      </c>
      <c r="AJ256" s="128">
        <v>0</v>
      </c>
      <c r="AK256" s="128">
        <v>0</v>
      </c>
      <c r="AL256" s="128">
        <v>0</v>
      </c>
      <c r="AM256" s="128">
        <v>0</v>
      </c>
      <c r="AN256" s="128">
        <v>0</v>
      </c>
      <c r="AO256" s="128">
        <v>0</v>
      </c>
      <c r="AP256" s="128">
        <v>0</v>
      </c>
      <c r="AQ256" s="128">
        <v>0</v>
      </c>
      <c r="AR256" s="128">
        <v>0</v>
      </c>
      <c r="AS256" s="128">
        <v>0</v>
      </c>
      <c r="AT256" s="128">
        <v>0</v>
      </c>
      <c r="AU256" s="128">
        <v>0</v>
      </c>
      <c r="AV256" s="128">
        <v>0</v>
      </c>
      <c r="AW256" s="128">
        <v>0</v>
      </c>
      <c r="AX256" s="128">
        <v>0</v>
      </c>
      <c r="AY256" s="128">
        <v>0</v>
      </c>
    </row>
    <row r="258" spans="1:52" x14ac:dyDescent="0.2">
      <c r="A258" s="1" t="s">
        <v>301</v>
      </c>
    </row>
    <row r="259" spans="1:52" x14ac:dyDescent="0.2">
      <c r="A259" s="140" t="s">
        <v>124</v>
      </c>
      <c r="B259" s="141">
        <v>650</v>
      </c>
      <c r="C259" s="127" t="s">
        <v>293</v>
      </c>
      <c r="D259" s="127">
        <f>E$14*$B$259</f>
        <v>9937286.9533182699</v>
      </c>
      <c r="E259" s="127">
        <f t="shared" ref="E259:AX259" si="5">F$14*$B$259</f>
        <v>6555955.1468638517</v>
      </c>
      <c r="F259" s="127">
        <f t="shared" si="5"/>
        <v>4666487.9158226885</v>
      </c>
      <c r="G259" s="127">
        <f t="shared" si="5"/>
        <v>3824407.4773623329</v>
      </c>
      <c r="H259" s="127">
        <f t="shared" si="5"/>
        <v>3222128.3973322702</v>
      </c>
      <c r="I259" s="127">
        <f t="shared" si="5"/>
        <v>3251041.4203015631</v>
      </c>
      <c r="J259" s="127">
        <f t="shared" si="5"/>
        <v>3235994.3265123945</v>
      </c>
      <c r="K259" s="127">
        <f t="shared" si="5"/>
        <v>3283884.9336307389</v>
      </c>
      <c r="L259" s="127">
        <f t="shared" si="5"/>
        <v>3306833.5207143934</v>
      </c>
      <c r="M259" s="127">
        <f t="shared" si="5"/>
        <v>2912986.4886718187</v>
      </c>
      <c r="N259" s="127">
        <f t="shared" si="5"/>
        <v>2845801.9979426572</v>
      </c>
      <c r="O259" s="127">
        <f t="shared" si="5"/>
        <v>2699437.9058135198</v>
      </c>
      <c r="P259" s="127">
        <f t="shared" si="5"/>
        <v>2754622.7551690997</v>
      </c>
      <c r="Q259" s="127">
        <f t="shared" si="5"/>
        <v>2962152.2350078719</v>
      </c>
      <c r="R259" s="127">
        <f t="shared" si="5"/>
        <v>3085245.0553123411</v>
      </c>
      <c r="S259" s="127">
        <f t="shared" si="5"/>
        <v>3183188.483189241</v>
      </c>
      <c r="T259" s="127">
        <f t="shared" si="5"/>
        <v>3185545.551037231</v>
      </c>
      <c r="U259" s="127">
        <f t="shared" si="5"/>
        <v>3149562.7423552731</v>
      </c>
      <c r="V259" s="127">
        <f t="shared" si="5"/>
        <v>3148859.1805347307</v>
      </c>
      <c r="W259" s="127">
        <f t="shared" si="5"/>
        <v>3151160.8999361992</v>
      </c>
      <c r="X259" s="127">
        <f t="shared" si="5"/>
        <v>3131542.0799987735</v>
      </c>
      <c r="Y259" s="127">
        <f t="shared" si="5"/>
        <v>2783204.4131525587</v>
      </c>
      <c r="Z259" s="127">
        <f t="shared" si="5"/>
        <v>2552874.6447692732</v>
      </c>
      <c r="AA259" s="127">
        <f t="shared" si="5"/>
        <v>2521464.2164499448</v>
      </c>
      <c r="AB259" s="127">
        <f t="shared" si="5"/>
        <v>2550658.8856939073</v>
      </c>
      <c r="AC259" s="127">
        <f t="shared" si="5"/>
        <v>2489563.1344922734</v>
      </c>
      <c r="AD259" s="127">
        <f t="shared" si="5"/>
        <v>2465724.4256655383</v>
      </c>
      <c r="AE259" s="127">
        <f t="shared" si="5"/>
        <v>2554595.924754329</v>
      </c>
      <c r="AF259" s="127">
        <f t="shared" si="5"/>
        <v>2576645.2558361883</v>
      </c>
      <c r="AG259" s="127">
        <f t="shared" si="5"/>
        <v>2790079.9987962074</v>
      </c>
      <c r="AH259" s="127">
        <f t="shared" si="5"/>
        <v>2918649.2982604206</v>
      </c>
      <c r="AI259" s="127">
        <f t="shared" si="5"/>
        <v>2943463.8816712615</v>
      </c>
      <c r="AJ259" s="127">
        <f t="shared" si="5"/>
        <v>2994160.3516878728</v>
      </c>
      <c r="AK259" s="127">
        <f t="shared" si="5"/>
        <v>3077537.0979154496</v>
      </c>
      <c r="AL259" s="127">
        <f t="shared" si="5"/>
        <v>3164409.6563502252</v>
      </c>
      <c r="AM259" s="127">
        <f t="shared" si="5"/>
        <v>3191474.0560274106</v>
      </c>
      <c r="AN259" s="127">
        <f t="shared" si="5"/>
        <v>3186752.7993746484</v>
      </c>
      <c r="AO259" s="127">
        <f t="shared" si="5"/>
        <v>2899835.9622957888</v>
      </c>
      <c r="AP259" s="127">
        <f t="shared" si="5"/>
        <v>2811557.392027895</v>
      </c>
      <c r="AQ259" s="127">
        <f t="shared" si="5"/>
        <v>2820096.5134261274</v>
      </c>
      <c r="AR259" s="127">
        <f t="shared" si="5"/>
        <v>2782095.5457661506</v>
      </c>
      <c r="AS259" s="127">
        <f t="shared" si="5"/>
        <v>2396680.727737267</v>
      </c>
      <c r="AT259" s="127">
        <f t="shared" si="5"/>
        <v>2066095.0106270728</v>
      </c>
      <c r="AU259" s="127">
        <f t="shared" si="5"/>
        <v>2078928.0663475555</v>
      </c>
      <c r="AV259" s="127">
        <f t="shared" si="5"/>
        <v>2131729.6589843668</v>
      </c>
      <c r="AW259" s="127">
        <f t="shared" si="5"/>
        <v>2393347.8007853907</v>
      </c>
      <c r="AX259" s="127">
        <f t="shared" si="5"/>
        <v>2357542.9626410473</v>
      </c>
      <c r="AY259" s="127">
        <f>AZ$14*$B$259</f>
        <v>2379585.1502684643</v>
      </c>
      <c r="AZ259" s="142">
        <f>SUM($D259:$AY259)</f>
        <v>149372878.29863197</v>
      </c>
    </row>
    <row r="260" spans="1:52" x14ac:dyDescent="0.2">
      <c r="A260" s="143" t="s">
        <v>302</v>
      </c>
      <c r="B260" s="117">
        <v>60</v>
      </c>
      <c r="C260" s="128" t="s">
        <v>293</v>
      </c>
      <c r="D260" s="128">
        <f>(D$175-D$176+D$177-D$178+D$179-D$180+D$181-D$182)*$B$260</f>
        <v>1504611.9735398516</v>
      </c>
      <c r="E260" s="128">
        <f t="shared" ref="E260:AY260" si="6">(E$175-E$176+E$177-E$178+E$179-E$180+E$181-E$182)*$B$260</f>
        <v>1792794.9095202601</v>
      </c>
      <c r="F260" s="128">
        <f t="shared" si="6"/>
        <v>2006327.2693086746</v>
      </c>
      <c r="G260" s="128">
        <f t="shared" si="6"/>
        <v>2047517.7713204003</v>
      </c>
      <c r="H260" s="128">
        <f t="shared" si="6"/>
        <v>2159272.7633231748</v>
      </c>
      <c r="I260" s="128">
        <f t="shared" si="6"/>
        <v>2130963.8406649595</v>
      </c>
      <c r="J260" s="128">
        <f t="shared" si="6"/>
        <v>2137386.0384208877</v>
      </c>
      <c r="K260" s="128">
        <f t="shared" si="6"/>
        <v>2127073.4822263233</v>
      </c>
      <c r="L260" s="128">
        <f t="shared" si="6"/>
        <v>2072085.8598784741</v>
      </c>
      <c r="M260" s="128">
        <f t="shared" si="6"/>
        <v>2183388.2551376009</v>
      </c>
      <c r="N260" s="128">
        <f t="shared" si="6"/>
        <v>2107089.9004356777</v>
      </c>
      <c r="O260" s="128">
        <f t="shared" si="6"/>
        <v>2199440.4320168286</v>
      </c>
      <c r="P260" s="128">
        <f t="shared" si="6"/>
        <v>2149586.4459224674</v>
      </c>
      <c r="Q260" s="128">
        <f t="shared" si="6"/>
        <v>2179269.8785527344</v>
      </c>
      <c r="R260" s="128">
        <f t="shared" si="6"/>
        <v>2141383.9874150739</v>
      </c>
      <c r="S260" s="128">
        <f t="shared" si="6"/>
        <v>2163096.5325667621</v>
      </c>
      <c r="T260" s="128">
        <f t="shared" si="6"/>
        <v>2139489.6414427171</v>
      </c>
      <c r="U260" s="128">
        <f t="shared" si="6"/>
        <v>2156649.7627356667</v>
      </c>
      <c r="V260" s="128">
        <f t="shared" si="6"/>
        <v>2152225.3912733318</v>
      </c>
      <c r="W260" s="128">
        <f t="shared" si="6"/>
        <v>2180782.9248670428</v>
      </c>
      <c r="X260" s="128">
        <f t="shared" si="6"/>
        <v>2012463.8928612673</v>
      </c>
      <c r="Y260" s="128">
        <f t="shared" si="6"/>
        <v>2011833.2073490464</v>
      </c>
      <c r="Z260" s="128">
        <f t="shared" si="6"/>
        <v>2047740.0327905281</v>
      </c>
      <c r="AA260" s="128">
        <f t="shared" si="6"/>
        <v>2021068.0882038507</v>
      </c>
      <c r="AB260" s="128">
        <f t="shared" si="6"/>
        <v>2076403.8800278704</v>
      </c>
      <c r="AC260" s="128">
        <f t="shared" si="6"/>
        <v>2056243.4878310976</v>
      </c>
      <c r="AD260" s="128">
        <f t="shared" si="6"/>
        <v>2094048.7501923975</v>
      </c>
      <c r="AE260" s="128">
        <f t="shared" si="6"/>
        <v>2029456.9561974746</v>
      </c>
      <c r="AF260" s="128">
        <f t="shared" si="6"/>
        <v>2044604.335715299</v>
      </c>
      <c r="AG260" s="128">
        <f t="shared" si="6"/>
        <v>2056061.2731045505</v>
      </c>
      <c r="AH260" s="128">
        <f t="shared" si="6"/>
        <v>2023536.939205236</v>
      </c>
      <c r="AI260" s="128">
        <f t="shared" si="6"/>
        <v>2027405.6677461131</v>
      </c>
      <c r="AJ260" s="128">
        <f t="shared" si="6"/>
        <v>2106115.2831668882</v>
      </c>
      <c r="AK260" s="128">
        <f t="shared" si="6"/>
        <v>2057288.9681304963</v>
      </c>
      <c r="AL260" s="128">
        <f t="shared" si="6"/>
        <v>2125019.9627365172</v>
      </c>
      <c r="AM260" s="128">
        <f t="shared" si="6"/>
        <v>2050221.7104586235</v>
      </c>
      <c r="AN260" s="128">
        <f t="shared" si="6"/>
        <v>2121037.5187650318</v>
      </c>
      <c r="AO260" s="128">
        <f t="shared" si="6"/>
        <v>2134292.1498800041</v>
      </c>
      <c r="AP260" s="128">
        <f t="shared" si="6"/>
        <v>2159723.8109886246</v>
      </c>
      <c r="AQ260" s="128">
        <f t="shared" si="6"/>
        <v>2137943.3987606652</v>
      </c>
      <c r="AR260" s="128">
        <f t="shared" si="6"/>
        <v>2071580.9014663175</v>
      </c>
      <c r="AS260" s="128">
        <f t="shared" si="6"/>
        <v>2041687.2484546364</v>
      </c>
      <c r="AT260" s="128">
        <f t="shared" si="6"/>
        <v>2161250.7761523351</v>
      </c>
      <c r="AU260" s="128">
        <f t="shared" si="6"/>
        <v>2127115.5557366684</v>
      </c>
      <c r="AV260" s="128">
        <f t="shared" si="6"/>
        <v>2096380.900354523</v>
      </c>
      <c r="AW260" s="128">
        <f t="shared" si="6"/>
        <v>2034264.6595909963</v>
      </c>
      <c r="AX260" s="128">
        <f t="shared" si="6"/>
        <v>2106508.0809778948</v>
      </c>
      <c r="AY260" s="128">
        <f t="shared" si="6"/>
        <v>2069205.9934058897</v>
      </c>
      <c r="AZ260" s="144">
        <f>SUM($D260:$AY260)</f>
        <v>99830940.490819737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07" t="s">
        <v>283</v>
      </c>
    </row>
    <row r="4" spans="1:99" x14ac:dyDescent="0.2">
      <c r="A4" s="106"/>
      <c r="B4" s="106"/>
      <c r="C4" s="105" t="s">
        <v>274</v>
      </c>
      <c r="D4" s="105" t="s">
        <v>92</v>
      </c>
      <c r="E4" s="106"/>
      <c r="F4" s="106"/>
      <c r="G4" s="106"/>
      <c r="H4" s="106"/>
      <c r="I4" s="106"/>
      <c r="J4" s="106"/>
      <c r="K4" s="106"/>
      <c r="L4" s="105" t="s">
        <v>93</v>
      </c>
      <c r="M4" s="106"/>
      <c r="N4" s="106"/>
      <c r="O4" s="106"/>
      <c r="P4" s="106"/>
      <c r="Q4" s="106"/>
      <c r="R4" s="106"/>
      <c r="S4" s="106"/>
      <c r="T4" s="105" t="s">
        <v>94</v>
      </c>
      <c r="U4" s="106"/>
      <c r="V4" s="106"/>
      <c r="W4" s="106"/>
      <c r="X4" s="106"/>
      <c r="Y4" s="106"/>
      <c r="Z4" s="106"/>
      <c r="AA4" s="106"/>
      <c r="AB4" s="105" t="s">
        <v>95</v>
      </c>
      <c r="AC4" s="106"/>
      <c r="AD4" s="106"/>
      <c r="AE4" s="106"/>
      <c r="AF4" s="106"/>
      <c r="AG4" s="106"/>
      <c r="AH4" s="106"/>
      <c r="AI4" s="106"/>
      <c r="AJ4" s="105" t="s">
        <v>96</v>
      </c>
      <c r="AK4" s="106"/>
      <c r="AL4" s="106"/>
      <c r="AM4" s="106"/>
      <c r="AN4" s="106"/>
      <c r="AO4" s="106"/>
      <c r="AP4" s="106"/>
      <c r="AQ4" s="106"/>
      <c r="AR4" s="105" t="s">
        <v>97</v>
      </c>
      <c r="AS4" s="106"/>
      <c r="AT4" s="106"/>
      <c r="AU4" s="106"/>
      <c r="AV4" s="106"/>
      <c r="AW4" s="106"/>
      <c r="AX4" s="106"/>
      <c r="AY4" s="106"/>
      <c r="AZ4" s="105" t="s">
        <v>98</v>
      </c>
      <c r="BA4" s="106"/>
      <c r="BB4" s="106"/>
      <c r="BC4" s="106"/>
      <c r="BD4" s="106"/>
      <c r="BE4" s="106"/>
      <c r="BF4" s="106"/>
      <c r="BG4" s="106"/>
      <c r="BH4" s="105" t="s">
        <v>99</v>
      </c>
      <c r="BI4" s="106"/>
      <c r="BJ4" s="106"/>
      <c r="BK4" s="106"/>
      <c r="BL4" s="106"/>
      <c r="BM4" s="106"/>
      <c r="BN4" s="106"/>
      <c r="BO4" s="106"/>
      <c r="BP4" s="105" t="s">
        <v>100</v>
      </c>
      <c r="BQ4" s="106"/>
      <c r="BR4" s="106"/>
      <c r="BS4" s="106"/>
      <c r="BT4" s="106"/>
      <c r="BU4" s="106"/>
      <c r="BV4" s="106"/>
      <c r="BW4" s="106"/>
      <c r="BX4" s="105" t="s">
        <v>101</v>
      </c>
      <c r="BY4" s="106"/>
      <c r="BZ4" s="106"/>
      <c r="CA4" s="106"/>
      <c r="CB4" s="106"/>
      <c r="CC4" s="106"/>
      <c r="CD4" s="106"/>
      <c r="CE4" s="106"/>
      <c r="CF4" s="105" t="s">
        <v>102</v>
      </c>
      <c r="CG4" s="106"/>
      <c r="CH4" s="106"/>
      <c r="CI4" s="106"/>
      <c r="CJ4" s="106"/>
      <c r="CK4" s="106"/>
      <c r="CL4" s="106"/>
      <c r="CM4" s="106"/>
      <c r="CN4" s="105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1.5962155796207524</v>
      </c>
      <c r="BE6">
        <v>923.25109125264316</v>
      </c>
      <c r="BF6">
        <v>0.4355867731902448</v>
      </c>
      <c r="BG6">
        <v>251.94338961323757</v>
      </c>
      <c r="BH6">
        <v>30.233096405541826</v>
      </c>
      <c r="BI6">
        <v>17486.82296096539</v>
      </c>
      <c r="BJ6">
        <v>12.882998170993901</v>
      </c>
      <c r="BK6">
        <v>7451.5261421028717</v>
      </c>
      <c r="BL6">
        <v>28.745942904770512</v>
      </c>
      <c r="BM6">
        <v>16626.653376119262</v>
      </c>
      <c r="BN6">
        <v>8.0911157147448325</v>
      </c>
      <c r="BO6">
        <v>4679.9013294084107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1.1302747508696951</v>
      </c>
      <c r="CK6">
        <v>653.75091590303157</v>
      </c>
      <c r="CL6">
        <v>6.3211567866785598</v>
      </c>
      <c r="CM6">
        <v>3656.157085414879</v>
      </c>
      <c r="CN6">
        <v>4.1829669335981698</v>
      </c>
      <c r="CO6">
        <v>2419.4280743931813</v>
      </c>
      <c r="CP6">
        <v>6</v>
      </c>
      <c r="CQ6">
        <v>3470.3999999999996</v>
      </c>
      <c r="CR6">
        <v>8</v>
      </c>
      <c r="CS6">
        <v>4627.2</v>
      </c>
      <c r="CT6">
        <v>5</v>
      </c>
      <c r="CU6">
        <v>2892</v>
      </c>
    </row>
    <row r="7" spans="1:99" x14ac:dyDescent="0.2">
      <c r="C7" s="105" t="s">
        <v>173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1.276972463696602</v>
      </c>
      <c r="BE7">
        <v>1006.7650903784009</v>
      </c>
      <c r="BF7">
        <v>0.4355867731902448</v>
      </c>
      <c r="BG7">
        <v>343.416611983189</v>
      </c>
      <c r="BH7">
        <v>29.047484781795088</v>
      </c>
      <c r="BI7">
        <v>22901.037001967248</v>
      </c>
      <c r="BJ7">
        <v>11.831324850912765</v>
      </c>
      <c r="BK7">
        <v>9327.8165124596235</v>
      </c>
      <c r="BL7">
        <v>26.00823405669713</v>
      </c>
      <c r="BM7">
        <v>20504.891730300016</v>
      </c>
      <c r="BN7">
        <v>8.0911157147448325</v>
      </c>
      <c r="BO7">
        <v>6379.0356295048259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1.2433022259566648</v>
      </c>
      <c r="CK7">
        <v>980.21947494423455</v>
      </c>
      <c r="CL7">
        <v>6.3211567866785598</v>
      </c>
      <c r="CM7">
        <v>4983.600010617376</v>
      </c>
      <c r="CN7">
        <v>4.1829669335981698</v>
      </c>
      <c r="CO7">
        <v>3297.851130448797</v>
      </c>
      <c r="CP7">
        <v>6</v>
      </c>
      <c r="CQ7">
        <v>4730.3999999999996</v>
      </c>
      <c r="CR7">
        <v>7</v>
      </c>
      <c r="CS7">
        <v>5518.8</v>
      </c>
      <c r="CT7">
        <v>5</v>
      </c>
      <c r="CU7">
        <v>3942</v>
      </c>
    </row>
    <row r="8" spans="1:99" x14ac:dyDescent="0.2">
      <c r="C8" s="105" t="s">
        <v>174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1.5962155796207524</v>
      </c>
      <c r="BE8">
        <v>494.18834345058491</v>
      </c>
      <c r="BF8">
        <v>0.4355867731902448</v>
      </c>
      <c r="BG8">
        <v>134.85766497969976</v>
      </c>
      <c r="BH8">
        <v>32.011513841161936</v>
      </c>
      <c r="BI8">
        <v>9910.764685223734</v>
      </c>
      <c r="BJ8">
        <v>13.671753161054749</v>
      </c>
      <c r="BK8">
        <v>4232.7747786625496</v>
      </c>
      <c r="BL8">
        <v>34.221360600917272</v>
      </c>
      <c r="BM8">
        <v>10594.933242043986</v>
      </c>
      <c r="BN8">
        <v>8.9209737367699447</v>
      </c>
      <c r="BO8">
        <v>2761.9334689039747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1.2433022259566648</v>
      </c>
      <c r="CK8">
        <v>384.9263691561834</v>
      </c>
      <c r="CL8">
        <v>6.3211567866785598</v>
      </c>
      <c r="CM8">
        <v>1957.0301411556818</v>
      </c>
      <c r="CN8">
        <v>5.0195603203178036</v>
      </c>
      <c r="CO8">
        <v>1554.0558751703918</v>
      </c>
      <c r="CP8">
        <v>6</v>
      </c>
      <c r="CQ8">
        <v>1857.6</v>
      </c>
      <c r="CR8">
        <v>8</v>
      </c>
      <c r="CS8">
        <v>2476.7999999999997</v>
      </c>
      <c r="CT8">
        <v>5</v>
      </c>
      <c r="CU8">
        <v>1547.9999999999998</v>
      </c>
    </row>
    <row r="9" spans="1:99" x14ac:dyDescent="0.2">
      <c r="C9" s="105" t="s">
        <v>175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1.5962155796207524</v>
      </c>
      <c r="BE9">
        <v>1120.5433368937681</v>
      </c>
      <c r="BF9">
        <v>0.54448346648780599</v>
      </c>
      <c r="BG9">
        <v>382.22739347443979</v>
      </c>
      <c r="BH9">
        <v>29.047484781795088</v>
      </c>
      <c r="BI9">
        <v>20391.334316820154</v>
      </c>
      <c r="BJ9">
        <v>12.620079840973617</v>
      </c>
      <c r="BK9">
        <v>8859.2960483634797</v>
      </c>
      <c r="BL9">
        <v>28.289658096758281</v>
      </c>
      <c r="BM9">
        <v>19859.339983924314</v>
      </c>
      <c r="BN9">
        <v>7.6761867037322782</v>
      </c>
      <c r="BO9">
        <v>5388.6830660200594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1.2433022259566648</v>
      </c>
      <c r="CK9">
        <v>872.79816262157874</v>
      </c>
      <c r="CL9">
        <v>5.7465061697077813</v>
      </c>
      <c r="CM9">
        <v>4034.0473311348624</v>
      </c>
      <c r="CN9">
        <v>4.1829669335981698</v>
      </c>
      <c r="CO9">
        <v>2936.4427873859154</v>
      </c>
      <c r="CP9">
        <v>6</v>
      </c>
      <c r="CQ9">
        <v>4212</v>
      </c>
      <c r="CR9">
        <v>7</v>
      </c>
      <c r="CS9">
        <v>4914</v>
      </c>
      <c r="CT9">
        <v>5</v>
      </c>
      <c r="CU9">
        <v>3510</v>
      </c>
    </row>
    <row r="10" spans="1:99" x14ac:dyDescent="0.2">
      <c r="C10" s="105" t="s">
        <v>176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1.5962155796207524</v>
      </c>
      <c r="BE10">
        <v>869.61824777738582</v>
      </c>
      <c r="BF10">
        <v>0.54448346648780599</v>
      </c>
      <c r="BG10">
        <v>296.63459254255667</v>
      </c>
      <c r="BH10">
        <v>32.604319653035304</v>
      </c>
      <c r="BI10">
        <v>17762.833346973632</v>
      </c>
      <c r="BJ10">
        <v>11.305488190872198</v>
      </c>
      <c r="BK10">
        <v>6159.2299663871736</v>
      </c>
      <c r="BL10">
        <v>30.571082136819431</v>
      </c>
      <c r="BM10">
        <v>16655.125548139225</v>
      </c>
      <c r="BN10">
        <v>7.8836512092385549</v>
      </c>
      <c r="BO10">
        <v>4295.0131787931641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1.1302747508696951</v>
      </c>
      <c r="CK10">
        <v>615.77368427380986</v>
      </c>
      <c r="CL10">
        <v>6.3211567866785598</v>
      </c>
      <c r="CM10">
        <v>3443.7662173824792</v>
      </c>
      <c r="CN10">
        <v>4.1829669335981698</v>
      </c>
      <c r="CO10">
        <v>2278.8803854242828</v>
      </c>
      <c r="CP10">
        <v>6</v>
      </c>
      <c r="CQ10">
        <v>3268.7999999999997</v>
      </c>
      <c r="CR10">
        <v>7</v>
      </c>
      <c r="CS10">
        <v>3813.5999999999995</v>
      </c>
      <c r="CT10">
        <v>5</v>
      </c>
      <c r="CU10">
        <v>2724</v>
      </c>
    </row>
    <row r="11" spans="1:99" x14ac:dyDescent="0.2">
      <c r="C11" s="105" t="s">
        <v>177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1.5962155796207524</v>
      </c>
      <c r="BE11">
        <v>850.46366082193686</v>
      </c>
      <c r="BF11">
        <v>0.54448346648780599</v>
      </c>
      <c r="BG11">
        <v>290.10079094470302</v>
      </c>
      <c r="BH11">
        <v>34.382737088655411</v>
      </c>
      <c r="BI11">
        <v>18319.122320835602</v>
      </c>
      <c r="BJ11">
        <v>12.620079840973617</v>
      </c>
      <c r="BK11">
        <v>6723.9785392707427</v>
      </c>
      <c r="BL11">
        <v>28.745942904770512</v>
      </c>
      <c r="BM11">
        <v>15315.838379661727</v>
      </c>
      <c r="BN11">
        <v>7.8836512092385549</v>
      </c>
      <c r="BO11">
        <v>4200.4093642823018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1.2433022259566648</v>
      </c>
      <c r="CK11">
        <v>662.43142598971099</v>
      </c>
      <c r="CL11">
        <v>6.8958074036493375</v>
      </c>
      <c r="CM11">
        <v>3674.0861846643666</v>
      </c>
      <c r="CN11">
        <v>5.0195603203178036</v>
      </c>
      <c r="CO11">
        <v>2674.4217386653254</v>
      </c>
      <c r="CP11">
        <v>6</v>
      </c>
      <c r="CQ11">
        <v>3196.7999999999997</v>
      </c>
      <c r="CR11">
        <v>7</v>
      </c>
      <c r="CS11">
        <v>3729.5999999999995</v>
      </c>
      <c r="CT11">
        <v>5</v>
      </c>
      <c r="CU11">
        <v>2664</v>
      </c>
    </row>
    <row r="12" spans="1:99" x14ac:dyDescent="0.2">
      <c r="C12" s="105" t="s">
        <v>178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1.5962155796207524</v>
      </c>
      <c r="BE12">
        <v>898.35012821055943</v>
      </c>
      <c r="BF12">
        <v>0.54448346648780599</v>
      </c>
      <c r="BG12">
        <v>306.43529493933721</v>
      </c>
      <c r="BH12">
        <v>35.568348712402148</v>
      </c>
      <c r="BI12">
        <v>20017.866655339927</v>
      </c>
      <c r="BJ12">
        <v>12.357161510953331</v>
      </c>
      <c r="BK12">
        <v>6954.6104983645337</v>
      </c>
      <c r="BL12">
        <v>27.377088480733821</v>
      </c>
      <c r="BM12">
        <v>15407.825396956994</v>
      </c>
      <c r="BN12">
        <v>7.2612576927197221</v>
      </c>
      <c r="BO12">
        <v>4086.6358294626593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1.2433022259566648</v>
      </c>
      <c r="CK12">
        <v>699.73049276841095</v>
      </c>
      <c r="CL12">
        <v>6.3211567866785598</v>
      </c>
      <c r="CM12">
        <v>3557.5470395426933</v>
      </c>
      <c r="CN12">
        <v>4.1829669335981698</v>
      </c>
      <c r="CO12">
        <v>2354.1737902290497</v>
      </c>
      <c r="CP12">
        <v>6</v>
      </c>
      <c r="CQ12">
        <v>3376.7999999999997</v>
      </c>
      <c r="CR12">
        <v>7</v>
      </c>
      <c r="CS12">
        <v>3939.5999999999995</v>
      </c>
      <c r="CT12">
        <v>5</v>
      </c>
      <c r="CU12">
        <v>2814</v>
      </c>
    </row>
    <row r="13" spans="1:99" x14ac:dyDescent="0.2">
      <c r="C13" s="105" t="s">
        <v>179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1.5962155796207524</v>
      </c>
      <c r="BE13">
        <v>135.99756738368811</v>
      </c>
      <c r="BF13">
        <v>0.54448346648780599</v>
      </c>
      <c r="BG13">
        <v>46.389991344761071</v>
      </c>
      <c r="BH13">
        <v>39.125183583642361</v>
      </c>
      <c r="BI13">
        <v>3333.4656413263292</v>
      </c>
      <c r="BJ13">
        <v>13.145916501014183</v>
      </c>
      <c r="BK13">
        <v>1120.0320858864084</v>
      </c>
      <c r="BL13">
        <v>32.396221368868353</v>
      </c>
      <c r="BM13">
        <v>2760.1580606275838</v>
      </c>
      <c r="BN13">
        <v>9.1284382422762231</v>
      </c>
      <c r="BO13">
        <v>777.74293824193421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1.2433022259566648</v>
      </c>
      <c r="CK13">
        <v>105.92934965150785</v>
      </c>
      <c r="CL13">
        <v>5.7465061697077813</v>
      </c>
      <c r="CM13">
        <v>489.60232565910297</v>
      </c>
      <c r="CN13">
        <v>5.0195603203178036</v>
      </c>
      <c r="CO13">
        <v>427.6665392910769</v>
      </c>
      <c r="CP13">
        <v>6</v>
      </c>
      <c r="CQ13">
        <v>511.20000000000005</v>
      </c>
      <c r="CR13">
        <v>7</v>
      </c>
      <c r="CS13">
        <v>596.4</v>
      </c>
      <c r="CT13">
        <v>5</v>
      </c>
      <c r="CU13">
        <v>426</v>
      </c>
    </row>
    <row r="14" spans="1:99" x14ac:dyDescent="0.2">
      <c r="C14" s="105" t="s">
        <v>180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1.5962155796207524</v>
      </c>
      <c r="BE14">
        <v>779.59168908677543</v>
      </c>
      <c r="BF14">
        <v>0.4355867731902448</v>
      </c>
      <c r="BG14">
        <v>212.74058002611554</v>
      </c>
      <c r="BH14">
        <v>30.825902217415198</v>
      </c>
      <c r="BI14">
        <v>15055.370642985583</v>
      </c>
      <c r="BJ14">
        <v>11.831324850912765</v>
      </c>
      <c r="BK14">
        <v>5778.4190571857944</v>
      </c>
      <c r="BL14">
        <v>31.027366944831662</v>
      </c>
      <c r="BM14">
        <v>15153.766015855783</v>
      </c>
      <c r="BN14">
        <v>8.0911157147448325</v>
      </c>
      <c r="BO14">
        <v>3951.700915081376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1.1302747508696951</v>
      </c>
      <c r="CK14">
        <v>552.026188324759</v>
      </c>
      <c r="CL14">
        <v>6.3211567866785598</v>
      </c>
      <c r="CM14">
        <v>3087.2529746138084</v>
      </c>
      <c r="CN14">
        <v>5.0195603203178036</v>
      </c>
      <c r="CO14">
        <v>2451.5532604432151</v>
      </c>
      <c r="CP14">
        <v>6</v>
      </c>
      <c r="CQ14">
        <v>2930.3999999999996</v>
      </c>
      <c r="CR14">
        <v>7</v>
      </c>
      <c r="CS14">
        <v>3418.7999999999997</v>
      </c>
      <c r="CT14">
        <v>5</v>
      </c>
      <c r="CU14">
        <v>2442</v>
      </c>
    </row>
    <row r="15" spans="1:99" x14ac:dyDescent="0.2">
      <c r="C15" s="105" t="s">
        <v>181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1.5962155796207524</v>
      </c>
      <c r="BE15">
        <v>1218.2317303665582</v>
      </c>
      <c r="BF15">
        <v>0.4355867731902448</v>
      </c>
      <c r="BG15">
        <v>332.4398252987948</v>
      </c>
      <c r="BH15">
        <v>29.047484781795088</v>
      </c>
      <c r="BI15">
        <v>22169.040385466011</v>
      </c>
      <c r="BJ15">
        <v>12.094243180933047</v>
      </c>
      <c r="BK15">
        <v>9230.3263956881001</v>
      </c>
      <c r="BL15">
        <v>30.114797328807203</v>
      </c>
      <c r="BM15">
        <v>22983.613321345656</v>
      </c>
      <c r="BN15">
        <v>7.0537931872134445</v>
      </c>
      <c r="BO15">
        <v>5383.4549604813001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1.1302747508696951</v>
      </c>
      <c r="CK15">
        <v>862.62568986375118</v>
      </c>
      <c r="CL15">
        <v>5.7465061697077813</v>
      </c>
      <c r="CM15">
        <v>4385.7335087209785</v>
      </c>
      <c r="CN15">
        <v>4.1829669335981698</v>
      </c>
      <c r="CO15">
        <v>3192.440363722123</v>
      </c>
      <c r="CP15">
        <v>6</v>
      </c>
      <c r="CQ15">
        <v>4579.2</v>
      </c>
      <c r="CR15">
        <v>6</v>
      </c>
      <c r="CS15">
        <v>4579.2</v>
      </c>
      <c r="CT15">
        <v>6</v>
      </c>
      <c r="CU15">
        <v>4579.2</v>
      </c>
    </row>
    <row r="16" spans="1:99" x14ac:dyDescent="0.2">
      <c r="C16" s="105" t="s">
        <v>182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1.5962155796207524</v>
      </c>
      <c r="BE16">
        <v>543.99026953475243</v>
      </c>
      <c r="BF16">
        <v>0.4355867731902448</v>
      </c>
      <c r="BG16">
        <v>148.44797230323545</v>
      </c>
      <c r="BH16">
        <v>33.789931276782035</v>
      </c>
      <c r="BI16">
        <v>11515.608579127318</v>
      </c>
      <c r="BJ16">
        <v>12.357161510953331</v>
      </c>
      <c r="BK16">
        <v>4211.3206429328957</v>
      </c>
      <c r="BL16">
        <v>29.658512520794972</v>
      </c>
      <c r="BM16">
        <v>10107.621067086926</v>
      </c>
      <c r="BN16">
        <v>8.5060447257573877</v>
      </c>
      <c r="BO16">
        <v>2898.8600425381178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1.2433022259566648</v>
      </c>
      <c r="CK16">
        <v>423.7173986060314</v>
      </c>
      <c r="CL16">
        <v>6.3211567866785598</v>
      </c>
      <c r="CM16">
        <v>2154.2502329000531</v>
      </c>
      <c r="CN16">
        <v>4.1829669335981698</v>
      </c>
      <c r="CO16">
        <v>1425.5551309702564</v>
      </c>
      <c r="CP16">
        <v>6</v>
      </c>
      <c r="CQ16">
        <v>2044.8000000000002</v>
      </c>
      <c r="CR16">
        <v>7</v>
      </c>
      <c r="CS16">
        <v>2385.6</v>
      </c>
      <c r="CT16">
        <v>5</v>
      </c>
      <c r="CU16">
        <v>1704</v>
      </c>
    </row>
    <row r="17" spans="2:99" x14ac:dyDescent="0.2">
      <c r="C17" s="105" t="s">
        <v>183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1.5962155796207524</v>
      </c>
      <c r="BE17">
        <v>674.24146083180585</v>
      </c>
      <c r="BF17">
        <v>0.4355867731902448</v>
      </c>
      <c r="BG17">
        <v>183.99185299555938</v>
      </c>
      <c r="BH17">
        <v>34.382737088655411</v>
      </c>
      <c r="BI17">
        <v>14523.268146248045</v>
      </c>
      <c r="BJ17">
        <v>13.408834831034467</v>
      </c>
      <c r="BK17">
        <v>5663.8918326289586</v>
      </c>
      <c r="BL17">
        <v>31.027366944831662</v>
      </c>
      <c r="BM17">
        <v>13105.959797496893</v>
      </c>
      <c r="BN17">
        <v>8.298580220251111</v>
      </c>
      <c r="BO17">
        <v>3505.320285034069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1.1302747508696951</v>
      </c>
      <c r="CK17">
        <v>477.42805476735919</v>
      </c>
      <c r="CL17">
        <v>5.7465061697077813</v>
      </c>
      <c r="CM17">
        <v>2427.3242060845669</v>
      </c>
      <c r="CN17">
        <v>5.0195603203178036</v>
      </c>
      <c r="CO17">
        <v>2120.2622793022401</v>
      </c>
      <c r="CP17">
        <v>6</v>
      </c>
      <c r="CQ17">
        <v>2534.3999999999996</v>
      </c>
      <c r="CR17">
        <v>7</v>
      </c>
      <c r="CS17">
        <v>2956.7999999999997</v>
      </c>
      <c r="CT17">
        <v>6</v>
      </c>
      <c r="CU17">
        <v>2534.3999999999996</v>
      </c>
    </row>
    <row r="18" spans="2:99" x14ac:dyDescent="0.2">
      <c r="C18" s="105" t="s">
        <v>184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1.5962155796207524</v>
      </c>
      <c r="BE18">
        <v>1042.0095303764272</v>
      </c>
      <c r="BF18">
        <v>0.4355867731902448</v>
      </c>
      <c r="BG18">
        <v>284.35104553859179</v>
      </c>
      <c r="BH18">
        <v>33.197125464908673</v>
      </c>
      <c r="BI18">
        <v>21671.08350349238</v>
      </c>
      <c r="BJ18">
        <v>12.882998170993901</v>
      </c>
      <c r="BK18">
        <v>8410.0212060248177</v>
      </c>
      <c r="BL18">
        <v>29.20222771278274</v>
      </c>
      <c r="BM18">
        <v>19063.21425090457</v>
      </c>
      <c r="BN18">
        <v>7.2612576927197221</v>
      </c>
      <c r="BO18">
        <v>4740.1490218074341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1.2433022259566648</v>
      </c>
      <c r="CK18">
        <v>811.62769310451074</v>
      </c>
      <c r="CL18">
        <v>5.7465061697077813</v>
      </c>
      <c r="CM18">
        <v>3751.3192275852393</v>
      </c>
      <c r="CN18">
        <v>4.1829669335981698</v>
      </c>
      <c r="CO18">
        <v>2730.6408142528849</v>
      </c>
      <c r="CP18">
        <v>5</v>
      </c>
      <c r="CQ18">
        <v>3264</v>
      </c>
      <c r="CR18">
        <v>6</v>
      </c>
      <c r="CS18">
        <v>3916.7999999999997</v>
      </c>
      <c r="CT18">
        <v>5</v>
      </c>
      <c r="CU18">
        <v>3264</v>
      </c>
    </row>
    <row r="19" spans="2:99" x14ac:dyDescent="0.2">
      <c r="C19" s="105" t="s">
        <v>185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1.9154586955449029</v>
      </c>
      <c r="BE19">
        <v>632.10136952981793</v>
      </c>
      <c r="BF19">
        <v>0.54448346648780599</v>
      </c>
      <c r="BG19">
        <v>179.67954394097598</v>
      </c>
      <c r="BH19">
        <v>32.604319653035304</v>
      </c>
      <c r="BI19">
        <v>10759.42548550165</v>
      </c>
      <c r="BJ19">
        <v>11.568406520892481</v>
      </c>
      <c r="BK19">
        <v>3817.5741518945188</v>
      </c>
      <c r="BL19">
        <v>28.745942904770512</v>
      </c>
      <c r="BM19">
        <v>9486.1611585742685</v>
      </c>
      <c r="BN19">
        <v>8.9209737367699447</v>
      </c>
      <c r="BO19">
        <v>2943.9213331340816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1.3563297010436344</v>
      </c>
      <c r="CK19">
        <v>447.58880134439937</v>
      </c>
      <c r="CL19">
        <v>6.3211567866785598</v>
      </c>
      <c r="CM19">
        <v>2085.9817396039248</v>
      </c>
      <c r="CN19">
        <v>4.1829669335981698</v>
      </c>
      <c r="CO19">
        <v>1380.379088087396</v>
      </c>
      <c r="CP19">
        <v>6</v>
      </c>
      <c r="CQ19">
        <v>1980</v>
      </c>
      <c r="CR19">
        <v>7</v>
      </c>
      <c r="CS19">
        <v>2310</v>
      </c>
      <c r="CT19">
        <v>6</v>
      </c>
      <c r="CU19">
        <v>1980</v>
      </c>
    </row>
    <row r="20" spans="2:99" x14ac:dyDescent="0.2">
      <c r="B20" s="105" t="s">
        <v>127</v>
      </c>
      <c r="C20" s="105" t="s">
        <v>186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6.0656192025588593</v>
      </c>
      <c r="BE20">
        <v>1739.6195872938808</v>
      </c>
      <c r="BF20">
        <v>2.3957272525463464</v>
      </c>
      <c r="BG20">
        <v>687.09457603029216</v>
      </c>
      <c r="BH20">
        <v>11.856116237467383</v>
      </c>
      <c r="BI20">
        <v>3400.3341369056457</v>
      </c>
      <c r="BJ20">
        <v>5.2583666004056733</v>
      </c>
      <c r="BK20">
        <v>1508.0995409963471</v>
      </c>
      <c r="BL20">
        <v>10.038265776269066</v>
      </c>
      <c r="BM20">
        <v>2878.9746246339682</v>
      </c>
      <c r="BN20">
        <v>4.5642191211381116</v>
      </c>
      <c r="BO20">
        <v>1309.0180439424105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1.1302747508696951</v>
      </c>
      <c r="CK20">
        <v>324.16279854942854</v>
      </c>
      <c r="CL20">
        <v>6.3211567866785598</v>
      </c>
      <c r="CM20">
        <v>1812.907766419411</v>
      </c>
      <c r="CN20">
        <v>9.2025272539159726</v>
      </c>
      <c r="CO20">
        <v>2639.2848164231009</v>
      </c>
      <c r="CP20">
        <v>10</v>
      </c>
      <c r="CQ20">
        <v>2868</v>
      </c>
      <c r="CR20">
        <v>12</v>
      </c>
      <c r="CS20">
        <v>3441.6000000000004</v>
      </c>
      <c r="CT20">
        <v>9</v>
      </c>
      <c r="CU20">
        <v>2581.2000000000003</v>
      </c>
    </row>
    <row r="21" spans="2:99" x14ac:dyDescent="0.2">
      <c r="C21" s="105" t="s">
        <v>187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7.3425916662554611</v>
      </c>
      <c r="BE21">
        <v>458.17771997434079</v>
      </c>
      <c r="BF21">
        <v>2.9402107190341527</v>
      </c>
      <c r="BG21">
        <v>183.46914886773112</v>
      </c>
      <c r="BH21">
        <v>10.077698801847275</v>
      </c>
      <c r="BI21">
        <v>628.84840523526987</v>
      </c>
      <c r="BJ21">
        <v>5.7842032604462403</v>
      </c>
      <c r="BK21">
        <v>360.93428345184537</v>
      </c>
      <c r="BL21">
        <v>9.5819809682568362</v>
      </c>
      <c r="BM21">
        <v>597.91561241922659</v>
      </c>
      <c r="BN21">
        <v>4.5642191211381116</v>
      </c>
      <c r="BO21">
        <v>284.80727315901817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1.0172472757827258</v>
      </c>
      <c r="CK21">
        <v>63.476230008842087</v>
      </c>
      <c r="CL21">
        <v>6.3211567866785598</v>
      </c>
      <c r="CM21">
        <v>394.44018348874215</v>
      </c>
      <c r="CN21">
        <v>10.039120640635607</v>
      </c>
      <c r="CO21">
        <v>626.44112797566186</v>
      </c>
      <c r="CP21">
        <v>10</v>
      </c>
      <c r="CQ21">
        <v>624</v>
      </c>
      <c r="CR21">
        <v>11</v>
      </c>
      <c r="CS21">
        <v>686.4</v>
      </c>
      <c r="CT21">
        <v>9</v>
      </c>
      <c r="CU21">
        <v>561.6</v>
      </c>
    </row>
    <row r="22" spans="2:99" x14ac:dyDescent="0.2">
      <c r="C22" s="105" t="s">
        <v>188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6.0656192025588593</v>
      </c>
      <c r="BE22">
        <v>1135.4839147190185</v>
      </c>
      <c r="BF22">
        <v>2.3957272525463464</v>
      </c>
      <c r="BG22">
        <v>448.480141676676</v>
      </c>
      <c r="BH22">
        <v>11.856116237467383</v>
      </c>
      <c r="BI22">
        <v>2219.4649596538939</v>
      </c>
      <c r="BJ22">
        <v>6.3100399204868083</v>
      </c>
      <c r="BK22">
        <v>1181.2394731151305</v>
      </c>
      <c r="BL22">
        <v>10.494550584281297</v>
      </c>
      <c r="BM22">
        <v>1964.5798693774589</v>
      </c>
      <c r="BN22">
        <v>4.5642191211381116</v>
      </c>
      <c r="BO22">
        <v>854.42181947705444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1.0172472757827258</v>
      </c>
      <c r="CK22">
        <v>190.42869002652625</v>
      </c>
      <c r="CL22">
        <v>6.3211567866785598</v>
      </c>
      <c r="CM22">
        <v>1183.3205504662262</v>
      </c>
      <c r="CN22">
        <v>8.3659338671963397</v>
      </c>
      <c r="CO22">
        <v>1566.1028199391546</v>
      </c>
      <c r="CP22">
        <v>11</v>
      </c>
      <c r="CQ22">
        <v>2059.1999999999998</v>
      </c>
      <c r="CR22">
        <v>11</v>
      </c>
      <c r="CS22">
        <v>2059.1999999999998</v>
      </c>
      <c r="CT22">
        <v>9</v>
      </c>
      <c r="CU22">
        <v>1684.8</v>
      </c>
    </row>
    <row r="23" spans="2:99" x14ac:dyDescent="0.2">
      <c r="C23" s="105" t="s">
        <v>189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6.7041054344071602</v>
      </c>
      <c r="BE23">
        <v>1971.0069977157052</v>
      </c>
      <c r="BF23">
        <v>2.7224173324390302</v>
      </c>
      <c r="BG23">
        <v>800.39069573707491</v>
      </c>
      <c r="BH23">
        <v>10.670504613720643</v>
      </c>
      <c r="BI23">
        <v>3137.1283564338692</v>
      </c>
      <c r="BJ23">
        <v>5.2583666004056733</v>
      </c>
      <c r="BK23">
        <v>1545.959780519268</v>
      </c>
      <c r="BL23">
        <v>10.038265776269066</v>
      </c>
      <c r="BM23">
        <v>2951.2501382231053</v>
      </c>
      <c r="BN23">
        <v>4.7716836266443883</v>
      </c>
      <c r="BO23">
        <v>1402.87498623345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1.1302747508696951</v>
      </c>
      <c r="CK23">
        <v>332.30077675569038</v>
      </c>
      <c r="CL23">
        <v>5.7465061697077813</v>
      </c>
      <c r="CM23">
        <v>1689.4728138940877</v>
      </c>
      <c r="CN23">
        <v>8.3659338671963397</v>
      </c>
      <c r="CO23">
        <v>2459.5845569557237</v>
      </c>
      <c r="CP23">
        <v>11</v>
      </c>
      <c r="CQ23">
        <v>3234</v>
      </c>
      <c r="CR23">
        <v>12</v>
      </c>
      <c r="CS23">
        <v>3528</v>
      </c>
      <c r="CT23">
        <v>9</v>
      </c>
      <c r="CU23">
        <v>2646</v>
      </c>
    </row>
    <row r="24" spans="2:99" x14ac:dyDescent="0.2">
      <c r="C24" s="105" t="s">
        <v>190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6.0656192025588593</v>
      </c>
      <c r="BE24">
        <v>2227.2953711796131</v>
      </c>
      <c r="BF24">
        <v>2.5046239458439072</v>
      </c>
      <c r="BG24">
        <v>919.69791291388276</v>
      </c>
      <c r="BH24">
        <v>10.077698801847275</v>
      </c>
      <c r="BI24">
        <v>3700.5310000383192</v>
      </c>
      <c r="BJ24">
        <v>5.7842032604462403</v>
      </c>
      <c r="BK24">
        <v>2123.9594372358592</v>
      </c>
      <c r="BL24">
        <v>9.5819809682568362</v>
      </c>
      <c r="BM24">
        <v>3518.5034115439103</v>
      </c>
      <c r="BN24">
        <v>4.3567546156318331</v>
      </c>
      <c r="BO24">
        <v>1599.800294860009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1.1302747508696951</v>
      </c>
      <c r="CK24">
        <v>415.03688851935203</v>
      </c>
      <c r="CL24">
        <v>5.7465061697077813</v>
      </c>
      <c r="CM24">
        <v>2110.117065516697</v>
      </c>
      <c r="CN24">
        <v>10.039120640635607</v>
      </c>
      <c r="CO24">
        <v>3686.365099241395</v>
      </c>
      <c r="CP24">
        <v>10</v>
      </c>
      <c r="CQ24">
        <v>3672</v>
      </c>
      <c r="CR24">
        <v>13</v>
      </c>
      <c r="CS24">
        <v>4773.5999999999995</v>
      </c>
      <c r="CT24">
        <v>8</v>
      </c>
      <c r="CU24">
        <v>2937.6</v>
      </c>
    </row>
    <row r="25" spans="2:99" x14ac:dyDescent="0.2">
      <c r="C25" s="105" t="s">
        <v>191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6.0656192025588593</v>
      </c>
      <c r="BE25">
        <v>3217.2044250372187</v>
      </c>
      <c r="BF25">
        <v>2.5046239458439072</v>
      </c>
      <c r="BG25">
        <v>1328.4525408756083</v>
      </c>
      <c r="BH25">
        <v>10.077698801847275</v>
      </c>
      <c r="BI25">
        <v>5345.2114444997942</v>
      </c>
      <c r="BJ25">
        <v>5.7842032604462403</v>
      </c>
      <c r="BK25">
        <v>3067.9414093406858</v>
      </c>
      <c r="BL25">
        <v>9.5819809682568362</v>
      </c>
      <c r="BM25">
        <v>5082.2827055634261</v>
      </c>
      <c r="BN25">
        <v>4.5642191211381116</v>
      </c>
      <c r="BO25">
        <v>2420.8618218516544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1.0172472757827258</v>
      </c>
      <c r="CK25">
        <v>539.54795507515769</v>
      </c>
      <c r="CL25">
        <v>5.7465061697077813</v>
      </c>
      <c r="CM25">
        <v>3047.946872413007</v>
      </c>
      <c r="CN25">
        <v>9.2025272539159726</v>
      </c>
      <c r="CO25">
        <v>4881.0204554770316</v>
      </c>
      <c r="CP25">
        <v>10</v>
      </c>
      <c r="CQ25">
        <v>5304</v>
      </c>
      <c r="CR25">
        <v>12</v>
      </c>
      <c r="CS25">
        <v>6364.7999999999993</v>
      </c>
      <c r="CT25">
        <v>9</v>
      </c>
      <c r="CU25">
        <v>4773.5999999999995</v>
      </c>
    </row>
    <row r="26" spans="2:99" x14ac:dyDescent="0.2">
      <c r="C26" s="105" t="s">
        <v>192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5.7463760866347089</v>
      </c>
      <c r="BE26">
        <v>2792.7387781044686</v>
      </c>
      <c r="BF26">
        <v>2.7224173324390302</v>
      </c>
      <c r="BG26">
        <v>1323.0948235653686</v>
      </c>
      <c r="BH26">
        <v>10.077698801847275</v>
      </c>
      <c r="BI26">
        <v>4897.7616176977754</v>
      </c>
      <c r="BJ26">
        <v>5.5212849304259564</v>
      </c>
      <c r="BK26">
        <v>2683.3444761870146</v>
      </c>
      <c r="BL26">
        <v>9.1256961602446065</v>
      </c>
      <c r="BM26">
        <v>4435.088333878879</v>
      </c>
      <c r="BN26">
        <v>4.1492901101255555</v>
      </c>
      <c r="BO26">
        <v>2016.5549935210199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1.2433022259566648</v>
      </c>
      <c r="CK26">
        <v>604.24488181493916</v>
      </c>
      <c r="CL26">
        <v>6.3211567866785598</v>
      </c>
      <c r="CM26">
        <v>3072.0821983257802</v>
      </c>
      <c r="CN26">
        <v>10.039120640635607</v>
      </c>
      <c r="CO26">
        <v>4879.0126313489054</v>
      </c>
      <c r="CP26">
        <v>10</v>
      </c>
      <c r="CQ26">
        <v>4860</v>
      </c>
      <c r="CR26">
        <v>11</v>
      </c>
      <c r="CS26">
        <v>5346</v>
      </c>
      <c r="CT26">
        <v>10</v>
      </c>
      <c r="CU26">
        <v>4860</v>
      </c>
    </row>
    <row r="27" spans="2:99" x14ac:dyDescent="0.2">
      <c r="C27" s="105" t="s">
        <v>193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6.7041054344071602</v>
      </c>
      <c r="BE27">
        <v>2863.9938415787387</v>
      </c>
      <c r="BF27">
        <v>2.3957272525463464</v>
      </c>
      <c r="BG27">
        <v>1023.4546822877992</v>
      </c>
      <c r="BH27">
        <v>11.856116237467383</v>
      </c>
      <c r="BI27">
        <v>5064.9328566460654</v>
      </c>
      <c r="BJ27">
        <v>5.5212849304259564</v>
      </c>
      <c r="BK27">
        <v>2358.6929222779686</v>
      </c>
      <c r="BL27">
        <v>8.669411352232375</v>
      </c>
      <c r="BM27">
        <v>3703.5725296736705</v>
      </c>
      <c r="BN27">
        <v>4.3567546156318331</v>
      </c>
      <c r="BO27">
        <v>1861.205571797919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1.1302747508696951</v>
      </c>
      <c r="CK27">
        <v>482.85337357153372</v>
      </c>
      <c r="CL27">
        <v>5.7465061697077813</v>
      </c>
      <c r="CM27">
        <v>2454.9074356991641</v>
      </c>
      <c r="CN27">
        <v>9.2025272539159726</v>
      </c>
      <c r="CO27">
        <v>3931.3196428729034</v>
      </c>
      <c r="CP27">
        <v>11</v>
      </c>
      <c r="CQ27">
        <v>4699.2</v>
      </c>
      <c r="CR27">
        <v>13</v>
      </c>
      <c r="CS27">
        <v>5553.5999999999995</v>
      </c>
      <c r="CT27">
        <v>9</v>
      </c>
      <c r="CU27">
        <v>3844.7999999999997</v>
      </c>
    </row>
    <row r="28" spans="2:99" x14ac:dyDescent="0.2">
      <c r="C28" s="105" t="s">
        <v>194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6.0656192025588593</v>
      </c>
      <c r="BE28">
        <v>4476.4269714884385</v>
      </c>
      <c r="BF28">
        <v>2.5046239458439072</v>
      </c>
      <c r="BG28">
        <v>1848.4124720328036</v>
      </c>
      <c r="BH28">
        <v>11.263310425594014</v>
      </c>
      <c r="BI28">
        <v>8312.3230940883823</v>
      </c>
      <c r="BJ28">
        <v>5.7842032604462403</v>
      </c>
      <c r="BK28">
        <v>4268.7420062093252</v>
      </c>
      <c r="BL28">
        <v>10.038265776269066</v>
      </c>
      <c r="BM28">
        <v>7408.2401428865705</v>
      </c>
      <c r="BN28">
        <v>4.3567546156318331</v>
      </c>
      <c r="BO28">
        <v>3215.2849063362928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1.1302747508696951</v>
      </c>
      <c r="CK28">
        <v>834.14276614183495</v>
      </c>
      <c r="CL28">
        <v>5.7465061697077813</v>
      </c>
      <c r="CM28">
        <v>4240.9215532443422</v>
      </c>
      <c r="CN28">
        <v>9.2025272539159726</v>
      </c>
      <c r="CO28">
        <v>6791.4651133899879</v>
      </c>
      <c r="CP28">
        <v>10</v>
      </c>
      <c r="CQ28">
        <v>7380</v>
      </c>
      <c r="CR28">
        <v>11</v>
      </c>
      <c r="CS28">
        <v>8118</v>
      </c>
      <c r="CT28">
        <v>10</v>
      </c>
      <c r="CU28">
        <v>7380</v>
      </c>
    </row>
    <row r="29" spans="2:99" x14ac:dyDescent="0.2">
      <c r="C29" s="105" t="s">
        <v>195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6.7041054344071602</v>
      </c>
      <c r="BE29">
        <v>2268.6692790033831</v>
      </c>
      <c r="BF29">
        <v>2.6135206391414689</v>
      </c>
      <c r="BG29">
        <v>884.41538428547301</v>
      </c>
      <c r="BH29">
        <v>11.856116237467383</v>
      </c>
      <c r="BI29">
        <v>4012.1097347589621</v>
      </c>
      <c r="BJ29">
        <v>6.3100399204868083</v>
      </c>
      <c r="BK29">
        <v>2135.3175090927357</v>
      </c>
      <c r="BL29">
        <v>9.1256961602446065</v>
      </c>
      <c r="BM29">
        <v>3088.1355806267748</v>
      </c>
      <c r="BN29">
        <v>4.7716836266443883</v>
      </c>
      <c r="BO29">
        <v>1614.7377392564608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1.2433022259566648</v>
      </c>
      <c r="CK29">
        <v>420.73347326373533</v>
      </c>
      <c r="CL29">
        <v>5.7465061697077813</v>
      </c>
      <c r="CM29">
        <v>1944.617687829113</v>
      </c>
      <c r="CN29">
        <v>8.3659338671963397</v>
      </c>
      <c r="CO29">
        <v>2831.032020659241</v>
      </c>
      <c r="CP29">
        <v>9</v>
      </c>
      <c r="CQ29">
        <v>3045.6</v>
      </c>
      <c r="CR29">
        <v>12</v>
      </c>
      <c r="CS29">
        <v>4060.7999999999997</v>
      </c>
      <c r="CT29">
        <v>9</v>
      </c>
      <c r="CU29">
        <v>3045.6</v>
      </c>
    </row>
    <row r="30" spans="2:99" x14ac:dyDescent="0.2">
      <c r="C30" s="105" t="s">
        <v>196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6.7041054344071602</v>
      </c>
      <c r="BE30">
        <v>933.21147646947668</v>
      </c>
      <c r="BF30">
        <v>2.3957272525463464</v>
      </c>
      <c r="BG30">
        <v>333.48523355445138</v>
      </c>
      <c r="BH30">
        <v>11.263310425594014</v>
      </c>
      <c r="BI30">
        <v>1567.8528112426866</v>
      </c>
      <c r="BJ30">
        <v>6.0471215904665234</v>
      </c>
      <c r="BK30">
        <v>841.75932539294001</v>
      </c>
      <c r="BL30">
        <v>10.038265776269066</v>
      </c>
      <c r="BM30">
        <v>1397.3265960566539</v>
      </c>
      <c r="BN30">
        <v>4.3567546156318331</v>
      </c>
      <c r="BO30">
        <v>606.46024249595109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1.2433022259566648</v>
      </c>
      <c r="CK30">
        <v>173.06766985316773</v>
      </c>
      <c r="CL30">
        <v>6.3211567866785598</v>
      </c>
      <c r="CM30">
        <v>879.90502470565548</v>
      </c>
      <c r="CN30">
        <v>9.2025272539159726</v>
      </c>
      <c r="CO30">
        <v>1280.9917937451032</v>
      </c>
      <c r="CP30">
        <v>10</v>
      </c>
      <c r="CQ30">
        <v>1392</v>
      </c>
      <c r="CR30">
        <v>12</v>
      </c>
      <c r="CS30">
        <v>1670.3999999999999</v>
      </c>
      <c r="CT30">
        <v>10</v>
      </c>
      <c r="CU30">
        <v>1392</v>
      </c>
    </row>
    <row r="31" spans="2:99" x14ac:dyDescent="0.2">
      <c r="C31" s="105" t="s">
        <v>197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7.0233485503313098</v>
      </c>
      <c r="BE31">
        <v>2393.5571859529105</v>
      </c>
      <c r="BF31">
        <v>2.831314025736591</v>
      </c>
      <c r="BG31">
        <v>964.91181997103024</v>
      </c>
      <c r="BH31">
        <v>11.263310425594014</v>
      </c>
      <c r="BI31">
        <v>3838.5361930424401</v>
      </c>
      <c r="BJ31">
        <v>5.5212849304259564</v>
      </c>
      <c r="BK31">
        <v>1881.6539042891659</v>
      </c>
      <c r="BL31">
        <v>9.1256961602446065</v>
      </c>
      <c r="BM31">
        <v>3110.0372514113619</v>
      </c>
      <c r="BN31">
        <v>4.5642191211381116</v>
      </c>
      <c r="BO31">
        <v>1555.4858764838684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1.1302747508696951</v>
      </c>
      <c r="CK31">
        <v>385.1976350963921</v>
      </c>
      <c r="CL31">
        <v>5.7465061697077813</v>
      </c>
      <c r="CM31">
        <v>1958.4093026364119</v>
      </c>
      <c r="CN31">
        <v>9.2025272539159726</v>
      </c>
      <c r="CO31">
        <v>3136.2212881345636</v>
      </c>
      <c r="CP31">
        <v>10</v>
      </c>
      <c r="CQ31">
        <v>3408</v>
      </c>
      <c r="CR31">
        <v>13</v>
      </c>
      <c r="CS31">
        <v>4430.4000000000005</v>
      </c>
      <c r="CT31">
        <v>10</v>
      </c>
      <c r="CU31">
        <v>3408</v>
      </c>
    </row>
    <row r="32" spans="2:99" x14ac:dyDescent="0.2">
      <c r="C32" s="105" t="s">
        <v>198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5.7463760866347089</v>
      </c>
      <c r="BE32">
        <v>4826.9559127731554</v>
      </c>
      <c r="BF32">
        <v>2.6135206391414689</v>
      </c>
      <c r="BG32">
        <v>2195.3573368788338</v>
      </c>
      <c r="BH32">
        <v>11.263310425594014</v>
      </c>
      <c r="BI32">
        <v>9461.1807574989725</v>
      </c>
      <c r="BJ32">
        <v>5.2583666004056733</v>
      </c>
      <c r="BK32">
        <v>4417.0279443407653</v>
      </c>
      <c r="BL32">
        <v>8.669411352232375</v>
      </c>
      <c r="BM32">
        <v>7282.3055358751953</v>
      </c>
      <c r="BN32">
        <v>4.1492901101255555</v>
      </c>
      <c r="BO32">
        <v>3485.4036925054666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1.0172472757827258</v>
      </c>
      <c r="CK32">
        <v>854.48771165748963</v>
      </c>
      <c r="CL32">
        <v>5.7465061697077813</v>
      </c>
      <c r="CM32">
        <v>4827.0651825545365</v>
      </c>
      <c r="CN32">
        <v>9.2025272539159726</v>
      </c>
      <c r="CO32">
        <v>7730.1228932894173</v>
      </c>
      <c r="CP32">
        <v>10</v>
      </c>
      <c r="CQ32">
        <v>8400</v>
      </c>
      <c r="CR32">
        <v>11</v>
      </c>
      <c r="CS32">
        <v>9240</v>
      </c>
      <c r="CT32">
        <v>10</v>
      </c>
      <c r="CU32">
        <v>8400</v>
      </c>
    </row>
    <row r="33" spans="2:99" x14ac:dyDescent="0.2">
      <c r="C33" s="105" t="s">
        <v>199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6.0656192025588593</v>
      </c>
      <c r="BE33">
        <v>2875.1035020128993</v>
      </c>
      <c r="BF33">
        <v>2.2868305592487852</v>
      </c>
      <c r="BG33">
        <v>1083.9576850839242</v>
      </c>
      <c r="BH33">
        <v>11.263310425594014</v>
      </c>
      <c r="BI33">
        <v>5338.8091417315627</v>
      </c>
      <c r="BJ33">
        <v>5.2583666004056733</v>
      </c>
      <c r="BK33">
        <v>2492.4657685922894</v>
      </c>
      <c r="BL33">
        <v>9.1256961602446065</v>
      </c>
      <c r="BM33">
        <v>4325.5799799559436</v>
      </c>
      <c r="BN33">
        <v>4.3567546156318331</v>
      </c>
      <c r="BO33">
        <v>2065.1016878094888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1.1302747508696951</v>
      </c>
      <c r="CK33">
        <v>535.75023191223545</v>
      </c>
      <c r="CL33">
        <v>6.3211567866785598</v>
      </c>
      <c r="CM33">
        <v>2996.2283168856375</v>
      </c>
      <c r="CN33">
        <v>9.2025272539159726</v>
      </c>
      <c r="CO33">
        <v>4361.9979183561709</v>
      </c>
      <c r="CP33">
        <v>11</v>
      </c>
      <c r="CQ33">
        <v>5214</v>
      </c>
      <c r="CR33">
        <v>11</v>
      </c>
      <c r="CS33">
        <v>5214</v>
      </c>
      <c r="CT33">
        <v>10</v>
      </c>
      <c r="CU33">
        <v>4740</v>
      </c>
    </row>
    <row r="34" spans="2:99" x14ac:dyDescent="0.2">
      <c r="C34" s="105" t="s">
        <v>200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6.3848623184830098</v>
      </c>
      <c r="BE34">
        <v>3501.4584954560823</v>
      </c>
      <c r="BF34">
        <v>2.7224173324390302</v>
      </c>
      <c r="BG34">
        <v>1492.9736651095641</v>
      </c>
      <c r="BH34">
        <v>10.670504613720643</v>
      </c>
      <c r="BI34">
        <v>5851.7047301644006</v>
      </c>
      <c r="BJ34">
        <v>5.7842032604462403</v>
      </c>
      <c r="BK34">
        <v>3172.0570680287183</v>
      </c>
      <c r="BL34">
        <v>10.038265776269066</v>
      </c>
      <c r="BM34">
        <v>5504.9849517059556</v>
      </c>
      <c r="BN34">
        <v>4.3567546156318331</v>
      </c>
      <c r="BO34">
        <v>2389.2442312124972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1.0172472757827258</v>
      </c>
      <c r="CK34">
        <v>557.8584060392468</v>
      </c>
      <c r="CL34">
        <v>5.7465061697077813</v>
      </c>
      <c r="CM34">
        <v>3151.3839834677469</v>
      </c>
      <c r="CN34">
        <v>9.2025272539159726</v>
      </c>
      <c r="CO34">
        <v>5046.6659460475194</v>
      </c>
      <c r="CP34">
        <v>9</v>
      </c>
      <c r="CQ34">
        <v>4935.5999999999995</v>
      </c>
      <c r="CR34">
        <v>13</v>
      </c>
      <c r="CS34">
        <v>7129.2</v>
      </c>
      <c r="CT34">
        <v>9</v>
      </c>
      <c r="CU34">
        <v>4935.5999999999995</v>
      </c>
    </row>
    <row r="35" spans="2:99" x14ac:dyDescent="0.2">
      <c r="C35" s="105" t="s">
        <v>201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7.0233485503313098</v>
      </c>
      <c r="BE35">
        <v>3531.3396511065816</v>
      </c>
      <c r="BF35">
        <v>2.7224173324390302</v>
      </c>
      <c r="BG35">
        <v>1368.831434750344</v>
      </c>
      <c r="BH35">
        <v>10.077698801847275</v>
      </c>
      <c r="BI35">
        <v>5067.0669575688089</v>
      </c>
      <c r="BJ35">
        <v>5.5212849304259564</v>
      </c>
      <c r="BK35">
        <v>2776.1020630181702</v>
      </c>
      <c r="BL35">
        <v>9.5819809682568362</v>
      </c>
      <c r="BM35">
        <v>4817.8200308395362</v>
      </c>
      <c r="BN35">
        <v>3.9418256046192774</v>
      </c>
      <c r="BO35">
        <v>1981.9499140025723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1.1302747508696951</v>
      </c>
      <c r="CK35">
        <v>568.30214473728256</v>
      </c>
      <c r="CL35">
        <v>6.3211567866785598</v>
      </c>
      <c r="CM35">
        <v>3178.2776323419794</v>
      </c>
      <c r="CN35">
        <v>8.3659338671963397</v>
      </c>
      <c r="CO35">
        <v>4206.3915484263189</v>
      </c>
      <c r="CP35">
        <v>11</v>
      </c>
      <c r="CQ35">
        <v>5530.7999999999993</v>
      </c>
      <c r="CR35">
        <v>12</v>
      </c>
      <c r="CS35">
        <v>6033.5999999999985</v>
      </c>
      <c r="CT35">
        <v>9</v>
      </c>
      <c r="CU35">
        <v>4525.1999999999989</v>
      </c>
    </row>
    <row r="36" spans="2:99" x14ac:dyDescent="0.2">
      <c r="C36" s="105" t="s">
        <v>202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6.0656192025588593</v>
      </c>
      <c r="BE36">
        <v>4614.7230893067799</v>
      </c>
      <c r="BF36">
        <v>2.3957272525463464</v>
      </c>
      <c r="BG36">
        <v>1822.6692937372602</v>
      </c>
      <c r="BH36">
        <v>11.263310425594014</v>
      </c>
      <c r="BI36">
        <v>8569.126571791925</v>
      </c>
      <c r="BJ36">
        <v>5.7842032604462403</v>
      </c>
      <c r="BK36">
        <v>4400.6218405474992</v>
      </c>
      <c r="BL36">
        <v>10.038265776269066</v>
      </c>
      <c r="BM36">
        <v>7637.1126025855046</v>
      </c>
      <c r="BN36">
        <v>4.5642191211381116</v>
      </c>
      <c r="BO36">
        <v>3472.4579073618752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1.0172472757827258</v>
      </c>
      <c r="CK36">
        <v>773.92172741549768</v>
      </c>
      <c r="CL36">
        <v>6.3211567866785598</v>
      </c>
      <c r="CM36">
        <v>4809.1360833050485</v>
      </c>
      <c r="CN36">
        <v>10.039120640635607</v>
      </c>
      <c r="CO36">
        <v>7637.7629833955698</v>
      </c>
      <c r="CP36">
        <v>10</v>
      </c>
      <c r="CQ36">
        <v>7608</v>
      </c>
      <c r="CR36">
        <v>13</v>
      </c>
      <c r="CS36">
        <v>9890.4</v>
      </c>
      <c r="CT36">
        <v>9</v>
      </c>
      <c r="CU36">
        <v>6847.2</v>
      </c>
    </row>
    <row r="37" spans="2:99" x14ac:dyDescent="0.2">
      <c r="B37" s="105" t="s">
        <v>128</v>
      </c>
      <c r="C37" s="105" t="s">
        <v>203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1.5962155796207524</v>
      </c>
      <c r="BE37">
        <v>1373.3838847056954</v>
      </c>
      <c r="BF37">
        <v>0.98007023967805085</v>
      </c>
      <c r="BG37">
        <v>843.25243421899495</v>
      </c>
      <c r="BH37">
        <v>5.3352523068603217</v>
      </c>
      <c r="BI37">
        <v>4590.4510848226209</v>
      </c>
      <c r="BJ37">
        <v>2.6291833002028366</v>
      </c>
      <c r="BK37">
        <v>2262.1493114945206</v>
      </c>
      <c r="BL37">
        <v>3.1939936560856124</v>
      </c>
      <c r="BM37">
        <v>2748.1121416960609</v>
      </c>
      <c r="BN37">
        <v>1.4522515385439443</v>
      </c>
      <c r="BO37">
        <v>1249.5172237632096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0.79119232560878672</v>
      </c>
      <c r="CK37">
        <v>680.7418769538001</v>
      </c>
      <c r="CL37">
        <v>2.8732530848538906</v>
      </c>
      <c r="CM37">
        <v>2472.1469542082873</v>
      </c>
      <c r="CN37">
        <v>42.666262722701333</v>
      </c>
      <c r="CO37">
        <v>36710.05244661223</v>
      </c>
      <c r="CP37">
        <v>58</v>
      </c>
      <c r="CQ37">
        <v>49903.199999999997</v>
      </c>
      <c r="CR37">
        <v>32</v>
      </c>
      <c r="CS37">
        <v>27532.799999999999</v>
      </c>
      <c r="CT37">
        <v>43</v>
      </c>
      <c r="CU37">
        <v>36997.199999999997</v>
      </c>
    </row>
    <row r="38" spans="2:99" x14ac:dyDescent="0.2">
      <c r="C38" s="105" t="s">
        <v>204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1.5962155796207524</v>
      </c>
      <c r="BE38">
        <v>1982.4997498889745</v>
      </c>
      <c r="BF38">
        <v>0.87117354638048961</v>
      </c>
      <c r="BG38">
        <v>1081.997544604568</v>
      </c>
      <c r="BH38">
        <v>4.7424464949869529</v>
      </c>
      <c r="BI38">
        <v>5890.118546773796</v>
      </c>
      <c r="BJ38">
        <v>2.6291833002028366</v>
      </c>
      <c r="BK38">
        <v>3265.4456588519233</v>
      </c>
      <c r="BL38">
        <v>3.1939936560856124</v>
      </c>
      <c r="BM38">
        <v>3966.9401208583304</v>
      </c>
      <c r="BN38">
        <v>1.2447870330376667</v>
      </c>
      <c r="BO38">
        <v>1546.0254950327819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0.90421980069575625</v>
      </c>
      <c r="CK38">
        <v>1123.0409924641292</v>
      </c>
      <c r="CL38">
        <v>3.4479037018246688</v>
      </c>
      <c r="CM38">
        <v>4282.2963976662386</v>
      </c>
      <c r="CN38">
        <v>39.319889175822794</v>
      </c>
      <c r="CO38">
        <v>48835.302356371911</v>
      </c>
      <c r="CP38">
        <v>53</v>
      </c>
      <c r="CQ38">
        <v>65826</v>
      </c>
      <c r="CR38">
        <v>31</v>
      </c>
      <c r="CS38">
        <v>38502</v>
      </c>
      <c r="CT38">
        <v>41</v>
      </c>
      <c r="CU38">
        <v>50922</v>
      </c>
    </row>
    <row r="39" spans="2:99" x14ac:dyDescent="0.2">
      <c r="C39" s="105" t="s">
        <v>205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1.5962155796207524</v>
      </c>
      <c r="BE39">
        <v>2271.7340129162549</v>
      </c>
      <c r="BF39">
        <v>0.87117354638048961</v>
      </c>
      <c r="BG39">
        <v>1239.8541912087128</v>
      </c>
      <c r="BH39">
        <v>4.7424464949869529</v>
      </c>
      <c r="BI39">
        <v>6749.4498516654312</v>
      </c>
      <c r="BJ39">
        <v>2.1033466401622691</v>
      </c>
      <c r="BK39">
        <v>2993.4829382789417</v>
      </c>
      <c r="BL39">
        <v>3.1939936560856124</v>
      </c>
      <c r="BM39">
        <v>4545.6917713410439</v>
      </c>
      <c r="BN39">
        <v>1.2447870330376667</v>
      </c>
      <c r="BO39">
        <v>1771.5809054192073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0.90421980069575625</v>
      </c>
      <c r="CK39">
        <v>1286.8856203502003</v>
      </c>
      <c r="CL39">
        <v>2.8732530848538906</v>
      </c>
      <c r="CM39">
        <v>4089.2137903640573</v>
      </c>
      <c r="CN39">
        <v>39.319889175822794</v>
      </c>
      <c r="CO39">
        <v>55960.066275031</v>
      </c>
      <c r="CP39">
        <v>56</v>
      </c>
      <c r="CQ39">
        <v>79699.199999999997</v>
      </c>
      <c r="CR39">
        <v>34</v>
      </c>
      <c r="CS39">
        <v>48388.800000000003</v>
      </c>
      <c r="CT39">
        <v>37</v>
      </c>
      <c r="CU39">
        <v>52658.400000000001</v>
      </c>
    </row>
    <row r="40" spans="2:99" x14ac:dyDescent="0.2">
      <c r="C40" s="105" t="s">
        <v>206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1.5962155796207524</v>
      </c>
      <c r="BE40">
        <v>1156.9370521091214</v>
      </c>
      <c r="BF40">
        <v>1.088966932975612</v>
      </c>
      <c r="BG40">
        <v>789.28323302072351</v>
      </c>
      <c r="BH40">
        <v>5.3352523068603217</v>
      </c>
      <c r="BI40">
        <v>3866.9908720123608</v>
      </c>
      <c r="BJ40">
        <v>2.8921016302231202</v>
      </c>
      <c r="BK40">
        <v>2096.1952615857172</v>
      </c>
      <c r="BL40">
        <v>2.7377088480733818</v>
      </c>
      <c r="BM40">
        <v>1984.2913730835869</v>
      </c>
      <c r="BN40">
        <v>1.2447870330376667</v>
      </c>
      <c r="BO40">
        <v>902.22164154570078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0.79119232560878672</v>
      </c>
      <c r="CK40">
        <v>573.45619760124862</v>
      </c>
      <c r="CL40">
        <v>3.4479037018246688</v>
      </c>
      <c r="CM40">
        <v>2499.0406030825197</v>
      </c>
      <c r="CN40">
        <v>43.502856109420968</v>
      </c>
      <c r="CO40">
        <v>31530.870108108316</v>
      </c>
      <c r="CP40">
        <v>64</v>
      </c>
      <c r="CQ40">
        <v>46387.199999999997</v>
      </c>
      <c r="CR40">
        <v>34</v>
      </c>
      <c r="CS40">
        <v>24643.199999999997</v>
      </c>
      <c r="CT40">
        <v>46</v>
      </c>
      <c r="CU40">
        <v>33340.799999999996</v>
      </c>
    </row>
    <row r="41" spans="2:99" x14ac:dyDescent="0.2">
      <c r="C41" s="105" t="s">
        <v>207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1.9154586955449029</v>
      </c>
      <c r="BE41">
        <v>1264.2027390596359</v>
      </c>
      <c r="BF41">
        <v>0.98007023967805085</v>
      </c>
      <c r="BG41">
        <v>646.8463581875136</v>
      </c>
      <c r="BH41">
        <v>4.7424464949869529</v>
      </c>
      <c r="BI41">
        <v>3130.0146866913888</v>
      </c>
      <c r="BJ41">
        <v>2.8921016302231202</v>
      </c>
      <c r="BK41">
        <v>1908.7870759472594</v>
      </c>
      <c r="BL41">
        <v>3.1939936560856124</v>
      </c>
      <c r="BM41">
        <v>2108.0358130165041</v>
      </c>
      <c r="BN41">
        <v>1.2447870330376667</v>
      </c>
      <c r="BO41">
        <v>821.55944180486006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0.90421980069575625</v>
      </c>
      <c r="CK41">
        <v>596.78506845919912</v>
      </c>
      <c r="CL41">
        <v>3.4479037018246688</v>
      </c>
      <c r="CM41">
        <v>2275.6164432042815</v>
      </c>
      <c r="CN41">
        <v>39.319889175822794</v>
      </c>
      <c r="CO41">
        <v>25951.126856043044</v>
      </c>
      <c r="CP41">
        <v>67</v>
      </c>
      <c r="CQ41">
        <v>44220</v>
      </c>
      <c r="CR41">
        <v>36</v>
      </c>
      <c r="CS41">
        <v>23760</v>
      </c>
      <c r="CT41">
        <v>42</v>
      </c>
      <c r="CU41">
        <v>27720</v>
      </c>
    </row>
    <row r="42" spans="2:99" x14ac:dyDescent="0.2">
      <c r="C42" s="105" t="s">
        <v>208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1.5962155796207524</v>
      </c>
      <c r="BE42">
        <v>1350.3983803591566</v>
      </c>
      <c r="BF42">
        <v>0.98007023967805085</v>
      </c>
      <c r="BG42">
        <v>829.139422767631</v>
      </c>
      <c r="BH42">
        <v>4.7424464949869529</v>
      </c>
      <c r="BI42">
        <v>4012.1097347589621</v>
      </c>
      <c r="BJ42">
        <v>2.3662649701825527</v>
      </c>
      <c r="BK42">
        <v>2001.8601647744395</v>
      </c>
      <c r="BL42">
        <v>3.1939936560856124</v>
      </c>
      <c r="BM42">
        <v>2702.1186330484279</v>
      </c>
      <c r="BN42">
        <v>1.4522515385439443</v>
      </c>
      <c r="BO42">
        <v>1228.6048016081768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0.90421980069575625</v>
      </c>
      <c r="CK42">
        <v>764.96995138860984</v>
      </c>
      <c r="CL42">
        <v>3.4479037018246688</v>
      </c>
      <c r="CM42">
        <v>2916.9265317436698</v>
      </c>
      <c r="CN42">
        <v>41.829669335981698</v>
      </c>
      <c r="CO42">
        <v>35387.900258240516</v>
      </c>
      <c r="CP42">
        <v>57</v>
      </c>
      <c r="CQ42">
        <v>48222</v>
      </c>
      <c r="CR42">
        <v>33</v>
      </c>
      <c r="CS42">
        <v>27918</v>
      </c>
      <c r="CT42">
        <v>45</v>
      </c>
      <c r="CU42">
        <v>38070</v>
      </c>
    </row>
    <row r="43" spans="2:99" x14ac:dyDescent="0.2">
      <c r="C43" s="105" t="s">
        <v>209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1.5962155796207524</v>
      </c>
      <c r="BE43">
        <v>1631.9708086042572</v>
      </c>
      <c r="BF43">
        <v>0.87117354638048961</v>
      </c>
      <c r="BG43">
        <v>890.6878338194125</v>
      </c>
      <c r="BH43">
        <v>4.7424464949869529</v>
      </c>
      <c r="BI43">
        <v>4848.6772964746606</v>
      </c>
      <c r="BJ43">
        <v>2.6291833002028366</v>
      </c>
      <c r="BK43">
        <v>2688.0770061273802</v>
      </c>
      <c r="BL43">
        <v>2.7377088480733818</v>
      </c>
      <c r="BM43">
        <v>2799.0335262702256</v>
      </c>
      <c r="BN43">
        <v>1.2447870330376667</v>
      </c>
      <c r="BO43">
        <v>1272.6702625777104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0.90421980069575625</v>
      </c>
      <c r="CK43">
        <v>924.47432423134114</v>
      </c>
      <c r="CL43">
        <v>3.4479037018246688</v>
      </c>
      <c r="CM43">
        <v>3525.1367447455414</v>
      </c>
      <c r="CN43">
        <v>35.973515628944256</v>
      </c>
      <c r="CO43">
        <v>36779.322379032608</v>
      </c>
      <c r="CP43">
        <v>52</v>
      </c>
      <c r="CQ43">
        <v>53164.799999999996</v>
      </c>
      <c r="CR43">
        <v>35</v>
      </c>
      <c r="CS43">
        <v>35784</v>
      </c>
      <c r="CT43">
        <v>39</v>
      </c>
      <c r="CU43">
        <v>39873.599999999999</v>
      </c>
    </row>
    <row r="44" spans="2:99" x14ac:dyDescent="0.2">
      <c r="C44" s="105" t="s">
        <v>210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1.5962155796207524</v>
      </c>
      <c r="BE44">
        <v>1631.9708086042572</v>
      </c>
      <c r="BF44">
        <v>0.98007023967805085</v>
      </c>
      <c r="BG44">
        <v>1002.0238130468391</v>
      </c>
      <c r="BH44">
        <v>5.3352523068603217</v>
      </c>
      <c r="BI44">
        <v>5454.7619585339926</v>
      </c>
      <c r="BJ44">
        <v>2.3662649701825527</v>
      </c>
      <c r="BK44">
        <v>2419.2693055146419</v>
      </c>
      <c r="BL44">
        <v>2.7377088480733818</v>
      </c>
      <c r="BM44">
        <v>2799.0335262702256</v>
      </c>
      <c r="BN44">
        <v>1.4522515385439443</v>
      </c>
      <c r="BO44">
        <v>1484.7819730073286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0.90421980069575625</v>
      </c>
      <c r="CK44">
        <v>924.47432423134114</v>
      </c>
      <c r="CL44">
        <v>3.4479037018246688</v>
      </c>
      <c r="CM44">
        <v>3525.1367447455414</v>
      </c>
      <c r="CN44">
        <v>38.48329578910316</v>
      </c>
      <c r="CO44">
        <v>39345.321614779066</v>
      </c>
      <c r="CP44">
        <v>54</v>
      </c>
      <c r="CQ44">
        <v>55209.599999999999</v>
      </c>
      <c r="CR44">
        <v>31</v>
      </c>
      <c r="CS44">
        <v>31694.399999999998</v>
      </c>
      <c r="CT44">
        <v>38</v>
      </c>
      <c r="CU44">
        <v>38851.199999999997</v>
      </c>
    </row>
    <row r="45" spans="2:99" x14ac:dyDescent="0.2">
      <c r="C45" s="105" t="s">
        <v>211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1.5962155796207524</v>
      </c>
      <c r="BE45">
        <v>1993.9925020622441</v>
      </c>
      <c r="BF45">
        <v>0.98007023967805085</v>
      </c>
      <c r="BG45">
        <v>1224.3037434058213</v>
      </c>
      <c r="BH45">
        <v>5.3352523068603217</v>
      </c>
      <c r="BI45">
        <v>6664.797181729914</v>
      </c>
      <c r="BJ45">
        <v>2.3662649701825527</v>
      </c>
      <c r="BK45">
        <v>2955.9382007520448</v>
      </c>
      <c r="BL45">
        <v>3.1939936560856124</v>
      </c>
      <c r="BM45">
        <v>3989.9368751821471</v>
      </c>
      <c r="BN45">
        <v>1.2447870330376667</v>
      </c>
      <c r="BO45">
        <v>1554.9879616706532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0.79119232560878672</v>
      </c>
      <c r="CK45">
        <v>988.35745315049644</v>
      </c>
      <c r="CL45">
        <v>3.4479037018246688</v>
      </c>
      <c r="CM45">
        <v>4307.1213043193766</v>
      </c>
      <c r="CN45">
        <v>39.319889175822794</v>
      </c>
      <c r="CO45">
        <v>49118.405558437837</v>
      </c>
      <c r="CP45">
        <v>51</v>
      </c>
      <c r="CQ45">
        <v>63709.200000000004</v>
      </c>
      <c r="CR45">
        <v>34</v>
      </c>
      <c r="CS45">
        <v>42472.800000000003</v>
      </c>
      <c r="CT45">
        <v>38</v>
      </c>
      <c r="CU45">
        <v>47469.599999999999</v>
      </c>
    </row>
    <row r="46" spans="2:99" x14ac:dyDescent="0.2">
      <c r="C46" s="105" t="s">
        <v>212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1.5962155796207524</v>
      </c>
      <c r="BE46">
        <v>1934.6132825003519</v>
      </c>
      <c r="BF46">
        <v>1.088966932975612</v>
      </c>
      <c r="BG46">
        <v>1319.8279227664418</v>
      </c>
      <c r="BH46">
        <v>4.7424464949869529</v>
      </c>
      <c r="BI46">
        <v>5747.8451519241871</v>
      </c>
      <c r="BJ46">
        <v>2.6291833002028366</v>
      </c>
      <c r="BK46">
        <v>3186.5701598458381</v>
      </c>
      <c r="BL46">
        <v>3.1939936560856124</v>
      </c>
      <c r="BM46">
        <v>3871.1203111757623</v>
      </c>
      <c r="BN46">
        <v>1.4522515385439443</v>
      </c>
      <c r="BO46">
        <v>1760.1288647152605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0.90421980069575625</v>
      </c>
      <c r="CK46">
        <v>1095.9143984432567</v>
      </c>
      <c r="CL46">
        <v>3.4479037018246688</v>
      </c>
      <c r="CM46">
        <v>4178.8592866114986</v>
      </c>
      <c r="CN46">
        <v>40.993075949262064</v>
      </c>
      <c r="CO46">
        <v>49683.608050505623</v>
      </c>
      <c r="CP46">
        <v>54</v>
      </c>
      <c r="CQ46">
        <v>65448</v>
      </c>
      <c r="CR46">
        <v>36</v>
      </c>
      <c r="CS46">
        <v>43632</v>
      </c>
      <c r="CT46">
        <v>39</v>
      </c>
      <c r="CU46">
        <v>47268</v>
      </c>
    </row>
    <row r="47" spans="2:99" x14ac:dyDescent="0.2">
      <c r="C47" s="105" t="s">
        <v>213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1.5962155796207524</v>
      </c>
      <c r="BE47">
        <v>2438.3789194286614</v>
      </c>
      <c r="BF47">
        <v>0.87117354638048961</v>
      </c>
      <c r="BG47">
        <v>1330.8047094508358</v>
      </c>
      <c r="BH47">
        <v>4.7424464949869529</v>
      </c>
      <c r="BI47">
        <v>7244.5612657420688</v>
      </c>
      <c r="BJ47">
        <v>2.6291833002028366</v>
      </c>
      <c r="BK47">
        <v>4016.340409389853</v>
      </c>
      <c r="BL47">
        <v>2.7377088480733818</v>
      </c>
      <c r="BM47">
        <v>4182.1240363168981</v>
      </c>
      <c r="BN47">
        <v>1.2447870330376667</v>
      </c>
      <c r="BO47">
        <v>1901.5366716683395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0.90421980069575625</v>
      </c>
      <c r="CK47">
        <v>1381.2861675428371</v>
      </c>
      <c r="CL47">
        <v>2.8732530848538906</v>
      </c>
      <c r="CM47">
        <v>4389.1814124228031</v>
      </c>
      <c r="CN47">
        <v>38.48329578910316</v>
      </c>
      <c r="CO47">
        <v>58787.082647433985</v>
      </c>
      <c r="CP47">
        <v>49</v>
      </c>
      <c r="CQ47">
        <v>74852.399999999994</v>
      </c>
      <c r="CR47">
        <v>32</v>
      </c>
      <c r="CS47">
        <v>48883.199999999997</v>
      </c>
      <c r="CT47">
        <v>40</v>
      </c>
      <c r="CU47">
        <v>61104</v>
      </c>
    </row>
    <row r="48" spans="2:99" x14ac:dyDescent="0.2">
      <c r="C48" s="105" t="s">
        <v>214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1.5962155796207524</v>
      </c>
      <c r="BE48">
        <v>1384.8766368789647</v>
      </c>
      <c r="BF48">
        <v>0.98007023967805085</v>
      </c>
      <c r="BG48">
        <v>850.30893994467692</v>
      </c>
      <c r="BH48">
        <v>5.9280581187336914</v>
      </c>
      <c r="BI48">
        <v>5143.1832238133511</v>
      </c>
      <c r="BJ48">
        <v>2.3662649701825527</v>
      </c>
      <c r="BK48">
        <v>2052.9714881303826</v>
      </c>
      <c r="BL48">
        <v>3.1939936560856124</v>
      </c>
      <c r="BM48">
        <v>2771.1088960198772</v>
      </c>
      <c r="BN48">
        <v>1.2447870330376667</v>
      </c>
      <c r="BO48">
        <v>1079.9772298634796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0.79119232560878672</v>
      </c>
      <c r="CK48">
        <v>686.43846169818335</v>
      </c>
      <c r="CL48">
        <v>3.4479037018246688</v>
      </c>
      <c r="CM48">
        <v>2991.4012517030828</v>
      </c>
      <c r="CN48">
        <v>40.993075949262064</v>
      </c>
      <c r="CO48">
        <v>35565.592693579769</v>
      </c>
      <c r="CP48">
        <v>62</v>
      </c>
      <c r="CQ48">
        <v>53791.200000000004</v>
      </c>
      <c r="CR48">
        <v>37</v>
      </c>
      <c r="CS48">
        <v>32101.200000000001</v>
      </c>
      <c r="CT48">
        <v>39</v>
      </c>
      <c r="CU48">
        <v>33836.400000000001</v>
      </c>
    </row>
    <row r="49" spans="2:99" x14ac:dyDescent="0.2">
      <c r="B49" s="105" t="s">
        <v>129</v>
      </c>
      <c r="C49" s="105" t="s">
        <v>215</v>
      </c>
      <c r="D49">
        <v>0</v>
      </c>
      <c r="E49">
        <v>0</v>
      </c>
      <c r="F49">
        <v>17.485490745494769</v>
      </c>
      <c r="G49">
        <v>17226.705482461446</v>
      </c>
      <c r="H49">
        <v>31</v>
      </c>
      <c r="I49">
        <v>30541.199999999997</v>
      </c>
      <c r="J49">
        <v>37</v>
      </c>
      <c r="K49">
        <v>36452.399999999994</v>
      </c>
      <c r="L49">
        <v>22</v>
      </c>
      <c r="M49">
        <v>21674.399999999998</v>
      </c>
      <c r="N49">
        <v>18</v>
      </c>
      <c r="O49">
        <v>17733.599999999999</v>
      </c>
      <c r="P49">
        <v>19</v>
      </c>
      <c r="Q49">
        <v>18718.8</v>
      </c>
      <c r="R49">
        <v>20</v>
      </c>
      <c r="S49">
        <v>19704</v>
      </c>
      <c r="T49">
        <v>21</v>
      </c>
      <c r="U49">
        <v>20689.199999999997</v>
      </c>
      <c r="V49">
        <v>16</v>
      </c>
      <c r="W49">
        <v>15763.199999999999</v>
      </c>
      <c r="X49">
        <v>12</v>
      </c>
      <c r="Y49">
        <v>11822.4</v>
      </c>
      <c r="Z49">
        <v>21</v>
      </c>
      <c r="AA49">
        <v>20689.199999999997</v>
      </c>
      <c r="AB49">
        <v>39</v>
      </c>
      <c r="AC49">
        <v>38422.799999999996</v>
      </c>
      <c r="AD49">
        <v>28</v>
      </c>
      <c r="AE49">
        <v>27585.599999999999</v>
      </c>
      <c r="AF49">
        <v>34</v>
      </c>
      <c r="AG49">
        <v>33496.799999999996</v>
      </c>
      <c r="AH49">
        <v>29</v>
      </c>
      <c r="AI49">
        <v>28570.799999999999</v>
      </c>
      <c r="AJ49">
        <v>18</v>
      </c>
      <c r="AK49">
        <v>17733.599999999999</v>
      </c>
      <c r="AL49">
        <v>16</v>
      </c>
      <c r="AM49">
        <v>15763.199999999999</v>
      </c>
      <c r="AN49">
        <v>19</v>
      </c>
      <c r="AO49">
        <v>18718.8</v>
      </c>
      <c r="AP49">
        <v>12</v>
      </c>
      <c r="AQ49">
        <v>11822.4</v>
      </c>
      <c r="AR49">
        <v>7</v>
      </c>
      <c r="AS49">
        <v>6896.4</v>
      </c>
      <c r="AT49">
        <v>5</v>
      </c>
      <c r="AU49">
        <v>4926</v>
      </c>
      <c r="AV49">
        <v>6</v>
      </c>
      <c r="AW49">
        <v>5911.2</v>
      </c>
      <c r="AX49">
        <v>6</v>
      </c>
      <c r="AY49">
        <v>5911.2</v>
      </c>
      <c r="AZ49">
        <v>6</v>
      </c>
      <c r="BA49">
        <v>5911.2</v>
      </c>
      <c r="BB49">
        <v>4</v>
      </c>
      <c r="BC49">
        <v>3940.7999999999997</v>
      </c>
      <c r="BD49">
        <v>4</v>
      </c>
      <c r="BE49">
        <v>3940.7999999999997</v>
      </c>
      <c r="BF49">
        <v>4</v>
      </c>
      <c r="BG49">
        <v>3940.7999999999997</v>
      </c>
      <c r="BH49">
        <v>13</v>
      </c>
      <c r="BI49">
        <v>12807.599999999999</v>
      </c>
      <c r="BJ49">
        <v>14</v>
      </c>
      <c r="BK49">
        <v>13792.8</v>
      </c>
      <c r="BL49">
        <v>18</v>
      </c>
      <c r="BM49">
        <v>17733.599999999999</v>
      </c>
      <c r="BN49">
        <v>16</v>
      </c>
      <c r="BO49">
        <v>15763.199999999999</v>
      </c>
      <c r="BP49">
        <v>11</v>
      </c>
      <c r="BQ49">
        <v>10837.199999999999</v>
      </c>
      <c r="BR49">
        <v>11</v>
      </c>
      <c r="BS49">
        <v>10837.199999999999</v>
      </c>
      <c r="BT49">
        <v>13</v>
      </c>
      <c r="BU49">
        <v>12807.599999999999</v>
      </c>
      <c r="BV49">
        <v>10</v>
      </c>
      <c r="BW49">
        <v>9852</v>
      </c>
      <c r="BX49">
        <v>13</v>
      </c>
      <c r="BY49">
        <v>12807.599999999999</v>
      </c>
      <c r="BZ49">
        <v>10</v>
      </c>
      <c r="CA49">
        <v>9852</v>
      </c>
      <c r="CB49">
        <v>9</v>
      </c>
      <c r="CC49">
        <v>8866.7999999999993</v>
      </c>
      <c r="CD49">
        <v>12</v>
      </c>
      <c r="CE49">
        <v>11822.4</v>
      </c>
      <c r="CF49">
        <v>52</v>
      </c>
      <c r="CG49">
        <v>51230.399999999994</v>
      </c>
      <c r="CH49">
        <v>42</v>
      </c>
      <c r="CI49">
        <v>41378.399999999994</v>
      </c>
      <c r="CJ49">
        <v>30</v>
      </c>
      <c r="CK49">
        <v>29555.999999999996</v>
      </c>
      <c r="CL49">
        <v>35</v>
      </c>
      <c r="CM49">
        <v>34482</v>
      </c>
      <c r="CN49">
        <v>22</v>
      </c>
      <c r="CO49">
        <v>21674.399999999998</v>
      </c>
      <c r="CP49">
        <v>11</v>
      </c>
      <c r="CQ49">
        <v>10837.199999999999</v>
      </c>
      <c r="CR49">
        <v>12</v>
      </c>
      <c r="CS49">
        <v>11822.4</v>
      </c>
      <c r="CT49">
        <v>14</v>
      </c>
      <c r="CU49">
        <v>13792.8</v>
      </c>
    </row>
    <row r="50" spans="2:99" x14ac:dyDescent="0.2">
      <c r="C50" s="105" t="s">
        <v>216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1.5962155796207524</v>
      </c>
      <c r="BE50">
        <v>450.13279345305222</v>
      </c>
      <c r="BF50">
        <v>0.54448346648780599</v>
      </c>
      <c r="BG50">
        <v>153.54433754956128</v>
      </c>
      <c r="BH50">
        <v>7.1136697424804298</v>
      </c>
      <c r="BI50">
        <v>2006.0548673794813</v>
      </c>
      <c r="BJ50">
        <v>3.9437749503042543</v>
      </c>
      <c r="BK50">
        <v>1112.1445359857996</v>
      </c>
      <c r="BL50">
        <v>7.7568417362079156</v>
      </c>
      <c r="BM50">
        <v>2187.4293696106324</v>
      </c>
      <c r="BN50">
        <v>3.5268965936067223</v>
      </c>
      <c r="BO50">
        <v>994.58483939709572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3.9559616280439336</v>
      </c>
      <c r="CK50">
        <v>1115.5811791083893</v>
      </c>
      <c r="CL50">
        <v>20.112771593977236</v>
      </c>
      <c r="CM50">
        <v>5671.8015895015806</v>
      </c>
      <c r="CN50">
        <v>20.078241281271215</v>
      </c>
      <c r="CO50">
        <v>5662.0640413184829</v>
      </c>
      <c r="CP50">
        <v>12</v>
      </c>
      <c r="CQ50">
        <v>3384</v>
      </c>
      <c r="CR50">
        <v>12</v>
      </c>
      <c r="CS50">
        <v>3384</v>
      </c>
      <c r="CT50">
        <v>15</v>
      </c>
      <c r="CU50">
        <v>4230</v>
      </c>
    </row>
    <row r="51" spans="2:99" x14ac:dyDescent="0.2">
      <c r="C51" s="105" t="s">
        <v>217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1.276972463696602</v>
      </c>
      <c r="BE51">
        <v>1091.0452729823767</v>
      </c>
      <c r="BF51">
        <v>0.54448346648780599</v>
      </c>
      <c r="BG51">
        <v>465.20667376718143</v>
      </c>
      <c r="BH51">
        <v>7.1136697424804298</v>
      </c>
      <c r="BI51">
        <v>6077.9194279752792</v>
      </c>
      <c r="BJ51">
        <v>3.9437749503042543</v>
      </c>
      <c r="BK51">
        <v>3369.5613175399549</v>
      </c>
      <c r="BL51">
        <v>6.8442721201834553</v>
      </c>
      <c r="BM51">
        <v>5847.7460994847443</v>
      </c>
      <c r="BN51">
        <v>2.9045030770878886</v>
      </c>
      <c r="BO51">
        <v>2481.6074290638921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3.7299066778699945</v>
      </c>
      <c r="CK51">
        <v>3186.8322655721231</v>
      </c>
      <c r="CL51">
        <v>17.814169126094122</v>
      </c>
      <c r="CM51">
        <v>15220.426101334817</v>
      </c>
      <c r="CN51">
        <v>19.24164789455158</v>
      </c>
      <c r="CO51">
        <v>16440.063961104868</v>
      </c>
      <c r="CP51">
        <v>10</v>
      </c>
      <c r="CQ51">
        <v>8544</v>
      </c>
      <c r="CR51">
        <v>11</v>
      </c>
      <c r="CS51">
        <v>9398.4</v>
      </c>
      <c r="CT51">
        <v>15</v>
      </c>
      <c r="CU51">
        <v>12816</v>
      </c>
    </row>
    <row r="52" spans="2:99" x14ac:dyDescent="0.2">
      <c r="C52" s="105" t="s">
        <v>218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1.276972463696602</v>
      </c>
      <c r="BE52">
        <v>689.56513039616505</v>
      </c>
      <c r="BF52">
        <v>0.4355867731902448</v>
      </c>
      <c r="BG52">
        <v>235.2168575227322</v>
      </c>
      <c r="BH52">
        <v>7.7064755543537995</v>
      </c>
      <c r="BI52">
        <v>4161.4967993510518</v>
      </c>
      <c r="BJ52">
        <v>3.6808566202839712</v>
      </c>
      <c r="BK52">
        <v>1987.6625749533443</v>
      </c>
      <c r="BL52">
        <v>7.300556928195685</v>
      </c>
      <c r="BM52">
        <v>3942.3007412256698</v>
      </c>
      <c r="BN52">
        <v>3.5268965936067223</v>
      </c>
      <c r="BO52">
        <v>1904.5241605476301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3.5038517276960555</v>
      </c>
      <c r="CK52">
        <v>1892.0799329558699</v>
      </c>
      <c r="CL52">
        <v>20.112771593977236</v>
      </c>
      <c r="CM52">
        <v>10860.896660747707</v>
      </c>
      <c r="CN52">
        <v>20.078241281271215</v>
      </c>
      <c r="CO52">
        <v>10842.250291886456</v>
      </c>
      <c r="CP52">
        <v>11</v>
      </c>
      <c r="CQ52">
        <v>5940</v>
      </c>
      <c r="CR52">
        <v>12</v>
      </c>
      <c r="CS52">
        <v>6480</v>
      </c>
      <c r="CT52">
        <v>15</v>
      </c>
      <c r="CU52">
        <v>8100</v>
      </c>
    </row>
    <row r="53" spans="2:99" x14ac:dyDescent="0.2">
      <c r="C53" s="105" t="s">
        <v>219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1.5962155796207524</v>
      </c>
      <c r="BE53">
        <v>649.34049778972212</v>
      </c>
      <c r="BF53">
        <v>0.4355867731902448</v>
      </c>
      <c r="BG53">
        <v>177.1966993337916</v>
      </c>
      <c r="BH53">
        <v>7.1136697424804298</v>
      </c>
      <c r="BI53">
        <v>2893.8408512410388</v>
      </c>
      <c r="BJ53">
        <v>3.4179382902636872</v>
      </c>
      <c r="BK53">
        <v>1390.4172964792681</v>
      </c>
      <c r="BL53">
        <v>7.300556928195685</v>
      </c>
      <c r="BM53">
        <v>2969.8665583900047</v>
      </c>
      <c r="BN53">
        <v>3.1119675825941666</v>
      </c>
      <c r="BO53">
        <v>1265.9484125993069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3.616879202783025</v>
      </c>
      <c r="CK53">
        <v>1471.3464596921347</v>
      </c>
      <c r="CL53">
        <v>19.538120977006457</v>
      </c>
      <c r="CM53">
        <v>7948.1076134462273</v>
      </c>
      <c r="CN53">
        <v>17.568461121112311</v>
      </c>
      <c r="CO53">
        <v>7146.8499840684881</v>
      </c>
      <c r="CP53">
        <v>12</v>
      </c>
      <c r="CQ53">
        <v>4881.6000000000004</v>
      </c>
      <c r="CR53">
        <v>14</v>
      </c>
      <c r="CS53">
        <v>5695.2</v>
      </c>
      <c r="CT53">
        <v>17</v>
      </c>
      <c r="CU53">
        <v>6915.6</v>
      </c>
    </row>
    <row r="54" spans="2:99" x14ac:dyDescent="0.2">
      <c r="C54" s="105" t="s">
        <v>220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1.5962155796207524</v>
      </c>
      <c r="BE54">
        <v>534.41297605702789</v>
      </c>
      <c r="BF54">
        <v>0.4355867731902448</v>
      </c>
      <c r="BG54">
        <v>145.83445166409396</v>
      </c>
      <c r="BH54">
        <v>7.7064755543537995</v>
      </c>
      <c r="BI54">
        <v>2580.1280155976519</v>
      </c>
      <c r="BJ54">
        <v>4.2066932803245383</v>
      </c>
      <c r="BK54">
        <v>1408.4009102526554</v>
      </c>
      <c r="BL54">
        <v>6.8442721201834553</v>
      </c>
      <c r="BM54">
        <v>2291.4623058374209</v>
      </c>
      <c r="BN54">
        <v>3.1119675825941666</v>
      </c>
      <c r="BO54">
        <v>1041.8867466525271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4.2950440533048422</v>
      </c>
      <c r="CK54">
        <v>1437.9807490464611</v>
      </c>
      <c r="CL54">
        <v>22.986024678831125</v>
      </c>
      <c r="CM54">
        <v>7695.7210624726613</v>
      </c>
      <c r="CN54">
        <v>19.24164789455158</v>
      </c>
      <c r="CO54">
        <v>6442.1037150958691</v>
      </c>
      <c r="CP54">
        <v>13</v>
      </c>
      <c r="CQ54">
        <v>4352.4000000000005</v>
      </c>
      <c r="CR54">
        <v>12</v>
      </c>
      <c r="CS54">
        <v>4017.6000000000004</v>
      </c>
      <c r="CT54">
        <v>18</v>
      </c>
      <c r="CU54">
        <v>6026.4000000000005</v>
      </c>
    </row>
    <row r="55" spans="2:99" x14ac:dyDescent="0.2">
      <c r="C55" s="105" t="s">
        <v>221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1.5962155796207524</v>
      </c>
      <c r="BE55">
        <v>1059.2486586363314</v>
      </c>
      <c r="BF55">
        <v>0.54448346648780599</v>
      </c>
      <c r="BG55">
        <v>361.31922836130809</v>
      </c>
      <c r="BH55">
        <v>7.7064755543537995</v>
      </c>
      <c r="BI55">
        <v>5114.0171778691811</v>
      </c>
      <c r="BJ55">
        <v>3.9437749503042543</v>
      </c>
      <c r="BK55">
        <v>2617.089057021903</v>
      </c>
      <c r="BL55">
        <v>6.8442721201834553</v>
      </c>
      <c r="BM55">
        <v>4541.8589789537409</v>
      </c>
      <c r="BN55">
        <v>3.3194320881004447</v>
      </c>
      <c r="BO55">
        <v>2202.7751336634551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3.616879202783025</v>
      </c>
      <c r="CK55">
        <v>2400.1610389668153</v>
      </c>
      <c r="CL55">
        <v>18.3888197430649</v>
      </c>
      <c r="CM55">
        <v>12202.820781497869</v>
      </c>
      <c r="CN55">
        <v>18.405054507831945</v>
      </c>
      <c r="CO55">
        <v>12213.594171397279</v>
      </c>
      <c r="CP55">
        <v>12</v>
      </c>
      <c r="CQ55">
        <v>7963.2000000000007</v>
      </c>
      <c r="CR55">
        <v>12</v>
      </c>
      <c r="CS55">
        <v>7963.2000000000007</v>
      </c>
      <c r="CT55">
        <v>16</v>
      </c>
      <c r="CU55">
        <v>10617.6</v>
      </c>
    </row>
    <row r="56" spans="2:99" x14ac:dyDescent="0.2">
      <c r="C56" s="105" t="s">
        <v>222</v>
      </c>
      <c r="D56">
        <v>0</v>
      </c>
      <c r="E56">
        <v>0</v>
      </c>
      <c r="F56">
        <v>16.725252017429774</v>
      </c>
      <c r="G56">
        <v>19247.420021658185</v>
      </c>
      <c r="H56">
        <v>31</v>
      </c>
      <c r="I56">
        <v>35674.799999999996</v>
      </c>
      <c r="J56">
        <v>39</v>
      </c>
      <c r="K56">
        <v>44881.2</v>
      </c>
      <c r="L56">
        <v>18</v>
      </c>
      <c r="M56">
        <v>20714.399999999998</v>
      </c>
      <c r="N56">
        <v>19</v>
      </c>
      <c r="O56">
        <v>21865.200000000001</v>
      </c>
      <c r="P56">
        <v>18</v>
      </c>
      <c r="Q56">
        <v>20714.399999999998</v>
      </c>
      <c r="R56">
        <v>19</v>
      </c>
      <c r="S56">
        <v>21865.200000000001</v>
      </c>
      <c r="T56">
        <v>22</v>
      </c>
      <c r="U56">
        <v>25317.599999999999</v>
      </c>
      <c r="V56">
        <v>16</v>
      </c>
      <c r="W56">
        <v>18412.8</v>
      </c>
      <c r="X56">
        <v>13</v>
      </c>
      <c r="Y56">
        <v>14960.4</v>
      </c>
      <c r="Z56">
        <v>21</v>
      </c>
      <c r="AA56">
        <v>24166.799999999999</v>
      </c>
      <c r="AB56">
        <v>42</v>
      </c>
      <c r="AC56">
        <v>48333.599999999999</v>
      </c>
      <c r="AD56">
        <v>29</v>
      </c>
      <c r="AE56">
        <v>33373.199999999997</v>
      </c>
      <c r="AF56">
        <v>35</v>
      </c>
      <c r="AG56">
        <v>40278</v>
      </c>
      <c r="AH56">
        <v>27</v>
      </c>
      <c r="AI56">
        <v>31071.599999999999</v>
      </c>
      <c r="AJ56">
        <v>20</v>
      </c>
      <c r="AK56">
        <v>23016</v>
      </c>
      <c r="AL56">
        <v>15</v>
      </c>
      <c r="AM56">
        <v>17262</v>
      </c>
      <c r="AN56">
        <v>17</v>
      </c>
      <c r="AO56">
        <v>19563.599999999999</v>
      </c>
      <c r="AP56">
        <v>12</v>
      </c>
      <c r="AQ56">
        <v>13809.599999999999</v>
      </c>
      <c r="AR56">
        <v>7</v>
      </c>
      <c r="AS56">
        <v>8055.5999999999995</v>
      </c>
      <c r="AT56">
        <v>4</v>
      </c>
      <c r="AU56">
        <v>4603.2</v>
      </c>
      <c r="AV56">
        <v>5</v>
      </c>
      <c r="AW56">
        <v>5754</v>
      </c>
      <c r="AX56">
        <v>5</v>
      </c>
      <c r="AY56">
        <v>5754</v>
      </c>
      <c r="AZ56">
        <v>6</v>
      </c>
      <c r="BA56">
        <v>6904.7999999999993</v>
      </c>
      <c r="BB56">
        <v>4</v>
      </c>
      <c r="BC56">
        <v>4603.2</v>
      </c>
      <c r="BD56">
        <v>4</v>
      </c>
      <c r="BE56">
        <v>4603.2</v>
      </c>
      <c r="BF56">
        <v>4</v>
      </c>
      <c r="BG56">
        <v>4603.2</v>
      </c>
      <c r="BH56">
        <v>12</v>
      </c>
      <c r="BI56">
        <v>13809.599999999999</v>
      </c>
      <c r="BJ56">
        <v>13</v>
      </c>
      <c r="BK56">
        <v>14960.4</v>
      </c>
      <c r="BL56">
        <v>15</v>
      </c>
      <c r="BM56">
        <v>17262</v>
      </c>
      <c r="BN56">
        <v>16</v>
      </c>
      <c r="BO56">
        <v>18412.8</v>
      </c>
      <c r="BP56">
        <v>13</v>
      </c>
      <c r="BQ56">
        <v>14960.4</v>
      </c>
      <c r="BR56">
        <v>10</v>
      </c>
      <c r="BS56">
        <v>11508</v>
      </c>
      <c r="BT56">
        <v>13</v>
      </c>
      <c r="BU56">
        <v>14960.4</v>
      </c>
      <c r="BV56">
        <v>10</v>
      </c>
      <c r="BW56">
        <v>11508</v>
      </c>
      <c r="BX56">
        <v>13</v>
      </c>
      <c r="BY56">
        <v>14960.4</v>
      </c>
      <c r="BZ56">
        <v>10</v>
      </c>
      <c r="CA56">
        <v>11508</v>
      </c>
      <c r="CB56">
        <v>9</v>
      </c>
      <c r="CC56">
        <v>10357.199999999999</v>
      </c>
      <c r="CD56">
        <v>11</v>
      </c>
      <c r="CE56">
        <v>12658.8</v>
      </c>
      <c r="CF56">
        <v>47</v>
      </c>
      <c r="CG56">
        <v>54087.6</v>
      </c>
      <c r="CH56">
        <v>46</v>
      </c>
      <c r="CI56">
        <v>52936.799999999996</v>
      </c>
      <c r="CJ56">
        <v>31</v>
      </c>
      <c r="CK56">
        <v>35674.799999999996</v>
      </c>
      <c r="CL56">
        <v>31</v>
      </c>
      <c r="CM56">
        <v>35674.799999999996</v>
      </c>
      <c r="CN56">
        <v>20</v>
      </c>
      <c r="CO56">
        <v>23016</v>
      </c>
      <c r="CP56">
        <v>12</v>
      </c>
      <c r="CQ56">
        <v>13809.599999999999</v>
      </c>
      <c r="CR56">
        <v>11</v>
      </c>
      <c r="CS56">
        <v>12658.8</v>
      </c>
      <c r="CT56">
        <v>15</v>
      </c>
      <c r="CU56">
        <v>17262</v>
      </c>
    </row>
    <row r="57" spans="2:99" x14ac:dyDescent="0.2">
      <c r="C57" s="105" t="s">
        <v>223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1.276972463696602</v>
      </c>
      <c r="BE57">
        <v>1802.0635407686448</v>
      </c>
      <c r="BF57">
        <v>0.4355867731902448</v>
      </c>
      <c r="BG57">
        <v>614.70005432607354</v>
      </c>
      <c r="BH57">
        <v>6.5208639306070602</v>
      </c>
      <c r="BI57">
        <v>9202.2431788726844</v>
      </c>
      <c r="BJ57">
        <v>3.4179382902636872</v>
      </c>
      <c r="BK57">
        <v>4823.3945152201159</v>
      </c>
      <c r="BL57">
        <v>7.300556928195685</v>
      </c>
      <c r="BM57">
        <v>10302.545937069752</v>
      </c>
      <c r="BN57">
        <v>3.3194320881004447</v>
      </c>
      <c r="BO57">
        <v>4684.3825627273472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3.277796777522116</v>
      </c>
      <c r="CK57">
        <v>4625.62681243921</v>
      </c>
      <c r="CL57">
        <v>16.664867892152564</v>
      </c>
      <c r="CM57">
        <v>23517.461569405699</v>
      </c>
      <c r="CN57">
        <v>16.731867734392679</v>
      </c>
      <c r="CO57">
        <v>23612.011746774951</v>
      </c>
      <c r="CP57">
        <v>10</v>
      </c>
      <c r="CQ57">
        <v>14112</v>
      </c>
      <c r="CR57">
        <v>12</v>
      </c>
      <c r="CS57">
        <v>16934.400000000001</v>
      </c>
      <c r="CT57">
        <v>15</v>
      </c>
      <c r="CU57">
        <v>21168</v>
      </c>
    </row>
    <row r="58" spans="2:99" x14ac:dyDescent="0.2">
      <c r="C58" s="105" t="s">
        <v>224</v>
      </c>
      <c r="D58">
        <v>0</v>
      </c>
      <c r="E58">
        <v>0</v>
      </c>
      <c r="F58">
        <v>16.725252017429774</v>
      </c>
      <c r="G58">
        <v>19688.966674918331</v>
      </c>
      <c r="H58">
        <v>28</v>
      </c>
      <c r="I58">
        <v>32961.599999999999</v>
      </c>
      <c r="J58">
        <v>36</v>
      </c>
      <c r="K58">
        <v>42379.200000000004</v>
      </c>
      <c r="L58">
        <v>22</v>
      </c>
      <c r="M58">
        <v>25898.400000000001</v>
      </c>
      <c r="N58">
        <v>16</v>
      </c>
      <c r="O58">
        <v>18835.2</v>
      </c>
      <c r="P58">
        <v>20</v>
      </c>
      <c r="Q58">
        <v>23544</v>
      </c>
      <c r="R58">
        <v>17</v>
      </c>
      <c r="S58">
        <v>20012.400000000001</v>
      </c>
      <c r="T58">
        <v>22</v>
      </c>
      <c r="U58">
        <v>25898.400000000001</v>
      </c>
      <c r="V58">
        <v>17</v>
      </c>
      <c r="W58">
        <v>20012.400000000001</v>
      </c>
      <c r="X58">
        <v>12</v>
      </c>
      <c r="Y58">
        <v>14126.400000000001</v>
      </c>
      <c r="Z58">
        <v>23</v>
      </c>
      <c r="AA58">
        <v>27075.600000000002</v>
      </c>
      <c r="AB58">
        <v>42</v>
      </c>
      <c r="AC58">
        <v>49442.400000000001</v>
      </c>
      <c r="AD58">
        <v>32</v>
      </c>
      <c r="AE58">
        <v>37670.400000000001</v>
      </c>
      <c r="AF58">
        <v>34</v>
      </c>
      <c r="AG58">
        <v>40024.800000000003</v>
      </c>
      <c r="AH58">
        <v>27</v>
      </c>
      <c r="AI58">
        <v>31784.400000000001</v>
      </c>
      <c r="AJ58">
        <v>20</v>
      </c>
      <c r="AK58">
        <v>23544</v>
      </c>
      <c r="AL58">
        <v>15</v>
      </c>
      <c r="AM58">
        <v>17658</v>
      </c>
      <c r="AN58">
        <v>17</v>
      </c>
      <c r="AO58">
        <v>20012.400000000001</v>
      </c>
      <c r="AP58">
        <v>12</v>
      </c>
      <c r="AQ58">
        <v>14126.400000000001</v>
      </c>
      <c r="AR58">
        <v>8</v>
      </c>
      <c r="AS58">
        <v>9417.6</v>
      </c>
      <c r="AT58">
        <v>5</v>
      </c>
      <c r="AU58">
        <v>5886</v>
      </c>
      <c r="AV58">
        <v>6</v>
      </c>
      <c r="AW58">
        <v>7063.2000000000007</v>
      </c>
      <c r="AX58">
        <v>6</v>
      </c>
      <c r="AY58">
        <v>7063.2000000000007</v>
      </c>
      <c r="AZ58">
        <v>5</v>
      </c>
      <c r="BA58">
        <v>5886</v>
      </c>
      <c r="BB58">
        <v>4</v>
      </c>
      <c r="BC58">
        <v>4708.8</v>
      </c>
      <c r="BD58">
        <v>5</v>
      </c>
      <c r="BE58">
        <v>5886</v>
      </c>
      <c r="BF58">
        <v>4</v>
      </c>
      <c r="BG58">
        <v>4708.8</v>
      </c>
      <c r="BH58">
        <v>11</v>
      </c>
      <c r="BI58">
        <v>12949.2</v>
      </c>
      <c r="BJ58">
        <v>13</v>
      </c>
      <c r="BK58">
        <v>15303.6</v>
      </c>
      <c r="BL58">
        <v>16</v>
      </c>
      <c r="BM58">
        <v>18835.2</v>
      </c>
      <c r="BN58">
        <v>14</v>
      </c>
      <c r="BO58">
        <v>16480.8</v>
      </c>
      <c r="BP58">
        <v>12</v>
      </c>
      <c r="BQ58">
        <v>14126.400000000001</v>
      </c>
      <c r="BR58">
        <v>10</v>
      </c>
      <c r="BS58">
        <v>11772</v>
      </c>
      <c r="BT58">
        <v>14</v>
      </c>
      <c r="BU58">
        <v>16480.8</v>
      </c>
      <c r="BV58">
        <v>10</v>
      </c>
      <c r="BW58">
        <v>11772</v>
      </c>
      <c r="BX58">
        <v>13</v>
      </c>
      <c r="BY58">
        <v>15303.6</v>
      </c>
      <c r="BZ58">
        <v>9</v>
      </c>
      <c r="CA58">
        <v>10594.800000000001</v>
      </c>
      <c r="CB58">
        <v>9</v>
      </c>
      <c r="CC58">
        <v>10594.800000000001</v>
      </c>
      <c r="CD58">
        <v>12</v>
      </c>
      <c r="CE58">
        <v>14126.400000000001</v>
      </c>
      <c r="CF58">
        <v>48</v>
      </c>
      <c r="CG58">
        <v>56505.600000000006</v>
      </c>
      <c r="CH58">
        <v>46</v>
      </c>
      <c r="CI58">
        <v>54151.200000000004</v>
      </c>
      <c r="CJ58">
        <v>27</v>
      </c>
      <c r="CK58">
        <v>31784.400000000001</v>
      </c>
      <c r="CL58">
        <v>30</v>
      </c>
      <c r="CM58">
        <v>35316</v>
      </c>
      <c r="CN58">
        <v>18</v>
      </c>
      <c r="CO58">
        <v>21189.600000000002</v>
      </c>
      <c r="CP58">
        <v>10</v>
      </c>
      <c r="CQ58">
        <v>11772</v>
      </c>
      <c r="CR58">
        <v>11</v>
      </c>
      <c r="CS58">
        <v>12949.2</v>
      </c>
      <c r="CT58">
        <v>15</v>
      </c>
      <c r="CU58">
        <v>17658</v>
      </c>
    </row>
    <row r="59" spans="2:99" x14ac:dyDescent="0.2">
      <c r="C59" s="105" t="s">
        <v>225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1.276972463696602</v>
      </c>
      <c r="BE59">
        <v>387.68883997828834</v>
      </c>
      <c r="BF59">
        <v>0.54448346648780599</v>
      </c>
      <c r="BG59">
        <v>165.30518042569787</v>
      </c>
      <c r="BH59">
        <v>7.1136697424804298</v>
      </c>
      <c r="BI59">
        <v>2159.7101338170582</v>
      </c>
      <c r="BJ59">
        <v>3.9437749503042543</v>
      </c>
      <c r="BK59">
        <v>1197.3300749123714</v>
      </c>
      <c r="BL59">
        <v>7.300556928195685</v>
      </c>
      <c r="BM59">
        <v>2216.4490834002099</v>
      </c>
      <c r="BN59">
        <v>3.7343610991129998</v>
      </c>
      <c r="BO59">
        <v>1133.7520296907066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4.2950440533048422</v>
      </c>
      <c r="CK59">
        <v>1303.97537458335</v>
      </c>
      <c r="CL59">
        <v>20.112771593977236</v>
      </c>
      <c r="CM59">
        <v>6106.2374559314885</v>
      </c>
      <c r="CN59">
        <v>19.24164789455158</v>
      </c>
      <c r="CO59">
        <v>5841.7643007858587</v>
      </c>
      <c r="CP59">
        <v>12</v>
      </c>
      <c r="CQ59">
        <v>3643.2</v>
      </c>
      <c r="CR59">
        <v>13</v>
      </c>
      <c r="CS59">
        <v>3946.7999999999997</v>
      </c>
      <c r="CT59">
        <v>15</v>
      </c>
      <c r="CU59">
        <v>4553.9999999999991</v>
      </c>
    </row>
    <row r="60" spans="2:99" x14ac:dyDescent="0.2">
      <c r="C60" s="105" t="s">
        <v>226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1.5962155796207524</v>
      </c>
      <c r="BE60">
        <v>1040.0940716808823</v>
      </c>
      <c r="BF60">
        <v>0.4355867731902448</v>
      </c>
      <c r="BG60">
        <v>283.82834141076353</v>
      </c>
      <c r="BH60">
        <v>7.7064755543537995</v>
      </c>
      <c r="BI60">
        <v>5021.5394712169364</v>
      </c>
      <c r="BJ60">
        <v>3.9437749503042543</v>
      </c>
      <c r="BK60">
        <v>2569.7637576182524</v>
      </c>
      <c r="BL60">
        <v>8.2131265442201453</v>
      </c>
      <c r="BM60">
        <v>5351.6732562138468</v>
      </c>
      <c r="BN60">
        <v>3.1119675825941666</v>
      </c>
      <c r="BO60">
        <v>2027.7580768183591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3.5038517276960555</v>
      </c>
      <c r="CK60">
        <v>2283.1097857667496</v>
      </c>
      <c r="CL60">
        <v>21.262072827918789</v>
      </c>
      <c r="CM60">
        <v>13854.366654671883</v>
      </c>
      <c r="CN60">
        <v>18.405054507831945</v>
      </c>
      <c r="CO60">
        <v>11992.733517303295</v>
      </c>
      <c r="CP60">
        <v>10</v>
      </c>
      <c r="CQ60">
        <v>6516</v>
      </c>
      <c r="CR60">
        <v>13</v>
      </c>
      <c r="CS60">
        <v>8470.8000000000011</v>
      </c>
      <c r="CT60">
        <v>17</v>
      </c>
      <c r="CU60">
        <v>11077.2</v>
      </c>
    </row>
    <row r="61" spans="2:99" x14ac:dyDescent="0.2">
      <c r="C61" s="105" t="s">
        <v>227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1.276972463696602</v>
      </c>
      <c r="BE61">
        <v>1215.1669964536864</v>
      </c>
      <c r="BF61">
        <v>0.54448346648780599</v>
      </c>
      <c r="BG61">
        <v>518.13046670979611</v>
      </c>
      <c r="BH61">
        <v>6.5208639306070602</v>
      </c>
      <c r="BI61">
        <v>6205.2541163656779</v>
      </c>
      <c r="BJ61">
        <v>3.6808566202839712</v>
      </c>
      <c r="BK61">
        <v>3502.7031598622266</v>
      </c>
      <c r="BL61">
        <v>6.8442721201834553</v>
      </c>
      <c r="BM61">
        <v>6513.0093495665751</v>
      </c>
      <c r="BN61">
        <v>3.1119675825941666</v>
      </c>
      <c r="BO61">
        <v>2961.3483515966086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3.277796777522116</v>
      </c>
      <c r="CK61">
        <v>3119.1514134900453</v>
      </c>
      <c r="CL61">
        <v>18.3888197430649</v>
      </c>
      <c r="CM61">
        <v>17498.800867500559</v>
      </c>
      <c r="CN61">
        <v>17.568461121112311</v>
      </c>
      <c r="CO61">
        <v>16718.147602850473</v>
      </c>
      <c r="CP61">
        <v>12</v>
      </c>
      <c r="CQ61">
        <v>11419.199999999999</v>
      </c>
      <c r="CR61">
        <v>12</v>
      </c>
      <c r="CS61">
        <v>11419.199999999999</v>
      </c>
      <c r="CT61">
        <v>16</v>
      </c>
      <c r="CU61">
        <v>15225.599999999999</v>
      </c>
    </row>
    <row r="62" spans="2:99" x14ac:dyDescent="0.2">
      <c r="C62" s="105" t="s">
        <v>228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1.276972463696602</v>
      </c>
      <c r="BE62">
        <v>2177.4934450954456</v>
      </c>
      <c r="BF62">
        <v>0.4355867731902448</v>
      </c>
      <c r="BG62">
        <v>742.76256564400546</v>
      </c>
      <c r="BH62">
        <v>7.1136697424804298</v>
      </c>
      <c r="BI62">
        <v>12130.229644877629</v>
      </c>
      <c r="BJ62">
        <v>3.4179382902636872</v>
      </c>
      <c r="BK62">
        <v>5828.2683725576399</v>
      </c>
      <c r="BL62">
        <v>6.3879873121712247</v>
      </c>
      <c r="BM62">
        <v>10892.795964714373</v>
      </c>
      <c r="BN62">
        <v>3.1119675825941666</v>
      </c>
      <c r="BO62">
        <v>5306.5271218395728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3.1647693024351469</v>
      </c>
      <c r="CK62">
        <v>5396.5646145124128</v>
      </c>
      <c r="CL62">
        <v>15.515566658211009</v>
      </c>
      <c r="CM62">
        <v>26457.144265581413</v>
      </c>
      <c r="CN62">
        <v>15.895274347673045</v>
      </c>
      <c r="CO62">
        <v>27104.621817652078</v>
      </c>
      <c r="CP62">
        <v>10</v>
      </c>
      <c r="CQ62">
        <v>17052</v>
      </c>
      <c r="CR62">
        <v>11</v>
      </c>
      <c r="CS62">
        <v>18757.2</v>
      </c>
      <c r="CT62">
        <v>14</v>
      </c>
      <c r="CU62">
        <v>23872.799999999999</v>
      </c>
    </row>
    <row r="63" spans="2:99" x14ac:dyDescent="0.2">
      <c r="C63" s="105" t="s">
        <v>229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1.5962155796207524</v>
      </c>
      <c r="BE63">
        <v>1269.9491151462707</v>
      </c>
      <c r="BF63">
        <v>0.4355867731902448</v>
      </c>
      <c r="BG63">
        <v>346.55283675015875</v>
      </c>
      <c r="BH63">
        <v>7.7064755543537995</v>
      </c>
      <c r="BI63">
        <v>6131.2719510438828</v>
      </c>
      <c r="BJ63">
        <v>3.6808566202839712</v>
      </c>
      <c r="BK63">
        <v>2928.4895270979277</v>
      </c>
      <c r="BL63">
        <v>7.7568417362079156</v>
      </c>
      <c r="BM63">
        <v>6171.3432853270178</v>
      </c>
      <c r="BN63">
        <v>2.9045030770878886</v>
      </c>
      <c r="BO63">
        <v>2310.8226481311244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3.5038517276960555</v>
      </c>
      <c r="CK63">
        <v>2787.6644345549817</v>
      </c>
      <c r="CL63">
        <v>17.239518509123343</v>
      </c>
      <c r="CM63">
        <v>13715.760925858533</v>
      </c>
      <c r="CN63">
        <v>18.405054507831945</v>
      </c>
      <c r="CO63">
        <v>14643.061366431097</v>
      </c>
      <c r="CP63">
        <v>11</v>
      </c>
      <c r="CQ63">
        <v>8751.6</v>
      </c>
      <c r="CR63">
        <v>11</v>
      </c>
      <c r="CS63">
        <v>8751.6</v>
      </c>
      <c r="CT63">
        <v>14</v>
      </c>
      <c r="CU63">
        <v>11138.4</v>
      </c>
    </row>
    <row r="64" spans="2:99" x14ac:dyDescent="0.2">
      <c r="C64" s="105" t="s">
        <v>230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1.5962155796207524</v>
      </c>
      <c r="BE64">
        <v>1610.900762953263</v>
      </c>
      <c r="BF64">
        <v>0.54448346648780599</v>
      </c>
      <c r="BG64">
        <v>549.49271437949369</v>
      </c>
      <c r="BH64">
        <v>7.1136697424804298</v>
      </c>
      <c r="BI64">
        <v>7179.1155041112488</v>
      </c>
      <c r="BJ64">
        <v>3.6808566202839712</v>
      </c>
      <c r="BK64">
        <v>3714.720501190583</v>
      </c>
      <c r="BL64">
        <v>7.7568417362079156</v>
      </c>
      <c r="BM64">
        <v>7828.2046801810275</v>
      </c>
      <c r="BN64">
        <v>3.1119675825941666</v>
      </c>
      <c r="BO64">
        <v>3140.5976843540325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3.616879202783025</v>
      </c>
      <c r="CK64">
        <v>3650.1544914486281</v>
      </c>
      <c r="CL64">
        <v>18.963470360035679</v>
      </c>
      <c r="CM64">
        <v>19137.934287348002</v>
      </c>
      <c r="CN64">
        <v>16.731867734392679</v>
      </c>
      <c r="CO64">
        <v>16885.800917549088</v>
      </c>
      <c r="CP64">
        <v>12</v>
      </c>
      <c r="CQ64">
        <v>12110.399999999998</v>
      </c>
      <c r="CR64">
        <v>12</v>
      </c>
      <c r="CS64">
        <v>12110.399999999998</v>
      </c>
      <c r="CT64">
        <v>14</v>
      </c>
      <c r="CU64">
        <v>14128.799999999997</v>
      </c>
    </row>
    <row r="65" spans="2:99" x14ac:dyDescent="0.2">
      <c r="C65" s="105" t="s">
        <v>231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1.5962155796207524</v>
      </c>
      <c r="BE65">
        <v>1637.7171846908921</v>
      </c>
      <c r="BF65">
        <v>0.4355867731902448</v>
      </c>
      <c r="BG65">
        <v>446.91202929319115</v>
      </c>
      <c r="BH65">
        <v>7.1136697424804298</v>
      </c>
      <c r="BI65">
        <v>7298.6251557849209</v>
      </c>
      <c r="BJ65">
        <v>3.4179382902636872</v>
      </c>
      <c r="BK65">
        <v>3506.8046858105431</v>
      </c>
      <c r="BL65">
        <v>6.8442721201834553</v>
      </c>
      <c r="BM65">
        <v>7022.2231953082255</v>
      </c>
      <c r="BN65">
        <v>3.3194320881004447</v>
      </c>
      <c r="BO65">
        <v>3405.7373223910563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3.5038517276960555</v>
      </c>
      <c r="CK65">
        <v>3594.9518726161527</v>
      </c>
      <c r="CL65">
        <v>18.3888197430649</v>
      </c>
      <c r="CM65">
        <v>18866.929056384586</v>
      </c>
      <c r="CN65">
        <v>17.568461121112311</v>
      </c>
      <c r="CO65">
        <v>18025.241110261231</v>
      </c>
      <c r="CP65">
        <v>11</v>
      </c>
      <c r="CQ65">
        <v>11286</v>
      </c>
      <c r="CR65">
        <v>11</v>
      </c>
      <c r="CS65">
        <v>11286</v>
      </c>
      <c r="CT65">
        <v>17</v>
      </c>
      <c r="CU65">
        <v>17442</v>
      </c>
    </row>
    <row r="66" spans="2:99" x14ac:dyDescent="0.2">
      <c r="C66" s="105" t="s">
        <v>232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1.276972463696602</v>
      </c>
      <c r="BE66">
        <v>1520.1080207844348</v>
      </c>
      <c r="BF66">
        <v>0.4355867731902448</v>
      </c>
      <c r="BG66">
        <v>518.52249480566741</v>
      </c>
      <c r="BH66">
        <v>7.1136697424804298</v>
      </c>
      <c r="BI66">
        <v>8468.1124614487035</v>
      </c>
      <c r="BJ66">
        <v>3.9437749503042543</v>
      </c>
      <c r="BK66">
        <v>4694.6697008421834</v>
      </c>
      <c r="BL66">
        <v>7.7568417362079156</v>
      </c>
      <c r="BM66">
        <v>9233.744402781902</v>
      </c>
      <c r="BN66">
        <v>3.3194320881004447</v>
      </c>
      <c r="BO66">
        <v>3951.4519576747689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3.1647693024351469</v>
      </c>
      <c r="CK66">
        <v>3767.3413776187986</v>
      </c>
      <c r="CL66">
        <v>16.664867892152564</v>
      </c>
      <c r="CM66">
        <v>19837.85873881841</v>
      </c>
      <c r="CN66">
        <v>17.568461121112311</v>
      </c>
      <c r="CO66">
        <v>20913.496118572093</v>
      </c>
      <c r="CP66">
        <v>10</v>
      </c>
      <c r="CQ66">
        <v>11903.999999999998</v>
      </c>
      <c r="CR66">
        <v>12</v>
      </c>
      <c r="CS66">
        <v>14284.8</v>
      </c>
      <c r="CT66">
        <v>14</v>
      </c>
      <c r="CU66">
        <v>16665.599999999999</v>
      </c>
    </row>
    <row r="67" spans="2:99" x14ac:dyDescent="0.2">
      <c r="C67" s="105" t="s">
        <v>233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1.276972463696602</v>
      </c>
      <c r="BE67">
        <v>1434.2954712240235</v>
      </c>
      <c r="BF67">
        <v>0.4355867731902448</v>
      </c>
      <c r="BG67">
        <v>489.25106364728299</v>
      </c>
      <c r="BH67">
        <v>6.5208639306070602</v>
      </c>
      <c r="BI67">
        <v>7324.2343668578505</v>
      </c>
      <c r="BJ67">
        <v>3.6808566202839712</v>
      </c>
      <c r="BK67">
        <v>4134.3381559029567</v>
      </c>
      <c r="BL67">
        <v>6.8442721201834553</v>
      </c>
      <c r="BM67">
        <v>7687.4864453900573</v>
      </c>
      <c r="BN67">
        <v>3.1119675825941666</v>
      </c>
      <c r="BO67">
        <v>3495.3619887697682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3.7299066778699945</v>
      </c>
      <c r="CK67">
        <v>4189.4311805835778</v>
      </c>
      <c r="CL67">
        <v>19.538120977006457</v>
      </c>
      <c r="CM67">
        <v>21945.217481373653</v>
      </c>
      <c r="CN67">
        <v>15.895274347673045</v>
      </c>
      <c r="CO67">
        <v>17853.572147306364</v>
      </c>
      <c r="CP67">
        <v>12</v>
      </c>
      <c r="CQ67">
        <v>13478.400000000001</v>
      </c>
      <c r="CR67">
        <v>12</v>
      </c>
      <c r="CS67">
        <v>13478.400000000001</v>
      </c>
      <c r="CT67">
        <v>16</v>
      </c>
      <c r="CU67">
        <v>17971.2</v>
      </c>
    </row>
    <row r="68" spans="2:99" x14ac:dyDescent="0.2">
      <c r="C68" s="105" t="s">
        <v>234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1.276972463696602</v>
      </c>
      <c r="BE68">
        <v>1319.3679494913292</v>
      </c>
      <c r="BF68">
        <v>0.4355867731902448</v>
      </c>
      <c r="BG68">
        <v>450.04825406016096</v>
      </c>
      <c r="BH68">
        <v>7.7064755543537995</v>
      </c>
      <c r="BI68">
        <v>7962.3305427583464</v>
      </c>
      <c r="BJ68">
        <v>3.4179382902636872</v>
      </c>
      <c r="BK68">
        <v>3531.4138415004418</v>
      </c>
      <c r="BL68">
        <v>7.7568417362079156</v>
      </c>
      <c r="BM68">
        <v>8014.3688818500186</v>
      </c>
      <c r="BN68">
        <v>3.3194320881004447</v>
      </c>
      <c r="BO68">
        <v>3429.6372334253797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3.616879202783025</v>
      </c>
      <c r="CK68">
        <v>3736.9595923154216</v>
      </c>
      <c r="CL68">
        <v>18.3888197430649</v>
      </c>
      <c r="CM68">
        <v>18999.328558534657</v>
      </c>
      <c r="CN68">
        <v>16.731867734392679</v>
      </c>
      <c r="CO68">
        <v>17287.365743174516</v>
      </c>
      <c r="CP68">
        <v>11</v>
      </c>
      <c r="CQ68">
        <v>11365.2</v>
      </c>
      <c r="CR68">
        <v>12</v>
      </c>
      <c r="CS68">
        <v>12398.400000000001</v>
      </c>
      <c r="CT68">
        <v>15</v>
      </c>
      <c r="CU68">
        <v>15498</v>
      </c>
    </row>
    <row r="69" spans="2:99" x14ac:dyDescent="0.2">
      <c r="C69" s="105" t="s">
        <v>235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1.276972463696602</v>
      </c>
      <c r="BE69">
        <v>968.4559164675029</v>
      </c>
      <c r="BF69">
        <v>0.4355867731902448</v>
      </c>
      <c r="BG69">
        <v>330.34900878748164</v>
      </c>
      <c r="BH69">
        <v>7.1136697424804298</v>
      </c>
      <c r="BI69">
        <v>5395.0071326971574</v>
      </c>
      <c r="BJ69">
        <v>3.9437749503042543</v>
      </c>
      <c r="BK69">
        <v>2990.9589223107464</v>
      </c>
      <c r="BL69">
        <v>7.7568417362079156</v>
      </c>
      <c r="BM69">
        <v>5882.788772740083</v>
      </c>
      <c r="BN69">
        <v>3.1119675825941666</v>
      </c>
      <c r="BO69">
        <v>2360.1162146394158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3.5038517276960555</v>
      </c>
      <c r="CK69">
        <v>2657.3211502846884</v>
      </c>
      <c r="CL69">
        <v>18.3888197430649</v>
      </c>
      <c r="CM69">
        <v>13946.080893140419</v>
      </c>
      <c r="CN69">
        <v>16.731867734392679</v>
      </c>
      <c r="CO69">
        <v>12689.448489763408</v>
      </c>
      <c r="CP69">
        <v>10</v>
      </c>
      <c r="CQ69">
        <v>7584</v>
      </c>
      <c r="CR69">
        <v>12</v>
      </c>
      <c r="CS69">
        <v>9100.7999999999993</v>
      </c>
      <c r="CT69">
        <v>17</v>
      </c>
      <c r="CU69">
        <v>12892.8</v>
      </c>
    </row>
    <row r="70" spans="2:99" x14ac:dyDescent="0.2">
      <c r="C70" s="105" t="s">
        <v>236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1.5962155796207524</v>
      </c>
      <c r="BE70">
        <v>854.29457821302663</v>
      </c>
      <c r="BF70">
        <v>0.4355867731902448</v>
      </c>
      <c r="BG70">
        <v>233.12604101141898</v>
      </c>
      <c r="BH70">
        <v>8.2992813662271683</v>
      </c>
      <c r="BI70">
        <v>4441.7753872047797</v>
      </c>
      <c r="BJ70">
        <v>3.9437749503042543</v>
      </c>
      <c r="BK70">
        <v>2110.7083534028366</v>
      </c>
      <c r="BL70">
        <v>7.7568417362079156</v>
      </c>
      <c r="BM70">
        <v>4151.4616972184758</v>
      </c>
      <c r="BN70">
        <v>3.3194320881004447</v>
      </c>
      <c r="BO70">
        <v>1776.5600535513577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3.8429341529569636</v>
      </c>
      <c r="CK70">
        <v>2056.7383586625665</v>
      </c>
      <c r="CL70">
        <v>20.687422210948014</v>
      </c>
      <c r="CM70">
        <v>11071.908367299377</v>
      </c>
      <c r="CN70">
        <v>18.405054507831945</v>
      </c>
      <c r="CO70">
        <v>9850.3851725916556</v>
      </c>
      <c r="CP70">
        <v>11</v>
      </c>
      <c r="CQ70">
        <v>5887.1999999999989</v>
      </c>
      <c r="CR70">
        <v>13</v>
      </c>
      <c r="CS70">
        <v>6957.5999999999995</v>
      </c>
      <c r="CT70">
        <v>15</v>
      </c>
      <c r="CU70">
        <v>8027.9999999999991</v>
      </c>
    </row>
    <row r="71" spans="2:99" x14ac:dyDescent="0.2">
      <c r="B71" s="105" t="s">
        <v>130</v>
      </c>
      <c r="C71" s="105" t="s">
        <v>237</v>
      </c>
      <c r="D71">
        <v>0</v>
      </c>
      <c r="E71">
        <v>0</v>
      </c>
      <c r="F71">
        <v>5.3216710964549288</v>
      </c>
      <c r="G71">
        <v>3001.42249840058</v>
      </c>
      <c r="H71">
        <v>4</v>
      </c>
      <c r="I71">
        <v>2256</v>
      </c>
      <c r="J71">
        <v>8</v>
      </c>
      <c r="K71">
        <v>4512</v>
      </c>
      <c r="L71">
        <v>4</v>
      </c>
      <c r="M71">
        <v>2256</v>
      </c>
      <c r="N71">
        <v>5</v>
      </c>
      <c r="O71">
        <v>2820</v>
      </c>
      <c r="P71">
        <v>4</v>
      </c>
      <c r="Q71">
        <v>2256</v>
      </c>
      <c r="R71">
        <v>4</v>
      </c>
      <c r="S71">
        <v>2256</v>
      </c>
      <c r="T71">
        <v>8</v>
      </c>
      <c r="U71">
        <v>4512</v>
      </c>
      <c r="V71">
        <v>7</v>
      </c>
      <c r="W71">
        <v>3948</v>
      </c>
      <c r="X71">
        <v>7</v>
      </c>
      <c r="Y71">
        <v>3948</v>
      </c>
      <c r="Z71">
        <v>8</v>
      </c>
      <c r="AA71">
        <v>4512</v>
      </c>
      <c r="AB71">
        <v>6</v>
      </c>
      <c r="AC71">
        <v>3384</v>
      </c>
      <c r="AD71">
        <v>6</v>
      </c>
      <c r="AE71">
        <v>3384</v>
      </c>
      <c r="AF71">
        <v>5</v>
      </c>
      <c r="AG71">
        <v>2820</v>
      </c>
      <c r="AH71">
        <v>4</v>
      </c>
      <c r="AI71">
        <v>2256</v>
      </c>
      <c r="AJ71">
        <v>25</v>
      </c>
      <c r="AK71">
        <v>14100</v>
      </c>
      <c r="AL71">
        <v>29</v>
      </c>
      <c r="AM71">
        <v>16356</v>
      </c>
      <c r="AN71">
        <v>33</v>
      </c>
      <c r="AO71">
        <v>18612</v>
      </c>
      <c r="AP71">
        <v>44</v>
      </c>
      <c r="AQ71">
        <v>24816</v>
      </c>
      <c r="AR71">
        <v>6</v>
      </c>
      <c r="AS71">
        <v>3384</v>
      </c>
      <c r="AT71">
        <v>9</v>
      </c>
      <c r="AU71">
        <v>5076</v>
      </c>
      <c r="AV71">
        <v>8</v>
      </c>
      <c r="AW71">
        <v>4512</v>
      </c>
      <c r="AX71">
        <v>8</v>
      </c>
      <c r="AY71">
        <v>4512</v>
      </c>
      <c r="AZ71">
        <v>8</v>
      </c>
      <c r="BA71">
        <v>4512</v>
      </c>
      <c r="BB71">
        <v>5</v>
      </c>
      <c r="BC71">
        <v>2820</v>
      </c>
      <c r="BD71">
        <v>7</v>
      </c>
      <c r="BE71">
        <v>3948</v>
      </c>
      <c r="BF71">
        <v>5</v>
      </c>
      <c r="BG71">
        <v>2820</v>
      </c>
      <c r="BH71">
        <v>21</v>
      </c>
      <c r="BI71">
        <v>11844</v>
      </c>
      <c r="BJ71">
        <v>25</v>
      </c>
      <c r="BK71">
        <v>14100</v>
      </c>
      <c r="BL71">
        <v>26</v>
      </c>
      <c r="BM71">
        <v>14664</v>
      </c>
      <c r="BN71">
        <v>29</v>
      </c>
      <c r="BO71">
        <v>16356</v>
      </c>
      <c r="BP71">
        <v>11</v>
      </c>
      <c r="BQ71">
        <v>6204</v>
      </c>
      <c r="BR71">
        <v>12</v>
      </c>
      <c r="BS71">
        <v>6768</v>
      </c>
      <c r="BT71">
        <v>11</v>
      </c>
      <c r="BU71">
        <v>6204</v>
      </c>
      <c r="BV71">
        <v>8</v>
      </c>
      <c r="BW71">
        <v>4512</v>
      </c>
      <c r="BX71">
        <v>3</v>
      </c>
      <c r="BY71">
        <v>1692</v>
      </c>
      <c r="BZ71">
        <v>5</v>
      </c>
      <c r="CA71">
        <v>2820</v>
      </c>
      <c r="CB71">
        <v>4</v>
      </c>
      <c r="CC71">
        <v>2256</v>
      </c>
      <c r="CD71">
        <v>4</v>
      </c>
      <c r="CE71">
        <v>2256</v>
      </c>
      <c r="CF71">
        <v>6</v>
      </c>
      <c r="CG71">
        <v>3384</v>
      </c>
      <c r="CH71">
        <v>7</v>
      </c>
      <c r="CI71">
        <v>3948</v>
      </c>
      <c r="CJ71">
        <v>4</v>
      </c>
      <c r="CK71">
        <v>2256</v>
      </c>
      <c r="CL71">
        <v>4</v>
      </c>
      <c r="CM71">
        <v>2256</v>
      </c>
      <c r="CN71">
        <v>7</v>
      </c>
      <c r="CO71">
        <v>3948</v>
      </c>
      <c r="CP71">
        <v>14</v>
      </c>
      <c r="CQ71">
        <v>7896</v>
      </c>
      <c r="CR71">
        <v>8</v>
      </c>
      <c r="CS71">
        <v>4512</v>
      </c>
      <c r="CT71">
        <v>15</v>
      </c>
      <c r="CU71">
        <v>8460</v>
      </c>
    </row>
    <row r="72" spans="2:99" x14ac:dyDescent="0.2">
      <c r="C72" s="105" t="s">
        <v>238</v>
      </c>
      <c r="D72">
        <v>0</v>
      </c>
      <c r="E72">
        <v>0</v>
      </c>
      <c r="F72">
        <v>5.3216710964549288</v>
      </c>
      <c r="G72">
        <v>395.93232957624667</v>
      </c>
      <c r="H72">
        <v>5</v>
      </c>
      <c r="I72">
        <v>371.99999999999994</v>
      </c>
      <c r="J72">
        <v>8</v>
      </c>
      <c r="K72">
        <v>595.19999999999993</v>
      </c>
      <c r="L72">
        <v>4</v>
      </c>
      <c r="M72">
        <v>297.59999999999997</v>
      </c>
      <c r="N72">
        <v>4</v>
      </c>
      <c r="O72">
        <v>297.59999999999997</v>
      </c>
      <c r="P72">
        <v>4</v>
      </c>
      <c r="Q72">
        <v>297.59999999999997</v>
      </c>
      <c r="R72">
        <v>4</v>
      </c>
      <c r="S72">
        <v>297.59999999999997</v>
      </c>
      <c r="T72">
        <v>7</v>
      </c>
      <c r="U72">
        <v>520.79999999999995</v>
      </c>
      <c r="V72">
        <v>6</v>
      </c>
      <c r="W72">
        <v>446.4</v>
      </c>
      <c r="X72">
        <v>6</v>
      </c>
      <c r="Y72">
        <v>446.4</v>
      </c>
      <c r="Z72">
        <v>9</v>
      </c>
      <c r="AA72">
        <v>669.59999999999991</v>
      </c>
      <c r="AB72">
        <v>6</v>
      </c>
      <c r="AC72">
        <v>446.4</v>
      </c>
      <c r="AD72">
        <v>5</v>
      </c>
      <c r="AE72">
        <v>371.99999999999994</v>
      </c>
      <c r="AF72">
        <v>5</v>
      </c>
      <c r="AG72">
        <v>371.99999999999994</v>
      </c>
      <c r="AH72">
        <v>4</v>
      </c>
      <c r="AI72">
        <v>297.59999999999997</v>
      </c>
      <c r="AJ72">
        <v>29</v>
      </c>
      <c r="AK72">
        <v>2157.6</v>
      </c>
      <c r="AL72">
        <v>30</v>
      </c>
      <c r="AM72">
        <v>2231.9999999999995</v>
      </c>
      <c r="AN72">
        <v>38</v>
      </c>
      <c r="AO72">
        <v>2827.2</v>
      </c>
      <c r="AP72">
        <v>45</v>
      </c>
      <c r="AQ72">
        <v>3347.9999999999995</v>
      </c>
      <c r="AR72">
        <v>7</v>
      </c>
      <c r="AS72">
        <v>520.79999999999995</v>
      </c>
      <c r="AT72">
        <v>8</v>
      </c>
      <c r="AU72">
        <v>595.19999999999993</v>
      </c>
      <c r="AV72">
        <v>9</v>
      </c>
      <c r="AW72">
        <v>669.59999999999991</v>
      </c>
      <c r="AX72">
        <v>9</v>
      </c>
      <c r="AY72">
        <v>669.59999999999991</v>
      </c>
      <c r="AZ72">
        <v>8</v>
      </c>
      <c r="BA72">
        <v>595.19999999999993</v>
      </c>
      <c r="BB72">
        <v>4</v>
      </c>
      <c r="BC72">
        <v>297.59999999999997</v>
      </c>
      <c r="BD72">
        <v>8</v>
      </c>
      <c r="BE72">
        <v>595.19999999999993</v>
      </c>
      <c r="BF72">
        <v>5</v>
      </c>
      <c r="BG72">
        <v>371.99999999999994</v>
      </c>
      <c r="BH72">
        <v>20</v>
      </c>
      <c r="BI72">
        <v>1487.9999999999998</v>
      </c>
      <c r="BJ72">
        <v>28</v>
      </c>
      <c r="BK72">
        <v>2083.1999999999998</v>
      </c>
      <c r="BL72">
        <v>28</v>
      </c>
      <c r="BM72">
        <v>2083.1999999999998</v>
      </c>
      <c r="BN72">
        <v>27</v>
      </c>
      <c r="BO72">
        <v>2008.7999999999997</v>
      </c>
      <c r="BP72">
        <v>11</v>
      </c>
      <c r="BQ72">
        <v>818.39999999999986</v>
      </c>
      <c r="BR72">
        <v>12</v>
      </c>
      <c r="BS72">
        <v>892.8</v>
      </c>
      <c r="BT72">
        <v>12</v>
      </c>
      <c r="BU72">
        <v>892.8</v>
      </c>
      <c r="BV72">
        <v>8</v>
      </c>
      <c r="BW72">
        <v>595.19999999999993</v>
      </c>
      <c r="BX72">
        <v>3</v>
      </c>
      <c r="BY72">
        <v>223.2</v>
      </c>
      <c r="BZ72">
        <v>5</v>
      </c>
      <c r="CA72">
        <v>371.99999999999994</v>
      </c>
      <c r="CB72">
        <v>4</v>
      </c>
      <c r="CC72">
        <v>297.59999999999997</v>
      </c>
      <c r="CD72">
        <v>5</v>
      </c>
      <c r="CE72">
        <v>371.99999999999994</v>
      </c>
      <c r="CF72">
        <v>7</v>
      </c>
      <c r="CG72">
        <v>520.79999999999995</v>
      </c>
      <c r="CH72">
        <v>8</v>
      </c>
      <c r="CI72">
        <v>595.19999999999993</v>
      </c>
      <c r="CJ72">
        <v>4</v>
      </c>
      <c r="CK72">
        <v>297.59999999999997</v>
      </c>
      <c r="CL72">
        <v>5</v>
      </c>
      <c r="CM72">
        <v>371.99999999999994</v>
      </c>
      <c r="CN72">
        <v>8</v>
      </c>
      <c r="CO72">
        <v>595.19999999999993</v>
      </c>
      <c r="CP72">
        <v>13</v>
      </c>
      <c r="CQ72">
        <v>967.19999999999993</v>
      </c>
      <c r="CR72">
        <v>9</v>
      </c>
      <c r="CS72">
        <v>669.59999999999991</v>
      </c>
      <c r="CT72">
        <v>14</v>
      </c>
      <c r="CU72">
        <v>1041.5999999999999</v>
      </c>
    </row>
    <row r="73" spans="2:99" x14ac:dyDescent="0.2">
      <c r="C73" s="105" t="s">
        <v>239</v>
      </c>
      <c r="D73">
        <v>0</v>
      </c>
      <c r="E73">
        <v>0</v>
      </c>
      <c r="F73">
        <v>4.5614323683899389</v>
      </c>
      <c r="G73">
        <v>2550.7529804036535</v>
      </c>
      <c r="H73">
        <v>4</v>
      </c>
      <c r="I73">
        <v>2236.7999999999997</v>
      </c>
      <c r="J73">
        <v>7</v>
      </c>
      <c r="K73">
        <v>3914.3999999999996</v>
      </c>
      <c r="L73">
        <v>4</v>
      </c>
      <c r="M73">
        <v>2236.7999999999997</v>
      </c>
      <c r="N73">
        <v>5</v>
      </c>
      <c r="O73">
        <v>2795.9999999999995</v>
      </c>
      <c r="P73">
        <v>3</v>
      </c>
      <c r="Q73">
        <v>1677.6</v>
      </c>
      <c r="R73">
        <v>4</v>
      </c>
      <c r="S73">
        <v>2236.7999999999997</v>
      </c>
      <c r="T73">
        <v>8</v>
      </c>
      <c r="U73">
        <v>4473.5999999999995</v>
      </c>
      <c r="V73">
        <v>7</v>
      </c>
      <c r="W73">
        <v>3914.3999999999996</v>
      </c>
      <c r="X73">
        <v>6</v>
      </c>
      <c r="Y73">
        <v>3355.2</v>
      </c>
      <c r="Z73">
        <v>8</v>
      </c>
      <c r="AA73">
        <v>4473.5999999999995</v>
      </c>
      <c r="AB73">
        <v>6</v>
      </c>
      <c r="AC73">
        <v>3355.2</v>
      </c>
      <c r="AD73">
        <v>5</v>
      </c>
      <c r="AE73">
        <v>2795.9999999999995</v>
      </c>
      <c r="AF73">
        <v>5</v>
      </c>
      <c r="AG73">
        <v>2795.9999999999995</v>
      </c>
      <c r="AH73">
        <v>4</v>
      </c>
      <c r="AI73">
        <v>2236.7999999999997</v>
      </c>
      <c r="AJ73">
        <v>30</v>
      </c>
      <c r="AK73">
        <v>16775.999999999996</v>
      </c>
      <c r="AL73">
        <v>31</v>
      </c>
      <c r="AM73">
        <v>17335.199999999997</v>
      </c>
      <c r="AN73">
        <v>36</v>
      </c>
      <c r="AO73">
        <v>20131.199999999997</v>
      </c>
      <c r="AP73">
        <v>39</v>
      </c>
      <c r="AQ73">
        <v>21808.799999999996</v>
      </c>
      <c r="AR73">
        <v>6</v>
      </c>
      <c r="AS73">
        <v>3355.2</v>
      </c>
      <c r="AT73">
        <v>9</v>
      </c>
      <c r="AU73">
        <v>5032.7999999999993</v>
      </c>
      <c r="AV73">
        <v>8</v>
      </c>
      <c r="AW73">
        <v>4473.5999999999995</v>
      </c>
      <c r="AX73">
        <v>9</v>
      </c>
      <c r="AY73">
        <v>5032.7999999999993</v>
      </c>
      <c r="AZ73">
        <v>6</v>
      </c>
      <c r="BA73">
        <v>3355.2</v>
      </c>
      <c r="BB73">
        <v>4</v>
      </c>
      <c r="BC73">
        <v>2236.7999999999997</v>
      </c>
      <c r="BD73">
        <v>8</v>
      </c>
      <c r="BE73">
        <v>4473.5999999999995</v>
      </c>
      <c r="BF73">
        <v>4</v>
      </c>
      <c r="BG73">
        <v>2236.7999999999997</v>
      </c>
      <c r="BH73">
        <v>21</v>
      </c>
      <c r="BI73">
        <v>11743.199999999999</v>
      </c>
      <c r="BJ73">
        <v>25</v>
      </c>
      <c r="BK73">
        <v>13979.999999999998</v>
      </c>
      <c r="BL73">
        <v>24</v>
      </c>
      <c r="BM73">
        <v>13420.8</v>
      </c>
      <c r="BN73">
        <v>27</v>
      </c>
      <c r="BO73">
        <v>15098.399999999998</v>
      </c>
      <c r="BP73">
        <v>12</v>
      </c>
      <c r="BQ73">
        <v>6710.4</v>
      </c>
      <c r="BR73">
        <v>11</v>
      </c>
      <c r="BS73">
        <v>6151.1999999999989</v>
      </c>
      <c r="BT73">
        <v>12</v>
      </c>
      <c r="BU73">
        <v>6710.4</v>
      </c>
      <c r="BV73">
        <v>7</v>
      </c>
      <c r="BW73">
        <v>3914.3999999999996</v>
      </c>
      <c r="BX73">
        <v>3</v>
      </c>
      <c r="BY73">
        <v>1677.6</v>
      </c>
      <c r="BZ73">
        <v>5</v>
      </c>
      <c r="CA73">
        <v>2795.9999999999995</v>
      </c>
      <c r="CB73">
        <v>4</v>
      </c>
      <c r="CC73">
        <v>2236.7999999999997</v>
      </c>
      <c r="CD73">
        <v>5</v>
      </c>
      <c r="CE73">
        <v>2795.9999999999995</v>
      </c>
      <c r="CF73">
        <v>7</v>
      </c>
      <c r="CG73">
        <v>3914.3999999999996</v>
      </c>
      <c r="CH73">
        <v>7</v>
      </c>
      <c r="CI73">
        <v>3914.3999999999996</v>
      </c>
      <c r="CJ73">
        <v>4</v>
      </c>
      <c r="CK73">
        <v>2236.7999999999997</v>
      </c>
      <c r="CL73">
        <v>4</v>
      </c>
      <c r="CM73">
        <v>2236.7999999999997</v>
      </c>
      <c r="CN73">
        <v>7</v>
      </c>
      <c r="CO73">
        <v>3914.3999999999996</v>
      </c>
      <c r="CP73">
        <v>13</v>
      </c>
      <c r="CQ73">
        <v>7269.5999999999995</v>
      </c>
      <c r="CR73">
        <v>8</v>
      </c>
      <c r="CS73">
        <v>4473.5999999999995</v>
      </c>
      <c r="CT73">
        <v>14</v>
      </c>
      <c r="CU73">
        <v>7828.7999999999993</v>
      </c>
    </row>
    <row r="74" spans="2:99" x14ac:dyDescent="0.2">
      <c r="C74" s="105" t="s">
        <v>240</v>
      </c>
      <c r="D74">
        <v>0</v>
      </c>
      <c r="E74">
        <v>0</v>
      </c>
      <c r="F74">
        <v>4.5614323683899389</v>
      </c>
      <c r="G74">
        <v>1839.1695309348233</v>
      </c>
      <c r="H74">
        <v>4</v>
      </c>
      <c r="I74">
        <v>1612.8</v>
      </c>
      <c r="J74">
        <v>8</v>
      </c>
      <c r="K74">
        <v>3225.6</v>
      </c>
      <c r="L74">
        <v>4</v>
      </c>
      <c r="M74">
        <v>1612.8</v>
      </c>
      <c r="N74">
        <v>5</v>
      </c>
      <c r="O74">
        <v>2016</v>
      </c>
      <c r="P74">
        <v>3</v>
      </c>
      <c r="Q74">
        <v>1209.5999999999999</v>
      </c>
      <c r="R74">
        <v>4</v>
      </c>
      <c r="S74">
        <v>1612.8</v>
      </c>
      <c r="T74">
        <v>9</v>
      </c>
      <c r="U74">
        <v>3628.7999999999997</v>
      </c>
      <c r="V74">
        <v>7</v>
      </c>
      <c r="W74">
        <v>2822.4</v>
      </c>
      <c r="X74">
        <v>7</v>
      </c>
      <c r="Y74">
        <v>2822.4</v>
      </c>
      <c r="Z74">
        <v>9</v>
      </c>
      <c r="AA74">
        <v>3628.7999999999997</v>
      </c>
      <c r="AB74">
        <v>5</v>
      </c>
      <c r="AC74">
        <v>2016</v>
      </c>
      <c r="AD74">
        <v>5</v>
      </c>
      <c r="AE74">
        <v>2016</v>
      </c>
      <c r="AF74">
        <v>5</v>
      </c>
      <c r="AG74">
        <v>2016</v>
      </c>
      <c r="AH74">
        <v>4</v>
      </c>
      <c r="AI74">
        <v>1612.8</v>
      </c>
      <c r="AJ74">
        <v>26</v>
      </c>
      <c r="AK74">
        <v>10483.199999999999</v>
      </c>
      <c r="AL74">
        <v>32</v>
      </c>
      <c r="AM74">
        <v>12902.4</v>
      </c>
      <c r="AN74">
        <v>39</v>
      </c>
      <c r="AO74">
        <v>15724.8</v>
      </c>
      <c r="AP74">
        <v>38</v>
      </c>
      <c r="AQ74">
        <v>15321.6</v>
      </c>
      <c r="AR74">
        <v>7</v>
      </c>
      <c r="AS74">
        <v>2822.4</v>
      </c>
      <c r="AT74">
        <v>9</v>
      </c>
      <c r="AU74">
        <v>3628.7999999999997</v>
      </c>
      <c r="AV74">
        <v>8</v>
      </c>
      <c r="AW74">
        <v>3225.6</v>
      </c>
      <c r="AX74">
        <v>9</v>
      </c>
      <c r="AY74">
        <v>3628.7999999999997</v>
      </c>
      <c r="AZ74">
        <v>8</v>
      </c>
      <c r="BA74">
        <v>3225.6</v>
      </c>
      <c r="BB74">
        <v>5</v>
      </c>
      <c r="BC74">
        <v>2016</v>
      </c>
      <c r="BD74">
        <v>7</v>
      </c>
      <c r="BE74">
        <v>2822.4</v>
      </c>
      <c r="BF74">
        <v>5</v>
      </c>
      <c r="BG74">
        <v>2016</v>
      </c>
      <c r="BH74">
        <v>22</v>
      </c>
      <c r="BI74">
        <v>8870.4</v>
      </c>
      <c r="BJ74">
        <v>23</v>
      </c>
      <c r="BK74">
        <v>9273.6</v>
      </c>
      <c r="BL74">
        <v>26</v>
      </c>
      <c r="BM74">
        <v>10483.199999999999</v>
      </c>
      <c r="BN74">
        <v>31</v>
      </c>
      <c r="BO74">
        <v>12499.199999999999</v>
      </c>
      <c r="BP74">
        <v>12</v>
      </c>
      <c r="BQ74">
        <v>4838.3999999999996</v>
      </c>
      <c r="BR74">
        <v>11</v>
      </c>
      <c r="BS74">
        <v>4435.2</v>
      </c>
      <c r="BT74">
        <v>11</v>
      </c>
      <c r="BU74">
        <v>4435.2</v>
      </c>
      <c r="BV74">
        <v>7</v>
      </c>
      <c r="BW74">
        <v>2822.4</v>
      </c>
      <c r="BX74">
        <v>3</v>
      </c>
      <c r="BY74">
        <v>1209.5999999999999</v>
      </c>
      <c r="BZ74">
        <v>5</v>
      </c>
      <c r="CA74">
        <v>2016</v>
      </c>
      <c r="CB74">
        <v>4</v>
      </c>
      <c r="CC74">
        <v>1612.8</v>
      </c>
      <c r="CD74">
        <v>5</v>
      </c>
      <c r="CE74">
        <v>2016</v>
      </c>
      <c r="CF74">
        <v>6</v>
      </c>
      <c r="CG74">
        <v>2419.1999999999998</v>
      </c>
      <c r="CH74">
        <v>7</v>
      </c>
      <c r="CI74">
        <v>2822.4</v>
      </c>
      <c r="CJ74">
        <v>4</v>
      </c>
      <c r="CK74">
        <v>1612.8</v>
      </c>
      <c r="CL74">
        <v>5</v>
      </c>
      <c r="CM74">
        <v>2016</v>
      </c>
      <c r="CN74">
        <v>8</v>
      </c>
      <c r="CO74">
        <v>3225.6</v>
      </c>
      <c r="CP74">
        <v>12</v>
      </c>
      <c r="CQ74">
        <v>4838.3999999999996</v>
      </c>
      <c r="CR74">
        <v>9</v>
      </c>
      <c r="CS74">
        <v>3628.7999999999997</v>
      </c>
      <c r="CT74">
        <v>14</v>
      </c>
      <c r="CU74">
        <v>5644.8</v>
      </c>
    </row>
    <row r="75" spans="2:99" x14ac:dyDescent="0.2">
      <c r="C75" s="105" t="s">
        <v>241</v>
      </c>
      <c r="D75">
        <v>0</v>
      </c>
      <c r="E75">
        <v>0</v>
      </c>
      <c r="F75">
        <v>5.3216710964549288</v>
      </c>
      <c r="G75">
        <v>3422.8988492398098</v>
      </c>
      <c r="H75">
        <v>5</v>
      </c>
      <c r="I75">
        <v>3215.9999999999995</v>
      </c>
      <c r="J75">
        <v>8</v>
      </c>
      <c r="K75">
        <v>5145.5999999999995</v>
      </c>
      <c r="L75">
        <v>4</v>
      </c>
      <c r="M75">
        <v>2572.7999999999997</v>
      </c>
      <c r="N75">
        <v>5</v>
      </c>
      <c r="O75">
        <v>3215.9999999999995</v>
      </c>
      <c r="P75">
        <v>4</v>
      </c>
      <c r="Q75">
        <v>2572.7999999999997</v>
      </c>
      <c r="R75">
        <v>4</v>
      </c>
      <c r="S75">
        <v>2572.7999999999997</v>
      </c>
      <c r="T75">
        <v>8</v>
      </c>
      <c r="U75">
        <v>5145.5999999999995</v>
      </c>
      <c r="V75">
        <v>7</v>
      </c>
      <c r="W75">
        <v>4502.3999999999996</v>
      </c>
      <c r="X75">
        <v>7</v>
      </c>
      <c r="Y75">
        <v>4502.3999999999996</v>
      </c>
      <c r="Z75">
        <v>9</v>
      </c>
      <c r="AA75">
        <v>5788.7999999999993</v>
      </c>
      <c r="AB75">
        <v>6</v>
      </c>
      <c r="AC75">
        <v>3859.2</v>
      </c>
      <c r="AD75">
        <v>5</v>
      </c>
      <c r="AE75">
        <v>3215.9999999999995</v>
      </c>
      <c r="AF75">
        <v>5</v>
      </c>
      <c r="AG75">
        <v>3215.9999999999995</v>
      </c>
      <c r="AH75">
        <v>4</v>
      </c>
      <c r="AI75">
        <v>2572.7999999999997</v>
      </c>
      <c r="AJ75">
        <v>27</v>
      </c>
      <c r="AK75">
        <v>17366.399999999998</v>
      </c>
      <c r="AL75">
        <v>29</v>
      </c>
      <c r="AM75">
        <v>18652.8</v>
      </c>
      <c r="AN75">
        <v>38</v>
      </c>
      <c r="AO75">
        <v>24441.599999999999</v>
      </c>
      <c r="AP75">
        <v>36</v>
      </c>
      <c r="AQ75">
        <v>23155.199999999997</v>
      </c>
      <c r="AR75">
        <v>6</v>
      </c>
      <c r="AS75">
        <v>3859.2</v>
      </c>
      <c r="AT75">
        <v>9</v>
      </c>
      <c r="AU75">
        <v>5788.7999999999993</v>
      </c>
      <c r="AV75">
        <v>8</v>
      </c>
      <c r="AW75">
        <v>5145.5999999999995</v>
      </c>
      <c r="AX75">
        <v>8</v>
      </c>
      <c r="AY75">
        <v>5145.5999999999995</v>
      </c>
      <c r="AZ75">
        <v>7</v>
      </c>
      <c r="BA75">
        <v>4502.3999999999996</v>
      </c>
      <c r="BB75">
        <v>4</v>
      </c>
      <c r="BC75">
        <v>2572.7999999999997</v>
      </c>
      <c r="BD75">
        <v>7</v>
      </c>
      <c r="BE75">
        <v>4502.3999999999996</v>
      </c>
      <c r="BF75">
        <v>5</v>
      </c>
      <c r="BG75">
        <v>3215.9999999999995</v>
      </c>
      <c r="BH75">
        <v>21</v>
      </c>
      <c r="BI75">
        <v>13507.199999999999</v>
      </c>
      <c r="BJ75">
        <v>25</v>
      </c>
      <c r="BK75">
        <v>16079.999999999998</v>
      </c>
      <c r="BL75">
        <v>27</v>
      </c>
      <c r="BM75">
        <v>17366.399999999998</v>
      </c>
      <c r="BN75">
        <v>28</v>
      </c>
      <c r="BO75">
        <v>18009.599999999999</v>
      </c>
      <c r="BP75">
        <v>11</v>
      </c>
      <c r="BQ75">
        <v>7075.1999999999989</v>
      </c>
      <c r="BR75">
        <v>13</v>
      </c>
      <c r="BS75">
        <v>8361.5999999999985</v>
      </c>
      <c r="BT75">
        <v>12</v>
      </c>
      <c r="BU75">
        <v>7718.4</v>
      </c>
      <c r="BV75">
        <v>8</v>
      </c>
      <c r="BW75">
        <v>5145.5999999999995</v>
      </c>
      <c r="BX75">
        <v>3</v>
      </c>
      <c r="BY75">
        <v>1929.6</v>
      </c>
      <c r="BZ75">
        <v>5</v>
      </c>
      <c r="CA75">
        <v>3215.9999999999995</v>
      </c>
      <c r="CB75">
        <v>4</v>
      </c>
      <c r="CC75">
        <v>2572.7999999999997</v>
      </c>
      <c r="CD75">
        <v>4</v>
      </c>
      <c r="CE75">
        <v>2572.7999999999997</v>
      </c>
      <c r="CF75">
        <v>7</v>
      </c>
      <c r="CG75">
        <v>4502.3999999999996</v>
      </c>
      <c r="CH75">
        <v>7</v>
      </c>
      <c r="CI75">
        <v>4502.3999999999996</v>
      </c>
      <c r="CJ75">
        <v>4</v>
      </c>
      <c r="CK75">
        <v>2572.7999999999997</v>
      </c>
      <c r="CL75">
        <v>4</v>
      </c>
      <c r="CM75">
        <v>2572.7999999999997</v>
      </c>
      <c r="CN75">
        <v>7</v>
      </c>
      <c r="CO75">
        <v>4502.3999999999996</v>
      </c>
      <c r="CP75">
        <v>12</v>
      </c>
      <c r="CQ75">
        <v>7718.4</v>
      </c>
      <c r="CR75">
        <v>8</v>
      </c>
      <c r="CS75">
        <v>5145.5999999999995</v>
      </c>
      <c r="CT75">
        <v>13</v>
      </c>
      <c r="CU75">
        <v>8361.5999999999985</v>
      </c>
    </row>
    <row r="76" spans="2:99" x14ac:dyDescent="0.2">
      <c r="C76" s="105" t="s">
        <v>242</v>
      </c>
      <c r="D76">
        <v>0</v>
      </c>
      <c r="E76">
        <v>0</v>
      </c>
      <c r="F76">
        <v>5.3216710964549288</v>
      </c>
      <c r="G76">
        <v>4144.517449919098</v>
      </c>
      <c r="H76">
        <v>5</v>
      </c>
      <c r="I76">
        <v>3894</v>
      </c>
      <c r="J76">
        <v>7</v>
      </c>
      <c r="K76">
        <v>5451.5999999999995</v>
      </c>
      <c r="L76">
        <v>4</v>
      </c>
      <c r="M76">
        <v>3115.2</v>
      </c>
      <c r="N76">
        <v>4</v>
      </c>
      <c r="O76">
        <v>3115.2</v>
      </c>
      <c r="P76">
        <v>3</v>
      </c>
      <c r="Q76">
        <v>2336.3999999999996</v>
      </c>
      <c r="R76">
        <v>4</v>
      </c>
      <c r="S76">
        <v>3115.2</v>
      </c>
      <c r="T76">
        <v>7</v>
      </c>
      <c r="U76">
        <v>5451.5999999999995</v>
      </c>
      <c r="V76">
        <v>7</v>
      </c>
      <c r="W76">
        <v>5451.5999999999995</v>
      </c>
      <c r="X76">
        <v>6</v>
      </c>
      <c r="Y76">
        <v>4672.7999999999993</v>
      </c>
      <c r="Z76">
        <v>9</v>
      </c>
      <c r="AA76">
        <v>7009.2</v>
      </c>
      <c r="AB76">
        <v>6</v>
      </c>
      <c r="AC76">
        <v>4672.7999999999993</v>
      </c>
      <c r="AD76">
        <v>5</v>
      </c>
      <c r="AE76">
        <v>3894</v>
      </c>
      <c r="AF76">
        <v>5</v>
      </c>
      <c r="AG76">
        <v>3894</v>
      </c>
      <c r="AH76">
        <v>4</v>
      </c>
      <c r="AI76">
        <v>3115.2</v>
      </c>
      <c r="AJ76">
        <v>27</v>
      </c>
      <c r="AK76">
        <v>21027.599999999999</v>
      </c>
      <c r="AL76">
        <v>29</v>
      </c>
      <c r="AM76">
        <v>22585.199999999997</v>
      </c>
      <c r="AN76">
        <v>31</v>
      </c>
      <c r="AO76">
        <v>24142.799999999999</v>
      </c>
      <c r="AP76">
        <v>37</v>
      </c>
      <c r="AQ76">
        <v>28815.599999999999</v>
      </c>
      <c r="AR76">
        <v>6</v>
      </c>
      <c r="AS76">
        <v>4672.7999999999993</v>
      </c>
      <c r="AT76">
        <v>8</v>
      </c>
      <c r="AU76">
        <v>6230.4</v>
      </c>
      <c r="AV76">
        <v>8</v>
      </c>
      <c r="AW76">
        <v>6230.4</v>
      </c>
      <c r="AX76">
        <v>9</v>
      </c>
      <c r="AY76">
        <v>7009.2</v>
      </c>
      <c r="AZ76">
        <v>8</v>
      </c>
      <c r="BA76">
        <v>6230.4</v>
      </c>
      <c r="BB76">
        <v>4</v>
      </c>
      <c r="BC76">
        <v>3115.2</v>
      </c>
      <c r="BD76">
        <v>7</v>
      </c>
      <c r="BE76">
        <v>5451.5999999999995</v>
      </c>
      <c r="BF76">
        <v>5</v>
      </c>
      <c r="BG76">
        <v>3894</v>
      </c>
      <c r="BH76">
        <v>20</v>
      </c>
      <c r="BI76">
        <v>15576</v>
      </c>
      <c r="BJ76">
        <v>26</v>
      </c>
      <c r="BK76">
        <v>20248.8</v>
      </c>
      <c r="BL76">
        <v>27</v>
      </c>
      <c r="BM76">
        <v>21027.599999999999</v>
      </c>
      <c r="BN76">
        <v>26</v>
      </c>
      <c r="BO76">
        <v>20248.8</v>
      </c>
      <c r="BP76">
        <v>11</v>
      </c>
      <c r="BQ76">
        <v>8566.7999999999993</v>
      </c>
      <c r="BR76">
        <v>12</v>
      </c>
      <c r="BS76">
        <v>9345.5999999999985</v>
      </c>
      <c r="BT76">
        <v>12</v>
      </c>
      <c r="BU76">
        <v>9345.5999999999985</v>
      </c>
      <c r="BV76">
        <v>7</v>
      </c>
      <c r="BW76">
        <v>5451.5999999999995</v>
      </c>
      <c r="BX76">
        <v>3</v>
      </c>
      <c r="BY76">
        <v>2336.3999999999996</v>
      </c>
      <c r="BZ76">
        <v>5</v>
      </c>
      <c r="CA76">
        <v>3894</v>
      </c>
      <c r="CB76">
        <v>4</v>
      </c>
      <c r="CC76">
        <v>3115.2</v>
      </c>
      <c r="CD76">
        <v>5</v>
      </c>
      <c r="CE76">
        <v>3894</v>
      </c>
      <c r="CF76">
        <v>6</v>
      </c>
      <c r="CG76">
        <v>4672.7999999999993</v>
      </c>
      <c r="CH76">
        <v>7</v>
      </c>
      <c r="CI76">
        <v>5451.5999999999995</v>
      </c>
      <c r="CJ76">
        <v>4</v>
      </c>
      <c r="CK76">
        <v>3115.2</v>
      </c>
      <c r="CL76">
        <v>4</v>
      </c>
      <c r="CM76">
        <v>3115.2</v>
      </c>
      <c r="CN76">
        <v>7</v>
      </c>
      <c r="CO76">
        <v>5451.5999999999995</v>
      </c>
      <c r="CP76">
        <v>12</v>
      </c>
      <c r="CQ76">
        <v>9345.5999999999985</v>
      </c>
      <c r="CR76">
        <v>9</v>
      </c>
      <c r="CS76">
        <v>7009.2</v>
      </c>
      <c r="CT76">
        <v>14</v>
      </c>
      <c r="CU76">
        <v>10903.199999999999</v>
      </c>
    </row>
    <row r="77" spans="2:99" x14ac:dyDescent="0.2">
      <c r="C77" s="105" t="s">
        <v>243</v>
      </c>
      <c r="D77">
        <v>0</v>
      </c>
      <c r="E77">
        <v>0</v>
      </c>
      <c r="F77">
        <v>4.5614323683899389</v>
      </c>
      <c r="G77">
        <v>1269.9027713597588</v>
      </c>
      <c r="H77">
        <v>4</v>
      </c>
      <c r="I77">
        <v>1113.5999999999999</v>
      </c>
      <c r="J77">
        <v>7</v>
      </c>
      <c r="K77">
        <v>1948.7999999999997</v>
      </c>
      <c r="L77">
        <v>4</v>
      </c>
      <c r="M77">
        <v>1113.5999999999999</v>
      </c>
      <c r="N77">
        <v>5</v>
      </c>
      <c r="O77">
        <v>1392</v>
      </c>
      <c r="P77">
        <v>4</v>
      </c>
      <c r="Q77">
        <v>1113.5999999999999</v>
      </c>
      <c r="R77">
        <v>4</v>
      </c>
      <c r="S77">
        <v>1113.5999999999999</v>
      </c>
      <c r="T77">
        <v>8</v>
      </c>
      <c r="U77">
        <v>2227.1999999999998</v>
      </c>
      <c r="V77">
        <v>7</v>
      </c>
      <c r="W77">
        <v>1948.7999999999997</v>
      </c>
      <c r="X77">
        <v>6</v>
      </c>
      <c r="Y77">
        <v>1670.3999999999999</v>
      </c>
      <c r="Z77">
        <v>10</v>
      </c>
      <c r="AA77">
        <v>2784</v>
      </c>
      <c r="AB77">
        <v>6</v>
      </c>
      <c r="AC77">
        <v>1670.3999999999999</v>
      </c>
      <c r="AD77">
        <v>5</v>
      </c>
      <c r="AE77">
        <v>1392</v>
      </c>
      <c r="AF77">
        <v>5</v>
      </c>
      <c r="AG77">
        <v>1392</v>
      </c>
      <c r="AH77">
        <v>4</v>
      </c>
      <c r="AI77">
        <v>1113.5999999999999</v>
      </c>
      <c r="AJ77">
        <v>31</v>
      </c>
      <c r="AK77">
        <v>8630.4</v>
      </c>
      <c r="AL77">
        <v>29</v>
      </c>
      <c r="AM77">
        <v>8073.5999999999995</v>
      </c>
      <c r="AN77">
        <v>36</v>
      </c>
      <c r="AO77">
        <v>10022.4</v>
      </c>
      <c r="AP77">
        <v>44</v>
      </c>
      <c r="AQ77">
        <v>12249.599999999999</v>
      </c>
      <c r="AR77">
        <v>6</v>
      </c>
      <c r="AS77">
        <v>1670.3999999999999</v>
      </c>
      <c r="AT77">
        <v>9</v>
      </c>
      <c r="AU77">
        <v>2505.6</v>
      </c>
      <c r="AV77">
        <v>8</v>
      </c>
      <c r="AW77">
        <v>2227.1999999999998</v>
      </c>
      <c r="AX77">
        <v>9</v>
      </c>
      <c r="AY77">
        <v>2505.6</v>
      </c>
      <c r="AZ77">
        <v>7</v>
      </c>
      <c r="BA77">
        <v>1948.7999999999997</v>
      </c>
      <c r="BB77">
        <v>5</v>
      </c>
      <c r="BC77">
        <v>1392</v>
      </c>
      <c r="BD77">
        <v>7</v>
      </c>
      <c r="BE77">
        <v>1948.7999999999997</v>
      </c>
      <c r="BF77">
        <v>5</v>
      </c>
      <c r="BG77">
        <v>1392</v>
      </c>
      <c r="BH77">
        <v>22</v>
      </c>
      <c r="BI77">
        <v>6124.7999999999993</v>
      </c>
      <c r="BJ77">
        <v>28</v>
      </c>
      <c r="BK77">
        <v>7795.1999999999989</v>
      </c>
      <c r="BL77">
        <v>24</v>
      </c>
      <c r="BM77">
        <v>6681.5999999999995</v>
      </c>
      <c r="BN77">
        <v>28</v>
      </c>
      <c r="BO77">
        <v>7795.1999999999989</v>
      </c>
      <c r="BP77">
        <v>12</v>
      </c>
      <c r="BQ77">
        <v>3340.7999999999997</v>
      </c>
      <c r="BR77">
        <v>12</v>
      </c>
      <c r="BS77">
        <v>3340.7999999999997</v>
      </c>
      <c r="BT77">
        <v>13</v>
      </c>
      <c r="BU77">
        <v>3619.2</v>
      </c>
      <c r="BV77">
        <v>8</v>
      </c>
      <c r="BW77">
        <v>2227.1999999999998</v>
      </c>
      <c r="BX77">
        <v>3</v>
      </c>
      <c r="BY77">
        <v>835.19999999999993</v>
      </c>
      <c r="BZ77">
        <v>6</v>
      </c>
      <c r="CA77">
        <v>1670.3999999999999</v>
      </c>
      <c r="CB77">
        <v>5</v>
      </c>
      <c r="CC77">
        <v>1392</v>
      </c>
      <c r="CD77">
        <v>5</v>
      </c>
      <c r="CE77">
        <v>1392</v>
      </c>
      <c r="CF77">
        <v>7</v>
      </c>
      <c r="CG77">
        <v>1948.7999999999997</v>
      </c>
      <c r="CH77">
        <v>7</v>
      </c>
      <c r="CI77">
        <v>1948.7999999999997</v>
      </c>
      <c r="CJ77">
        <v>4</v>
      </c>
      <c r="CK77">
        <v>1113.5999999999999</v>
      </c>
      <c r="CL77">
        <v>5</v>
      </c>
      <c r="CM77">
        <v>1392</v>
      </c>
      <c r="CN77">
        <v>7</v>
      </c>
      <c r="CO77">
        <v>1948.7999999999997</v>
      </c>
      <c r="CP77">
        <v>13</v>
      </c>
      <c r="CQ77">
        <v>3619.2</v>
      </c>
      <c r="CR77">
        <v>9</v>
      </c>
      <c r="CS77">
        <v>2505.6</v>
      </c>
      <c r="CT77">
        <v>13</v>
      </c>
      <c r="CU77">
        <v>3619.2</v>
      </c>
    </row>
    <row r="78" spans="2:99" x14ac:dyDescent="0.2">
      <c r="C78" s="105" t="s">
        <v>244</v>
      </c>
      <c r="D78">
        <v>0</v>
      </c>
      <c r="E78">
        <v>0</v>
      </c>
      <c r="F78">
        <v>5.3216710964549288</v>
      </c>
      <c r="G78">
        <v>2937.5624452431207</v>
      </c>
      <c r="H78">
        <v>4</v>
      </c>
      <c r="I78">
        <v>2208</v>
      </c>
      <c r="J78">
        <v>7</v>
      </c>
      <c r="K78">
        <v>3864</v>
      </c>
      <c r="L78">
        <v>4</v>
      </c>
      <c r="M78">
        <v>2208</v>
      </c>
      <c r="N78">
        <v>5</v>
      </c>
      <c r="O78">
        <v>2760</v>
      </c>
      <c r="P78">
        <v>3</v>
      </c>
      <c r="Q78">
        <v>1656</v>
      </c>
      <c r="R78">
        <v>4</v>
      </c>
      <c r="S78">
        <v>2208</v>
      </c>
      <c r="T78">
        <v>7</v>
      </c>
      <c r="U78">
        <v>3864</v>
      </c>
      <c r="V78">
        <v>7</v>
      </c>
      <c r="W78">
        <v>3864</v>
      </c>
      <c r="X78">
        <v>6</v>
      </c>
      <c r="Y78">
        <v>3312</v>
      </c>
      <c r="Z78">
        <v>9</v>
      </c>
      <c r="AA78">
        <v>4968</v>
      </c>
      <c r="AB78">
        <v>6</v>
      </c>
      <c r="AC78">
        <v>3312</v>
      </c>
      <c r="AD78">
        <v>5</v>
      </c>
      <c r="AE78">
        <v>2760</v>
      </c>
      <c r="AF78">
        <v>5</v>
      </c>
      <c r="AG78">
        <v>2760</v>
      </c>
      <c r="AH78">
        <v>4</v>
      </c>
      <c r="AI78">
        <v>2208</v>
      </c>
      <c r="AJ78">
        <v>30</v>
      </c>
      <c r="AK78">
        <v>16560</v>
      </c>
      <c r="AL78">
        <v>27</v>
      </c>
      <c r="AM78">
        <v>14904</v>
      </c>
      <c r="AN78">
        <v>35</v>
      </c>
      <c r="AO78">
        <v>19320</v>
      </c>
      <c r="AP78">
        <v>37</v>
      </c>
      <c r="AQ78">
        <v>20424</v>
      </c>
      <c r="AR78">
        <v>7</v>
      </c>
      <c r="AS78">
        <v>3864</v>
      </c>
      <c r="AT78">
        <v>8</v>
      </c>
      <c r="AU78">
        <v>4416</v>
      </c>
      <c r="AV78">
        <v>8</v>
      </c>
      <c r="AW78">
        <v>4416</v>
      </c>
      <c r="AX78">
        <v>8</v>
      </c>
      <c r="AY78">
        <v>4416</v>
      </c>
      <c r="AZ78">
        <v>7</v>
      </c>
      <c r="BA78">
        <v>3864</v>
      </c>
      <c r="BB78">
        <v>4</v>
      </c>
      <c r="BC78">
        <v>2208</v>
      </c>
      <c r="BD78">
        <v>7</v>
      </c>
      <c r="BE78">
        <v>3864</v>
      </c>
      <c r="BF78">
        <v>5</v>
      </c>
      <c r="BG78">
        <v>2760</v>
      </c>
      <c r="BH78">
        <v>20</v>
      </c>
      <c r="BI78">
        <v>11040</v>
      </c>
      <c r="BJ78">
        <v>25</v>
      </c>
      <c r="BK78">
        <v>13800</v>
      </c>
      <c r="BL78">
        <v>28</v>
      </c>
      <c r="BM78">
        <v>15456</v>
      </c>
      <c r="BN78">
        <v>27</v>
      </c>
      <c r="BO78">
        <v>14904</v>
      </c>
      <c r="BP78">
        <v>12</v>
      </c>
      <c r="BQ78">
        <v>6624</v>
      </c>
      <c r="BR78">
        <v>12</v>
      </c>
      <c r="BS78">
        <v>6624</v>
      </c>
      <c r="BT78">
        <v>13</v>
      </c>
      <c r="BU78">
        <v>7176</v>
      </c>
      <c r="BV78">
        <v>8</v>
      </c>
      <c r="BW78">
        <v>4416</v>
      </c>
      <c r="BX78">
        <v>3</v>
      </c>
      <c r="BY78">
        <v>1656</v>
      </c>
      <c r="BZ78">
        <v>6</v>
      </c>
      <c r="CA78">
        <v>3312</v>
      </c>
      <c r="CB78">
        <v>4</v>
      </c>
      <c r="CC78">
        <v>2208</v>
      </c>
      <c r="CD78">
        <v>5</v>
      </c>
      <c r="CE78">
        <v>2760</v>
      </c>
      <c r="CF78">
        <v>6</v>
      </c>
      <c r="CG78">
        <v>3312</v>
      </c>
      <c r="CH78">
        <v>7</v>
      </c>
      <c r="CI78">
        <v>3864</v>
      </c>
      <c r="CJ78">
        <v>5</v>
      </c>
      <c r="CK78">
        <v>2760</v>
      </c>
      <c r="CL78">
        <v>4</v>
      </c>
      <c r="CM78">
        <v>2208</v>
      </c>
      <c r="CN78">
        <v>8</v>
      </c>
      <c r="CO78">
        <v>4416</v>
      </c>
      <c r="CP78">
        <v>12</v>
      </c>
      <c r="CQ78">
        <v>6624</v>
      </c>
      <c r="CR78">
        <v>10</v>
      </c>
      <c r="CS78">
        <v>5520</v>
      </c>
      <c r="CT78">
        <v>14</v>
      </c>
      <c r="CU78">
        <v>7728</v>
      </c>
    </row>
    <row r="79" spans="2:99" x14ac:dyDescent="0.2">
      <c r="C79" s="105" t="s">
        <v>245</v>
      </c>
      <c r="D79">
        <v>0</v>
      </c>
      <c r="E79">
        <v>0</v>
      </c>
      <c r="F79">
        <v>4.5614323683899389</v>
      </c>
      <c r="G79">
        <v>3453.9165893448612</v>
      </c>
      <c r="H79">
        <v>4</v>
      </c>
      <c r="I79">
        <v>3028.7999999999997</v>
      </c>
      <c r="J79">
        <v>7</v>
      </c>
      <c r="K79">
        <v>5300.4</v>
      </c>
      <c r="L79">
        <v>4</v>
      </c>
      <c r="M79">
        <v>3028.7999999999997</v>
      </c>
      <c r="N79">
        <v>5</v>
      </c>
      <c r="O79">
        <v>3785.9999999999995</v>
      </c>
      <c r="P79">
        <v>3</v>
      </c>
      <c r="Q79">
        <v>2271.6</v>
      </c>
      <c r="R79">
        <v>4</v>
      </c>
      <c r="S79">
        <v>3028.7999999999997</v>
      </c>
      <c r="T79">
        <v>8</v>
      </c>
      <c r="U79">
        <v>6057.5999999999995</v>
      </c>
      <c r="V79">
        <v>7</v>
      </c>
      <c r="W79">
        <v>5300.4</v>
      </c>
      <c r="X79">
        <v>6</v>
      </c>
      <c r="Y79">
        <v>4543.2</v>
      </c>
      <c r="Z79">
        <v>8</v>
      </c>
      <c r="AA79">
        <v>6057.5999999999995</v>
      </c>
      <c r="AB79">
        <v>5</v>
      </c>
      <c r="AC79">
        <v>3785.9999999999995</v>
      </c>
      <c r="AD79">
        <v>5</v>
      </c>
      <c r="AE79">
        <v>3785.9999999999995</v>
      </c>
      <c r="AF79">
        <v>5</v>
      </c>
      <c r="AG79">
        <v>3785.9999999999995</v>
      </c>
      <c r="AH79">
        <v>4</v>
      </c>
      <c r="AI79">
        <v>3028.7999999999997</v>
      </c>
      <c r="AJ79">
        <v>28</v>
      </c>
      <c r="AK79">
        <v>21201.599999999999</v>
      </c>
      <c r="AL79">
        <v>27</v>
      </c>
      <c r="AM79">
        <v>20444.399999999998</v>
      </c>
      <c r="AN79">
        <v>35</v>
      </c>
      <c r="AO79">
        <v>26501.999999999996</v>
      </c>
      <c r="AP79">
        <v>42</v>
      </c>
      <c r="AQ79">
        <v>31802.399999999998</v>
      </c>
      <c r="AR79">
        <v>6</v>
      </c>
      <c r="AS79">
        <v>4543.2</v>
      </c>
      <c r="AT79">
        <v>8</v>
      </c>
      <c r="AU79">
        <v>6057.5999999999995</v>
      </c>
      <c r="AV79">
        <v>8</v>
      </c>
      <c r="AW79">
        <v>6057.5999999999995</v>
      </c>
      <c r="AX79">
        <v>8</v>
      </c>
      <c r="AY79">
        <v>6057.5999999999995</v>
      </c>
      <c r="AZ79">
        <v>8</v>
      </c>
      <c r="BA79">
        <v>6057.5999999999995</v>
      </c>
      <c r="BB79">
        <v>5</v>
      </c>
      <c r="BC79">
        <v>3785.9999999999995</v>
      </c>
      <c r="BD79">
        <v>7</v>
      </c>
      <c r="BE79">
        <v>5300.4</v>
      </c>
      <c r="BF79">
        <v>5</v>
      </c>
      <c r="BG79">
        <v>3785.9999999999995</v>
      </c>
      <c r="BH79">
        <v>18</v>
      </c>
      <c r="BI79">
        <v>13629.599999999999</v>
      </c>
      <c r="BJ79">
        <v>27</v>
      </c>
      <c r="BK79">
        <v>20444.399999999998</v>
      </c>
      <c r="BL79">
        <v>23</v>
      </c>
      <c r="BM79">
        <v>17415.599999999999</v>
      </c>
      <c r="BN79">
        <v>24</v>
      </c>
      <c r="BO79">
        <v>18172.8</v>
      </c>
      <c r="BP79">
        <v>11</v>
      </c>
      <c r="BQ79">
        <v>8329.1999999999989</v>
      </c>
      <c r="BR79">
        <v>12</v>
      </c>
      <c r="BS79">
        <v>9086.4</v>
      </c>
      <c r="BT79">
        <v>11</v>
      </c>
      <c r="BU79">
        <v>8329.1999999999989</v>
      </c>
      <c r="BV79">
        <v>7</v>
      </c>
      <c r="BW79">
        <v>5300.4</v>
      </c>
      <c r="BX79">
        <v>3</v>
      </c>
      <c r="BY79">
        <v>2271.6</v>
      </c>
      <c r="BZ79">
        <v>5</v>
      </c>
      <c r="CA79">
        <v>3785.9999999999995</v>
      </c>
      <c r="CB79">
        <v>4</v>
      </c>
      <c r="CC79">
        <v>3028.7999999999997</v>
      </c>
      <c r="CD79">
        <v>5</v>
      </c>
      <c r="CE79">
        <v>3785.9999999999995</v>
      </c>
      <c r="CF79">
        <v>6</v>
      </c>
      <c r="CG79">
        <v>4543.2</v>
      </c>
      <c r="CH79">
        <v>7</v>
      </c>
      <c r="CI79">
        <v>5300.4</v>
      </c>
      <c r="CJ79">
        <v>4</v>
      </c>
      <c r="CK79">
        <v>3028.7999999999997</v>
      </c>
      <c r="CL79">
        <v>4</v>
      </c>
      <c r="CM79">
        <v>3028.7999999999997</v>
      </c>
      <c r="CN79">
        <v>7</v>
      </c>
      <c r="CO79">
        <v>5300.4</v>
      </c>
      <c r="CP79">
        <v>14</v>
      </c>
      <c r="CQ79">
        <v>10600.8</v>
      </c>
      <c r="CR79">
        <v>8</v>
      </c>
      <c r="CS79">
        <v>6057.5999999999995</v>
      </c>
      <c r="CT79">
        <v>13</v>
      </c>
      <c r="CU79">
        <v>9843.5999999999985</v>
      </c>
    </row>
    <row r="80" spans="2:99" x14ac:dyDescent="0.2">
      <c r="C80" s="105" t="s">
        <v>246</v>
      </c>
      <c r="D80">
        <v>0</v>
      </c>
      <c r="E80">
        <v>0</v>
      </c>
      <c r="F80">
        <v>4.5614323683899389</v>
      </c>
      <c r="G80">
        <v>3672.8653430275785</v>
      </c>
      <c r="H80">
        <v>4</v>
      </c>
      <c r="I80">
        <v>3220.7999999999997</v>
      </c>
      <c r="J80">
        <v>7</v>
      </c>
      <c r="K80">
        <v>5636.4</v>
      </c>
      <c r="L80">
        <v>4</v>
      </c>
      <c r="M80">
        <v>3220.7999999999997</v>
      </c>
      <c r="N80">
        <v>4</v>
      </c>
      <c r="O80">
        <v>3220.7999999999997</v>
      </c>
      <c r="P80">
        <v>3</v>
      </c>
      <c r="Q80">
        <v>2415.6</v>
      </c>
      <c r="R80">
        <v>4</v>
      </c>
      <c r="S80">
        <v>3220.7999999999997</v>
      </c>
      <c r="T80">
        <v>7</v>
      </c>
      <c r="U80">
        <v>5636.4</v>
      </c>
      <c r="V80">
        <v>6</v>
      </c>
      <c r="W80">
        <v>4831.2</v>
      </c>
      <c r="X80">
        <v>6</v>
      </c>
      <c r="Y80">
        <v>4831.2</v>
      </c>
      <c r="Z80">
        <v>9</v>
      </c>
      <c r="AA80">
        <v>7246.7999999999993</v>
      </c>
      <c r="AB80">
        <v>6</v>
      </c>
      <c r="AC80">
        <v>4831.2</v>
      </c>
      <c r="AD80">
        <v>5</v>
      </c>
      <c r="AE80">
        <v>4025.9999999999995</v>
      </c>
      <c r="AF80">
        <v>5</v>
      </c>
      <c r="AG80">
        <v>4025.9999999999995</v>
      </c>
      <c r="AH80">
        <v>3</v>
      </c>
      <c r="AI80">
        <v>2415.6</v>
      </c>
      <c r="AJ80">
        <v>25</v>
      </c>
      <c r="AK80">
        <v>20130</v>
      </c>
      <c r="AL80">
        <v>27</v>
      </c>
      <c r="AM80">
        <v>21740.399999999998</v>
      </c>
      <c r="AN80">
        <v>31</v>
      </c>
      <c r="AO80">
        <v>24961.199999999997</v>
      </c>
      <c r="AP80">
        <v>38</v>
      </c>
      <c r="AQ80">
        <v>30597.599999999999</v>
      </c>
      <c r="AR80">
        <v>6</v>
      </c>
      <c r="AS80">
        <v>4831.2</v>
      </c>
      <c r="AT80">
        <v>9</v>
      </c>
      <c r="AU80">
        <v>7246.7999999999993</v>
      </c>
      <c r="AV80">
        <v>8</v>
      </c>
      <c r="AW80">
        <v>6441.5999999999995</v>
      </c>
      <c r="AX80">
        <v>9</v>
      </c>
      <c r="AY80">
        <v>7246.7999999999993</v>
      </c>
      <c r="AZ80">
        <v>7</v>
      </c>
      <c r="BA80">
        <v>5636.4</v>
      </c>
      <c r="BB80">
        <v>4</v>
      </c>
      <c r="BC80">
        <v>3220.7999999999997</v>
      </c>
      <c r="BD80">
        <v>7</v>
      </c>
      <c r="BE80">
        <v>5636.4</v>
      </c>
      <c r="BF80">
        <v>5</v>
      </c>
      <c r="BG80">
        <v>4025.9999999999995</v>
      </c>
      <c r="BH80">
        <v>17</v>
      </c>
      <c r="BI80">
        <v>13688.4</v>
      </c>
      <c r="BJ80">
        <v>23</v>
      </c>
      <c r="BK80">
        <v>18519.599999999999</v>
      </c>
      <c r="BL80">
        <v>27</v>
      </c>
      <c r="BM80">
        <v>21740.399999999998</v>
      </c>
      <c r="BN80">
        <v>28</v>
      </c>
      <c r="BO80">
        <v>22545.599999999999</v>
      </c>
      <c r="BP80">
        <v>10</v>
      </c>
      <c r="BQ80">
        <v>8051.9999999999991</v>
      </c>
      <c r="BR80">
        <v>11</v>
      </c>
      <c r="BS80">
        <v>8857.1999999999989</v>
      </c>
      <c r="BT80">
        <v>11</v>
      </c>
      <c r="BU80">
        <v>8857.1999999999989</v>
      </c>
      <c r="BV80">
        <v>7</v>
      </c>
      <c r="BW80">
        <v>5636.4</v>
      </c>
      <c r="BX80">
        <v>3</v>
      </c>
      <c r="BY80">
        <v>2415.6</v>
      </c>
      <c r="BZ80">
        <v>5</v>
      </c>
      <c r="CA80">
        <v>4025.9999999999995</v>
      </c>
      <c r="CB80">
        <v>4</v>
      </c>
      <c r="CC80">
        <v>3220.7999999999997</v>
      </c>
      <c r="CD80">
        <v>5</v>
      </c>
      <c r="CE80">
        <v>4025.9999999999995</v>
      </c>
      <c r="CF80">
        <v>7</v>
      </c>
      <c r="CG80">
        <v>5636.4</v>
      </c>
      <c r="CH80">
        <v>7</v>
      </c>
      <c r="CI80">
        <v>5636.4</v>
      </c>
      <c r="CJ80">
        <v>4</v>
      </c>
      <c r="CK80">
        <v>3220.7999999999997</v>
      </c>
      <c r="CL80">
        <v>4</v>
      </c>
      <c r="CM80">
        <v>3220.7999999999997</v>
      </c>
      <c r="CN80">
        <v>7</v>
      </c>
      <c r="CO80">
        <v>5636.4</v>
      </c>
      <c r="CP80">
        <v>12</v>
      </c>
      <c r="CQ80">
        <v>9662.4</v>
      </c>
      <c r="CR80">
        <v>9</v>
      </c>
      <c r="CS80">
        <v>7246.7999999999993</v>
      </c>
      <c r="CT80">
        <v>13</v>
      </c>
      <c r="CU80">
        <v>10467.599999999999</v>
      </c>
    </row>
    <row r="81" spans="2:99" x14ac:dyDescent="0.2">
      <c r="C81" s="105" t="s">
        <v>247</v>
      </c>
      <c r="D81">
        <v>0</v>
      </c>
      <c r="E81">
        <v>0</v>
      </c>
      <c r="F81">
        <v>4.5614323683899389</v>
      </c>
      <c r="G81">
        <v>3437.4954328186582</v>
      </c>
      <c r="H81">
        <v>4</v>
      </c>
      <c r="I81">
        <v>3014.4</v>
      </c>
      <c r="J81">
        <v>8</v>
      </c>
      <c r="K81">
        <v>6028.8</v>
      </c>
      <c r="L81">
        <v>4</v>
      </c>
      <c r="M81">
        <v>3014.4</v>
      </c>
      <c r="N81">
        <v>5</v>
      </c>
      <c r="O81">
        <v>3768</v>
      </c>
      <c r="P81">
        <v>3</v>
      </c>
      <c r="Q81">
        <v>2260.8000000000002</v>
      </c>
      <c r="R81">
        <v>4</v>
      </c>
      <c r="S81">
        <v>3014.4</v>
      </c>
      <c r="T81">
        <v>8</v>
      </c>
      <c r="U81">
        <v>6028.8</v>
      </c>
      <c r="V81">
        <v>7</v>
      </c>
      <c r="W81">
        <v>5275.2</v>
      </c>
      <c r="X81">
        <v>6</v>
      </c>
      <c r="Y81">
        <v>4521.6000000000004</v>
      </c>
      <c r="Z81">
        <v>9</v>
      </c>
      <c r="AA81">
        <v>6782.4000000000005</v>
      </c>
      <c r="AB81">
        <v>5</v>
      </c>
      <c r="AC81">
        <v>3768</v>
      </c>
      <c r="AD81">
        <v>5</v>
      </c>
      <c r="AE81">
        <v>3768</v>
      </c>
      <c r="AF81">
        <v>5</v>
      </c>
      <c r="AG81">
        <v>3768</v>
      </c>
      <c r="AH81">
        <v>4</v>
      </c>
      <c r="AI81">
        <v>3014.4</v>
      </c>
      <c r="AJ81">
        <v>28</v>
      </c>
      <c r="AK81">
        <v>21100.799999999999</v>
      </c>
      <c r="AL81">
        <v>30</v>
      </c>
      <c r="AM81">
        <v>22608</v>
      </c>
      <c r="AN81">
        <v>36</v>
      </c>
      <c r="AO81">
        <v>27129.600000000002</v>
      </c>
      <c r="AP81">
        <v>42</v>
      </c>
      <c r="AQ81">
        <v>31651.200000000001</v>
      </c>
      <c r="AR81">
        <v>6</v>
      </c>
      <c r="AS81">
        <v>4521.6000000000004</v>
      </c>
      <c r="AT81">
        <v>8</v>
      </c>
      <c r="AU81">
        <v>6028.8</v>
      </c>
      <c r="AV81">
        <v>8</v>
      </c>
      <c r="AW81">
        <v>6028.8</v>
      </c>
      <c r="AX81">
        <v>9</v>
      </c>
      <c r="AY81">
        <v>6782.4000000000005</v>
      </c>
      <c r="AZ81">
        <v>7</v>
      </c>
      <c r="BA81">
        <v>5275.2</v>
      </c>
      <c r="BB81">
        <v>5</v>
      </c>
      <c r="BC81">
        <v>3768</v>
      </c>
      <c r="BD81">
        <v>7</v>
      </c>
      <c r="BE81">
        <v>5275.2</v>
      </c>
      <c r="BF81">
        <v>5</v>
      </c>
      <c r="BG81">
        <v>3768</v>
      </c>
      <c r="BH81">
        <v>19</v>
      </c>
      <c r="BI81">
        <v>14318.4</v>
      </c>
      <c r="BJ81">
        <v>25</v>
      </c>
      <c r="BK81">
        <v>18840</v>
      </c>
      <c r="BL81">
        <v>26</v>
      </c>
      <c r="BM81">
        <v>19593.600000000002</v>
      </c>
      <c r="BN81">
        <v>29</v>
      </c>
      <c r="BO81">
        <v>21854.400000000001</v>
      </c>
      <c r="BP81">
        <v>12</v>
      </c>
      <c r="BQ81">
        <v>9043.2000000000007</v>
      </c>
      <c r="BR81">
        <v>12</v>
      </c>
      <c r="BS81">
        <v>9043.2000000000007</v>
      </c>
      <c r="BT81">
        <v>11</v>
      </c>
      <c r="BU81">
        <v>8289.6</v>
      </c>
      <c r="BV81">
        <v>8</v>
      </c>
      <c r="BW81">
        <v>6028.8</v>
      </c>
      <c r="BX81">
        <v>3</v>
      </c>
      <c r="BY81">
        <v>2260.8000000000002</v>
      </c>
      <c r="BZ81">
        <v>5</v>
      </c>
      <c r="CA81">
        <v>3768</v>
      </c>
      <c r="CB81">
        <v>5</v>
      </c>
      <c r="CC81">
        <v>3768</v>
      </c>
      <c r="CD81">
        <v>5</v>
      </c>
      <c r="CE81">
        <v>3768</v>
      </c>
      <c r="CF81">
        <v>6</v>
      </c>
      <c r="CG81">
        <v>4521.6000000000004</v>
      </c>
      <c r="CH81">
        <v>7</v>
      </c>
      <c r="CI81">
        <v>5275.2</v>
      </c>
      <c r="CJ81">
        <v>4</v>
      </c>
      <c r="CK81">
        <v>3014.4</v>
      </c>
      <c r="CL81">
        <v>4</v>
      </c>
      <c r="CM81">
        <v>3014.4</v>
      </c>
      <c r="CN81">
        <v>8</v>
      </c>
      <c r="CO81">
        <v>6028.8</v>
      </c>
      <c r="CP81">
        <v>12</v>
      </c>
      <c r="CQ81">
        <v>9043.2000000000007</v>
      </c>
      <c r="CR81">
        <v>8</v>
      </c>
      <c r="CS81">
        <v>6028.8</v>
      </c>
      <c r="CT81">
        <v>12</v>
      </c>
      <c r="CU81">
        <v>9043.2000000000007</v>
      </c>
    </row>
    <row r="82" spans="2:99" x14ac:dyDescent="0.2">
      <c r="C82" s="105" t="s">
        <v>248</v>
      </c>
      <c r="D82">
        <v>0</v>
      </c>
      <c r="E82">
        <v>0</v>
      </c>
      <c r="F82">
        <v>5.3216710964549288</v>
      </c>
      <c r="G82">
        <v>2707.6662538762671</v>
      </c>
      <c r="H82">
        <v>4</v>
      </c>
      <c r="I82">
        <v>2035.1999999999996</v>
      </c>
      <c r="J82">
        <v>7</v>
      </c>
      <c r="K82">
        <v>3561.5999999999995</v>
      </c>
      <c r="L82">
        <v>4</v>
      </c>
      <c r="M82">
        <v>2035.1999999999996</v>
      </c>
      <c r="N82">
        <v>4</v>
      </c>
      <c r="O82">
        <v>2035.1999999999996</v>
      </c>
      <c r="P82">
        <v>3</v>
      </c>
      <c r="Q82">
        <v>1526.3999999999996</v>
      </c>
      <c r="R82">
        <v>4</v>
      </c>
      <c r="S82">
        <v>2035.1999999999996</v>
      </c>
      <c r="T82">
        <v>8</v>
      </c>
      <c r="U82">
        <v>4070.3999999999992</v>
      </c>
      <c r="V82">
        <v>6</v>
      </c>
      <c r="W82">
        <v>3052.7999999999993</v>
      </c>
      <c r="X82">
        <v>7</v>
      </c>
      <c r="Y82">
        <v>3561.5999999999995</v>
      </c>
      <c r="Z82">
        <v>9</v>
      </c>
      <c r="AA82">
        <v>4579.1999999999989</v>
      </c>
      <c r="AB82">
        <v>5</v>
      </c>
      <c r="AC82">
        <v>2543.9999999999995</v>
      </c>
      <c r="AD82">
        <v>5</v>
      </c>
      <c r="AE82">
        <v>2543.9999999999995</v>
      </c>
      <c r="AF82">
        <v>5</v>
      </c>
      <c r="AG82">
        <v>2543.9999999999995</v>
      </c>
      <c r="AH82">
        <v>4</v>
      </c>
      <c r="AI82">
        <v>2035.1999999999996</v>
      </c>
      <c r="AJ82">
        <v>28</v>
      </c>
      <c r="AK82">
        <v>14246.399999999998</v>
      </c>
      <c r="AL82">
        <v>32</v>
      </c>
      <c r="AM82">
        <v>16281.599999999997</v>
      </c>
      <c r="AN82">
        <v>39</v>
      </c>
      <c r="AO82">
        <v>19843.199999999997</v>
      </c>
      <c r="AP82">
        <v>43</v>
      </c>
      <c r="AQ82">
        <v>21878.399999999994</v>
      </c>
      <c r="AR82">
        <v>6</v>
      </c>
      <c r="AS82">
        <v>3052.7999999999993</v>
      </c>
      <c r="AT82">
        <v>8</v>
      </c>
      <c r="AU82">
        <v>4070.3999999999992</v>
      </c>
      <c r="AV82">
        <v>8</v>
      </c>
      <c r="AW82">
        <v>4070.3999999999992</v>
      </c>
      <c r="AX82">
        <v>9</v>
      </c>
      <c r="AY82">
        <v>4579.1999999999989</v>
      </c>
      <c r="AZ82">
        <v>6</v>
      </c>
      <c r="BA82">
        <v>3052.7999999999993</v>
      </c>
      <c r="BB82">
        <v>5</v>
      </c>
      <c r="BC82">
        <v>2543.9999999999995</v>
      </c>
      <c r="BD82">
        <v>7</v>
      </c>
      <c r="BE82">
        <v>3561.5999999999995</v>
      </c>
      <c r="BF82">
        <v>5</v>
      </c>
      <c r="BG82">
        <v>2543.9999999999995</v>
      </c>
      <c r="BH82">
        <v>20</v>
      </c>
      <c r="BI82">
        <v>10175.999999999998</v>
      </c>
      <c r="BJ82">
        <v>27</v>
      </c>
      <c r="BK82">
        <v>13737.599999999997</v>
      </c>
      <c r="BL82">
        <v>28</v>
      </c>
      <c r="BM82">
        <v>14246.399999999998</v>
      </c>
      <c r="BN82">
        <v>27</v>
      </c>
      <c r="BO82">
        <v>13737.599999999997</v>
      </c>
      <c r="BP82">
        <v>12</v>
      </c>
      <c r="BQ82">
        <v>6105.5999999999985</v>
      </c>
      <c r="BR82">
        <v>12</v>
      </c>
      <c r="BS82">
        <v>6105.5999999999985</v>
      </c>
      <c r="BT82">
        <v>13</v>
      </c>
      <c r="BU82">
        <v>6614.3999999999987</v>
      </c>
      <c r="BV82">
        <v>7</v>
      </c>
      <c r="BW82">
        <v>3561.5999999999995</v>
      </c>
      <c r="BX82">
        <v>3</v>
      </c>
      <c r="BY82">
        <v>1526.3999999999996</v>
      </c>
      <c r="BZ82">
        <v>5</v>
      </c>
      <c r="CA82">
        <v>2543.9999999999995</v>
      </c>
      <c r="CB82">
        <v>4</v>
      </c>
      <c r="CC82">
        <v>2035.1999999999996</v>
      </c>
      <c r="CD82">
        <v>5</v>
      </c>
      <c r="CE82">
        <v>2543.9999999999995</v>
      </c>
      <c r="CF82">
        <v>6</v>
      </c>
      <c r="CG82">
        <v>3052.7999999999993</v>
      </c>
      <c r="CH82">
        <v>7</v>
      </c>
      <c r="CI82">
        <v>3561.5999999999995</v>
      </c>
      <c r="CJ82">
        <v>4</v>
      </c>
      <c r="CK82">
        <v>2035.1999999999996</v>
      </c>
      <c r="CL82">
        <v>5</v>
      </c>
      <c r="CM82">
        <v>2543.9999999999995</v>
      </c>
      <c r="CN82">
        <v>8</v>
      </c>
      <c r="CO82">
        <v>4070.3999999999992</v>
      </c>
      <c r="CP82">
        <v>14</v>
      </c>
      <c r="CQ82">
        <v>7123.1999999999989</v>
      </c>
      <c r="CR82">
        <v>10</v>
      </c>
      <c r="CS82">
        <v>5087.9999999999991</v>
      </c>
      <c r="CT82">
        <v>15</v>
      </c>
      <c r="CU82">
        <v>7631.9999999999982</v>
      </c>
    </row>
    <row r="83" spans="2:99" x14ac:dyDescent="0.2">
      <c r="C83" s="105" t="s">
        <v>249</v>
      </c>
      <c r="D83">
        <v>0</v>
      </c>
      <c r="E83">
        <v>0</v>
      </c>
      <c r="F83">
        <v>4.5614323683899389</v>
      </c>
      <c r="G83">
        <v>3924.6564097627033</v>
      </c>
      <c r="H83">
        <v>4</v>
      </c>
      <c r="I83">
        <v>3441.6</v>
      </c>
      <c r="J83">
        <v>7</v>
      </c>
      <c r="K83">
        <v>6022.8</v>
      </c>
      <c r="L83">
        <v>3</v>
      </c>
      <c r="M83">
        <v>2581.1999999999998</v>
      </c>
      <c r="N83">
        <v>4</v>
      </c>
      <c r="O83">
        <v>3441.6</v>
      </c>
      <c r="P83">
        <v>3</v>
      </c>
      <c r="Q83">
        <v>2581.1999999999998</v>
      </c>
      <c r="R83">
        <v>4</v>
      </c>
      <c r="S83">
        <v>3441.6</v>
      </c>
      <c r="T83">
        <v>8</v>
      </c>
      <c r="U83">
        <v>6883.2</v>
      </c>
      <c r="V83">
        <v>7</v>
      </c>
      <c r="W83">
        <v>6022.8</v>
      </c>
      <c r="X83">
        <v>6</v>
      </c>
      <c r="Y83">
        <v>5162.3999999999996</v>
      </c>
      <c r="Z83">
        <v>9</v>
      </c>
      <c r="AA83">
        <v>7743.5999999999995</v>
      </c>
      <c r="AB83">
        <v>6</v>
      </c>
      <c r="AC83">
        <v>5162.3999999999996</v>
      </c>
      <c r="AD83">
        <v>5</v>
      </c>
      <c r="AE83">
        <v>4302</v>
      </c>
      <c r="AF83">
        <v>5</v>
      </c>
      <c r="AG83">
        <v>4302</v>
      </c>
      <c r="AH83">
        <v>4</v>
      </c>
      <c r="AI83">
        <v>3441.6</v>
      </c>
      <c r="AJ83">
        <v>27</v>
      </c>
      <c r="AK83">
        <v>23230.799999999999</v>
      </c>
      <c r="AL83">
        <v>27</v>
      </c>
      <c r="AM83">
        <v>23230.799999999999</v>
      </c>
      <c r="AN83">
        <v>32</v>
      </c>
      <c r="AO83">
        <v>27532.799999999999</v>
      </c>
      <c r="AP83">
        <v>38</v>
      </c>
      <c r="AQ83">
        <v>32695.200000000001</v>
      </c>
      <c r="AR83">
        <v>6</v>
      </c>
      <c r="AS83">
        <v>5162.3999999999996</v>
      </c>
      <c r="AT83">
        <v>8</v>
      </c>
      <c r="AU83">
        <v>6883.2</v>
      </c>
      <c r="AV83">
        <v>7</v>
      </c>
      <c r="AW83">
        <v>6022.8</v>
      </c>
      <c r="AX83">
        <v>8</v>
      </c>
      <c r="AY83">
        <v>6883.2</v>
      </c>
      <c r="AZ83">
        <v>7</v>
      </c>
      <c r="BA83">
        <v>6022.8</v>
      </c>
      <c r="BB83">
        <v>4</v>
      </c>
      <c r="BC83">
        <v>3441.6</v>
      </c>
      <c r="BD83">
        <v>8</v>
      </c>
      <c r="BE83">
        <v>6883.2</v>
      </c>
      <c r="BF83">
        <v>5</v>
      </c>
      <c r="BG83">
        <v>4302</v>
      </c>
      <c r="BH83">
        <v>19</v>
      </c>
      <c r="BI83">
        <v>16347.6</v>
      </c>
      <c r="BJ83">
        <v>24</v>
      </c>
      <c r="BK83">
        <v>20649.599999999999</v>
      </c>
      <c r="BL83">
        <v>25</v>
      </c>
      <c r="BM83">
        <v>21510</v>
      </c>
      <c r="BN83">
        <v>29</v>
      </c>
      <c r="BO83">
        <v>24951.599999999999</v>
      </c>
      <c r="BP83">
        <v>12</v>
      </c>
      <c r="BQ83">
        <v>10324.799999999999</v>
      </c>
      <c r="BR83">
        <v>11</v>
      </c>
      <c r="BS83">
        <v>9464.4</v>
      </c>
      <c r="BT83">
        <v>12</v>
      </c>
      <c r="BU83">
        <v>10324.799999999999</v>
      </c>
      <c r="BV83">
        <v>7</v>
      </c>
      <c r="BW83">
        <v>6022.8</v>
      </c>
      <c r="BX83">
        <v>3</v>
      </c>
      <c r="BY83">
        <v>2581.1999999999998</v>
      </c>
      <c r="BZ83">
        <v>5</v>
      </c>
      <c r="CA83">
        <v>4302</v>
      </c>
      <c r="CB83">
        <v>4</v>
      </c>
      <c r="CC83">
        <v>3441.6</v>
      </c>
      <c r="CD83">
        <v>5</v>
      </c>
      <c r="CE83">
        <v>4302</v>
      </c>
      <c r="CF83">
        <v>7</v>
      </c>
      <c r="CG83">
        <v>6022.8</v>
      </c>
      <c r="CH83">
        <v>7</v>
      </c>
      <c r="CI83">
        <v>6022.8</v>
      </c>
      <c r="CJ83">
        <v>4</v>
      </c>
      <c r="CK83">
        <v>3441.6</v>
      </c>
      <c r="CL83">
        <v>4</v>
      </c>
      <c r="CM83">
        <v>3441.6</v>
      </c>
      <c r="CN83">
        <v>8</v>
      </c>
      <c r="CO83">
        <v>6883.2</v>
      </c>
      <c r="CP83">
        <v>12</v>
      </c>
      <c r="CQ83">
        <v>10324.799999999999</v>
      </c>
      <c r="CR83">
        <v>8</v>
      </c>
      <c r="CS83">
        <v>6883.2</v>
      </c>
      <c r="CT83">
        <v>13</v>
      </c>
      <c r="CU83">
        <v>11185.199999999999</v>
      </c>
    </row>
    <row r="84" spans="2:99" x14ac:dyDescent="0.2">
      <c r="C84" s="105" t="s">
        <v>250</v>
      </c>
      <c r="D84">
        <v>0</v>
      </c>
      <c r="E84">
        <v>0</v>
      </c>
      <c r="F84">
        <v>5.3216710964549288</v>
      </c>
      <c r="G84">
        <v>4157.2894605505899</v>
      </c>
      <c r="H84">
        <v>4</v>
      </c>
      <c r="I84">
        <v>3124.7999999999997</v>
      </c>
      <c r="J84">
        <v>7</v>
      </c>
      <c r="K84">
        <v>5468.4</v>
      </c>
      <c r="L84">
        <v>4</v>
      </c>
      <c r="M84">
        <v>3124.7999999999997</v>
      </c>
      <c r="N84">
        <v>4</v>
      </c>
      <c r="O84">
        <v>3124.7999999999997</v>
      </c>
      <c r="P84">
        <v>3</v>
      </c>
      <c r="Q84">
        <v>2343.6</v>
      </c>
      <c r="R84">
        <v>4</v>
      </c>
      <c r="S84">
        <v>3124.7999999999997</v>
      </c>
      <c r="T84">
        <v>7</v>
      </c>
      <c r="U84">
        <v>5468.4</v>
      </c>
      <c r="V84">
        <v>6</v>
      </c>
      <c r="W84">
        <v>4687.2</v>
      </c>
      <c r="X84">
        <v>6</v>
      </c>
      <c r="Y84">
        <v>4687.2</v>
      </c>
      <c r="Z84">
        <v>8</v>
      </c>
      <c r="AA84">
        <v>6249.5999999999995</v>
      </c>
      <c r="AB84">
        <v>5</v>
      </c>
      <c r="AC84">
        <v>3905.9999999999995</v>
      </c>
      <c r="AD84">
        <v>5</v>
      </c>
      <c r="AE84">
        <v>3905.9999999999995</v>
      </c>
      <c r="AF84">
        <v>5</v>
      </c>
      <c r="AG84">
        <v>3905.9999999999995</v>
      </c>
      <c r="AH84">
        <v>4</v>
      </c>
      <c r="AI84">
        <v>3124.7999999999997</v>
      </c>
      <c r="AJ84">
        <v>28</v>
      </c>
      <c r="AK84">
        <v>21873.599999999999</v>
      </c>
      <c r="AL84">
        <v>28</v>
      </c>
      <c r="AM84">
        <v>21873.599999999999</v>
      </c>
      <c r="AN84">
        <v>37</v>
      </c>
      <c r="AO84">
        <v>28904.399999999998</v>
      </c>
      <c r="AP84">
        <v>36</v>
      </c>
      <c r="AQ84">
        <v>28123.199999999997</v>
      </c>
      <c r="AR84">
        <v>6</v>
      </c>
      <c r="AS84">
        <v>4687.2</v>
      </c>
      <c r="AT84">
        <v>9</v>
      </c>
      <c r="AU84">
        <v>7030.7999999999993</v>
      </c>
      <c r="AV84">
        <v>7</v>
      </c>
      <c r="AW84">
        <v>5468.4</v>
      </c>
      <c r="AX84">
        <v>8</v>
      </c>
      <c r="AY84">
        <v>6249.5999999999995</v>
      </c>
      <c r="AZ84">
        <v>7</v>
      </c>
      <c r="BA84">
        <v>5468.4</v>
      </c>
      <c r="BB84">
        <v>5</v>
      </c>
      <c r="BC84">
        <v>3905.9999999999995</v>
      </c>
      <c r="BD84">
        <v>7</v>
      </c>
      <c r="BE84">
        <v>5468.4</v>
      </c>
      <c r="BF84">
        <v>5</v>
      </c>
      <c r="BG84">
        <v>3905.9999999999995</v>
      </c>
      <c r="BH84">
        <v>19</v>
      </c>
      <c r="BI84">
        <v>14842.8</v>
      </c>
      <c r="BJ84">
        <v>23</v>
      </c>
      <c r="BK84">
        <v>17967.599999999999</v>
      </c>
      <c r="BL84">
        <v>25</v>
      </c>
      <c r="BM84">
        <v>19530</v>
      </c>
      <c r="BN84">
        <v>28</v>
      </c>
      <c r="BO84">
        <v>21873.599999999999</v>
      </c>
      <c r="BP84">
        <v>10</v>
      </c>
      <c r="BQ84">
        <v>7811.9999999999991</v>
      </c>
      <c r="BR84">
        <v>13</v>
      </c>
      <c r="BS84">
        <v>10155.599999999999</v>
      </c>
      <c r="BT84">
        <v>12</v>
      </c>
      <c r="BU84">
        <v>9374.4</v>
      </c>
      <c r="BV84">
        <v>7</v>
      </c>
      <c r="BW84">
        <v>5468.4</v>
      </c>
      <c r="BX84">
        <v>3</v>
      </c>
      <c r="BY84">
        <v>2343.6</v>
      </c>
      <c r="BZ84">
        <v>5</v>
      </c>
      <c r="CA84">
        <v>3905.9999999999995</v>
      </c>
      <c r="CB84">
        <v>4</v>
      </c>
      <c r="CC84">
        <v>3124.7999999999997</v>
      </c>
      <c r="CD84">
        <v>5</v>
      </c>
      <c r="CE84">
        <v>3905.9999999999995</v>
      </c>
      <c r="CF84">
        <v>6</v>
      </c>
      <c r="CG84">
        <v>4687.2</v>
      </c>
      <c r="CH84">
        <v>7</v>
      </c>
      <c r="CI84">
        <v>5468.4</v>
      </c>
      <c r="CJ84">
        <v>4</v>
      </c>
      <c r="CK84">
        <v>3124.7999999999997</v>
      </c>
      <c r="CL84">
        <v>4</v>
      </c>
      <c r="CM84">
        <v>3124.7999999999997</v>
      </c>
      <c r="CN84">
        <v>7</v>
      </c>
      <c r="CO84">
        <v>5468.4</v>
      </c>
      <c r="CP84">
        <v>12</v>
      </c>
      <c r="CQ84">
        <v>9374.4</v>
      </c>
      <c r="CR84">
        <v>9</v>
      </c>
      <c r="CS84">
        <v>7030.7999999999993</v>
      </c>
      <c r="CT84">
        <v>14</v>
      </c>
      <c r="CU84">
        <v>10936.8</v>
      </c>
    </row>
    <row r="85" spans="2:99" x14ac:dyDescent="0.2">
      <c r="C85" s="105" t="s">
        <v>251</v>
      </c>
      <c r="D85">
        <v>0</v>
      </c>
      <c r="E85">
        <v>0</v>
      </c>
      <c r="F85">
        <v>4.5614323683899389</v>
      </c>
      <c r="G85">
        <v>684.21485525849084</v>
      </c>
      <c r="H85">
        <v>4</v>
      </c>
      <c r="I85">
        <v>600</v>
      </c>
      <c r="J85">
        <v>7</v>
      </c>
      <c r="K85">
        <v>1050</v>
      </c>
      <c r="L85">
        <v>4</v>
      </c>
      <c r="M85">
        <v>600</v>
      </c>
      <c r="N85">
        <v>5</v>
      </c>
      <c r="O85">
        <v>750</v>
      </c>
      <c r="P85">
        <v>4</v>
      </c>
      <c r="Q85">
        <v>600</v>
      </c>
      <c r="R85">
        <v>4</v>
      </c>
      <c r="S85">
        <v>600</v>
      </c>
      <c r="T85">
        <v>7</v>
      </c>
      <c r="U85">
        <v>1050</v>
      </c>
      <c r="V85">
        <v>7</v>
      </c>
      <c r="W85">
        <v>1050</v>
      </c>
      <c r="X85">
        <v>7</v>
      </c>
      <c r="Y85">
        <v>1050</v>
      </c>
      <c r="Z85">
        <v>9</v>
      </c>
      <c r="AA85">
        <v>1350</v>
      </c>
      <c r="AB85">
        <v>6</v>
      </c>
      <c r="AC85">
        <v>900</v>
      </c>
      <c r="AD85">
        <v>5</v>
      </c>
      <c r="AE85">
        <v>750</v>
      </c>
      <c r="AF85">
        <v>5</v>
      </c>
      <c r="AG85">
        <v>750</v>
      </c>
      <c r="AH85">
        <v>4</v>
      </c>
      <c r="AI85">
        <v>600</v>
      </c>
      <c r="AJ85">
        <v>29</v>
      </c>
      <c r="AK85">
        <v>4350</v>
      </c>
      <c r="AL85">
        <v>32</v>
      </c>
      <c r="AM85">
        <v>4800</v>
      </c>
      <c r="AN85">
        <v>37</v>
      </c>
      <c r="AO85">
        <v>5550</v>
      </c>
      <c r="AP85">
        <v>40</v>
      </c>
      <c r="AQ85">
        <v>6000</v>
      </c>
      <c r="AR85">
        <v>6</v>
      </c>
      <c r="AS85">
        <v>900</v>
      </c>
      <c r="AT85">
        <v>9</v>
      </c>
      <c r="AU85">
        <v>1350</v>
      </c>
      <c r="AV85">
        <v>9</v>
      </c>
      <c r="AW85">
        <v>1350</v>
      </c>
      <c r="AX85">
        <v>9</v>
      </c>
      <c r="AY85">
        <v>1350</v>
      </c>
      <c r="AZ85">
        <v>7</v>
      </c>
      <c r="BA85">
        <v>1050</v>
      </c>
      <c r="BB85">
        <v>4</v>
      </c>
      <c r="BC85">
        <v>600</v>
      </c>
      <c r="BD85">
        <v>8</v>
      </c>
      <c r="BE85">
        <v>1200</v>
      </c>
      <c r="BF85">
        <v>5</v>
      </c>
      <c r="BG85">
        <v>750</v>
      </c>
      <c r="BH85">
        <v>19</v>
      </c>
      <c r="BI85">
        <v>2850</v>
      </c>
      <c r="BJ85">
        <v>27</v>
      </c>
      <c r="BK85">
        <v>4050</v>
      </c>
      <c r="BL85">
        <v>28</v>
      </c>
      <c r="BM85">
        <v>4200</v>
      </c>
      <c r="BN85">
        <v>29</v>
      </c>
      <c r="BO85">
        <v>4350</v>
      </c>
      <c r="BP85">
        <v>13</v>
      </c>
      <c r="BQ85">
        <v>1950</v>
      </c>
      <c r="BR85">
        <v>13</v>
      </c>
      <c r="BS85">
        <v>1950</v>
      </c>
      <c r="BT85">
        <v>13</v>
      </c>
      <c r="BU85">
        <v>1950</v>
      </c>
      <c r="BV85">
        <v>8</v>
      </c>
      <c r="BW85">
        <v>1200</v>
      </c>
      <c r="BX85">
        <v>3</v>
      </c>
      <c r="BY85">
        <v>450</v>
      </c>
      <c r="BZ85">
        <v>5</v>
      </c>
      <c r="CA85">
        <v>750</v>
      </c>
      <c r="CB85">
        <v>5</v>
      </c>
      <c r="CC85">
        <v>750</v>
      </c>
      <c r="CD85">
        <v>5</v>
      </c>
      <c r="CE85">
        <v>750</v>
      </c>
      <c r="CF85">
        <v>6</v>
      </c>
      <c r="CG85">
        <v>900</v>
      </c>
      <c r="CH85">
        <v>8</v>
      </c>
      <c r="CI85">
        <v>1200</v>
      </c>
      <c r="CJ85">
        <v>4</v>
      </c>
      <c r="CK85">
        <v>600</v>
      </c>
      <c r="CL85">
        <v>5</v>
      </c>
      <c r="CM85">
        <v>750</v>
      </c>
      <c r="CN85">
        <v>8</v>
      </c>
      <c r="CO85">
        <v>1200</v>
      </c>
      <c r="CP85">
        <v>13</v>
      </c>
      <c r="CQ85">
        <v>1950</v>
      </c>
      <c r="CR85">
        <v>10</v>
      </c>
      <c r="CS85">
        <v>1500</v>
      </c>
      <c r="CT85">
        <v>14</v>
      </c>
      <c r="CU85">
        <v>2100</v>
      </c>
    </row>
    <row r="86" spans="2:99" x14ac:dyDescent="0.2">
      <c r="C86" s="105" t="s">
        <v>252</v>
      </c>
      <c r="D86">
        <v>0</v>
      </c>
      <c r="E86">
        <v>0</v>
      </c>
      <c r="F86">
        <v>5.3216710964549288</v>
      </c>
      <c r="G86">
        <v>2873.7023920856614</v>
      </c>
      <c r="H86">
        <v>4</v>
      </c>
      <c r="I86">
        <v>2160</v>
      </c>
      <c r="J86">
        <v>7</v>
      </c>
      <c r="K86">
        <v>3780</v>
      </c>
      <c r="L86">
        <v>4</v>
      </c>
      <c r="M86">
        <v>2160</v>
      </c>
      <c r="N86">
        <v>5</v>
      </c>
      <c r="O86">
        <v>2700</v>
      </c>
      <c r="P86">
        <v>3</v>
      </c>
      <c r="Q86">
        <v>1620</v>
      </c>
      <c r="R86">
        <v>4</v>
      </c>
      <c r="S86">
        <v>2160</v>
      </c>
      <c r="T86">
        <v>7</v>
      </c>
      <c r="U86">
        <v>3780</v>
      </c>
      <c r="V86">
        <v>7</v>
      </c>
      <c r="W86">
        <v>3780</v>
      </c>
      <c r="X86">
        <v>6</v>
      </c>
      <c r="Y86">
        <v>3240</v>
      </c>
      <c r="Z86">
        <v>9</v>
      </c>
      <c r="AA86">
        <v>4860</v>
      </c>
      <c r="AB86">
        <v>6</v>
      </c>
      <c r="AC86">
        <v>3240</v>
      </c>
      <c r="AD86">
        <v>5</v>
      </c>
      <c r="AE86">
        <v>2700</v>
      </c>
      <c r="AF86">
        <v>5</v>
      </c>
      <c r="AG86">
        <v>2700</v>
      </c>
      <c r="AH86">
        <v>4</v>
      </c>
      <c r="AI86">
        <v>2160</v>
      </c>
      <c r="AJ86">
        <v>28</v>
      </c>
      <c r="AK86">
        <v>15120</v>
      </c>
      <c r="AL86">
        <v>31</v>
      </c>
      <c r="AM86">
        <v>16740</v>
      </c>
      <c r="AN86">
        <v>39</v>
      </c>
      <c r="AO86">
        <v>21060</v>
      </c>
      <c r="AP86">
        <v>39</v>
      </c>
      <c r="AQ86">
        <v>21060</v>
      </c>
      <c r="AR86">
        <v>7</v>
      </c>
      <c r="AS86">
        <v>3780</v>
      </c>
      <c r="AT86">
        <v>8</v>
      </c>
      <c r="AU86">
        <v>4320</v>
      </c>
      <c r="AV86">
        <v>9</v>
      </c>
      <c r="AW86">
        <v>4860</v>
      </c>
      <c r="AX86">
        <v>9</v>
      </c>
      <c r="AY86">
        <v>4860</v>
      </c>
      <c r="AZ86">
        <v>8</v>
      </c>
      <c r="BA86">
        <v>4320</v>
      </c>
      <c r="BB86">
        <v>4</v>
      </c>
      <c r="BC86">
        <v>2160</v>
      </c>
      <c r="BD86">
        <v>7</v>
      </c>
      <c r="BE86">
        <v>3780</v>
      </c>
      <c r="BF86">
        <v>5</v>
      </c>
      <c r="BG86">
        <v>2700</v>
      </c>
      <c r="BH86">
        <v>19</v>
      </c>
      <c r="BI86">
        <v>10260</v>
      </c>
      <c r="BJ86">
        <v>27</v>
      </c>
      <c r="BK86">
        <v>14580</v>
      </c>
      <c r="BL86">
        <v>25</v>
      </c>
      <c r="BM86">
        <v>13500</v>
      </c>
      <c r="BN86">
        <v>31</v>
      </c>
      <c r="BO86">
        <v>16740</v>
      </c>
      <c r="BP86">
        <v>11</v>
      </c>
      <c r="BQ86">
        <v>5940</v>
      </c>
      <c r="BR86">
        <v>12</v>
      </c>
      <c r="BS86">
        <v>6480</v>
      </c>
      <c r="BT86">
        <v>12</v>
      </c>
      <c r="BU86">
        <v>6480</v>
      </c>
      <c r="BV86">
        <v>8</v>
      </c>
      <c r="BW86">
        <v>4320</v>
      </c>
      <c r="BX86">
        <v>3</v>
      </c>
      <c r="BY86">
        <v>1620</v>
      </c>
      <c r="BZ86">
        <v>5</v>
      </c>
      <c r="CA86">
        <v>2700</v>
      </c>
      <c r="CB86">
        <v>4</v>
      </c>
      <c r="CC86">
        <v>2160</v>
      </c>
      <c r="CD86">
        <v>5</v>
      </c>
      <c r="CE86">
        <v>2700</v>
      </c>
      <c r="CF86">
        <v>7</v>
      </c>
      <c r="CG86">
        <v>3780</v>
      </c>
      <c r="CH86">
        <v>7</v>
      </c>
      <c r="CI86">
        <v>3780</v>
      </c>
      <c r="CJ86">
        <v>4</v>
      </c>
      <c r="CK86">
        <v>2160</v>
      </c>
      <c r="CL86">
        <v>5</v>
      </c>
      <c r="CM86">
        <v>2700</v>
      </c>
      <c r="CN86">
        <v>8</v>
      </c>
      <c r="CO86">
        <v>4320</v>
      </c>
      <c r="CP86">
        <v>12</v>
      </c>
      <c r="CQ86">
        <v>6480</v>
      </c>
      <c r="CR86">
        <v>10</v>
      </c>
      <c r="CS86">
        <v>5400</v>
      </c>
      <c r="CT86">
        <v>13</v>
      </c>
      <c r="CU86">
        <v>7020</v>
      </c>
    </row>
    <row r="87" spans="2:99" x14ac:dyDescent="0.2">
      <c r="B87" s="105" t="s">
        <v>131</v>
      </c>
      <c r="C87" s="105" t="s">
        <v>253</v>
      </c>
      <c r="D87">
        <v>0</v>
      </c>
      <c r="E87">
        <v>0</v>
      </c>
      <c r="F87">
        <v>4.5614323683899389</v>
      </c>
      <c r="G87">
        <v>8916.6879937286521</v>
      </c>
      <c r="H87">
        <v>7</v>
      </c>
      <c r="I87">
        <v>13683.6</v>
      </c>
      <c r="J87">
        <v>9</v>
      </c>
      <c r="K87">
        <v>17593.2</v>
      </c>
      <c r="L87">
        <v>5</v>
      </c>
      <c r="M87">
        <v>9774</v>
      </c>
      <c r="N87">
        <v>5</v>
      </c>
      <c r="O87">
        <v>9774</v>
      </c>
      <c r="P87">
        <v>4</v>
      </c>
      <c r="Q87">
        <v>7819.2</v>
      </c>
      <c r="R87">
        <v>5</v>
      </c>
      <c r="S87">
        <v>9774</v>
      </c>
      <c r="T87">
        <v>7</v>
      </c>
      <c r="U87">
        <v>13683.6</v>
      </c>
      <c r="V87">
        <v>4</v>
      </c>
      <c r="W87">
        <v>7819.2</v>
      </c>
      <c r="X87">
        <v>6</v>
      </c>
      <c r="Y87">
        <v>11728.8</v>
      </c>
      <c r="Z87">
        <v>4</v>
      </c>
      <c r="AA87">
        <v>7819.2</v>
      </c>
      <c r="AB87">
        <v>4</v>
      </c>
      <c r="AC87">
        <v>7819.2</v>
      </c>
      <c r="AD87">
        <v>5</v>
      </c>
      <c r="AE87">
        <v>9774</v>
      </c>
      <c r="AF87">
        <v>3</v>
      </c>
      <c r="AG87">
        <v>5864.4</v>
      </c>
      <c r="AH87">
        <v>3</v>
      </c>
      <c r="AI87">
        <v>5864.4</v>
      </c>
      <c r="AJ87">
        <v>21</v>
      </c>
      <c r="AK87">
        <v>41050.799999999996</v>
      </c>
      <c r="AL87">
        <v>12</v>
      </c>
      <c r="AM87">
        <v>23457.599999999999</v>
      </c>
      <c r="AN87">
        <v>16</v>
      </c>
      <c r="AO87">
        <v>31276.799999999999</v>
      </c>
      <c r="AP87">
        <v>11</v>
      </c>
      <c r="AQ87">
        <v>21502.799999999999</v>
      </c>
      <c r="AR87">
        <v>7</v>
      </c>
      <c r="AS87">
        <v>13683.6</v>
      </c>
      <c r="AT87">
        <v>5</v>
      </c>
      <c r="AU87">
        <v>9774</v>
      </c>
      <c r="AV87">
        <v>6</v>
      </c>
      <c r="AW87">
        <v>11728.8</v>
      </c>
      <c r="AX87">
        <v>4</v>
      </c>
      <c r="AY87">
        <v>7819.2</v>
      </c>
      <c r="AZ87">
        <v>10</v>
      </c>
      <c r="BA87">
        <v>19548</v>
      </c>
      <c r="BB87">
        <v>12</v>
      </c>
      <c r="BC87">
        <v>23457.599999999999</v>
      </c>
      <c r="BD87">
        <v>13</v>
      </c>
      <c r="BE87">
        <v>25412.399999999998</v>
      </c>
      <c r="BF87">
        <v>10</v>
      </c>
      <c r="BG87">
        <v>19548</v>
      </c>
      <c r="BH87">
        <v>6</v>
      </c>
      <c r="BI87">
        <v>11728.8</v>
      </c>
      <c r="BJ87">
        <v>7</v>
      </c>
      <c r="BK87">
        <v>13683.6</v>
      </c>
      <c r="BL87">
        <v>7</v>
      </c>
      <c r="BM87">
        <v>13683.6</v>
      </c>
      <c r="BN87">
        <v>8</v>
      </c>
      <c r="BO87">
        <v>15638.4</v>
      </c>
      <c r="BP87">
        <v>6</v>
      </c>
      <c r="BQ87">
        <v>11728.8</v>
      </c>
      <c r="BR87">
        <v>5</v>
      </c>
      <c r="BS87">
        <v>9774</v>
      </c>
      <c r="BT87">
        <v>4</v>
      </c>
      <c r="BU87">
        <v>7819.2</v>
      </c>
      <c r="BV87">
        <v>5</v>
      </c>
      <c r="BW87">
        <v>9774</v>
      </c>
      <c r="BX87">
        <v>6</v>
      </c>
      <c r="BY87">
        <v>11728.8</v>
      </c>
      <c r="BZ87">
        <v>5</v>
      </c>
      <c r="CA87">
        <v>9774</v>
      </c>
      <c r="CB87">
        <v>4</v>
      </c>
      <c r="CC87">
        <v>7819.2</v>
      </c>
      <c r="CD87">
        <v>5</v>
      </c>
      <c r="CE87">
        <v>9774</v>
      </c>
      <c r="CF87">
        <v>7</v>
      </c>
      <c r="CG87">
        <v>13683.6</v>
      </c>
      <c r="CH87">
        <v>7</v>
      </c>
      <c r="CI87">
        <v>13683.6</v>
      </c>
      <c r="CJ87">
        <v>5</v>
      </c>
      <c r="CK87">
        <v>9774</v>
      </c>
      <c r="CL87">
        <v>7</v>
      </c>
      <c r="CM87">
        <v>13683.6</v>
      </c>
      <c r="CN87">
        <v>8</v>
      </c>
      <c r="CO87">
        <v>15638.4</v>
      </c>
      <c r="CP87">
        <v>9</v>
      </c>
      <c r="CQ87">
        <v>17593.2</v>
      </c>
      <c r="CR87">
        <v>12</v>
      </c>
      <c r="CS87">
        <v>23457.599999999999</v>
      </c>
      <c r="CT87">
        <v>10</v>
      </c>
      <c r="CU87">
        <v>19548</v>
      </c>
    </row>
    <row r="88" spans="2:99" x14ac:dyDescent="0.2">
      <c r="C88" s="105" t="s">
        <v>254</v>
      </c>
      <c r="D88">
        <v>0</v>
      </c>
      <c r="E88">
        <v>0</v>
      </c>
      <c r="F88">
        <v>3.8011936403249496</v>
      </c>
      <c r="G88">
        <v>7193.3788449509339</v>
      </c>
      <c r="H88">
        <v>8</v>
      </c>
      <c r="I88">
        <v>15139.199999999999</v>
      </c>
      <c r="J88">
        <v>8</v>
      </c>
      <c r="K88">
        <v>15139.199999999999</v>
      </c>
      <c r="L88">
        <v>5</v>
      </c>
      <c r="M88">
        <v>9462</v>
      </c>
      <c r="N88">
        <v>4</v>
      </c>
      <c r="O88">
        <v>7569.5999999999995</v>
      </c>
      <c r="P88">
        <v>4</v>
      </c>
      <c r="Q88">
        <v>7569.5999999999995</v>
      </c>
      <c r="R88">
        <v>5</v>
      </c>
      <c r="S88">
        <v>9462</v>
      </c>
      <c r="T88">
        <v>7</v>
      </c>
      <c r="U88">
        <v>13246.8</v>
      </c>
      <c r="V88">
        <v>5</v>
      </c>
      <c r="W88">
        <v>9462</v>
      </c>
      <c r="X88">
        <v>7</v>
      </c>
      <c r="Y88">
        <v>13246.8</v>
      </c>
      <c r="Z88">
        <v>4</v>
      </c>
      <c r="AA88">
        <v>7569.5999999999995</v>
      </c>
      <c r="AB88">
        <v>5</v>
      </c>
      <c r="AC88">
        <v>9462</v>
      </c>
      <c r="AD88">
        <v>6</v>
      </c>
      <c r="AE88">
        <v>11354.4</v>
      </c>
      <c r="AF88">
        <v>3</v>
      </c>
      <c r="AG88">
        <v>5677.2</v>
      </c>
      <c r="AH88">
        <v>3</v>
      </c>
      <c r="AI88">
        <v>5677.2</v>
      </c>
      <c r="AJ88">
        <v>19</v>
      </c>
      <c r="AK88">
        <v>35955.599999999999</v>
      </c>
      <c r="AL88">
        <v>13</v>
      </c>
      <c r="AM88">
        <v>24601.199999999997</v>
      </c>
      <c r="AN88">
        <v>16</v>
      </c>
      <c r="AO88">
        <v>30278.399999999998</v>
      </c>
      <c r="AP88">
        <v>12</v>
      </c>
      <c r="AQ88">
        <v>22708.799999999999</v>
      </c>
      <c r="AR88">
        <v>7</v>
      </c>
      <c r="AS88">
        <v>13246.8</v>
      </c>
      <c r="AT88">
        <v>6</v>
      </c>
      <c r="AU88">
        <v>11354.4</v>
      </c>
      <c r="AV88">
        <v>6</v>
      </c>
      <c r="AW88">
        <v>11354.4</v>
      </c>
      <c r="AX88">
        <v>4</v>
      </c>
      <c r="AY88">
        <v>7569.5999999999995</v>
      </c>
      <c r="AZ88">
        <v>9</v>
      </c>
      <c r="BA88">
        <v>17031.599999999999</v>
      </c>
      <c r="BB88">
        <v>14</v>
      </c>
      <c r="BC88">
        <v>26493.599999999999</v>
      </c>
      <c r="BD88">
        <v>14</v>
      </c>
      <c r="BE88">
        <v>26493.599999999999</v>
      </c>
      <c r="BF88">
        <v>9</v>
      </c>
      <c r="BG88">
        <v>17031.599999999999</v>
      </c>
      <c r="BH88">
        <v>6</v>
      </c>
      <c r="BI88">
        <v>11354.4</v>
      </c>
      <c r="BJ88">
        <v>8</v>
      </c>
      <c r="BK88">
        <v>15139.199999999999</v>
      </c>
      <c r="BL88">
        <v>7</v>
      </c>
      <c r="BM88">
        <v>13246.8</v>
      </c>
      <c r="BN88">
        <v>6</v>
      </c>
      <c r="BO88">
        <v>11354.4</v>
      </c>
      <c r="BP88">
        <v>6</v>
      </c>
      <c r="BQ88">
        <v>11354.4</v>
      </c>
      <c r="BR88">
        <v>4</v>
      </c>
      <c r="BS88">
        <v>7569.5999999999995</v>
      </c>
      <c r="BT88">
        <v>5</v>
      </c>
      <c r="BU88">
        <v>9462</v>
      </c>
      <c r="BV88">
        <v>5</v>
      </c>
      <c r="BW88">
        <v>9462</v>
      </c>
      <c r="BX88">
        <v>6</v>
      </c>
      <c r="BY88">
        <v>11354.4</v>
      </c>
      <c r="BZ88">
        <v>5</v>
      </c>
      <c r="CA88">
        <v>9462</v>
      </c>
      <c r="CB88">
        <v>5</v>
      </c>
      <c r="CC88">
        <v>9462</v>
      </c>
      <c r="CD88">
        <v>6</v>
      </c>
      <c r="CE88">
        <v>11354.4</v>
      </c>
      <c r="CF88">
        <v>7</v>
      </c>
      <c r="CG88">
        <v>13246.8</v>
      </c>
      <c r="CH88">
        <v>6</v>
      </c>
      <c r="CI88">
        <v>11354.4</v>
      </c>
      <c r="CJ88">
        <v>5</v>
      </c>
      <c r="CK88">
        <v>9462</v>
      </c>
      <c r="CL88">
        <v>7</v>
      </c>
      <c r="CM88">
        <v>13246.8</v>
      </c>
      <c r="CN88">
        <v>9</v>
      </c>
      <c r="CO88">
        <v>17031.599999999999</v>
      </c>
      <c r="CP88">
        <v>11</v>
      </c>
      <c r="CQ88">
        <v>20816.399999999998</v>
      </c>
      <c r="CR88">
        <v>11</v>
      </c>
      <c r="CS88">
        <v>20816.399999999998</v>
      </c>
      <c r="CT88">
        <v>10</v>
      </c>
      <c r="CU88">
        <v>18924</v>
      </c>
    </row>
    <row r="89" spans="2:99" x14ac:dyDescent="0.2">
      <c r="C89" s="105" t="s">
        <v>255</v>
      </c>
      <c r="D89">
        <v>0</v>
      </c>
      <c r="E89">
        <v>0</v>
      </c>
      <c r="F89">
        <v>3.8011936403249496</v>
      </c>
      <c r="G89">
        <v>9113.7418720430978</v>
      </c>
      <c r="H89">
        <v>8</v>
      </c>
      <c r="I89">
        <v>19180.8</v>
      </c>
      <c r="J89">
        <v>7</v>
      </c>
      <c r="K89">
        <v>16783.2</v>
      </c>
      <c r="L89">
        <v>5</v>
      </c>
      <c r="M89">
        <v>11988</v>
      </c>
      <c r="N89">
        <v>5</v>
      </c>
      <c r="O89">
        <v>11988</v>
      </c>
      <c r="P89">
        <v>4</v>
      </c>
      <c r="Q89">
        <v>9590.4</v>
      </c>
      <c r="R89">
        <v>4</v>
      </c>
      <c r="S89">
        <v>9590.4</v>
      </c>
      <c r="T89">
        <v>6</v>
      </c>
      <c r="U89">
        <v>14385.599999999999</v>
      </c>
      <c r="V89">
        <v>4</v>
      </c>
      <c r="W89">
        <v>9590.4</v>
      </c>
      <c r="X89">
        <v>6</v>
      </c>
      <c r="Y89">
        <v>14385.599999999999</v>
      </c>
      <c r="Z89">
        <v>4</v>
      </c>
      <c r="AA89">
        <v>9590.4</v>
      </c>
      <c r="AB89">
        <v>5</v>
      </c>
      <c r="AC89">
        <v>11988</v>
      </c>
      <c r="AD89">
        <v>5</v>
      </c>
      <c r="AE89">
        <v>11988</v>
      </c>
      <c r="AF89">
        <v>3</v>
      </c>
      <c r="AG89">
        <v>7192.7999999999993</v>
      </c>
      <c r="AH89">
        <v>3</v>
      </c>
      <c r="AI89">
        <v>7192.7999999999993</v>
      </c>
      <c r="AJ89">
        <v>17</v>
      </c>
      <c r="AK89">
        <v>40759.199999999997</v>
      </c>
      <c r="AL89">
        <v>14</v>
      </c>
      <c r="AM89">
        <v>33566.400000000001</v>
      </c>
      <c r="AN89">
        <v>15</v>
      </c>
      <c r="AO89">
        <v>35964</v>
      </c>
      <c r="AP89">
        <v>10</v>
      </c>
      <c r="AQ89">
        <v>23976</v>
      </c>
      <c r="AR89">
        <v>6</v>
      </c>
      <c r="AS89">
        <v>14385.599999999999</v>
      </c>
      <c r="AT89">
        <v>5</v>
      </c>
      <c r="AU89">
        <v>11988</v>
      </c>
      <c r="AV89">
        <v>5</v>
      </c>
      <c r="AW89">
        <v>11988</v>
      </c>
      <c r="AX89">
        <v>4</v>
      </c>
      <c r="AY89">
        <v>9590.4</v>
      </c>
      <c r="AZ89">
        <v>10</v>
      </c>
      <c r="BA89">
        <v>23976</v>
      </c>
      <c r="BB89">
        <v>14</v>
      </c>
      <c r="BC89">
        <v>33566.400000000001</v>
      </c>
      <c r="BD89">
        <v>13</v>
      </c>
      <c r="BE89">
        <v>31168.799999999999</v>
      </c>
      <c r="BF89">
        <v>10</v>
      </c>
      <c r="BG89">
        <v>23976</v>
      </c>
      <c r="BH89">
        <v>6</v>
      </c>
      <c r="BI89">
        <v>14385.599999999999</v>
      </c>
      <c r="BJ89">
        <v>8</v>
      </c>
      <c r="BK89">
        <v>19180.8</v>
      </c>
      <c r="BL89">
        <v>7</v>
      </c>
      <c r="BM89">
        <v>16783.2</v>
      </c>
      <c r="BN89">
        <v>7</v>
      </c>
      <c r="BO89">
        <v>16783.2</v>
      </c>
      <c r="BP89">
        <v>6</v>
      </c>
      <c r="BQ89">
        <v>14385.599999999999</v>
      </c>
      <c r="BR89">
        <v>5</v>
      </c>
      <c r="BS89">
        <v>11988</v>
      </c>
      <c r="BT89">
        <v>4</v>
      </c>
      <c r="BU89">
        <v>9590.4</v>
      </c>
      <c r="BV89">
        <v>5</v>
      </c>
      <c r="BW89">
        <v>11988</v>
      </c>
      <c r="BX89">
        <v>5</v>
      </c>
      <c r="BY89">
        <v>11988</v>
      </c>
      <c r="BZ89">
        <v>5</v>
      </c>
      <c r="CA89">
        <v>11988</v>
      </c>
      <c r="CB89">
        <v>5</v>
      </c>
      <c r="CC89">
        <v>11988</v>
      </c>
      <c r="CD89">
        <v>5</v>
      </c>
      <c r="CE89">
        <v>11988</v>
      </c>
      <c r="CF89">
        <v>7</v>
      </c>
      <c r="CG89">
        <v>16783.2</v>
      </c>
      <c r="CH89">
        <v>6</v>
      </c>
      <c r="CI89">
        <v>14385.599999999999</v>
      </c>
      <c r="CJ89">
        <v>5</v>
      </c>
      <c r="CK89">
        <v>11988</v>
      </c>
      <c r="CL89">
        <v>7</v>
      </c>
      <c r="CM89">
        <v>16783.2</v>
      </c>
      <c r="CN89">
        <v>8</v>
      </c>
      <c r="CO89">
        <v>19180.8</v>
      </c>
      <c r="CP89">
        <v>9</v>
      </c>
      <c r="CQ89">
        <v>21578.399999999998</v>
      </c>
      <c r="CR89">
        <v>10</v>
      </c>
      <c r="CS89">
        <v>23976</v>
      </c>
      <c r="CT89">
        <v>9</v>
      </c>
      <c r="CU89">
        <v>21578.399999999998</v>
      </c>
    </row>
    <row r="90" spans="2:99" x14ac:dyDescent="0.2">
      <c r="C90" s="105" t="s">
        <v>256</v>
      </c>
      <c r="D90">
        <v>0</v>
      </c>
      <c r="E90">
        <v>0</v>
      </c>
      <c r="F90">
        <v>4.5614323683899389</v>
      </c>
      <c r="G90">
        <v>10022.379199826373</v>
      </c>
      <c r="H90">
        <v>7</v>
      </c>
      <c r="I90">
        <v>15380.399999999998</v>
      </c>
      <c r="J90">
        <v>9</v>
      </c>
      <c r="K90">
        <v>19774.8</v>
      </c>
      <c r="L90">
        <v>5</v>
      </c>
      <c r="M90">
        <v>10986</v>
      </c>
      <c r="N90">
        <v>4</v>
      </c>
      <c r="O90">
        <v>8788.7999999999993</v>
      </c>
      <c r="P90">
        <v>4</v>
      </c>
      <c r="Q90">
        <v>8788.7999999999993</v>
      </c>
      <c r="R90">
        <v>4</v>
      </c>
      <c r="S90">
        <v>8788.7999999999993</v>
      </c>
      <c r="T90">
        <v>6</v>
      </c>
      <c r="U90">
        <v>13183.199999999999</v>
      </c>
      <c r="V90">
        <v>5</v>
      </c>
      <c r="W90">
        <v>10986</v>
      </c>
      <c r="X90">
        <v>6</v>
      </c>
      <c r="Y90">
        <v>13183.199999999999</v>
      </c>
      <c r="Z90">
        <v>4</v>
      </c>
      <c r="AA90">
        <v>8788.7999999999993</v>
      </c>
      <c r="AB90">
        <v>5</v>
      </c>
      <c r="AC90">
        <v>10986</v>
      </c>
      <c r="AD90">
        <v>5</v>
      </c>
      <c r="AE90">
        <v>10986</v>
      </c>
      <c r="AF90">
        <v>3</v>
      </c>
      <c r="AG90">
        <v>6591.5999999999995</v>
      </c>
      <c r="AH90">
        <v>3</v>
      </c>
      <c r="AI90">
        <v>6591.5999999999995</v>
      </c>
      <c r="AJ90">
        <v>19</v>
      </c>
      <c r="AK90">
        <v>41746.799999999996</v>
      </c>
      <c r="AL90">
        <v>12</v>
      </c>
      <c r="AM90">
        <v>26366.399999999998</v>
      </c>
      <c r="AN90">
        <v>16</v>
      </c>
      <c r="AO90">
        <v>35155.199999999997</v>
      </c>
      <c r="AP90">
        <v>11</v>
      </c>
      <c r="AQ90">
        <v>24169.199999999997</v>
      </c>
      <c r="AR90">
        <v>6</v>
      </c>
      <c r="AS90">
        <v>13183.199999999999</v>
      </c>
      <c r="AT90">
        <v>6</v>
      </c>
      <c r="AU90">
        <v>13183.199999999999</v>
      </c>
      <c r="AV90">
        <v>5</v>
      </c>
      <c r="AW90">
        <v>10986</v>
      </c>
      <c r="AX90">
        <v>4</v>
      </c>
      <c r="AY90">
        <v>8788.7999999999993</v>
      </c>
      <c r="AZ90">
        <v>10</v>
      </c>
      <c r="BA90">
        <v>21972</v>
      </c>
      <c r="BB90">
        <v>12</v>
      </c>
      <c r="BC90">
        <v>26366.399999999998</v>
      </c>
      <c r="BD90">
        <v>12</v>
      </c>
      <c r="BE90">
        <v>26366.399999999998</v>
      </c>
      <c r="BF90">
        <v>10</v>
      </c>
      <c r="BG90">
        <v>21972</v>
      </c>
      <c r="BH90">
        <v>6</v>
      </c>
      <c r="BI90">
        <v>13183.199999999999</v>
      </c>
      <c r="BJ90">
        <v>8</v>
      </c>
      <c r="BK90">
        <v>17577.599999999999</v>
      </c>
      <c r="BL90">
        <v>7</v>
      </c>
      <c r="BM90">
        <v>15380.399999999998</v>
      </c>
      <c r="BN90">
        <v>6</v>
      </c>
      <c r="BO90">
        <v>13183.199999999999</v>
      </c>
      <c r="BP90">
        <v>6</v>
      </c>
      <c r="BQ90">
        <v>13183.199999999999</v>
      </c>
      <c r="BR90">
        <v>5</v>
      </c>
      <c r="BS90">
        <v>10986</v>
      </c>
      <c r="BT90">
        <v>4</v>
      </c>
      <c r="BU90">
        <v>8788.7999999999993</v>
      </c>
      <c r="BV90">
        <v>4</v>
      </c>
      <c r="BW90">
        <v>8788.7999999999993</v>
      </c>
      <c r="BX90">
        <v>6</v>
      </c>
      <c r="BY90">
        <v>13183.199999999999</v>
      </c>
      <c r="BZ90">
        <v>5</v>
      </c>
      <c r="CA90">
        <v>10986</v>
      </c>
      <c r="CB90">
        <v>4</v>
      </c>
      <c r="CC90">
        <v>8788.7999999999993</v>
      </c>
      <c r="CD90">
        <v>5</v>
      </c>
      <c r="CE90">
        <v>10986</v>
      </c>
      <c r="CF90">
        <v>7</v>
      </c>
      <c r="CG90">
        <v>15380.399999999998</v>
      </c>
      <c r="CH90">
        <v>7</v>
      </c>
      <c r="CI90">
        <v>15380.399999999998</v>
      </c>
      <c r="CJ90">
        <v>6</v>
      </c>
      <c r="CK90">
        <v>13183.199999999999</v>
      </c>
      <c r="CL90">
        <v>6</v>
      </c>
      <c r="CM90">
        <v>13183.199999999999</v>
      </c>
      <c r="CN90">
        <v>8</v>
      </c>
      <c r="CO90">
        <v>17577.599999999999</v>
      </c>
      <c r="CP90">
        <v>10</v>
      </c>
      <c r="CQ90">
        <v>21972</v>
      </c>
      <c r="CR90">
        <v>11</v>
      </c>
      <c r="CS90">
        <v>24169.199999999997</v>
      </c>
      <c r="CT90">
        <v>11</v>
      </c>
      <c r="CU90">
        <v>24169.199999999997</v>
      </c>
    </row>
    <row r="91" spans="2:99" x14ac:dyDescent="0.2">
      <c r="C91" s="105" t="s">
        <v>257</v>
      </c>
      <c r="D91">
        <v>0</v>
      </c>
      <c r="E91">
        <v>0</v>
      </c>
      <c r="F91">
        <v>3.8011936403249496</v>
      </c>
      <c r="G91">
        <v>8730.5815530983436</v>
      </c>
      <c r="H91">
        <v>8</v>
      </c>
      <c r="I91">
        <v>18374.399999999998</v>
      </c>
      <c r="J91">
        <v>9</v>
      </c>
      <c r="K91">
        <v>20671.199999999997</v>
      </c>
      <c r="L91">
        <v>5</v>
      </c>
      <c r="M91">
        <v>11483.999999999998</v>
      </c>
      <c r="N91">
        <v>5</v>
      </c>
      <c r="O91">
        <v>11483.999999999998</v>
      </c>
      <c r="P91">
        <v>4</v>
      </c>
      <c r="Q91">
        <v>9187.1999999999989</v>
      </c>
      <c r="R91">
        <v>5</v>
      </c>
      <c r="S91">
        <v>11483.999999999998</v>
      </c>
      <c r="T91">
        <v>7</v>
      </c>
      <c r="U91">
        <v>16077.599999999999</v>
      </c>
      <c r="V91">
        <v>5</v>
      </c>
      <c r="W91">
        <v>11483.999999999998</v>
      </c>
      <c r="X91">
        <v>6</v>
      </c>
      <c r="Y91">
        <v>13780.8</v>
      </c>
      <c r="Z91">
        <v>4</v>
      </c>
      <c r="AA91">
        <v>9187.1999999999989</v>
      </c>
      <c r="AB91">
        <v>4</v>
      </c>
      <c r="AC91">
        <v>9187.1999999999989</v>
      </c>
      <c r="AD91">
        <v>5</v>
      </c>
      <c r="AE91">
        <v>11483.999999999998</v>
      </c>
      <c r="AF91">
        <v>3</v>
      </c>
      <c r="AG91">
        <v>6890.4</v>
      </c>
      <c r="AH91">
        <v>3</v>
      </c>
      <c r="AI91">
        <v>6890.4</v>
      </c>
      <c r="AJ91">
        <v>20</v>
      </c>
      <c r="AK91">
        <v>45935.999999999993</v>
      </c>
      <c r="AL91">
        <v>12</v>
      </c>
      <c r="AM91">
        <v>27561.599999999999</v>
      </c>
      <c r="AN91">
        <v>15</v>
      </c>
      <c r="AO91">
        <v>34451.999999999993</v>
      </c>
      <c r="AP91">
        <v>10</v>
      </c>
      <c r="AQ91">
        <v>22967.999999999996</v>
      </c>
      <c r="AR91">
        <v>6</v>
      </c>
      <c r="AS91">
        <v>13780.8</v>
      </c>
      <c r="AT91">
        <v>6</v>
      </c>
      <c r="AU91">
        <v>13780.8</v>
      </c>
      <c r="AV91">
        <v>6</v>
      </c>
      <c r="AW91">
        <v>13780.8</v>
      </c>
      <c r="AX91">
        <v>4</v>
      </c>
      <c r="AY91">
        <v>9187.1999999999989</v>
      </c>
      <c r="AZ91">
        <v>9</v>
      </c>
      <c r="BA91">
        <v>20671.199999999997</v>
      </c>
      <c r="BB91">
        <v>13</v>
      </c>
      <c r="BC91">
        <v>29858.399999999998</v>
      </c>
      <c r="BD91">
        <v>13</v>
      </c>
      <c r="BE91">
        <v>29858.399999999998</v>
      </c>
      <c r="BF91">
        <v>9</v>
      </c>
      <c r="BG91">
        <v>20671.199999999997</v>
      </c>
      <c r="BH91">
        <v>5</v>
      </c>
      <c r="BI91">
        <v>11483.999999999998</v>
      </c>
      <c r="BJ91">
        <v>7</v>
      </c>
      <c r="BK91">
        <v>16077.599999999999</v>
      </c>
      <c r="BL91">
        <v>7</v>
      </c>
      <c r="BM91">
        <v>16077.599999999999</v>
      </c>
      <c r="BN91">
        <v>6</v>
      </c>
      <c r="BO91">
        <v>13780.8</v>
      </c>
      <c r="BP91">
        <v>6</v>
      </c>
      <c r="BQ91">
        <v>13780.8</v>
      </c>
      <c r="BR91">
        <v>4</v>
      </c>
      <c r="BS91">
        <v>9187.1999999999989</v>
      </c>
      <c r="BT91">
        <v>4</v>
      </c>
      <c r="BU91">
        <v>9187.1999999999989</v>
      </c>
      <c r="BV91">
        <v>5</v>
      </c>
      <c r="BW91">
        <v>11483.999999999998</v>
      </c>
      <c r="BX91">
        <v>6</v>
      </c>
      <c r="BY91">
        <v>13780.8</v>
      </c>
      <c r="BZ91">
        <v>5</v>
      </c>
      <c r="CA91">
        <v>11483.999999999998</v>
      </c>
      <c r="CB91">
        <v>5</v>
      </c>
      <c r="CC91">
        <v>11483.999999999998</v>
      </c>
      <c r="CD91">
        <v>5</v>
      </c>
      <c r="CE91">
        <v>11483.999999999998</v>
      </c>
      <c r="CF91">
        <v>7</v>
      </c>
      <c r="CG91">
        <v>16077.599999999999</v>
      </c>
      <c r="CH91">
        <v>6</v>
      </c>
      <c r="CI91">
        <v>13780.8</v>
      </c>
      <c r="CJ91">
        <v>5</v>
      </c>
      <c r="CK91">
        <v>11483.999999999998</v>
      </c>
      <c r="CL91">
        <v>6</v>
      </c>
      <c r="CM91">
        <v>13780.8</v>
      </c>
      <c r="CN91">
        <v>9</v>
      </c>
      <c r="CO91">
        <v>20671.199999999997</v>
      </c>
      <c r="CP91">
        <v>10</v>
      </c>
      <c r="CQ91">
        <v>22967.999999999996</v>
      </c>
      <c r="CR91">
        <v>11</v>
      </c>
      <c r="CS91">
        <v>25264.799999999996</v>
      </c>
      <c r="CT91">
        <v>10</v>
      </c>
      <c r="CU91">
        <v>22967.999999999996</v>
      </c>
    </row>
    <row r="92" spans="2:99" x14ac:dyDescent="0.2">
      <c r="C92" s="105" t="s">
        <v>258</v>
      </c>
      <c r="D92">
        <v>0</v>
      </c>
      <c r="E92">
        <v>0</v>
      </c>
      <c r="F92">
        <v>4.5614323683899389</v>
      </c>
      <c r="G92">
        <v>6480.883109008425</v>
      </c>
      <c r="H92">
        <v>8</v>
      </c>
      <c r="I92">
        <v>11366.4</v>
      </c>
      <c r="J92">
        <v>8</v>
      </c>
      <c r="K92">
        <v>11366.4</v>
      </c>
      <c r="L92">
        <v>6</v>
      </c>
      <c r="M92">
        <v>8524.7999999999993</v>
      </c>
      <c r="N92">
        <v>5</v>
      </c>
      <c r="O92">
        <v>7104</v>
      </c>
      <c r="P92">
        <v>4</v>
      </c>
      <c r="Q92">
        <v>5683.2</v>
      </c>
      <c r="R92">
        <v>4</v>
      </c>
      <c r="S92">
        <v>5683.2</v>
      </c>
      <c r="T92">
        <v>7</v>
      </c>
      <c r="U92">
        <v>9945.6</v>
      </c>
      <c r="V92">
        <v>5</v>
      </c>
      <c r="W92">
        <v>7104</v>
      </c>
      <c r="X92">
        <v>7</v>
      </c>
      <c r="Y92">
        <v>9945.6</v>
      </c>
      <c r="Z92">
        <v>4</v>
      </c>
      <c r="AA92">
        <v>5683.2</v>
      </c>
      <c r="AB92">
        <v>5</v>
      </c>
      <c r="AC92">
        <v>7104</v>
      </c>
      <c r="AD92">
        <v>5</v>
      </c>
      <c r="AE92">
        <v>7104</v>
      </c>
      <c r="AF92">
        <v>3</v>
      </c>
      <c r="AG92">
        <v>4262.3999999999996</v>
      </c>
      <c r="AH92">
        <v>3</v>
      </c>
      <c r="AI92">
        <v>4262.3999999999996</v>
      </c>
      <c r="AJ92">
        <v>22</v>
      </c>
      <c r="AK92">
        <v>31257.599999999999</v>
      </c>
      <c r="AL92">
        <v>16</v>
      </c>
      <c r="AM92">
        <v>22732.799999999999</v>
      </c>
      <c r="AN92">
        <v>15</v>
      </c>
      <c r="AO92">
        <v>21312</v>
      </c>
      <c r="AP92">
        <v>11</v>
      </c>
      <c r="AQ92">
        <v>15628.8</v>
      </c>
      <c r="AR92">
        <v>7</v>
      </c>
      <c r="AS92">
        <v>9945.6</v>
      </c>
      <c r="AT92">
        <v>6</v>
      </c>
      <c r="AU92">
        <v>8524.7999999999993</v>
      </c>
      <c r="AV92">
        <v>6</v>
      </c>
      <c r="AW92">
        <v>8524.7999999999993</v>
      </c>
      <c r="AX92">
        <v>4</v>
      </c>
      <c r="AY92">
        <v>5683.2</v>
      </c>
      <c r="AZ92">
        <v>10</v>
      </c>
      <c r="BA92">
        <v>14208</v>
      </c>
      <c r="BB92">
        <v>14</v>
      </c>
      <c r="BC92">
        <v>19891.2</v>
      </c>
      <c r="BD92">
        <v>14</v>
      </c>
      <c r="BE92">
        <v>19891.2</v>
      </c>
      <c r="BF92">
        <v>10</v>
      </c>
      <c r="BG92">
        <v>14208</v>
      </c>
      <c r="BH92">
        <v>6</v>
      </c>
      <c r="BI92">
        <v>8524.7999999999993</v>
      </c>
      <c r="BJ92">
        <v>8</v>
      </c>
      <c r="BK92">
        <v>11366.4</v>
      </c>
      <c r="BL92">
        <v>7</v>
      </c>
      <c r="BM92">
        <v>9945.6</v>
      </c>
      <c r="BN92">
        <v>7</v>
      </c>
      <c r="BO92">
        <v>9945.6</v>
      </c>
      <c r="BP92">
        <v>7</v>
      </c>
      <c r="BQ92">
        <v>9945.6</v>
      </c>
      <c r="BR92">
        <v>5</v>
      </c>
      <c r="BS92">
        <v>7104</v>
      </c>
      <c r="BT92">
        <v>4</v>
      </c>
      <c r="BU92">
        <v>5683.2</v>
      </c>
      <c r="BV92">
        <v>5</v>
      </c>
      <c r="BW92">
        <v>7104</v>
      </c>
      <c r="BX92">
        <v>7</v>
      </c>
      <c r="BY92">
        <v>9945.6</v>
      </c>
      <c r="BZ92">
        <v>4</v>
      </c>
      <c r="CA92">
        <v>5683.2</v>
      </c>
      <c r="CB92">
        <v>4</v>
      </c>
      <c r="CC92">
        <v>5683.2</v>
      </c>
      <c r="CD92">
        <v>5</v>
      </c>
      <c r="CE92">
        <v>7104</v>
      </c>
      <c r="CF92">
        <v>7</v>
      </c>
      <c r="CG92">
        <v>9945.6</v>
      </c>
      <c r="CH92">
        <v>7</v>
      </c>
      <c r="CI92">
        <v>9945.6</v>
      </c>
      <c r="CJ92">
        <v>6</v>
      </c>
      <c r="CK92">
        <v>8524.7999999999993</v>
      </c>
      <c r="CL92">
        <v>7</v>
      </c>
      <c r="CM92">
        <v>9945.6</v>
      </c>
      <c r="CN92">
        <v>9</v>
      </c>
      <c r="CO92">
        <v>12787.199999999999</v>
      </c>
      <c r="CP92">
        <v>10</v>
      </c>
      <c r="CQ92">
        <v>14208</v>
      </c>
      <c r="CR92">
        <v>11</v>
      </c>
      <c r="CS92">
        <v>15628.8</v>
      </c>
      <c r="CT92">
        <v>10</v>
      </c>
      <c r="CU92">
        <v>14208</v>
      </c>
    </row>
    <row r="93" spans="2:99" x14ac:dyDescent="0.2">
      <c r="C93" s="105" t="s">
        <v>259</v>
      </c>
      <c r="D93">
        <v>0</v>
      </c>
      <c r="E93">
        <v>0</v>
      </c>
      <c r="F93">
        <v>3.8011936403249496</v>
      </c>
      <c r="G93">
        <v>6737.2356081119397</v>
      </c>
      <c r="H93">
        <v>7</v>
      </c>
      <c r="I93">
        <v>12406.8</v>
      </c>
      <c r="J93">
        <v>8</v>
      </c>
      <c r="K93">
        <v>14179.199999999999</v>
      </c>
      <c r="L93">
        <v>5</v>
      </c>
      <c r="M93">
        <v>8862</v>
      </c>
      <c r="N93">
        <v>4</v>
      </c>
      <c r="O93">
        <v>7089.5999999999995</v>
      </c>
      <c r="P93">
        <v>4</v>
      </c>
      <c r="Q93">
        <v>7089.5999999999995</v>
      </c>
      <c r="R93">
        <v>4</v>
      </c>
      <c r="S93">
        <v>7089.5999999999995</v>
      </c>
      <c r="T93">
        <v>6</v>
      </c>
      <c r="U93">
        <v>10634.4</v>
      </c>
      <c r="V93">
        <v>5</v>
      </c>
      <c r="W93">
        <v>8862</v>
      </c>
      <c r="X93">
        <v>6</v>
      </c>
      <c r="Y93">
        <v>10634.4</v>
      </c>
      <c r="Z93">
        <v>4</v>
      </c>
      <c r="AA93">
        <v>7089.5999999999995</v>
      </c>
      <c r="AB93">
        <v>4</v>
      </c>
      <c r="AC93">
        <v>7089.5999999999995</v>
      </c>
      <c r="AD93">
        <v>5</v>
      </c>
      <c r="AE93">
        <v>8862</v>
      </c>
      <c r="AF93">
        <v>3</v>
      </c>
      <c r="AG93">
        <v>5317.2</v>
      </c>
      <c r="AH93">
        <v>3</v>
      </c>
      <c r="AI93">
        <v>5317.2</v>
      </c>
      <c r="AJ93">
        <v>20</v>
      </c>
      <c r="AK93">
        <v>35448</v>
      </c>
      <c r="AL93">
        <v>14</v>
      </c>
      <c r="AM93">
        <v>24813.599999999999</v>
      </c>
      <c r="AN93">
        <v>17</v>
      </c>
      <c r="AO93">
        <v>30130.799999999999</v>
      </c>
      <c r="AP93">
        <v>11</v>
      </c>
      <c r="AQ93">
        <v>19496.399999999998</v>
      </c>
      <c r="AR93">
        <v>7</v>
      </c>
      <c r="AS93">
        <v>12406.8</v>
      </c>
      <c r="AT93">
        <v>5</v>
      </c>
      <c r="AU93">
        <v>8862</v>
      </c>
      <c r="AV93">
        <v>5</v>
      </c>
      <c r="AW93">
        <v>8862</v>
      </c>
      <c r="AX93">
        <v>4</v>
      </c>
      <c r="AY93">
        <v>7089.5999999999995</v>
      </c>
      <c r="AZ93">
        <v>10</v>
      </c>
      <c r="BA93">
        <v>17724</v>
      </c>
      <c r="BB93">
        <v>13</v>
      </c>
      <c r="BC93">
        <v>23041.199999999997</v>
      </c>
      <c r="BD93">
        <v>13</v>
      </c>
      <c r="BE93">
        <v>23041.199999999997</v>
      </c>
      <c r="BF93">
        <v>10</v>
      </c>
      <c r="BG93">
        <v>17724</v>
      </c>
      <c r="BH93">
        <v>6</v>
      </c>
      <c r="BI93">
        <v>10634.4</v>
      </c>
      <c r="BJ93">
        <v>8</v>
      </c>
      <c r="BK93">
        <v>14179.199999999999</v>
      </c>
      <c r="BL93">
        <v>7</v>
      </c>
      <c r="BM93">
        <v>12406.8</v>
      </c>
      <c r="BN93">
        <v>7</v>
      </c>
      <c r="BO93">
        <v>12406.8</v>
      </c>
      <c r="BP93">
        <v>6</v>
      </c>
      <c r="BQ93">
        <v>10634.4</v>
      </c>
      <c r="BR93">
        <v>5</v>
      </c>
      <c r="BS93">
        <v>8862</v>
      </c>
      <c r="BT93">
        <v>4</v>
      </c>
      <c r="BU93">
        <v>7089.5999999999995</v>
      </c>
      <c r="BV93">
        <v>5</v>
      </c>
      <c r="BW93">
        <v>8862</v>
      </c>
      <c r="BX93">
        <v>6</v>
      </c>
      <c r="BY93">
        <v>10634.4</v>
      </c>
      <c r="BZ93">
        <v>4</v>
      </c>
      <c r="CA93">
        <v>7089.5999999999995</v>
      </c>
      <c r="CB93">
        <v>5</v>
      </c>
      <c r="CC93">
        <v>8862</v>
      </c>
      <c r="CD93">
        <v>5</v>
      </c>
      <c r="CE93">
        <v>8862</v>
      </c>
      <c r="CF93">
        <v>8</v>
      </c>
      <c r="CG93">
        <v>14179.199999999999</v>
      </c>
      <c r="CH93">
        <v>6</v>
      </c>
      <c r="CI93">
        <v>10634.4</v>
      </c>
      <c r="CJ93">
        <v>6</v>
      </c>
      <c r="CK93">
        <v>10634.4</v>
      </c>
      <c r="CL93">
        <v>7</v>
      </c>
      <c r="CM93">
        <v>12406.8</v>
      </c>
      <c r="CN93">
        <v>9</v>
      </c>
      <c r="CO93">
        <v>15951.599999999999</v>
      </c>
      <c r="CP93">
        <v>9</v>
      </c>
      <c r="CQ93">
        <v>15951.599999999999</v>
      </c>
      <c r="CR93">
        <v>11</v>
      </c>
      <c r="CS93">
        <v>19496.399999999998</v>
      </c>
      <c r="CT93">
        <v>10</v>
      </c>
      <c r="CU93">
        <v>17724</v>
      </c>
    </row>
    <row r="94" spans="2:99" x14ac:dyDescent="0.2">
      <c r="C94" s="105" t="s">
        <v>260</v>
      </c>
      <c r="D94">
        <v>0</v>
      </c>
      <c r="E94">
        <v>0</v>
      </c>
      <c r="F94">
        <v>3.8011936403249496</v>
      </c>
      <c r="G94">
        <v>9104.619007306319</v>
      </c>
      <c r="H94">
        <v>8</v>
      </c>
      <c r="I94">
        <v>19161.599999999999</v>
      </c>
      <c r="J94">
        <v>8</v>
      </c>
      <c r="K94">
        <v>19161.599999999999</v>
      </c>
      <c r="L94">
        <v>5</v>
      </c>
      <c r="M94">
        <v>11976</v>
      </c>
      <c r="N94">
        <v>5</v>
      </c>
      <c r="O94">
        <v>11976</v>
      </c>
      <c r="P94">
        <v>4</v>
      </c>
      <c r="Q94">
        <v>9580.7999999999993</v>
      </c>
      <c r="R94">
        <v>5</v>
      </c>
      <c r="S94">
        <v>11976</v>
      </c>
      <c r="T94">
        <v>6</v>
      </c>
      <c r="U94">
        <v>14371.199999999999</v>
      </c>
      <c r="V94">
        <v>5</v>
      </c>
      <c r="W94">
        <v>11976</v>
      </c>
      <c r="X94">
        <v>6</v>
      </c>
      <c r="Y94">
        <v>14371.199999999999</v>
      </c>
      <c r="Z94">
        <v>3</v>
      </c>
      <c r="AA94">
        <v>7185.5999999999995</v>
      </c>
      <c r="AB94">
        <v>5</v>
      </c>
      <c r="AC94">
        <v>11976</v>
      </c>
      <c r="AD94">
        <v>5</v>
      </c>
      <c r="AE94">
        <v>11976</v>
      </c>
      <c r="AF94">
        <v>3</v>
      </c>
      <c r="AG94">
        <v>7185.5999999999995</v>
      </c>
      <c r="AH94">
        <v>3</v>
      </c>
      <c r="AI94">
        <v>7185.5999999999995</v>
      </c>
      <c r="AJ94">
        <v>17</v>
      </c>
      <c r="AK94">
        <v>40718.399999999994</v>
      </c>
      <c r="AL94">
        <v>14</v>
      </c>
      <c r="AM94">
        <v>33532.799999999996</v>
      </c>
      <c r="AN94">
        <v>13</v>
      </c>
      <c r="AO94">
        <v>31137.599999999999</v>
      </c>
      <c r="AP94">
        <v>10</v>
      </c>
      <c r="AQ94">
        <v>23952</v>
      </c>
      <c r="AR94">
        <v>6</v>
      </c>
      <c r="AS94">
        <v>14371.199999999999</v>
      </c>
      <c r="AT94">
        <v>5</v>
      </c>
      <c r="AU94">
        <v>11976</v>
      </c>
      <c r="AV94">
        <v>5</v>
      </c>
      <c r="AW94">
        <v>11976</v>
      </c>
      <c r="AX94">
        <v>4</v>
      </c>
      <c r="AY94">
        <v>9580.7999999999993</v>
      </c>
      <c r="AZ94">
        <v>8</v>
      </c>
      <c r="BA94">
        <v>19161.599999999999</v>
      </c>
      <c r="BB94">
        <v>14</v>
      </c>
      <c r="BC94">
        <v>33532.799999999996</v>
      </c>
      <c r="BD94">
        <v>12</v>
      </c>
      <c r="BE94">
        <v>28742.399999999998</v>
      </c>
      <c r="BF94">
        <v>9</v>
      </c>
      <c r="BG94">
        <v>21556.799999999999</v>
      </c>
      <c r="BH94">
        <v>6</v>
      </c>
      <c r="BI94">
        <v>14371.199999999999</v>
      </c>
      <c r="BJ94">
        <v>7</v>
      </c>
      <c r="BK94">
        <v>16766.399999999998</v>
      </c>
      <c r="BL94">
        <v>6</v>
      </c>
      <c r="BM94">
        <v>14371.199999999999</v>
      </c>
      <c r="BN94">
        <v>7</v>
      </c>
      <c r="BO94">
        <v>16766.399999999998</v>
      </c>
      <c r="BP94">
        <v>5</v>
      </c>
      <c r="BQ94">
        <v>11976</v>
      </c>
      <c r="BR94">
        <v>4</v>
      </c>
      <c r="BS94">
        <v>9580.7999999999993</v>
      </c>
      <c r="BT94">
        <v>4</v>
      </c>
      <c r="BU94">
        <v>9580.7999999999993</v>
      </c>
      <c r="BV94">
        <v>5</v>
      </c>
      <c r="BW94">
        <v>11976</v>
      </c>
      <c r="BX94">
        <v>6</v>
      </c>
      <c r="BY94">
        <v>14371.199999999999</v>
      </c>
      <c r="BZ94">
        <v>4</v>
      </c>
      <c r="CA94">
        <v>9580.7999999999993</v>
      </c>
      <c r="CB94">
        <v>4</v>
      </c>
      <c r="CC94">
        <v>9580.7999999999993</v>
      </c>
      <c r="CD94">
        <v>6</v>
      </c>
      <c r="CE94">
        <v>14371.199999999999</v>
      </c>
      <c r="CF94">
        <v>7</v>
      </c>
      <c r="CG94">
        <v>16766.399999999998</v>
      </c>
      <c r="CH94">
        <v>7</v>
      </c>
      <c r="CI94">
        <v>16766.399999999998</v>
      </c>
      <c r="CJ94">
        <v>5</v>
      </c>
      <c r="CK94">
        <v>11976</v>
      </c>
      <c r="CL94">
        <v>7</v>
      </c>
      <c r="CM94">
        <v>16766.399999999998</v>
      </c>
      <c r="CN94">
        <v>8</v>
      </c>
      <c r="CO94">
        <v>19161.599999999999</v>
      </c>
      <c r="CP94">
        <v>10</v>
      </c>
      <c r="CQ94">
        <v>23952</v>
      </c>
      <c r="CR94">
        <v>11</v>
      </c>
      <c r="CS94">
        <v>26347.199999999997</v>
      </c>
      <c r="CT94">
        <v>10</v>
      </c>
      <c r="CU94">
        <v>23952</v>
      </c>
    </row>
    <row r="95" spans="2:99" x14ac:dyDescent="0.2">
      <c r="B95" s="105" t="s">
        <v>132</v>
      </c>
      <c r="C95" s="105" t="s">
        <v>261</v>
      </c>
      <c r="D95">
        <v>0</v>
      </c>
      <c r="E95">
        <v>0</v>
      </c>
      <c r="F95">
        <v>3.0409549122599593</v>
      </c>
      <c r="G95">
        <v>5269.3666719640569</v>
      </c>
      <c r="H95">
        <v>4</v>
      </c>
      <c r="I95">
        <v>6931.2</v>
      </c>
      <c r="J95">
        <v>6</v>
      </c>
      <c r="K95">
        <v>10396.799999999999</v>
      </c>
      <c r="L95">
        <v>12</v>
      </c>
      <c r="M95">
        <v>20793.599999999999</v>
      </c>
      <c r="N95">
        <v>11</v>
      </c>
      <c r="O95">
        <v>19060.8</v>
      </c>
      <c r="P95">
        <v>10</v>
      </c>
      <c r="Q95">
        <v>17328</v>
      </c>
      <c r="R95">
        <v>10</v>
      </c>
      <c r="S95">
        <v>17328</v>
      </c>
      <c r="T95">
        <v>4</v>
      </c>
      <c r="U95">
        <v>6931.2</v>
      </c>
      <c r="V95">
        <v>5</v>
      </c>
      <c r="W95">
        <v>8664</v>
      </c>
      <c r="X95">
        <v>6</v>
      </c>
      <c r="Y95">
        <v>10396.799999999999</v>
      </c>
      <c r="Z95">
        <v>7</v>
      </c>
      <c r="AA95">
        <v>12129.6</v>
      </c>
      <c r="AB95">
        <v>25</v>
      </c>
      <c r="AC95">
        <v>43320</v>
      </c>
      <c r="AD95">
        <v>25</v>
      </c>
      <c r="AE95">
        <v>43320</v>
      </c>
      <c r="AF95">
        <v>21</v>
      </c>
      <c r="AG95">
        <v>36388.799999999996</v>
      </c>
      <c r="AH95">
        <v>20</v>
      </c>
      <c r="AI95">
        <v>34656</v>
      </c>
      <c r="AJ95">
        <v>7</v>
      </c>
      <c r="AK95">
        <v>12129.6</v>
      </c>
      <c r="AL95">
        <v>4</v>
      </c>
      <c r="AM95">
        <v>6931.2</v>
      </c>
      <c r="AN95">
        <v>3</v>
      </c>
      <c r="AO95">
        <v>5198.3999999999996</v>
      </c>
      <c r="AP95">
        <v>4</v>
      </c>
      <c r="AQ95">
        <v>6931.2</v>
      </c>
      <c r="AR95">
        <v>27</v>
      </c>
      <c r="AS95">
        <v>46785.599999999999</v>
      </c>
      <c r="AT95">
        <v>27</v>
      </c>
      <c r="AU95">
        <v>46785.599999999999</v>
      </c>
      <c r="AV95">
        <v>23</v>
      </c>
      <c r="AW95">
        <v>39854.400000000001</v>
      </c>
      <c r="AX95">
        <v>27</v>
      </c>
      <c r="AY95">
        <v>46785.599999999999</v>
      </c>
      <c r="AZ95">
        <v>20</v>
      </c>
      <c r="BA95">
        <v>34656</v>
      </c>
      <c r="BB95">
        <v>16</v>
      </c>
      <c r="BC95">
        <v>27724.799999999999</v>
      </c>
      <c r="BD95">
        <v>14</v>
      </c>
      <c r="BE95">
        <v>24259.200000000001</v>
      </c>
      <c r="BF95">
        <v>21</v>
      </c>
      <c r="BG95">
        <v>36388.799999999996</v>
      </c>
      <c r="BH95">
        <v>37</v>
      </c>
      <c r="BI95">
        <v>64113.599999999999</v>
      </c>
      <c r="BJ95">
        <v>22</v>
      </c>
      <c r="BK95">
        <v>38121.599999999999</v>
      </c>
      <c r="BL95">
        <v>29</v>
      </c>
      <c r="BM95">
        <v>50251.199999999997</v>
      </c>
      <c r="BN95">
        <v>36</v>
      </c>
      <c r="BO95">
        <v>62380.799999999996</v>
      </c>
      <c r="BP95">
        <v>4</v>
      </c>
      <c r="BQ95">
        <v>6931.2</v>
      </c>
      <c r="BR95">
        <v>6</v>
      </c>
      <c r="BS95">
        <v>10396.799999999999</v>
      </c>
      <c r="BT95">
        <v>5</v>
      </c>
      <c r="BU95">
        <v>8664</v>
      </c>
      <c r="BV95">
        <v>7</v>
      </c>
      <c r="BW95">
        <v>12129.6</v>
      </c>
      <c r="BX95">
        <v>45</v>
      </c>
      <c r="BY95">
        <v>77976</v>
      </c>
      <c r="BZ95">
        <v>49</v>
      </c>
      <c r="CA95">
        <v>84907.199999999997</v>
      </c>
      <c r="CB95">
        <v>37</v>
      </c>
      <c r="CC95">
        <v>64113.599999999999</v>
      </c>
      <c r="CD95">
        <v>37</v>
      </c>
      <c r="CE95">
        <v>64113.599999999999</v>
      </c>
      <c r="CF95">
        <v>10</v>
      </c>
      <c r="CG95">
        <v>17328</v>
      </c>
      <c r="CH95">
        <v>13</v>
      </c>
      <c r="CI95">
        <v>22526.399999999998</v>
      </c>
      <c r="CJ95">
        <v>8</v>
      </c>
      <c r="CK95">
        <v>13862.4</v>
      </c>
      <c r="CL95">
        <v>14</v>
      </c>
      <c r="CM95">
        <v>24259.200000000001</v>
      </c>
      <c r="CN95">
        <v>5</v>
      </c>
      <c r="CO95">
        <v>8664</v>
      </c>
      <c r="CP95">
        <v>3</v>
      </c>
      <c r="CQ95">
        <v>5198.3999999999996</v>
      </c>
      <c r="CR95">
        <v>5</v>
      </c>
      <c r="CS95">
        <v>8664</v>
      </c>
      <c r="CT95">
        <v>5</v>
      </c>
      <c r="CU95">
        <v>8664</v>
      </c>
    </row>
    <row r="96" spans="2:99" x14ac:dyDescent="0.2">
      <c r="C96" s="105" t="s">
        <v>262</v>
      </c>
      <c r="D96">
        <v>0</v>
      </c>
      <c r="E96">
        <v>0</v>
      </c>
      <c r="F96">
        <v>3.8011936403249496</v>
      </c>
      <c r="G96">
        <v>3129.1426047154982</v>
      </c>
      <c r="H96">
        <v>5</v>
      </c>
      <c r="I96">
        <v>4116</v>
      </c>
      <c r="J96">
        <v>6</v>
      </c>
      <c r="K96">
        <v>4939.2</v>
      </c>
      <c r="L96">
        <v>12</v>
      </c>
      <c r="M96">
        <v>9878.4</v>
      </c>
      <c r="N96">
        <v>11</v>
      </c>
      <c r="O96">
        <v>9055.1999999999989</v>
      </c>
      <c r="P96">
        <v>11</v>
      </c>
      <c r="Q96">
        <v>9055.1999999999989</v>
      </c>
      <c r="R96">
        <v>12</v>
      </c>
      <c r="S96">
        <v>9878.4</v>
      </c>
      <c r="T96">
        <v>5</v>
      </c>
      <c r="U96">
        <v>4116</v>
      </c>
      <c r="V96">
        <v>5</v>
      </c>
      <c r="W96">
        <v>4116</v>
      </c>
      <c r="X96">
        <v>6</v>
      </c>
      <c r="Y96">
        <v>4939.2</v>
      </c>
      <c r="Z96">
        <v>7</v>
      </c>
      <c r="AA96">
        <v>5762.4</v>
      </c>
      <c r="AB96">
        <v>24</v>
      </c>
      <c r="AC96">
        <v>19756.8</v>
      </c>
      <c r="AD96">
        <v>29</v>
      </c>
      <c r="AE96">
        <v>23872.799999999999</v>
      </c>
      <c r="AF96">
        <v>23</v>
      </c>
      <c r="AG96">
        <v>18933.599999999999</v>
      </c>
      <c r="AH96">
        <v>20</v>
      </c>
      <c r="AI96">
        <v>16464</v>
      </c>
      <c r="AJ96">
        <v>7</v>
      </c>
      <c r="AK96">
        <v>5762.4</v>
      </c>
      <c r="AL96">
        <v>4</v>
      </c>
      <c r="AM96">
        <v>3292.7999999999997</v>
      </c>
      <c r="AN96">
        <v>4</v>
      </c>
      <c r="AO96">
        <v>3292.7999999999997</v>
      </c>
      <c r="AP96">
        <v>5</v>
      </c>
      <c r="AQ96">
        <v>4116</v>
      </c>
      <c r="AR96">
        <v>31</v>
      </c>
      <c r="AS96">
        <v>25519.199999999997</v>
      </c>
      <c r="AT96">
        <v>32</v>
      </c>
      <c r="AU96">
        <v>26342.399999999998</v>
      </c>
      <c r="AV96">
        <v>26</v>
      </c>
      <c r="AW96">
        <v>21403.199999999997</v>
      </c>
      <c r="AX96">
        <v>31</v>
      </c>
      <c r="AY96">
        <v>25519.199999999997</v>
      </c>
      <c r="AZ96">
        <v>20</v>
      </c>
      <c r="BA96">
        <v>16464</v>
      </c>
      <c r="BB96">
        <v>18</v>
      </c>
      <c r="BC96">
        <v>14817.599999999999</v>
      </c>
      <c r="BD96">
        <v>17</v>
      </c>
      <c r="BE96">
        <v>13994.4</v>
      </c>
      <c r="BF96">
        <v>25</v>
      </c>
      <c r="BG96">
        <v>20580</v>
      </c>
      <c r="BH96">
        <v>40</v>
      </c>
      <c r="BI96">
        <v>32928</v>
      </c>
      <c r="BJ96">
        <v>28</v>
      </c>
      <c r="BK96">
        <v>23049.599999999999</v>
      </c>
      <c r="BL96">
        <v>29</v>
      </c>
      <c r="BM96">
        <v>23872.799999999999</v>
      </c>
      <c r="BN96">
        <v>48</v>
      </c>
      <c r="BO96">
        <v>39513.599999999999</v>
      </c>
      <c r="BP96">
        <v>4</v>
      </c>
      <c r="BQ96">
        <v>3292.7999999999997</v>
      </c>
      <c r="BR96">
        <v>6</v>
      </c>
      <c r="BS96">
        <v>4939.2</v>
      </c>
      <c r="BT96">
        <v>5</v>
      </c>
      <c r="BU96">
        <v>4116</v>
      </c>
      <c r="BV96">
        <v>6</v>
      </c>
      <c r="BW96">
        <v>4939.2</v>
      </c>
      <c r="BX96">
        <v>53</v>
      </c>
      <c r="BY96">
        <v>43629.599999999999</v>
      </c>
      <c r="BZ96">
        <v>62</v>
      </c>
      <c r="CA96">
        <v>51038.399999999994</v>
      </c>
      <c r="CB96">
        <v>50</v>
      </c>
      <c r="CC96">
        <v>41160</v>
      </c>
      <c r="CD96">
        <v>43</v>
      </c>
      <c r="CE96">
        <v>35397.599999999999</v>
      </c>
      <c r="CF96">
        <v>13</v>
      </c>
      <c r="CG96">
        <v>10701.599999999999</v>
      </c>
      <c r="CH96">
        <v>13</v>
      </c>
      <c r="CI96">
        <v>10701.599999999999</v>
      </c>
      <c r="CJ96">
        <v>8</v>
      </c>
      <c r="CK96">
        <v>6585.5999999999995</v>
      </c>
      <c r="CL96">
        <v>13</v>
      </c>
      <c r="CM96">
        <v>10701.599999999999</v>
      </c>
      <c r="CN96">
        <v>5</v>
      </c>
      <c r="CO96">
        <v>4116</v>
      </c>
      <c r="CP96">
        <v>3</v>
      </c>
      <c r="CQ96">
        <v>2469.6</v>
      </c>
      <c r="CR96">
        <v>4</v>
      </c>
      <c r="CS96">
        <v>3292.7999999999997</v>
      </c>
      <c r="CT96">
        <v>6</v>
      </c>
      <c r="CU96">
        <v>4939.2</v>
      </c>
    </row>
    <row r="97" spans="2:99" x14ac:dyDescent="0.2">
      <c r="C97" s="105" t="s">
        <v>263</v>
      </c>
      <c r="D97">
        <v>0</v>
      </c>
      <c r="E97">
        <v>0</v>
      </c>
      <c r="F97">
        <v>3.8011936403249496</v>
      </c>
      <c r="G97">
        <v>6951.6229294262675</v>
      </c>
      <c r="H97">
        <v>5</v>
      </c>
      <c r="I97">
        <v>9144</v>
      </c>
      <c r="J97">
        <v>5</v>
      </c>
      <c r="K97">
        <v>9144</v>
      </c>
      <c r="L97">
        <v>12</v>
      </c>
      <c r="M97">
        <v>21945.599999999999</v>
      </c>
      <c r="N97">
        <v>10</v>
      </c>
      <c r="O97">
        <v>18288</v>
      </c>
      <c r="P97">
        <v>9</v>
      </c>
      <c r="Q97">
        <v>16459.2</v>
      </c>
      <c r="R97">
        <v>10</v>
      </c>
      <c r="S97">
        <v>18288</v>
      </c>
      <c r="T97">
        <v>4</v>
      </c>
      <c r="U97">
        <v>7315.2</v>
      </c>
      <c r="V97">
        <v>5</v>
      </c>
      <c r="W97">
        <v>9144</v>
      </c>
      <c r="X97">
        <v>5</v>
      </c>
      <c r="Y97">
        <v>9144</v>
      </c>
      <c r="Z97">
        <v>6</v>
      </c>
      <c r="AA97">
        <v>10972.8</v>
      </c>
      <c r="AB97">
        <v>22</v>
      </c>
      <c r="AC97">
        <v>40233.599999999999</v>
      </c>
      <c r="AD97">
        <v>24</v>
      </c>
      <c r="AE97">
        <v>43891.199999999997</v>
      </c>
      <c r="AF97">
        <v>19</v>
      </c>
      <c r="AG97">
        <v>34747.199999999997</v>
      </c>
      <c r="AH97">
        <v>18</v>
      </c>
      <c r="AI97">
        <v>32918.400000000001</v>
      </c>
      <c r="AJ97">
        <v>7</v>
      </c>
      <c r="AK97">
        <v>12801.6</v>
      </c>
      <c r="AL97">
        <v>4</v>
      </c>
      <c r="AM97">
        <v>7315.2</v>
      </c>
      <c r="AN97">
        <v>3</v>
      </c>
      <c r="AO97">
        <v>5486.4</v>
      </c>
      <c r="AP97">
        <v>4</v>
      </c>
      <c r="AQ97">
        <v>7315.2</v>
      </c>
      <c r="AR97">
        <v>26</v>
      </c>
      <c r="AS97">
        <v>47548.799999999996</v>
      </c>
      <c r="AT97">
        <v>23</v>
      </c>
      <c r="AU97">
        <v>42062.400000000001</v>
      </c>
      <c r="AV97">
        <v>21</v>
      </c>
      <c r="AW97">
        <v>38404.799999999996</v>
      </c>
      <c r="AX97">
        <v>27</v>
      </c>
      <c r="AY97">
        <v>49377.599999999999</v>
      </c>
      <c r="AZ97">
        <v>21</v>
      </c>
      <c r="BA97">
        <v>38404.799999999996</v>
      </c>
      <c r="BB97">
        <v>15</v>
      </c>
      <c r="BC97">
        <v>27432</v>
      </c>
      <c r="BD97">
        <v>14</v>
      </c>
      <c r="BE97">
        <v>25603.200000000001</v>
      </c>
      <c r="BF97">
        <v>21</v>
      </c>
      <c r="BG97">
        <v>38404.799999999996</v>
      </c>
      <c r="BH97">
        <v>33</v>
      </c>
      <c r="BI97">
        <v>60350.400000000001</v>
      </c>
      <c r="BJ97">
        <v>22</v>
      </c>
      <c r="BK97">
        <v>40233.599999999999</v>
      </c>
      <c r="BL97">
        <v>28</v>
      </c>
      <c r="BM97">
        <v>51206.400000000001</v>
      </c>
      <c r="BN97">
        <v>42</v>
      </c>
      <c r="BO97">
        <v>76809.599999999991</v>
      </c>
      <c r="BP97">
        <v>4</v>
      </c>
      <c r="BQ97">
        <v>7315.2</v>
      </c>
      <c r="BR97">
        <v>5</v>
      </c>
      <c r="BS97">
        <v>9144</v>
      </c>
      <c r="BT97">
        <v>5</v>
      </c>
      <c r="BU97">
        <v>9144</v>
      </c>
      <c r="BV97">
        <v>7</v>
      </c>
      <c r="BW97">
        <v>12801.6</v>
      </c>
      <c r="BX97">
        <v>42</v>
      </c>
      <c r="BY97">
        <v>76809.599999999991</v>
      </c>
      <c r="BZ97">
        <v>51</v>
      </c>
      <c r="CA97">
        <v>93268.800000000003</v>
      </c>
      <c r="CB97">
        <v>35</v>
      </c>
      <c r="CC97">
        <v>64008</v>
      </c>
      <c r="CD97">
        <v>34</v>
      </c>
      <c r="CE97">
        <v>62179.199999999997</v>
      </c>
      <c r="CF97">
        <v>11</v>
      </c>
      <c r="CG97">
        <v>20116.8</v>
      </c>
      <c r="CH97">
        <v>12</v>
      </c>
      <c r="CI97">
        <v>21945.599999999999</v>
      </c>
      <c r="CJ97">
        <v>9</v>
      </c>
      <c r="CK97">
        <v>16459.2</v>
      </c>
      <c r="CL97">
        <v>12</v>
      </c>
      <c r="CM97">
        <v>21945.599999999999</v>
      </c>
      <c r="CN97">
        <v>5</v>
      </c>
      <c r="CO97">
        <v>9144</v>
      </c>
      <c r="CP97">
        <v>3</v>
      </c>
      <c r="CQ97">
        <v>5486.4</v>
      </c>
      <c r="CR97">
        <v>4</v>
      </c>
      <c r="CS97">
        <v>7315.2</v>
      </c>
      <c r="CT97">
        <v>6</v>
      </c>
      <c r="CU97">
        <v>10972.8</v>
      </c>
    </row>
    <row r="98" spans="2:99" x14ac:dyDescent="0.2">
      <c r="C98" s="105" t="s">
        <v>264</v>
      </c>
      <c r="D98">
        <v>0</v>
      </c>
      <c r="E98">
        <v>0</v>
      </c>
      <c r="F98">
        <v>3.8011936403249496</v>
      </c>
      <c r="G98">
        <v>4803.1882839146056</v>
      </c>
      <c r="H98">
        <v>5</v>
      </c>
      <c r="I98">
        <v>6318</v>
      </c>
      <c r="J98">
        <v>6</v>
      </c>
      <c r="K98">
        <v>7581.5999999999995</v>
      </c>
      <c r="L98">
        <v>11</v>
      </c>
      <c r="M98">
        <v>13899.599999999999</v>
      </c>
      <c r="N98">
        <v>11</v>
      </c>
      <c r="O98">
        <v>13899.599999999999</v>
      </c>
      <c r="P98">
        <v>11</v>
      </c>
      <c r="Q98">
        <v>13899.599999999999</v>
      </c>
      <c r="R98">
        <v>11</v>
      </c>
      <c r="S98">
        <v>13899.599999999999</v>
      </c>
      <c r="T98">
        <v>4</v>
      </c>
      <c r="U98">
        <v>5054.3999999999996</v>
      </c>
      <c r="V98">
        <v>5</v>
      </c>
      <c r="W98">
        <v>6318</v>
      </c>
      <c r="X98">
        <v>6</v>
      </c>
      <c r="Y98">
        <v>7581.5999999999995</v>
      </c>
      <c r="Z98">
        <v>6</v>
      </c>
      <c r="AA98">
        <v>7581.5999999999995</v>
      </c>
      <c r="AB98">
        <v>26</v>
      </c>
      <c r="AC98">
        <v>32853.599999999999</v>
      </c>
      <c r="AD98">
        <v>25</v>
      </c>
      <c r="AE98">
        <v>31589.999999999996</v>
      </c>
      <c r="AF98">
        <v>18</v>
      </c>
      <c r="AG98">
        <v>22744.799999999999</v>
      </c>
      <c r="AH98">
        <v>21</v>
      </c>
      <c r="AI98">
        <v>26535.599999999999</v>
      </c>
      <c r="AJ98">
        <v>7</v>
      </c>
      <c r="AK98">
        <v>8845.1999999999989</v>
      </c>
      <c r="AL98">
        <v>4</v>
      </c>
      <c r="AM98">
        <v>5054.3999999999996</v>
      </c>
      <c r="AN98">
        <v>4</v>
      </c>
      <c r="AO98">
        <v>5054.3999999999996</v>
      </c>
      <c r="AP98">
        <v>5</v>
      </c>
      <c r="AQ98">
        <v>6318</v>
      </c>
      <c r="AR98">
        <v>27</v>
      </c>
      <c r="AS98">
        <v>34117.199999999997</v>
      </c>
      <c r="AT98">
        <v>28</v>
      </c>
      <c r="AU98">
        <v>35380.799999999996</v>
      </c>
      <c r="AV98">
        <v>23</v>
      </c>
      <c r="AW98">
        <v>29062.799999999999</v>
      </c>
      <c r="AX98">
        <v>31</v>
      </c>
      <c r="AY98">
        <v>39171.599999999999</v>
      </c>
      <c r="AZ98">
        <v>22</v>
      </c>
      <c r="BA98">
        <v>27799.199999999997</v>
      </c>
      <c r="BB98">
        <v>15</v>
      </c>
      <c r="BC98">
        <v>18954</v>
      </c>
      <c r="BD98">
        <v>15</v>
      </c>
      <c r="BE98">
        <v>18954</v>
      </c>
      <c r="BF98">
        <v>23</v>
      </c>
      <c r="BG98">
        <v>29062.799999999999</v>
      </c>
      <c r="BH98">
        <v>42</v>
      </c>
      <c r="BI98">
        <v>53071.199999999997</v>
      </c>
      <c r="BJ98">
        <v>23</v>
      </c>
      <c r="BK98">
        <v>29062.799999999999</v>
      </c>
      <c r="BL98">
        <v>31</v>
      </c>
      <c r="BM98">
        <v>39171.599999999999</v>
      </c>
      <c r="BN98">
        <v>39</v>
      </c>
      <c r="BO98">
        <v>49280.399999999994</v>
      </c>
      <c r="BP98">
        <v>5</v>
      </c>
      <c r="BQ98">
        <v>6318</v>
      </c>
      <c r="BR98">
        <v>5</v>
      </c>
      <c r="BS98">
        <v>6318</v>
      </c>
      <c r="BT98">
        <v>5</v>
      </c>
      <c r="BU98">
        <v>6318</v>
      </c>
      <c r="BV98">
        <v>6</v>
      </c>
      <c r="BW98">
        <v>7581.5999999999995</v>
      </c>
      <c r="BX98">
        <v>52</v>
      </c>
      <c r="BY98">
        <v>65707.199999999997</v>
      </c>
      <c r="BZ98">
        <v>51</v>
      </c>
      <c r="CA98">
        <v>64443.6</v>
      </c>
      <c r="CB98">
        <v>39</v>
      </c>
      <c r="CC98">
        <v>49280.399999999994</v>
      </c>
      <c r="CD98">
        <v>38</v>
      </c>
      <c r="CE98">
        <v>48016.799999999996</v>
      </c>
      <c r="CF98">
        <v>11</v>
      </c>
      <c r="CG98">
        <v>13899.599999999999</v>
      </c>
      <c r="CH98">
        <v>14</v>
      </c>
      <c r="CI98">
        <v>17690.399999999998</v>
      </c>
      <c r="CJ98">
        <v>9</v>
      </c>
      <c r="CK98">
        <v>11372.4</v>
      </c>
      <c r="CL98">
        <v>13</v>
      </c>
      <c r="CM98">
        <v>16426.8</v>
      </c>
      <c r="CN98">
        <v>6</v>
      </c>
      <c r="CO98">
        <v>7581.5999999999995</v>
      </c>
      <c r="CP98">
        <v>3</v>
      </c>
      <c r="CQ98">
        <v>3790.7999999999997</v>
      </c>
      <c r="CR98">
        <v>5</v>
      </c>
      <c r="CS98">
        <v>6318</v>
      </c>
      <c r="CT98">
        <v>5</v>
      </c>
      <c r="CU98">
        <v>6318</v>
      </c>
    </row>
    <row r="99" spans="2:99" x14ac:dyDescent="0.2">
      <c r="C99" s="105" t="s">
        <v>265</v>
      </c>
      <c r="D99">
        <v>0</v>
      </c>
      <c r="E99">
        <v>0</v>
      </c>
      <c r="F99">
        <v>3.0409549122599593</v>
      </c>
      <c r="G99">
        <v>16669.298447044192</v>
      </c>
      <c r="H99">
        <v>3</v>
      </c>
      <c r="I99">
        <v>16444.8</v>
      </c>
      <c r="J99">
        <v>5</v>
      </c>
      <c r="K99">
        <v>27407.999999999996</v>
      </c>
      <c r="L99">
        <v>8</v>
      </c>
      <c r="M99">
        <v>43852.799999999996</v>
      </c>
      <c r="N99">
        <v>8</v>
      </c>
      <c r="O99">
        <v>43852.799999999996</v>
      </c>
      <c r="P99">
        <v>7</v>
      </c>
      <c r="Q99">
        <v>38371.199999999997</v>
      </c>
      <c r="R99">
        <v>7</v>
      </c>
      <c r="S99">
        <v>38371.199999999997</v>
      </c>
      <c r="T99">
        <v>3</v>
      </c>
      <c r="U99">
        <v>16444.8</v>
      </c>
      <c r="V99">
        <v>3</v>
      </c>
      <c r="W99">
        <v>16444.8</v>
      </c>
      <c r="X99">
        <v>4</v>
      </c>
      <c r="Y99">
        <v>21926.399999999998</v>
      </c>
      <c r="Z99">
        <v>5</v>
      </c>
      <c r="AA99">
        <v>27407.999999999996</v>
      </c>
      <c r="AB99">
        <v>15</v>
      </c>
      <c r="AC99">
        <v>82223.999999999985</v>
      </c>
      <c r="AD99">
        <v>15</v>
      </c>
      <c r="AE99">
        <v>82223.999999999985</v>
      </c>
      <c r="AF99">
        <v>13</v>
      </c>
      <c r="AG99">
        <v>71260.799999999988</v>
      </c>
      <c r="AH99">
        <v>12</v>
      </c>
      <c r="AI99">
        <v>65779.199999999997</v>
      </c>
      <c r="AJ99">
        <v>5</v>
      </c>
      <c r="AK99">
        <v>27407.999999999996</v>
      </c>
      <c r="AL99">
        <v>3</v>
      </c>
      <c r="AM99">
        <v>16444.8</v>
      </c>
      <c r="AN99">
        <v>3</v>
      </c>
      <c r="AO99">
        <v>16444.8</v>
      </c>
      <c r="AP99">
        <v>3</v>
      </c>
      <c r="AQ99">
        <v>16444.8</v>
      </c>
      <c r="AR99">
        <v>16</v>
      </c>
      <c r="AS99">
        <v>87705.599999999991</v>
      </c>
      <c r="AT99">
        <v>16</v>
      </c>
      <c r="AU99">
        <v>87705.599999999991</v>
      </c>
      <c r="AV99">
        <v>13</v>
      </c>
      <c r="AW99">
        <v>71260.799999999988</v>
      </c>
      <c r="AX99">
        <v>18</v>
      </c>
      <c r="AY99">
        <v>98668.799999999988</v>
      </c>
      <c r="AZ99">
        <v>14</v>
      </c>
      <c r="BA99">
        <v>76742.399999999994</v>
      </c>
      <c r="BB99">
        <v>10</v>
      </c>
      <c r="BC99">
        <v>54815.999999999993</v>
      </c>
      <c r="BD99">
        <v>10</v>
      </c>
      <c r="BE99">
        <v>54815.999999999993</v>
      </c>
      <c r="BF99">
        <v>16</v>
      </c>
      <c r="BG99">
        <v>87705.599999999991</v>
      </c>
      <c r="BH99">
        <v>22</v>
      </c>
      <c r="BI99">
        <v>120595.19999999998</v>
      </c>
      <c r="BJ99">
        <v>14</v>
      </c>
      <c r="BK99">
        <v>76742.399999999994</v>
      </c>
      <c r="BL99">
        <v>19</v>
      </c>
      <c r="BM99">
        <v>104150.39999999999</v>
      </c>
      <c r="BN99">
        <v>24</v>
      </c>
      <c r="BO99">
        <v>131558.39999999999</v>
      </c>
      <c r="BP99">
        <v>4</v>
      </c>
      <c r="BQ99">
        <v>21926.399999999998</v>
      </c>
      <c r="BR99">
        <v>4</v>
      </c>
      <c r="BS99">
        <v>21926.399999999998</v>
      </c>
      <c r="BT99">
        <v>4</v>
      </c>
      <c r="BU99">
        <v>21926.399999999998</v>
      </c>
      <c r="BV99">
        <v>5</v>
      </c>
      <c r="BW99">
        <v>27407.999999999996</v>
      </c>
      <c r="BX99">
        <v>24</v>
      </c>
      <c r="BY99">
        <v>131558.39999999999</v>
      </c>
      <c r="BZ99">
        <v>30</v>
      </c>
      <c r="CA99">
        <v>164447.99999999997</v>
      </c>
      <c r="CB99">
        <v>25</v>
      </c>
      <c r="CC99">
        <v>137040</v>
      </c>
      <c r="CD99">
        <v>23</v>
      </c>
      <c r="CE99">
        <v>126076.79999999999</v>
      </c>
      <c r="CF99">
        <v>7</v>
      </c>
      <c r="CG99">
        <v>38371.199999999997</v>
      </c>
      <c r="CH99">
        <v>9</v>
      </c>
      <c r="CI99">
        <v>49334.399999999994</v>
      </c>
      <c r="CJ99">
        <v>6</v>
      </c>
      <c r="CK99">
        <v>32889.599999999999</v>
      </c>
      <c r="CL99">
        <v>9</v>
      </c>
      <c r="CM99">
        <v>49334.399999999994</v>
      </c>
      <c r="CN99">
        <v>4</v>
      </c>
      <c r="CO99">
        <v>21926.399999999998</v>
      </c>
      <c r="CP99">
        <v>2</v>
      </c>
      <c r="CQ99">
        <v>10963.199999999999</v>
      </c>
      <c r="CR99">
        <v>4</v>
      </c>
      <c r="CS99">
        <v>21926.399999999998</v>
      </c>
      <c r="CT99">
        <v>5</v>
      </c>
      <c r="CU99">
        <v>27407.999999999996</v>
      </c>
    </row>
    <row r="100" spans="2:99" x14ac:dyDescent="0.2">
      <c r="C100" s="105" t="s">
        <v>266</v>
      </c>
      <c r="D100">
        <v>0</v>
      </c>
      <c r="E100">
        <v>0</v>
      </c>
      <c r="F100">
        <v>3.8011936403249496</v>
      </c>
      <c r="G100">
        <v>6167.0565620631978</v>
      </c>
      <c r="H100">
        <v>5</v>
      </c>
      <c r="I100">
        <v>8111.9999999999991</v>
      </c>
      <c r="J100">
        <v>6</v>
      </c>
      <c r="K100">
        <v>9734.4</v>
      </c>
      <c r="L100">
        <v>12</v>
      </c>
      <c r="M100">
        <v>19468.8</v>
      </c>
      <c r="N100">
        <v>10</v>
      </c>
      <c r="O100">
        <v>16223.999999999998</v>
      </c>
      <c r="P100">
        <v>10</v>
      </c>
      <c r="Q100">
        <v>16223.999999999998</v>
      </c>
      <c r="R100">
        <v>12</v>
      </c>
      <c r="S100">
        <v>19468.8</v>
      </c>
      <c r="T100">
        <v>4</v>
      </c>
      <c r="U100">
        <v>6489.5999999999995</v>
      </c>
      <c r="V100">
        <v>5</v>
      </c>
      <c r="W100">
        <v>8111.9999999999991</v>
      </c>
      <c r="X100">
        <v>6</v>
      </c>
      <c r="Y100">
        <v>9734.4</v>
      </c>
      <c r="Z100">
        <v>6</v>
      </c>
      <c r="AA100">
        <v>9734.4</v>
      </c>
      <c r="AB100">
        <v>25</v>
      </c>
      <c r="AC100">
        <v>40560</v>
      </c>
      <c r="AD100">
        <v>25</v>
      </c>
      <c r="AE100">
        <v>40560</v>
      </c>
      <c r="AF100">
        <v>20</v>
      </c>
      <c r="AG100">
        <v>32447.999999999996</v>
      </c>
      <c r="AH100">
        <v>19</v>
      </c>
      <c r="AI100">
        <v>30825.599999999999</v>
      </c>
      <c r="AJ100">
        <v>6</v>
      </c>
      <c r="AK100">
        <v>9734.4</v>
      </c>
      <c r="AL100">
        <v>4</v>
      </c>
      <c r="AM100">
        <v>6489.5999999999995</v>
      </c>
      <c r="AN100">
        <v>3</v>
      </c>
      <c r="AO100">
        <v>4867.2</v>
      </c>
      <c r="AP100">
        <v>4</v>
      </c>
      <c r="AQ100">
        <v>6489.5999999999995</v>
      </c>
      <c r="AR100">
        <v>28</v>
      </c>
      <c r="AS100">
        <v>45427.199999999997</v>
      </c>
      <c r="AT100">
        <v>27</v>
      </c>
      <c r="AU100">
        <v>43804.799999999996</v>
      </c>
      <c r="AV100">
        <v>22</v>
      </c>
      <c r="AW100">
        <v>35692.799999999996</v>
      </c>
      <c r="AX100">
        <v>31</v>
      </c>
      <c r="AY100">
        <v>50294.399999999994</v>
      </c>
      <c r="AZ100">
        <v>21</v>
      </c>
      <c r="BA100">
        <v>34070.399999999994</v>
      </c>
      <c r="BB100">
        <v>16</v>
      </c>
      <c r="BC100">
        <v>25958.399999999998</v>
      </c>
      <c r="BD100">
        <v>17</v>
      </c>
      <c r="BE100">
        <v>27580.799999999999</v>
      </c>
      <c r="BF100">
        <v>24</v>
      </c>
      <c r="BG100">
        <v>38937.599999999999</v>
      </c>
      <c r="BH100">
        <v>33</v>
      </c>
      <c r="BI100">
        <v>53539.199999999997</v>
      </c>
      <c r="BJ100">
        <v>22</v>
      </c>
      <c r="BK100">
        <v>35692.799999999996</v>
      </c>
      <c r="BL100">
        <v>31</v>
      </c>
      <c r="BM100">
        <v>50294.399999999994</v>
      </c>
      <c r="BN100">
        <v>42</v>
      </c>
      <c r="BO100">
        <v>68140.799999999988</v>
      </c>
      <c r="BP100">
        <v>5</v>
      </c>
      <c r="BQ100">
        <v>8111.9999999999991</v>
      </c>
      <c r="BR100">
        <v>6</v>
      </c>
      <c r="BS100">
        <v>9734.4</v>
      </c>
      <c r="BT100">
        <v>5</v>
      </c>
      <c r="BU100">
        <v>8111.9999999999991</v>
      </c>
      <c r="BV100">
        <v>6</v>
      </c>
      <c r="BW100">
        <v>9734.4</v>
      </c>
      <c r="BX100">
        <v>45</v>
      </c>
      <c r="BY100">
        <v>73008</v>
      </c>
      <c r="BZ100">
        <v>49</v>
      </c>
      <c r="CA100">
        <v>79497.599999999991</v>
      </c>
      <c r="CB100">
        <v>37</v>
      </c>
      <c r="CC100">
        <v>60028.799999999996</v>
      </c>
      <c r="CD100">
        <v>39</v>
      </c>
      <c r="CE100">
        <v>63273.599999999991</v>
      </c>
      <c r="CF100">
        <v>10</v>
      </c>
      <c r="CG100">
        <v>16223.999999999998</v>
      </c>
      <c r="CH100">
        <v>12</v>
      </c>
      <c r="CI100">
        <v>19468.8</v>
      </c>
      <c r="CJ100">
        <v>9</v>
      </c>
      <c r="CK100">
        <v>14601.599999999999</v>
      </c>
      <c r="CL100">
        <v>14</v>
      </c>
      <c r="CM100">
        <v>22713.599999999999</v>
      </c>
      <c r="CN100">
        <v>5</v>
      </c>
      <c r="CO100">
        <v>8111.9999999999991</v>
      </c>
      <c r="CP100">
        <v>3</v>
      </c>
      <c r="CQ100">
        <v>4867.2</v>
      </c>
      <c r="CR100">
        <v>5</v>
      </c>
      <c r="CS100">
        <v>8111.9999999999991</v>
      </c>
      <c r="CT100">
        <v>5</v>
      </c>
      <c r="CU100">
        <v>8111.9999999999991</v>
      </c>
    </row>
    <row r="101" spans="2:99" x14ac:dyDescent="0.2">
      <c r="C101" s="105" t="s">
        <v>267</v>
      </c>
      <c r="D101">
        <v>0</v>
      </c>
      <c r="E101">
        <v>0</v>
      </c>
      <c r="F101">
        <v>3.8011936403249496</v>
      </c>
      <c r="G101">
        <v>4524.9409094428192</v>
      </c>
      <c r="H101">
        <v>4</v>
      </c>
      <c r="I101">
        <v>4761.5999999999995</v>
      </c>
      <c r="J101">
        <v>5</v>
      </c>
      <c r="K101">
        <v>5951.9999999999991</v>
      </c>
      <c r="L101">
        <v>12</v>
      </c>
      <c r="M101">
        <v>14284.8</v>
      </c>
      <c r="N101">
        <v>11</v>
      </c>
      <c r="O101">
        <v>13094.399999999998</v>
      </c>
      <c r="P101">
        <v>11</v>
      </c>
      <c r="Q101">
        <v>13094.399999999998</v>
      </c>
      <c r="R101">
        <v>12</v>
      </c>
      <c r="S101">
        <v>14284.8</v>
      </c>
      <c r="T101">
        <v>4</v>
      </c>
      <c r="U101">
        <v>4761.5999999999995</v>
      </c>
      <c r="V101">
        <v>5</v>
      </c>
      <c r="W101">
        <v>5951.9999999999991</v>
      </c>
      <c r="X101">
        <v>6</v>
      </c>
      <c r="Y101">
        <v>7142.4</v>
      </c>
      <c r="Z101">
        <v>6</v>
      </c>
      <c r="AA101">
        <v>7142.4</v>
      </c>
      <c r="AB101">
        <v>24</v>
      </c>
      <c r="AC101">
        <v>28569.599999999999</v>
      </c>
      <c r="AD101">
        <v>25</v>
      </c>
      <c r="AE101">
        <v>29759.999999999996</v>
      </c>
      <c r="AF101">
        <v>22</v>
      </c>
      <c r="AG101">
        <v>26188.799999999996</v>
      </c>
      <c r="AH101">
        <v>20</v>
      </c>
      <c r="AI101">
        <v>23807.999999999996</v>
      </c>
      <c r="AJ101">
        <v>7</v>
      </c>
      <c r="AK101">
        <v>8332.7999999999993</v>
      </c>
      <c r="AL101">
        <v>4</v>
      </c>
      <c r="AM101">
        <v>4761.5999999999995</v>
      </c>
      <c r="AN101">
        <v>3</v>
      </c>
      <c r="AO101">
        <v>3571.2</v>
      </c>
      <c r="AP101">
        <v>5</v>
      </c>
      <c r="AQ101">
        <v>5951.9999999999991</v>
      </c>
      <c r="AR101">
        <v>30</v>
      </c>
      <c r="AS101">
        <v>35711.999999999993</v>
      </c>
      <c r="AT101">
        <v>29</v>
      </c>
      <c r="AU101">
        <v>34521.599999999999</v>
      </c>
      <c r="AV101">
        <v>21</v>
      </c>
      <c r="AW101">
        <v>24998.399999999998</v>
      </c>
      <c r="AX101">
        <v>30</v>
      </c>
      <c r="AY101">
        <v>35711.999999999993</v>
      </c>
      <c r="AZ101">
        <v>21</v>
      </c>
      <c r="BA101">
        <v>24998.399999999998</v>
      </c>
      <c r="BB101">
        <v>16</v>
      </c>
      <c r="BC101">
        <v>19046.399999999998</v>
      </c>
      <c r="BD101">
        <v>17</v>
      </c>
      <c r="BE101">
        <v>20236.8</v>
      </c>
      <c r="BF101">
        <v>27</v>
      </c>
      <c r="BG101">
        <v>32140.799999999996</v>
      </c>
      <c r="BH101">
        <v>38</v>
      </c>
      <c r="BI101">
        <v>45235.199999999997</v>
      </c>
      <c r="BJ101">
        <v>24</v>
      </c>
      <c r="BK101">
        <v>28569.599999999999</v>
      </c>
      <c r="BL101">
        <v>28</v>
      </c>
      <c r="BM101">
        <v>33331.199999999997</v>
      </c>
      <c r="BN101">
        <v>40</v>
      </c>
      <c r="BO101">
        <v>47615.999999999993</v>
      </c>
      <c r="BP101">
        <v>5</v>
      </c>
      <c r="BQ101">
        <v>5951.9999999999991</v>
      </c>
      <c r="BR101">
        <v>6</v>
      </c>
      <c r="BS101">
        <v>7142.4</v>
      </c>
      <c r="BT101">
        <v>5</v>
      </c>
      <c r="BU101">
        <v>5951.9999999999991</v>
      </c>
      <c r="BV101">
        <v>6</v>
      </c>
      <c r="BW101">
        <v>7142.4</v>
      </c>
      <c r="BX101">
        <v>45</v>
      </c>
      <c r="BY101">
        <v>53567.999999999993</v>
      </c>
      <c r="BZ101">
        <v>59</v>
      </c>
      <c r="CA101">
        <v>70233.599999999991</v>
      </c>
      <c r="CB101">
        <v>45</v>
      </c>
      <c r="CC101">
        <v>53567.999999999993</v>
      </c>
      <c r="CD101">
        <v>37</v>
      </c>
      <c r="CE101">
        <v>44044.799999999996</v>
      </c>
      <c r="CF101">
        <v>12</v>
      </c>
      <c r="CG101">
        <v>14284.8</v>
      </c>
      <c r="CH101">
        <v>13</v>
      </c>
      <c r="CI101">
        <v>15475.199999999999</v>
      </c>
      <c r="CJ101">
        <v>9</v>
      </c>
      <c r="CK101">
        <v>10713.599999999999</v>
      </c>
      <c r="CL101">
        <v>13</v>
      </c>
      <c r="CM101">
        <v>15475.199999999999</v>
      </c>
      <c r="CN101">
        <v>6</v>
      </c>
      <c r="CO101">
        <v>7142.4</v>
      </c>
      <c r="CP101">
        <v>3</v>
      </c>
      <c r="CQ101">
        <v>3571.2</v>
      </c>
      <c r="CR101">
        <v>5</v>
      </c>
      <c r="CS101">
        <v>5951.9999999999991</v>
      </c>
      <c r="CT101">
        <v>6</v>
      </c>
      <c r="CU101">
        <v>7142.4</v>
      </c>
    </row>
    <row r="102" spans="2:99" x14ac:dyDescent="0.2">
      <c r="C102" s="105" t="s">
        <v>268</v>
      </c>
      <c r="D102">
        <v>0</v>
      </c>
      <c r="E102">
        <v>0</v>
      </c>
      <c r="F102">
        <v>3.0409549122599593</v>
      </c>
      <c r="G102">
        <v>5897.0197658545121</v>
      </c>
      <c r="H102">
        <v>5</v>
      </c>
      <c r="I102">
        <v>9696</v>
      </c>
      <c r="J102">
        <v>6</v>
      </c>
      <c r="K102">
        <v>11635.199999999999</v>
      </c>
      <c r="L102">
        <v>10</v>
      </c>
      <c r="M102">
        <v>19392</v>
      </c>
      <c r="N102">
        <v>10</v>
      </c>
      <c r="O102">
        <v>19392</v>
      </c>
      <c r="P102">
        <v>9</v>
      </c>
      <c r="Q102">
        <v>17452.8</v>
      </c>
      <c r="R102">
        <v>11</v>
      </c>
      <c r="S102">
        <v>21331.199999999997</v>
      </c>
      <c r="T102">
        <v>4</v>
      </c>
      <c r="U102">
        <v>7756.7999999999993</v>
      </c>
      <c r="V102">
        <v>4</v>
      </c>
      <c r="W102">
        <v>7756.7999999999993</v>
      </c>
      <c r="X102">
        <v>5</v>
      </c>
      <c r="Y102">
        <v>9696</v>
      </c>
      <c r="Z102">
        <v>6</v>
      </c>
      <c r="AA102">
        <v>11635.199999999999</v>
      </c>
      <c r="AB102">
        <v>24</v>
      </c>
      <c r="AC102">
        <v>46540.799999999996</v>
      </c>
      <c r="AD102">
        <v>23</v>
      </c>
      <c r="AE102">
        <v>44601.599999999999</v>
      </c>
      <c r="AF102">
        <v>20</v>
      </c>
      <c r="AG102">
        <v>38784</v>
      </c>
      <c r="AH102">
        <v>17</v>
      </c>
      <c r="AI102">
        <v>32966.399999999994</v>
      </c>
      <c r="AJ102">
        <v>6</v>
      </c>
      <c r="AK102">
        <v>11635.199999999999</v>
      </c>
      <c r="AL102">
        <v>4</v>
      </c>
      <c r="AM102">
        <v>7756.7999999999993</v>
      </c>
      <c r="AN102">
        <v>3</v>
      </c>
      <c r="AO102">
        <v>5817.5999999999995</v>
      </c>
      <c r="AP102">
        <v>5</v>
      </c>
      <c r="AQ102">
        <v>9696</v>
      </c>
      <c r="AR102">
        <v>28</v>
      </c>
      <c r="AS102">
        <v>54297.599999999991</v>
      </c>
      <c r="AT102">
        <v>26</v>
      </c>
      <c r="AU102">
        <v>50419.199999999997</v>
      </c>
      <c r="AV102">
        <v>23</v>
      </c>
      <c r="AW102">
        <v>44601.599999999999</v>
      </c>
      <c r="AX102">
        <v>28</v>
      </c>
      <c r="AY102">
        <v>54297.599999999991</v>
      </c>
      <c r="AZ102">
        <v>18</v>
      </c>
      <c r="BA102">
        <v>34905.599999999999</v>
      </c>
      <c r="BB102">
        <v>16</v>
      </c>
      <c r="BC102">
        <v>31027.199999999997</v>
      </c>
      <c r="BD102">
        <v>15</v>
      </c>
      <c r="BE102">
        <v>29087.999999999996</v>
      </c>
      <c r="BF102">
        <v>25</v>
      </c>
      <c r="BG102">
        <v>48479.999999999993</v>
      </c>
      <c r="BH102">
        <v>38</v>
      </c>
      <c r="BI102">
        <v>73689.599999999991</v>
      </c>
      <c r="BJ102">
        <v>20</v>
      </c>
      <c r="BK102">
        <v>38784</v>
      </c>
      <c r="BL102">
        <v>25</v>
      </c>
      <c r="BM102">
        <v>48479.999999999993</v>
      </c>
      <c r="BN102">
        <v>36</v>
      </c>
      <c r="BO102">
        <v>69811.199999999997</v>
      </c>
      <c r="BP102">
        <v>4</v>
      </c>
      <c r="BQ102">
        <v>7756.7999999999993</v>
      </c>
      <c r="BR102">
        <v>5</v>
      </c>
      <c r="BS102">
        <v>9696</v>
      </c>
      <c r="BT102">
        <v>5</v>
      </c>
      <c r="BU102">
        <v>9696</v>
      </c>
      <c r="BV102">
        <v>7</v>
      </c>
      <c r="BW102">
        <v>13574.399999999998</v>
      </c>
      <c r="BX102">
        <v>42</v>
      </c>
      <c r="BY102">
        <v>81446.399999999994</v>
      </c>
      <c r="BZ102">
        <v>47</v>
      </c>
      <c r="CA102">
        <v>91142.399999999994</v>
      </c>
      <c r="CB102">
        <v>38</v>
      </c>
      <c r="CC102">
        <v>73689.599999999991</v>
      </c>
      <c r="CD102">
        <v>33</v>
      </c>
      <c r="CE102">
        <v>63993.599999999991</v>
      </c>
      <c r="CF102">
        <v>10</v>
      </c>
      <c r="CG102">
        <v>19392</v>
      </c>
      <c r="CH102">
        <v>12</v>
      </c>
      <c r="CI102">
        <v>23270.399999999998</v>
      </c>
      <c r="CJ102">
        <v>8</v>
      </c>
      <c r="CK102">
        <v>15513.599999999999</v>
      </c>
      <c r="CL102">
        <v>12</v>
      </c>
      <c r="CM102">
        <v>23270.399999999998</v>
      </c>
      <c r="CN102">
        <v>5</v>
      </c>
      <c r="CO102">
        <v>9696</v>
      </c>
      <c r="CP102">
        <v>3</v>
      </c>
      <c r="CQ102">
        <v>5817.5999999999995</v>
      </c>
      <c r="CR102">
        <v>4</v>
      </c>
      <c r="CS102">
        <v>7756.7999999999993</v>
      </c>
      <c r="CT102">
        <v>5</v>
      </c>
      <c r="CU102">
        <v>9696</v>
      </c>
    </row>
    <row r="103" spans="2:99" x14ac:dyDescent="0.2">
      <c r="C103" s="105" t="s">
        <v>269</v>
      </c>
      <c r="D103">
        <v>0</v>
      </c>
      <c r="E103">
        <v>0</v>
      </c>
      <c r="F103">
        <v>3.8011936403249496</v>
      </c>
      <c r="G103">
        <v>7708.820702578998</v>
      </c>
      <c r="H103">
        <v>5</v>
      </c>
      <c r="I103">
        <v>10140</v>
      </c>
      <c r="J103">
        <v>5</v>
      </c>
      <c r="K103">
        <v>10140</v>
      </c>
      <c r="L103">
        <v>12</v>
      </c>
      <c r="M103">
        <v>24336</v>
      </c>
      <c r="N103">
        <v>11</v>
      </c>
      <c r="O103">
        <v>22308</v>
      </c>
      <c r="P103">
        <v>9</v>
      </c>
      <c r="Q103">
        <v>18252</v>
      </c>
      <c r="R103">
        <v>10</v>
      </c>
      <c r="S103">
        <v>20280</v>
      </c>
      <c r="T103">
        <v>4</v>
      </c>
      <c r="U103">
        <v>8112</v>
      </c>
      <c r="V103">
        <v>5</v>
      </c>
      <c r="W103">
        <v>10140</v>
      </c>
      <c r="X103">
        <v>5</v>
      </c>
      <c r="Y103">
        <v>10140</v>
      </c>
      <c r="Z103">
        <v>6</v>
      </c>
      <c r="AA103">
        <v>12168</v>
      </c>
      <c r="AB103">
        <v>22</v>
      </c>
      <c r="AC103">
        <v>44616</v>
      </c>
      <c r="AD103">
        <v>24</v>
      </c>
      <c r="AE103">
        <v>48672</v>
      </c>
      <c r="AF103">
        <v>17</v>
      </c>
      <c r="AG103">
        <v>34476</v>
      </c>
      <c r="AH103">
        <v>18</v>
      </c>
      <c r="AI103">
        <v>36504</v>
      </c>
      <c r="AJ103">
        <v>7</v>
      </c>
      <c r="AK103">
        <v>14196</v>
      </c>
      <c r="AL103">
        <v>4</v>
      </c>
      <c r="AM103">
        <v>8112</v>
      </c>
      <c r="AN103">
        <v>4</v>
      </c>
      <c r="AO103">
        <v>8112</v>
      </c>
      <c r="AP103">
        <v>5</v>
      </c>
      <c r="AQ103">
        <v>10140</v>
      </c>
      <c r="AR103">
        <v>23</v>
      </c>
      <c r="AS103">
        <v>46644</v>
      </c>
      <c r="AT103">
        <v>22</v>
      </c>
      <c r="AU103">
        <v>44616</v>
      </c>
      <c r="AV103">
        <v>21</v>
      </c>
      <c r="AW103">
        <v>42588</v>
      </c>
      <c r="AX103">
        <v>26</v>
      </c>
      <c r="AY103">
        <v>52728</v>
      </c>
      <c r="AZ103">
        <v>17</v>
      </c>
      <c r="BA103">
        <v>34476</v>
      </c>
      <c r="BB103">
        <v>16</v>
      </c>
      <c r="BC103">
        <v>32448</v>
      </c>
      <c r="BD103">
        <v>14</v>
      </c>
      <c r="BE103">
        <v>28392</v>
      </c>
      <c r="BF103">
        <v>21</v>
      </c>
      <c r="BG103">
        <v>42588</v>
      </c>
      <c r="BH103">
        <v>35</v>
      </c>
      <c r="BI103">
        <v>70980</v>
      </c>
      <c r="BJ103">
        <v>21</v>
      </c>
      <c r="BK103">
        <v>42588</v>
      </c>
      <c r="BL103">
        <v>29</v>
      </c>
      <c r="BM103">
        <v>58812</v>
      </c>
      <c r="BN103">
        <v>34</v>
      </c>
      <c r="BO103">
        <v>68952</v>
      </c>
      <c r="BP103">
        <v>5</v>
      </c>
      <c r="BQ103">
        <v>10140</v>
      </c>
      <c r="BR103">
        <v>5</v>
      </c>
      <c r="BS103">
        <v>10140</v>
      </c>
      <c r="BT103">
        <v>5</v>
      </c>
      <c r="BU103">
        <v>10140</v>
      </c>
      <c r="BV103">
        <v>6</v>
      </c>
      <c r="BW103">
        <v>12168</v>
      </c>
      <c r="BX103">
        <v>41</v>
      </c>
      <c r="BY103">
        <v>83148</v>
      </c>
      <c r="BZ103">
        <v>50</v>
      </c>
      <c r="CA103">
        <v>101400</v>
      </c>
      <c r="CB103">
        <v>36</v>
      </c>
      <c r="CC103">
        <v>73008</v>
      </c>
      <c r="CD103">
        <v>32</v>
      </c>
      <c r="CE103">
        <v>64896</v>
      </c>
      <c r="CF103">
        <v>11</v>
      </c>
      <c r="CG103">
        <v>22308</v>
      </c>
      <c r="CH103">
        <v>12</v>
      </c>
      <c r="CI103">
        <v>24336</v>
      </c>
      <c r="CJ103">
        <v>8</v>
      </c>
      <c r="CK103">
        <v>16224</v>
      </c>
      <c r="CL103">
        <v>11</v>
      </c>
      <c r="CM103">
        <v>22308</v>
      </c>
      <c r="CN103">
        <v>6</v>
      </c>
      <c r="CO103">
        <v>12168</v>
      </c>
      <c r="CP103">
        <v>3</v>
      </c>
      <c r="CQ103">
        <v>6084</v>
      </c>
      <c r="CR103">
        <v>5</v>
      </c>
      <c r="CS103">
        <v>10140</v>
      </c>
      <c r="CT103">
        <v>5</v>
      </c>
      <c r="CU103">
        <v>10140</v>
      </c>
    </row>
    <row r="104" spans="2:99" x14ac:dyDescent="0.2">
      <c r="C104" s="105" t="s">
        <v>270</v>
      </c>
      <c r="D104">
        <v>0</v>
      </c>
      <c r="E104">
        <v>0</v>
      </c>
      <c r="F104">
        <v>3.0409549122599593</v>
      </c>
      <c r="G104">
        <v>6302.0749601675398</v>
      </c>
      <c r="H104">
        <v>4</v>
      </c>
      <c r="I104">
        <v>8289.6</v>
      </c>
      <c r="J104">
        <v>5</v>
      </c>
      <c r="K104">
        <v>10362</v>
      </c>
      <c r="L104">
        <v>10</v>
      </c>
      <c r="M104">
        <v>20724</v>
      </c>
      <c r="N104">
        <v>10</v>
      </c>
      <c r="O104">
        <v>20724</v>
      </c>
      <c r="P104">
        <v>9</v>
      </c>
      <c r="Q104">
        <v>18651.600000000002</v>
      </c>
      <c r="R104">
        <v>10</v>
      </c>
      <c r="S104">
        <v>20724</v>
      </c>
      <c r="T104">
        <v>4</v>
      </c>
      <c r="U104">
        <v>8289.6</v>
      </c>
      <c r="V104">
        <v>5</v>
      </c>
      <c r="W104">
        <v>10362</v>
      </c>
      <c r="X104">
        <v>6</v>
      </c>
      <c r="Y104">
        <v>12434.400000000001</v>
      </c>
      <c r="Z104">
        <v>6</v>
      </c>
      <c r="AA104">
        <v>12434.400000000001</v>
      </c>
      <c r="AB104">
        <v>23</v>
      </c>
      <c r="AC104">
        <v>47665.200000000004</v>
      </c>
      <c r="AD104">
        <v>23</v>
      </c>
      <c r="AE104">
        <v>47665.200000000004</v>
      </c>
      <c r="AF104">
        <v>19</v>
      </c>
      <c r="AG104">
        <v>39375.599999999999</v>
      </c>
      <c r="AH104">
        <v>20</v>
      </c>
      <c r="AI104">
        <v>41448</v>
      </c>
      <c r="AJ104">
        <v>7</v>
      </c>
      <c r="AK104">
        <v>14506.800000000001</v>
      </c>
      <c r="AL104">
        <v>4</v>
      </c>
      <c r="AM104">
        <v>8289.6</v>
      </c>
      <c r="AN104">
        <v>4</v>
      </c>
      <c r="AO104">
        <v>8289.6</v>
      </c>
      <c r="AP104">
        <v>5</v>
      </c>
      <c r="AQ104">
        <v>10362</v>
      </c>
      <c r="AR104">
        <v>26</v>
      </c>
      <c r="AS104">
        <v>53882.400000000001</v>
      </c>
      <c r="AT104">
        <v>23</v>
      </c>
      <c r="AU104">
        <v>47665.200000000004</v>
      </c>
      <c r="AV104">
        <v>19</v>
      </c>
      <c r="AW104">
        <v>39375.599999999999</v>
      </c>
      <c r="AX104">
        <v>30</v>
      </c>
      <c r="AY104">
        <v>62172</v>
      </c>
      <c r="AZ104">
        <v>18</v>
      </c>
      <c r="BA104">
        <v>37303.200000000004</v>
      </c>
      <c r="BB104">
        <v>14</v>
      </c>
      <c r="BC104">
        <v>29013.600000000002</v>
      </c>
      <c r="BD104">
        <v>13</v>
      </c>
      <c r="BE104">
        <v>26941.200000000001</v>
      </c>
      <c r="BF104">
        <v>25</v>
      </c>
      <c r="BG104">
        <v>51810</v>
      </c>
      <c r="BH104">
        <v>32</v>
      </c>
      <c r="BI104">
        <v>66316.800000000003</v>
      </c>
      <c r="BJ104">
        <v>21</v>
      </c>
      <c r="BK104">
        <v>43520.4</v>
      </c>
      <c r="BL104">
        <v>25</v>
      </c>
      <c r="BM104">
        <v>51810</v>
      </c>
      <c r="BN104">
        <v>38</v>
      </c>
      <c r="BO104">
        <v>78751.199999999997</v>
      </c>
      <c r="BP104">
        <v>4</v>
      </c>
      <c r="BQ104">
        <v>8289.6</v>
      </c>
      <c r="BR104">
        <v>5</v>
      </c>
      <c r="BS104">
        <v>10362</v>
      </c>
      <c r="BT104">
        <v>5</v>
      </c>
      <c r="BU104">
        <v>10362</v>
      </c>
      <c r="BV104">
        <v>6</v>
      </c>
      <c r="BW104">
        <v>12434.400000000001</v>
      </c>
      <c r="BX104">
        <v>45</v>
      </c>
      <c r="BY104">
        <v>93258</v>
      </c>
      <c r="BZ104">
        <v>50</v>
      </c>
      <c r="CA104">
        <v>103620</v>
      </c>
      <c r="CB104">
        <v>41</v>
      </c>
      <c r="CC104">
        <v>84968.400000000009</v>
      </c>
      <c r="CD104">
        <v>37</v>
      </c>
      <c r="CE104">
        <v>76678.8</v>
      </c>
      <c r="CF104">
        <v>11</v>
      </c>
      <c r="CG104">
        <v>22796.400000000001</v>
      </c>
      <c r="CH104">
        <v>11</v>
      </c>
      <c r="CI104">
        <v>22796.400000000001</v>
      </c>
      <c r="CJ104">
        <v>7</v>
      </c>
      <c r="CK104">
        <v>14506.800000000001</v>
      </c>
      <c r="CL104">
        <v>13</v>
      </c>
      <c r="CM104">
        <v>26941.200000000001</v>
      </c>
      <c r="CN104">
        <v>6</v>
      </c>
      <c r="CO104">
        <v>12434.400000000001</v>
      </c>
      <c r="CP104">
        <v>3</v>
      </c>
      <c r="CQ104">
        <v>6217.2000000000007</v>
      </c>
      <c r="CR104">
        <v>5</v>
      </c>
      <c r="CS104">
        <v>10362</v>
      </c>
      <c r="CT104">
        <v>5</v>
      </c>
      <c r="CU104">
        <v>10362</v>
      </c>
    </row>
    <row r="105" spans="2:99" x14ac:dyDescent="0.2">
      <c r="C105" s="105" t="s">
        <v>271</v>
      </c>
      <c r="D105">
        <v>0</v>
      </c>
      <c r="E105">
        <v>0</v>
      </c>
      <c r="F105">
        <v>3.0409549122599593</v>
      </c>
      <c r="G105">
        <v>6075.8279146953982</v>
      </c>
      <c r="H105">
        <v>4</v>
      </c>
      <c r="I105">
        <v>7992</v>
      </c>
      <c r="J105">
        <v>5</v>
      </c>
      <c r="K105">
        <v>9990</v>
      </c>
      <c r="L105">
        <v>11</v>
      </c>
      <c r="M105">
        <v>21978</v>
      </c>
      <c r="N105">
        <v>11</v>
      </c>
      <c r="O105">
        <v>21978</v>
      </c>
      <c r="P105">
        <v>9</v>
      </c>
      <c r="Q105">
        <v>17982</v>
      </c>
      <c r="R105">
        <v>11</v>
      </c>
      <c r="S105">
        <v>21978</v>
      </c>
      <c r="T105">
        <v>4</v>
      </c>
      <c r="U105">
        <v>7992</v>
      </c>
      <c r="V105">
        <v>5</v>
      </c>
      <c r="W105">
        <v>9990</v>
      </c>
      <c r="X105">
        <v>6</v>
      </c>
      <c r="Y105">
        <v>11988</v>
      </c>
      <c r="Z105">
        <v>5</v>
      </c>
      <c r="AA105">
        <v>9990</v>
      </c>
      <c r="AB105">
        <v>21</v>
      </c>
      <c r="AC105">
        <v>41958</v>
      </c>
      <c r="AD105">
        <v>24</v>
      </c>
      <c r="AE105">
        <v>47952</v>
      </c>
      <c r="AF105">
        <v>18</v>
      </c>
      <c r="AG105">
        <v>35964</v>
      </c>
      <c r="AH105">
        <v>19</v>
      </c>
      <c r="AI105">
        <v>37962</v>
      </c>
      <c r="AJ105">
        <v>6</v>
      </c>
      <c r="AK105">
        <v>11988</v>
      </c>
      <c r="AL105">
        <v>4</v>
      </c>
      <c r="AM105">
        <v>7992</v>
      </c>
      <c r="AN105">
        <v>4</v>
      </c>
      <c r="AO105">
        <v>7992</v>
      </c>
      <c r="AP105">
        <v>4</v>
      </c>
      <c r="AQ105">
        <v>7992</v>
      </c>
      <c r="AR105">
        <v>25</v>
      </c>
      <c r="AS105">
        <v>49950</v>
      </c>
      <c r="AT105">
        <v>25</v>
      </c>
      <c r="AU105">
        <v>49950</v>
      </c>
      <c r="AV105">
        <v>22</v>
      </c>
      <c r="AW105">
        <v>43956</v>
      </c>
      <c r="AX105">
        <v>28</v>
      </c>
      <c r="AY105">
        <v>55944</v>
      </c>
      <c r="AZ105">
        <v>21</v>
      </c>
      <c r="BA105">
        <v>41958</v>
      </c>
      <c r="BB105">
        <v>16</v>
      </c>
      <c r="BC105">
        <v>31968</v>
      </c>
      <c r="BD105">
        <v>13</v>
      </c>
      <c r="BE105">
        <v>25974</v>
      </c>
      <c r="BF105">
        <v>22</v>
      </c>
      <c r="BG105">
        <v>43956</v>
      </c>
      <c r="BH105">
        <v>38</v>
      </c>
      <c r="BI105">
        <v>75924</v>
      </c>
      <c r="BJ105">
        <v>20</v>
      </c>
      <c r="BK105">
        <v>39960</v>
      </c>
      <c r="BL105">
        <v>28</v>
      </c>
      <c r="BM105">
        <v>55944</v>
      </c>
      <c r="BN105">
        <v>37</v>
      </c>
      <c r="BO105">
        <v>73926</v>
      </c>
      <c r="BP105">
        <v>5</v>
      </c>
      <c r="BQ105">
        <v>9990</v>
      </c>
      <c r="BR105">
        <v>6</v>
      </c>
      <c r="BS105">
        <v>11988</v>
      </c>
      <c r="BT105">
        <v>4</v>
      </c>
      <c r="BU105">
        <v>7992</v>
      </c>
      <c r="BV105">
        <v>6</v>
      </c>
      <c r="BW105">
        <v>11988</v>
      </c>
      <c r="BX105">
        <v>41</v>
      </c>
      <c r="BY105">
        <v>81918</v>
      </c>
      <c r="BZ105">
        <v>48</v>
      </c>
      <c r="CA105">
        <v>95904</v>
      </c>
      <c r="CB105">
        <v>42</v>
      </c>
      <c r="CC105">
        <v>83916</v>
      </c>
      <c r="CD105">
        <v>34</v>
      </c>
      <c r="CE105">
        <v>67932</v>
      </c>
      <c r="CF105">
        <v>11</v>
      </c>
      <c r="CG105">
        <v>21978</v>
      </c>
      <c r="CH105">
        <v>13</v>
      </c>
      <c r="CI105">
        <v>25974</v>
      </c>
      <c r="CJ105">
        <v>8</v>
      </c>
      <c r="CK105">
        <v>15984</v>
      </c>
      <c r="CL105">
        <v>13</v>
      </c>
      <c r="CM105">
        <v>25974</v>
      </c>
      <c r="CN105">
        <v>5</v>
      </c>
      <c r="CO105">
        <v>9990</v>
      </c>
      <c r="CP105">
        <v>3</v>
      </c>
      <c r="CQ105">
        <v>5994</v>
      </c>
      <c r="CR105">
        <v>5</v>
      </c>
      <c r="CS105">
        <v>9990</v>
      </c>
      <c r="CT105">
        <v>5</v>
      </c>
      <c r="CU105">
        <v>9990</v>
      </c>
    </row>
    <row r="107" spans="2:99" x14ac:dyDescent="0.2">
      <c r="B107" s="108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>
        <f>SUM(D$6:D$19)+SUM(F$6:F$19)+SUM(H$6:H$19)+SUM(J$6:J$19)</f>
        <v>0</v>
      </c>
      <c r="E109">
        <f>SUM(L$6:L$19)+SUM(N$6:N$19)+SUM(P$6:P$19)+SUM(R$6:R$19)</f>
        <v>0</v>
      </c>
      <c r="F109">
        <f>SUM(T$6:T$19)+SUM(V$6:V$19)+SUM(X$6:X$19)+SUM(Z$6:Z$19)</f>
        <v>0</v>
      </c>
      <c r="G109">
        <f>SUM(AB$6:AB$19)+SUM(AD$6:AD$19)+SUM(AF$6:AF$19)+SUM(AH$6:AH$19)</f>
        <v>0</v>
      </c>
      <c r="H109">
        <f>SUM(AJ$6:AJ$19)+SUM(AL$6:AL$19)+SUM(AN$6:AN$19)+SUM(AP$6:AP$19)</f>
        <v>0</v>
      </c>
      <c r="I109">
        <f>SUM(AR$6:AR$19)+SUM(AT$6:AT$19)+SUM(AV$6:AV$19)+SUM(AX$6:AX$19)</f>
        <v>0</v>
      </c>
      <c r="J109">
        <f>SUM(AZ$6:AZ$19)+SUM(BB$6:BB$19)+SUM(BD$6:BD$19)+SUM(BF$6:BF$19)</f>
        <v>29.098613099139335</v>
      </c>
      <c r="K109">
        <f>SUM(BH$6:BH$19)+SUM(BJ$6:BJ$19)+SUM(BL$6:BL$19)+SUM(BN$6:BN$19)</f>
        <v>1159.6453408721645</v>
      </c>
      <c r="L109">
        <f>SUM(BP$6:BP$19)+SUM(BR$6:BR$19)+SUM(BT$6:BT$19)+SUM(BV$6:BV$19)</f>
        <v>0</v>
      </c>
      <c r="M109">
        <f>SUM(BX$6:BX$19)+SUM(BZ$6:BZ$19)+SUM(CB$6:CB$19)+SUM(CD$6:CD$19)</f>
        <v>0</v>
      </c>
      <c r="N109">
        <f>SUM(CF$6:CF$19)+SUM(CH$6:CH$19)+SUM(CJ$6:CJ$19)+SUM(CL$6:CL$19)</f>
        <v>103.15171380866215</v>
      </c>
      <c r="O109">
        <f>SUM(CN$6:CN$19)+SUM(CP$6:CP$19)+SUM(CR$6:CR$19)+SUM(CT$6:CT$19)</f>
        <v>316.74450400397257</v>
      </c>
    </row>
    <row r="110" spans="2:99" x14ac:dyDescent="0.2">
      <c r="C110" s="105" t="s">
        <v>127</v>
      </c>
      <c r="D110">
        <f>SUM(D$20:D$36)+SUM(F$20:F$36)+SUM(H$20:H$36)+SUM(J$20:J$36)</f>
        <v>0</v>
      </c>
      <c r="E110">
        <f>SUM(L$20:L$36)+SUM(N$20:N$36)+SUM(P$20:P$36)+SUM(R$20:R$36)</f>
        <v>0</v>
      </c>
      <c r="F110">
        <f>SUM(T$20:T$36)+SUM(V$20:V$36)+SUM(X$20:X$36)+SUM(Z$20:Z$36)</f>
        <v>0</v>
      </c>
      <c r="G110">
        <f>SUM(AB$20:AB$36)+SUM(AD$20:AD$36)+SUM(AF$20:AF$36)+SUM(AH$20:AH$36)</f>
        <v>0</v>
      </c>
      <c r="H110">
        <f>SUM(AJ$20:AJ$36)+SUM(AL$20:AL$36)+SUM(AN$20:AN$36)+SUM(AP$20:AP$36)</f>
        <v>0</v>
      </c>
      <c r="I110">
        <f>SUM(AR$20:AR$36)+SUM(AT$20:AT$36)+SUM(AV$20:AV$36)+SUM(AX$20:AX$36)</f>
        <v>0</v>
      </c>
      <c r="J110">
        <f>SUM(AZ$20:AZ$36)+SUM(BB$20:BB$36)+SUM(BD$20:BD$36)+SUM(BF$20:BF$36)</f>
        <v>152.21023342653319</v>
      </c>
      <c r="K110">
        <f>SUM(BH$20:BH$36)+SUM(BJ$20:BJ$36)+SUM(BL$20:BL$36)+SUM(BN$20:BN$36)</f>
        <v>521.42814981670051</v>
      </c>
      <c r="L110">
        <f>SUM(BP$20:BP$36)+SUM(BR$20:BR$36)+SUM(BT$20:BT$36)+SUM(BV$20:BV$36)</f>
        <v>0</v>
      </c>
      <c r="M110">
        <f>SUM(BX$20:BX$36)+SUM(BZ$20:BZ$36)+SUM(CB$20:CB$36)+SUM(CD$20:CD$36)</f>
        <v>0</v>
      </c>
      <c r="N110">
        <f>SUM(CF$20:CF$36)+SUM(CH$20:CH$36)+SUM(CJ$20:CJ$36)+SUM(CL$20:CL$36)</f>
        <v>121.16339816032242</v>
      </c>
      <c r="O110">
        <f>SUM(CN$20:CN$36)+SUM(CP$20:CP$36)+SUM(CR$20:CR$36)+SUM(CT$20:CT$36)</f>
        <v>690.44296331657154</v>
      </c>
    </row>
    <row r="111" spans="2:99" x14ac:dyDescent="0.2">
      <c r="C111" s="105" t="s">
        <v>128</v>
      </c>
      <c r="D111">
        <f>SUM(D$37:D$48)+SUM(F$37:F$48)+SUM(H$37:H$48)+SUM(J$37:J$48)</f>
        <v>0</v>
      </c>
      <c r="E111">
        <f>SUM(L$37:L$48)+SUM(N$37:N$48)+SUM(P$37:P$48)+SUM(R$37:R$48)</f>
        <v>0</v>
      </c>
      <c r="F111">
        <f>SUM(T$37:T$48)+SUM(V$37:V$48)+SUM(X$37:X$48)+SUM(Z$37:Z$48)</f>
        <v>0</v>
      </c>
      <c r="G111">
        <f>SUM(AB$37:AB$48)+SUM(AD$37:AD$48)+SUM(AF$37:AF$48)+SUM(AH$37:AH$48)</f>
        <v>0</v>
      </c>
      <c r="H111">
        <f>SUM(AJ$37:AJ$48)+SUM(AL$37:AL$48)+SUM(AN$37:AN$48)+SUM(AP$37:AP$48)</f>
        <v>0</v>
      </c>
      <c r="I111">
        <f>SUM(AR$37:AR$48)+SUM(AT$37:AT$48)+SUM(AV$37:AV$48)+SUM(AX$37:AX$48)</f>
        <v>0</v>
      </c>
      <c r="J111">
        <f>SUM(AZ$37:AZ$48)+SUM(BB$37:BB$48)+SUM(BD$37:BD$48)+SUM(BF$37:BF$48)</f>
        <v>31.016879560914674</v>
      </c>
      <c r="K111">
        <f>SUM(BH$37:BH$48)+SUM(BJ$37:BJ$48)+SUM(BL$37:BL$48)+SUM(BN$37:BN$48)</f>
        <v>143.23480615289208</v>
      </c>
      <c r="L111">
        <f>SUM(BP$37:BP$48)+SUM(BR$37:BR$48)+SUM(BT$37:BT$48)+SUM(BV$37:BV$48)</f>
        <v>0</v>
      </c>
      <c r="M111">
        <f>SUM(BX$37:BX$48)+SUM(BZ$37:BZ$48)+SUM(CB$37:CB$48)+SUM(CD$37:CD$48)</f>
        <v>0</v>
      </c>
      <c r="N111">
        <f>SUM(CF$37:CF$48)+SUM(CH$37:CH$48)+SUM(CJ$37:CJ$48)+SUM(CL$37:CL$48)</f>
        <v>50.04942027898489</v>
      </c>
      <c r="O111">
        <f>SUM(CN$37:CN$48)+SUM(CP$37:CP$48)+SUM(CR$37:CR$48)+SUM(CT$37:CT$48)</f>
        <v>2049.2046039770698</v>
      </c>
    </row>
    <row r="112" spans="2:99" x14ac:dyDescent="0.2">
      <c r="C112" s="105" t="s">
        <v>129</v>
      </c>
      <c r="D112">
        <f>SUM(D$49:D$70)+SUM(F$49:F$70)+SUM(H$49:H$70)+SUM(J$49:J$70)</f>
        <v>252.93599478035432</v>
      </c>
      <c r="E112">
        <f>SUM(L$49:L$70)+SUM(N$49:N$70)+SUM(P$49:P$70)+SUM(R$49:R$70)</f>
        <v>228</v>
      </c>
      <c r="F112">
        <f>SUM(T$49:T$70)+SUM(V$49:V$70)+SUM(X$49:X$70)+SUM(Z$49:Z$70)</f>
        <v>216</v>
      </c>
      <c r="G112">
        <f>SUM(AB$49:AB$70)+SUM(AD$49:AD$70)+SUM(AF$49:AF$70)+SUM(AH$49:AH$70)</f>
        <v>398</v>
      </c>
      <c r="H112">
        <f>SUM(AJ$49:AJ$70)+SUM(AL$49:AL$70)+SUM(AN$49:AN$70)+SUM(AP$49:AP$70)</f>
        <v>193</v>
      </c>
      <c r="I112">
        <f>SUM(AR$49:AR$70)+SUM(AT$49:AT$70)+SUM(AV$49:AV$70)+SUM(AX$49:AX$70)</f>
        <v>70</v>
      </c>
      <c r="J112">
        <f>SUM(AZ$49:AZ$70)+SUM(BB$49:BB$70)+SUM(BD$49:BD$70)+SUM(BF$49:BF$70)</f>
        <v>90.065193703952815</v>
      </c>
      <c r="K112">
        <f>SUM(BH$49:BH$70)+SUM(BJ$49:BJ$70)+SUM(BL$49:BL$70)+SUM(BN$49:BN$70)</f>
        <v>580.95098167558035</v>
      </c>
      <c r="L112">
        <f>SUM(BP$49:BP$70)+SUM(BR$49:BR$70)+SUM(BT$49:BT$70)+SUM(BV$49:BV$70)</f>
        <v>137</v>
      </c>
      <c r="M112">
        <f>SUM(BX$49:BX$70)+SUM(BZ$49:BZ$70)+SUM(CB$49:CB$70)+SUM(CD$49:CD$70)</f>
        <v>130</v>
      </c>
      <c r="N112">
        <f>SUM(CF$49:CF$70)+SUM(CH$49:CH$70)+SUM(CJ$49:CJ$70)+SUM(CL$49:CL$70)</f>
        <v>892.87734045961383</v>
      </c>
      <c r="O112">
        <f>SUM(CN$49:CN$70)+SUM(CP$49:CP$70)+SUM(CR$49:CR$70)+SUM(CT$49:CT$70)</f>
        <v>1247.4935083948908</v>
      </c>
    </row>
    <row r="113" spans="2:15" x14ac:dyDescent="0.2">
      <c r="C113" s="105" t="s">
        <v>130</v>
      </c>
      <c r="D113">
        <f>SUM(D$71:D$86)+SUM(F$71:F$86)+SUM(H$71:H$86)+SUM(J$71:J$86)</f>
        <v>263.06482771875892</v>
      </c>
      <c r="E113">
        <f>SUM(L$71:L$86)+SUM(N$71:N$86)+SUM(P$71:P$86)+SUM(R$71:R$86)</f>
        <v>254</v>
      </c>
      <c r="F113">
        <f>SUM(T$71:T$86)+SUM(V$71:V$86)+SUM(X$71:X$86)+SUM(Z$71:Z$86)</f>
        <v>472</v>
      </c>
      <c r="G113">
        <f>SUM(AB$71:AB$86)+SUM(AD$71:AD$86)+SUM(AF$71:AF$86)+SUM(AH$71:AH$86)</f>
        <v>315</v>
      </c>
      <c r="H113">
        <f>SUM(AJ$71:AJ$86)+SUM(AL$71:AL$86)+SUM(AN$71:AN$86)+SUM(AP$71:AP$86)</f>
        <v>2126</v>
      </c>
      <c r="I113">
        <f>SUM(AR$71:AR$86)+SUM(AT$71:AT$86)+SUM(AV$71:AV$86)+SUM(AX$71:AX$86)</f>
        <v>503</v>
      </c>
      <c r="J113">
        <f>SUM(AZ$71:AZ$86)+SUM(BB$71:BB$86)+SUM(BD$71:BD$86)+SUM(BF$71:BF$86)</f>
        <v>382</v>
      </c>
      <c r="K113">
        <f>SUM(BH$71:BH$86)+SUM(BJ$71:BJ$86)+SUM(BL$71:BL$86)+SUM(BN$71:BN$86)</f>
        <v>1590</v>
      </c>
      <c r="L113">
        <f>SUM(BP$71:BP$86)+SUM(BR$71:BR$86)+SUM(BT$71:BT$86)+SUM(BV$71:BV$86)</f>
        <v>685</v>
      </c>
      <c r="M113">
        <f>SUM(BX$71:BX$86)+SUM(BZ$71:BZ$86)+SUM(CB$71:CB$86)+SUM(CD$71:CD$86)</f>
        <v>275</v>
      </c>
      <c r="N113">
        <f>SUM(CF$71:CF$86)+SUM(CH$71:CH$86)+SUM(CJ$71:CJ$86)+SUM(CL$71:CL$86)</f>
        <v>352</v>
      </c>
      <c r="O113">
        <f>SUM(CN$71:CN$86)+SUM(CP$71:CP$86)+SUM(CR$71:CR$86)+SUM(CT$71:CT$86)</f>
        <v>682</v>
      </c>
    </row>
    <row r="114" spans="2:15" x14ac:dyDescent="0.2">
      <c r="C114" s="105" t="s">
        <v>131</v>
      </c>
      <c r="D114">
        <f>SUM(D$87:D$94)+SUM(F$87:F$94)+SUM(H$87:H$94)+SUM(J$87:J$94)</f>
        <v>159.69026530679457</v>
      </c>
      <c r="E114">
        <f>SUM(L$87:L$94)+SUM(N$87:N$94)+SUM(P$87:P$94)+SUM(R$87:R$94)</f>
        <v>146</v>
      </c>
      <c r="F114">
        <f>SUM(T$87:T$94)+SUM(V$87:V$94)+SUM(X$87:X$94)+SUM(Z$87:Z$94)</f>
        <v>171</v>
      </c>
      <c r="G114">
        <f>SUM(AB$87:AB$94)+SUM(AD$87:AD$94)+SUM(AF$87:AF$94)+SUM(AH$87:AH$94)</f>
        <v>126</v>
      </c>
      <c r="H114">
        <f>SUM(AJ$87:AJ$94)+SUM(AL$87:AL$94)+SUM(AN$87:AN$94)+SUM(AP$87:AP$94)</f>
        <v>471</v>
      </c>
      <c r="I114">
        <f>SUM(AR$87:AR$94)+SUM(AT$87:AT$94)+SUM(AV$87:AV$94)+SUM(AX$87:AX$94)</f>
        <v>172</v>
      </c>
      <c r="J114">
        <f>SUM(AZ$87:AZ$94)+SUM(BB$87:BB$94)+SUM(BD$87:BD$94)+SUM(BF$87:BF$94)</f>
        <v>363</v>
      </c>
      <c r="K114">
        <f>SUM(BH$87:BH$94)+SUM(BJ$87:BJ$94)+SUM(BL$87:BL$94)+SUM(BN$87:BN$94)</f>
        <v>217</v>
      </c>
      <c r="L114">
        <f>SUM(BP$87:BP$94)+SUM(BR$87:BR$94)+SUM(BT$87:BT$94)+SUM(BV$87:BV$94)</f>
        <v>157</v>
      </c>
      <c r="M114">
        <f>SUM(BX$87:BX$94)+SUM(BZ$87:BZ$94)+SUM(CB$87:CB$94)+SUM(CD$87:CD$94)</f>
        <v>163</v>
      </c>
      <c r="N114">
        <f>SUM(CF$87:CF$94)+SUM(CH$87:CH$94)+SUM(CJ$87:CJ$94)+SUM(CL$87:CL$94)</f>
        <v>206</v>
      </c>
      <c r="O114">
        <f>SUM(CN$87:CN$94)+SUM(CP$87:CP$94)+SUM(CR$87:CR$94)+SUM(CT$87:CT$94)</f>
        <v>314</v>
      </c>
    </row>
    <row r="115" spans="2:15" x14ac:dyDescent="0.2">
      <c r="C115" s="105" t="s">
        <v>132</v>
      </c>
      <c r="D115">
        <f>SUM(D$95:D$105)+SUM(F$95:F$105)+SUM(H$95:H$105)+SUM(J$95:J$105)</f>
        <v>147.01193640324948</v>
      </c>
      <c r="E115">
        <f>SUM(L$95:L$105)+SUM(N$95:N$105)+SUM(P$95:P$105)+SUM(R$95:R$105)</f>
        <v>457</v>
      </c>
      <c r="F115">
        <f>SUM(T$95:T$105)+SUM(V$95:V$105)+SUM(X$95:X$105)+SUM(Z$95:Z$105)</f>
        <v>223</v>
      </c>
      <c r="G115">
        <f>SUM(AB$95:AB$105)+SUM(AD$95:AD$105)+SUM(AF$95:AF$105)+SUM(AH$95:AH$105)</f>
        <v>927</v>
      </c>
      <c r="H115">
        <f>SUM(AJ$95:AJ$105)+SUM(AL$95:AL$105)+SUM(AN$95:AN$105)+SUM(AP$95:AP$105)</f>
        <v>202</v>
      </c>
      <c r="I115">
        <f>SUM(AR$95:AR$105)+SUM(AT$95:AT$105)+SUM(AV$95:AV$105)+SUM(AX$95:AX$105)</f>
        <v>1106</v>
      </c>
      <c r="J115">
        <f>SUM(AZ$95:AZ$105)+SUM(BB$95:BB$105)+SUM(BD$95:BD$105)+SUM(BF$95:BF$105)</f>
        <v>790</v>
      </c>
      <c r="K115">
        <f>SUM(BH$95:BH$105)+SUM(BJ$95:BJ$105)+SUM(BL$95:BL$105)+SUM(BN$95:BN$105)</f>
        <v>1343</v>
      </c>
      <c r="L115">
        <f>SUM(BP$95:BP$105)+SUM(BR$95:BR$105)+SUM(BT$95:BT$105)+SUM(BV$95:BV$105)</f>
        <v>229</v>
      </c>
      <c r="M115">
        <f>SUM(BX$95:BX$105)+SUM(BZ$95:BZ$105)+SUM(CB$95:CB$105)+SUM(CD$95:CD$105)</f>
        <v>1833</v>
      </c>
      <c r="N115">
        <f>SUM(CF$95:CF$105)+SUM(CH$95:CH$105)+SUM(CJ$95:CJ$105)+SUM(CL$95:CL$105)</f>
        <v>477</v>
      </c>
      <c r="O115">
        <f>SUM(CN$95:CN$105)+SUM(CP$95:CP$105)+SUM(CR$95:CR$105)+SUM(CT$95:CT$105)</f>
        <v>199</v>
      </c>
    </row>
    <row r="116" spans="2:15" x14ac:dyDescent="0.2">
      <c r="C116" s="105" t="s">
        <v>278</v>
      </c>
      <c r="D116">
        <f t="shared" ref="D116:O116" si="0">SUM(D$109:D$115)</f>
        <v>822.70302420915732</v>
      </c>
      <c r="E116">
        <f t="shared" si="0"/>
        <v>1085</v>
      </c>
      <c r="F116">
        <f t="shared" si="0"/>
        <v>1082</v>
      </c>
      <c r="G116">
        <f t="shared" si="0"/>
        <v>1766</v>
      </c>
      <c r="H116">
        <f t="shared" si="0"/>
        <v>2992</v>
      </c>
      <c r="I116">
        <f t="shared" si="0"/>
        <v>1851</v>
      </c>
      <c r="J116">
        <f t="shared" si="0"/>
        <v>1837.39091979054</v>
      </c>
      <c r="K116">
        <f t="shared" si="0"/>
        <v>5555.2592785173374</v>
      </c>
      <c r="L116">
        <f t="shared" si="0"/>
        <v>1208</v>
      </c>
      <c r="M116">
        <f t="shared" si="0"/>
        <v>2401</v>
      </c>
      <c r="N116">
        <f t="shared" si="0"/>
        <v>2202.2418727075833</v>
      </c>
      <c r="O116">
        <f t="shared" si="0"/>
        <v>5498.8855796925054</v>
      </c>
    </row>
    <row r="118" spans="2:15" x14ac:dyDescent="0.2">
      <c r="B118" s="107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>
        <f>D109*pricing!D6*2000</f>
        <v>0</v>
      </c>
      <c r="E120">
        <f>E109*pricing!E6*2000</f>
        <v>0</v>
      </c>
      <c r="F120">
        <f>F109*pricing!F6*2000</f>
        <v>0</v>
      </c>
      <c r="G120">
        <f>G109*pricing!G6*2000</f>
        <v>0</v>
      </c>
      <c r="H120">
        <f>H109*pricing!H6*2000</f>
        <v>0</v>
      </c>
      <c r="I120">
        <f>I109*pricing!I6*2000</f>
        <v>0</v>
      </c>
      <c r="J120">
        <f>J109*pricing!J6*2000</f>
        <v>190752.53950283243</v>
      </c>
      <c r="K120">
        <f>K109*pricing!K6*2000</f>
        <v>2566110.3947090548</v>
      </c>
      <c r="L120">
        <f>L109*pricing!L6*2000</f>
        <v>0</v>
      </c>
      <c r="M120">
        <f>M109*pricing!M6*2000</f>
        <v>0</v>
      </c>
      <c r="N120">
        <f>N109*pricing!N6*2000</f>
        <v>538825.24334473361</v>
      </c>
      <c r="O120">
        <f>O109*pricing!O6*2000</f>
        <v>1941162.3953904428</v>
      </c>
    </row>
    <row r="121" spans="2:15" x14ac:dyDescent="0.2">
      <c r="C121" s="105" t="s">
        <v>127</v>
      </c>
      <c r="D121">
        <f>D110*pricing!D7*2000</f>
        <v>0</v>
      </c>
      <c r="E121">
        <f>E110*pricing!E7*2000</f>
        <v>0</v>
      </c>
      <c r="F121">
        <f>F110*pricing!F7*2000</f>
        <v>0</v>
      </c>
      <c r="G121">
        <f>G110*pricing!G7*2000</f>
        <v>0</v>
      </c>
      <c r="H121">
        <f>H110*pricing!H7*2000</f>
        <v>0</v>
      </c>
      <c r="I121">
        <f>I110*pricing!I7*2000</f>
        <v>0</v>
      </c>
      <c r="J121">
        <f>J110*pricing!J7*2000</f>
        <v>642723.44386034994</v>
      </c>
      <c r="K121">
        <f>K110*pricing!K7*2000</f>
        <v>2392564.6033032662</v>
      </c>
      <c r="L121">
        <f>L110*pricing!L7*2000</f>
        <v>0</v>
      </c>
      <c r="M121">
        <f>M110*pricing!M7*2000</f>
        <v>0</v>
      </c>
      <c r="N121">
        <f>N110*pricing!N7*2000</f>
        <v>669658.81500271766</v>
      </c>
      <c r="O121">
        <f>O110*pricing!O7*2000</f>
        <v>3939508.2555949972</v>
      </c>
    </row>
    <row r="122" spans="2:15" x14ac:dyDescent="0.2">
      <c r="C122" s="105" t="s">
        <v>128</v>
      </c>
      <c r="D122">
        <f>D111*pricing!D8*2000</f>
        <v>0</v>
      </c>
      <c r="E122">
        <f>E111*pricing!E8*2000</f>
        <v>0</v>
      </c>
      <c r="F122">
        <f>F111*pricing!F8*2000</f>
        <v>0</v>
      </c>
      <c r="G122">
        <f>G111*pricing!G8*2000</f>
        <v>0</v>
      </c>
      <c r="H122">
        <f>H111*pricing!H8*2000</f>
        <v>0</v>
      </c>
      <c r="I122">
        <f>I111*pricing!I8*2000</f>
        <v>0</v>
      </c>
      <c r="J122">
        <f>J111*pricing!J8*2000</f>
        <v>195020.25363444732</v>
      </c>
      <c r="K122">
        <f>K111*pricing!K8*2000</f>
        <v>801210.26867642696</v>
      </c>
      <c r="L122">
        <f>L111*pricing!L8*2000</f>
        <v>0</v>
      </c>
      <c r="M122">
        <f>M111*pricing!M8*2000</f>
        <v>0</v>
      </c>
      <c r="N122">
        <f>N111*pricing!N8*2000</f>
        <v>300343.57160999964</v>
      </c>
      <c r="O122">
        <f>O111*pricing!O8*2000</f>
        <v>5154375.3488679603</v>
      </c>
    </row>
    <row r="123" spans="2:15" x14ac:dyDescent="0.2">
      <c r="C123" s="105" t="s">
        <v>129</v>
      </c>
      <c r="D123">
        <f>D112*pricing!D9*2000</f>
        <v>770015.01911303692</v>
      </c>
      <c r="E123">
        <f>E112*pricing!E9*2000</f>
        <v>884688.1093792693</v>
      </c>
      <c r="F123">
        <f>F112*pricing!F9*2000</f>
        <v>850339.32435786305</v>
      </c>
      <c r="G123">
        <f>G112*pricing!G9*2000</f>
        <v>1130949.9299810934</v>
      </c>
      <c r="H123">
        <f>H112*pricing!H9*2000</f>
        <v>795310.35712297389</v>
      </c>
      <c r="I123">
        <f>I112*pricing!I9*2000</f>
        <v>404653.01476815745</v>
      </c>
      <c r="J123">
        <f>J112*pricing!J9*2000</f>
        <v>624552.88068011752</v>
      </c>
      <c r="K123">
        <f>K112*pricing!K9*2000</f>
        <v>2459825.1821392658</v>
      </c>
      <c r="L123">
        <f>L112*pricing!L9*2000</f>
        <v>630288.77363902982</v>
      </c>
      <c r="M123">
        <f>M112*pricing!M9*2000</f>
        <v>581635.1861622741</v>
      </c>
      <c r="N123">
        <f>N112*pricing!N9*2000</f>
        <v>2236120.4946433632</v>
      </c>
      <c r="O123">
        <f>O112*pricing!O9*2000</f>
        <v>4952249.3059350112</v>
      </c>
    </row>
    <row r="124" spans="2:15" x14ac:dyDescent="0.2">
      <c r="C124" s="105" t="s">
        <v>130</v>
      </c>
      <c r="D124">
        <f>D113*pricing!D10*2000</f>
        <v>1458130.6515358887</v>
      </c>
      <c r="E124">
        <f>E113*pricing!E10*2000</f>
        <v>1786239.201068281</v>
      </c>
      <c r="F124">
        <f>F113*pricing!F10*2000</f>
        <v>2193795.0173689164</v>
      </c>
      <c r="G124">
        <f>G113*pricing!G10*2000</f>
        <v>1970642.0495711658</v>
      </c>
      <c r="H124">
        <f>H113*pricing!H10*2000</f>
        <v>5561152.2454309026</v>
      </c>
      <c r="I124">
        <f>I113*pricing!I10*2000</f>
        <v>2404789.3541863179</v>
      </c>
      <c r="J124">
        <f>J113*pricing!J10*2000</f>
        <v>2193037.0292142164</v>
      </c>
      <c r="K124">
        <f>K113*pricing!K10*2000</f>
        <v>4879797.0346311312</v>
      </c>
      <c r="L124">
        <f>L113*pricing!L10*2000</f>
        <v>3073733.4402028089</v>
      </c>
      <c r="M124">
        <f>M113*pricing!M10*2000</f>
        <v>1853435.5648910594</v>
      </c>
      <c r="N124">
        <f>N113*pricing!N10*2000</f>
        <v>2065533.9748476918</v>
      </c>
      <c r="O124">
        <f>O113*pricing!O10*2000</f>
        <v>2977637.0104243462</v>
      </c>
    </row>
    <row r="125" spans="2:15" x14ac:dyDescent="0.2">
      <c r="C125" s="105" t="s">
        <v>131</v>
      </c>
      <c r="D125">
        <f>D114*pricing!D11*2000</f>
        <v>920863.28861745435</v>
      </c>
      <c r="E125">
        <f>E114*pricing!E11*2000</f>
        <v>1016232.763355911</v>
      </c>
      <c r="F125">
        <f>F114*pricing!F11*2000</f>
        <v>1105917.979907125</v>
      </c>
      <c r="G125">
        <f>G114*pricing!G11*2000</f>
        <v>901365.40440583276</v>
      </c>
      <c r="H125">
        <f>H114*pricing!H11*2000</f>
        <v>1849242.1668802327</v>
      </c>
      <c r="I125">
        <f>I114*pricing!I11*2000</f>
        <v>1057653.1150145079</v>
      </c>
      <c r="J125">
        <f>J114*pricing!J11*2000</f>
        <v>1721799.2898735597</v>
      </c>
      <c r="K125">
        <f>K114*pricing!K11*2000</f>
        <v>1377439.2039022059</v>
      </c>
      <c r="L125">
        <f>L114*pricing!L11*2000</f>
        <v>967051.7614040114</v>
      </c>
      <c r="M125">
        <f>M114*pricing!M11*2000</f>
        <v>1142514.5366161314</v>
      </c>
      <c r="N125">
        <f>N114*pricing!N11*2000</f>
        <v>1206017.6077729024</v>
      </c>
      <c r="O125">
        <f>O114*pricing!O11*2000</f>
        <v>1678817.5342507022</v>
      </c>
    </row>
    <row r="126" spans="2:15" x14ac:dyDescent="0.2">
      <c r="C126" s="105" t="s">
        <v>132</v>
      </c>
      <c r="D126">
        <f>D115*pricing!D12*2000</f>
        <v>993793.08391613397</v>
      </c>
      <c r="E126">
        <f>E115*pricing!E12*2000</f>
        <v>1813164.8495902689</v>
      </c>
      <c r="F126">
        <f>F115*pricing!F12*2000</f>
        <v>1455614.5023267674</v>
      </c>
      <c r="G126">
        <f>G115*pricing!G12*2000</f>
        <v>3169484.3771089143</v>
      </c>
      <c r="H126">
        <f>H115*pricing!H12*2000</f>
        <v>1333544.9879043312</v>
      </c>
      <c r="I126">
        <f>I115*pricing!I12*2000</f>
        <v>3074575.4344909512</v>
      </c>
      <c r="J126">
        <f>J115*pricing!J12*2000</f>
        <v>2574609.3044078057</v>
      </c>
      <c r="K126">
        <f>K115*pricing!K12*2000</f>
        <v>3756928.3080052785</v>
      </c>
      <c r="L126">
        <f>L115*pricing!L12*2000</f>
        <v>1457773.8232167128</v>
      </c>
      <c r="M126">
        <f>M115*pricing!M12*2000</f>
        <v>4559992.6357119437</v>
      </c>
      <c r="N126">
        <f>N115*pricing!N12*2000</f>
        <v>2140131.7170101316</v>
      </c>
      <c r="O126">
        <f>O115*pricing!O12*2000</f>
        <v>1431869.1597595767</v>
      </c>
    </row>
    <row r="127" spans="2:15" x14ac:dyDescent="0.2">
      <c r="C127" s="105" t="s">
        <v>278</v>
      </c>
      <c r="D127">
        <f t="shared" ref="D127:O127" si="1">SUM(D$120:D$126)</f>
        <v>4142802.0431825137</v>
      </c>
      <c r="E127">
        <f t="shared" si="1"/>
        <v>5500324.9233937301</v>
      </c>
      <c r="F127">
        <f t="shared" si="1"/>
        <v>5605666.8239606712</v>
      </c>
      <c r="G127">
        <f t="shared" si="1"/>
        <v>7172441.7610670067</v>
      </c>
      <c r="H127">
        <f t="shared" si="1"/>
        <v>9539249.75733844</v>
      </c>
      <c r="I127">
        <f t="shared" si="1"/>
        <v>6941670.9184599351</v>
      </c>
      <c r="J127">
        <f t="shared" si="1"/>
        <v>8142494.7411733288</v>
      </c>
      <c r="K127">
        <f t="shared" si="1"/>
        <v>18233874.995366629</v>
      </c>
      <c r="L127">
        <f t="shared" si="1"/>
        <v>6128847.7984625632</v>
      </c>
      <c r="M127">
        <f t="shared" si="1"/>
        <v>8137577.9233814087</v>
      </c>
      <c r="N127">
        <f t="shared" si="1"/>
        <v>9156631.4242315404</v>
      </c>
      <c r="O127">
        <f t="shared" si="1"/>
        <v>22075619.010223038</v>
      </c>
    </row>
    <row r="129" spans="2:15" x14ac:dyDescent="0.2">
      <c r="B129" s="107" t="s">
        <v>280</v>
      </c>
    </row>
    <row r="130" spans="2:15" x14ac:dyDescent="0.2">
      <c r="C130" s="109" t="s">
        <v>277</v>
      </c>
      <c r="D130" s="109" t="s">
        <v>92</v>
      </c>
      <c r="E130" s="109" t="s">
        <v>93</v>
      </c>
      <c r="F130" s="109" t="s">
        <v>94</v>
      </c>
      <c r="G130" s="109" t="s">
        <v>95</v>
      </c>
      <c r="H130" s="109" t="s">
        <v>96</v>
      </c>
      <c r="I130" s="109" t="s">
        <v>97</v>
      </c>
      <c r="J130" s="109" t="s">
        <v>98</v>
      </c>
      <c r="K130" s="109" t="s">
        <v>99</v>
      </c>
      <c r="L130" s="109" t="s">
        <v>100</v>
      </c>
      <c r="M130" s="109" t="s">
        <v>101</v>
      </c>
      <c r="N130" s="109" t="s">
        <v>102</v>
      </c>
      <c r="O130" s="109" t="s">
        <v>103</v>
      </c>
    </row>
    <row r="131" spans="2:15" x14ac:dyDescent="0.2">
      <c r="C131" s="109" t="s">
        <v>126</v>
      </c>
      <c r="D131" s="110">
        <f>SUM(E$6:E$19)+SUM(G$6:G$19)+SUM(I$6:I$19)+SUM(K$6:K$19)</f>
        <v>0</v>
      </c>
      <c r="E131" s="110">
        <f>SUM(M$6:M$19)+SUM(O$6:O$19)+SUM(Q$6:Q$19)+SUM(S$6:S$19)</f>
        <v>0</v>
      </c>
      <c r="F131" s="110">
        <f>SUM(U$6:U$19)+SUM(W$6:W$19)+SUM(Y$6:Y$19)+SUM(AA$6:AA$19)</f>
        <v>0</v>
      </c>
      <c r="G131" s="110">
        <f>SUM(AC$6:AC$19)+SUM(AE$6:AE$19)+SUM(AG$6:AG$19)+SUM(AI$6:AI$19)</f>
        <v>0</v>
      </c>
      <c r="H131" s="110">
        <f>SUM(AK$6:AK$19)+SUM(AM$6:AM$19)+SUM(AO$6:AO$19)+SUM(AQ$6:AQ$19)</f>
        <v>0</v>
      </c>
      <c r="I131" s="110">
        <f>SUM(AS$6:AS$19)+SUM(AU$6:AU$19)+SUM(AW$6:AW$19)+SUM(AY$6:AY$19)</f>
        <v>0</v>
      </c>
      <c r="J131" s="110">
        <f>SUM(BA$6:BA$19)+SUM(BC$6:BC$19)+SUM(BE$6:BE$19)+SUM(BG$6:BG$19)</f>
        <v>14583.000065820301</v>
      </c>
      <c r="K131" s="110">
        <f>SUM(BI$6:BI$19)+SUM(BK$6:BK$19)+SUM(BM$6:BM$19)+SUM(BO$6:BO$19)</f>
        <v>577375.72422185645</v>
      </c>
      <c r="L131" s="110">
        <f>SUM(BQ$6:BQ$19)+SUM(BS$6:BS$19)+SUM(BU$6:BU$19)+SUM(BW$6:BW$19)</f>
        <v>0</v>
      </c>
      <c r="M131" s="110">
        <f>SUM(BY$6:BY$19)+SUM(CA$6:CA$19)+SUM(CC$6:CC$19)+SUM(CE$6:CE$19)</f>
        <v>0</v>
      </c>
      <c r="N131" s="110">
        <f>SUM(CG$6:CG$19)+SUM(CI$6:CI$19)+SUM(CK$6:CK$19)+SUM(CM$6:CM$19)</f>
        <v>52238.271926399291</v>
      </c>
      <c r="O131" s="110">
        <f>SUM(CO$6:CO$19)+SUM(CQ$6:CQ$19)+SUM(CS$6:CS$19)+SUM(CU$6:CU$19)</f>
        <v>159407.35125778613</v>
      </c>
    </row>
    <row r="132" spans="2:15" x14ac:dyDescent="0.2">
      <c r="C132" s="109" t="s">
        <v>127</v>
      </c>
      <c r="D132" s="110">
        <f>SUM(E$20:E$36)+SUM(G$20:G$36)+SUM(I$20:I$36)+SUM(K$20:K$36)</f>
        <v>0</v>
      </c>
      <c r="E132" s="110">
        <f>SUM(M$20:M$36)+SUM(O$20:O$36)+SUM(Q$20:Q$36)+SUM(S$20:S$36)</f>
        <v>0</v>
      </c>
      <c r="F132" s="110">
        <f>SUM(U$20:U$36)+SUM(W$20:W$36)+SUM(Y$20:Y$36)+SUM(AA$20:AA$36)</f>
        <v>0</v>
      </c>
      <c r="G132" s="110">
        <f>SUM(AC$20:AC$36)+SUM(AE$20:AE$36)+SUM(AG$20:AG$36)+SUM(AI$20:AI$36)</f>
        <v>0</v>
      </c>
      <c r="H132" s="110">
        <f>SUM(AK$20:AK$36)+SUM(AM$20:AM$36)+SUM(AO$20:AO$36)+SUM(AQ$20:AQ$36)</f>
        <v>0</v>
      </c>
      <c r="I132" s="110">
        <f>SUM(AS$20:AS$36)+SUM(AU$20:AU$36)+SUM(AW$20:AW$36)+SUM(AY$20:AY$36)</f>
        <v>0</v>
      </c>
      <c r="J132" s="110">
        <f>SUM(BA$20:BA$36)+SUM(BC$20:BC$36)+SUM(BE$20:BE$36)+SUM(BG$20:BG$36)</f>
        <v>64536.115046530824</v>
      </c>
      <c r="K132" s="110">
        <f>SUM(BI$20:BI$36)+SUM(BK$20:BK$36)+SUM(BM$20:BM$36)+SUM(BO$20:BO$36)</f>
        <v>223468.22242119868</v>
      </c>
      <c r="L132" s="110">
        <f>SUM(BQ$20:BQ$36)+SUM(BS$20:BS$36)+SUM(BU$20:BU$36)+SUM(BW$20:BW$36)</f>
        <v>0</v>
      </c>
      <c r="M132" s="110">
        <f>SUM(BY$20:BY$36)+SUM(CA$20:CA$36)+SUM(CC$20:CC$36)+SUM(CE$20:CE$36)</f>
        <v>0</v>
      </c>
      <c r="N132" s="110">
        <f>SUM(CG$20:CG$36)+SUM(CI$20:CI$36)+SUM(CK$20:CK$36)+SUM(CM$20:CM$36)</f>
        <v>51806.653013631942</v>
      </c>
      <c r="O132" s="110">
        <f>SUM(CO$20:CO$36)+SUM(CQ$20:CQ$36)+SUM(CS$20:CS$36)+SUM(CU$20:CU$36)</f>
        <v>298029.38265567779</v>
      </c>
    </row>
    <row r="133" spans="2:15" x14ac:dyDescent="0.2">
      <c r="C133" s="109" t="s">
        <v>128</v>
      </c>
      <c r="D133" s="110">
        <f>SUM(E$37:E$48)+SUM(G$37:G$48)+SUM(I$37:I$48)+SUM(K$37:K$48)</f>
        <v>0</v>
      </c>
      <c r="E133" s="110">
        <f>SUM(M$37:M$48)+SUM(O$37:O$48)+SUM(Q$37:Q$48)+SUM(S$37:S$48)</f>
        <v>0</v>
      </c>
      <c r="F133" s="110">
        <f>SUM(U$37:U$48)+SUM(W$37:W$48)+SUM(Y$37:Y$48)+SUM(AA$37:AA$48)</f>
        <v>0</v>
      </c>
      <c r="G133" s="110">
        <f>SUM(AC$37:AC$48)+SUM(AE$37:AE$48)+SUM(AG$37:AG$48)+SUM(AI$37:AI$48)</f>
        <v>0</v>
      </c>
      <c r="H133" s="110">
        <f>SUM(AK$37:AK$48)+SUM(AM$37:AM$48)+SUM(AO$37:AO$48)+SUM(AQ$37:AQ$48)</f>
        <v>0</v>
      </c>
      <c r="I133" s="110">
        <f>SUM(AS$37:AS$48)+SUM(AU$37:AU$48)+SUM(AW$37:AW$48)+SUM(AY$37:AY$48)</f>
        <v>0</v>
      </c>
      <c r="J133" s="110">
        <f>SUM(BA$37:BA$48)+SUM(BC$37:BC$48)+SUM(BE$37:BE$48)+SUM(BG$37:BG$48)</f>
        <v>32463.288923559747</v>
      </c>
      <c r="K133" s="110">
        <f>SUM(BI$37:BI$48)+SUM(BK$37:BK$48)+SUM(BM$37:BM$48)+SUM(BO$37:BO$48)</f>
        <v>150231.18733259148</v>
      </c>
      <c r="L133" s="110">
        <f>SUM(BQ$37:BQ$48)+SUM(BS$37:BS$48)+SUM(BU$37:BU$48)+SUM(BW$37:BW$48)</f>
        <v>0</v>
      </c>
      <c r="M133" s="110">
        <f>SUM(BY$37:BY$48)+SUM(CA$37:CA$48)+SUM(CC$37:CC$48)+SUM(CE$37:CE$48)</f>
        <v>0</v>
      </c>
      <c r="N133" s="110">
        <f>SUM(CG$37:CG$48)+SUM(CI$37:CI$48)+SUM(CK$37:CK$48)+SUM(CM$37:CM$48)</f>
        <v>52478.902301331545</v>
      </c>
      <c r="O133" s="110">
        <f>SUM(CO$37:CO$48)+SUM(CQ$37:CQ$48)+SUM(CS$37:CS$48)+SUM(CU$37:CU$48)</f>
        <v>2137511.051244176</v>
      </c>
    </row>
    <row r="134" spans="2:15" x14ac:dyDescent="0.2">
      <c r="C134" s="109" t="s">
        <v>129</v>
      </c>
      <c r="D134" s="110">
        <f>SUM(E$49:E$70)+SUM(G$49:G$70)+SUM(I$49:I$70)+SUM(K$49:K$70)</f>
        <v>279053.49217903794</v>
      </c>
      <c r="E134" s="110">
        <f>SUM(M$49:M$70)+SUM(O$49:O$70)+SUM(Q$49:Q$70)+SUM(S$49:S$70)</f>
        <v>251280</v>
      </c>
      <c r="F134" s="110">
        <f>SUM(U$49:U$70)+SUM(W$49:W$70)+SUM(Y$49:Y$70)+SUM(AA$49:AA$70)</f>
        <v>238934.39999999999</v>
      </c>
      <c r="G134" s="110">
        <f>SUM(AC$49:AC$70)+SUM(AE$49:AE$70)+SUM(AG$49:AG$70)+SUM(AI$49:AI$70)</f>
        <v>440054.39999999997</v>
      </c>
      <c r="H134" s="110">
        <f>SUM(AK$49:AK$70)+SUM(AM$49:AM$70)+SUM(AO$49:AO$70)+SUM(AQ$49:AQ$70)</f>
        <v>213029.99999999997</v>
      </c>
      <c r="I134" s="110">
        <f>SUM(AS$49:AS$70)+SUM(AU$49:AU$70)+SUM(AW$49:AW$70)+SUM(AY$49:AY$70)</f>
        <v>77241.600000000006</v>
      </c>
      <c r="J134" s="110">
        <f>SUM(BA$49:BA$70)+SUM(BC$49:BC$70)+SUM(BE$49:BE$70)+SUM(BG$49:BG$70)</f>
        <v>88576.240521712229</v>
      </c>
      <c r="K134" s="110">
        <f>SUM(BI$49:BI$70)+SUM(BK$49:BK$70)+SUM(BM$49:BM$70)+SUM(BO$49:BO$70)</f>
        <v>520206.68441972946</v>
      </c>
      <c r="L134" s="110">
        <f>SUM(BQ$49:BQ$70)+SUM(BS$49:BS$70)+SUM(BU$49:BU$70)+SUM(BW$49:BW$70)</f>
        <v>151422</v>
      </c>
      <c r="M134" s="110">
        <f>SUM(BY$49:BY$70)+SUM(CA$49:CA$70)+SUM(CC$49:CC$70)+SUM(CE$49:CE$70)</f>
        <v>143452.79999999999</v>
      </c>
      <c r="N134" s="110">
        <f>SUM(CG$49:CG$70)+SUM(CI$49:CI$70)+SUM(CK$49:CK$70)+SUM(CM$49:CM$70)</f>
        <v>852005.77501506801</v>
      </c>
      <c r="O134" s="110">
        <f>SUM(CO$49:CO$70)+SUM(CQ$49:CQ$70)+SUM(CS$49:CS$70)+SUM(CU$49:CU$70)</f>
        <v>1053983.7762158876</v>
      </c>
    </row>
    <row r="135" spans="2:15" x14ac:dyDescent="0.2">
      <c r="C135" s="109" t="s">
        <v>130</v>
      </c>
      <c r="D135" s="110">
        <f>SUM(E$71:E$86)+SUM(G$71:G$86)+SUM(I$71:I$86)+SUM(K$71:K$86)</f>
        <v>147514.36559180191</v>
      </c>
      <c r="E135" s="110">
        <f>SUM(M$71:M$86)+SUM(O$71:O$86)+SUM(Q$71:Q$86)+SUM(S$71:S$86)</f>
        <v>141194.40000000002</v>
      </c>
      <c r="F135" s="110">
        <f>SUM(U$71:U$86)+SUM(W$71:W$86)+SUM(Y$71:Y$86)+SUM(AA$71:AA$86)</f>
        <v>264726</v>
      </c>
      <c r="G135" s="110">
        <f>SUM(AC$71:AC$86)+SUM(AE$71:AE$86)+SUM(AG$71:AG$86)+SUM(AI$71:AI$86)</f>
        <v>176746.8</v>
      </c>
      <c r="H135" s="110">
        <f>SUM(AK$71:AK$86)+SUM(AM$71:AM$86)+SUM(AO$71:AO$86)+SUM(AQ$71:AQ$86)</f>
        <v>1179566.3999999999</v>
      </c>
      <c r="I135" s="110">
        <f>SUM(AS$71:AS$86)+SUM(AU$71:AU$86)+SUM(AW$71:AW$86)+SUM(AY$71:AY$86)</f>
        <v>280016.40000000002</v>
      </c>
      <c r="J135" s="110">
        <f>SUM(BA$71:BA$86)+SUM(BC$71:BC$86)+SUM(BE$71:BE$86)+SUM(BG$71:BG$86)</f>
        <v>214401.59999999998</v>
      </c>
      <c r="K135" s="110">
        <f>SUM(BI$71:BI$86)+SUM(BK$71:BK$86)+SUM(BM$71:BM$86)+SUM(BO$71:BO$86)</f>
        <v>886520.4</v>
      </c>
      <c r="L135" s="110">
        <f>SUM(BQ$71:BQ$86)+SUM(BS$71:BS$86)+SUM(BU$71:BU$86)+SUM(BW$71:BW$86)</f>
        <v>381740.39999999997</v>
      </c>
      <c r="M135" s="110">
        <f>SUM(BY$71:BY$86)+SUM(CA$71:CA$86)+SUM(CC$71:CC$86)+SUM(CE$71:CE$86)</f>
        <v>153968.40000000002</v>
      </c>
      <c r="N135" s="110">
        <f>SUM(CG$71:CG$86)+SUM(CI$71:CI$86)+SUM(CK$71:CK$86)+SUM(CM$71:CM$86)</f>
        <v>195693.59999999998</v>
      </c>
      <c r="O135" s="110">
        <f>SUM(CO$71:CO$86)+SUM(CQ$71:CQ$86)+SUM(CS$71:CS$86)+SUM(CU$71:CU$86)</f>
        <v>380261.99999999994</v>
      </c>
    </row>
    <row r="136" spans="2:15" x14ac:dyDescent="0.2">
      <c r="C136" s="109" t="s">
        <v>131</v>
      </c>
      <c r="D136" s="110">
        <f>SUM(E$87:E$94)+SUM(G$87:G$94)+SUM(I$87:I$94)+SUM(K$87:K$94)</f>
        <v>325661.50718807406</v>
      </c>
      <c r="E136" s="110">
        <f>SUM(M$87:M$94)+SUM(O$87:O$94)+SUM(Q$87:Q$94)+SUM(S$87:S$94)</f>
        <v>297987.59999999998</v>
      </c>
      <c r="F136" s="110">
        <f>SUM(U$87:U$94)+SUM(W$87:W$94)+SUM(Y$87:Y$94)+SUM(AA$87:AA$94)</f>
        <v>347001.59999999998</v>
      </c>
      <c r="G136" s="110">
        <f>SUM(AC$87:AC$94)+SUM(AE$87:AE$94)+SUM(AG$87:AG$94)+SUM(AI$87:AI$94)</f>
        <v>257103.59999999998</v>
      </c>
      <c r="H136" s="110">
        <f>SUM(AK$87:AK$94)+SUM(AM$87:AM$94)+SUM(AO$87:AO$94)+SUM(AQ$87:AQ$94)</f>
        <v>953613.60000000009</v>
      </c>
      <c r="I136" s="110">
        <f>SUM(AS$87:AS$94)+SUM(AU$87:AU$94)+SUM(AW$87:AW$94)+SUM(AY$87:AY$94)</f>
        <v>348956.39999999997</v>
      </c>
      <c r="J136" s="110">
        <f>SUM(BA$87:BA$94)+SUM(BC$87:BC$94)+SUM(BE$87:BE$94)+SUM(BG$87:BG$94)</f>
        <v>738162</v>
      </c>
      <c r="K136" s="110">
        <f>SUM(BI$87:BI$94)+SUM(BK$87:BK$94)+SUM(BM$87:BM$94)+SUM(BO$87:BO$94)</f>
        <v>441391.19999999995</v>
      </c>
      <c r="L136" s="110">
        <f>SUM(BQ$87:BQ$94)+SUM(BS$87:BS$94)+SUM(BU$87:BU$94)+SUM(BW$87:BW$94)</f>
        <v>318680.39999999997</v>
      </c>
      <c r="M136" s="110">
        <f>SUM(BY$87:BY$94)+SUM(CA$87:CA$94)+SUM(CC$87:CC$94)+SUM(CE$87:CE$94)</f>
        <v>332625.59999999998</v>
      </c>
      <c r="N136" s="110">
        <f>SUM(CG$87:CG$94)+SUM(CI$87:CI$94)+SUM(CK$87:CK$94)+SUM(CM$87:CM$94)</f>
        <v>418816.80000000005</v>
      </c>
      <c r="O136" s="110">
        <f>SUM(CO$87:CO$94)+SUM(CQ$87:CQ$94)+SUM(CS$87:CS$94)+SUM(CU$87:CU$94)</f>
        <v>639267.59999999986</v>
      </c>
    </row>
    <row r="137" spans="2:15" x14ac:dyDescent="0.2">
      <c r="C137" s="109" t="s">
        <v>132</v>
      </c>
      <c r="D137" s="110">
        <f>SUM(E$95:E$105)+SUM(G$95:G$105)+SUM(I$95:I$105)+SUM(K$95:K$105)</f>
        <v>282726.75975186704</v>
      </c>
      <c r="E137" s="110">
        <f>SUM(M$95:M$105)+SUM(O$95:O$105)+SUM(Q$95:Q$105)+SUM(S$95:S$105)</f>
        <v>861032.4</v>
      </c>
      <c r="F137" s="110">
        <f>SUM(U$95:U$105)+SUM(W$95:W$105)+SUM(Y$95:Y$105)+SUM(AA$95:AA$105)</f>
        <v>422344.8</v>
      </c>
      <c r="G137" s="110">
        <f>SUM(AC$95:AC$105)+SUM(AE$95:AE$105)+SUM(AG$95:AG$105)+SUM(AI$95:AI$105)</f>
        <v>1723585.2</v>
      </c>
      <c r="H137" s="110">
        <f>SUM(AK$95:AK$105)+SUM(AM$95:AM$105)+SUM(AO$95:AO$105)+SUM(AQ$95:AQ$105)</f>
        <v>385663.2</v>
      </c>
      <c r="I137" s="110">
        <f>SUM(AS$95:AS$105)+SUM(AU$95:AU$105)+SUM(AW$95:AW$105)+SUM(AY$95:AY$105)</f>
        <v>2038712.4</v>
      </c>
      <c r="J137" s="110">
        <f>SUM(BA$95:BA$105)+SUM(BC$95:BC$105)+SUM(BE$95:BE$105)+SUM(BG$95:BG$105)</f>
        <v>1480878</v>
      </c>
      <c r="K137" s="110">
        <f>SUM(BI$95:BI$105)+SUM(BK$95:BK$105)+SUM(BM$95:BM$105)+SUM(BO$95:BO$105)</f>
        <v>2487132</v>
      </c>
      <c r="L137" s="110">
        <f>SUM(BQ$95:BQ$105)+SUM(BS$95:BS$105)+SUM(BU$95:BU$105)+SUM(BW$95:BW$105)</f>
        <v>442135.19999999995</v>
      </c>
      <c r="M137" s="110">
        <f>SUM(BY$95:BY$105)+SUM(CA$95:CA$105)+SUM(CC$95:CC$105)+SUM(CE$95:CE$105)</f>
        <v>3363314.3999999994</v>
      </c>
      <c r="N137" s="110">
        <f>SUM(CG$95:CG$105)+SUM(CI$95:CI$105)+SUM(CK$95:CK$105)+SUM(CM$95:CM$105)</f>
        <v>898982.39999999991</v>
      </c>
      <c r="O137" s="110">
        <f>SUM(CO$95:CO$105)+SUM(CQ$95:CQ$105)+SUM(CS$95:CS$105)+SUM(CU$95:CU$105)</f>
        <v>385008</v>
      </c>
    </row>
    <row r="138" spans="2:15" x14ac:dyDescent="0.2">
      <c r="C138" s="109" t="s">
        <v>278</v>
      </c>
      <c r="D138">
        <f t="shared" ref="D138:O138" si="2">SUM(D$131:D$137)</f>
        <v>1034956.1247107809</v>
      </c>
      <c r="E138">
        <f t="shared" si="2"/>
        <v>1551494.4</v>
      </c>
      <c r="F138">
        <f t="shared" si="2"/>
        <v>1273006.8</v>
      </c>
      <c r="G138">
        <f t="shared" si="2"/>
        <v>2597490</v>
      </c>
      <c r="H138">
        <f t="shared" si="2"/>
        <v>2731873.2</v>
      </c>
      <c r="I138">
        <f t="shared" si="2"/>
        <v>2744926.8</v>
      </c>
      <c r="J138">
        <f t="shared" si="2"/>
        <v>2633600.2445576228</v>
      </c>
      <c r="K138">
        <f t="shared" si="2"/>
        <v>5286325.4183953758</v>
      </c>
      <c r="L138">
        <f t="shared" si="2"/>
        <v>1293977.9999999998</v>
      </c>
      <c r="M138">
        <f t="shared" si="2"/>
        <v>3993361.1999999993</v>
      </c>
      <c r="N138">
        <f t="shared" si="2"/>
        <v>2522022.4022564311</v>
      </c>
      <c r="O138">
        <f t="shared" si="2"/>
        <v>5053469.1613735277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07" t="s">
        <v>282</v>
      </c>
    </row>
    <row r="4" spans="1:99" x14ac:dyDescent="0.2">
      <c r="A4" s="106"/>
      <c r="B4" s="106"/>
      <c r="C4" s="105" t="s">
        <v>274</v>
      </c>
      <c r="D4" s="105" t="s">
        <v>92</v>
      </c>
      <c r="E4" s="106"/>
      <c r="F4" s="106"/>
      <c r="G4" s="106"/>
      <c r="H4" s="106"/>
      <c r="I4" s="106"/>
      <c r="J4" s="106"/>
      <c r="K4" s="106"/>
      <c r="L4" s="105" t="s">
        <v>93</v>
      </c>
      <c r="M4" s="106"/>
      <c r="N4" s="106"/>
      <c r="O4" s="106"/>
      <c r="P4" s="106"/>
      <c r="Q4" s="106"/>
      <c r="R4" s="106"/>
      <c r="S4" s="106"/>
      <c r="T4" s="105" t="s">
        <v>94</v>
      </c>
      <c r="U4" s="106"/>
      <c r="V4" s="106"/>
      <c r="W4" s="106"/>
      <c r="X4" s="106"/>
      <c r="Y4" s="106"/>
      <c r="Z4" s="106"/>
      <c r="AA4" s="106"/>
      <c r="AB4" s="105" t="s">
        <v>95</v>
      </c>
      <c r="AC4" s="106"/>
      <c r="AD4" s="106"/>
      <c r="AE4" s="106"/>
      <c r="AF4" s="106"/>
      <c r="AG4" s="106"/>
      <c r="AH4" s="106"/>
      <c r="AI4" s="106"/>
      <c r="AJ4" s="105" t="s">
        <v>96</v>
      </c>
      <c r="AK4" s="106"/>
      <c r="AL4" s="106"/>
      <c r="AM4" s="106"/>
      <c r="AN4" s="106"/>
      <c r="AO4" s="106"/>
      <c r="AP4" s="106"/>
      <c r="AQ4" s="106"/>
      <c r="AR4" s="105" t="s">
        <v>97</v>
      </c>
      <c r="AS4" s="106"/>
      <c r="AT4" s="106"/>
      <c r="AU4" s="106"/>
      <c r="AV4" s="106"/>
      <c r="AW4" s="106"/>
      <c r="AX4" s="106"/>
      <c r="AY4" s="106"/>
      <c r="AZ4" s="105" t="s">
        <v>98</v>
      </c>
      <c r="BA4" s="106"/>
      <c r="BB4" s="106"/>
      <c r="BC4" s="106"/>
      <c r="BD4" s="106"/>
      <c r="BE4" s="106"/>
      <c r="BF4" s="106"/>
      <c r="BG4" s="106"/>
      <c r="BH4" s="105" t="s">
        <v>99</v>
      </c>
      <c r="BI4" s="106"/>
      <c r="BJ4" s="106"/>
      <c r="BK4" s="106"/>
      <c r="BL4" s="106"/>
      <c r="BM4" s="106"/>
      <c r="BN4" s="106"/>
      <c r="BO4" s="106"/>
      <c r="BP4" s="105" t="s">
        <v>100</v>
      </c>
      <c r="BQ4" s="106"/>
      <c r="BR4" s="106"/>
      <c r="BS4" s="106"/>
      <c r="BT4" s="106"/>
      <c r="BU4" s="106"/>
      <c r="BV4" s="106"/>
      <c r="BW4" s="106"/>
      <c r="BX4" s="105" t="s">
        <v>101</v>
      </c>
      <c r="BY4" s="106"/>
      <c r="BZ4" s="106"/>
      <c r="CA4" s="106"/>
      <c r="CB4" s="106"/>
      <c r="CC4" s="106"/>
      <c r="CD4" s="106"/>
      <c r="CE4" s="106"/>
      <c r="CF4" s="105" t="s">
        <v>102</v>
      </c>
      <c r="CG4" s="106"/>
      <c r="CH4" s="106"/>
      <c r="CI4" s="106"/>
      <c r="CJ4" s="106"/>
      <c r="CK4" s="106"/>
      <c r="CL4" s="106"/>
      <c r="CM4" s="106"/>
      <c r="CN4" s="105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0.14814930346964927</v>
      </c>
      <c r="O6">
        <v>85.689557126845131</v>
      </c>
      <c r="P6">
        <v>1.1041883684239806</v>
      </c>
      <c r="Q6">
        <v>638.66255229643036</v>
      </c>
      <c r="R6">
        <v>0.43233347921507465</v>
      </c>
      <c r="S6">
        <v>250.06168437799917</v>
      </c>
      <c r="T6">
        <v>6.0657278365165572</v>
      </c>
      <c r="U6">
        <v>3508.4169806411765</v>
      </c>
      <c r="V6">
        <v>1.1643704314732284</v>
      </c>
      <c r="W6">
        <v>673.47185756411523</v>
      </c>
      <c r="X6">
        <v>8.7417834201979865</v>
      </c>
      <c r="Y6">
        <v>5056.2475302425155</v>
      </c>
      <c r="Z6">
        <v>1.1774658572770724</v>
      </c>
      <c r="AA6">
        <v>681.04625184905865</v>
      </c>
      <c r="AB6">
        <v>7.2710985452966401</v>
      </c>
      <c r="AC6">
        <v>4205.6033985995764</v>
      </c>
      <c r="AD6">
        <v>0.92745373103914641</v>
      </c>
      <c r="AE6">
        <v>536.43923803304222</v>
      </c>
      <c r="AF6">
        <v>5.2194874112500722</v>
      </c>
      <c r="AG6">
        <v>3018.9515186670415</v>
      </c>
      <c r="AH6">
        <v>0.71951737919236425</v>
      </c>
      <c r="AI6">
        <v>416.16885212486346</v>
      </c>
      <c r="AJ6">
        <v>5</v>
      </c>
      <c r="AK6">
        <v>2892</v>
      </c>
      <c r="AL6">
        <v>3.0466207538782051</v>
      </c>
      <c r="AM6">
        <v>1762.1654440431537</v>
      </c>
      <c r="AN6">
        <v>3.6474698831763743</v>
      </c>
      <c r="AO6">
        <v>2109.6965804292149</v>
      </c>
      <c r="AP6">
        <v>0.8361340242438503</v>
      </c>
      <c r="AQ6">
        <v>483.61991962264301</v>
      </c>
      <c r="AR6">
        <v>22.223170123747632</v>
      </c>
      <c r="AS6">
        <v>12853.88159957563</v>
      </c>
      <c r="AT6">
        <v>15.254837970006514</v>
      </c>
      <c r="AU6">
        <v>8823.398281851767</v>
      </c>
      <c r="AV6">
        <v>15.474576271186441</v>
      </c>
      <c r="AW6">
        <v>8950.4949152542376</v>
      </c>
      <c r="AX6">
        <v>24.178538188461804</v>
      </c>
      <c r="AY6">
        <v>13984.866488206308</v>
      </c>
      <c r="AZ6">
        <v>6.5136722402248166</v>
      </c>
      <c r="BA6">
        <v>3767.5080237460338</v>
      </c>
      <c r="BB6">
        <v>11.396491277674169</v>
      </c>
      <c r="BC6">
        <v>6591.7305550067395</v>
      </c>
      <c r="BD6">
        <v>2.0035434246080031</v>
      </c>
      <c r="BE6">
        <v>1158.849516793269</v>
      </c>
      <c r="BF6">
        <v>15.844620873599293</v>
      </c>
      <c r="BG6">
        <v>9164.5287132898302</v>
      </c>
      <c r="BH6">
        <v>0</v>
      </c>
      <c r="BI6">
        <v>0</v>
      </c>
      <c r="BJ6">
        <v>2.9244913440003573</v>
      </c>
      <c r="BK6">
        <v>1691.5257933698065</v>
      </c>
      <c r="BL6">
        <v>0.25601161927485033</v>
      </c>
      <c r="BM6">
        <v>148.07712058857342</v>
      </c>
      <c r="BN6">
        <v>1.3328426830727549</v>
      </c>
      <c r="BO6">
        <v>770.9162078892814</v>
      </c>
      <c r="BP6">
        <v>2.8228124353761039</v>
      </c>
      <c r="BQ6">
        <v>1632.7147126215384</v>
      </c>
      <c r="BR6">
        <v>2.7845727078650624</v>
      </c>
      <c r="BS6">
        <v>1610.5968542291521</v>
      </c>
      <c r="BT6">
        <v>0.76915905706260479</v>
      </c>
      <c r="BU6">
        <v>444.88159860501059</v>
      </c>
      <c r="BV6">
        <v>6.2388985024038712</v>
      </c>
      <c r="BW6">
        <v>3608.578893790399</v>
      </c>
      <c r="BX6">
        <v>1.6146917220239057</v>
      </c>
      <c r="BY6">
        <v>933.93769201862699</v>
      </c>
      <c r="BZ6">
        <v>5.964898214391031</v>
      </c>
      <c r="CA6">
        <v>3450.0971272037723</v>
      </c>
      <c r="CB6">
        <v>6.864546146363546</v>
      </c>
      <c r="CC6">
        <v>3970.4534910566749</v>
      </c>
      <c r="CD6">
        <v>6</v>
      </c>
      <c r="CE6">
        <v>3470.3999999999996</v>
      </c>
      <c r="CF6">
        <v>1.5336910427102457</v>
      </c>
      <c r="CG6">
        <v>887.08689910360613</v>
      </c>
      <c r="CH6">
        <v>3.0506394370833649</v>
      </c>
      <c r="CI6">
        <v>1764.4898504090181</v>
      </c>
      <c r="CJ6">
        <v>0.73256172487929816</v>
      </c>
      <c r="CK6">
        <v>423.71370167018603</v>
      </c>
      <c r="CL6">
        <v>1.714246058771703</v>
      </c>
      <c r="CM6">
        <v>991.51992039355298</v>
      </c>
      <c r="CN6">
        <v>14.885095142014629</v>
      </c>
      <c r="CO6">
        <v>8609.5390301412608</v>
      </c>
      <c r="CP6">
        <v>10.575504395008423</v>
      </c>
      <c r="CQ6">
        <v>6116.8717420728717</v>
      </c>
      <c r="CR6">
        <v>2.5384206314115945</v>
      </c>
      <c r="CS6">
        <v>1468.2224932084662</v>
      </c>
      <c r="CT6">
        <v>28.440153998671558</v>
      </c>
      <c r="CU6">
        <v>16449.78507283163</v>
      </c>
    </row>
    <row r="7" spans="1:99" x14ac:dyDescent="0.2">
      <c r="C7" s="105" t="s">
        <v>173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0.14814930346964927</v>
      </c>
      <c r="O7">
        <v>116.80091085547149</v>
      </c>
      <c r="P7">
        <v>1.288219763161311</v>
      </c>
      <c r="Q7">
        <v>1015.6324612763776</v>
      </c>
      <c r="R7">
        <v>0.37829179431319032</v>
      </c>
      <c r="S7">
        <v>298.24525063651924</v>
      </c>
      <c r="T7">
        <v>6.0657278365165572</v>
      </c>
      <c r="U7">
        <v>4782.2198263096534</v>
      </c>
      <c r="V7">
        <v>1.1643704314732284</v>
      </c>
      <c r="W7">
        <v>917.98964817349326</v>
      </c>
      <c r="X7">
        <v>8.7417834201979865</v>
      </c>
      <c r="Y7">
        <v>6892.022048484092</v>
      </c>
      <c r="Z7">
        <v>1.0466363175796201</v>
      </c>
      <c r="AA7">
        <v>825.16807277977239</v>
      </c>
      <c r="AB7">
        <v>7.9635841210391769</v>
      </c>
      <c r="AC7">
        <v>6278.4897210272866</v>
      </c>
      <c r="AD7">
        <v>0.8315102416213036</v>
      </c>
      <c r="AE7">
        <v>655.56267449423569</v>
      </c>
      <c r="AF7">
        <v>5.2194874112500722</v>
      </c>
      <c r="AG7">
        <v>4115.0438750295571</v>
      </c>
      <c r="AH7">
        <v>0.62358172863338235</v>
      </c>
      <c r="AI7">
        <v>491.63183485455863</v>
      </c>
      <c r="AJ7">
        <v>6</v>
      </c>
      <c r="AK7">
        <v>4730.3999999999996</v>
      </c>
      <c r="AL7">
        <v>3.4274483481129807</v>
      </c>
      <c r="AM7">
        <v>2702.2002776522741</v>
      </c>
      <c r="AN7">
        <v>3.6474698831763743</v>
      </c>
      <c r="AO7">
        <v>2875.6652558962533</v>
      </c>
      <c r="AP7">
        <v>0.8361340242438503</v>
      </c>
      <c r="AQ7">
        <v>659.20806471385151</v>
      </c>
      <c r="AR7">
        <v>23.634165052239549</v>
      </c>
      <c r="AS7">
        <v>18633.175727185659</v>
      </c>
      <c r="AT7">
        <v>14.528417114291917</v>
      </c>
      <c r="AU7">
        <v>11454.204052907748</v>
      </c>
      <c r="AV7">
        <v>17.331525423728813</v>
      </c>
      <c r="AW7">
        <v>13664.174644067796</v>
      </c>
      <c r="AX7">
        <v>25.207412153928264</v>
      </c>
      <c r="AY7">
        <v>19873.523742157042</v>
      </c>
      <c r="AZ7">
        <v>6.0565724338932512</v>
      </c>
      <c r="BA7">
        <v>4775.0017068814395</v>
      </c>
      <c r="BB7">
        <v>10.684210572819534</v>
      </c>
      <c r="BC7">
        <v>8423.4316156109198</v>
      </c>
      <c r="BD7">
        <v>2.113326625956387</v>
      </c>
      <c r="BE7">
        <v>1666.1467119040155</v>
      </c>
      <c r="BF7">
        <v>17.856636222627774</v>
      </c>
      <c r="BG7">
        <v>14078.171997919737</v>
      </c>
      <c r="BH7">
        <v>0</v>
      </c>
      <c r="BI7">
        <v>0</v>
      </c>
      <c r="BJ7">
        <v>2.5067068662860201</v>
      </c>
      <c r="BK7">
        <v>1976.2876933798982</v>
      </c>
      <c r="BL7">
        <v>0.25601161927485033</v>
      </c>
      <c r="BM7">
        <v>201.83956063629199</v>
      </c>
      <c r="BN7">
        <v>1.6290299459778117</v>
      </c>
      <c r="BO7">
        <v>1284.3272094089068</v>
      </c>
      <c r="BP7">
        <v>2.4699608809540905</v>
      </c>
      <c r="BQ7">
        <v>1947.3171585442049</v>
      </c>
      <c r="BR7">
        <v>2.7845727078650624</v>
      </c>
      <c r="BS7">
        <v>2195.357122880815</v>
      </c>
      <c r="BT7">
        <v>0.76915905706260479</v>
      </c>
      <c r="BU7">
        <v>606.40500058815758</v>
      </c>
      <c r="BV7">
        <v>5.5456875576923306</v>
      </c>
      <c r="BW7">
        <v>4372.2200704846337</v>
      </c>
      <c r="BX7">
        <v>1.6146917220239057</v>
      </c>
      <c r="BY7">
        <v>1273.0229536436473</v>
      </c>
      <c r="BZ7">
        <v>5.964898214391031</v>
      </c>
      <c r="CA7">
        <v>4702.7257522258888</v>
      </c>
      <c r="CB7">
        <v>6.864546146363546</v>
      </c>
      <c r="CC7">
        <v>5412.0081817930195</v>
      </c>
      <c r="CD7">
        <v>7</v>
      </c>
      <c r="CE7">
        <v>5518.8</v>
      </c>
      <c r="CF7">
        <v>1.4058834558177253</v>
      </c>
      <c r="CG7">
        <v>1108.3985165666945</v>
      </c>
      <c r="CH7">
        <v>2.7455754933750285</v>
      </c>
      <c r="CI7">
        <v>2164.6117189768725</v>
      </c>
      <c r="CJ7">
        <v>0.79360853528590636</v>
      </c>
      <c r="CK7">
        <v>625.68096921940855</v>
      </c>
      <c r="CL7">
        <v>1.714246058771703</v>
      </c>
      <c r="CM7">
        <v>1351.5115927356105</v>
      </c>
      <c r="CN7">
        <v>13.996432745476442</v>
      </c>
      <c r="CO7">
        <v>11034.787576533627</v>
      </c>
      <c r="CP7">
        <v>9.7294640434077504</v>
      </c>
      <c r="CQ7">
        <v>7670.7094518226704</v>
      </c>
      <c r="CR7">
        <v>2.4024338118716875</v>
      </c>
      <c r="CS7">
        <v>1894.0788172796383</v>
      </c>
      <c r="CT7">
        <v>24.885134748837615</v>
      </c>
      <c r="CU7">
        <v>19619.440235983577</v>
      </c>
    </row>
    <row r="8" spans="1:99" x14ac:dyDescent="0.2">
      <c r="C8" s="105" t="s">
        <v>174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0.14814930346964927</v>
      </c>
      <c r="O8">
        <v>45.867024354203409</v>
      </c>
      <c r="P8">
        <v>1.288219763161311</v>
      </c>
      <c r="Q8">
        <v>398.83283867474188</v>
      </c>
      <c r="R8">
        <v>0.43233347921507465</v>
      </c>
      <c r="S8">
        <v>133.85044516498709</v>
      </c>
      <c r="T8">
        <v>6.0657278365165572</v>
      </c>
      <c r="U8">
        <v>1877.9493381855259</v>
      </c>
      <c r="V8">
        <v>1.309916735407382</v>
      </c>
      <c r="W8">
        <v>405.55022128212539</v>
      </c>
      <c r="X8">
        <v>7.7704741512871003</v>
      </c>
      <c r="Y8">
        <v>2405.7387972384859</v>
      </c>
      <c r="Z8">
        <v>1.0466363175796201</v>
      </c>
      <c r="AA8">
        <v>324.03860392265034</v>
      </c>
      <c r="AB8">
        <v>7.9635841210391769</v>
      </c>
      <c r="AC8">
        <v>2465.5256438737288</v>
      </c>
      <c r="AD8">
        <v>0.95943489417842731</v>
      </c>
      <c r="AE8">
        <v>297.04104323764108</v>
      </c>
      <c r="AF8">
        <v>5.4941972750000758</v>
      </c>
      <c r="AG8">
        <v>1701.0034763400233</v>
      </c>
      <c r="AH8">
        <v>0.71951737919236425</v>
      </c>
      <c r="AI8">
        <v>222.76258059795595</v>
      </c>
      <c r="AJ8">
        <v>6</v>
      </c>
      <c r="AK8">
        <v>1857.6</v>
      </c>
      <c r="AL8">
        <v>3.0466207538782051</v>
      </c>
      <c r="AM8">
        <v>943.23378540069223</v>
      </c>
      <c r="AN8">
        <v>3.6474698831763743</v>
      </c>
      <c r="AO8">
        <v>1129.2566758314053</v>
      </c>
      <c r="AP8">
        <v>0.8361340242438503</v>
      </c>
      <c r="AQ8">
        <v>258.86709390589601</v>
      </c>
      <c r="AR8">
        <v>22.928667587993591</v>
      </c>
      <c r="AS8">
        <v>7098.7154852428148</v>
      </c>
      <c r="AT8">
        <v>16.34446925357841</v>
      </c>
      <c r="AU8">
        <v>5060.2476809078753</v>
      </c>
      <c r="AV8">
        <v>18.569491525423729</v>
      </c>
      <c r="AW8">
        <v>5749.1145762711858</v>
      </c>
      <c r="AX8">
        <v>29.837344998527332</v>
      </c>
      <c r="AY8">
        <v>9237.6420115440615</v>
      </c>
      <c r="AZ8">
        <v>7.9992466108024072</v>
      </c>
      <c r="BA8">
        <v>2476.566750704425</v>
      </c>
      <c r="BB8">
        <v>11.396491277674169</v>
      </c>
      <c r="BC8">
        <v>3528.3536995679224</v>
      </c>
      <c r="BD8">
        <v>2.4152304296644425</v>
      </c>
      <c r="BE8">
        <v>747.75534102411132</v>
      </c>
      <c r="BF8">
        <v>17.605134303999215</v>
      </c>
      <c r="BG8">
        <v>5450.5495805181563</v>
      </c>
      <c r="BH8">
        <v>0</v>
      </c>
      <c r="BI8">
        <v>0</v>
      </c>
      <c r="BJ8">
        <v>3.1333835828575256</v>
      </c>
      <c r="BK8">
        <v>970.09555725268979</v>
      </c>
      <c r="BL8">
        <v>0.28161278120233535</v>
      </c>
      <c r="BM8">
        <v>87.187317060243018</v>
      </c>
      <c r="BN8">
        <v>1.4809363145252834</v>
      </c>
      <c r="BO8">
        <v>458.4978829770277</v>
      </c>
      <c r="BP8">
        <v>3.1756639897981169</v>
      </c>
      <c r="BQ8">
        <v>983.18557124149686</v>
      </c>
      <c r="BR8">
        <v>3.341487249438075</v>
      </c>
      <c r="BS8">
        <v>1034.5244524260279</v>
      </c>
      <c r="BT8">
        <v>0.84607496276886529</v>
      </c>
      <c r="BU8">
        <v>261.94480847324064</v>
      </c>
      <c r="BV8">
        <v>4.852476612980789</v>
      </c>
      <c r="BW8">
        <v>1502.3267593788521</v>
      </c>
      <c r="BX8">
        <v>1.6146917220239057</v>
      </c>
      <c r="BY8">
        <v>499.90855713860111</v>
      </c>
      <c r="BZ8">
        <v>5.964898214391031</v>
      </c>
      <c r="CA8">
        <v>1846.7324871754629</v>
      </c>
      <c r="CB8">
        <v>6.1780915317271905</v>
      </c>
      <c r="CC8">
        <v>1912.7371382227379</v>
      </c>
      <c r="CD8">
        <v>7</v>
      </c>
      <c r="CE8">
        <v>2167.1999999999998</v>
      </c>
      <c r="CF8">
        <v>1.4058834558177253</v>
      </c>
      <c r="CG8">
        <v>435.26151792116769</v>
      </c>
      <c r="CH8">
        <v>2.7455754933750285</v>
      </c>
      <c r="CI8">
        <v>850.03017274890874</v>
      </c>
      <c r="CJ8">
        <v>0.73256172487929816</v>
      </c>
      <c r="CK8">
        <v>226.8011100226307</v>
      </c>
      <c r="CL8">
        <v>1.5237742744637357</v>
      </c>
      <c r="CM8">
        <v>471.76051537397251</v>
      </c>
      <c r="CN8">
        <v>13.996432745476442</v>
      </c>
      <c r="CO8">
        <v>4333.2955779995063</v>
      </c>
      <c r="CP8">
        <v>9.7294640434077504</v>
      </c>
      <c r="CQ8">
        <v>3012.242067839039</v>
      </c>
      <c r="CR8">
        <v>2.8557232103380437</v>
      </c>
      <c r="CS8">
        <v>884.13190592065826</v>
      </c>
      <c r="CT8">
        <v>29.862161698605139</v>
      </c>
      <c r="CU8">
        <v>9245.3252618881506</v>
      </c>
    </row>
    <row r="9" spans="1:99" x14ac:dyDescent="0.2">
      <c r="C9" s="105" t="s">
        <v>175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0.14814930346964927</v>
      </c>
      <c r="O9">
        <v>104.00081103569379</v>
      </c>
      <c r="P9">
        <v>1.288219763161311</v>
      </c>
      <c r="Q9">
        <v>904.3302737392404</v>
      </c>
      <c r="R9">
        <v>0.37829179431319032</v>
      </c>
      <c r="S9">
        <v>265.56083960785958</v>
      </c>
      <c r="T9">
        <v>6.0657278365165572</v>
      </c>
      <c r="U9">
        <v>4258.1409412346229</v>
      </c>
      <c r="V9">
        <v>1.309916735407382</v>
      </c>
      <c r="W9">
        <v>919.56154825598219</v>
      </c>
      <c r="X9">
        <v>8.7417834201979865</v>
      </c>
      <c r="Y9">
        <v>6136.7319609789865</v>
      </c>
      <c r="Z9">
        <v>1.0466363175796201</v>
      </c>
      <c r="AA9">
        <v>734.73869494089331</v>
      </c>
      <c r="AB9">
        <v>7.6173413331679098</v>
      </c>
      <c r="AC9">
        <v>5347.3736158838728</v>
      </c>
      <c r="AD9">
        <v>0.8315102416213036</v>
      </c>
      <c r="AE9">
        <v>583.72018961815513</v>
      </c>
      <c r="AF9">
        <v>5.2194874112500722</v>
      </c>
      <c r="AG9">
        <v>3664.0801626975508</v>
      </c>
      <c r="AH9">
        <v>0.69553346655261883</v>
      </c>
      <c r="AI9">
        <v>488.26449351993841</v>
      </c>
      <c r="AJ9">
        <v>6</v>
      </c>
      <c r="AK9">
        <v>4212</v>
      </c>
      <c r="AL9">
        <v>3.4274483481129807</v>
      </c>
      <c r="AM9">
        <v>2406.0687403753122</v>
      </c>
      <c r="AN9">
        <v>3.6474698831763743</v>
      </c>
      <c r="AO9">
        <v>2560.5238579898146</v>
      </c>
      <c r="AP9">
        <v>0.8361340242438503</v>
      </c>
      <c r="AQ9">
        <v>586.96608501918297</v>
      </c>
      <c r="AR9">
        <v>22.223170123747632</v>
      </c>
      <c r="AS9">
        <v>15600.665426870837</v>
      </c>
      <c r="AT9">
        <v>14.891627542149216</v>
      </c>
      <c r="AU9">
        <v>10453.92253458875</v>
      </c>
      <c r="AV9">
        <v>16.712542372881355</v>
      </c>
      <c r="AW9">
        <v>11732.20474576271</v>
      </c>
      <c r="AX9">
        <v>23.664101205728574</v>
      </c>
      <c r="AY9">
        <v>16612.199046421458</v>
      </c>
      <c r="AZ9">
        <v>6.9707720465563829</v>
      </c>
      <c r="BA9">
        <v>4893.4819766825813</v>
      </c>
      <c r="BB9">
        <v>11.574561453887828</v>
      </c>
      <c r="BC9">
        <v>8125.3421406292555</v>
      </c>
      <c r="BD9">
        <v>2.0584350252821948</v>
      </c>
      <c r="BE9">
        <v>1445.0213877481008</v>
      </c>
      <c r="BF9">
        <v>17.102130466742093</v>
      </c>
      <c r="BG9">
        <v>12005.69558765295</v>
      </c>
      <c r="BH9">
        <v>0</v>
      </c>
      <c r="BI9">
        <v>0</v>
      </c>
      <c r="BJ9">
        <v>2.7155991051431889</v>
      </c>
      <c r="BK9">
        <v>1906.3505718105187</v>
      </c>
      <c r="BL9">
        <v>0.23041045734736529</v>
      </c>
      <c r="BM9">
        <v>161.74814105785043</v>
      </c>
      <c r="BN9">
        <v>1.4809363145252834</v>
      </c>
      <c r="BO9">
        <v>1039.6172927967489</v>
      </c>
      <c r="BP9">
        <v>3.1756639897981169</v>
      </c>
      <c r="BQ9">
        <v>2229.316120838278</v>
      </c>
      <c r="BR9">
        <v>3.341487249438075</v>
      </c>
      <c r="BS9">
        <v>2345.7240491055286</v>
      </c>
      <c r="BT9">
        <v>0.84607496276886529</v>
      </c>
      <c r="BU9">
        <v>593.94462386374346</v>
      </c>
      <c r="BV9">
        <v>5.5456875576923306</v>
      </c>
      <c r="BW9">
        <v>3893.0726655000162</v>
      </c>
      <c r="BX9">
        <v>1.4352815306879159</v>
      </c>
      <c r="BY9">
        <v>1007.5676345429169</v>
      </c>
      <c r="BZ9">
        <v>6.6276646826567003</v>
      </c>
      <c r="CA9">
        <v>4652.6206072250034</v>
      </c>
      <c r="CB9">
        <v>6.864546146363546</v>
      </c>
      <c r="CC9">
        <v>4818.9113947472097</v>
      </c>
      <c r="CD9">
        <v>6</v>
      </c>
      <c r="CE9">
        <v>4212</v>
      </c>
      <c r="CF9">
        <v>1.4058834558177253</v>
      </c>
      <c r="CG9">
        <v>986.93018598404319</v>
      </c>
      <c r="CH9">
        <v>2.7455754933750285</v>
      </c>
      <c r="CI9">
        <v>1927.3939963492701</v>
      </c>
      <c r="CJ9">
        <v>0.73256172487929816</v>
      </c>
      <c r="CK9">
        <v>514.25833086526734</v>
      </c>
      <c r="CL9">
        <v>1.5237742744637357</v>
      </c>
      <c r="CM9">
        <v>1069.6895406735425</v>
      </c>
      <c r="CN9">
        <v>12.663439150669161</v>
      </c>
      <c r="CO9">
        <v>8889.7342837697506</v>
      </c>
      <c r="CP9">
        <v>9.0949337797072438</v>
      </c>
      <c r="CQ9">
        <v>6384.6435133544855</v>
      </c>
      <c r="CR9">
        <v>2.4930916915649588</v>
      </c>
      <c r="CS9">
        <v>1750.1503674786011</v>
      </c>
      <c r="CT9">
        <v>27.729150148704772</v>
      </c>
      <c r="CU9">
        <v>19465.863404390751</v>
      </c>
    </row>
    <row r="10" spans="1:99" x14ac:dyDescent="0.2">
      <c r="C10" s="105" t="s">
        <v>176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0.14814930346964927</v>
      </c>
      <c r="O10">
        <v>80.711740530264919</v>
      </c>
      <c r="P10">
        <v>1.288219763161311</v>
      </c>
      <c r="Q10">
        <v>701.82212697028217</v>
      </c>
      <c r="R10">
        <v>0.43233347921507465</v>
      </c>
      <c r="S10">
        <v>235.53527947637264</v>
      </c>
      <c r="T10">
        <v>6.0657278365165572</v>
      </c>
      <c r="U10">
        <v>3304.6085253342203</v>
      </c>
      <c r="V10">
        <v>1.1643704314732284</v>
      </c>
      <c r="W10">
        <v>634.34901106661482</v>
      </c>
      <c r="X10">
        <v>7.7704741512871003</v>
      </c>
      <c r="Y10">
        <v>4233.3543176212115</v>
      </c>
      <c r="Z10">
        <v>1.1774658572770724</v>
      </c>
      <c r="AA10">
        <v>641.48339904454906</v>
      </c>
      <c r="AB10">
        <v>7.6173413331679098</v>
      </c>
      <c r="AC10">
        <v>4149.927558309877</v>
      </c>
      <c r="AD10">
        <v>0.79952907848202281</v>
      </c>
      <c r="AE10">
        <v>435.58344195700602</v>
      </c>
      <c r="AF10">
        <v>5.2194874112500722</v>
      </c>
      <c r="AG10">
        <v>2843.5767416490389</v>
      </c>
      <c r="AH10">
        <v>0.74350129183210967</v>
      </c>
      <c r="AI10">
        <v>405.05950379013331</v>
      </c>
      <c r="AJ10">
        <v>6</v>
      </c>
      <c r="AK10">
        <v>3268.7999999999997</v>
      </c>
      <c r="AL10">
        <v>3.0466207538782051</v>
      </c>
      <c r="AM10">
        <v>1659.798986712846</v>
      </c>
      <c r="AN10">
        <v>3.6474698831763743</v>
      </c>
      <c r="AO10">
        <v>1987.1415923544885</v>
      </c>
      <c r="AP10">
        <v>0.8361340242438503</v>
      </c>
      <c r="AQ10">
        <v>455.52581640804959</v>
      </c>
      <c r="AR10">
        <v>23.634165052239549</v>
      </c>
      <c r="AS10">
        <v>12875.893120460105</v>
      </c>
      <c r="AT10">
        <v>14.528417114291917</v>
      </c>
      <c r="AU10">
        <v>7915.0816438662359</v>
      </c>
      <c r="AV10">
        <v>16.093559322033897</v>
      </c>
      <c r="AW10">
        <v>8767.7711186440665</v>
      </c>
      <c r="AX10">
        <v>23.664101205728574</v>
      </c>
      <c r="AY10">
        <v>12892.202336880926</v>
      </c>
      <c r="AZ10">
        <v>6.2851223370590343</v>
      </c>
      <c r="BA10">
        <v>3424.1346492297616</v>
      </c>
      <c r="BB10">
        <v>11.396491277674169</v>
      </c>
      <c r="BC10">
        <v>6208.8084480768866</v>
      </c>
      <c r="BD10">
        <v>2.0858808256192911</v>
      </c>
      <c r="BE10">
        <v>1136.3878737973896</v>
      </c>
      <c r="BF10">
        <v>17.102130466742093</v>
      </c>
      <c r="BG10">
        <v>9317.2406782810922</v>
      </c>
      <c r="BH10">
        <v>0</v>
      </c>
      <c r="BI10">
        <v>0</v>
      </c>
      <c r="BJ10">
        <v>2.7155991051431889</v>
      </c>
      <c r="BK10">
        <v>1479.4583924820092</v>
      </c>
      <c r="BL10">
        <v>0.23041045734736529</v>
      </c>
      <c r="BM10">
        <v>125.52761716284459</v>
      </c>
      <c r="BN10">
        <v>1.3328426830727549</v>
      </c>
      <c r="BO10">
        <v>726.13269373803678</v>
      </c>
      <c r="BP10">
        <v>2.8228124353761039</v>
      </c>
      <c r="BQ10">
        <v>1537.8682147929012</v>
      </c>
      <c r="BR10">
        <v>3.341487249438075</v>
      </c>
      <c r="BS10">
        <v>1820.4422534938631</v>
      </c>
      <c r="BT10">
        <v>0.84607496276886529</v>
      </c>
      <c r="BU10">
        <v>460.94163971647777</v>
      </c>
      <c r="BV10">
        <v>4.852476612980789</v>
      </c>
      <c r="BW10">
        <v>2643.6292587519338</v>
      </c>
      <c r="BX10">
        <v>1.6146917220239057</v>
      </c>
      <c r="BY10">
        <v>879.68405015862368</v>
      </c>
      <c r="BZ10">
        <v>5.964898214391031</v>
      </c>
      <c r="CA10">
        <v>3249.6765472002335</v>
      </c>
      <c r="CB10">
        <v>6.864546146363546</v>
      </c>
      <c r="CC10">
        <v>3739.8047405388597</v>
      </c>
      <c r="CD10">
        <v>7</v>
      </c>
      <c r="CE10">
        <v>3813.5999999999995</v>
      </c>
      <c r="CF10">
        <v>1.5336910427102457</v>
      </c>
      <c r="CG10">
        <v>835.55488006854182</v>
      </c>
      <c r="CH10">
        <v>2.7455754933750285</v>
      </c>
      <c r="CI10">
        <v>1495.7895287907154</v>
      </c>
      <c r="CJ10">
        <v>0.73256172487929816</v>
      </c>
      <c r="CK10">
        <v>399.09962771424159</v>
      </c>
      <c r="CL10">
        <v>1.714246058771703</v>
      </c>
      <c r="CM10">
        <v>933.92125281882375</v>
      </c>
      <c r="CN10">
        <v>13.996432745476442</v>
      </c>
      <c r="CO10">
        <v>7625.2565597355651</v>
      </c>
      <c r="CP10">
        <v>8.8834236918070761</v>
      </c>
      <c r="CQ10">
        <v>4839.6892272964951</v>
      </c>
      <c r="CR10">
        <v>2.5837495712582297</v>
      </c>
      <c r="CS10">
        <v>1407.6267664214834</v>
      </c>
      <c r="CT10">
        <v>28.084652073688165</v>
      </c>
      <c r="CU10">
        <v>15300.518449745312</v>
      </c>
    </row>
    <row r="11" spans="1:99" x14ac:dyDescent="0.2">
      <c r="C11" s="105" t="s">
        <v>177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0.14814930346964927</v>
      </c>
      <c r="O11">
        <v>78.933948888629132</v>
      </c>
      <c r="P11">
        <v>1.288219763161311</v>
      </c>
      <c r="Q11">
        <v>686.36348981234642</v>
      </c>
      <c r="R11">
        <v>0.37829179431319032</v>
      </c>
      <c r="S11">
        <v>201.55386801006779</v>
      </c>
      <c r="T11">
        <v>5.1991952884427635</v>
      </c>
      <c r="U11">
        <v>2770.1312496823043</v>
      </c>
      <c r="V11">
        <v>1.1643704314732284</v>
      </c>
      <c r="W11">
        <v>620.37656588893606</v>
      </c>
      <c r="X11">
        <v>8.7417834201979865</v>
      </c>
      <c r="Y11">
        <v>4657.6222062814868</v>
      </c>
      <c r="Z11">
        <v>1.0466363175796201</v>
      </c>
      <c r="AA11">
        <v>557.64783000642149</v>
      </c>
      <c r="AB11">
        <v>7.6173413331679098</v>
      </c>
      <c r="AC11">
        <v>4058.5194623118618</v>
      </c>
      <c r="AD11">
        <v>0.92745373103914641</v>
      </c>
      <c r="AE11">
        <v>494.14734789765714</v>
      </c>
      <c r="AF11">
        <v>5.7689071387500794</v>
      </c>
      <c r="AG11">
        <v>3073.6737235260421</v>
      </c>
      <c r="AH11">
        <v>0.71951737919236425</v>
      </c>
      <c r="AI11">
        <v>383.35885963369162</v>
      </c>
      <c r="AJ11">
        <v>6</v>
      </c>
      <c r="AK11">
        <v>3196.7999999999997</v>
      </c>
      <c r="AL11">
        <v>3.4274483481129807</v>
      </c>
      <c r="AM11">
        <v>1826.1444798745961</v>
      </c>
      <c r="AN11">
        <v>3.6474698831763743</v>
      </c>
      <c r="AO11">
        <v>1943.371953756372</v>
      </c>
      <c r="AP11">
        <v>0.8361340242438503</v>
      </c>
      <c r="AQ11">
        <v>445.49220811712343</v>
      </c>
      <c r="AR11">
        <v>23.634165052239549</v>
      </c>
      <c r="AS11">
        <v>12592.283139833231</v>
      </c>
      <c r="AT11">
        <v>14.165206686434619</v>
      </c>
      <c r="AU11">
        <v>7547.2221225323647</v>
      </c>
      <c r="AV11">
        <v>15.474576271186441</v>
      </c>
      <c r="AW11">
        <v>8244.8542372881348</v>
      </c>
      <c r="AX11">
        <v>25.207412153928264</v>
      </c>
      <c r="AY11">
        <v>13430.509195612978</v>
      </c>
      <c r="AZ11">
        <v>6.3993972886419259</v>
      </c>
      <c r="BA11">
        <v>3409.598875388418</v>
      </c>
      <c r="BB11">
        <v>12.108771982528804</v>
      </c>
      <c r="BC11">
        <v>6451.5537122913465</v>
      </c>
      <c r="BD11">
        <v>2.3328930286531544</v>
      </c>
      <c r="BE11">
        <v>1242.9654056664006</v>
      </c>
      <c r="BF11">
        <v>19.365647734399133</v>
      </c>
      <c r="BG11">
        <v>10318.017112887857</v>
      </c>
      <c r="BH11">
        <v>0</v>
      </c>
      <c r="BI11">
        <v>0</v>
      </c>
      <c r="BJ11">
        <v>2.9244913440003573</v>
      </c>
      <c r="BK11">
        <v>1558.1689880833901</v>
      </c>
      <c r="BL11">
        <v>0.25601161927485033</v>
      </c>
      <c r="BM11">
        <v>136.40299074964025</v>
      </c>
      <c r="BN11">
        <v>1.4809363145252834</v>
      </c>
      <c r="BO11">
        <v>789.04286837907091</v>
      </c>
      <c r="BP11">
        <v>2.8228124353761039</v>
      </c>
      <c r="BQ11">
        <v>1503.994465568388</v>
      </c>
      <c r="BR11">
        <v>3.341487249438075</v>
      </c>
      <c r="BS11">
        <v>1780.3444065006063</v>
      </c>
      <c r="BT11">
        <v>0.84607496276886529</v>
      </c>
      <c r="BU11">
        <v>450.78874016325136</v>
      </c>
      <c r="BV11">
        <v>4.852476612980789</v>
      </c>
      <c r="BW11">
        <v>2585.3995393961641</v>
      </c>
      <c r="BX11">
        <v>1.6146917220239057</v>
      </c>
      <c r="BY11">
        <v>860.3077494943368</v>
      </c>
      <c r="BZ11">
        <v>7.2904311509223705</v>
      </c>
      <c r="CA11">
        <v>3884.3417172114387</v>
      </c>
      <c r="CB11">
        <v>6.864546146363546</v>
      </c>
      <c r="CC11">
        <v>3657.430186782497</v>
      </c>
      <c r="CD11">
        <v>7</v>
      </c>
      <c r="CE11">
        <v>3729.5999999999995</v>
      </c>
      <c r="CF11">
        <v>1.2780758689252047</v>
      </c>
      <c r="CG11">
        <v>680.95882296334901</v>
      </c>
      <c r="CH11">
        <v>2.7455754933750285</v>
      </c>
      <c r="CI11">
        <v>1462.8426228702151</v>
      </c>
      <c r="CJ11">
        <v>0.73256172487929816</v>
      </c>
      <c r="CK11">
        <v>390.30888701569</v>
      </c>
      <c r="CL11">
        <v>1.5237742744637357</v>
      </c>
      <c r="CM11">
        <v>811.86693343427828</v>
      </c>
      <c r="CN11">
        <v>14.885095142014629</v>
      </c>
      <c r="CO11">
        <v>7930.778691665394</v>
      </c>
      <c r="CP11">
        <v>9.7294640434077504</v>
      </c>
      <c r="CQ11">
        <v>5183.8584423276488</v>
      </c>
      <c r="CR11">
        <v>2.3571048720250518</v>
      </c>
      <c r="CS11">
        <v>1255.8654758149476</v>
      </c>
      <c r="CT11">
        <v>25.596138598804401</v>
      </c>
      <c r="CU11">
        <v>13637.622645442983</v>
      </c>
    </row>
    <row r="12" spans="1:99" x14ac:dyDescent="0.2">
      <c r="C12" s="105" t="s">
        <v>178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0.14814930346964927</v>
      </c>
      <c r="O12">
        <v>83.378427992718599</v>
      </c>
      <c r="P12">
        <v>1.288219763161311</v>
      </c>
      <c r="Q12">
        <v>725.0100827071858</v>
      </c>
      <c r="R12">
        <v>0.43233347921507465</v>
      </c>
      <c r="S12">
        <v>243.31728210224398</v>
      </c>
      <c r="T12">
        <v>5.1991952884427635</v>
      </c>
      <c r="U12">
        <v>2926.1071083355869</v>
      </c>
      <c r="V12">
        <v>1.1643704314732284</v>
      </c>
      <c r="W12">
        <v>655.30767883313285</v>
      </c>
      <c r="X12">
        <v>8.7417834201979865</v>
      </c>
      <c r="Y12">
        <v>4919.8757088874263</v>
      </c>
      <c r="Z12">
        <v>1.0466363175796201</v>
      </c>
      <c r="AA12">
        <v>589.04691953381007</v>
      </c>
      <c r="AB12">
        <v>7.2710985452966401</v>
      </c>
      <c r="AC12">
        <v>4092.1742612929488</v>
      </c>
      <c r="AD12">
        <v>0.89547256789986551</v>
      </c>
      <c r="AE12">
        <v>503.97196121404426</v>
      </c>
      <c r="AF12">
        <v>6.043617002500083</v>
      </c>
      <c r="AG12">
        <v>3401.3476490070466</v>
      </c>
      <c r="AH12">
        <v>0.6715495539128733</v>
      </c>
      <c r="AI12">
        <v>377.94808894216504</v>
      </c>
      <c r="AJ12">
        <v>6</v>
      </c>
      <c r="AK12">
        <v>3376.7999999999997</v>
      </c>
      <c r="AL12">
        <v>3.4274483481129807</v>
      </c>
      <c r="AM12">
        <v>1928.9679303179853</v>
      </c>
      <c r="AN12">
        <v>4.2553815303724365</v>
      </c>
      <c r="AO12">
        <v>2394.9287252936069</v>
      </c>
      <c r="AP12">
        <v>0.8361340242438503</v>
      </c>
      <c r="AQ12">
        <v>470.5762288444389</v>
      </c>
      <c r="AR12">
        <v>21.517672659501677</v>
      </c>
      <c r="AS12">
        <v>12110.146172767543</v>
      </c>
      <c r="AT12">
        <v>15.98125882572111</v>
      </c>
      <c r="AU12">
        <v>8994.252467115839</v>
      </c>
      <c r="AV12">
        <v>17.331525423728813</v>
      </c>
      <c r="AW12">
        <v>9754.182508474576</v>
      </c>
      <c r="AX12">
        <v>23.664101205728574</v>
      </c>
      <c r="AY12">
        <v>13318.156158584041</v>
      </c>
      <c r="AZ12">
        <v>7.199321949722167</v>
      </c>
      <c r="BA12">
        <v>4051.7783933036353</v>
      </c>
      <c r="BB12">
        <v>11.21842110146051</v>
      </c>
      <c r="BC12">
        <v>6313.7273959019749</v>
      </c>
      <c r="BD12">
        <v>2.3603388289902503</v>
      </c>
      <c r="BE12">
        <v>1328.3986929557127</v>
      </c>
      <c r="BF12">
        <v>18.862643897142014</v>
      </c>
      <c r="BG12">
        <v>10615.895985311525</v>
      </c>
      <c r="BH12">
        <v>0</v>
      </c>
      <c r="BI12">
        <v>0</v>
      </c>
      <c r="BJ12">
        <v>2.9244913440003573</v>
      </c>
      <c r="BK12">
        <v>1645.9037284034009</v>
      </c>
      <c r="BL12">
        <v>0.25601161927485033</v>
      </c>
      <c r="BM12">
        <v>144.08333932788577</v>
      </c>
      <c r="BN12">
        <v>1.4809363145252834</v>
      </c>
      <c r="BO12">
        <v>833.47095781482938</v>
      </c>
      <c r="BP12">
        <v>2.8228124353761039</v>
      </c>
      <c r="BQ12">
        <v>1588.6788386296712</v>
      </c>
      <c r="BR12">
        <v>3.8984017910110875</v>
      </c>
      <c r="BS12">
        <v>2194.0205279810398</v>
      </c>
      <c r="BT12">
        <v>0.6922431513563444</v>
      </c>
      <c r="BU12">
        <v>389.59444558335059</v>
      </c>
      <c r="BV12">
        <v>5.5456875576923306</v>
      </c>
      <c r="BW12">
        <v>3121.1129574692436</v>
      </c>
      <c r="BX12">
        <v>1.4352815306879159</v>
      </c>
      <c r="BY12">
        <v>807.77644547115904</v>
      </c>
      <c r="BZ12">
        <v>6.6276646826567003</v>
      </c>
      <c r="CA12">
        <v>3730.0496833991906</v>
      </c>
      <c r="CB12">
        <v>6.1780915317271905</v>
      </c>
      <c r="CC12">
        <v>3477.0299140560624</v>
      </c>
      <c r="CD12">
        <v>7</v>
      </c>
      <c r="CE12">
        <v>3939.5999999999995</v>
      </c>
      <c r="CF12">
        <v>1.4058834558177253</v>
      </c>
      <c r="CG12">
        <v>791.23120893421572</v>
      </c>
      <c r="CH12">
        <v>2.7455754933750285</v>
      </c>
      <c r="CI12">
        <v>1545.2098876714658</v>
      </c>
      <c r="CJ12">
        <v>0.79360853528590636</v>
      </c>
      <c r="CK12">
        <v>446.64288365890809</v>
      </c>
      <c r="CL12">
        <v>1.714246058771703</v>
      </c>
      <c r="CM12">
        <v>964.77768187671438</v>
      </c>
      <c r="CN12">
        <v>13.552101547207348</v>
      </c>
      <c r="CO12">
        <v>7627.1227507682952</v>
      </c>
      <c r="CP12">
        <v>10.152484219208086</v>
      </c>
      <c r="CQ12">
        <v>5713.8181185703106</v>
      </c>
      <c r="CR12">
        <v>2.4930916915649588</v>
      </c>
      <c r="CS12">
        <v>1403.1120040127587</v>
      </c>
      <c r="CT12">
        <v>26.307142448771192</v>
      </c>
      <c r="CU12">
        <v>14805.659770168426</v>
      </c>
    </row>
    <row r="13" spans="1:99" x14ac:dyDescent="0.2">
      <c r="C13" s="105" t="s">
        <v>179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0.14814930346964927</v>
      </c>
      <c r="O13">
        <v>12.622320655614118</v>
      </c>
      <c r="P13">
        <v>1.288219763161311</v>
      </c>
      <c r="Q13">
        <v>109.7563238213437</v>
      </c>
      <c r="R13">
        <v>0.37829179431319032</v>
      </c>
      <c r="S13">
        <v>32.230460875483814</v>
      </c>
      <c r="T13">
        <v>6.0657278365165572</v>
      </c>
      <c r="U13">
        <v>516.80001167121065</v>
      </c>
      <c r="V13">
        <v>1.309916735407382</v>
      </c>
      <c r="W13">
        <v>111.60490585670895</v>
      </c>
      <c r="X13">
        <v>8.7417834201979865</v>
      </c>
      <c r="Y13">
        <v>744.79994740086852</v>
      </c>
      <c r="Z13">
        <v>1.0466363175796201</v>
      </c>
      <c r="AA13">
        <v>89.173414257783634</v>
      </c>
      <c r="AB13">
        <v>7.2710985452966401</v>
      </c>
      <c r="AC13">
        <v>619.49759605927375</v>
      </c>
      <c r="AD13">
        <v>0.89547256789986551</v>
      </c>
      <c r="AE13">
        <v>76.29426278506854</v>
      </c>
      <c r="AF13">
        <v>5.7689071387500794</v>
      </c>
      <c r="AG13">
        <v>491.51088822150678</v>
      </c>
      <c r="AH13">
        <v>0.71951737919236425</v>
      </c>
      <c r="AI13">
        <v>61.302880707189438</v>
      </c>
      <c r="AJ13">
        <v>7</v>
      </c>
      <c r="AK13">
        <v>596.4</v>
      </c>
      <c r="AL13">
        <v>3.8082759423477563</v>
      </c>
      <c r="AM13">
        <v>324.46511028802882</v>
      </c>
      <c r="AN13">
        <v>4.2553815303724365</v>
      </c>
      <c r="AO13">
        <v>362.5585063877316</v>
      </c>
      <c r="AP13">
        <v>0.8361340242438503</v>
      </c>
      <c r="AQ13">
        <v>71.238618865576044</v>
      </c>
      <c r="AR13">
        <v>25.045159980731462</v>
      </c>
      <c r="AS13">
        <v>2133.8476303583207</v>
      </c>
      <c r="AT13">
        <v>17.070890109293003</v>
      </c>
      <c r="AU13">
        <v>1454.439837311764</v>
      </c>
      <c r="AV13">
        <v>19.497966101694914</v>
      </c>
      <c r="AW13">
        <v>1661.2267118644068</v>
      </c>
      <c r="AX13">
        <v>30.351781981260562</v>
      </c>
      <c r="AY13">
        <v>2585.9718248034001</v>
      </c>
      <c r="AZ13">
        <v>7.770696707636624</v>
      </c>
      <c r="BA13">
        <v>662.06335949064044</v>
      </c>
      <c r="BB13">
        <v>12.821052687383441</v>
      </c>
      <c r="BC13">
        <v>1092.3536889650693</v>
      </c>
      <c r="BD13">
        <v>2.4975678306757301</v>
      </c>
      <c r="BE13">
        <v>212.7927791735722</v>
      </c>
      <c r="BF13">
        <v>17.353632385370656</v>
      </c>
      <c r="BG13">
        <v>1478.5294792335799</v>
      </c>
      <c r="BH13">
        <v>0</v>
      </c>
      <c r="BI13">
        <v>0</v>
      </c>
      <c r="BJ13">
        <v>2.7155991051431889</v>
      </c>
      <c r="BK13">
        <v>231.36904375819969</v>
      </c>
      <c r="BL13">
        <v>0.25601161927485033</v>
      </c>
      <c r="BM13">
        <v>21.81218996221725</v>
      </c>
      <c r="BN13">
        <v>1.6290299459778117</v>
      </c>
      <c r="BO13">
        <v>138.79335139730955</v>
      </c>
      <c r="BP13">
        <v>2.8228124353761039</v>
      </c>
      <c r="BQ13">
        <v>240.50361949404407</v>
      </c>
      <c r="BR13">
        <v>3.341487249438075</v>
      </c>
      <c r="BS13">
        <v>284.69471365212399</v>
      </c>
      <c r="BT13">
        <v>0.84607496276886529</v>
      </c>
      <c r="BU13">
        <v>72.085586827907321</v>
      </c>
      <c r="BV13">
        <v>5.5456875576923306</v>
      </c>
      <c r="BW13">
        <v>472.49257991538656</v>
      </c>
      <c r="BX13">
        <v>1.6146917220239057</v>
      </c>
      <c r="BY13">
        <v>137.57173471643677</v>
      </c>
      <c r="BZ13">
        <v>7.2904311509223705</v>
      </c>
      <c r="CA13">
        <v>621.14473405858598</v>
      </c>
      <c r="CB13">
        <v>7.5510007609998997</v>
      </c>
      <c r="CC13">
        <v>643.34526483719151</v>
      </c>
      <c r="CD13">
        <v>8</v>
      </c>
      <c r="CE13">
        <v>681.6</v>
      </c>
      <c r="CF13">
        <v>1.4058834558177253</v>
      </c>
      <c r="CG13">
        <v>119.78127043567021</v>
      </c>
      <c r="CH13">
        <v>2.7455754933750285</v>
      </c>
      <c r="CI13">
        <v>233.92303203555244</v>
      </c>
      <c r="CJ13">
        <v>0.79360853528590636</v>
      </c>
      <c r="CK13">
        <v>67.615447206359221</v>
      </c>
      <c r="CL13">
        <v>1.714246058771703</v>
      </c>
      <c r="CM13">
        <v>146.0537642073491</v>
      </c>
      <c r="CN13">
        <v>14.440763943745536</v>
      </c>
      <c r="CO13">
        <v>1230.3530880071196</v>
      </c>
      <c r="CP13">
        <v>10.363994307108255</v>
      </c>
      <c r="CQ13">
        <v>883.01231496562332</v>
      </c>
      <c r="CR13">
        <v>2.810394270491408</v>
      </c>
      <c r="CS13">
        <v>239.44559184586797</v>
      </c>
      <c r="CT13">
        <v>28.084652073688165</v>
      </c>
      <c r="CU13">
        <v>2392.8123566782319</v>
      </c>
    </row>
    <row r="14" spans="1:99" x14ac:dyDescent="0.2">
      <c r="C14" s="105" t="s">
        <v>180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0.14814930346964927</v>
      </c>
      <c r="O14">
        <v>72.356119814576701</v>
      </c>
      <c r="P14">
        <v>1.1041883684239806</v>
      </c>
      <c r="Q14">
        <v>539.28559913827212</v>
      </c>
      <c r="R14">
        <v>0.37829179431319032</v>
      </c>
      <c r="S14">
        <v>184.75771234256214</v>
      </c>
      <c r="T14">
        <v>6.0657278365165572</v>
      </c>
      <c r="U14">
        <v>2962.5014753546866</v>
      </c>
      <c r="V14">
        <v>1.1643704314732284</v>
      </c>
      <c r="W14">
        <v>568.67851873152472</v>
      </c>
      <c r="X14">
        <v>7.7704741512871003</v>
      </c>
      <c r="Y14">
        <v>3795.0995754886194</v>
      </c>
      <c r="Z14">
        <v>1.1774658572770724</v>
      </c>
      <c r="AA14">
        <v>575.0743246941222</v>
      </c>
      <c r="AB14">
        <v>8.3098269089104466</v>
      </c>
      <c r="AC14">
        <v>4058.5194623118618</v>
      </c>
      <c r="AD14">
        <v>0.92745373103914641</v>
      </c>
      <c r="AE14">
        <v>452.96840223951909</v>
      </c>
      <c r="AF14">
        <v>6.043617002500083</v>
      </c>
      <c r="AG14">
        <v>2951.7025440210405</v>
      </c>
      <c r="AH14">
        <v>0.64756564127312777</v>
      </c>
      <c r="AI14">
        <v>316.27105919779558</v>
      </c>
      <c r="AJ14">
        <v>6</v>
      </c>
      <c r="AK14">
        <v>2930.3999999999996</v>
      </c>
      <c r="AL14">
        <v>3.4274483481129807</v>
      </c>
      <c r="AM14">
        <v>1673.9657732183798</v>
      </c>
      <c r="AN14">
        <v>3.6474698831763743</v>
      </c>
      <c r="AO14">
        <v>1781.4242909433412</v>
      </c>
      <c r="AP14">
        <v>0.8361340242438503</v>
      </c>
      <c r="AQ14">
        <v>408.36785744069647</v>
      </c>
      <c r="AR14">
        <v>22.928667587993591</v>
      </c>
      <c r="AS14">
        <v>11198.361249976069</v>
      </c>
      <c r="AT14">
        <v>15.98125882572111</v>
      </c>
      <c r="AU14">
        <v>7805.2468104821892</v>
      </c>
      <c r="AV14">
        <v>17.022033898305086</v>
      </c>
      <c r="AW14">
        <v>8313.5613559322028</v>
      </c>
      <c r="AX14">
        <v>28.294034050327642</v>
      </c>
      <c r="AY14">
        <v>13818.80623018002</v>
      </c>
      <c r="AZ14">
        <v>6.8564970949734914</v>
      </c>
      <c r="BA14">
        <v>3348.7131811850531</v>
      </c>
      <c r="BB14">
        <v>12.464912334956121</v>
      </c>
      <c r="BC14">
        <v>6087.8631843925696</v>
      </c>
      <c r="BD14">
        <v>2.0584350252821948</v>
      </c>
      <c r="BE14">
        <v>1005.3396663478239</v>
      </c>
      <c r="BF14">
        <v>17.102130466742093</v>
      </c>
      <c r="BG14">
        <v>8352.6805199568371</v>
      </c>
      <c r="BH14">
        <v>0</v>
      </c>
      <c r="BI14">
        <v>0</v>
      </c>
      <c r="BJ14">
        <v>2.7155991051431889</v>
      </c>
      <c r="BK14">
        <v>1326.2986029519334</v>
      </c>
      <c r="BL14">
        <v>0.25601161927485033</v>
      </c>
      <c r="BM14">
        <v>125.03607485383689</v>
      </c>
      <c r="BN14">
        <v>1.6290299459778117</v>
      </c>
      <c r="BO14">
        <v>795.61822561556323</v>
      </c>
      <c r="BP14">
        <v>2.8228124353761039</v>
      </c>
      <c r="BQ14">
        <v>1378.6615934376891</v>
      </c>
      <c r="BR14">
        <v>3.341487249438075</v>
      </c>
      <c r="BS14">
        <v>1631.9823726255556</v>
      </c>
      <c r="BT14">
        <v>0.84607496276886529</v>
      </c>
      <c r="BU14">
        <v>413.22301181631377</v>
      </c>
      <c r="BV14">
        <v>5.5456875576923306</v>
      </c>
      <c r="BW14">
        <v>2708.5138031769343</v>
      </c>
      <c r="BX14">
        <v>1.4352815306879159</v>
      </c>
      <c r="BY14">
        <v>700.99149958797807</v>
      </c>
      <c r="BZ14">
        <v>7.2904311509223705</v>
      </c>
      <c r="CA14">
        <v>3560.6465741104857</v>
      </c>
      <c r="CB14">
        <v>7.5510007609998997</v>
      </c>
      <c r="CC14">
        <v>3687.9087716723507</v>
      </c>
      <c r="CD14">
        <v>7</v>
      </c>
      <c r="CE14">
        <v>3418.7999999999997</v>
      </c>
      <c r="CF14">
        <v>1.5336910427102457</v>
      </c>
      <c r="CG14">
        <v>749.05470525968394</v>
      </c>
      <c r="CH14">
        <v>2.7455754933750285</v>
      </c>
      <c r="CI14">
        <v>1340.939070964364</v>
      </c>
      <c r="CJ14">
        <v>0.73256172487929816</v>
      </c>
      <c r="CK14">
        <v>357.7831464310492</v>
      </c>
      <c r="CL14">
        <v>1.714246058771703</v>
      </c>
      <c r="CM14">
        <v>837.23777510409968</v>
      </c>
      <c r="CN14">
        <v>14.218598344610989</v>
      </c>
      <c r="CO14">
        <v>6944.3634315080062</v>
      </c>
      <c r="CP14">
        <v>9.5179539555075809</v>
      </c>
      <c r="CQ14">
        <v>4648.5687118699025</v>
      </c>
      <c r="CR14">
        <v>2.3571048720250518</v>
      </c>
      <c r="CS14">
        <v>1151.2100194970353</v>
      </c>
      <c r="CT14">
        <v>28.084652073688165</v>
      </c>
      <c r="CU14">
        <v>13716.544072789298</v>
      </c>
    </row>
    <row r="15" spans="1:99" x14ac:dyDescent="0.2">
      <c r="C15" s="105" t="s">
        <v>181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0.14814930346964927</v>
      </c>
      <c r="O15">
        <v>113.06754840803632</v>
      </c>
      <c r="P15">
        <v>1.288219763161311</v>
      </c>
      <c r="Q15">
        <v>983.16932324471247</v>
      </c>
      <c r="R15">
        <v>0.37829179431319032</v>
      </c>
      <c r="S15">
        <v>288.71229741982683</v>
      </c>
      <c r="T15">
        <v>5.1991952884427635</v>
      </c>
      <c r="U15">
        <v>3968.0258441395167</v>
      </c>
      <c r="V15">
        <v>1.1643704314732284</v>
      </c>
      <c r="W15">
        <v>888.64751330036779</v>
      </c>
      <c r="X15">
        <v>8.7417834201979865</v>
      </c>
      <c r="Y15">
        <v>6671.7291062951026</v>
      </c>
      <c r="Z15">
        <v>1.1774658572770724</v>
      </c>
      <c r="AA15">
        <v>898.64194227386156</v>
      </c>
      <c r="AB15">
        <v>7.9635841210391769</v>
      </c>
      <c r="AC15">
        <v>6077.8074011770996</v>
      </c>
      <c r="AD15">
        <v>0.89547256789986551</v>
      </c>
      <c r="AE15">
        <v>683.42466382117732</v>
      </c>
      <c r="AF15">
        <v>5.2194874112500722</v>
      </c>
      <c r="AG15">
        <v>3983.5127922660549</v>
      </c>
      <c r="AH15">
        <v>0.71951737919236425</v>
      </c>
      <c r="AI15">
        <v>549.1356637996123</v>
      </c>
      <c r="AJ15">
        <v>6</v>
      </c>
      <c r="AK15">
        <v>4579.2</v>
      </c>
      <c r="AL15">
        <v>3.4274483481129807</v>
      </c>
      <c r="AM15">
        <v>2615.8285792798265</v>
      </c>
      <c r="AN15">
        <v>3.6474698831763743</v>
      </c>
      <c r="AO15">
        <v>2783.7490148402085</v>
      </c>
      <c r="AP15">
        <v>0.8361340242438503</v>
      </c>
      <c r="AQ15">
        <v>638.13748730290649</v>
      </c>
      <c r="AR15">
        <v>22.928667587993591</v>
      </c>
      <c r="AS15">
        <v>17499.159103156708</v>
      </c>
      <c r="AT15">
        <v>14.528417114291917</v>
      </c>
      <c r="AU15">
        <v>11088.087941627591</v>
      </c>
      <c r="AV15">
        <v>16.403050847457628</v>
      </c>
      <c r="AW15">
        <v>12518.808406779661</v>
      </c>
      <c r="AX15">
        <v>26.750723102127953</v>
      </c>
      <c r="AY15">
        <v>20416.151871544051</v>
      </c>
      <c r="AZ15">
        <v>6.0565724338932512</v>
      </c>
      <c r="BA15">
        <v>4622.3760815473288</v>
      </c>
      <c r="BB15">
        <v>10.328070220392215</v>
      </c>
      <c r="BC15">
        <v>7882.3831922033378</v>
      </c>
      <c r="BD15">
        <v>2.2231098273047705</v>
      </c>
      <c r="BE15">
        <v>1696.6774201990006</v>
      </c>
      <c r="BF15">
        <v>17.353632385370656</v>
      </c>
      <c r="BG15">
        <v>13244.292236514882</v>
      </c>
      <c r="BH15">
        <v>0</v>
      </c>
      <c r="BI15">
        <v>0</v>
      </c>
      <c r="BJ15">
        <v>2.9244913440003573</v>
      </c>
      <c r="BK15">
        <v>2231.9717937410724</v>
      </c>
      <c r="BL15">
        <v>0.25601161927485033</v>
      </c>
      <c r="BM15">
        <v>195.38806783056575</v>
      </c>
      <c r="BN15">
        <v>1.6290299459778117</v>
      </c>
      <c r="BO15">
        <v>1243.2756547702659</v>
      </c>
      <c r="BP15">
        <v>3.1756639897981169</v>
      </c>
      <c r="BQ15">
        <v>2423.6667570139225</v>
      </c>
      <c r="BR15">
        <v>3.341487249438075</v>
      </c>
      <c r="BS15">
        <v>2550.2230687711385</v>
      </c>
      <c r="BT15">
        <v>0.84607496276886529</v>
      </c>
      <c r="BU15">
        <v>645.72441158519791</v>
      </c>
      <c r="BV15">
        <v>4.852476612980789</v>
      </c>
      <c r="BW15">
        <v>3703.4101510269379</v>
      </c>
      <c r="BX15">
        <v>1.6146917220239057</v>
      </c>
      <c r="BY15">
        <v>1232.3327222486446</v>
      </c>
      <c r="BZ15">
        <v>5.964898214391031</v>
      </c>
      <c r="CA15">
        <v>4552.4103172232344</v>
      </c>
      <c r="CB15">
        <v>7.5510007609998997</v>
      </c>
      <c r="CC15">
        <v>5762.9237807951231</v>
      </c>
      <c r="CD15">
        <v>6</v>
      </c>
      <c r="CE15">
        <v>4579.2</v>
      </c>
      <c r="CF15">
        <v>1.5336910427102457</v>
      </c>
      <c r="CG15">
        <v>1170.5130037964593</v>
      </c>
      <c r="CH15">
        <v>3.0506394370833649</v>
      </c>
      <c r="CI15">
        <v>2328.2480183820239</v>
      </c>
      <c r="CJ15">
        <v>0.79360853528590636</v>
      </c>
      <c r="CK15">
        <v>605.68203413020365</v>
      </c>
      <c r="CL15">
        <v>1.5237742744637357</v>
      </c>
      <c r="CM15">
        <v>1162.9445262707229</v>
      </c>
      <c r="CN15">
        <v>13.774267146341895</v>
      </c>
      <c r="CO15">
        <v>10512.520686088134</v>
      </c>
      <c r="CP15">
        <v>9.3064438676074133</v>
      </c>
      <c r="CQ15">
        <v>7102.6779597579771</v>
      </c>
      <c r="CR15">
        <v>2.2211180524851448</v>
      </c>
      <c r="CS15">
        <v>1695.1572976566624</v>
      </c>
      <c r="CT15">
        <v>28.440153998671558</v>
      </c>
      <c r="CU15">
        <v>21705.52553178613</v>
      </c>
    </row>
    <row r="16" spans="1:99" x14ac:dyDescent="0.2">
      <c r="C16" s="105" t="s">
        <v>182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0.14814930346964927</v>
      </c>
      <c r="O16">
        <v>50.489282622456471</v>
      </c>
      <c r="P16">
        <v>1.288219763161311</v>
      </c>
      <c r="Q16">
        <v>439.0252952853748</v>
      </c>
      <c r="R16">
        <v>0.37829179431319032</v>
      </c>
      <c r="S16">
        <v>128.92184350193526</v>
      </c>
      <c r="T16">
        <v>6.0657278365165572</v>
      </c>
      <c r="U16">
        <v>2067.2000466848426</v>
      </c>
      <c r="V16">
        <v>1.309916735407382</v>
      </c>
      <c r="W16">
        <v>446.41962342683581</v>
      </c>
      <c r="X16">
        <v>8.7417834201979865</v>
      </c>
      <c r="Y16">
        <v>2979.1997896034741</v>
      </c>
      <c r="Z16">
        <v>1.1774658572770724</v>
      </c>
      <c r="AA16">
        <v>401.28036416002629</v>
      </c>
      <c r="AB16">
        <v>6.9248557574253722</v>
      </c>
      <c r="AC16">
        <v>2359.9908421305668</v>
      </c>
      <c r="AD16">
        <v>0.95943489417842731</v>
      </c>
      <c r="AE16">
        <v>326.97541193600802</v>
      </c>
      <c r="AF16">
        <v>5.2194874112500722</v>
      </c>
      <c r="AG16">
        <v>1778.8013097540247</v>
      </c>
      <c r="AH16">
        <v>0.71951737919236425</v>
      </c>
      <c r="AI16">
        <v>245.21152282875775</v>
      </c>
      <c r="AJ16">
        <v>6</v>
      </c>
      <c r="AK16">
        <v>2044.8000000000002</v>
      </c>
      <c r="AL16">
        <v>3.4274483481129807</v>
      </c>
      <c r="AM16">
        <v>1168.074397036904</v>
      </c>
      <c r="AN16">
        <v>3.6474698831763743</v>
      </c>
      <c r="AO16">
        <v>1243.0577361865085</v>
      </c>
      <c r="AP16">
        <v>0.8361340242438503</v>
      </c>
      <c r="AQ16">
        <v>284.95447546230417</v>
      </c>
      <c r="AR16">
        <v>24.339662516485507</v>
      </c>
      <c r="AS16">
        <v>8294.9569856182607</v>
      </c>
      <c r="AT16">
        <v>15.254837970006514</v>
      </c>
      <c r="AU16">
        <v>5198.8487801782203</v>
      </c>
      <c r="AV16">
        <v>19.188474576271187</v>
      </c>
      <c r="AW16">
        <v>6539.4321355932207</v>
      </c>
      <c r="AX16">
        <v>26.23628611939472</v>
      </c>
      <c r="AY16">
        <v>8941.3263094897211</v>
      </c>
      <c r="AZ16">
        <v>7.770696707636624</v>
      </c>
      <c r="BA16">
        <v>2648.2534379625617</v>
      </c>
      <c r="BB16">
        <v>11.930701806315145</v>
      </c>
      <c r="BC16">
        <v>4065.9831755922019</v>
      </c>
      <c r="BD16">
        <v>2.2505556276418668</v>
      </c>
      <c r="BE16">
        <v>766.98935790034818</v>
      </c>
      <c r="BF16">
        <v>19.365647734399133</v>
      </c>
      <c r="BG16">
        <v>6599.8127478832248</v>
      </c>
      <c r="BH16">
        <v>0</v>
      </c>
      <c r="BI16">
        <v>0</v>
      </c>
      <c r="BJ16">
        <v>2.5067068662860201</v>
      </c>
      <c r="BK16">
        <v>854.28570003027573</v>
      </c>
      <c r="BL16">
        <v>0.25601161927485033</v>
      </c>
      <c r="BM16">
        <v>87.248759848869</v>
      </c>
      <c r="BN16">
        <v>1.4809363145252834</v>
      </c>
      <c r="BO16">
        <v>504.70309599021658</v>
      </c>
      <c r="BP16">
        <v>2.8228124353761039</v>
      </c>
      <c r="BQ16">
        <v>962.01447797617629</v>
      </c>
      <c r="BR16">
        <v>3.341487249438075</v>
      </c>
      <c r="BS16">
        <v>1138.778854608496</v>
      </c>
      <c r="BT16">
        <v>0.84607496276886529</v>
      </c>
      <c r="BU16">
        <v>288.34234731162928</v>
      </c>
      <c r="BV16">
        <v>6.2388985024038712</v>
      </c>
      <c r="BW16">
        <v>2126.2166096192395</v>
      </c>
      <c r="BX16">
        <v>1.6146917220239057</v>
      </c>
      <c r="BY16">
        <v>550.28693886574706</v>
      </c>
      <c r="BZ16">
        <v>6.6276646826567003</v>
      </c>
      <c r="CA16">
        <v>2258.7081238494034</v>
      </c>
      <c r="CB16">
        <v>7.5510007609998997</v>
      </c>
      <c r="CC16">
        <v>2573.381059348766</v>
      </c>
      <c r="CD16">
        <v>6</v>
      </c>
      <c r="CE16">
        <v>2044.8000000000002</v>
      </c>
      <c r="CF16">
        <v>1.4058834558177253</v>
      </c>
      <c r="CG16">
        <v>479.12508174268083</v>
      </c>
      <c r="CH16">
        <v>3.0506394370833649</v>
      </c>
      <c r="CI16">
        <v>1039.6579201580107</v>
      </c>
      <c r="CJ16">
        <v>0.79360853528590636</v>
      </c>
      <c r="CK16">
        <v>270.46178882543688</v>
      </c>
      <c r="CL16">
        <v>1.9047178430796698</v>
      </c>
      <c r="CM16">
        <v>649.12784092155152</v>
      </c>
      <c r="CN16">
        <v>13.774267146341895</v>
      </c>
      <c r="CO16">
        <v>4694.2702434733183</v>
      </c>
      <c r="CP16">
        <v>9.3064438676074133</v>
      </c>
      <c r="CQ16">
        <v>3171.6360700806067</v>
      </c>
      <c r="CR16">
        <v>2.6290785111048653</v>
      </c>
      <c r="CS16">
        <v>895.98995658453816</v>
      </c>
      <c r="CT16">
        <v>28.084652073688165</v>
      </c>
      <c r="CU16">
        <v>9571.2494267129277</v>
      </c>
    </row>
    <row r="17" spans="2:99" x14ac:dyDescent="0.2">
      <c r="C17" s="105" t="s">
        <v>183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0.14814930346964927</v>
      </c>
      <c r="O17">
        <v>62.578265785579852</v>
      </c>
      <c r="P17">
        <v>1.288219763161311</v>
      </c>
      <c r="Q17">
        <v>544.14402795933779</v>
      </c>
      <c r="R17">
        <v>0.43233347921507465</v>
      </c>
      <c r="S17">
        <v>182.61766162044751</v>
      </c>
      <c r="T17">
        <v>6.0657278365165572</v>
      </c>
      <c r="U17">
        <v>2562.1634381445938</v>
      </c>
      <c r="V17">
        <v>1.309916735407382</v>
      </c>
      <c r="W17">
        <v>553.30882903607812</v>
      </c>
      <c r="X17">
        <v>7.7704741512871003</v>
      </c>
      <c r="Y17">
        <v>3282.248281503671</v>
      </c>
      <c r="Z17">
        <v>1.0466363175796201</v>
      </c>
      <c r="AA17">
        <v>442.0991805456315</v>
      </c>
      <c r="AB17">
        <v>7.6173413331679098</v>
      </c>
      <c r="AC17">
        <v>3217.5649791301248</v>
      </c>
      <c r="AD17">
        <v>0.79952907848202281</v>
      </c>
      <c r="AE17">
        <v>337.72108275080643</v>
      </c>
      <c r="AF17">
        <v>5.4941972750000758</v>
      </c>
      <c r="AG17">
        <v>2320.7489289600321</v>
      </c>
      <c r="AH17">
        <v>0.64756564127312777</v>
      </c>
      <c r="AI17">
        <v>273.53172687376917</v>
      </c>
      <c r="AJ17">
        <v>6</v>
      </c>
      <c r="AK17">
        <v>2534.3999999999996</v>
      </c>
      <c r="AL17">
        <v>3.8082759423477563</v>
      </c>
      <c r="AM17">
        <v>1608.6157580476922</v>
      </c>
      <c r="AN17">
        <v>3.6474698831763743</v>
      </c>
      <c r="AO17">
        <v>1540.6912786537005</v>
      </c>
      <c r="AP17">
        <v>0.8361340242438503</v>
      </c>
      <c r="AQ17">
        <v>353.18301184060238</v>
      </c>
      <c r="AR17">
        <v>23.986913784362528</v>
      </c>
      <c r="AS17">
        <v>10132.072382514731</v>
      </c>
      <c r="AT17">
        <v>16.34446925357841</v>
      </c>
      <c r="AU17">
        <v>6903.90381271152</v>
      </c>
      <c r="AV17">
        <v>17.950508474576271</v>
      </c>
      <c r="AW17">
        <v>7582.294779661016</v>
      </c>
      <c r="AX17">
        <v>27.779597067594413</v>
      </c>
      <c r="AY17">
        <v>11734.101801351879</v>
      </c>
      <c r="AZ17">
        <v>7.6564217560537333</v>
      </c>
      <c r="BA17">
        <v>3234.0725497570966</v>
      </c>
      <c r="BB17">
        <v>12.821052687383441</v>
      </c>
      <c r="BC17">
        <v>5415.612655150765</v>
      </c>
      <c r="BD17">
        <v>2.2780014279789627</v>
      </c>
      <c r="BE17">
        <v>962.22780317831382</v>
      </c>
      <c r="BF17">
        <v>18.359640059884892</v>
      </c>
      <c r="BG17">
        <v>7755.111961295378</v>
      </c>
      <c r="BH17">
        <v>0</v>
      </c>
      <c r="BI17">
        <v>0</v>
      </c>
      <c r="BJ17">
        <v>2.7155991051431889</v>
      </c>
      <c r="BK17">
        <v>1147.0690620124828</v>
      </c>
      <c r="BL17">
        <v>0.28161278120233535</v>
      </c>
      <c r="BM17">
        <v>118.95323877986644</v>
      </c>
      <c r="BN17">
        <v>1.4809363145252834</v>
      </c>
      <c r="BO17">
        <v>625.54749925547969</v>
      </c>
      <c r="BP17">
        <v>3.1756639897981169</v>
      </c>
      <c r="BQ17">
        <v>1341.4004692907245</v>
      </c>
      <c r="BR17">
        <v>3.341487249438075</v>
      </c>
      <c r="BS17">
        <v>1411.4442141626428</v>
      </c>
      <c r="BT17">
        <v>0.84607496276886529</v>
      </c>
      <c r="BU17">
        <v>357.38206427356869</v>
      </c>
      <c r="BV17">
        <v>5.5456875576923306</v>
      </c>
      <c r="BW17">
        <v>2342.4984243692402</v>
      </c>
      <c r="BX17">
        <v>1.4352815306879159</v>
      </c>
      <c r="BY17">
        <v>606.26291856257558</v>
      </c>
      <c r="BZ17">
        <v>6.6276646826567003</v>
      </c>
      <c r="CA17">
        <v>2799.5255619541899</v>
      </c>
      <c r="CB17">
        <v>6.864546146363546</v>
      </c>
      <c r="CC17">
        <v>2899.5842922239617</v>
      </c>
      <c r="CD17">
        <v>7</v>
      </c>
      <c r="CE17">
        <v>2956.7999999999997</v>
      </c>
      <c r="CF17">
        <v>1.4058834558177253</v>
      </c>
      <c r="CG17">
        <v>593.8451717374071</v>
      </c>
      <c r="CH17">
        <v>2.7455754933750285</v>
      </c>
      <c r="CI17">
        <v>1159.7310884016119</v>
      </c>
      <c r="CJ17">
        <v>0.79360853528590636</v>
      </c>
      <c r="CK17">
        <v>335.22024530476682</v>
      </c>
      <c r="CL17">
        <v>1.714246058771703</v>
      </c>
      <c r="CM17">
        <v>724.09753522516735</v>
      </c>
      <c r="CN17">
        <v>14.885095142014629</v>
      </c>
      <c r="CO17">
        <v>6287.4641879869787</v>
      </c>
      <c r="CP17">
        <v>10.152484219208086</v>
      </c>
      <c r="CQ17">
        <v>4288.4093341934949</v>
      </c>
      <c r="CR17">
        <v>2.6290785111048653</v>
      </c>
      <c r="CS17">
        <v>1110.522763090695</v>
      </c>
      <c r="CT17">
        <v>27.729150148704772</v>
      </c>
      <c r="CU17">
        <v>11712.793022812895</v>
      </c>
    </row>
    <row r="18" spans="2:99" x14ac:dyDescent="0.2">
      <c r="C18" s="105" t="s">
        <v>184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0.14814930346964927</v>
      </c>
      <c r="O18">
        <v>96.711865304987043</v>
      </c>
      <c r="P18">
        <v>1.288219763161311</v>
      </c>
      <c r="Q18">
        <v>840.94986139170373</v>
      </c>
      <c r="R18">
        <v>0.37829179431319032</v>
      </c>
      <c r="S18">
        <v>246.94888332765063</v>
      </c>
      <c r="T18">
        <v>6.0657278365165572</v>
      </c>
      <c r="U18">
        <v>3959.7071316780084</v>
      </c>
      <c r="V18">
        <v>1.309916735407382</v>
      </c>
      <c r="W18">
        <v>855.11364487393894</v>
      </c>
      <c r="X18">
        <v>7.7704741512871003</v>
      </c>
      <c r="Y18">
        <v>5072.565525960219</v>
      </c>
      <c r="Z18">
        <v>1.0466363175796201</v>
      </c>
      <c r="AA18">
        <v>683.24418811597593</v>
      </c>
      <c r="AB18">
        <v>7.9635841210391769</v>
      </c>
      <c r="AC18">
        <v>5198.6277142143745</v>
      </c>
      <c r="AD18">
        <v>0.89547256789986551</v>
      </c>
      <c r="AE18">
        <v>584.56449232503212</v>
      </c>
      <c r="AF18">
        <v>6.043617002500083</v>
      </c>
      <c r="AG18">
        <v>3945.2731792320537</v>
      </c>
      <c r="AH18">
        <v>0.71951737919236425</v>
      </c>
      <c r="AI18">
        <v>469.70094513677537</v>
      </c>
      <c r="AJ18">
        <v>6</v>
      </c>
      <c r="AK18">
        <v>3916.7999999999997</v>
      </c>
      <c r="AL18">
        <v>3.4274483481129807</v>
      </c>
      <c r="AM18">
        <v>2237.4382816481539</v>
      </c>
      <c r="AN18">
        <v>3.6474698831763743</v>
      </c>
      <c r="AO18">
        <v>2381.0683397375369</v>
      </c>
      <c r="AP18">
        <v>0.8361340242438503</v>
      </c>
      <c r="AQ18">
        <v>545.82829102638539</v>
      </c>
      <c r="AR18">
        <v>21.164923927378698</v>
      </c>
      <c r="AS18">
        <v>13816.462339792814</v>
      </c>
      <c r="AT18">
        <v>14.891627542149216</v>
      </c>
      <c r="AU18">
        <v>9721.2544595150066</v>
      </c>
      <c r="AV18">
        <v>15.78406779661017</v>
      </c>
      <c r="AW18">
        <v>10303.839457627118</v>
      </c>
      <c r="AX18">
        <v>25.207412153928264</v>
      </c>
      <c r="AY18">
        <v>16455.398654084369</v>
      </c>
      <c r="AZ18">
        <v>6.2851223370590343</v>
      </c>
      <c r="BA18">
        <v>4102.9278616321371</v>
      </c>
      <c r="BB18">
        <v>11.040350925246852</v>
      </c>
      <c r="BC18">
        <v>7207.141084001144</v>
      </c>
      <c r="BD18">
        <v>1.9486518239338113</v>
      </c>
      <c r="BE18">
        <v>1272.079910663992</v>
      </c>
      <c r="BF18">
        <v>18.359640059884892</v>
      </c>
      <c r="BG18">
        <v>11985.173031092856</v>
      </c>
      <c r="BH18">
        <v>0</v>
      </c>
      <c r="BI18">
        <v>0</v>
      </c>
      <c r="BJ18">
        <v>2.9244913440003573</v>
      </c>
      <c r="BK18">
        <v>1909.1079493634331</v>
      </c>
      <c r="BL18">
        <v>0.23041045734736529</v>
      </c>
      <c r="BM18">
        <v>150.41194655636005</v>
      </c>
      <c r="BN18">
        <v>1.6290299459778117</v>
      </c>
      <c r="BO18">
        <v>1063.4307487343153</v>
      </c>
      <c r="BP18">
        <v>2.8228124353761039</v>
      </c>
      <c r="BQ18">
        <v>1842.7319578135205</v>
      </c>
      <c r="BR18">
        <v>2.7845727078650624</v>
      </c>
      <c r="BS18">
        <v>1817.7690636943125</v>
      </c>
      <c r="BT18">
        <v>0.84607496276886529</v>
      </c>
      <c r="BU18">
        <v>552.31773569551524</v>
      </c>
      <c r="BV18">
        <v>5.5456875576923306</v>
      </c>
      <c r="BW18">
        <v>3620.224837661553</v>
      </c>
      <c r="BX18">
        <v>1.4352815306879159</v>
      </c>
      <c r="BY18">
        <v>936.95178323307141</v>
      </c>
      <c r="BZ18">
        <v>6.6276646826567003</v>
      </c>
      <c r="CA18">
        <v>4326.5395048382934</v>
      </c>
      <c r="CB18">
        <v>6.864546146363546</v>
      </c>
      <c r="CC18">
        <v>4481.1757243461225</v>
      </c>
      <c r="CD18">
        <v>7</v>
      </c>
      <c r="CE18">
        <v>4569.5999999999995</v>
      </c>
      <c r="CF18">
        <v>1.4058834558177253</v>
      </c>
      <c r="CG18">
        <v>917.76071995781103</v>
      </c>
      <c r="CH18">
        <v>2.7455754933750285</v>
      </c>
      <c r="CI18">
        <v>1792.3116820752184</v>
      </c>
      <c r="CJ18">
        <v>0.73256172487929816</v>
      </c>
      <c r="CK18">
        <v>478.21629400120582</v>
      </c>
      <c r="CL18">
        <v>1.714246058771703</v>
      </c>
      <c r="CM18">
        <v>1119.0598271661677</v>
      </c>
      <c r="CN18">
        <v>14.885095142014629</v>
      </c>
      <c r="CO18">
        <v>9716.9901087071485</v>
      </c>
      <c r="CP18">
        <v>9.9409741313079181</v>
      </c>
      <c r="CQ18">
        <v>6489.4679129178085</v>
      </c>
      <c r="CR18">
        <v>2.3571048720250518</v>
      </c>
      <c r="CS18">
        <v>1538.7180604579537</v>
      </c>
      <c r="CT18">
        <v>26.307142448771192</v>
      </c>
      <c r="CU18">
        <v>17173.302590557832</v>
      </c>
    </row>
    <row r="19" spans="2:99" x14ac:dyDescent="0.2">
      <c r="C19" s="105" t="s">
        <v>185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0.18518662933706159</v>
      </c>
      <c r="O19">
        <v>61.111587681230326</v>
      </c>
      <c r="P19">
        <v>1.288219763161311</v>
      </c>
      <c r="Q19">
        <v>425.11252184323263</v>
      </c>
      <c r="R19">
        <v>0.43233347921507465</v>
      </c>
      <c r="S19">
        <v>142.67004814097464</v>
      </c>
      <c r="T19">
        <v>6.0657278365165572</v>
      </c>
      <c r="U19">
        <v>2001.6901860504638</v>
      </c>
      <c r="V19">
        <v>1.309916735407382</v>
      </c>
      <c r="W19">
        <v>432.27252268443607</v>
      </c>
      <c r="X19">
        <v>8.7417834201979865</v>
      </c>
      <c r="Y19">
        <v>2884.7885286653354</v>
      </c>
      <c r="Z19">
        <v>1.1774658572770724</v>
      </c>
      <c r="AA19">
        <v>388.56373290143392</v>
      </c>
      <c r="AB19">
        <v>8.3098269089104466</v>
      </c>
      <c r="AC19">
        <v>2742.2428799404474</v>
      </c>
      <c r="AD19">
        <v>0.8315102416213036</v>
      </c>
      <c r="AE19">
        <v>274.39837973503018</v>
      </c>
      <c r="AF19">
        <v>5.4941972750000758</v>
      </c>
      <c r="AG19">
        <v>1813.085100750025</v>
      </c>
      <c r="AH19">
        <v>0.6715495539128733</v>
      </c>
      <c r="AI19">
        <v>221.61135279124818</v>
      </c>
      <c r="AJ19">
        <v>6</v>
      </c>
      <c r="AK19">
        <v>1980</v>
      </c>
      <c r="AL19">
        <v>3.8082759423477563</v>
      </c>
      <c r="AM19">
        <v>1256.7310609747597</v>
      </c>
      <c r="AN19">
        <v>4.2553815303724365</v>
      </c>
      <c r="AO19">
        <v>1404.275905022904</v>
      </c>
      <c r="AP19">
        <v>0.8361340242438503</v>
      </c>
      <c r="AQ19">
        <v>275.92422800047058</v>
      </c>
      <c r="AR19">
        <v>21.870421391624657</v>
      </c>
      <c r="AS19">
        <v>7217.2390592361371</v>
      </c>
      <c r="AT19">
        <v>16.34446925357841</v>
      </c>
      <c r="AU19">
        <v>5393.6748536808755</v>
      </c>
      <c r="AV19">
        <v>17.331525423728813</v>
      </c>
      <c r="AW19">
        <v>5719.4033898305079</v>
      </c>
      <c r="AX19">
        <v>25.207412153928264</v>
      </c>
      <c r="AY19">
        <v>8318.4460107963278</v>
      </c>
      <c r="AZ19">
        <v>7.199321949722167</v>
      </c>
      <c r="BA19">
        <v>2375.7762434083152</v>
      </c>
      <c r="BB19">
        <v>12.108771982528804</v>
      </c>
      <c r="BC19">
        <v>3995.8947542345054</v>
      </c>
      <c r="BD19">
        <v>2.4975678306757301</v>
      </c>
      <c r="BE19">
        <v>824.19738412299091</v>
      </c>
      <c r="BF19">
        <v>18.862643897142014</v>
      </c>
      <c r="BG19">
        <v>6224.6724860568647</v>
      </c>
      <c r="BH19">
        <v>0</v>
      </c>
      <c r="BI19">
        <v>0</v>
      </c>
      <c r="BJ19">
        <v>3.1333835828575256</v>
      </c>
      <c r="BK19">
        <v>1034.0165823429834</v>
      </c>
      <c r="BL19">
        <v>0.25601161927485033</v>
      </c>
      <c r="BM19">
        <v>84.483834360700612</v>
      </c>
      <c r="BN19">
        <v>1.6290299459778117</v>
      </c>
      <c r="BO19">
        <v>537.57988217267791</v>
      </c>
      <c r="BP19">
        <v>2.8228124353761039</v>
      </c>
      <c r="BQ19">
        <v>931.52810367411428</v>
      </c>
      <c r="BR19">
        <v>3.341487249438075</v>
      </c>
      <c r="BS19">
        <v>1102.6907923145648</v>
      </c>
      <c r="BT19">
        <v>0.84607496276886529</v>
      </c>
      <c r="BU19">
        <v>279.20473771372554</v>
      </c>
      <c r="BV19">
        <v>5.5456875576923306</v>
      </c>
      <c r="BW19">
        <v>1830.0768940384692</v>
      </c>
      <c r="BX19">
        <v>1.4352815306879159</v>
      </c>
      <c r="BY19">
        <v>473.64290512701223</v>
      </c>
      <c r="BZ19">
        <v>7.2904311509223705</v>
      </c>
      <c r="CA19">
        <v>2405.8422798043821</v>
      </c>
      <c r="CB19">
        <v>7.5510007609998997</v>
      </c>
      <c r="CC19">
        <v>2491.8302511299671</v>
      </c>
      <c r="CD19">
        <v>7</v>
      </c>
      <c r="CE19">
        <v>2310</v>
      </c>
      <c r="CF19">
        <v>1.2780758689252047</v>
      </c>
      <c r="CG19">
        <v>421.76503674531756</v>
      </c>
      <c r="CH19">
        <v>2.7455754933750285</v>
      </c>
      <c r="CI19">
        <v>906.03991281375943</v>
      </c>
      <c r="CJ19">
        <v>0.79360853528590636</v>
      </c>
      <c r="CK19">
        <v>261.89081664434912</v>
      </c>
      <c r="CL19">
        <v>1.714246058771703</v>
      </c>
      <c r="CM19">
        <v>565.70119939466201</v>
      </c>
      <c r="CN19">
        <v>14.885095142014629</v>
      </c>
      <c r="CO19">
        <v>4912.0813968648272</v>
      </c>
      <c r="CP19">
        <v>10.575504395008423</v>
      </c>
      <c r="CQ19">
        <v>3489.9164503527795</v>
      </c>
      <c r="CR19">
        <v>2.5384206314115945</v>
      </c>
      <c r="CS19">
        <v>837.67880836582617</v>
      </c>
      <c r="CT19">
        <v>25.951640523787798</v>
      </c>
      <c r="CU19">
        <v>8564.0413728499734</v>
      </c>
    </row>
    <row r="20" spans="2:99" x14ac:dyDescent="0.2">
      <c r="B20" s="105" t="s">
        <v>127</v>
      </c>
      <c r="C20" s="105" t="s">
        <v>186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2.6666874624536869</v>
      </c>
      <c r="O20">
        <v>764.80596423171744</v>
      </c>
      <c r="P20">
        <v>21.163610394792965</v>
      </c>
      <c r="Q20">
        <v>6069.7234612266229</v>
      </c>
      <c r="R20">
        <v>6.1607520788148129</v>
      </c>
      <c r="S20">
        <v>1766.9036962040884</v>
      </c>
      <c r="T20">
        <v>18.197183509549671</v>
      </c>
      <c r="U20">
        <v>5218.9522305388455</v>
      </c>
      <c r="V20">
        <v>4.3663891180246068</v>
      </c>
      <c r="W20">
        <v>1252.2803990494574</v>
      </c>
      <c r="X20">
        <v>25.254040991683073</v>
      </c>
      <c r="Y20">
        <v>7242.858956414706</v>
      </c>
      <c r="Z20">
        <v>3.924886190923575</v>
      </c>
      <c r="AA20">
        <v>1125.6573595568814</v>
      </c>
      <c r="AB20">
        <v>39.817920605195887</v>
      </c>
      <c r="AC20">
        <v>11419.779629570181</v>
      </c>
      <c r="AD20">
        <v>7.3876486851738896</v>
      </c>
      <c r="AE20">
        <v>2118.7776429078717</v>
      </c>
      <c r="AF20">
        <v>49.173065611250678</v>
      </c>
      <c r="AG20">
        <v>14102.835217306694</v>
      </c>
      <c r="AH20">
        <v>5.8280907714581502</v>
      </c>
      <c r="AI20">
        <v>1671.4964332541977</v>
      </c>
      <c r="AJ20">
        <v>15</v>
      </c>
      <c r="AK20">
        <v>4302</v>
      </c>
      <c r="AL20">
        <v>7.9973794789302879</v>
      </c>
      <c r="AM20">
        <v>2293.6484345572067</v>
      </c>
      <c r="AN20">
        <v>9.726586355137</v>
      </c>
      <c r="AO20">
        <v>2789.5849666532918</v>
      </c>
      <c r="AP20">
        <v>3.5117629018241709</v>
      </c>
      <c r="AQ20">
        <v>1007.1736002431722</v>
      </c>
      <c r="AR20">
        <v>3.8802360533527618</v>
      </c>
      <c r="AS20">
        <v>1112.8517001015721</v>
      </c>
      <c r="AT20">
        <v>4.7217355621448736</v>
      </c>
      <c r="AU20">
        <v>1354.1937592231498</v>
      </c>
      <c r="AV20">
        <v>3.7138983050847458</v>
      </c>
      <c r="AW20">
        <v>1065.1460338983052</v>
      </c>
      <c r="AX20">
        <v>4.1154958618658393</v>
      </c>
      <c r="AY20">
        <v>1180.3242131831228</v>
      </c>
      <c r="AZ20">
        <v>24.340564687155894</v>
      </c>
      <c r="BA20">
        <v>6980.8739522763108</v>
      </c>
      <c r="BB20">
        <v>24.751754493698588</v>
      </c>
      <c r="BC20">
        <v>7098.8031887927555</v>
      </c>
      <c r="BD20">
        <v>4.5560028559579253</v>
      </c>
      <c r="BE20">
        <v>1306.661619088733</v>
      </c>
      <c r="BF20">
        <v>41.74931849234099</v>
      </c>
      <c r="BG20">
        <v>11973.704543603397</v>
      </c>
      <c r="BH20">
        <v>0</v>
      </c>
      <c r="BI20">
        <v>0</v>
      </c>
      <c r="BJ20">
        <v>47.000753742862884</v>
      </c>
      <c r="BK20">
        <v>13479.816173453075</v>
      </c>
      <c r="BL20">
        <v>4.4033998515274249</v>
      </c>
      <c r="BM20">
        <v>1262.8950774180655</v>
      </c>
      <c r="BN20">
        <v>23.102606506594419</v>
      </c>
      <c r="BO20">
        <v>6625.8275460912801</v>
      </c>
      <c r="BP20">
        <v>3.1756639897981169</v>
      </c>
      <c r="BQ20">
        <v>910.78043227410001</v>
      </c>
      <c r="BR20">
        <v>7.796803582022175</v>
      </c>
      <c r="BS20">
        <v>2236.1232673239597</v>
      </c>
      <c r="BT20">
        <v>1.2306544913001678</v>
      </c>
      <c r="BU20">
        <v>352.95170810488816</v>
      </c>
      <c r="BV20">
        <v>9.0117422812500365</v>
      </c>
      <c r="BW20">
        <v>2584.5676862625105</v>
      </c>
      <c r="BX20">
        <v>2.511742678703853</v>
      </c>
      <c r="BY20">
        <v>720.36780025226506</v>
      </c>
      <c r="BZ20">
        <v>9.2787305557193811</v>
      </c>
      <c r="CA20">
        <v>2661.1399233803186</v>
      </c>
      <c r="CB20">
        <v>10.983273834181674</v>
      </c>
      <c r="CC20">
        <v>3150.0029356433042</v>
      </c>
      <c r="CD20">
        <v>17</v>
      </c>
      <c r="CE20">
        <v>4875.6000000000004</v>
      </c>
      <c r="CF20">
        <v>27.350823594999383</v>
      </c>
      <c r="CG20">
        <v>7844.2162070458235</v>
      </c>
      <c r="CH20">
        <v>53.386190148958889</v>
      </c>
      <c r="CI20">
        <v>15311.159334721409</v>
      </c>
      <c r="CJ20">
        <v>8.546553456925146</v>
      </c>
      <c r="CK20">
        <v>2451.1515314461321</v>
      </c>
      <c r="CL20">
        <v>26.094634450191478</v>
      </c>
      <c r="CM20">
        <v>7483.9411603149165</v>
      </c>
      <c r="CN20">
        <v>3.5546495861527472</v>
      </c>
      <c r="CO20">
        <v>1019.473501308608</v>
      </c>
      <c r="CP20">
        <v>5.2877521975042114</v>
      </c>
      <c r="CQ20">
        <v>1516.5273302442079</v>
      </c>
      <c r="CR20">
        <v>0.90657879693271226</v>
      </c>
      <c r="CS20">
        <v>260.00679896030186</v>
      </c>
      <c r="CT20">
        <v>7.4655404246512846</v>
      </c>
      <c r="CU20">
        <v>2141.1169937899886</v>
      </c>
    </row>
    <row r="21" spans="2:99" x14ac:dyDescent="0.2">
      <c r="C21" s="105" t="s">
        <v>187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2.7037247883210989</v>
      </c>
      <c r="O21">
        <v>168.71242679123657</v>
      </c>
      <c r="P21">
        <v>25.396332473751556</v>
      </c>
      <c r="Q21">
        <v>1584.731146362097</v>
      </c>
      <c r="R21">
        <v>7.2956274617543846</v>
      </c>
      <c r="S21">
        <v>455.24715361347359</v>
      </c>
      <c r="T21">
        <v>18.197183509549671</v>
      </c>
      <c r="U21">
        <v>1135.5042509958994</v>
      </c>
      <c r="V21">
        <v>4.5119354219587597</v>
      </c>
      <c r="W21">
        <v>281.54477033022658</v>
      </c>
      <c r="X21">
        <v>26.225350260593963</v>
      </c>
      <c r="Y21">
        <v>1636.4618562610633</v>
      </c>
      <c r="Z21">
        <v>4.0557157306210279</v>
      </c>
      <c r="AA21">
        <v>253.07666159075214</v>
      </c>
      <c r="AB21">
        <v>43.626591271779844</v>
      </c>
      <c r="AC21">
        <v>2722.2992953590624</v>
      </c>
      <c r="AD21">
        <v>7.8353849691238233</v>
      </c>
      <c r="AE21">
        <v>488.92802207332659</v>
      </c>
      <c r="AF21">
        <v>48.074226156250667</v>
      </c>
      <c r="AG21">
        <v>2999.8317121500418</v>
      </c>
      <c r="AH21">
        <v>6.3797207621722967</v>
      </c>
      <c r="AI21">
        <v>398.09457555955129</v>
      </c>
      <c r="AJ21">
        <v>17</v>
      </c>
      <c r="AK21">
        <v>1060.8</v>
      </c>
      <c r="AL21">
        <v>7.9973794789302879</v>
      </c>
      <c r="AM21">
        <v>499.03647948524997</v>
      </c>
      <c r="AN21">
        <v>10.942409649529123</v>
      </c>
      <c r="AO21">
        <v>682.80636213061723</v>
      </c>
      <c r="AP21">
        <v>4.0134433163704815</v>
      </c>
      <c r="AQ21">
        <v>250.43886294151804</v>
      </c>
      <c r="AR21">
        <v>4.2329847854757405</v>
      </c>
      <c r="AS21">
        <v>264.13825061368618</v>
      </c>
      <c r="AT21">
        <v>5.4481564178594697</v>
      </c>
      <c r="AU21">
        <v>339.96496047443088</v>
      </c>
      <c r="AV21">
        <v>3.7138983050847458</v>
      </c>
      <c r="AW21">
        <v>231.74725423728813</v>
      </c>
      <c r="AX21">
        <v>4.1154958618658393</v>
      </c>
      <c r="AY21">
        <v>256.80694178042836</v>
      </c>
      <c r="AZ21">
        <v>23.426365074492765</v>
      </c>
      <c r="BA21">
        <v>1461.8051806483484</v>
      </c>
      <c r="BB21">
        <v>23.327193083989314</v>
      </c>
      <c r="BC21">
        <v>1455.6168484409332</v>
      </c>
      <c r="BD21">
        <v>4.8304608593288849</v>
      </c>
      <c r="BE21">
        <v>301.42075762212244</v>
      </c>
      <c r="BF21">
        <v>37.725287794284029</v>
      </c>
      <c r="BG21">
        <v>2354.0579583633235</v>
      </c>
      <c r="BH21">
        <v>0</v>
      </c>
      <c r="BI21">
        <v>0</v>
      </c>
      <c r="BJ21">
        <v>50.13413732572041</v>
      </c>
      <c r="BK21">
        <v>3128.3701691249535</v>
      </c>
      <c r="BL21">
        <v>4.5826079850198216</v>
      </c>
      <c r="BM21">
        <v>285.95473826523687</v>
      </c>
      <c r="BN21">
        <v>21.769763823521664</v>
      </c>
      <c r="BO21">
        <v>1358.4332625877519</v>
      </c>
      <c r="BP21">
        <v>3.1756639897981169</v>
      </c>
      <c r="BQ21">
        <v>198.16143296340249</v>
      </c>
      <c r="BR21">
        <v>7.2398890404491629</v>
      </c>
      <c r="BS21">
        <v>451.76907612402778</v>
      </c>
      <c r="BT21">
        <v>1.1537385855939073</v>
      </c>
      <c r="BU21">
        <v>71.993287741059817</v>
      </c>
      <c r="BV21">
        <v>8.318531336538495</v>
      </c>
      <c r="BW21">
        <v>519.07635540000206</v>
      </c>
      <c r="BX21">
        <v>2.511742678703853</v>
      </c>
      <c r="BY21">
        <v>156.73274315112042</v>
      </c>
      <c r="BZ21">
        <v>9.2787305557193811</v>
      </c>
      <c r="CA21">
        <v>578.99278667688941</v>
      </c>
      <c r="CB21">
        <v>11.669728448818027</v>
      </c>
      <c r="CC21">
        <v>728.19105520624487</v>
      </c>
      <c r="CD21">
        <v>16</v>
      </c>
      <c r="CE21">
        <v>998.4</v>
      </c>
      <c r="CF21">
        <v>26.07274772607418</v>
      </c>
      <c r="CG21">
        <v>1626.9394581070287</v>
      </c>
      <c r="CH21">
        <v>52.776062261542222</v>
      </c>
      <c r="CI21">
        <v>3293.2262851202345</v>
      </c>
      <c r="CJ21">
        <v>8.546553456925146</v>
      </c>
      <c r="CK21">
        <v>533.30493571212912</v>
      </c>
      <c r="CL21">
        <v>29.713598352042847</v>
      </c>
      <c r="CM21">
        <v>1854.1285371674737</v>
      </c>
      <c r="CN21">
        <v>4.2211463835563876</v>
      </c>
      <c r="CO21">
        <v>263.39953433391855</v>
      </c>
      <c r="CP21">
        <v>6.1337925491048857</v>
      </c>
      <c r="CQ21">
        <v>382.74865506414488</v>
      </c>
      <c r="CR21">
        <v>0.90657879693271226</v>
      </c>
      <c r="CS21">
        <v>56.570516928601243</v>
      </c>
      <c r="CT21">
        <v>7.4655404246512846</v>
      </c>
      <c r="CU21">
        <v>465.84972249824017</v>
      </c>
    </row>
    <row r="22" spans="2:99" x14ac:dyDescent="0.2">
      <c r="C22" s="105" t="s">
        <v>188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2.7407621141885117</v>
      </c>
      <c r="O22">
        <v>513.07066777608941</v>
      </c>
      <c r="P22">
        <v>24.476175500064905</v>
      </c>
      <c r="Q22">
        <v>4581.9400536121502</v>
      </c>
      <c r="R22">
        <v>6.3228771335204668</v>
      </c>
      <c r="S22">
        <v>1183.6425993950313</v>
      </c>
      <c r="T22">
        <v>20.796781153771054</v>
      </c>
      <c r="U22">
        <v>3893.157431985941</v>
      </c>
      <c r="V22">
        <v>3.7842039022879921</v>
      </c>
      <c r="W22">
        <v>708.40297050831202</v>
      </c>
      <c r="X22">
        <v>28.167968798415735</v>
      </c>
      <c r="Y22">
        <v>5273.0437590634256</v>
      </c>
      <c r="Z22">
        <v>3.7940566512261227</v>
      </c>
      <c r="AA22">
        <v>710.24740510953018</v>
      </c>
      <c r="AB22">
        <v>42.587862908166038</v>
      </c>
      <c r="AC22">
        <v>7972.4479364086819</v>
      </c>
      <c r="AD22">
        <v>8.1871777636559138</v>
      </c>
      <c r="AE22">
        <v>1532.639677356387</v>
      </c>
      <c r="AF22">
        <v>49.447775475000682</v>
      </c>
      <c r="AG22">
        <v>9256.6235689201276</v>
      </c>
      <c r="AH22">
        <v>5.2524768681042593</v>
      </c>
      <c r="AI22">
        <v>983.26366970911727</v>
      </c>
      <c r="AJ22">
        <v>15</v>
      </c>
      <c r="AK22">
        <v>2808</v>
      </c>
      <c r="AL22">
        <v>8.3782070731650631</v>
      </c>
      <c r="AM22">
        <v>1568.4003640964997</v>
      </c>
      <c r="AN22">
        <v>9.726586355137</v>
      </c>
      <c r="AO22">
        <v>1820.8169656816463</v>
      </c>
      <c r="AP22">
        <v>3.6789897066729416</v>
      </c>
      <c r="AQ22">
        <v>688.70687308917456</v>
      </c>
      <c r="AR22">
        <v>3.8802360533527618</v>
      </c>
      <c r="AS22">
        <v>726.38018918763692</v>
      </c>
      <c r="AT22">
        <v>4.7217355621448736</v>
      </c>
      <c r="AU22">
        <v>883.90889723352029</v>
      </c>
      <c r="AV22">
        <v>4.0233898305084743</v>
      </c>
      <c r="AW22">
        <v>753.17857627118633</v>
      </c>
      <c r="AX22">
        <v>4.6299328445990691</v>
      </c>
      <c r="AY22">
        <v>866.72342850894563</v>
      </c>
      <c r="AZ22">
        <v>26.168963912482159</v>
      </c>
      <c r="BA22">
        <v>4898.8300444166598</v>
      </c>
      <c r="BB22">
        <v>23.683333436416632</v>
      </c>
      <c r="BC22">
        <v>4433.5200192971934</v>
      </c>
      <c r="BD22">
        <v>5.0774730623627482</v>
      </c>
      <c r="BE22">
        <v>950.50295727430637</v>
      </c>
      <c r="BF22">
        <v>39.737303143312509</v>
      </c>
      <c r="BG22">
        <v>7438.8231484281014</v>
      </c>
      <c r="BH22">
        <v>0</v>
      </c>
      <c r="BI22">
        <v>0</v>
      </c>
      <c r="BJ22">
        <v>50.343029564577577</v>
      </c>
      <c r="BK22">
        <v>9424.2151344889226</v>
      </c>
      <c r="BL22">
        <v>4.9154230900771259</v>
      </c>
      <c r="BM22">
        <v>920.1672024624379</v>
      </c>
      <c r="BN22">
        <v>23.694981032404534</v>
      </c>
      <c r="BO22">
        <v>4435.700449266129</v>
      </c>
      <c r="BP22">
        <v>3.1756639897981169</v>
      </c>
      <c r="BQ22">
        <v>594.48429889020747</v>
      </c>
      <c r="BR22">
        <v>7.796803582022175</v>
      </c>
      <c r="BS22">
        <v>1459.5616305545511</v>
      </c>
      <c r="BT22">
        <v>1.2306544913001678</v>
      </c>
      <c r="BU22">
        <v>230.37852077139141</v>
      </c>
      <c r="BV22">
        <v>9.0117422812500365</v>
      </c>
      <c r="BW22">
        <v>1686.9981550500067</v>
      </c>
      <c r="BX22">
        <v>2.511742678703853</v>
      </c>
      <c r="BY22">
        <v>470.19822945336125</v>
      </c>
      <c r="BZ22">
        <v>9.2787305557193811</v>
      </c>
      <c r="CA22">
        <v>1736.978360030668</v>
      </c>
      <c r="CB22">
        <v>10.983273834181674</v>
      </c>
      <c r="CC22">
        <v>2056.0688617588094</v>
      </c>
      <c r="CD22">
        <v>18</v>
      </c>
      <c r="CE22">
        <v>3369.6</v>
      </c>
      <c r="CF22">
        <v>25.050287030934015</v>
      </c>
      <c r="CG22">
        <v>4689.4137321908474</v>
      </c>
      <c r="CH22">
        <v>56.131765642333917</v>
      </c>
      <c r="CI22">
        <v>10507.866528244909</v>
      </c>
      <c r="CJ22">
        <v>7.8750385424524554</v>
      </c>
      <c r="CK22">
        <v>1474.2072151470995</v>
      </c>
      <c r="CL22">
        <v>27.046993371731311</v>
      </c>
      <c r="CM22">
        <v>5063.1971591881011</v>
      </c>
      <c r="CN22">
        <v>4.2211463835563876</v>
      </c>
      <c r="CO22">
        <v>790.19860300175571</v>
      </c>
      <c r="CP22">
        <v>5.2877521975042114</v>
      </c>
      <c r="CQ22">
        <v>989.86721137278835</v>
      </c>
      <c r="CR22">
        <v>0.86124985708607671</v>
      </c>
      <c r="CS22">
        <v>161.22597324651355</v>
      </c>
      <c r="CT22">
        <v>7.8210423496346788</v>
      </c>
      <c r="CU22">
        <v>1464.0991278516117</v>
      </c>
    </row>
    <row r="23" spans="2:99" x14ac:dyDescent="0.2">
      <c r="C23" s="105" t="s">
        <v>189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2.7407621141885117</v>
      </c>
      <c r="O23">
        <v>805.7840615714224</v>
      </c>
      <c r="P23">
        <v>23.371987131640925</v>
      </c>
      <c r="Q23">
        <v>6871.3642167024318</v>
      </c>
      <c r="R23">
        <v>7.025419037244963</v>
      </c>
      <c r="S23">
        <v>2065.473196950019</v>
      </c>
      <c r="T23">
        <v>19.930248605697258</v>
      </c>
      <c r="U23">
        <v>5859.4930900749941</v>
      </c>
      <c r="V23">
        <v>3.9297502062221459</v>
      </c>
      <c r="W23">
        <v>1155.3465606293109</v>
      </c>
      <c r="X23">
        <v>25.254040991683073</v>
      </c>
      <c r="Y23">
        <v>7424.6880515548237</v>
      </c>
      <c r="Z23">
        <v>3.7940566512261227</v>
      </c>
      <c r="AA23">
        <v>1115.4526554604802</v>
      </c>
      <c r="AB23">
        <v>47.089019150492526</v>
      </c>
      <c r="AC23">
        <v>13844.171630244802</v>
      </c>
      <c r="AD23">
        <v>7.2917051957560473</v>
      </c>
      <c r="AE23">
        <v>2143.7613275522781</v>
      </c>
      <c r="AF23">
        <v>51.096034657500702</v>
      </c>
      <c r="AG23">
        <v>15022.234189305207</v>
      </c>
      <c r="AH23">
        <v>5.9480103346568773</v>
      </c>
      <c r="AI23">
        <v>1748.7150383891219</v>
      </c>
      <c r="AJ23">
        <v>17</v>
      </c>
      <c r="AK23">
        <v>4998</v>
      </c>
      <c r="AL23">
        <v>8.3782070731650631</v>
      </c>
      <c r="AM23">
        <v>2463.1928795105287</v>
      </c>
      <c r="AN23">
        <v>11.550321296725187</v>
      </c>
      <c r="AO23">
        <v>3395.7944612372048</v>
      </c>
      <c r="AP23">
        <v>3.5117629018241709</v>
      </c>
      <c r="AQ23">
        <v>1032.4582931363063</v>
      </c>
      <c r="AR23">
        <v>3.8802360533527618</v>
      </c>
      <c r="AS23">
        <v>1140.7893996857119</v>
      </c>
      <c r="AT23">
        <v>4.7217355621448736</v>
      </c>
      <c r="AU23">
        <v>1388.1902552705928</v>
      </c>
      <c r="AV23">
        <v>3.4044067796610173</v>
      </c>
      <c r="AW23">
        <v>1000.8955932203392</v>
      </c>
      <c r="AX23">
        <v>4.6299328445990691</v>
      </c>
      <c r="AY23">
        <v>1361.2002563121264</v>
      </c>
      <c r="AZ23">
        <v>21.712240800749392</v>
      </c>
      <c r="BA23">
        <v>6383.3987954203212</v>
      </c>
      <c r="BB23">
        <v>21.724561498066382</v>
      </c>
      <c r="BC23">
        <v>6387.0210804315166</v>
      </c>
      <c r="BD23">
        <v>4.2815448525869657</v>
      </c>
      <c r="BE23">
        <v>1258.7741866605679</v>
      </c>
      <c r="BF23">
        <v>39.485801224683954</v>
      </c>
      <c r="BG23">
        <v>11608.825560057083</v>
      </c>
      <c r="BH23">
        <v>0</v>
      </c>
      <c r="BI23">
        <v>0</v>
      </c>
      <c r="BJ23">
        <v>43.449585682291023</v>
      </c>
      <c r="BK23">
        <v>12774.17819059356</v>
      </c>
      <c r="BL23">
        <v>5.0946312235695208</v>
      </c>
      <c r="BM23">
        <v>1497.821579729439</v>
      </c>
      <c r="BN23">
        <v>23.398793769499477</v>
      </c>
      <c r="BO23">
        <v>6879.245368232846</v>
      </c>
      <c r="BP23">
        <v>3.1756639897981169</v>
      </c>
      <c r="BQ23">
        <v>933.64521300064632</v>
      </c>
      <c r="BR23">
        <v>8.3537181235951863</v>
      </c>
      <c r="BS23">
        <v>2455.9931283369847</v>
      </c>
      <c r="BT23">
        <v>1.1537385855939073</v>
      </c>
      <c r="BU23">
        <v>339.19914416460875</v>
      </c>
      <c r="BV23">
        <v>8.318531336538495</v>
      </c>
      <c r="BW23">
        <v>2445.6482129423175</v>
      </c>
      <c r="BX23">
        <v>2.6911528700398426</v>
      </c>
      <c r="BY23">
        <v>791.19894379171376</v>
      </c>
      <c r="BZ23">
        <v>10.60426349225072</v>
      </c>
      <c r="CA23">
        <v>3117.6534667217115</v>
      </c>
      <c r="CB23">
        <v>11.669728448818027</v>
      </c>
      <c r="CC23">
        <v>3430.9001639525</v>
      </c>
      <c r="CD23">
        <v>16</v>
      </c>
      <c r="CE23">
        <v>4704</v>
      </c>
      <c r="CF23">
        <v>25.433709791611577</v>
      </c>
      <c r="CG23">
        <v>7477.5106787338036</v>
      </c>
      <c r="CH23">
        <v>54.606445923792236</v>
      </c>
      <c r="CI23">
        <v>16054.295101594918</v>
      </c>
      <c r="CJ23">
        <v>7.5087576800128062</v>
      </c>
      <c r="CK23">
        <v>2207.574757923765</v>
      </c>
      <c r="CL23">
        <v>26.666049803115378</v>
      </c>
      <c r="CM23">
        <v>7839.8186421159207</v>
      </c>
      <c r="CN23">
        <v>3.9989807844218404</v>
      </c>
      <c r="CO23">
        <v>1175.700350620021</v>
      </c>
      <c r="CP23">
        <v>6.3453026370050543</v>
      </c>
      <c r="CQ23">
        <v>1865.5189752794859</v>
      </c>
      <c r="CR23">
        <v>0.99723667662598348</v>
      </c>
      <c r="CS23">
        <v>293.18758292803915</v>
      </c>
      <c r="CT23">
        <v>8.1765442746180721</v>
      </c>
      <c r="CU23">
        <v>2403.9040167377134</v>
      </c>
    </row>
    <row r="24" spans="2:99" x14ac:dyDescent="0.2">
      <c r="C24" s="105" t="s">
        <v>190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2.814836765923336</v>
      </c>
      <c r="O24">
        <v>1033.608060447049</v>
      </c>
      <c r="P24">
        <v>22.451830157954277</v>
      </c>
      <c r="Q24">
        <v>8244.3120340008099</v>
      </c>
      <c r="R24">
        <v>6.3228771335204668</v>
      </c>
      <c r="S24">
        <v>2321.7604834287154</v>
      </c>
      <c r="T24">
        <v>20.796781153771054</v>
      </c>
      <c r="U24">
        <v>7636.5780396647306</v>
      </c>
      <c r="V24">
        <v>3.7842039022879921</v>
      </c>
      <c r="W24">
        <v>1389.5596729201507</v>
      </c>
      <c r="X24">
        <v>30.110587336237511</v>
      </c>
      <c r="Y24">
        <v>11056.607669866415</v>
      </c>
      <c r="Z24">
        <v>3.6632271115286699</v>
      </c>
      <c r="AA24">
        <v>1345.1369953533276</v>
      </c>
      <c r="AB24">
        <v>45.357805211136188</v>
      </c>
      <c r="AC24">
        <v>16655.386073529207</v>
      </c>
      <c r="AD24">
        <v>7.0998182169203616</v>
      </c>
      <c r="AE24">
        <v>2607.0532492531565</v>
      </c>
      <c r="AF24">
        <v>50.271905066250696</v>
      </c>
      <c r="AG24">
        <v>18459.843540327256</v>
      </c>
      <c r="AH24">
        <v>5.9480103346568773</v>
      </c>
      <c r="AI24">
        <v>2184.1093948860052</v>
      </c>
      <c r="AJ24">
        <v>17</v>
      </c>
      <c r="AK24">
        <v>6242.4</v>
      </c>
      <c r="AL24">
        <v>8.3782070731650631</v>
      </c>
      <c r="AM24">
        <v>3076.4776372662109</v>
      </c>
      <c r="AN24">
        <v>11.550321296725187</v>
      </c>
      <c r="AO24">
        <v>4241.2779801574889</v>
      </c>
      <c r="AP24">
        <v>3.3445360969754012</v>
      </c>
      <c r="AQ24">
        <v>1228.1136548093673</v>
      </c>
      <c r="AR24">
        <v>3.8802360533527618</v>
      </c>
      <c r="AS24">
        <v>1424.8226787911342</v>
      </c>
      <c r="AT24">
        <v>5.0849459900021712</v>
      </c>
      <c r="AU24">
        <v>1867.1921675287972</v>
      </c>
      <c r="AV24">
        <v>3.7138983050847458</v>
      </c>
      <c r="AW24">
        <v>1363.7434576271187</v>
      </c>
      <c r="AX24">
        <v>3.6010588791326095</v>
      </c>
      <c r="AY24">
        <v>1322.3088204174942</v>
      </c>
      <c r="AZ24">
        <v>22.969265268161198</v>
      </c>
      <c r="BA24">
        <v>8434.3142064687909</v>
      </c>
      <c r="BB24">
        <v>23.683333436416632</v>
      </c>
      <c r="BC24">
        <v>8696.5200378521877</v>
      </c>
      <c r="BD24">
        <v>4.3638822535982538</v>
      </c>
      <c r="BE24">
        <v>1602.4175635212787</v>
      </c>
      <c r="BF24">
        <v>40.743310817826753</v>
      </c>
      <c r="BG24">
        <v>14960.943732305983</v>
      </c>
      <c r="BH24">
        <v>0</v>
      </c>
      <c r="BI24">
        <v>0</v>
      </c>
      <c r="BJ24">
        <v>49.089676131434565</v>
      </c>
      <c r="BK24">
        <v>18025.729075462772</v>
      </c>
      <c r="BL24">
        <v>4.121787070325091</v>
      </c>
      <c r="BM24">
        <v>1513.5202122233734</v>
      </c>
      <c r="BN24">
        <v>20.733108403353967</v>
      </c>
      <c r="BO24">
        <v>7613.1974057115767</v>
      </c>
      <c r="BP24">
        <v>3.1756639897981169</v>
      </c>
      <c r="BQ24">
        <v>1166.1038170538684</v>
      </c>
      <c r="BR24">
        <v>7.2398890404491629</v>
      </c>
      <c r="BS24">
        <v>2658.4872556529326</v>
      </c>
      <c r="BT24">
        <v>1.2306544913001678</v>
      </c>
      <c r="BU24">
        <v>451.89632920542158</v>
      </c>
      <c r="BV24">
        <v>8.318531336538495</v>
      </c>
      <c r="BW24">
        <v>3054.5647067769351</v>
      </c>
      <c r="BX24">
        <v>2.511742678703853</v>
      </c>
      <c r="BY24">
        <v>922.31191162005484</v>
      </c>
      <c r="BZ24">
        <v>9.2787305557193811</v>
      </c>
      <c r="CA24">
        <v>3407.1498600601567</v>
      </c>
      <c r="CB24">
        <v>11.669728448818027</v>
      </c>
      <c r="CC24">
        <v>4285.1242864059795</v>
      </c>
      <c r="CD24">
        <v>18</v>
      </c>
      <c r="CE24">
        <v>6609.5999999999995</v>
      </c>
      <c r="CF24">
        <v>26.456170486751738</v>
      </c>
      <c r="CG24">
        <v>9714.7058027352377</v>
      </c>
      <c r="CH24">
        <v>49.725422824458853</v>
      </c>
      <c r="CI24">
        <v>18259.175261141292</v>
      </c>
      <c r="CJ24">
        <v>7.9971321632656718</v>
      </c>
      <c r="CK24">
        <v>2936.5469303511545</v>
      </c>
      <c r="CL24">
        <v>30.094541920658784</v>
      </c>
      <c r="CM24">
        <v>11050.715793265905</v>
      </c>
      <c r="CN24">
        <v>3.9989807844218404</v>
      </c>
      <c r="CO24">
        <v>1468.4257440396998</v>
      </c>
      <c r="CP24">
        <v>5.49926228540438</v>
      </c>
      <c r="CQ24">
        <v>2019.3291112004883</v>
      </c>
      <c r="CR24">
        <v>0.90657879693271226</v>
      </c>
      <c r="CS24">
        <v>332.89573423369194</v>
      </c>
      <c r="CT24">
        <v>7.4655404246512846</v>
      </c>
      <c r="CU24">
        <v>2741.3464439319519</v>
      </c>
    </row>
    <row r="25" spans="2:99" x14ac:dyDescent="0.2">
      <c r="C25" s="105" t="s">
        <v>191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2.6296501365862746</v>
      </c>
      <c r="O25">
        <v>1394.7664324453599</v>
      </c>
      <c r="P25">
        <v>20.611516210580977</v>
      </c>
      <c r="Q25">
        <v>10932.34819809215</v>
      </c>
      <c r="R25">
        <v>6.6471272429317718</v>
      </c>
      <c r="S25">
        <v>3525.6362896510118</v>
      </c>
      <c r="T25">
        <v>20.796781153771054</v>
      </c>
      <c r="U25">
        <v>11030.612723960166</v>
      </c>
      <c r="V25">
        <v>4.3663891180246068</v>
      </c>
      <c r="W25">
        <v>2315.9327882002513</v>
      </c>
      <c r="X25">
        <v>27.196659529504849</v>
      </c>
      <c r="Y25">
        <v>14425.108214449372</v>
      </c>
      <c r="Z25">
        <v>3.6632271115286699</v>
      </c>
      <c r="AA25">
        <v>1942.9756599548064</v>
      </c>
      <c r="AB25">
        <v>43.972834059651113</v>
      </c>
      <c r="AC25">
        <v>23323.191185238949</v>
      </c>
      <c r="AD25">
        <v>7.2917051957560473</v>
      </c>
      <c r="AE25">
        <v>3867.5204358290075</v>
      </c>
      <c r="AF25">
        <v>49.173065611250678</v>
      </c>
      <c r="AG25">
        <v>26081.394000207358</v>
      </c>
      <c r="AH25">
        <v>5.8280907714581502</v>
      </c>
      <c r="AI25">
        <v>3091.2193451814028</v>
      </c>
      <c r="AJ25">
        <v>15</v>
      </c>
      <c r="AK25">
        <v>7956</v>
      </c>
      <c r="AL25">
        <v>7.6165518846955127</v>
      </c>
      <c r="AM25">
        <v>4039.8191196424996</v>
      </c>
      <c r="AN25">
        <v>9.726586355137</v>
      </c>
      <c r="AO25">
        <v>5158.9814027646644</v>
      </c>
      <c r="AP25">
        <v>3.8462165115217113</v>
      </c>
      <c r="AQ25">
        <v>2040.0332377111156</v>
      </c>
      <c r="AR25">
        <v>3.8802360533527618</v>
      </c>
      <c r="AS25">
        <v>2058.077202698305</v>
      </c>
      <c r="AT25">
        <v>5.4481564178594697</v>
      </c>
      <c r="AU25">
        <v>2889.7021640326625</v>
      </c>
      <c r="AV25">
        <v>4.0233898305084743</v>
      </c>
      <c r="AW25">
        <v>2134.0059661016949</v>
      </c>
      <c r="AX25">
        <v>4.1154958618658393</v>
      </c>
      <c r="AY25">
        <v>2182.8590051336409</v>
      </c>
      <c r="AZ25">
        <v>22.740715364995413</v>
      </c>
      <c r="BA25">
        <v>12061.675429593566</v>
      </c>
      <c r="BB25">
        <v>24.395614141271267</v>
      </c>
      <c r="BC25">
        <v>12939.433740530279</v>
      </c>
      <c r="BD25">
        <v>4.1717616512385822</v>
      </c>
      <c r="BE25">
        <v>2212.7023798169439</v>
      </c>
      <c r="BF25">
        <v>39.988805061941072</v>
      </c>
      <c r="BG25">
        <v>21210.062204853544</v>
      </c>
      <c r="BH25">
        <v>0</v>
      </c>
      <c r="BI25">
        <v>0</v>
      </c>
      <c r="BJ25">
        <v>49.089676131434565</v>
      </c>
      <c r="BK25">
        <v>26037.164220112893</v>
      </c>
      <c r="BL25">
        <v>4.4033998515274249</v>
      </c>
      <c r="BM25">
        <v>2335.5632812501462</v>
      </c>
      <c r="BN25">
        <v>20.436921140448913</v>
      </c>
      <c r="BO25">
        <v>10839.742972894102</v>
      </c>
      <c r="BP25">
        <v>3.1756639897981169</v>
      </c>
      <c r="BQ25">
        <v>1684.3721801889212</v>
      </c>
      <c r="BR25">
        <v>8.9106326651681993</v>
      </c>
      <c r="BS25">
        <v>4726.1995656052131</v>
      </c>
      <c r="BT25">
        <v>1.3075703970064283</v>
      </c>
      <c r="BU25">
        <v>693.53533857220953</v>
      </c>
      <c r="BV25">
        <v>9.7049532259615781</v>
      </c>
      <c r="BW25">
        <v>5147.507191050021</v>
      </c>
      <c r="BX25">
        <v>2.6911528700398426</v>
      </c>
      <c r="BY25">
        <v>1427.3874822691325</v>
      </c>
      <c r="BZ25">
        <v>9.9414970239850504</v>
      </c>
      <c r="CA25">
        <v>5272.9700215216708</v>
      </c>
      <c r="CB25">
        <v>10.296819219545316</v>
      </c>
      <c r="CC25">
        <v>5461.4329140468353</v>
      </c>
      <c r="CD25">
        <v>16</v>
      </c>
      <c r="CE25">
        <v>8486.4</v>
      </c>
      <c r="CF25">
        <v>24.155633922686373</v>
      </c>
      <c r="CG25">
        <v>12812.148232592852</v>
      </c>
      <c r="CH25">
        <v>51.860870430417208</v>
      </c>
      <c r="CI25">
        <v>27507.005676293287</v>
      </c>
      <c r="CJ25">
        <v>6.7761959551335087</v>
      </c>
      <c r="CK25">
        <v>3594.094334602813</v>
      </c>
      <c r="CL25">
        <v>27.618408724655211</v>
      </c>
      <c r="CM25">
        <v>14648.803987557123</v>
      </c>
      <c r="CN25">
        <v>3.5546495861527472</v>
      </c>
      <c r="CO25">
        <v>1885.3861404954171</v>
      </c>
      <c r="CP25">
        <v>5.2877521975042114</v>
      </c>
      <c r="CQ25">
        <v>2804.6237655562336</v>
      </c>
      <c r="CR25">
        <v>0.95190773677934792</v>
      </c>
      <c r="CS25">
        <v>504.89186358776612</v>
      </c>
      <c r="CT25">
        <v>7.4655404246512846</v>
      </c>
      <c r="CU25">
        <v>3959.722641235041</v>
      </c>
    </row>
    <row r="26" spans="2:99" x14ac:dyDescent="0.2">
      <c r="C26" s="105" t="s">
        <v>192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2.6296501365862746</v>
      </c>
      <c r="O26">
        <v>1278.0099663809294</v>
      </c>
      <c r="P26">
        <v>23.187955736903596</v>
      </c>
      <c r="Q26">
        <v>11269.346488135148</v>
      </c>
      <c r="R26">
        <v>6.0526687090110451</v>
      </c>
      <c r="S26">
        <v>2941.5969925793679</v>
      </c>
      <c r="T26">
        <v>18.197183509549671</v>
      </c>
      <c r="U26">
        <v>8843.8311856411401</v>
      </c>
      <c r="V26">
        <v>4.0752965101562992</v>
      </c>
      <c r="W26">
        <v>1980.5941039359614</v>
      </c>
      <c r="X26">
        <v>25.254040991683073</v>
      </c>
      <c r="Y26">
        <v>12273.463921957973</v>
      </c>
      <c r="Z26">
        <v>3.6632271115286699</v>
      </c>
      <c r="AA26">
        <v>1780.3283762029337</v>
      </c>
      <c r="AB26">
        <v>43.626591271779844</v>
      </c>
      <c r="AC26">
        <v>21202.523358085004</v>
      </c>
      <c r="AD26">
        <v>6.7160442592489913</v>
      </c>
      <c r="AE26">
        <v>3263.9975099950098</v>
      </c>
      <c r="AF26">
        <v>43.678868336250602</v>
      </c>
      <c r="AG26">
        <v>21227.930011417793</v>
      </c>
      <c r="AH26">
        <v>5.1085733922657868</v>
      </c>
      <c r="AI26">
        <v>2482.7666686411721</v>
      </c>
      <c r="AJ26">
        <v>17</v>
      </c>
      <c r="AK26">
        <v>8262</v>
      </c>
      <c r="AL26">
        <v>6.8548966962259614</v>
      </c>
      <c r="AM26">
        <v>3331.4797943658173</v>
      </c>
      <c r="AN26">
        <v>9.726586355137</v>
      </c>
      <c r="AO26">
        <v>4727.1209685965823</v>
      </c>
      <c r="AP26">
        <v>3.3445360969754012</v>
      </c>
      <c r="AQ26">
        <v>1625.4445431300451</v>
      </c>
      <c r="AR26">
        <v>3.8802360533527618</v>
      </c>
      <c r="AS26">
        <v>1885.7947219294422</v>
      </c>
      <c r="AT26">
        <v>5.0849459900021712</v>
      </c>
      <c r="AU26">
        <v>2471.2837511410553</v>
      </c>
      <c r="AV26">
        <v>4.0233898305084743</v>
      </c>
      <c r="AW26">
        <v>1955.3674576271185</v>
      </c>
      <c r="AX26">
        <v>4.1154958618658393</v>
      </c>
      <c r="AY26">
        <v>2000.1309888667979</v>
      </c>
      <c r="AZ26">
        <v>24.797664493487463</v>
      </c>
      <c r="BA26">
        <v>12051.664943834907</v>
      </c>
      <c r="BB26">
        <v>22.436842202921021</v>
      </c>
      <c r="BC26">
        <v>10904.305310619617</v>
      </c>
      <c r="BD26">
        <v>4.7481234583175969</v>
      </c>
      <c r="BE26">
        <v>2307.5880007423521</v>
      </c>
      <c r="BF26">
        <v>37.976789712912591</v>
      </c>
      <c r="BG26">
        <v>18456.719800475519</v>
      </c>
      <c r="BH26">
        <v>0</v>
      </c>
      <c r="BI26">
        <v>0</v>
      </c>
      <c r="BJ26">
        <v>48.462999414863063</v>
      </c>
      <c r="BK26">
        <v>23553.017715623449</v>
      </c>
      <c r="BL26">
        <v>4.121787070325091</v>
      </c>
      <c r="BM26">
        <v>2003.1885161779942</v>
      </c>
      <c r="BN26">
        <v>19.992640246091327</v>
      </c>
      <c r="BO26">
        <v>9716.4231596003847</v>
      </c>
      <c r="BP26">
        <v>3.5285155442201295</v>
      </c>
      <c r="BQ26">
        <v>1714.8585544909829</v>
      </c>
      <c r="BR26">
        <v>8.9106326651681993</v>
      </c>
      <c r="BS26">
        <v>4330.567475271745</v>
      </c>
      <c r="BT26">
        <v>1.1537385855939073</v>
      </c>
      <c r="BU26">
        <v>560.71695259863895</v>
      </c>
      <c r="BV26">
        <v>9.0117422812500365</v>
      </c>
      <c r="BW26">
        <v>4379.7067486875176</v>
      </c>
      <c r="BX26">
        <v>2.511742678703853</v>
      </c>
      <c r="BY26">
        <v>1220.7069418500726</v>
      </c>
      <c r="BZ26">
        <v>9.9414970239850504</v>
      </c>
      <c r="CA26">
        <v>4831.5675536567342</v>
      </c>
      <c r="CB26">
        <v>10.296819219545316</v>
      </c>
      <c r="CC26">
        <v>5004.254140699024</v>
      </c>
      <c r="CD26">
        <v>17</v>
      </c>
      <c r="CE26">
        <v>8262</v>
      </c>
      <c r="CF26">
        <v>21.982904945513525</v>
      </c>
      <c r="CG26">
        <v>10683.691803519572</v>
      </c>
      <c r="CH26">
        <v>46.979847331083825</v>
      </c>
      <c r="CI26">
        <v>22832.205802906738</v>
      </c>
      <c r="CJ26">
        <v>6.9593363863533328</v>
      </c>
      <c r="CK26">
        <v>3382.2374837677198</v>
      </c>
      <c r="CL26">
        <v>27.999352293271148</v>
      </c>
      <c r="CM26">
        <v>13607.685214529778</v>
      </c>
      <c r="CN26">
        <v>3.9989807844218404</v>
      </c>
      <c r="CO26">
        <v>1943.5046612290143</v>
      </c>
      <c r="CP26">
        <v>5.9222824612047171</v>
      </c>
      <c r="CQ26">
        <v>2878.2292761454923</v>
      </c>
      <c r="CR26">
        <v>0.95190773677934792</v>
      </c>
      <c r="CS26">
        <v>462.62716007476308</v>
      </c>
      <c r="CT26">
        <v>6.7545365746844954</v>
      </c>
      <c r="CU26">
        <v>3282.7047752966646</v>
      </c>
    </row>
    <row r="27" spans="2:99" x14ac:dyDescent="0.2">
      <c r="C27" s="105" t="s">
        <v>193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2.4074261813818008</v>
      </c>
      <c r="O27">
        <v>1028.4524646863053</v>
      </c>
      <c r="P27">
        <v>23.556018526378256</v>
      </c>
      <c r="Q27">
        <v>10063.131114468792</v>
      </c>
      <c r="R27">
        <v>6.3228771335204668</v>
      </c>
      <c r="S27">
        <v>2701.1331114399431</v>
      </c>
      <c r="T27">
        <v>17.330650961475879</v>
      </c>
      <c r="U27">
        <v>7403.6540907424951</v>
      </c>
      <c r="V27">
        <v>3.7842039022879921</v>
      </c>
      <c r="W27">
        <v>1616.6119070574302</v>
      </c>
      <c r="X27">
        <v>29.139278067326625</v>
      </c>
      <c r="Y27">
        <v>12448.299590361934</v>
      </c>
      <c r="Z27">
        <v>4.1865452703184802</v>
      </c>
      <c r="AA27">
        <v>1788.4921394800547</v>
      </c>
      <c r="AB27">
        <v>42.9341056960373</v>
      </c>
      <c r="AC27">
        <v>18341.449953347135</v>
      </c>
      <c r="AD27">
        <v>7.0998182169203616</v>
      </c>
      <c r="AE27">
        <v>3033.0423422683784</v>
      </c>
      <c r="AF27">
        <v>45.876547246250631</v>
      </c>
      <c r="AG27">
        <v>19598.46098359827</v>
      </c>
      <c r="AH27">
        <v>5.588251645060696</v>
      </c>
      <c r="AI27">
        <v>2387.3011027699295</v>
      </c>
      <c r="AJ27">
        <v>15</v>
      </c>
      <c r="AK27">
        <v>6408</v>
      </c>
      <c r="AL27">
        <v>7.6165518846955127</v>
      </c>
      <c r="AM27">
        <v>3253.7909651419232</v>
      </c>
      <c r="AN27">
        <v>10.942409649529123</v>
      </c>
      <c r="AO27">
        <v>4674.5974022788414</v>
      </c>
      <c r="AP27">
        <v>3.8462165115217113</v>
      </c>
      <c r="AQ27">
        <v>1643.1036937220749</v>
      </c>
      <c r="AR27">
        <v>4.2329847854757405</v>
      </c>
      <c r="AS27">
        <v>1808.3311003552362</v>
      </c>
      <c r="AT27">
        <v>5.4481564178594697</v>
      </c>
      <c r="AU27">
        <v>2327.4524217095654</v>
      </c>
      <c r="AV27">
        <v>4.0233898305084743</v>
      </c>
      <c r="AW27">
        <v>1718.7921355932201</v>
      </c>
      <c r="AX27">
        <v>4.1154958618658393</v>
      </c>
      <c r="AY27">
        <v>1758.1398321890865</v>
      </c>
      <c r="AZ27">
        <v>25.25476429981903</v>
      </c>
      <c r="BA27">
        <v>10788.83530888269</v>
      </c>
      <c r="BB27">
        <v>23.327193083989314</v>
      </c>
      <c r="BC27">
        <v>9965.3768854802347</v>
      </c>
      <c r="BD27">
        <v>4.6383402569692134</v>
      </c>
      <c r="BE27">
        <v>1981.4989577772478</v>
      </c>
      <c r="BF27">
        <v>38.228291631541147</v>
      </c>
      <c r="BG27">
        <v>16331.126184994377</v>
      </c>
      <c r="BH27">
        <v>0</v>
      </c>
      <c r="BI27">
        <v>0</v>
      </c>
      <c r="BJ27">
        <v>50.96970628114908</v>
      </c>
      <c r="BK27">
        <v>21774.258523306886</v>
      </c>
      <c r="BL27">
        <v>4.0961859083976053</v>
      </c>
      <c r="BM27">
        <v>1749.8906200674569</v>
      </c>
      <c r="BN27">
        <v>22.806419243689366</v>
      </c>
      <c r="BO27">
        <v>9742.9023009040975</v>
      </c>
      <c r="BP27">
        <v>3.1756639897981169</v>
      </c>
      <c r="BQ27">
        <v>1356.6436564417554</v>
      </c>
      <c r="BR27">
        <v>7.796803582022175</v>
      </c>
      <c r="BS27">
        <v>3330.7944902398731</v>
      </c>
      <c r="BT27">
        <v>1.2306544913001678</v>
      </c>
      <c r="BU27">
        <v>525.7355986834317</v>
      </c>
      <c r="BV27">
        <v>8.318531336538495</v>
      </c>
      <c r="BW27">
        <v>3553.6765869692449</v>
      </c>
      <c r="BX27">
        <v>2.8705630613758317</v>
      </c>
      <c r="BY27">
        <v>1226.3045398197553</v>
      </c>
      <c r="BZ27">
        <v>9.2787305557193811</v>
      </c>
      <c r="CA27">
        <v>3963.8736934033195</v>
      </c>
      <c r="CB27">
        <v>11.669728448818027</v>
      </c>
      <c r="CC27">
        <v>4985.3079933350609</v>
      </c>
      <c r="CD27">
        <v>17</v>
      </c>
      <c r="CE27">
        <v>7262.4</v>
      </c>
      <c r="CF27">
        <v>22.110712532406044</v>
      </c>
      <c r="CG27">
        <v>9445.6963938438621</v>
      </c>
      <c r="CH27">
        <v>48.810230993333839</v>
      </c>
      <c r="CI27">
        <v>20851.730680352215</v>
      </c>
      <c r="CJ27">
        <v>7.2035236279797656</v>
      </c>
      <c r="CK27">
        <v>3077.3452938729556</v>
      </c>
      <c r="CL27">
        <v>29.332654783426918</v>
      </c>
      <c r="CM27">
        <v>12530.910123479978</v>
      </c>
      <c r="CN27">
        <v>3.5546495861527472</v>
      </c>
      <c r="CO27">
        <v>1518.5463032044536</v>
      </c>
      <c r="CP27">
        <v>5.49926228540438</v>
      </c>
      <c r="CQ27">
        <v>2349.2848483247512</v>
      </c>
      <c r="CR27">
        <v>0.86124985708607671</v>
      </c>
      <c r="CS27">
        <v>367.92593894717197</v>
      </c>
      <c r="CT27">
        <v>7.1100384996678896</v>
      </c>
      <c r="CU27">
        <v>3037.4084470581224</v>
      </c>
    </row>
    <row r="28" spans="2:99" x14ac:dyDescent="0.2">
      <c r="C28" s="105" t="s">
        <v>194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2.5185381589840374</v>
      </c>
      <c r="O28">
        <v>1858.6811613302195</v>
      </c>
      <c r="P28">
        <v>18.771202263207673</v>
      </c>
      <c r="Q28">
        <v>13853.147270247262</v>
      </c>
      <c r="R28">
        <v>6.4850021882261197</v>
      </c>
      <c r="S28">
        <v>4785.9316149108763</v>
      </c>
      <c r="T28">
        <v>17.330650961475879</v>
      </c>
      <c r="U28">
        <v>12790.020409569199</v>
      </c>
      <c r="V28">
        <v>3.6386575983538383</v>
      </c>
      <c r="W28">
        <v>2685.3293075851325</v>
      </c>
      <c r="X28">
        <v>25.254040991683073</v>
      </c>
      <c r="Y28">
        <v>18637.482251862108</v>
      </c>
      <c r="Z28">
        <v>3.6632271115286699</v>
      </c>
      <c r="AA28">
        <v>2703.4616083081582</v>
      </c>
      <c r="AB28">
        <v>36.00924993861193</v>
      </c>
      <c r="AC28">
        <v>26574.826454695605</v>
      </c>
      <c r="AD28">
        <v>7.0358558906418001</v>
      </c>
      <c r="AE28">
        <v>5192.4616472936486</v>
      </c>
      <c r="AF28">
        <v>43.129448608750593</v>
      </c>
      <c r="AG28">
        <v>31829.533073257939</v>
      </c>
      <c r="AH28">
        <v>5.348412518663241</v>
      </c>
      <c r="AI28">
        <v>3947.1284387734718</v>
      </c>
      <c r="AJ28">
        <v>15</v>
      </c>
      <c r="AK28">
        <v>11070</v>
      </c>
      <c r="AL28">
        <v>7.6165518846955127</v>
      </c>
      <c r="AM28">
        <v>5621.0152909052886</v>
      </c>
      <c r="AN28">
        <v>10.334498002333062</v>
      </c>
      <c r="AO28">
        <v>7626.8595257217994</v>
      </c>
      <c r="AP28">
        <v>3.3445360969754012</v>
      </c>
      <c r="AQ28">
        <v>2468.2676395678459</v>
      </c>
      <c r="AR28">
        <v>3.527487321229783</v>
      </c>
      <c r="AS28">
        <v>2603.2856430675797</v>
      </c>
      <c r="AT28">
        <v>4.7217355621448736</v>
      </c>
      <c r="AU28">
        <v>3484.6408448629168</v>
      </c>
      <c r="AV28">
        <v>3.4044067796610173</v>
      </c>
      <c r="AW28">
        <v>2512.4522033898306</v>
      </c>
      <c r="AX28">
        <v>4.1154958618658393</v>
      </c>
      <c r="AY28">
        <v>3037.2359460569892</v>
      </c>
      <c r="AZ28">
        <v>23.426365074492765</v>
      </c>
      <c r="BA28">
        <v>17288.65742497566</v>
      </c>
      <c r="BB28">
        <v>21.902631674280045</v>
      </c>
      <c r="BC28">
        <v>16164.142175618674</v>
      </c>
      <c r="BD28">
        <v>4.1992074515756777</v>
      </c>
      <c r="BE28">
        <v>3099.0150992628501</v>
      </c>
      <c r="BF28">
        <v>35.21026860799843</v>
      </c>
      <c r="BG28">
        <v>25985.178232702841</v>
      </c>
      <c r="BH28">
        <v>0</v>
      </c>
      <c r="BI28">
        <v>0</v>
      </c>
      <c r="BJ28">
        <v>40.942878816004999</v>
      </c>
      <c r="BK28">
        <v>30215.84456621169</v>
      </c>
      <c r="BL28">
        <v>4.5314056611648512</v>
      </c>
      <c r="BM28">
        <v>3344.1773779396603</v>
      </c>
      <c r="BN28">
        <v>20.436921140448913</v>
      </c>
      <c r="BO28">
        <v>15082.447801651299</v>
      </c>
      <c r="BP28">
        <v>3.5285155442201295</v>
      </c>
      <c r="BQ28">
        <v>2604.0444716344555</v>
      </c>
      <c r="BR28">
        <v>7.796803582022175</v>
      </c>
      <c r="BS28">
        <v>5754.0410435323656</v>
      </c>
      <c r="BT28">
        <v>1.1537385855939073</v>
      </c>
      <c r="BU28">
        <v>851.45907616830357</v>
      </c>
      <c r="BV28">
        <v>8.318531336538495</v>
      </c>
      <c r="BW28">
        <v>6139.0761263654094</v>
      </c>
      <c r="BX28">
        <v>2.511742678703853</v>
      </c>
      <c r="BY28">
        <v>1853.6660968834435</v>
      </c>
      <c r="BZ28">
        <v>9.9414970239850504</v>
      </c>
      <c r="CA28">
        <v>7336.8248037009671</v>
      </c>
      <c r="CB28">
        <v>9.6103646049089626</v>
      </c>
      <c r="CC28">
        <v>7092.4490784228146</v>
      </c>
      <c r="CD28">
        <v>16</v>
      </c>
      <c r="CE28">
        <v>11808</v>
      </c>
      <c r="CF28">
        <v>22.238520119298563</v>
      </c>
      <c r="CG28">
        <v>16412.02784804234</v>
      </c>
      <c r="CH28">
        <v>50.030486768167187</v>
      </c>
      <c r="CI28">
        <v>36922.499234907387</v>
      </c>
      <c r="CJ28">
        <v>6.4709619031004673</v>
      </c>
      <c r="CK28">
        <v>4775.5698844881445</v>
      </c>
      <c r="CL28">
        <v>26.094634450191478</v>
      </c>
      <c r="CM28">
        <v>19257.84022424131</v>
      </c>
      <c r="CN28">
        <v>3.5546495861527472</v>
      </c>
      <c r="CO28">
        <v>2623.3313945807272</v>
      </c>
      <c r="CP28">
        <v>5.0762421096040429</v>
      </c>
      <c r="CQ28">
        <v>3746.2666768877834</v>
      </c>
      <c r="CR28">
        <v>0.95190773677934792</v>
      </c>
      <c r="CS28">
        <v>702.50790974315873</v>
      </c>
      <c r="CT28">
        <v>7.1100384996678896</v>
      </c>
      <c r="CU28">
        <v>5247.2084127549024</v>
      </c>
    </row>
    <row r="29" spans="2:99" x14ac:dyDescent="0.2">
      <c r="C29" s="105" t="s">
        <v>195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2.7777994400559241</v>
      </c>
      <c r="O29">
        <v>940.00733051492466</v>
      </c>
      <c r="P29">
        <v>21.347641789530297</v>
      </c>
      <c r="Q29">
        <v>7224.041981577052</v>
      </c>
      <c r="R29">
        <v>6.2147937637166981</v>
      </c>
      <c r="S29">
        <v>2103.0862096417304</v>
      </c>
      <c r="T29">
        <v>20.796781153771054</v>
      </c>
      <c r="U29">
        <v>7037.6307424361239</v>
      </c>
      <c r="V29">
        <v>3.9297502062221459</v>
      </c>
      <c r="W29">
        <v>1329.8274697855741</v>
      </c>
      <c r="X29">
        <v>28.167968798415735</v>
      </c>
      <c r="Y29">
        <v>9532.0406413838846</v>
      </c>
      <c r="Z29">
        <v>3.924886190923575</v>
      </c>
      <c r="AA29">
        <v>1328.1814870085377</v>
      </c>
      <c r="AB29">
        <v>43.972834059651113</v>
      </c>
      <c r="AC29">
        <v>14880.407045785936</v>
      </c>
      <c r="AD29">
        <v>7.6754791534274185</v>
      </c>
      <c r="AE29">
        <v>2597.3821455198381</v>
      </c>
      <c r="AF29">
        <v>43.678868336250602</v>
      </c>
      <c r="AG29">
        <v>14780.929044987202</v>
      </c>
      <c r="AH29">
        <v>5.9480103346568773</v>
      </c>
      <c r="AI29">
        <v>2012.8066972478871</v>
      </c>
      <c r="AJ29">
        <v>15</v>
      </c>
      <c r="AK29">
        <v>5076</v>
      </c>
      <c r="AL29">
        <v>7.6165518846955127</v>
      </c>
      <c r="AM29">
        <v>2577.4411577809615</v>
      </c>
      <c r="AN29">
        <v>10.942409649529123</v>
      </c>
      <c r="AO29">
        <v>3702.9114254006549</v>
      </c>
      <c r="AP29">
        <v>3.8462165115217113</v>
      </c>
      <c r="AQ29">
        <v>1301.559667498947</v>
      </c>
      <c r="AR29">
        <v>4.2329847854757405</v>
      </c>
      <c r="AS29">
        <v>1432.4420514049905</v>
      </c>
      <c r="AT29">
        <v>5.4481564178594697</v>
      </c>
      <c r="AU29">
        <v>1843.6561318036445</v>
      </c>
      <c r="AV29">
        <v>4.0233898305084743</v>
      </c>
      <c r="AW29">
        <v>1361.5151186440676</v>
      </c>
      <c r="AX29">
        <v>4.1154958618658393</v>
      </c>
      <c r="AY29">
        <v>1392.6837996554</v>
      </c>
      <c r="AZ29">
        <v>25.369039251401922</v>
      </c>
      <c r="BA29">
        <v>8584.8828826744102</v>
      </c>
      <c r="BB29">
        <v>21.902631674280045</v>
      </c>
      <c r="BC29">
        <v>7411.8505585763669</v>
      </c>
      <c r="BD29">
        <v>4.7481234583175969</v>
      </c>
      <c r="BE29">
        <v>1606.7649782946746</v>
      </c>
      <c r="BF29">
        <v>37.976789712912591</v>
      </c>
      <c r="BG29">
        <v>12851.34563884962</v>
      </c>
      <c r="BH29">
        <v>0</v>
      </c>
      <c r="BI29">
        <v>0</v>
      </c>
      <c r="BJ29">
        <v>50.13413732572041</v>
      </c>
      <c r="BK29">
        <v>16965.392071023787</v>
      </c>
      <c r="BL29">
        <v>4.4033998515274249</v>
      </c>
      <c r="BM29">
        <v>1490.1105097568804</v>
      </c>
      <c r="BN29">
        <v>22.658325612236833</v>
      </c>
      <c r="BO29">
        <v>7667.5773871809442</v>
      </c>
      <c r="BP29">
        <v>3.1756639897981169</v>
      </c>
      <c r="BQ29">
        <v>1074.6446941476827</v>
      </c>
      <c r="BR29">
        <v>8.9106326651681993</v>
      </c>
      <c r="BS29">
        <v>3015.3580938929185</v>
      </c>
      <c r="BT29">
        <v>1.1537385855939073</v>
      </c>
      <c r="BU29">
        <v>390.42513736497818</v>
      </c>
      <c r="BV29">
        <v>7.6253203918269534</v>
      </c>
      <c r="BW29">
        <v>2580.4084205942409</v>
      </c>
      <c r="BX29">
        <v>2.8705630613758317</v>
      </c>
      <c r="BY29">
        <v>971.39853996958141</v>
      </c>
      <c r="BZ29">
        <v>8.61596408745371</v>
      </c>
      <c r="CA29">
        <v>2915.6422471943351</v>
      </c>
      <c r="CB29">
        <v>10.296819219545316</v>
      </c>
      <c r="CC29">
        <v>3484.4436238941348</v>
      </c>
      <c r="CD29">
        <v>17</v>
      </c>
      <c r="CE29">
        <v>5752.7999999999993</v>
      </c>
      <c r="CF29">
        <v>25.433709791611577</v>
      </c>
      <c r="CG29">
        <v>8606.7673934813574</v>
      </c>
      <c r="CH29">
        <v>53.691254092667229</v>
      </c>
      <c r="CI29">
        <v>18169.120384958591</v>
      </c>
      <c r="CJ29">
        <v>8.4244598361119287</v>
      </c>
      <c r="CK29">
        <v>2850.8372085402766</v>
      </c>
      <c r="CL29">
        <v>29.713598352042847</v>
      </c>
      <c r="CM29">
        <v>10055.0816823313</v>
      </c>
      <c r="CN29">
        <v>3.9989807844218404</v>
      </c>
      <c r="CO29">
        <v>1353.2550974483506</v>
      </c>
      <c r="CP29">
        <v>5.2877521975042114</v>
      </c>
      <c r="CQ29">
        <v>1789.375343635425</v>
      </c>
      <c r="CR29">
        <v>0.86124985708607671</v>
      </c>
      <c r="CS29">
        <v>291.44695163792835</v>
      </c>
      <c r="CT29">
        <v>7.1100384996678896</v>
      </c>
      <c r="CU29">
        <v>2406.0370282876138</v>
      </c>
    </row>
    <row r="30" spans="2:99" x14ac:dyDescent="0.2">
      <c r="C30" s="105" t="s">
        <v>196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2.7037247883210989</v>
      </c>
      <c r="O30">
        <v>376.35849053429695</v>
      </c>
      <c r="P30">
        <v>20.795547605318305</v>
      </c>
      <c r="Q30">
        <v>2894.7402266603076</v>
      </c>
      <c r="R30">
        <v>6.6471272429317718</v>
      </c>
      <c r="S30">
        <v>925.28011221610257</v>
      </c>
      <c r="T30">
        <v>20.796781153771054</v>
      </c>
      <c r="U30">
        <v>2894.9119366049304</v>
      </c>
      <c r="V30">
        <v>3.9297502062221459</v>
      </c>
      <c r="W30">
        <v>547.02122870612266</v>
      </c>
      <c r="X30">
        <v>26.225350260593963</v>
      </c>
      <c r="Y30">
        <v>3650.5687562746793</v>
      </c>
      <c r="Z30">
        <v>3.7940566512261227</v>
      </c>
      <c r="AA30">
        <v>528.13268585067624</v>
      </c>
      <c r="AB30">
        <v>42.587862908166038</v>
      </c>
      <c r="AC30">
        <v>5928.2305168167122</v>
      </c>
      <c r="AD30">
        <v>6.9399124012239577</v>
      </c>
      <c r="AE30">
        <v>966.03580625037478</v>
      </c>
      <c r="AF30">
        <v>50.821324793750698</v>
      </c>
      <c r="AG30">
        <v>7074.3284112900965</v>
      </c>
      <c r="AH30">
        <v>5.9959781599363682</v>
      </c>
      <c r="AI30">
        <v>834.64015986314234</v>
      </c>
      <c r="AJ30">
        <v>15</v>
      </c>
      <c r="AK30">
        <v>2088</v>
      </c>
      <c r="AL30">
        <v>7.2357242904607366</v>
      </c>
      <c r="AM30">
        <v>1007.2128212321345</v>
      </c>
      <c r="AN30">
        <v>10.334498002333062</v>
      </c>
      <c r="AO30">
        <v>1438.5621219247621</v>
      </c>
      <c r="AP30">
        <v>3.8462165115217113</v>
      </c>
      <c r="AQ30">
        <v>535.39333840382221</v>
      </c>
      <c r="AR30">
        <v>4.2329847854757405</v>
      </c>
      <c r="AS30">
        <v>589.23148213822299</v>
      </c>
      <c r="AT30">
        <v>4.7217355621448736</v>
      </c>
      <c r="AU30">
        <v>657.26559025056633</v>
      </c>
      <c r="AV30">
        <v>3.7138983050847458</v>
      </c>
      <c r="AW30">
        <v>516.97464406779659</v>
      </c>
      <c r="AX30">
        <v>4.1154958618658393</v>
      </c>
      <c r="AY30">
        <v>572.87702397172473</v>
      </c>
      <c r="AZ30">
        <v>25.826139057733485</v>
      </c>
      <c r="BA30">
        <v>3594.9985568365009</v>
      </c>
      <c r="BB30">
        <v>23.683333436416632</v>
      </c>
      <c r="BC30">
        <v>3296.720014349195</v>
      </c>
      <c r="BD30">
        <v>5.0500272620256519</v>
      </c>
      <c r="BE30">
        <v>702.96379487397064</v>
      </c>
      <c r="BF30">
        <v>43.509831922740908</v>
      </c>
      <c r="BG30">
        <v>6056.5686036455336</v>
      </c>
      <c r="BH30">
        <v>0</v>
      </c>
      <c r="BI30">
        <v>0</v>
      </c>
      <c r="BJ30">
        <v>47.627430459434386</v>
      </c>
      <c r="BK30">
        <v>6629.738319953266</v>
      </c>
      <c r="BL30">
        <v>4.5058044992373656</v>
      </c>
      <c r="BM30">
        <v>627.20798629384126</v>
      </c>
      <c r="BN30">
        <v>23.991168295309588</v>
      </c>
      <c r="BO30">
        <v>3339.5706267070946</v>
      </c>
      <c r="BP30">
        <v>3.5285155442201295</v>
      </c>
      <c r="BQ30">
        <v>491.16936375544196</v>
      </c>
      <c r="BR30">
        <v>8.3537181235951863</v>
      </c>
      <c r="BS30">
        <v>1162.8375628044498</v>
      </c>
      <c r="BT30">
        <v>1.2306544913001678</v>
      </c>
      <c r="BU30">
        <v>171.30710518898334</v>
      </c>
      <c r="BV30">
        <v>8.318531336538495</v>
      </c>
      <c r="BW30">
        <v>1157.9395620461585</v>
      </c>
      <c r="BX30">
        <v>2.8705630613758317</v>
      </c>
      <c r="BY30">
        <v>399.58237814351577</v>
      </c>
      <c r="BZ30">
        <v>9.2787305557193811</v>
      </c>
      <c r="CA30">
        <v>1291.5992933561377</v>
      </c>
      <c r="CB30">
        <v>10.983273834181674</v>
      </c>
      <c r="CC30">
        <v>1528.8717177180888</v>
      </c>
      <c r="CD30">
        <v>15</v>
      </c>
      <c r="CE30">
        <v>2088</v>
      </c>
      <c r="CF30">
        <v>25.305902204719057</v>
      </c>
      <c r="CG30">
        <v>3522.5815868968925</v>
      </c>
      <c r="CH30">
        <v>58.267213248292279</v>
      </c>
      <c r="CI30">
        <v>8110.7960841622844</v>
      </c>
      <c r="CJ30">
        <v>8.8517875089581857</v>
      </c>
      <c r="CK30">
        <v>1232.1688212469794</v>
      </c>
      <c r="CL30">
        <v>27.427936940347248</v>
      </c>
      <c r="CM30">
        <v>3817.9688220963367</v>
      </c>
      <c r="CN30">
        <v>3.776815185287294</v>
      </c>
      <c r="CO30">
        <v>525.73267379199126</v>
      </c>
      <c r="CP30">
        <v>5.7107723733045486</v>
      </c>
      <c r="CQ30">
        <v>794.93951436399311</v>
      </c>
      <c r="CR30">
        <v>0.86124985708607671</v>
      </c>
      <c r="CS30">
        <v>119.88598010638187</v>
      </c>
      <c r="CT30">
        <v>7.1100384996678896</v>
      </c>
      <c r="CU30">
        <v>989.71735915377019</v>
      </c>
    </row>
    <row r="31" spans="2:99" x14ac:dyDescent="0.2">
      <c r="C31" s="105" t="s">
        <v>197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2.5926128107188622</v>
      </c>
      <c r="O31">
        <v>883.56244589298831</v>
      </c>
      <c r="P31">
        <v>20.979579000055637</v>
      </c>
      <c r="Q31">
        <v>7149.8405232189616</v>
      </c>
      <c r="R31">
        <v>6.9713773523430786</v>
      </c>
      <c r="S31">
        <v>2375.8454016785213</v>
      </c>
      <c r="T31">
        <v>18.197183509549671</v>
      </c>
      <c r="U31">
        <v>6201.6001400545283</v>
      </c>
      <c r="V31">
        <v>4.220842814090453</v>
      </c>
      <c r="W31">
        <v>1438.4632310420263</v>
      </c>
      <c r="X31">
        <v>30.110587336237511</v>
      </c>
      <c r="Y31">
        <v>10261.688164189743</v>
      </c>
      <c r="Z31">
        <v>4.1865452703184802</v>
      </c>
      <c r="AA31">
        <v>1426.7746281245381</v>
      </c>
      <c r="AB31">
        <v>46.396533574749995</v>
      </c>
      <c r="AC31">
        <v>15811.938642274799</v>
      </c>
      <c r="AD31">
        <v>7.1637805431989241</v>
      </c>
      <c r="AE31">
        <v>2441.4164091221933</v>
      </c>
      <c r="AF31">
        <v>46.975386701250649</v>
      </c>
      <c r="AG31">
        <v>16009.211787786222</v>
      </c>
      <c r="AH31">
        <v>5.3244286060234955</v>
      </c>
      <c r="AI31">
        <v>1814.5652689328074</v>
      </c>
      <c r="AJ31">
        <v>15</v>
      </c>
      <c r="AK31">
        <v>5112</v>
      </c>
      <c r="AL31">
        <v>7.2357242904607366</v>
      </c>
      <c r="AM31">
        <v>2465.934838189019</v>
      </c>
      <c r="AN31">
        <v>10.942409649529123</v>
      </c>
      <c r="AO31">
        <v>3729.1732085595254</v>
      </c>
      <c r="AP31">
        <v>3.3445360969754012</v>
      </c>
      <c r="AQ31">
        <v>1139.8179018492167</v>
      </c>
      <c r="AR31">
        <v>3.8802360533527618</v>
      </c>
      <c r="AS31">
        <v>1322.3844469826213</v>
      </c>
      <c r="AT31">
        <v>5.0849459900021712</v>
      </c>
      <c r="AU31">
        <v>1732.9495933927401</v>
      </c>
      <c r="AV31">
        <v>3.7138983050847458</v>
      </c>
      <c r="AW31">
        <v>1265.6965423728814</v>
      </c>
      <c r="AX31">
        <v>4.6299328445990691</v>
      </c>
      <c r="AY31">
        <v>1577.8811134393627</v>
      </c>
      <c r="AZ31">
        <v>21.597965849166499</v>
      </c>
      <c r="BA31">
        <v>7360.5867613959435</v>
      </c>
      <c r="BB31">
        <v>25.464035198553219</v>
      </c>
      <c r="BC31">
        <v>8678.1431956669367</v>
      </c>
      <c r="BD31">
        <v>4.4187738542724455</v>
      </c>
      <c r="BE31">
        <v>1505.9181295360495</v>
      </c>
      <c r="BF31">
        <v>42.252322329598115</v>
      </c>
      <c r="BG31">
        <v>14399.591449927038</v>
      </c>
      <c r="BH31">
        <v>0</v>
      </c>
      <c r="BI31">
        <v>0</v>
      </c>
      <c r="BJ31">
        <v>50.760814042291912</v>
      </c>
      <c r="BK31">
        <v>17299.285425613085</v>
      </c>
      <c r="BL31">
        <v>4.7106137946572462</v>
      </c>
      <c r="BM31">
        <v>1605.3771812191897</v>
      </c>
      <c r="BN31">
        <v>23.102606506594419</v>
      </c>
      <c r="BO31">
        <v>7873.3682974473786</v>
      </c>
      <c r="BP31">
        <v>3.5285155442201295</v>
      </c>
      <c r="BQ31">
        <v>1202.5180974702203</v>
      </c>
      <c r="BR31">
        <v>7.796803582022175</v>
      </c>
      <c r="BS31">
        <v>2657.1506607531574</v>
      </c>
      <c r="BT31">
        <v>1.0768226798876468</v>
      </c>
      <c r="BU31">
        <v>366.98116930571001</v>
      </c>
      <c r="BV31">
        <v>9.0117422812500365</v>
      </c>
      <c r="BW31">
        <v>3071.2017694500128</v>
      </c>
      <c r="BX31">
        <v>2.6911528700398426</v>
      </c>
      <c r="BY31">
        <v>917.14489810957843</v>
      </c>
      <c r="BZ31">
        <v>9.9414970239850504</v>
      </c>
      <c r="CA31">
        <v>3388.0621857741053</v>
      </c>
      <c r="CB31">
        <v>11.669728448818027</v>
      </c>
      <c r="CC31">
        <v>3977.043455357184</v>
      </c>
      <c r="CD31">
        <v>17</v>
      </c>
      <c r="CE31">
        <v>5793.6</v>
      </c>
      <c r="CF31">
        <v>26.711785660536783</v>
      </c>
      <c r="CG31">
        <v>9103.3765531109366</v>
      </c>
      <c r="CH31">
        <v>47.284911274792158</v>
      </c>
      <c r="CI31">
        <v>16114.697762449168</v>
      </c>
      <c r="CJ31">
        <v>7.7529449216392399</v>
      </c>
      <c r="CK31">
        <v>2642.2036292946532</v>
      </c>
      <c r="CL31">
        <v>25.713690881575541</v>
      </c>
      <c r="CM31">
        <v>8763.2258524409444</v>
      </c>
      <c r="CN31">
        <v>3.5546495861527472</v>
      </c>
      <c r="CO31">
        <v>1211.4245789608563</v>
      </c>
      <c r="CP31">
        <v>5.7107723733045486</v>
      </c>
      <c r="CQ31">
        <v>1946.2312248221901</v>
      </c>
      <c r="CR31">
        <v>0.86124985708607671</v>
      </c>
      <c r="CS31">
        <v>293.51395129493494</v>
      </c>
      <c r="CT31">
        <v>8.1765442746180721</v>
      </c>
      <c r="CU31">
        <v>2786.5662887898388</v>
      </c>
    </row>
    <row r="32" spans="2:99" x14ac:dyDescent="0.2">
      <c r="C32" s="105" t="s">
        <v>198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2.6666874624536869</v>
      </c>
      <c r="O32">
        <v>2240.017468461097</v>
      </c>
      <c r="P32">
        <v>21.347641789530297</v>
      </c>
      <c r="Q32">
        <v>17932.01910320545</v>
      </c>
      <c r="R32">
        <v>6.3769188184223511</v>
      </c>
      <c r="S32">
        <v>5356.6118074747747</v>
      </c>
      <c r="T32">
        <v>17.330650961475879</v>
      </c>
      <c r="U32">
        <v>14557.746807639738</v>
      </c>
      <c r="V32">
        <v>3.7842039022879921</v>
      </c>
      <c r="W32">
        <v>3178.7312779219133</v>
      </c>
      <c r="X32">
        <v>28.167968798415735</v>
      </c>
      <c r="Y32">
        <v>23661.093790669216</v>
      </c>
      <c r="Z32">
        <v>3.924886190923575</v>
      </c>
      <c r="AA32">
        <v>3296.9044003758031</v>
      </c>
      <c r="AB32">
        <v>42.9341056960373</v>
      </c>
      <c r="AC32">
        <v>36064.648784671328</v>
      </c>
      <c r="AD32">
        <v>7.2277428694774857</v>
      </c>
      <c r="AE32">
        <v>6071.3040103610883</v>
      </c>
      <c r="AF32">
        <v>45.876547246250631</v>
      </c>
      <c r="AG32">
        <v>38536.299686850529</v>
      </c>
      <c r="AH32">
        <v>5.5642677324209506</v>
      </c>
      <c r="AI32">
        <v>4673.9848952335988</v>
      </c>
      <c r="AJ32">
        <v>15</v>
      </c>
      <c r="AK32">
        <v>12600</v>
      </c>
      <c r="AL32">
        <v>8.3782070731650631</v>
      </c>
      <c r="AM32">
        <v>7037.6939414586532</v>
      </c>
      <c r="AN32">
        <v>10.334498002333062</v>
      </c>
      <c r="AO32">
        <v>8680.9783219597721</v>
      </c>
      <c r="AP32">
        <v>3.3445360969754012</v>
      </c>
      <c r="AQ32">
        <v>2809.410321459337</v>
      </c>
      <c r="AR32">
        <v>3.8802360533527618</v>
      </c>
      <c r="AS32">
        <v>3259.39828481632</v>
      </c>
      <c r="AT32">
        <v>4.7217355621448736</v>
      </c>
      <c r="AU32">
        <v>3966.2578722016938</v>
      </c>
      <c r="AV32">
        <v>3.4044067796610173</v>
      </c>
      <c r="AW32">
        <v>2859.7016949152544</v>
      </c>
      <c r="AX32">
        <v>4.1154958618658393</v>
      </c>
      <c r="AY32">
        <v>3457.0165239673051</v>
      </c>
      <c r="AZ32">
        <v>22.854990316578306</v>
      </c>
      <c r="BA32">
        <v>19198.191865925775</v>
      </c>
      <c r="BB32">
        <v>20.300000088357116</v>
      </c>
      <c r="BC32">
        <v>17052.000074219977</v>
      </c>
      <c r="BD32">
        <v>4.0345326495531024</v>
      </c>
      <c r="BE32">
        <v>3389.0074256246062</v>
      </c>
      <c r="BF32">
        <v>32.443747503084268</v>
      </c>
      <c r="BG32">
        <v>27252.747902590785</v>
      </c>
      <c r="BH32">
        <v>0</v>
      </c>
      <c r="BI32">
        <v>0</v>
      </c>
      <c r="BJ32">
        <v>41.569555532576501</v>
      </c>
      <c r="BK32">
        <v>34918.426647364264</v>
      </c>
      <c r="BL32">
        <v>4.557006823092336</v>
      </c>
      <c r="BM32">
        <v>3827.8857313975623</v>
      </c>
      <c r="BN32">
        <v>20.733108403353967</v>
      </c>
      <c r="BO32">
        <v>17415.811058817333</v>
      </c>
      <c r="BP32">
        <v>3.5285155442201295</v>
      </c>
      <c r="BQ32">
        <v>2963.9530571449086</v>
      </c>
      <c r="BR32">
        <v>7.796803582022175</v>
      </c>
      <c r="BS32">
        <v>6549.3150088986267</v>
      </c>
      <c r="BT32">
        <v>1.2306544913001678</v>
      </c>
      <c r="BU32">
        <v>1033.7497726921411</v>
      </c>
      <c r="BV32">
        <v>8.318531336538495</v>
      </c>
      <c r="BW32">
        <v>6987.5663226923361</v>
      </c>
      <c r="BX32">
        <v>2.3323324873678635</v>
      </c>
      <c r="BY32">
        <v>1959.1592893890054</v>
      </c>
      <c r="BZ32">
        <v>8.61596408745371</v>
      </c>
      <c r="CA32">
        <v>7237.4098334611162</v>
      </c>
      <c r="CB32">
        <v>10.296819219545316</v>
      </c>
      <c r="CC32">
        <v>8649.3281444180666</v>
      </c>
      <c r="CD32">
        <v>14</v>
      </c>
      <c r="CE32">
        <v>11760</v>
      </c>
      <c r="CF32">
        <v>23.133173227546205</v>
      </c>
      <c r="CG32">
        <v>19431.865511138811</v>
      </c>
      <c r="CH32">
        <v>48.810230993333839</v>
      </c>
      <c r="CI32">
        <v>41000.594034400427</v>
      </c>
      <c r="CJ32">
        <v>6.7151491447269001</v>
      </c>
      <c r="CK32">
        <v>5640.7252815705961</v>
      </c>
      <c r="CL32">
        <v>24.380388391419771</v>
      </c>
      <c r="CM32">
        <v>20479.526248792608</v>
      </c>
      <c r="CN32">
        <v>3.9989807844218404</v>
      </c>
      <c r="CO32">
        <v>3359.1438589143459</v>
      </c>
      <c r="CP32">
        <v>5.49926228540438</v>
      </c>
      <c r="CQ32">
        <v>4619.3803197396792</v>
      </c>
      <c r="CR32">
        <v>0.95190773677934792</v>
      </c>
      <c r="CS32">
        <v>799.60249889465229</v>
      </c>
      <c r="CT32">
        <v>7.1100384996678896</v>
      </c>
      <c r="CU32">
        <v>5972.4323397210273</v>
      </c>
    </row>
    <row r="33" spans="2:99" x14ac:dyDescent="0.2">
      <c r="C33" s="105" t="s">
        <v>199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2.6296501365862746</v>
      </c>
      <c r="O33">
        <v>1246.4541647418941</v>
      </c>
      <c r="P33">
        <v>21.347641789530297</v>
      </c>
      <c r="Q33">
        <v>10118.78220823736</v>
      </c>
      <c r="R33">
        <v>6.3228771335204668</v>
      </c>
      <c r="S33">
        <v>2997.0437612887013</v>
      </c>
      <c r="T33">
        <v>17.330650961475879</v>
      </c>
      <c r="U33">
        <v>8214.7285557395662</v>
      </c>
      <c r="V33">
        <v>4.0752965101562992</v>
      </c>
      <c r="W33">
        <v>1931.6905458140859</v>
      </c>
      <c r="X33">
        <v>28.167968798415735</v>
      </c>
      <c r="Y33">
        <v>13351.617210449058</v>
      </c>
      <c r="Z33">
        <v>3.7940566512261227</v>
      </c>
      <c r="AA33">
        <v>1798.3828526811822</v>
      </c>
      <c r="AB33">
        <v>39.471677817324618</v>
      </c>
      <c r="AC33">
        <v>18709.575285411869</v>
      </c>
      <c r="AD33">
        <v>7.7714226428452609</v>
      </c>
      <c r="AE33">
        <v>3683.6543327086538</v>
      </c>
      <c r="AF33">
        <v>46.975386701250649</v>
      </c>
      <c r="AG33">
        <v>22266.333296392808</v>
      </c>
      <c r="AH33">
        <v>5.9959781599363682</v>
      </c>
      <c r="AI33">
        <v>2842.0936478098383</v>
      </c>
      <c r="AJ33">
        <v>17</v>
      </c>
      <c r="AK33">
        <v>8058</v>
      </c>
      <c r="AL33">
        <v>8.3782070731650631</v>
      </c>
      <c r="AM33">
        <v>3971.2701526802398</v>
      </c>
      <c r="AN33">
        <v>9.726586355137</v>
      </c>
      <c r="AO33">
        <v>4610.4019323349376</v>
      </c>
      <c r="AP33">
        <v>3.6789897066729416</v>
      </c>
      <c r="AQ33">
        <v>1743.8411209629744</v>
      </c>
      <c r="AR33">
        <v>4.2329847854757405</v>
      </c>
      <c r="AS33">
        <v>2006.434788315501</v>
      </c>
      <c r="AT33">
        <v>5.0849459900021712</v>
      </c>
      <c r="AU33">
        <v>2410.2643992610292</v>
      </c>
      <c r="AV33">
        <v>3.7138983050847458</v>
      </c>
      <c r="AW33">
        <v>1760.3877966101695</v>
      </c>
      <c r="AX33">
        <v>4.1154958618658393</v>
      </c>
      <c r="AY33">
        <v>1950.7450385244078</v>
      </c>
      <c r="AZ33">
        <v>21.140866042834933</v>
      </c>
      <c r="BA33">
        <v>10020.770504303759</v>
      </c>
      <c r="BB33">
        <v>23.149122907775656</v>
      </c>
      <c r="BC33">
        <v>10972.684258285661</v>
      </c>
      <c r="BD33">
        <v>4.4187738542724455</v>
      </c>
      <c r="BE33">
        <v>2094.498806925139</v>
      </c>
      <c r="BF33">
        <v>38.228291631541147</v>
      </c>
      <c r="BG33">
        <v>18120.210233350503</v>
      </c>
      <c r="BH33">
        <v>0</v>
      </c>
      <c r="BI33">
        <v>0</v>
      </c>
      <c r="BJ33">
        <v>43.449585682291023</v>
      </c>
      <c r="BK33">
        <v>20595.103613405943</v>
      </c>
      <c r="BL33">
        <v>4.4546021753823952</v>
      </c>
      <c r="BM33">
        <v>2111.4814311312552</v>
      </c>
      <c r="BN33">
        <v>18.659797563018572</v>
      </c>
      <c r="BO33">
        <v>8844.7440448708021</v>
      </c>
      <c r="BP33">
        <v>3.5285155442201295</v>
      </c>
      <c r="BQ33">
        <v>1672.5163679603413</v>
      </c>
      <c r="BR33">
        <v>8.3537181235951863</v>
      </c>
      <c r="BS33">
        <v>3959.6623905841184</v>
      </c>
      <c r="BT33">
        <v>1.2306544913001678</v>
      </c>
      <c r="BU33">
        <v>583.33022887627953</v>
      </c>
      <c r="BV33">
        <v>8.318531336538495</v>
      </c>
      <c r="BW33">
        <v>3942.9838535192466</v>
      </c>
      <c r="BX33">
        <v>2.6911528700398426</v>
      </c>
      <c r="BY33">
        <v>1275.6064603988855</v>
      </c>
      <c r="BZ33">
        <v>9.9414970239850504</v>
      </c>
      <c r="CA33">
        <v>4712.2695893689142</v>
      </c>
      <c r="CB33">
        <v>10.296819219545316</v>
      </c>
      <c r="CC33">
        <v>4880.6923100644799</v>
      </c>
      <c r="CD33">
        <v>15</v>
      </c>
      <c r="CE33">
        <v>7110</v>
      </c>
      <c r="CF33">
        <v>24.027826335793851</v>
      </c>
      <c r="CG33">
        <v>11389.189683166285</v>
      </c>
      <c r="CH33">
        <v>46.369719443667151</v>
      </c>
      <c r="CI33">
        <v>21979.247016298228</v>
      </c>
      <c r="CJ33">
        <v>7.325617248792982</v>
      </c>
      <c r="CK33">
        <v>3472.3425759278734</v>
      </c>
      <c r="CL33">
        <v>25.332747312959608</v>
      </c>
      <c r="CM33">
        <v>12007.722226342854</v>
      </c>
      <c r="CN33">
        <v>3.5546495861527472</v>
      </c>
      <c r="CO33">
        <v>1684.9039038364022</v>
      </c>
      <c r="CP33">
        <v>5.9222824612047171</v>
      </c>
      <c r="CQ33">
        <v>2807.1618866110357</v>
      </c>
      <c r="CR33">
        <v>0.86124985708607671</v>
      </c>
      <c r="CS33">
        <v>408.23243225880037</v>
      </c>
      <c r="CT33">
        <v>7.4655404246512846</v>
      </c>
      <c r="CU33">
        <v>3538.6661612847088</v>
      </c>
    </row>
    <row r="34" spans="2:99" x14ac:dyDescent="0.2">
      <c r="C34" s="105" t="s">
        <v>200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2.6666874624536869</v>
      </c>
      <c r="O34">
        <v>1462.4114044096018</v>
      </c>
      <c r="P34">
        <v>21.347641789530297</v>
      </c>
      <c r="Q34">
        <v>11707.046757378414</v>
      </c>
      <c r="R34">
        <v>6.1607520788148129</v>
      </c>
      <c r="S34">
        <v>3378.5564400220433</v>
      </c>
      <c r="T34">
        <v>19.930248605697258</v>
      </c>
      <c r="U34">
        <v>10929.748335364377</v>
      </c>
      <c r="V34">
        <v>3.7842039022879921</v>
      </c>
      <c r="W34">
        <v>2075.2574200147346</v>
      </c>
      <c r="X34">
        <v>27.196659529504849</v>
      </c>
      <c r="Y34">
        <v>14914.648085980458</v>
      </c>
      <c r="Z34">
        <v>3.6632271115286699</v>
      </c>
      <c r="AA34">
        <v>2008.9137479623225</v>
      </c>
      <c r="AB34">
        <v>37.394221090097005</v>
      </c>
      <c r="AC34">
        <v>20506.990845809196</v>
      </c>
      <c r="AD34">
        <v>7.4835921745917329</v>
      </c>
      <c r="AE34">
        <v>4104.0019485461062</v>
      </c>
      <c r="AF34">
        <v>42.30531901750058</v>
      </c>
      <c r="AG34">
        <v>23200.236949197319</v>
      </c>
      <c r="AH34">
        <v>5.6122355577004415</v>
      </c>
      <c r="AI34">
        <v>3077.7499798429221</v>
      </c>
      <c r="AJ34">
        <v>15</v>
      </c>
      <c r="AK34">
        <v>8226</v>
      </c>
      <c r="AL34">
        <v>6.8548966962259614</v>
      </c>
      <c r="AM34">
        <v>3759.225348210317</v>
      </c>
      <c r="AN34">
        <v>9.726586355137</v>
      </c>
      <c r="AO34">
        <v>5334.0599571571302</v>
      </c>
      <c r="AP34">
        <v>3.6789897066729416</v>
      </c>
      <c r="AQ34">
        <v>2017.557955139441</v>
      </c>
      <c r="AR34">
        <v>4.2329847854757405</v>
      </c>
      <c r="AS34">
        <v>2321.3688563548958</v>
      </c>
      <c r="AT34">
        <v>4.7217355621448736</v>
      </c>
      <c r="AU34">
        <v>2589.3997822802485</v>
      </c>
      <c r="AV34">
        <v>3.4044067796610173</v>
      </c>
      <c r="AW34">
        <v>1866.9766779661018</v>
      </c>
      <c r="AX34">
        <v>4.1154958618658393</v>
      </c>
      <c r="AY34">
        <v>2256.937930647226</v>
      </c>
      <c r="AZ34">
        <v>23.883464880824331</v>
      </c>
      <c r="BA34">
        <v>13097.692140644063</v>
      </c>
      <c r="BB34">
        <v>23.327193083989314</v>
      </c>
      <c r="BC34">
        <v>12792.63268725974</v>
      </c>
      <c r="BD34">
        <v>4.1992074515756777</v>
      </c>
      <c r="BE34">
        <v>2302.8453664441017</v>
      </c>
      <c r="BF34">
        <v>38.731295468798265</v>
      </c>
      <c r="BG34">
        <v>21240.242435088967</v>
      </c>
      <c r="BH34">
        <v>0</v>
      </c>
      <c r="BI34">
        <v>0</v>
      </c>
      <c r="BJ34">
        <v>46.165184787434207</v>
      </c>
      <c r="BK34">
        <v>25316.987337428916</v>
      </c>
      <c r="BL34">
        <v>4.6850126327297605</v>
      </c>
      <c r="BM34">
        <v>2569.2609277890006</v>
      </c>
      <c r="BN34">
        <v>19.400265720281212</v>
      </c>
      <c r="BO34">
        <v>10639.105721002215</v>
      </c>
      <c r="BP34">
        <v>3.1756639897981169</v>
      </c>
      <c r="BQ34">
        <v>1741.5341320052873</v>
      </c>
      <c r="BR34">
        <v>7.2398890404491629</v>
      </c>
      <c r="BS34">
        <v>3970.355149782321</v>
      </c>
      <c r="BT34">
        <v>1.2306544913001678</v>
      </c>
      <c r="BU34">
        <v>674.89092302901201</v>
      </c>
      <c r="BV34">
        <v>8.318531336538495</v>
      </c>
      <c r="BW34">
        <v>4561.8825849577106</v>
      </c>
      <c r="BX34">
        <v>2.6911528700398426</v>
      </c>
      <c r="BY34">
        <v>1475.8282339298496</v>
      </c>
      <c r="BZ34">
        <v>9.9414970239850504</v>
      </c>
      <c r="CA34">
        <v>5451.9169679534016</v>
      </c>
      <c r="CB34">
        <v>10.983273834181674</v>
      </c>
      <c r="CC34">
        <v>6023.2273706652295</v>
      </c>
      <c r="CD34">
        <v>16</v>
      </c>
      <c r="CE34">
        <v>8774.4</v>
      </c>
      <c r="CF34">
        <v>25.944940139181657</v>
      </c>
      <c r="CG34">
        <v>14228.20517232722</v>
      </c>
      <c r="CH34">
        <v>45.149463668833803</v>
      </c>
      <c r="CI34">
        <v>24759.965875988455</v>
      </c>
      <c r="CJ34">
        <v>7.5087576800128062</v>
      </c>
      <c r="CK34">
        <v>4117.8027117190231</v>
      </c>
      <c r="CL34">
        <v>26.856521587423344</v>
      </c>
      <c r="CM34">
        <v>14728.116438542962</v>
      </c>
      <c r="CN34">
        <v>3.776815185287294</v>
      </c>
      <c r="CO34">
        <v>2071.2054476115518</v>
      </c>
      <c r="CP34">
        <v>6.3453026370050543</v>
      </c>
      <c r="CQ34">
        <v>3479.7639661335716</v>
      </c>
      <c r="CR34">
        <v>0.81592091723944105</v>
      </c>
      <c r="CS34">
        <v>447.45103101410945</v>
      </c>
      <c r="CT34">
        <v>7.4655404246512846</v>
      </c>
      <c r="CU34">
        <v>4094.1023688787645</v>
      </c>
    </row>
    <row r="35" spans="2:99" x14ac:dyDescent="0.2">
      <c r="C35" s="105" t="s">
        <v>201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2.5555754848514503</v>
      </c>
      <c r="O35">
        <v>1284.943353783309</v>
      </c>
      <c r="P35">
        <v>22.819892947428936</v>
      </c>
      <c r="Q35">
        <v>11473.842173967267</v>
      </c>
      <c r="R35">
        <v>6.701168927833657</v>
      </c>
      <c r="S35">
        <v>3369.3477369147622</v>
      </c>
      <c r="T35">
        <v>18.197183509549671</v>
      </c>
      <c r="U35">
        <v>9149.5438686015732</v>
      </c>
      <c r="V35">
        <v>4.220842814090453</v>
      </c>
      <c r="W35">
        <v>2122.2397669246793</v>
      </c>
      <c r="X35">
        <v>29.139278067326625</v>
      </c>
      <c r="Y35">
        <v>14651.229012251824</v>
      </c>
      <c r="Z35">
        <v>3.924886190923575</v>
      </c>
      <c r="AA35">
        <v>1973.4327767963732</v>
      </c>
      <c r="AB35">
        <v>44.665319635393644</v>
      </c>
      <c r="AC35">
        <v>22457.722712675921</v>
      </c>
      <c r="AD35">
        <v>7.611516827148856</v>
      </c>
      <c r="AE35">
        <v>3827.0706606904441</v>
      </c>
      <c r="AF35">
        <v>42.030609153750575</v>
      </c>
      <c r="AG35">
        <v>21132.990282505783</v>
      </c>
      <c r="AH35">
        <v>4.9886538290670588</v>
      </c>
      <c r="AI35">
        <v>2508.2951452549169</v>
      </c>
      <c r="AJ35">
        <v>15</v>
      </c>
      <c r="AK35">
        <v>7541.9999999999982</v>
      </c>
      <c r="AL35">
        <v>7.9973794789302879</v>
      </c>
      <c r="AM35">
        <v>4021.0824020061477</v>
      </c>
      <c r="AN35">
        <v>9.726586355137</v>
      </c>
      <c r="AO35">
        <v>4890.5276193628824</v>
      </c>
      <c r="AP35">
        <v>3.8462165115217113</v>
      </c>
      <c r="AQ35">
        <v>1933.8776619931161</v>
      </c>
      <c r="AR35">
        <v>3.527487321229783</v>
      </c>
      <c r="AS35">
        <v>1773.6206251143346</v>
      </c>
      <c r="AT35">
        <v>4.7217355621448736</v>
      </c>
      <c r="AU35">
        <v>2374.0886406464419</v>
      </c>
      <c r="AV35">
        <v>3.4044067796610173</v>
      </c>
      <c r="AW35">
        <v>1711.7357288135593</v>
      </c>
      <c r="AX35">
        <v>4.1154958618658393</v>
      </c>
      <c r="AY35">
        <v>2069.2713193461436</v>
      </c>
      <c r="AZ35">
        <v>25.25476429981903</v>
      </c>
      <c r="BA35">
        <v>12698.095489949006</v>
      </c>
      <c r="BB35">
        <v>22.971052731561997</v>
      </c>
      <c r="BC35">
        <v>11549.84531342937</v>
      </c>
      <c r="BD35">
        <v>4.3913280539353492</v>
      </c>
      <c r="BE35">
        <v>2207.9597455186931</v>
      </c>
      <c r="BF35">
        <v>38.731295468798265</v>
      </c>
      <c r="BG35">
        <v>19474.095361711763</v>
      </c>
      <c r="BH35">
        <v>0</v>
      </c>
      <c r="BI35">
        <v>0</v>
      </c>
      <c r="BJ35">
        <v>48.67189165372023</v>
      </c>
      <c r="BK35">
        <v>24472.227123490527</v>
      </c>
      <c r="BL35">
        <v>4.1985905561075452</v>
      </c>
      <c r="BM35">
        <v>2111.0513316108731</v>
      </c>
      <c r="BN35">
        <v>20.881202034806492</v>
      </c>
      <c r="BO35">
        <v>10499.068383100703</v>
      </c>
      <c r="BP35">
        <v>3.5285155442201295</v>
      </c>
      <c r="BQ35">
        <v>1774.1376156338808</v>
      </c>
      <c r="BR35">
        <v>8.3537181235951863</v>
      </c>
      <c r="BS35">
        <v>4200.2494725436591</v>
      </c>
      <c r="BT35">
        <v>1.1537385855939073</v>
      </c>
      <c r="BU35">
        <v>580.0997608366165</v>
      </c>
      <c r="BV35">
        <v>9.0117422812500365</v>
      </c>
      <c r="BW35">
        <v>4531.1040190125177</v>
      </c>
      <c r="BX35">
        <v>2.511742678703853</v>
      </c>
      <c r="BY35">
        <v>1262.9042188522972</v>
      </c>
      <c r="BZ35">
        <v>8.61596408745371</v>
      </c>
      <c r="CA35">
        <v>4332.1067431717247</v>
      </c>
      <c r="CB35">
        <v>11.669728448818027</v>
      </c>
      <c r="CC35">
        <v>5867.5394640657032</v>
      </c>
      <c r="CD35">
        <v>18</v>
      </c>
      <c r="CE35">
        <v>9050.3999999999978</v>
      </c>
      <c r="CF35">
        <v>22.238520119298563</v>
      </c>
      <c r="CG35">
        <v>11181.527915983315</v>
      </c>
      <c r="CH35">
        <v>54.301381980083903</v>
      </c>
      <c r="CI35">
        <v>27302.73485958618</v>
      </c>
      <c r="CJ35">
        <v>7.4477108696061984</v>
      </c>
      <c r="CK35">
        <v>3744.7090252379958</v>
      </c>
      <c r="CL35">
        <v>27.808880508963178</v>
      </c>
      <c r="CM35">
        <v>13982.305119906683</v>
      </c>
      <c r="CN35">
        <v>3.5546495861527472</v>
      </c>
      <c r="CO35">
        <v>1787.277811917601</v>
      </c>
      <c r="CP35">
        <v>6.1337925491048857</v>
      </c>
      <c r="CQ35">
        <v>3084.0708936899359</v>
      </c>
      <c r="CR35">
        <v>0.86124985708607671</v>
      </c>
      <c r="CS35">
        <v>433.03642814287929</v>
      </c>
      <c r="CT35">
        <v>6.7545365746844954</v>
      </c>
      <c r="CU35">
        <v>3396.1809897513635</v>
      </c>
    </row>
    <row r="36" spans="2:99" x14ac:dyDescent="0.2">
      <c r="C36" s="105" t="s">
        <v>202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2.5555754848514503</v>
      </c>
      <c r="O36">
        <v>1944.2818288749831</v>
      </c>
      <c r="P36">
        <v>20.611516210580977</v>
      </c>
      <c r="Q36">
        <v>15681.241533010007</v>
      </c>
      <c r="R36">
        <v>6.5930855580298884</v>
      </c>
      <c r="S36">
        <v>5016.0194925491387</v>
      </c>
      <c r="T36">
        <v>19.063716057623466</v>
      </c>
      <c r="U36">
        <v>14503.675176639932</v>
      </c>
      <c r="V36">
        <v>3.7842039022879921</v>
      </c>
      <c r="W36">
        <v>2879.0223288607044</v>
      </c>
      <c r="X36">
        <v>24.282731722772187</v>
      </c>
      <c r="Y36">
        <v>18474.30229468508</v>
      </c>
      <c r="Z36">
        <v>3.924886190923575</v>
      </c>
      <c r="AA36">
        <v>2986.0534140546556</v>
      </c>
      <c r="AB36">
        <v>37.394221090097005</v>
      </c>
      <c r="AC36">
        <v>28449.523405345801</v>
      </c>
      <c r="AD36">
        <v>6.3002891384383402</v>
      </c>
      <c r="AE36">
        <v>4793.2599765238892</v>
      </c>
      <c r="AF36">
        <v>44.77770779125062</v>
      </c>
      <c r="AG36">
        <v>34066.880087583471</v>
      </c>
      <c r="AH36">
        <v>4.7967825279490954</v>
      </c>
      <c r="AI36">
        <v>3649.3921472636716</v>
      </c>
      <c r="AJ36">
        <v>16</v>
      </c>
      <c r="AK36">
        <v>12172.8</v>
      </c>
      <c r="AL36">
        <v>7.2357242904607366</v>
      </c>
      <c r="AM36">
        <v>5504.9390401825285</v>
      </c>
      <c r="AN36">
        <v>10.942409649529123</v>
      </c>
      <c r="AO36">
        <v>8324.9852613617568</v>
      </c>
      <c r="AP36">
        <v>3.5117629018241709</v>
      </c>
      <c r="AQ36">
        <v>2671.7492157078291</v>
      </c>
      <c r="AR36">
        <v>3.527487321229783</v>
      </c>
      <c r="AS36">
        <v>2683.7123539916188</v>
      </c>
      <c r="AT36">
        <v>4.3585251342875759</v>
      </c>
      <c r="AU36">
        <v>3315.9659221659876</v>
      </c>
      <c r="AV36">
        <v>3.4044067796610173</v>
      </c>
      <c r="AW36">
        <v>2590.0726779661018</v>
      </c>
      <c r="AX36">
        <v>4.1154958618658393</v>
      </c>
      <c r="AY36">
        <v>3131.0692517075304</v>
      </c>
      <c r="AZ36">
        <v>19.998116527006019</v>
      </c>
      <c r="BA36">
        <v>15214.567053746177</v>
      </c>
      <c r="BB36">
        <v>22.080701850493703</v>
      </c>
      <c r="BC36">
        <v>16798.997967855608</v>
      </c>
      <c r="BD36">
        <v>3.9247494482047185</v>
      </c>
      <c r="BE36">
        <v>2985.9493801941499</v>
      </c>
      <c r="BF36">
        <v>36.970782038398347</v>
      </c>
      <c r="BG36">
        <v>28127.370974813461</v>
      </c>
      <c r="BH36">
        <v>0</v>
      </c>
      <c r="BI36">
        <v>0</v>
      </c>
      <c r="BJ36">
        <v>44.076262398862525</v>
      </c>
      <c r="BK36">
        <v>33533.220433054608</v>
      </c>
      <c r="BL36">
        <v>4.5826079850198216</v>
      </c>
      <c r="BM36">
        <v>3486.44815500308</v>
      </c>
      <c r="BN36">
        <v>18.659797563018572</v>
      </c>
      <c r="BO36">
        <v>14196.373985944529</v>
      </c>
      <c r="BP36">
        <v>3.1756639897981169</v>
      </c>
      <c r="BQ36">
        <v>2416.0451634384071</v>
      </c>
      <c r="BR36">
        <v>7.796803582022175</v>
      </c>
      <c r="BS36">
        <v>5931.8081652024703</v>
      </c>
      <c r="BT36">
        <v>1.1537385855939073</v>
      </c>
      <c r="BU36">
        <v>877.76431591984465</v>
      </c>
      <c r="BV36">
        <v>8.318531336538495</v>
      </c>
      <c r="BW36">
        <v>6328.7386408384864</v>
      </c>
      <c r="BX36">
        <v>2.6911528700398426</v>
      </c>
      <c r="BY36">
        <v>2047.429103526312</v>
      </c>
      <c r="BZ36">
        <v>9.9414970239850504</v>
      </c>
      <c r="CA36">
        <v>7563.4909358478262</v>
      </c>
      <c r="CB36">
        <v>10.296819219545316</v>
      </c>
      <c r="CC36">
        <v>7833.8200622300765</v>
      </c>
      <c r="CD36">
        <v>15</v>
      </c>
      <c r="CE36">
        <v>11412</v>
      </c>
      <c r="CF36">
        <v>21.855097358621002</v>
      </c>
      <c r="CG36">
        <v>16627.358070438859</v>
      </c>
      <c r="CH36">
        <v>48.200103105917172</v>
      </c>
      <c r="CI36">
        <v>36670.638442981784</v>
      </c>
      <c r="CJ36">
        <v>7.0203831967599406</v>
      </c>
      <c r="CK36">
        <v>5341.1075360949626</v>
      </c>
      <c r="CL36">
        <v>26.475578018807408</v>
      </c>
      <c r="CM36">
        <v>20142.619756708675</v>
      </c>
      <c r="CN36">
        <v>3.9989807844218404</v>
      </c>
      <c r="CO36">
        <v>3042.4245807881362</v>
      </c>
      <c r="CP36">
        <v>5.49926228540438</v>
      </c>
      <c r="CQ36">
        <v>4183.8387467356524</v>
      </c>
      <c r="CR36">
        <v>0.90657879693271226</v>
      </c>
      <c r="CS36">
        <v>689.72514870640748</v>
      </c>
      <c r="CT36">
        <v>6.7545365746844954</v>
      </c>
      <c r="CU36">
        <v>5138.8514260199636</v>
      </c>
    </row>
    <row r="37" spans="2:99" x14ac:dyDescent="0.2">
      <c r="B37" s="105" t="s">
        <v>128</v>
      </c>
      <c r="C37" s="105" t="s">
        <v>203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0.37037325867412318</v>
      </c>
      <c r="O37">
        <v>318.66915176321555</v>
      </c>
      <c r="P37">
        <v>2.5764395263226221</v>
      </c>
      <c r="Q37">
        <v>2216.7685684479839</v>
      </c>
      <c r="R37">
        <v>0.86466695843014929</v>
      </c>
      <c r="S37">
        <v>743.95945103330041</v>
      </c>
      <c r="T37">
        <v>28.595574086435199</v>
      </c>
      <c r="U37">
        <v>24603.631943968845</v>
      </c>
      <c r="V37">
        <v>3.4931112944196849</v>
      </c>
      <c r="W37">
        <v>3005.4729577186968</v>
      </c>
      <c r="X37">
        <v>19.426185378217749</v>
      </c>
      <c r="Y37">
        <v>16714.289899418553</v>
      </c>
      <c r="Z37">
        <v>3.924886190923575</v>
      </c>
      <c r="AA37">
        <v>3376.9720786706439</v>
      </c>
      <c r="AB37">
        <v>8.3098269089104466</v>
      </c>
      <c r="AC37">
        <v>7149.7750724265479</v>
      </c>
      <c r="AD37">
        <v>0.79952907848202281</v>
      </c>
      <c r="AE37">
        <v>687.91481912593247</v>
      </c>
      <c r="AF37">
        <v>6.043617002500083</v>
      </c>
      <c r="AG37">
        <v>5199.9280689510715</v>
      </c>
      <c r="AH37">
        <v>0.55162999071414587</v>
      </c>
      <c r="AI37">
        <v>474.62244401045109</v>
      </c>
      <c r="AJ37">
        <v>9</v>
      </c>
      <c r="AK37">
        <v>7743.5999999999995</v>
      </c>
      <c r="AL37">
        <v>2.2849655654086538</v>
      </c>
      <c r="AM37">
        <v>1965.9843724776056</v>
      </c>
      <c r="AN37">
        <v>7.9028514135488113</v>
      </c>
      <c r="AO37">
        <v>6799.6133562173973</v>
      </c>
      <c r="AP37">
        <v>1.8394948533364708</v>
      </c>
      <c r="AQ37">
        <v>1582.7013718106994</v>
      </c>
      <c r="AR37">
        <v>3.1747385891068052</v>
      </c>
      <c r="AS37">
        <v>2731.5450820674951</v>
      </c>
      <c r="AT37">
        <v>4.7217355621448736</v>
      </c>
      <c r="AU37">
        <v>4062.5812776694493</v>
      </c>
      <c r="AV37">
        <v>3.7138983050847458</v>
      </c>
      <c r="AW37">
        <v>3195.4381016949151</v>
      </c>
      <c r="AX37">
        <v>6.6876807755319883</v>
      </c>
      <c r="AY37">
        <v>5754.0805392677221</v>
      </c>
      <c r="AZ37">
        <v>0.79992466108024074</v>
      </c>
      <c r="BA37">
        <v>688.25517839343911</v>
      </c>
      <c r="BB37">
        <v>1.2464912334956122</v>
      </c>
      <c r="BC37">
        <v>1072.4810572996248</v>
      </c>
      <c r="BD37">
        <v>0.30190380370805531</v>
      </c>
      <c r="BE37">
        <v>259.75803271041076</v>
      </c>
      <c r="BF37">
        <v>2.0120153490284816</v>
      </c>
      <c r="BG37">
        <v>1731.1380063041054</v>
      </c>
      <c r="BH37">
        <v>0</v>
      </c>
      <c r="BI37">
        <v>0</v>
      </c>
      <c r="BJ37">
        <v>2.2978146274288518</v>
      </c>
      <c r="BK37">
        <v>1977.039705439784</v>
      </c>
      <c r="BL37">
        <v>0.25601161927485033</v>
      </c>
      <c r="BM37">
        <v>220.27239722408123</v>
      </c>
      <c r="BN37">
        <v>1.3328426830727549</v>
      </c>
      <c r="BO37">
        <v>1146.7778445157983</v>
      </c>
      <c r="BP37">
        <v>21.171093265320781</v>
      </c>
      <c r="BQ37">
        <v>18215.608645482</v>
      </c>
      <c r="BR37">
        <v>39.540932451683879</v>
      </c>
      <c r="BS37">
        <v>34021.018281428805</v>
      </c>
      <c r="BT37">
        <v>5.1533656823194534</v>
      </c>
      <c r="BU37">
        <v>4433.9558330676573</v>
      </c>
      <c r="BV37">
        <v>33.967336290865518</v>
      </c>
      <c r="BW37">
        <v>29225.49614466069</v>
      </c>
      <c r="BX37">
        <v>4.1264344007277591</v>
      </c>
      <c r="BY37">
        <v>3550.384158386164</v>
      </c>
      <c r="BZ37">
        <v>15.243628770110412</v>
      </c>
      <c r="CA37">
        <v>13115.618193802999</v>
      </c>
      <c r="CB37">
        <v>14.415546907363446</v>
      </c>
      <c r="CC37">
        <v>12403.136559095508</v>
      </c>
      <c r="CD37">
        <v>18</v>
      </c>
      <c r="CE37">
        <v>15487.199999999999</v>
      </c>
      <c r="CF37">
        <v>1.9171138033878072</v>
      </c>
      <c r="CG37">
        <v>1649.4847164348694</v>
      </c>
      <c r="CH37">
        <v>3.3557033807917018</v>
      </c>
      <c r="CI37">
        <v>2887.2471888331802</v>
      </c>
      <c r="CJ37">
        <v>0.48837448325286548</v>
      </c>
      <c r="CK37">
        <v>420.19740539076543</v>
      </c>
      <c r="CL37">
        <v>2.4761331960035711</v>
      </c>
      <c r="CM37">
        <v>2130.4650018414727</v>
      </c>
      <c r="CN37">
        <v>11.552611154996429</v>
      </c>
      <c r="CO37">
        <v>9939.866637758927</v>
      </c>
      <c r="CP37">
        <v>10.575504395008423</v>
      </c>
      <c r="CQ37">
        <v>9099.1639814652463</v>
      </c>
      <c r="CR37">
        <v>1.4505260750923397</v>
      </c>
      <c r="CS37">
        <v>1248.032635009449</v>
      </c>
      <c r="CT37">
        <v>21.330115499003671</v>
      </c>
      <c r="CU37">
        <v>18352.43137534276</v>
      </c>
    </row>
    <row r="38" spans="2:99" x14ac:dyDescent="0.2">
      <c r="C38" s="105" t="s">
        <v>204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0.4074105845415355</v>
      </c>
      <c r="O38">
        <v>506.00394600058712</v>
      </c>
      <c r="P38">
        <v>2.5764395263226221</v>
      </c>
      <c r="Q38">
        <v>3199.9378916926967</v>
      </c>
      <c r="R38">
        <v>0.75658358862638064</v>
      </c>
      <c r="S38">
        <v>939.6768170739648</v>
      </c>
      <c r="T38">
        <v>29.462106634508991</v>
      </c>
      <c r="U38">
        <v>36591.93644006017</v>
      </c>
      <c r="V38">
        <v>2.9109260786830711</v>
      </c>
      <c r="W38">
        <v>3615.3701897243741</v>
      </c>
      <c r="X38">
        <v>16.512257571485087</v>
      </c>
      <c r="Y38">
        <v>20508.223903784477</v>
      </c>
      <c r="Z38">
        <v>3.5323975718312175</v>
      </c>
      <c r="AA38">
        <v>4387.2377842143724</v>
      </c>
      <c r="AB38">
        <v>7.6173413331679098</v>
      </c>
      <c r="AC38">
        <v>9460.7379357945447</v>
      </c>
      <c r="AD38">
        <v>0.79952907848202281</v>
      </c>
      <c r="AE38">
        <v>993.01511547467237</v>
      </c>
      <c r="AF38">
        <v>6.3183268662500867</v>
      </c>
      <c r="AG38">
        <v>7847.361967882608</v>
      </c>
      <c r="AH38">
        <v>0.59959781599363693</v>
      </c>
      <c r="AI38">
        <v>744.70048746409702</v>
      </c>
      <c r="AJ38">
        <v>8</v>
      </c>
      <c r="AK38">
        <v>9936</v>
      </c>
      <c r="AL38">
        <v>2.2849655654086538</v>
      </c>
      <c r="AM38">
        <v>2837.9272322375482</v>
      </c>
      <c r="AN38">
        <v>7.2949397663527487</v>
      </c>
      <c r="AO38">
        <v>9060.3151898101132</v>
      </c>
      <c r="AP38">
        <v>1.8394948533364708</v>
      </c>
      <c r="AQ38">
        <v>2284.6526078438969</v>
      </c>
      <c r="AR38">
        <v>3.1747385891068052</v>
      </c>
      <c r="AS38">
        <v>3943.0253276706521</v>
      </c>
      <c r="AT38">
        <v>4.7217355621448736</v>
      </c>
      <c r="AU38">
        <v>5864.3955681839334</v>
      </c>
      <c r="AV38">
        <v>3.7138983050847458</v>
      </c>
      <c r="AW38">
        <v>4612.661694915254</v>
      </c>
      <c r="AX38">
        <v>6.6876807755319883</v>
      </c>
      <c r="AY38">
        <v>8306.0995232107289</v>
      </c>
      <c r="AZ38">
        <v>0.91419961266313221</v>
      </c>
      <c r="BA38">
        <v>1135.4359189276101</v>
      </c>
      <c r="BB38">
        <v>1.2464912334956122</v>
      </c>
      <c r="BC38">
        <v>1548.1421120015505</v>
      </c>
      <c r="BD38">
        <v>0.30190380370805531</v>
      </c>
      <c r="BE38">
        <v>374.9645242054047</v>
      </c>
      <c r="BF38">
        <v>2.0120153490284816</v>
      </c>
      <c r="BG38">
        <v>2498.9230634933742</v>
      </c>
      <c r="BH38">
        <v>0</v>
      </c>
      <c r="BI38">
        <v>0</v>
      </c>
      <c r="BJ38">
        <v>2.2978146274288518</v>
      </c>
      <c r="BK38">
        <v>2853.885767266634</v>
      </c>
      <c r="BL38">
        <v>0.23041045734736529</v>
      </c>
      <c r="BM38">
        <v>286.16978802542769</v>
      </c>
      <c r="BN38">
        <v>1.1847490516202266</v>
      </c>
      <c r="BO38">
        <v>1471.4583221123214</v>
      </c>
      <c r="BP38">
        <v>22.229647928586818</v>
      </c>
      <c r="BQ38">
        <v>27609.222727304827</v>
      </c>
      <c r="BR38">
        <v>41.211676076402924</v>
      </c>
      <c r="BS38">
        <v>51184.90168689243</v>
      </c>
      <c r="BT38">
        <v>4.3072907195505872</v>
      </c>
      <c r="BU38">
        <v>5349.655073681829</v>
      </c>
      <c r="BV38">
        <v>29.114859677884734</v>
      </c>
      <c r="BW38">
        <v>36160.655719932838</v>
      </c>
      <c r="BX38">
        <v>4.3058445920637478</v>
      </c>
      <c r="BY38">
        <v>5347.8589833431752</v>
      </c>
      <c r="BZ38">
        <v>16.569161706641751</v>
      </c>
      <c r="CA38">
        <v>20578.898839649053</v>
      </c>
      <c r="CB38">
        <v>13.729092292727092</v>
      </c>
      <c r="CC38">
        <v>17051.532627567049</v>
      </c>
      <c r="CD38">
        <v>15</v>
      </c>
      <c r="CE38">
        <v>18630</v>
      </c>
      <c r="CF38">
        <v>1.9171138033878072</v>
      </c>
      <c r="CG38">
        <v>2381.0553438076568</v>
      </c>
      <c r="CH38">
        <v>3.6607673245000383</v>
      </c>
      <c r="CI38">
        <v>4546.6730170290475</v>
      </c>
      <c r="CJ38">
        <v>0.48837448325286548</v>
      </c>
      <c r="CK38">
        <v>606.56110820005892</v>
      </c>
      <c r="CL38">
        <v>2.4761331960035711</v>
      </c>
      <c r="CM38">
        <v>3075.3574294364353</v>
      </c>
      <c r="CN38">
        <v>10.219617560189148</v>
      </c>
      <c r="CO38">
        <v>12692.765009754921</v>
      </c>
      <c r="CP38">
        <v>10.152484219208086</v>
      </c>
      <c r="CQ38">
        <v>12609.385400256442</v>
      </c>
      <c r="CR38">
        <v>1.6771707743255178</v>
      </c>
      <c r="CS38">
        <v>2083.046101712293</v>
      </c>
      <c r="CT38">
        <v>19.552605874086698</v>
      </c>
      <c r="CU38">
        <v>24284.33649561568</v>
      </c>
    </row>
    <row r="39" spans="2:99" x14ac:dyDescent="0.2">
      <c r="C39" s="105" t="s">
        <v>205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0.37037325867412318</v>
      </c>
      <c r="O39">
        <v>527.11522174501215</v>
      </c>
      <c r="P39">
        <v>2.9445023157972821</v>
      </c>
      <c r="Q39">
        <v>4190.6156958426918</v>
      </c>
      <c r="R39">
        <v>0.86466695843014929</v>
      </c>
      <c r="S39">
        <v>1230.5940152377884</v>
      </c>
      <c r="T39">
        <v>27.729041538361404</v>
      </c>
      <c r="U39">
        <v>39463.971917395953</v>
      </c>
      <c r="V39">
        <v>3.0564723826172244</v>
      </c>
      <c r="W39">
        <v>4349.9714949408335</v>
      </c>
      <c r="X39">
        <v>18.454876109306863</v>
      </c>
      <c r="Y39">
        <v>26264.979678765529</v>
      </c>
      <c r="Z39">
        <v>3.5323975718312175</v>
      </c>
      <c r="AA39">
        <v>5027.3082242301889</v>
      </c>
      <c r="AB39">
        <v>7.2710985452966401</v>
      </c>
      <c r="AC39">
        <v>10348.227449666179</v>
      </c>
      <c r="AD39">
        <v>0.8315102416213036</v>
      </c>
      <c r="AE39">
        <v>1183.4053758754394</v>
      </c>
      <c r="AF39">
        <v>5.7689071387500794</v>
      </c>
      <c r="AG39">
        <v>8210.3086398691139</v>
      </c>
      <c r="AH39">
        <v>0.59959781599363693</v>
      </c>
      <c r="AI39">
        <v>853.34761172214405</v>
      </c>
      <c r="AJ39">
        <v>9</v>
      </c>
      <c r="AK39">
        <v>12808.800000000001</v>
      </c>
      <c r="AL39">
        <v>2.6657931596434294</v>
      </c>
      <c r="AM39">
        <v>3793.9568248045289</v>
      </c>
      <c r="AN39">
        <v>7.9028514135488113</v>
      </c>
      <c r="AO39">
        <v>11247.338131762668</v>
      </c>
      <c r="AP39">
        <v>2.0067216581852407</v>
      </c>
      <c r="AQ39">
        <v>2855.9662639292346</v>
      </c>
      <c r="AR39">
        <v>3.1747385891068052</v>
      </c>
      <c r="AS39">
        <v>4518.2879600168053</v>
      </c>
      <c r="AT39">
        <v>5.0849459900021712</v>
      </c>
      <c r="AU39">
        <v>7236.8951329710899</v>
      </c>
      <c r="AV39">
        <v>4.0233898305084743</v>
      </c>
      <c r="AW39">
        <v>5726.0884067796605</v>
      </c>
      <c r="AX39">
        <v>6.1732437927987585</v>
      </c>
      <c r="AY39">
        <v>8785.7605659111941</v>
      </c>
      <c r="AZ39">
        <v>0.79992466108024074</v>
      </c>
      <c r="BA39">
        <v>1138.4527776493987</v>
      </c>
      <c r="BB39">
        <v>1.2464912334956122</v>
      </c>
      <c r="BC39">
        <v>1774.0063235109553</v>
      </c>
      <c r="BD39">
        <v>0.30190380370805531</v>
      </c>
      <c r="BE39">
        <v>429.66949343730431</v>
      </c>
      <c r="BF39">
        <v>1.7605134303999213</v>
      </c>
      <c r="BG39">
        <v>2505.5627141451682</v>
      </c>
      <c r="BH39">
        <v>0</v>
      </c>
      <c r="BI39">
        <v>0</v>
      </c>
      <c r="BJ39">
        <v>2.0889223885716834</v>
      </c>
      <c r="BK39">
        <v>2972.9543434152201</v>
      </c>
      <c r="BL39">
        <v>0.28161278120233535</v>
      </c>
      <c r="BM39">
        <v>400.79131020716369</v>
      </c>
      <c r="BN39">
        <v>1.1847490516202266</v>
      </c>
      <c r="BO39">
        <v>1686.1348502659066</v>
      </c>
      <c r="BP39">
        <v>21.876796374164805</v>
      </c>
      <c r="BQ39">
        <v>31135.056599711352</v>
      </c>
      <c r="BR39">
        <v>40.654761534829916</v>
      </c>
      <c r="BS39">
        <v>57859.856616369936</v>
      </c>
      <c r="BT39">
        <v>4.7687861537881506</v>
      </c>
      <c r="BU39">
        <v>6786.9364540712959</v>
      </c>
      <c r="BV39">
        <v>28.421648733173193</v>
      </c>
      <c r="BW39">
        <v>40449.690477052092</v>
      </c>
      <c r="BX39">
        <v>4.1264344007277591</v>
      </c>
      <c r="BY39">
        <v>5872.7414391157472</v>
      </c>
      <c r="BZ39">
        <v>13.91809583357907</v>
      </c>
      <c r="CA39">
        <v>19808.233990349734</v>
      </c>
      <c r="CB39">
        <v>13.042637678090735</v>
      </c>
      <c r="CC39">
        <v>18562.281943458733</v>
      </c>
      <c r="CD39">
        <v>17</v>
      </c>
      <c r="CE39">
        <v>24194.400000000001</v>
      </c>
      <c r="CF39">
        <v>1.6614986296027663</v>
      </c>
      <c r="CG39">
        <v>2364.6448496506569</v>
      </c>
      <c r="CH39">
        <v>3.9658312682083752</v>
      </c>
      <c r="CI39">
        <v>5644.1710609141601</v>
      </c>
      <c r="CJ39">
        <v>0.42732767284625728</v>
      </c>
      <c r="CK39">
        <v>608.17274399479334</v>
      </c>
      <c r="CL39">
        <v>2.0951896273876365</v>
      </c>
      <c r="CM39">
        <v>2981.8738776980845</v>
      </c>
      <c r="CN39">
        <v>11.108279956727335</v>
      </c>
      <c r="CO39">
        <v>15809.304034414345</v>
      </c>
      <c r="CP39">
        <v>9.0949337797072438</v>
      </c>
      <c r="CQ39">
        <v>12943.90975527935</v>
      </c>
      <c r="CR39">
        <v>1.5411839547856108</v>
      </c>
      <c r="CS39">
        <v>2193.4130044508811</v>
      </c>
      <c r="CT39">
        <v>19.552605874086698</v>
      </c>
      <c r="CU39">
        <v>27827.26868000019</v>
      </c>
    </row>
    <row r="40" spans="2:99" x14ac:dyDescent="0.2">
      <c r="C40" s="105" t="s">
        <v>206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0.4074105845415355</v>
      </c>
      <c r="O40">
        <v>295.29119167570491</v>
      </c>
      <c r="P40">
        <v>2.7604709210599521</v>
      </c>
      <c r="Q40">
        <v>2000.7893235842532</v>
      </c>
      <c r="R40">
        <v>0.86466695843014929</v>
      </c>
      <c r="S40">
        <v>626.71061147017213</v>
      </c>
      <c r="T40">
        <v>32.061704278730375</v>
      </c>
      <c r="U40">
        <v>23238.323261223773</v>
      </c>
      <c r="V40">
        <v>3.4931112944196849</v>
      </c>
      <c r="W40">
        <v>2531.8070661953875</v>
      </c>
      <c r="X40">
        <v>19.426185378217749</v>
      </c>
      <c r="Y40">
        <v>14080.099162132223</v>
      </c>
      <c r="Z40">
        <v>3.924886190923575</v>
      </c>
      <c r="AA40">
        <v>2844.7575111814072</v>
      </c>
      <c r="AB40">
        <v>7.9635841210391769</v>
      </c>
      <c r="AC40">
        <v>5772.005770929195</v>
      </c>
      <c r="AD40">
        <v>0.86349140476058461</v>
      </c>
      <c r="AE40">
        <v>625.85857017047169</v>
      </c>
      <c r="AF40">
        <v>6.5930367300000903</v>
      </c>
      <c r="AG40">
        <v>4778.6330219040656</v>
      </c>
      <c r="AH40">
        <v>0.59959781599363693</v>
      </c>
      <c r="AI40">
        <v>434.588497032188</v>
      </c>
      <c r="AJ40">
        <v>10</v>
      </c>
      <c r="AK40">
        <v>7248</v>
      </c>
      <c r="AL40">
        <v>2.6657931596434294</v>
      </c>
      <c r="AM40">
        <v>1932.1668821095575</v>
      </c>
      <c r="AN40">
        <v>7.9028514135488113</v>
      </c>
      <c r="AO40">
        <v>5727.9867045401779</v>
      </c>
      <c r="AP40">
        <v>2.0067216581852407</v>
      </c>
      <c r="AQ40">
        <v>1454.4718578526624</v>
      </c>
      <c r="AR40">
        <v>3.527487321229783</v>
      </c>
      <c r="AS40">
        <v>2556.7228104273468</v>
      </c>
      <c r="AT40">
        <v>5.4481564178594697</v>
      </c>
      <c r="AU40">
        <v>3948.8237716645435</v>
      </c>
      <c r="AV40">
        <v>4.0233898305084743</v>
      </c>
      <c r="AW40">
        <v>2916.1529491525421</v>
      </c>
      <c r="AX40">
        <v>6.1732437927987585</v>
      </c>
      <c r="AY40">
        <v>4474.3671010205398</v>
      </c>
      <c r="AZ40">
        <v>0.91419961266313221</v>
      </c>
      <c r="BA40">
        <v>662.61187925823822</v>
      </c>
      <c r="BB40">
        <v>1.4245614097092711</v>
      </c>
      <c r="BC40">
        <v>1032.5221097572796</v>
      </c>
      <c r="BD40">
        <v>0.35679540438224716</v>
      </c>
      <c r="BE40">
        <v>258.60530909625271</v>
      </c>
      <c r="BF40">
        <v>1.7605134303999213</v>
      </c>
      <c r="BG40">
        <v>1276.0201343538629</v>
      </c>
      <c r="BH40">
        <v>0</v>
      </c>
      <c r="BI40">
        <v>0</v>
      </c>
      <c r="BJ40">
        <v>2.0889223885716834</v>
      </c>
      <c r="BK40">
        <v>1514.050947236756</v>
      </c>
      <c r="BL40">
        <v>0.25601161927485033</v>
      </c>
      <c r="BM40">
        <v>185.55722165041152</v>
      </c>
      <c r="BN40">
        <v>1.3328426830727549</v>
      </c>
      <c r="BO40">
        <v>966.0443766911327</v>
      </c>
      <c r="BP40">
        <v>23.641054146274868</v>
      </c>
      <c r="BQ40">
        <v>17135.036045220022</v>
      </c>
      <c r="BR40">
        <v>43.996248784267991</v>
      </c>
      <c r="BS40">
        <v>31888.481118837437</v>
      </c>
      <c r="BT40">
        <v>5.3841133994382337</v>
      </c>
      <c r="BU40">
        <v>3902.4053919128314</v>
      </c>
      <c r="BV40">
        <v>31.887703456730897</v>
      </c>
      <c r="BW40">
        <v>23112.207465438554</v>
      </c>
      <c r="BX40">
        <v>4.4852547833997374</v>
      </c>
      <c r="BY40">
        <v>3250.9126670081296</v>
      </c>
      <c r="BZ40">
        <v>15.243628770110412</v>
      </c>
      <c r="CA40">
        <v>11048.582132576026</v>
      </c>
      <c r="CB40">
        <v>13.729092292727092</v>
      </c>
      <c r="CC40">
        <v>9950.8460937685959</v>
      </c>
      <c r="CD40">
        <v>16</v>
      </c>
      <c r="CE40">
        <v>11596.8</v>
      </c>
      <c r="CF40">
        <v>1.9171138033878072</v>
      </c>
      <c r="CG40">
        <v>1389.5240846954825</v>
      </c>
      <c r="CH40">
        <v>3.6607673245000383</v>
      </c>
      <c r="CI40">
        <v>2653.3241567976274</v>
      </c>
      <c r="CJ40">
        <v>0.48837448325286548</v>
      </c>
      <c r="CK40">
        <v>353.97382546167688</v>
      </c>
      <c r="CL40">
        <v>2.285661411695604</v>
      </c>
      <c r="CM40">
        <v>1656.6473911969736</v>
      </c>
      <c r="CN40">
        <v>10.441783159323695</v>
      </c>
      <c r="CO40">
        <v>7568.2044338778132</v>
      </c>
      <c r="CP40">
        <v>10.575504395008423</v>
      </c>
      <c r="CQ40">
        <v>7665.1255855021045</v>
      </c>
      <c r="CR40">
        <v>1.7678286540187889</v>
      </c>
      <c r="CS40">
        <v>1281.3222084328181</v>
      </c>
      <c r="CT40">
        <v>18.486100099136515</v>
      </c>
      <c r="CU40">
        <v>13398.725351854146</v>
      </c>
    </row>
    <row r="41" spans="2:99" x14ac:dyDescent="0.2">
      <c r="C41" s="105" t="s">
        <v>207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0.4074105845415355</v>
      </c>
      <c r="O41">
        <v>268.89098579741341</v>
      </c>
      <c r="P41">
        <v>3.128533710534612</v>
      </c>
      <c r="Q41">
        <v>2064.8322489528441</v>
      </c>
      <c r="R41">
        <v>0.81062527352826497</v>
      </c>
      <c r="S41">
        <v>535.01268052865487</v>
      </c>
      <c r="T41">
        <v>28.595574086435199</v>
      </c>
      <c r="U41">
        <v>18873.078897047231</v>
      </c>
      <c r="V41">
        <v>3.3475649904855311</v>
      </c>
      <c r="W41">
        <v>2209.3928937204505</v>
      </c>
      <c r="X41">
        <v>19.426185378217749</v>
      </c>
      <c r="Y41">
        <v>12821.282349623714</v>
      </c>
      <c r="Z41">
        <v>4.0557157306210279</v>
      </c>
      <c r="AA41">
        <v>2676.7723822098783</v>
      </c>
      <c r="AB41">
        <v>8.3098269089104466</v>
      </c>
      <c r="AC41">
        <v>5484.4857598808949</v>
      </c>
      <c r="AD41">
        <v>0.79952907848202281</v>
      </c>
      <c r="AE41">
        <v>527.68919179813508</v>
      </c>
      <c r="AF41">
        <v>6.3183268662500867</v>
      </c>
      <c r="AG41">
        <v>4170.0957317250568</v>
      </c>
      <c r="AH41">
        <v>0.6715495539128733</v>
      </c>
      <c r="AI41">
        <v>443.22270558249636</v>
      </c>
      <c r="AJ41">
        <v>10</v>
      </c>
      <c r="AK41">
        <v>6600</v>
      </c>
      <c r="AL41">
        <v>2.2849655654086538</v>
      </c>
      <c r="AM41">
        <v>1508.0772731697116</v>
      </c>
      <c r="AN41">
        <v>7.2949397663527487</v>
      </c>
      <c r="AO41">
        <v>4814.6602457928138</v>
      </c>
      <c r="AP41">
        <v>2.0067216581852407</v>
      </c>
      <c r="AQ41">
        <v>1324.4362944022589</v>
      </c>
      <c r="AR41">
        <v>3.527487321229783</v>
      </c>
      <c r="AS41">
        <v>2328.1416320116568</v>
      </c>
      <c r="AT41">
        <v>4.7217355621448736</v>
      </c>
      <c r="AU41">
        <v>3116.3454710156166</v>
      </c>
      <c r="AV41">
        <v>4.3328813559322032</v>
      </c>
      <c r="AW41">
        <v>2859.7016949152539</v>
      </c>
      <c r="AX41">
        <v>6.1732437927987585</v>
      </c>
      <c r="AY41">
        <v>4074.3409032471804</v>
      </c>
      <c r="AZ41">
        <v>1.0284745642460238</v>
      </c>
      <c r="BA41">
        <v>678.79321240237573</v>
      </c>
      <c r="BB41">
        <v>1.2464912334956122</v>
      </c>
      <c r="BC41">
        <v>822.68421410710403</v>
      </c>
      <c r="BD41">
        <v>0.30190380370805531</v>
      </c>
      <c r="BE41">
        <v>199.25651044731651</v>
      </c>
      <c r="BF41">
        <v>1.7605134303999213</v>
      </c>
      <c r="BG41">
        <v>1161.9388640639481</v>
      </c>
      <c r="BH41">
        <v>0</v>
      </c>
      <c r="BI41">
        <v>0</v>
      </c>
      <c r="BJ41">
        <v>2.2978146274288518</v>
      </c>
      <c r="BK41">
        <v>1516.5576541030421</v>
      </c>
      <c r="BL41">
        <v>0.28161278120233535</v>
      </c>
      <c r="BM41">
        <v>185.86443559354134</v>
      </c>
      <c r="BN41">
        <v>1.1847490516202266</v>
      </c>
      <c r="BO41">
        <v>781.93437406934959</v>
      </c>
      <c r="BP41">
        <v>23.288202591852858</v>
      </c>
      <c r="BQ41">
        <v>15370.213710622886</v>
      </c>
      <c r="BR41">
        <v>46.223906950560036</v>
      </c>
      <c r="BS41">
        <v>30507.778587369623</v>
      </c>
      <c r="BT41">
        <v>4.9226179652006712</v>
      </c>
      <c r="BU41">
        <v>3248.9278570324432</v>
      </c>
      <c r="BV41">
        <v>34.660547235577063</v>
      </c>
      <c r="BW41">
        <v>22875.961175480861</v>
      </c>
      <c r="BX41">
        <v>4.1264344007277591</v>
      </c>
      <c r="BY41">
        <v>2723.4467044803209</v>
      </c>
      <c r="BZ41">
        <v>15.243628770110412</v>
      </c>
      <c r="CA41">
        <v>10060.794988272872</v>
      </c>
      <c r="CB41">
        <v>13.729092292727092</v>
      </c>
      <c r="CC41">
        <v>9061.2009131998802</v>
      </c>
      <c r="CD41">
        <v>16</v>
      </c>
      <c r="CE41">
        <v>10560</v>
      </c>
      <c r="CF41">
        <v>1.9171138033878072</v>
      </c>
      <c r="CG41">
        <v>1265.2951102359527</v>
      </c>
      <c r="CH41">
        <v>3.9658312682083752</v>
      </c>
      <c r="CI41">
        <v>2617.4486370175277</v>
      </c>
      <c r="CJ41">
        <v>0.48837448325286548</v>
      </c>
      <c r="CK41">
        <v>322.32715894689119</v>
      </c>
      <c r="CL41">
        <v>2.285661411695604</v>
      </c>
      <c r="CM41">
        <v>1508.5365317190985</v>
      </c>
      <c r="CN41">
        <v>11.552611154996429</v>
      </c>
      <c r="CO41">
        <v>7624.7233622976428</v>
      </c>
      <c r="CP41">
        <v>11.421544746609097</v>
      </c>
      <c r="CQ41">
        <v>7538.2195327620038</v>
      </c>
      <c r="CR41">
        <v>1.7224997141721534</v>
      </c>
      <c r="CS41">
        <v>1136.8498113536214</v>
      </c>
      <c r="CT41">
        <v>18.130598174153118</v>
      </c>
      <c r="CU41">
        <v>11966.194794941057</v>
      </c>
    </row>
    <row r="42" spans="2:99" x14ac:dyDescent="0.2">
      <c r="C42" s="105" t="s">
        <v>208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0.44444791040894782</v>
      </c>
      <c r="O42">
        <v>376.00293220596984</v>
      </c>
      <c r="P42">
        <v>2.7604709210599521</v>
      </c>
      <c r="Q42">
        <v>2335.3583992167196</v>
      </c>
      <c r="R42">
        <v>0.75658358862638064</v>
      </c>
      <c r="S42">
        <v>640.06971597791801</v>
      </c>
      <c r="T42">
        <v>25.995976442213816</v>
      </c>
      <c r="U42">
        <v>21992.59607011289</v>
      </c>
      <c r="V42">
        <v>3.0564723826172244</v>
      </c>
      <c r="W42">
        <v>2585.7756356941718</v>
      </c>
      <c r="X42">
        <v>17.483566840395973</v>
      </c>
      <c r="Y42">
        <v>14791.097546974994</v>
      </c>
      <c r="Z42">
        <v>3.924886190923575</v>
      </c>
      <c r="AA42">
        <v>3320.4537175213445</v>
      </c>
      <c r="AB42">
        <v>8.6560696967817155</v>
      </c>
      <c r="AC42">
        <v>7323.0349634773311</v>
      </c>
      <c r="AD42">
        <v>0.8315102416213036</v>
      </c>
      <c r="AE42">
        <v>703.45766441162289</v>
      </c>
      <c r="AF42">
        <v>6.5930367300000903</v>
      </c>
      <c r="AG42">
        <v>5577.7090735800766</v>
      </c>
      <c r="AH42">
        <v>0.62358172863338235</v>
      </c>
      <c r="AI42">
        <v>527.55014242384152</v>
      </c>
      <c r="AJ42">
        <v>9</v>
      </c>
      <c r="AK42">
        <v>7614</v>
      </c>
      <c r="AL42">
        <v>2.2849655654086538</v>
      </c>
      <c r="AM42">
        <v>1933.0808683357211</v>
      </c>
      <c r="AN42">
        <v>7.9028514135488113</v>
      </c>
      <c r="AO42">
        <v>6685.8122958622944</v>
      </c>
      <c r="AP42">
        <v>2.1739484630340109</v>
      </c>
      <c r="AQ42">
        <v>1839.1603997267732</v>
      </c>
      <c r="AR42">
        <v>3.1747385891068052</v>
      </c>
      <c r="AS42">
        <v>2685.8288463843573</v>
      </c>
      <c r="AT42">
        <v>4.3585251342875759</v>
      </c>
      <c r="AU42">
        <v>3687.3122636072894</v>
      </c>
      <c r="AV42">
        <v>4.0233898305084743</v>
      </c>
      <c r="AW42">
        <v>3403.7877966101692</v>
      </c>
      <c r="AX42">
        <v>6.1732437927987585</v>
      </c>
      <c r="AY42">
        <v>5222.5642487077494</v>
      </c>
      <c r="AZ42">
        <v>0.79992466108024074</v>
      </c>
      <c r="BA42">
        <v>676.73626327388365</v>
      </c>
      <c r="BB42">
        <v>1.2464912334956122</v>
      </c>
      <c r="BC42">
        <v>1054.5315835372878</v>
      </c>
      <c r="BD42">
        <v>0.27445800337095932</v>
      </c>
      <c r="BE42">
        <v>232.19147085183158</v>
      </c>
      <c r="BF42">
        <v>1.7605134303999213</v>
      </c>
      <c r="BG42">
        <v>1489.3943621183334</v>
      </c>
      <c r="BH42">
        <v>0</v>
      </c>
      <c r="BI42">
        <v>0</v>
      </c>
      <c r="BJ42">
        <v>2.5067068662860201</v>
      </c>
      <c r="BK42">
        <v>2120.6740088779729</v>
      </c>
      <c r="BL42">
        <v>0.28161278120233535</v>
      </c>
      <c r="BM42">
        <v>238.24441289717569</v>
      </c>
      <c r="BN42">
        <v>1.3328426830727549</v>
      </c>
      <c r="BO42">
        <v>1127.5849098795507</v>
      </c>
      <c r="BP42">
        <v>21.876796374164805</v>
      </c>
      <c r="BQ42">
        <v>18507.769732543424</v>
      </c>
      <c r="BR42">
        <v>40.654761534829916</v>
      </c>
      <c r="BS42">
        <v>34393.928258466112</v>
      </c>
      <c r="BT42">
        <v>4.999533870906931</v>
      </c>
      <c r="BU42">
        <v>4229.605654787264</v>
      </c>
      <c r="BV42">
        <v>33.27412534615398</v>
      </c>
      <c r="BW42">
        <v>28149.910042846266</v>
      </c>
      <c r="BX42">
        <v>4.6646649747357269</v>
      </c>
      <c r="BY42">
        <v>3946.3065686264249</v>
      </c>
      <c r="BZ42">
        <v>14.580862301844741</v>
      </c>
      <c r="CA42">
        <v>12335.409507360651</v>
      </c>
      <c r="CB42">
        <v>15.102001521999799</v>
      </c>
      <c r="CC42">
        <v>12776.29328761183</v>
      </c>
      <c r="CD42">
        <v>17</v>
      </c>
      <c r="CE42">
        <v>14382</v>
      </c>
      <c r="CF42">
        <v>1.6614986296027663</v>
      </c>
      <c r="CG42">
        <v>1405.6278406439403</v>
      </c>
      <c r="CH42">
        <v>3.6607673245000383</v>
      </c>
      <c r="CI42">
        <v>3097.0091565270322</v>
      </c>
      <c r="CJ42">
        <v>0.48837448325286548</v>
      </c>
      <c r="CK42">
        <v>413.16481283192417</v>
      </c>
      <c r="CL42">
        <v>2.285661411695604</v>
      </c>
      <c r="CM42">
        <v>1933.669554294481</v>
      </c>
      <c r="CN42">
        <v>9.9974519610546011</v>
      </c>
      <c r="CO42">
        <v>8457.8443590521929</v>
      </c>
      <c r="CP42">
        <v>10.363994307108255</v>
      </c>
      <c r="CQ42">
        <v>8767.9391838135834</v>
      </c>
      <c r="CR42">
        <v>1.5865128946322464</v>
      </c>
      <c r="CS42">
        <v>1342.1899088588805</v>
      </c>
      <c r="CT42">
        <v>20.263609724053488</v>
      </c>
      <c r="CU42">
        <v>17143.01382654925</v>
      </c>
    </row>
    <row r="43" spans="2:99" x14ac:dyDescent="0.2">
      <c r="C43" s="105" t="s">
        <v>209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0.4074105845415355</v>
      </c>
      <c r="O43">
        <v>416.53658163526586</v>
      </c>
      <c r="P43">
        <v>2.5764395263226221</v>
      </c>
      <c r="Q43">
        <v>2634.1517717122488</v>
      </c>
      <c r="R43">
        <v>0.75658358862638064</v>
      </c>
      <c r="S43">
        <v>773.53106101161154</v>
      </c>
      <c r="T43">
        <v>27.729041538361404</v>
      </c>
      <c r="U43">
        <v>28350.172068820699</v>
      </c>
      <c r="V43">
        <v>3.0564723826172244</v>
      </c>
      <c r="W43">
        <v>3124.9373639878504</v>
      </c>
      <c r="X43">
        <v>17.483566840395973</v>
      </c>
      <c r="Y43">
        <v>17875.198737620842</v>
      </c>
      <c r="Z43">
        <v>3.6632271115286699</v>
      </c>
      <c r="AA43">
        <v>3745.2833988269122</v>
      </c>
      <c r="AB43">
        <v>7.2710985452966401</v>
      </c>
      <c r="AC43">
        <v>7433.971152711285</v>
      </c>
      <c r="AD43">
        <v>0.86349140476058461</v>
      </c>
      <c r="AE43">
        <v>882.83361222722169</v>
      </c>
      <c r="AF43">
        <v>6.3183268662500867</v>
      </c>
      <c r="AG43">
        <v>6459.857388054088</v>
      </c>
      <c r="AH43">
        <v>0.5756139033538914</v>
      </c>
      <c r="AI43">
        <v>588.5076547890186</v>
      </c>
      <c r="AJ43">
        <v>9</v>
      </c>
      <c r="AK43">
        <v>9201.6</v>
      </c>
      <c r="AL43">
        <v>2.2849655654086538</v>
      </c>
      <c r="AM43">
        <v>2336.1487940738075</v>
      </c>
      <c r="AN43">
        <v>7.9028514135488113</v>
      </c>
      <c r="AO43">
        <v>8079.8752852123043</v>
      </c>
      <c r="AP43">
        <v>2.0067216581852407</v>
      </c>
      <c r="AQ43">
        <v>2051.67222332859</v>
      </c>
      <c r="AR43">
        <v>3.527487321229783</v>
      </c>
      <c r="AS43">
        <v>3606.50303722533</v>
      </c>
      <c r="AT43">
        <v>5.0849459900021712</v>
      </c>
      <c r="AU43">
        <v>5198.8487801782194</v>
      </c>
      <c r="AV43">
        <v>3.7138983050847458</v>
      </c>
      <c r="AW43">
        <v>3797.0896271186439</v>
      </c>
      <c r="AX43">
        <v>6.1732437927987585</v>
      </c>
      <c r="AY43">
        <v>6311.5244537574508</v>
      </c>
      <c r="AZ43">
        <v>0.79992466108024074</v>
      </c>
      <c r="BA43">
        <v>817.84297348843813</v>
      </c>
      <c r="BB43">
        <v>1.2464912334956122</v>
      </c>
      <c r="BC43">
        <v>1274.412637125914</v>
      </c>
      <c r="BD43">
        <v>0.30190380370805531</v>
      </c>
      <c r="BE43">
        <v>308.66644891111576</v>
      </c>
      <c r="BF43">
        <v>1.7605134303999213</v>
      </c>
      <c r="BG43">
        <v>1799.9489312408793</v>
      </c>
      <c r="BH43">
        <v>0</v>
      </c>
      <c r="BI43">
        <v>0</v>
      </c>
      <c r="BJ43">
        <v>2.0889223885716834</v>
      </c>
      <c r="BK43">
        <v>2135.7142500756891</v>
      </c>
      <c r="BL43">
        <v>0.25601161927485033</v>
      </c>
      <c r="BM43">
        <v>261.74627954660696</v>
      </c>
      <c r="BN43">
        <v>1.1847490516202266</v>
      </c>
      <c r="BO43">
        <v>1211.2874303765198</v>
      </c>
      <c r="BP43">
        <v>20.465390156476751</v>
      </c>
      <c r="BQ43">
        <v>20923.814895981828</v>
      </c>
      <c r="BR43">
        <v>37.313274285391834</v>
      </c>
      <c r="BS43">
        <v>38149.091629384609</v>
      </c>
      <c r="BT43">
        <v>5.1533656823194534</v>
      </c>
      <c r="BU43">
        <v>5268.8010736034093</v>
      </c>
      <c r="BV43">
        <v>29.114859677884734</v>
      </c>
      <c r="BW43">
        <v>29767.03253466935</v>
      </c>
      <c r="BX43">
        <v>4.4852547833997374</v>
      </c>
      <c r="BY43">
        <v>4585.724490547891</v>
      </c>
      <c r="BZ43">
        <v>15.906395238376081</v>
      </c>
      <c r="CA43">
        <v>16262.698491715706</v>
      </c>
      <c r="CB43">
        <v>12.356183063454381</v>
      </c>
      <c r="CC43">
        <v>12632.961564075758</v>
      </c>
      <c r="CD43">
        <v>16</v>
      </c>
      <c r="CE43">
        <v>16358.4</v>
      </c>
      <c r="CF43">
        <v>1.9171138033878072</v>
      </c>
      <c r="CG43">
        <v>1960.057152583694</v>
      </c>
      <c r="CH43">
        <v>3.9658312682083752</v>
      </c>
      <c r="CI43">
        <v>4054.6658886162427</v>
      </c>
      <c r="CJ43">
        <v>0.48837448325286548</v>
      </c>
      <c r="CK43">
        <v>499.31407167772966</v>
      </c>
      <c r="CL43">
        <v>2.4761331960035711</v>
      </c>
      <c r="CM43">
        <v>2531.598579594051</v>
      </c>
      <c r="CN43">
        <v>11.552611154996429</v>
      </c>
      <c r="CO43">
        <v>11811.389644868348</v>
      </c>
      <c r="CP43">
        <v>10.787014482908592</v>
      </c>
      <c r="CQ43">
        <v>11028.643607325745</v>
      </c>
      <c r="CR43">
        <v>1.5865128946322464</v>
      </c>
      <c r="CS43">
        <v>1622.0507834720088</v>
      </c>
      <c r="CT43">
        <v>19.197103949103301</v>
      </c>
      <c r="CU43">
        <v>19627.119077563213</v>
      </c>
    </row>
    <row r="44" spans="2:99" x14ac:dyDescent="0.2">
      <c r="C44" s="105" t="s">
        <v>210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0.4074105845415355</v>
      </c>
      <c r="O44">
        <v>416.53658163526586</v>
      </c>
      <c r="P44">
        <v>2.7604709210599521</v>
      </c>
      <c r="Q44">
        <v>2822.3054696916947</v>
      </c>
      <c r="R44">
        <v>0.81062527352826497</v>
      </c>
      <c r="S44">
        <v>828.78327965529809</v>
      </c>
      <c r="T44">
        <v>25.995976442213816</v>
      </c>
      <c r="U44">
        <v>26578.286314519406</v>
      </c>
      <c r="V44">
        <v>3.2020186865513778</v>
      </c>
      <c r="W44">
        <v>3273.7439051301285</v>
      </c>
      <c r="X44">
        <v>19.426185378217749</v>
      </c>
      <c r="Y44">
        <v>19861.331930689827</v>
      </c>
      <c r="Z44">
        <v>3.5323975718312175</v>
      </c>
      <c r="AA44">
        <v>3611.5232774402366</v>
      </c>
      <c r="AB44">
        <v>8.6560696967817155</v>
      </c>
      <c r="AC44">
        <v>8849.9656579896255</v>
      </c>
      <c r="AD44">
        <v>0.79952907848202281</v>
      </c>
      <c r="AE44">
        <v>817.43852984002012</v>
      </c>
      <c r="AF44">
        <v>6.043617002500083</v>
      </c>
      <c r="AG44">
        <v>6178.9940233560847</v>
      </c>
      <c r="AH44">
        <v>0.64756564127312777</v>
      </c>
      <c r="AI44">
        <v>662.0711116376458</v>
      </c>
      <c r="AJ44">
        <v>9</v>
      </c>
      <c r="AK44">
        <v>9201.6</v>
      </c>
      <c r="AL44">
        <v>2.6657931596434294</v>
      </c>
      <c r="AM44">
        <v>2725.5069264194422</v>
      </c>
      <c r="AN44">
        <v>7.2949397663527487</v>
      </c>
      <c r="AO44">
        <v>7458.3464171190499</v>
      </c>
      <c r="AP44">
        <v>2.0067216581852407</v>
      </c>
      <c r="AQ44">
        <v>2051.67222332859</v>
      </c>
      <c r="AR44">
        <v>3.527487321229783</v>
      </c>
      <c r="AS44">
        <v>3606.50303722533</v>
      </c>
      <c r="AT44">
        <v>4.3585251342875759</v>
      </c>
      <c r="AU44">
        <v>4456.1560972956177</v>
      </c>
      <c r="AV44">
        <v>4.0233898305084743</v>
      </c>
      <c r="AW44">
        <v>4113.5137627118638</v>
      </c>
      <c r="AX44">
        <v>6.1732437927987585</v>
      </c>
      <c r="AY44">
        <v>6311.5244537574508</v>
      </c>
      <c r="AZ44">
        <v>0.91419961266313221</v>
      </c>
      <c r="BA44">
        <v>934.67768398678641</v>
      </c>
      <c r="BB44">
        <v>1.2464912334956122</v>
      </c>
      <c r="BC44">
        <v>1274.412637125914</v>
      </c>
      <c r="BD44">
        <v>0.30190380370805531</v>
      </c>
      <c r="BE44">
        <v>308.66644891111576</v>
      </c>
      <c r="BF44">
        <v>2.0120153490284816</v>
      </c>
      <c r="BG44">
        <v>2057.0844928467195</v>
      </c>
      <c r="BH44">
        <v>0</v>
      </c>
      <c r="BI44">
        <v>0</v>
      </c>
      <c r="BJ44">
        <v>2.2978146274288518</v>
      </c>
      <c r="BK44">
        <v>2349.285675083258</v>
      </c>
      <c r="BL44">
        <v>0.23041045734736529</v>
      </c>
      <c r="BM44">
        <v>235.57165159194628</v>
      </c>
      <c r="BN44">
        <v>1.4809363145252834</v>
      </c>
      <c r="BO44">
        <v>1514.1092879706498</v>
      </c>
      <c r="BP44">
        <v>22.582499483008831</v>
      </c>
      <c r="BQ44">
        <v>23088.347471428227</v>
      </c>
      <c r="BR44">
        <v>43.439334242694976</v>
      </c>
      <c r="BS44">
        <v>44412.375329731345</v>
      </c>
      <c r="BT44">
        <v>4.999533870906931</v>
      </c>
      <c r="BU44">
        <v>5111.5234296152457</v>
      </c>
      <c r="BV44">
        <v>33.27412534615398</v>
      </c>
      <c r="BW44">
        <v>34019.465753907825</v>
      </c>
      <c r="BX44">
        <v>4.6646649747357269</v>
      </c>
      <c r="BY44">
        <v>4769.1534701698074</v>
      </c>
      <c r="BZ44">
        <v>16.569161706641751</v>
      </c>
      <c r="CA44">
        <v>16940.310928870527</v>
      </c>
      <c r="CB44">
        <v>13.729092292727092</v>
      </c>
      <c r="CC44">
        <v>14036.623960084178</v>
      </c>
      <c r="CD44">
        <v>15</v>
      </c>
      <c r="CE44">
        <v>15336</v>
      </c>
      <c r="CF44">
        <v>1.9171138033878072</v>
      </c>
      <c r="CG44">
        <v>1960.057152583694</v>
      </c>
      <c r="CH44">
        <v>3.9658312682083752</v>
      </c>
      <c r="CI44">
        <v>4054.6658886162427</v>
      </c>
      <c r="CJ44">
        <v>0.54942129365947368</v>
      </c>
      <c r="CK44">
        <v>561.72833063744588</v>
      </c>
      <c r="CL44">
        <v>2.4761331960035711</v>
      </c>
      <c r="CM44">
        <v>2531.598579594051</v>
      </c>
      <c r="CN44">
        <v>11.996942353265522</v>
      </c>
      <c r="CO44">
        <v>12265.67386197867</v>
      </c>
      <c r="CP44">
        <v>9.3064438676074133</v>
      </c>
      <c r="CQ44">
        <v>9514.9082102418197</v>
      </c>
      <c r="CR44">
        <v>1.4958550149389753</v>
      </c>
      <c r="CS44">
        <v>1529.3621672736083</v>
      </c>
      <c r="CT44">
        <v>20.619111649036881</v>
      </c>
      <c r="CU44">
        <v>21080.979749975308</v>
      </c>
    </row>
    <row r="45" spans="2:99" x14ac:dyDescent="0.2">
      <c r="C45" s="105" t="s">
        <v>211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0.4074105845415355</v>
      </c>
      <c r="O45">
        <v>508.93730220928614</v>
      </c>
      <c r="P45">
        <v>2.3924081315852916</v>
      </c>
      <c r="Q45">
        <v>2988.5962379763464</v>
      </c>
      <c r="R45">
        <v>0.75658358862638064</v>
      </c>
      <c r="S45">
        <v>945.12421891207475</v>
      </c>
      <c r="T45">
        <v>30.328639182582787</v>
      </c>
      <c r="U45">
        <v>37886.536066882421</v>
      </c>
      <c r="V45">
        <v>2.9109260786830711</v>
      </c>
      <c r="W45">
        <v>3636.3288574908925</v>
      </c>
      <c r="X45">
        <v>19.426185378217749</v>
      </c>
      <c r="Y45">
        <v>24267.190774469615</v>
      </c>
      <c r="Z45">
        <v>3.2707384924363123</v>
      </c>
      <c r="AA45">
        <v>4085.8065247514414</v>
      </c>
      <c r="AB45">
        <v>7.2710985452966401</v>
      </c>
      <c r="AC45">
        <v>9083.0563027845637</v>
      </c>
      <c r="AD45">
        <v>0.8315102416213036</v>
      </c>
      <c r="AE45">
        <v>1038.7225938333324</v>
      </c>
      <c r="AF45">
        <v>6.043617002500083</v>
      </c>
      <c r="AG45">
        <v>7549.6863595231043</v>
      </c>
      <c r="AH45">
        <v>0.5756139033538914</v>
      </c>
      <c r="AI45">
        <v>719.05688806968112</v>
      </c>
      <c r="AJ45">
        <v>10</v>
      </c>
      <c r="AK45">
        <v>12492</v>
      </c>
      <c r="AL45">
        <v>2.2849655654086538</v>
      </c>
      <c r="AM45">
        <v>2854.3789843084905</v>
      </c>
      <c r="AN45">
        <v>7.9028514135488113</v>
      </c>
      <c r="AO45">
        <v>9872.2419858051762</v>
      </c>
      <c r="AP45">
        <v>2.0067216581852407</v>
      </c>
      <c r="AQ45">
        <v>2506.796695405003</v>
      </c>
      <c r="AR45">
        <v>3.1747385891068052</v>
      </c>
      <c r="AS45">
        <v>3965.883445512221</v>
      </c>
      <c r="AT45">
        <v>4.3585251342875759</v>
      </c>
      <c r="AU45">
        <v>5444.6695977520403</v>
      </c>
      <c r="AV45">
        <v>3.7138983050847458</v>
      </c>
      <c r="AW45">
        <v>4639.4017627118646</v>
      </c>
      <c r="AX45">
        <v>5.6588068100655287</v>
      </c>
      <c r="AY45">
        <v>7068.981467133859</v>
      </c>
      <c r="AZ45">
        <v>0.91419961266313221</v>
      </c>
      <c r="BA45">
        <v>1142.0181561387849</v>
      </c>
      <c r="BB45">
        <v>1.2464912334956122</v>
      </c>
      <c r="BC45">
        <v>1557.1168488827188</v>
      </c>
      <c r="BD45">
        <v>0.32934960404515123</v>
      </c>
      <c r="BE45">
        <v>411.42352537320295</v>
      </c>
      <c r="BF45">
        <v>1.7605134303999213</v>
      </c>
      <c r="BG45">
        <v>2199.2333772555817</v>
      </c>
      <c r="BH45">
        <v>0</v>
      </c>
      <c r="BI45">
        <v>0</v>
      </c>
      <c r="BJ45">
        <v>2.0889223885716834</v>
      </c>
      <c r="BK45">
        <v>2609.4818478037469</v>
      </c>
      <c r="BL45">
        <v>0.28161278120233535</v>
      </c>
      <c r="BM45">
        <v>351.79068627795732</v>
      </c>
      <c r="BN45">
        <v>1.1847490516202266</v>
      </c>
      <c r="BO45">
        <v>1479.988515283987</v>
      </c>
      <c r="BP45">
        <v>22.582499483008831</v>
      </c>
      <c r="BQ45">
        <v>28210.058354174635</v>
      </c>
      <c r="BR45">
        <v>40.654761534829916</v>
      </c>
      <c r="BS45">
        <v>50785.928109309534</v>
      </c>
      <c r="BT45">
        <v>4.8457020594944105</v>
      </c>
      <c r="BU45">
        <v>6053.2510127204177</v>
      </c>
      <c r="BV45">
        <v>33.27412534615398</v>
      </c>
      <c r="BW45">
        <v>41566.037382415554</v>
      </c>
      <c r="BX45">
        <v>3.9470242093917687</v>
      </c>
      <c r="BY45">
        <v>4930.6226423721973</v>
      </c>
      <c r="BZ45">
        <v>15.906395238376081</v>
      </c>
      <c r="CA45">
        <v>19870.268931779403</v>
      </c>
      <c r="CB45">
        <v>13.042637678090735</v>
      </c>
      <c r="CC45">
        <v>16292.862987470946</v>
      </c>
      <c r="CD45">
        <v>16</v>
      </c>
      <c r="CE45">
        <v>19987.2</v>
      </c>
      <c r="CF45">
        <v>1.9171138033878072</v>
      </c>
      <c r="CG45">
        <v>2394.8585631920487</v>
      </c>
      <c r="CH45">
        <v>3.6607673245000383</v>
      </c>
      <c r="CI45">
        <v>4573.0305417654481</v>
      </c>
      <c r="CJ45">
        <v>0.54942129365947368</v>
      </c>
      <c r="CK45">
        <v>686.33708003941456</v>
      </c>
      <c r="CL45">
        <v>2.0951896273876365</v>
      </c>
      <c r="CM45">
        <v>2617.3108825326358</v>
      </c>
      <c r="CN45">
        <v>9.5531207627855093</v>
      </c>
      <c r="CO45">
        <v>11933.758456871659</v>
      </c>
      <c r="CP45">
        <v>10.152484219208086</v>
      </c>
      <c r="CQ45">
        <v>12682.483286634741</v>
      </c>
      <c r="CR45">
        <v>1.4958550149389753</v>
      </c>
      <c r="CS45">
        <v>1868.622084661768</v>
      </c>
      <c r="CT45">
        <v>16.708590474219541</v>
      </c>
      <c r="CU45">
        <v>20872.371220395053</v>
      </c>
    </row>
    <row r="46" spans="2:99" x14ac:dyDescent="0.2">
      <c r="C46" s="105" t="s">
        <v>212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0.44444791040894782</v>
      </c>
      <c r="O46">
        <v>538.67086741564481</v>
      </c>
      <c r="P46">
        <v>2.5764395263226221</v>
      </c>
      <c r="Q46">
        <v>3122.6447059030179</v>
      </c>
      <c r="R46">
        <v>0.86466695843014929</v>
      </c>
      <c r="S46">
        <v>1047.9763536173409</v>
      </c>
      <c r="T46">
        <v>25.995976442213816</v>
      </c>
      <c r="U46">
        <v>31507.123447963146</v>
      </c>
      <c r="V46">
        <v>3.3475649904855311</v>
      </c>
      <c r="W46">
        <v>4057.2487684684638</v>
      </c>
      <c r="X46">
        <v>19.426185378217749</v>
      </c>
      <c r="Y46">
        <v>23544.536678399912</v>
      </c>
      <c r="Z46">
        <v>3.4015680321337647</v>
      </c>
      <c r="AA46">
        <v>4122.7004549461226</v>
      </c>
      <c r="AB46">
        <v>7.6173413331679098</v>
      </c>
      <c r="AC46">
        <v>9232.2176957995071</v>
      </c>
      <c r="AD46">
        <v>0.89547256789986551</v>
      </c>
      <c r="AE46">
        <v>1085.312752294637</v>
      </c>
      <c r="AF46">
        <v>6.5930367300000903</v>
      </c>
      <c r="AG46">
        <v>7990.7605167601096</v>
      </c>
      <c r="AH46">
        <v>0.52764607807440045</v>
      </c>
      <c r="AI46">
        <v>639.50704662617329</v>
      </c>
      <c r="AJ46">
        <v>9</v>
      </c>
      <c r="AK46">
        <v>10908</v>
      </c>
      <c r="AL46">
        <v>2.2849655654086538</v>
      </c>
      <c r="AM46">
        <v>2769.3782652752884</v>
      </c>
      <c r="AN46">
        <v>6.6870281191566869</v>
      </c>
      <c r="AO46">
        <v>8104.6780804179043</v>
      </c>
      <c r="AP46">
        <v>1.8394948533364708</v>
      </c>
      <c r="AQ46">
        <v>2229.4677622438026</v>
      </c>
      <c r="AR46">
        <v>3.1747385891068052</v>
      </c>
      <c r="AS46">
        <v>3847.7831699974477</v>
      </c>
      <c r="AT46">
        <v>5.0849459900021712</v>
      </c>
      <c r="AU46">
        <v>6162.9545398826313</v>
      </c>
      <c r="AV46">
        <v>3.7138983050847458</v>
      </c>
      <c r="AW46">
        <v>4501.2447457627122</v>
      </c>
      <c r="AX46">
        <v>6.1732437927987585</v>
      </c>
      <c r="AY46">
        <v>7481.9714768720951</v>
      </c>
      <c r="AZ46">
        <v>0.79992466108024074</v>
      </c>
      <c r="BA46">
        <v>969.50868922925179</v>
      </c>
      <c r="BB46">
        <v>1.2464912334956122</v>
      </c>
      <c r="BC46">
        <v>1510.7473749966821</v>
      </c>
      <c r="BD46">
        <v>0.30190380370805531</v>
      </c>
      <c r="BE46">
        <v>365.90741009416303</v>
      </c>
      <c r="BF46">
        <v>2.0120153490284816</v>
      </c>
      <c r="BG46">
        <v>2438.5626030225199</v>
      </c>
      <c r="BH46">
        <v>0</v>
      </c>
      <c r="BI46">
        <v>0</v>
      </c>
      <c r="BJ46">
        <v>2.0889223885716834</v>
      </c>
      <c r="BK46">
        <v>2531.7739349488802</v>
      </c>
      <c r="BL46">
        <v>0.25601161927485033</v>
      </c>
      <c r="BM46">
        <v>310.28608256111858</v>
      </c>
      <c r="BN46">
        <v>1.3328426830727549</v>
      </c>
      <c r="BO46">
        <v>1615.4053318841788</v>
      </c>
      <c r="BP46">
        <v>20.818241710898764</v>
      </c>
      <c r="BQ46">
        <v>25231.708953609301</v>
      </c>
      <c r="BR46">
        <v>38.427103368537857</v>
      </c>
      <c r="BS46">
        <v>46573.64928266788</v>
      </c>
      <c r="BT46">
        <v>4.9226179652006712</v>
      </c>
      <c r="BU46">
        <v>5966.2129738232134</v>
      </c>
      <c r="BV46">
        <v>31.887703456730897</v>
      </c>
      <c r="BW46">
        <v>38647.896589557844</v>
      </c>
      <c r="BX46">
        <v>4.4852547833997374</v>
      </c>
      <c r="BY46">
        <v>5436.1287974804818</v>
      </c>
      <c r="BZ46">
        <v>14.580862301844741</v>
      </c>
      <c r="CA46">
        <v>17672.005109835827</v>
      </c>
      <c r="CB46">
        <v>14.415546907363446</v>
      </c>
      <c r="CC46">
        <v>17471.642851724497</v>
      </c>
      <c r="CD46">
        <v>17</v>
      </c>
      <c r="CE46">
        <v>20604</v>
      </c>
      <c r="CF46">
        <v>1.6614986296027663</v>
      </c>
      <c r="CG46">
        <v>2013.7363390785526</v>
      </c>
      <c r="CH46">
        <v>3.9658312682083752</v>
      </c>
      <c r="CI46">
        <v>4806.5874970685509</v>
      </c>
      <c r="CJ46">
        <v>0.48837448325286548</v>
      </c>
      <c r="CK46">
        <v>591.90987370247296</v>
      </c>
      <c r="CL46">
        <v>2.4761331960035711</v>
      </c>
      <c r="CM46">
        <v>3001.0734335563279</v>
      </c>
      <c r="CN46">
        <v>10.663948758458242</v>
      </c>
      <c r="CO46">
        <v>12924.705895251389</v>
      </c>
      <c r="CP46">
        <v>9.3064438676074133</v>
      </c>
      <c r="CQ46">
        <v>11279.409967540185</v>
      </c>
      <c r="CR46">
        <v>1.6318418344788821</v>
      </c>
      <c r="CS46">
        <v>1977.7923033884051</v>
      </c>
      <c r="CT46">
        <v>18.841602024119908</v>
      </c>
      <c r="CU46">
        <v>22836.021653233329</v>
      </c>
    </row>
    <row r="47" spans="2:99" x14ac:dyDescent="0.2">
      <c r="C47" s="105" t="s">
        <v>213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0.4074105845415355</v>
      </c>
      <c r="O47">
        <v>622.36040894564962</v>
      </c>
      <c r="P47">
        <v>2.5764395263226221</v>
      </c>
      <c r="Q47">
        <v>3935.7690204104374</v>
      </c>
      <c r="R47">
        <v>0.86466695843014929</v>
      </c>
      <c r="S47">
        <v>1320.8652456978959</v>
      </c>
      <c r="T47">
        <v>25.995976442213816</v>
      </c>
      <c r="U47">
        <v>39711.453613125821</v>
      </c>
      <c r="V47">
        <v>3.2020186865513778</v>
      </c>
      <c r="W47">
        <v>4891.4037455758844</v>
      </c>
      <c r="X47">
        <v>16.512257571485087</v>
      </c>
      <c r="Y47">
        <v>25224.124666200616</v>
      </c>
      <c r="Z47">
        <v>3.1399089527388595</v>
      </c>
      <c r="AA47">
        <v>4796.5249162038817</v>
      </c>
      <c r="AB47">
        <v>7.9635841210391769</v>
      </c>
      <c r="AC47">
        <v>12165.171103299446</v>
      </c>
      <c r="AD47">
        <v>0.7675479153427418</v>
      </c>
      <c r="AE47">
        <v>1172.5061954775724</v>
      </c>
      <c r="AF47">
        <v>5.7689071387500794</v>
      </c>
      <c r="AG47">
        <v>8812.5825451546207</v>
      </c>
      <c r="AH47">
        <v>0.5756139033538914</v>
      </c>
      <c r="AI47">
        <v>879.30779876340443</v>
      </c>
      <c r="AJ47">
        <v>9</v>
      </c>
      <c r="AK47">
        <v>13748.4</v>
      </c>
      <c r="AL47">
        <v>2.6657931596434294</v>
      </c>
      <c r="AM47">
        <v>4072.2656306713025</v>
      </c>
      <c r="AN47">
        <v>7.9028514135488113</v>
      </c>
      <c r="AO47">
        <v>12072.395819337164</v>
      </c>
      <c r="AP47">
        <v>2.0067216581852407</v>
      </c>
      <c r="AQ47">
        <v>3065.4680050437737</v>
      </c>
      <c r="AR47">
        <v>3.1747385891068052</v>
      </c>
      <c r="AS47">
        <v>4849.7306687195551</v>
      </c>
      <c r="AT47">
        <v>4.7217355621448736</v>
      </c>
      <c r="AU47">
        <v>7212.9232447325085</v>
      </c>
      <c r="AV47">
        <v>4.0233898305084743</v>
      </c>
      <c r="AW47">
        <v>6146.1303050847446</v>
      </c>
      <c r="AX47">
        <v>6.1732437927987585</v>
      </c>
      <c r="AY47">
        <v>9430.2472178793832</v>
      </c>
      <c r="AZ47">
        <v>0.79992466108024074</v>
      </c>
      <c r="BA47">
        <v>1221.9649122661756</v>
      </c>
      <c r="BB47">
        <v>1.0684210572819532</v>
      </c>
      <c r="BC47">
        <v>1632.1200071039116</v>
      </c>
      <c r="BD47">
        <v>0.32934960404515123</v>
      </c>
      <c r="BE47">
        <v>503.11445513937298</v>
      </c>
      <c r="BF47">
        <v>1.7605134303999213</v>
      </c>
      <c r="BG47">
        <v>2689.3603162789195</v>
      </c>
      <c r="BH47">
        <v>0</v>
      </c>
      <c r="BI47">
        <v>0</v>
      </c>
      <c r="BJ47">
        <v>2.2978146274288518</v>
      </c>
      <c r="BK47">
        <v>3510.1416248603136</v>
      </c>
      <c r="BL47">
        <v>0.25601161927485033</v>
      </c>
      <c r="BM47">
        <v>391.08334960426134</v>
      </c>
      <c r="BN47">
        <v>1.1847490516202266</v>
      </c>
      <c r="BO47">
        <v>1809.822651255058</v>
      </c>
      <c r="BP47">
        <v>18.348280829944674</v>
      </c>
      <c r="BQ47">
        <v>28028.833795823481</v>
      </c>
      <c r="BR47">
        <v>39.540932451683879</v>
      </c>
      <c r="BS47">
        <v>60402.728413192293</v>
      </c>
      <c r="BT47">
        <v>4.3072907195505872</v>
      </c>
      <c r="BU47">
        <v>6579.8173031854767</v>
      </c>
      <c r="BV47">
        <v>27.035226843750106</v>
      </c>
      <c r="BW47">
        <v>41299.012526512663</v>
      </c>
      <c r="BX47">
        <v>4.1264344007277591</v>
      </c>
      <c r="BY47">
        <v>6303.5411905517249</v>
      </c>
      <c r="BZ47">
        <v>15.243628770110412</v>
      </c>
      <c r="CA47">
        <v>23286.167309220666</v>
      </c>
      <c r="CB47">
        <v>13.729092292727092</v>
      </c>
      <c r="CC47">
        <v>20972.561386369904</v>
      </c>
      <c r="CD47">
        <v>15</v>
      </c>
      <c r="CE47">
        <v>22914</v>
      </c>
      <c r="CF47">
        <v>1.7893062164952866</v>
      </c>
      <c r="CG47">
        <v>2733.3441763181995</v>
      </c>
      <c r="CH47">
        <v>3.3557033807917018</v>
      </c>
      <c r="CI47">
        <v>5126.1724844974033</v>
      </c>
      <c r="CJ47">
        <v>0.48837448325286548</v>
      </c>
      <c r="CK47">
        <v>746.04086061707721</v>
      </c>
      <c r="CL47">
        <v>2.0951896273876365</v>
      </c>
      <c r="CM47">
        <v>3200.6116747973533</v>
      </c>
      <c r="CN47">
        <v>10.886114357592788</v>
      </c>
      <c r="CO47">
        <v>16629.628292658741</v>
      </c>
      <c r="CP47">
        <v>9.0949337797072438</v>
      </c>
      <c r="CQ47">
        <v>13893.420841880785</v>
      </c>
      <c r="CR47">
        <v>1.5411839547856108</v>
      </c>
      <c r="CS47">
        <v>2354.3126093304991</v>
      </c>
      <c r="CT47">
        <v>17.775096249169724</v>
      </c>
      <c r="CU47">
        <v>27153.23703023167</v>
      </c>
    </row>
    <row r="48" spans="2:99" x14ac:dyDescent="0.2">
      <c r="C48" s="105" t="s">
        <v>214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0.37037325867412318</v>
      </c>
      <c r="O48">
        <v>321.3358392256693</v>
      </c>
      <c r="P48">
        <v>2.9445023157972821</v>
      </c>
      <c r="Q48">
        <v>2554.6502091857219</v>
      </c>
      <c r="R48">
        <v>0.75658358862638064</v>
      </c>
      <c r="S48">
        <v>656.41192149224787</v>
      </c>
      <c r="T48">
        <v>27.729041538361404</v>
      </c>
      <c r="U48">
        <v>24057.716438682353</v>
      </c>
      <c r="V48">
        <v>3.0564723826172244</v>
      </c>
      <c r="W48">
        <v>2651.7954391587041</v>
      </c>
      <c r="X48">
        <v>20.397494647128639</v>
      </c>
      <c r="Y48">
        <v>17696.866355848808</v>
      </c>
      <c r="Z48">
        <v>4.0557157306210279</v>
      </c>
      <c r="AA48">
        <v>3518.7389678868039</v>
      </c>
      <c r="AB48">
        <v>7.6173413331679098</v>
      </c>
      <c r="AC48">
        <v>6608.8053406564786</v>
      </c>
      <c r="AD48">
        <v>0.7675479153427418</v>
      </c>
      <c r="AE48">
        <v>665.92457135136283</v>
      </c>
      <c r="AF48">
        <v>6.3183268662500867</v>
      </c>
      <c r="AG48">
        <v>5481.7803891585754</v>
      </c>
      <c r="AH48">
        <v>0.55162999071414587</v>
      </c>
      <c r="AI48">
        <v>478.59417994359296</v>
      </c>
      <c r="AJ48">
        <v>9</v>
      </c>
      <c r="AK48">
        <v>7808.4000000000005</v>
      </c>
      <c r="AL48">
        <v>2.6657931596434294</v>
      </c>
      <c r="AM48">
        <v>2312.8421453066394</v>
      </c>
      <c r="AN48">
        <v>7.9028514135488113</v>
      </c>
      <c r="AO48">
        <v>6856.5138863949487</v>
      </c>
      <c r="AP48">
        <v>1.8394948533364708</v>
      </c>
      <c r="AQ48">
        <v>1595.945734754722</v>
      </c>
      <c r="AR48">
        <v>3.527487321229783</v>
      </c>
      <c r="AS48">
        <v>3060.44799989896</v>
      </c>
      <c r="AT48">
        <v>5.0849459900021712</v>
      </c>
      <c r="AU48">
        <v>4411.6991409258835</v>
      </c>
      <c r="AV48">
        <v>3.7138983050847458</v>
      </c>
      <c r="AW48">
        <v>3222.1781694915258</v>
      </c>
      <c r="AX48">
        <v>6.1732437927987585</v>
      </c>
      <c r="AY48">
        <v>5355.9063146322032</v>
      </c>
      <c r="AZ48">
        <v>0.91419961266313221</v>
      </c>
      <c r="BA48">
        <v>793.15958394653353</v>
      </c>
      <c r="BB48">
        <v>1.2464912334956122</v>
      </c>
      <c r="BC48">
        <v>1081.4557941807932</v>
      </c>
      <c r="BD48">
        <v>0.30190380370805531</v>
      </c>
      <c r="BE48">
        <v>261.93174009710879</v>
      </c>
      <c r="BF48">
        <v>1.7605134303999213</v>
      </c>
      <c r="BG48">
        <v>1527.4214522149716</v>
      </c>
      <c r="BH48">
        <v>0</v>
      </c>
      <c r="BI48">
        <v>0</v>
      </c>
      <c r="BJ48">
        <v>2.0889223885716834</v>
      </c>
      <c r="BK48">
        <v>1812.3490643247926</v>
      </c>
      <c r="BL48">
        <v>0.28161278120233535</v>
      </c>
      <c r="BM48">
        <v>244.32724897114616</v>
      </c>
      <c r="BN48">
        <v>1.3328426830727549</v>
      </c>
      <c r="BO48">
        <v>1156.3743118339221</v>
      </c>
      <c r="BP48">
        <v>22.229647928586818</v>
      </c>
      <c r="BQ48">
        <v>19286.442542841924</v>
      </c>
      <c r="BR48">
        <v>45.666992408987028</v>
      </c>
      <c r="BS48">
        <v>39620.682614037149</v>
      </c>
      <c r="BT48">
        <v>5.1533656823194534</v>
      </c>
      <c r="BU48">
        <v>4471.0600659803576</v>
      </c>
      <c r="BV48">
        <v>30.501281567307814</v>
      </c>
      <c r="BW48">
        <v>26462.911887796261</v>
      </c>
      <c r="BX48">
        <v>4.3058445920637478</v>
      </c>
      <c r="BY48">
        <v>3735.7507680745075</v>
      </c>
      <c r="BZ48">
        <v>14.580862301844741</v>
      </c>
      <c r="CA48">
        <v>12650.356133080497</v>
      </c>
      <c r="CB48">
        <v>13.729092292727092</v>
      </c>
      <c r="CC48">
        <v>11911.360473170025</v>
      </c>
      <c r="CD48">
        <v>15</v>
      </c>
      <c r="CE48">
        <v>13014</v>
      </c>
      <c r="CF48">
        <v>1.9171138033878072</v>
      </c>
      <c r="CG48">
        <v>1663.2879358192615</v>
      </c>
      <c r="CH48">
        <v>3.9658312682083752</v>
      </c>
      <c r="CI48">
        <v>3440.7552082975863</v>
      </c>
      <c r="CJ48">
        <v>0.54942129365947368</v>
      </c>
      <c r="CK48">
        <v>476.67791437895937</v>
      </c>
      <c r="CL48">
        <v>2.285661411695604</v>
      </c>
      <c r="CM48">
        <v>1983.0398407871062</v>
      </c>
      <c r="CN48">
        <v>11.330445555861882</v>
      </c>
      <c r="CO48">
        <v>9830.2945642657687</v>
      </c>
      <c r="CP48">
        <v>10.575504395008423</v>
      </c>
      <c r="CQ48">
        <v>9175.3076131093076</v>
      </c>
      <c r="CR48">
        <v>1.7678286540187889</v>
      </c>
      <c r="CS48">
        <v>1533.7681402267012</v>
      </c>
      <c r="CT48">
        <v>18.486100099136515</v>
      </c>
      <c r="CU48">
        <v>16038.54044601084</v>
      </c>
    </row>
    <row r="49" spans="2:99" x14ac:dyDescent="0.2">
      <c r="B49" s="105" t="s">
        <v>129</v>
      </c>
      <c r="C49" s="105" t="s">
        <v>215</v>
      </c>
      <c r="D49">
        <v>17</v>
      </c>
      <c r="E49">
        <v>16748.399999999998</v>
      </c>
      <c r="F49">
        <v>17</v>
      </c>
      <c r="G49">
        <v>16748.399999999998</v>
      </c>
      <c r="H49">
        <v>17</v>
      </c>
      <c r="I49">
        <v>16748.399999999998</v>
      </c>
      <c r="J49">
        <v>11</v>
      </c>
      <c r="K49">
        <v>10837.199999999999</v>
      </c>
      <c r="L49">
        <v>9.9966621868904877</v>
      </c>
      <c r="M49">
        <v>9848.7115865245087</v>
      </c>
      <c r="N49">
        <v>5.3076309252618428</v>
      </c>
      <c r="O49">
        <v>5229.0779875679673</v>
      </c>
      <c r="P49">
        <v>4.6958890524497381</v>
      </c>
      <c r="Q49">
        <v>4626.3898944734819</v>
      </c>
      <c r="R49">
        <v>4.1856926808975494</v>
      </c>
      <c r="S49">
        <v>4123.7444292202654</v>
      </c>
      <c r="T49">
        <v>2.0122174194599607</v>
      </c>
      <c r="U49">
        <v>1982.4366016519532</v>
      </c>
      <c r="V49">
        <v>3.555079847617316</v>
      </c>
      <c r="W49">
        <v>3502.4646658725796</v>
      </c>
      <c r="X49">
        <v>2.9235672898943701</v>
      </c>
      <c r="Y49">
        <v>2880.2984940039332</v>
      </c>
      <c r="Z49">
        <v>3.4136480996108407</v>
      </c>
      <c r="AA49">
        <v>3363.1261077365998</v>
      </c>
      <c r="AB49">
        <v>2.0676313242987896</v>
      </c>
      <c r="AC49">
        <v>2037.0303806991674</v>
      </c>
      <c r="AD49">
        <v>2.3925822548603231</v>
      </c>
      <c r="AE49">
        <v>2357.1720374883903</v>
      </c>
      <c r="AF49">
        <v>1.5264216002764888</v>
      </c>
      <c r="AG49">
        <v>1503.8305605923965</v>
      </c>
      <c r="AH49">
        <v>1.6060077532320809</v>
      </c>
      <c r="AI49">
        <v>1582.2388384842459</v>
      </c>
      <c r="AJ49">
        <v>2.0794991061346879</v>
      </c>
      <c r="AK49">
        <v>2048.7225193638942</v>
      </c>
      <c r="AL49">
        <v>2.3936374760984775</v>
      </c>
      <c r="AM49">
        <v>2358.2116414522197</v>
      </c>
      <c r="AN49">
        <v>1.8689479811566891</v>
      </c>
      <c r="AO49">
        <v>1841.28755103557</v>
      </c>
      <c r="AP49">
        <v>2.2323694298120262</v>
      </c>
      <c r="AQ49">
        <v>2199.3303622508083</v>
      </c>
      <c r="AR49">
        <v>4.3543698486352111</v>
      </c>
      <c r="AS49">
        <v>4289.9251748754095</v>
      </c>
      <c r="AT49">
        <v>0</v>
      </c>
      <c r="AU49">
        <v>0</v>
      </c>
      <c r="AV49">
        <v>9.0190983897880042</v>
      </c>
      <c r="AW49">
        <v>8885.6157336191409</v>
      </c>
      <c r="AX49">
        <v>5.4669088616154973</v>
      </c>
      <c r="AY49">
        <v>5385.9986104635873</v>
      </c>
      <c r="AZ49">
        <v>4.5260676901133943</v>
      </c>
      <c r="BA49">
        <v>4459.0818882997155</v>
      </c>
      <c r="BB49">
        <v>5.047452938729398</v>
      </c>
      <c r="BC49">
        <v>4972.7506352362025</v>
      </c>
      <c r="BD49">
        <v>4.2903349979199881</v>
      </c>
      <c r="BE49">
        <v>4226.8380399507723</v>
      </c>
      <c r="BF49">
        <v>4.4768713021773783</v>
      </c>
      <c r="BG49">
        <v>4410.6136069051527</v>
      </c>
      <c r="BH49">
        <v>5.2804123051322929</v>
      </c>
      <c r="BI49">
        <v>5202.2622030163348</v>
      </c>
      <c r="BJ49">
        <v>10.049433328461234</v>
      </c>
      <c r="BK49">
        <v>9900.7017152000062</v>
      </c>
      <c r="BL49">
        <v>6.7427318091518185</v>
      </c>
      <c r="BM49">
        <v>6642.9393783763708</v>
      </c>
      <c r="BN49">
        <v>0</v>
      </c>
      <c r="BO49">
        <v>0</v>
      </c>
      <c r="BP49">
        <v>7.6163427307384177</v>
      </c>
      <c r="BQ49">
        <v>7503.6208583234884</v>
      </c>
      <c r="BR49">
        <v>3.9371495257565345</v>
      </c>
      <c r="BS49">
        <v>3878.8797127753373</v>
      </c>
      <c r="BT49">
        <v>5.3982269176462179</v>
      </c>
      <c r="BU49">
        <v>5318.3331592650538</v>
      </c>
      <c r="BV49">
        <v>3.493115822338007</v>
      </c>
      <c r="BW49">
        <v>3441.4177081674043</v>
      </c>
      <c r="BX49">
        <v>4.0666682444739219</v>
      </c>
      <c r="BY49">
        <v>4006.4815544557077</v>
      </c>
      <c r="BZ49">
        <v>3.1131682524589483</v>
      </c>
      <c r="CA49">
        <v>3067.0933623225555</v>
      </c>
      <c r="CB49">
        <v>4.1297342225967801</v>
      </c>
      <c r="CC49">
        <v>4068.6141561023474</v>
      </c>
      <c r="CD49">
        <v>2.600203029042417</v>
      </c>
      <c r="CE49">
        <v>2561.7200242125891</v>
      </c>
      <c r="CF49">
        <v>1.069242367082863</v>
      </c>
      <c r="CG49">
        <v>1053.4175800500366</v>
      </c>
      <c r="CH49">
        <v>1.0446033038413884</v>
      </c>
      <c r="CI49">
        <v>1029.1431749445358</v>
      </c>
      <c r="CJ49">
        <v>0.91935749955428314</v>
      </c>
      <c r="CK49">
        <v>905.75100856087965</v>
      </c>
      <c r="CL49">
        <v>0.98251946517251632</v>
      </c>
      <c r="CM49">
        <v>967.97817708796299</v>
      </c>
      <c r="CN49">
        <v>0</v>
      </c>
      <c r="CO49">
        <v>0</v>
      </c>
      <c r="CP49">
        <v>12.867264509890809</v>
      </c>
      <c r="CQ49">
        <v>12676.828995144424</v>
      </c>
      <c r="CR49">
        <v>7.1214673683944465</v>
      </c>
      <c r="CS49">
        <v>7016.0696513422081</v>
      </c>
      <c r="CT49">
        <v>6.0979380681096282</v>
      </c>
      <c r="CU49">
        <v>6007.6885847016056</v>
      </c>
    </row>
    <row r="50" spans="2:99" x14ac:dyDescent="0.2">
      <c r="C50" s="105" t="s">
        <v>216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0.44444791040894782</v>
      </c>
      <c r="O50">
        <v>125.33431073532329</v>
      </c>
      <c r="P50">
        <v>1.8403139473733012</v>
      </c>
      <c r="Q50">
        <v>518.96853315927092</v>
      </c>
      <c r="R50">
        <v>0.54041684901884335</v>
      </c>
      <c r="S50">
        <v>152.39755142331381</v>
      </c>
      <c r="T50">
        <v>6.0657278365165572</v>
      </c>
      <c r="U50">
        <v>1710.5352498976692</v>
      </c>
      <c r="V50">
        <v>1.7465556472098425</v>
      </c>
      <c r="W50">
        <v>492.5286925131756</v>
      </c>
      <c r="X50">
        <v>9.7130926891088745</v>
      </c>
      <c r="Y50">
        <v>2739.0921383287027</v>
      </c>
      <c r="Z50">
        <v>1.4391249366719776</v>
      </c>
      <c r="AA50">
        <v>405.83323214149766</v>
      </c>
      <c r="AB50">
        <v>4.1549134544552233</v>
      </c>
      <c r="AC50">
        <v>1171.6855941563729</v>
      </c>
      <c r="AD50">
        <v>0.35179279453209</v>
      </c>
      <c r="AE50">
        <v>99.20556805804938</v>
      </c>
      <c r="AF50">
        <v>1.9229690462500264</v>
      </c>
      <c r="AG50">
        <v>542.27727104250744</v>
      </c>
      <c r="AH50">
        <v>0.21585521375770925</v>
      </c>
      <c r="AI50">
        <v>60.871170279674004</v>
      </c>
      <c r="AJ50">
        <v>18</v>
      </c>
      <c r="AK50">
        <v>5076</v>
      </c>
      <c r="AL50">
        <v>9.9015174501041656</v>
      </c>
      <c r="AM50">
        <v>2792.2279209293747</v>
      </c>
      <c r="AN50">
        <v>12.158232943921249</v>
      </c>
      <c r="AO50">
        <v>3428.621690185792</v>
      </c>
      <c r="AP50">
        <v>3.0100824872778613</v>
      </c>
      <c r="AQ50">
        <v>848.84326141235692</v>
      </c>
      <c r="AR50">
        <v>5.996728446090632</v>
      </c>
      <c r="AS50">
        <v>1691.0774217975581</v>
      </c>
      <c r="AT50">
        <v>7.6274189850032572</v>
      </c>
      <c r="AU50">
        <v>2150.9321537709184</v>
      </c>
      <c r="AV50">
        <v>5.570847457627119</v>
      </c>
      <c r="AW50">
        <v>1570.9789830508475</v>
      </c>
      <c r="AX50">
        <v>11.317613620131057</v>
      </c>
      <c r="AY50">
        <v>3191.5670408769583</v>
      </c>
      <c r="AZ50">
        <v>1.3712994189946985</v>
      </c>
      <c r="BA50">
        <v>386.70643615650499</v>
      </c>
      <c r="BB50">
        <v>1.9587719383502478</v>
      </c>
      <c r="BC50">
        <v>552.37368661476989</v>
      </c>
      <c r="BD50">
        <v>0.30190380370805531</v>
      </c>
      <c r="BE50">
        <v>85.136872645671602</v>
      </c>
      <c r="BF50">
        <v>3.2695249421712824</v>
      </c>
      <c r="BG50">
        <v>922.00603369230168</v>
      </c>
      <c r="BH50">
        <v>0</v>
      </c>
      <c r="BI50">
        <v>0</v>
      </c>
      <c r="BJ50">
        <v>16.084702392001965</v>
      </c>
      <c r="BK50">
        <v>4535.8860745445545</v>
      </c>
      <c r="BL50">
        <v>1.7664801729964674</v>
      </c>
      <c r="BM50">
        <v>498.14740878500379</v>
      </c>
      <c r="BN50">
        <v>9.9222733073193972</v>
      </c>
      <c r="BO50">
        <v>2798.0810726640698</v>
      </c>
      <c r="BP50">
        <v>11.644101295926429</v>
      </c>
      <c r="BQ50">
        <v>3283.6365654512529</v>
      </c>
      <c r="BR50">
        <v>18.37817987190941</v>
      </c>
      <c r="BS50">
        <v>5182.6467238784535</v>
      </c>
      <c r="BT50">
        <v>3.1535521339566799</v>
      </c>
      <c r="BU50">
        <v>889.30170177578373</v>
      </c>
      <c r="BV50">
        <v>21.489539286057781</v>
      </c>
      <c r="BW50">
        <v>6060.0500786682942</v>
      </c>
      <c r="BX50">
        <v>1.794101913359895</v>
      </c>
      <c r="BY50">
        <v>505.93673956749041</v>
      </c>
      <c r="BZ50">
        <v>5.964898214391031</v>
      </c>
      <c r="CA50">
        <v>1682.1012964582708</v>
      </c>
      <c r="CB50">
        <v>6.864546146363546</v>
      </c>
      <c r="CC50">
        <v>1935.80201327452</v>
      </c>
      <c r="CD50">
        <v>8</v>
      </c>
      <c r="CE50">
        <v>2256</v>
      </c>
      <c r="CF50">
        <v>0.89465310824764332</v>
      </c>
      <c r="CG50">
        <v>252.29217652583543</v>
      </c>
      <c r="CH50">
        <v>2.135447605958356</v>
      </c>
      <c r="CI50">
        <v>602.19622488025641</v>
      </c>
      <c r="CJ50">
        <v>0.42732767284625728</v>
      </c>
      <c r="CK50">
        <v>120.50640374264455</v>
      </c>
      <c r="CL50">
        <v>1.142830705847802</v>
      </c>
      <c r="CM50">
        <v>322.27825904908019</v>
      </c>
      <c r="CN50">
        <v>11.996942353265522</v>
      </c>
      <c r="CO50">
        <v>3383.1377436208772</v>
      </c>
      <c r="CP50">
        <v>9.7294640434077504</v>
      </c>
      <c r="CQ50">
        <v>2743.7088602409858</v>
      </c>
      <c r="CR50">
        <v>2.6290785111048653</v>
      </c>
      <c r="CS50">
        <v>741.40014013157202</v>
      </c>
      <c r="CT50">
        <v>15.286582774285964</v>
      </c>
      <c r="CU50">
        <v>4310.8163423486421</v>
      </c>
    </row>
    <row r="51" spans="2:99" x14ac:dyDescent="0.2">
      <c r="C51" s="105" t="s">
        <v>217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0.4814852362763602</v>
      </c>
      <c r="O51">
        <v>411.38098587452214</v>
      </c>
      <c r="P51">
        <v>1.8403139473733012</v>
      </c>
      <c r="Q51">
        <v>1572.3642366357485</v>
      </c>
      <c r="R51">
        <v>0.54041684901884335</v>
      </c>
      <c r="S51">
        <v>461.73215580169972</v>
      </c>
      <c r="T51">
        <v>6.0657278365165572</v>
      </c>
      <c r="U51">
        <v>5182.5578635197462</v>
      </c>
      <c r="V51">
        <v>1.4554630393415355</v>
      </c>
      <c r="W51">
        <v>1243.547620813408</v>
      </c>
      <c r="X51">
        <v>8.7417834201979865</v>
      </c>
      <c r="Y51">
        <v>7468.9797542171591</v>
      </c>
      <c r="Z51">
        <v>1.4391249366719776</v>
      </c>
      <c r="AA51">
        <v>1229.5883458925377</v>
      </c>
      <c r="AB51">
        <v>3.4624278787126861</v>
      </c>
      <c r="AC51">
        <v>2958.2983795721188</v>
      </c>
      <c r="AD51">
        <v>0.3198116313928091</v>
      </c>
      <c r="AE51">
        <v>273.24705786201611</v>
      </c>
      <c r="AF51">
        <v>2.1976789100000302</v>
      </c>
      <c r="AG51">
        <v>1877.6968607040258</v>
      </c>
      <c r="AH51">
        <v>0.21585521375770925</v>
      </c>
      <c r="AI51">
        <v>184.42669463458677</v>
      </c>
      <c r="AJ51">
        <v>16</v>
      </c>
      <c r="AK51">
        <v>13670.4</v>
      </c>
      <c r="AL51">
        <v>7.9973794789302879</v>
      </c>
      <c r="AM51">
        <v>6832.9610267980379</v>
      </c>
      <c r="AN51">
        <v>11.550321296725187</v>
      </c>
      <c r="AO51">
        <v>9868.5945159219991</v>
      </c>
      <c r="AP51">
        <v>2.675628877580321</v>
      </c>
      <c r="AQ51">
        <v>2286.0573130046264</v>
      </c>
      <c r="AR51">
        <v>5.6439797139676529</v>
      </c>
      <c r="AS51">
        <v>4822.2162676139624</v>
      </c>
      <c r="AT51">
        <v>7.9906294128605548</v>
      </c>
      <c r="AU51">
        <v>6827.193770348058</v>
      </c>
      <c r="AV51">
        <v>5.26135593220339</v>
      </c>
      <c r="AW51">
        <v>4495.3025084745759</v>
      </c>
      <c r="AX51">
        <v>11.832050602864287</v>
      </c>
      <c r="AY51">
        <v>10109.304035087247</v>
      </c>
      <c r="AZ51">
        <v>1.4855743705775899</v>
      </c>
      <c r="BA51">
        <v>1269.2747422214927</v>
      </c>
      <c r="BB51">
        <v>1.9587719383502478</v>
      </c>
      <c r="BC51">
        <v>1673.5747441264516</v>
      </c>
      <c r="BD51">
        <v>0.27445800337095932</v>
      </c>
      <c r="BE51">
        <v>234.49691808014765</v>
      </c>
      <c r="BF51">
        <v>3.5210268607998425</v>
      </c>
      <c r="BG51">
        <v>3008.3653498673852</v>
      </c>
      <c r="BH51">
        <v>0</v>
      </c>
      <c r="BI51">
        <v>0</v>
      </c>
      <c r="BJ51">
        <v>14.622456720001784</v>
      </c>
      <c r="BK51">
        <v>12493.427021569523</v>
      </c>
      <c r="BL51">
        <v>1.6640755252865271</v>
      </c>
      <c r="BM51">
        <v>1421.7861288048086</v>
      </c>
      <c r="BN51">
        <v>9.6260860444143415</v>
      </c>
      <c r="BO51">
        <v>8224.5279163476134</v>
      </c>
      <c r="BP51">
        <v>12.349804404770454</v>
      </c>
      <c r="BQ51">
        <v>10551.672883435876</v>
      </c>
      <c r="BR51">
        <v>19.492008955055436</v>
      </c>
      <c r="BS51">
        <v>16653.972451199363</v>
      </c>
      <c r="BT51">
        <v>3.0766362282504192</v>
      </c>
      <c r="BU51">
        <v>2628.6779934171582</v>
      </c>
      <c r="BV51">
        <v>18.716695507211615</v>
      </c>
      <c r="BW51">
        <v>15991.544641361603</v>
      </c>
      <c r="BX51">
        <v>1.9735121046958843</v>
      </c>
      <c r="BY51">
        <v>1686.1687422521636</v>
      </c>
      <c r="BZ51">
        <v>4.6393652778596906</v>
      </c>
      <c r="CA51">
        <v>3963.8736934033195</v>
      </c>
      <c r="CB51">
        <v>6.1780915317271905</v>
      </c>
      <c r="CC51">
        <v>5278.5614047077115</v>
      </c>
      <c r="CD51">
        <v>8</v>
      </c>
      <c r="CE51">
        <v>6835.2</v>
      </c>
      <c r="CF51">
        <v>0.76684552135512285</v>
      </c>
      <c r="CG51">
        <v>655.19281344581691</v>
      </c>
      <c r="CH51">
        <v>2.135447605958356</v>
      </c>
      <c r="CI51">
        <v>1824.5264345308194</v>
      </c>
      <c r="CJ51">
        <v>0.36628086243964908</v>
      </c>
      <c r="CK51">
        <v>312.95036886843616</v>
      </c>
      <c r="CL51">
        <v>0.95235892153983492</v>
      </c>
      <c r="CM51">
        <v>813.69546256363492</v>
      </c>
      <c r="CN51">
        <v>11.774776754130976</v>
      </c>
      <c r="CO51">
        <v>10060.369258729505</v>
      </c>
      <c r="CP51">
        <v>9.5179539555075809</v>
      </c>
      <c r="CQ51">
        <v>8132.1398595856772</v>
      </c>
      <c r="CR51">
        <v>2.3571048720250518</v>
      </c>
      <c r="CS51">
        <v>2013.9104026582042</v>
      </c>
      <c r="CT51">
        <v>15.286582774285964</v>
      </c>
      <c r="CU51">
        <v>13060.856322349928</v>
      </c>
    </row>
    <row r="52" spans="2:99" x14ac:dyDescent="0.2">
      <c r="C52" s="105" t="s">
        <v>218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0.4074105845415355</v>
      </c>
      <c r="O52">
        <v>220.00171565242917</v>
      </c>
      <c r="P52">
        <v>1.8403139473733012</v>
      </c>
      <c r="Q52">
        <v>993.76953158158267</v>
      </c>
      <c r="R52">
        <v>0.48637516411695897</v>
      </c>
      <c r="S52">
        <v>262.64258862315785</v>
      </c>
      <c r="T52">
        <v>6.0657278365165572</v>
      </c>
      <c r="U52">
        <v>3275.493031718941</v>
      </c>
      <c r="V52">
        <v>1.4554630393415355</v>
      </c>
      <c r="W52">
        <v>785.95004124442914</v>
      </c>
      <c r="X52">
        <v>8.7417834201979865</v>
      </c>
      <c r="Y52">
        <v>4720.5630469069129</v>
      </c>
      <c r="Z52">
        <v>1.308295396974525</v>
      </c>
      <c r="AA52">
        <v>706.47951436624351</v>
      </c>
      <c r="AB52">
        <v>3.8086706665839549</v>
      </c>
      <c r="AC52">
        <v>2056.6821599553355</v>
      </c>
      <c r="AD52">
        <v>0.35179279453209</v>
      </c>
      <c r="AE52">
        <v>189.9681090473286</v>
      </c>
      <c r="AF52">
        <v>2.1976789100000302</v>
      </c>
      <c r="AG52">
        <v>1186.7466114000163</v>
      </c>
      <c r="AH52">
        <v>0.1918713011179638</v>
      </c>
      <c r="AI52">
        <v>103.61050260370045</v>
      </c>
      <c r="AJ52">
        <v>17</v>
      </c>
      <c r="AK52">
        <v>9180</v>
      </c>
      <c r="AL52">
        <v>7.9973794789302879</v>
      </c>
      <c r="AM52">
        <v>4318.5849186223559</v>
      </c>
      <c r="AN52">
        <v>10.942409649529123</v>
      </c>
      <c r="AO52">
        <v>5908.9012107457265</v>
      </c>
      <c r="AP52">
        <v>2.675628877580321</v>
      </c>
      <c r="AQ52">
        <v>1444.8395938933734</v>
      </c>
      <c r="AR52">
        <v>5.6439797139676529</v>
      </c>
      <c r="AS52">
        <v>3047.7490455425327</v>
      </c>
      <c r="AT52">
        <v>7.6274189850032572</v>
      </c>
      <c r="AU52">
        <v>4118.8062519017585</v>
      </c>
      <c r="AV52">
        <v>5.570847457627119</v>
      </c>
      <c r="AW52">
        <v>3008.2576271186445</v>
      </c>
      <c r="AX52">
        <v>12.346487585597517</v>
      </c>
      <c r="AY52">
        <v>6667.1032962226591</v>
      </c>
      <c r="AZ52">
        <v>1.3712994189946985</v>
      </c>
      <c r="BA52">
        <v>740.50168625713718</v>
      </c>
      <c r="BB52">
        <v>1.9587719383502478</v>
      </c>
      <c r="BC52">
        <v>1057.7368467091337</v>
      </c>
      <c r="BD52">
        <v>0.27445800337095932</v>
      </c>
      <c r="BE52">
        <v>148.20732182031804</v>
      </c>
      <c r="BF52">
        <v>3.5210268607998425</v>
      </c>
      <c r="BG52">
        <v>1901.3545048319149</v>
      </c>
      <c r="BH52">
        <v>0</v>
      </c>
      <c r="BI52">
        <v>0</v>
      </c>
      <c r="BJ52">
        <v>16.293594630859133</v>
      </c>
      <c r="BK52">
        <v>8798.5411006639315</v>
      </c>
      <c r="BL52">
        <v>1.7152778491414973</v>
      </c>
      <c r="BM52">
        <v>926.25003853640851</v>
      </c>
      <c r="BN52">
        <v>10.218460570224456</v>
      </c>
      <c r="BO52">
        <v>5517.9687079212063</v>
      </c>
      <c r="BP52">
        <v>10.938398187082402</v>
      </c>
      <c r="BQ52">
        <v>5906.7350210244977</v>
      </c>
      <c r="BR52">
        <v>18.935094413482425</v>
      </c>
      <c r="BS52">
        <v>10224.950983280509</v>
      </c>
      <c r="BT52">
        <v>3.3073839453692009</v>
      </c>
      <c r="BU52">
        <v>1785.9873304993685</v>
      </c>
      <c r="BV52">
        <v>22.87596117548086</v>
      </c>
      <c r="BW52">
        <v>12353.019034759665</v>
      </c>
      <c r="BX52">
        <v>1.794101913359895</v>
      </c>
      <c r="BY52">
        <v>968.81503321434332</v>
      </c>
      <c r="BZ52">
        <v>4.6393652778596906</v>
      </c>
      <c r="CA52">
        <v>2505.2572500442329</v>
      </c>
      <c r="CB52">
        <v>6.864546146363546</v>
      </c>
      <c r="CC52">
        <v>3706.8549190363146</v>
      </c>
      <c r="CD52">
        <v>8</v>
      </c>
      <c r="CE52">
        <v>4320</v>
      </c>
      <c r="CF52">
        <v>0.89465310824764332</v>
      </c>
      <c r="CG52">
        <v>483.11267845372737</v>
      </c>
      <c r="CH52">
        <v>2.440511549666692</v>
      </c>
      <c r="CI52">
        <v>1317.8762368200137</v>
      </c>
      <c r="CJ52">
        <v>0.36628086243964908</v>
      </c>
      <c r="CK52">
        <v>197.7916657174105</v>
      </c>
      <c r="CL52">
        <v>1.142830705847802</v>
      </c>
      <c r="CM52">
        <v>617.12858115781307</v>
      </c>
      <c r="CN52">
        <v>13.107770348938255</v>
      </c>
      <c r="CO52">
        <v>7078.1959884266571</v>
      </c>
      <c r="CP52">
        <v>9.0949337797072438</v>
      </c>
      <c r="CQ52">
        <v>4911.2642410419121</v>
      </c>
      <c r="CR52">
        <v>2.5384206314115945</v>
      </c>
      <c r="CS52">
        <v>1370.747140962261</v>
      </c>
      <c r="CT52">
        <v>16.353088549236144</v>
      </c>
      <c r="CU52">
        <v>8830.6678165875182</v>
      </c>
    </row>
    <row r="53" spans="2:99" x14ac:dyDescent="0.2">
      <c r="C53" s="105" t="s">
        <v>219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0.44444791040894782</v>
      </c>
      <c r="O53">
        <v>180.80140995435997</v>
      </c>
      <c r="P53">
        <v>1.8403139473733012</v>
      </c>
      <c r="Q53">
        <v>748.63971379145892</v>
      </c>
      <c r="R53">
        <v>0.54041684901884335</v>
      </c>
      <c r="S53">
        <v>219.84157418086548</v>
      </c>
      <c r="T53">
        <v>6.932260384590351</v>
      </c>
      <c r="U53">
        <v>2820.0435244513546</v>
      </c>
      <c r="V53">
        <v>1.4554630393415355</v>
      </c>
      <c r="W53">
        <v>592.08236440413668</v>
      </c>
      <c r="X53">
        <v>9.7130926891088745</v>
      </c>
      <c r="Y53">
        <v>3951.2861059294901</v>
      </c>
      <c r="Z53">
        <v>1.5699544763694298</v>
      </c>
      <c r="AA53">
        <v>638.657480987084</v>
      </c>
      <c r="AB53">
        <v>4.1549134544552233</v>
      </c>
      <c r="AC53">
        <v>1690.2187932723848</v>
      </c>
      <c r="AD53">
        <v>0.3198116313928091</v>
      </c>
      <c r="AE53">
        <v>130.09937165059475</v>
      </c>
      <c r="AF53">
        <v>2.1976789100000302</v>
      </c>
      <c r="AG53">
        <v>894.01578058801238</v>
      </c>
      <c r="AH53">
        <v>0.21585521375770925</v>
      </c>
      <c r="AI53">
        <v>87.809900956636127</v>
      </c>
      <c r="AJ53">
        <v>17</v>
      </c>
      <c r="AK53">
        <v>6915.6</v>
      </c>
      <c r="AL53">
        <v>8.3782070731650631</v>
      </c>
      <c r="AM53">
        <v>3408.2546373635478</v>
      </c>
      <c r="AN53">
        <v>11.550321296725187</v>
      </c>
      <c r="AO53">
        <v>4698.6707035078061</v>
      </c>
      <c r="AP53">
        <v>3.0100824872778613</v>
      </c>
      <c r="AQ53">
        <v>1224.5015558246341</v>
      </c>
      <c r="AR53">
        <v>5.996728446090632</v>
      </c>
      <c r="AS53">
        <v>2439.4691318696691</v>
      </c>
      <c r="AT53">
        <v>8.3538398407178533</v>
      </c>
      <c r="AU53">
        <v>3398.3420472040229</v>
      </c>
      <c r="AV53">
        <v>6.4993220338983049</v>
      </c>
      <c r="AW53">
        <v>2643.9242033898304</v>
      </c>
      <c r="AX53">
        <v>12.346487585597517</v>
      </c>
      <c r="AY53">
        <v>5022.5511498210699</v>
      </c>
      <c r="AZ53">
        <v>1.3712994189946985</v>
      </c>
      <c r="BA53">
        <v>557.84460364704341</v>
      </c>
      <c r="BB53">
        <v>1.9587719383502478</v>
      </c>
      <c r="BC53">
        <v>796.82842452088084</v>
      </c>
      <c r="BD53">
        <v>0.30190380370805531</v>
      </c>
      <c r="BE53">
        <v>122.81446734843691</v>
      </c>
      <c r="BF53">
        <v>3.0180230235427223</v>
      </c>
      <c r="BG53">
        <v>1227.7317659771795</v>
      </c>
      <c r="BH53">
        <v>0</v>
      </c>
      <c r="BI53">
        <v>0</v>
      </c>
      <c r="BJ53">
        <v>15.249133436573292</v>
      </c>
      <c r="BK53">
        <v>6203.3474819980156</v>
      </c>
      <c r="BL53">
        <v>1.7920813349239522</v>
      </c>
      <c r="BM53">
        <v>729.01868704706374</v>
      </c>
      <c r="BN53">
        <v>9.181805150056757</v>
      </c>
      <c r="BO53">
        <v>3735.1583350430888</v>
      </c>
      <c r="BP53">
        <v>11.291249741504416</v>
      </c>
      <c r="BQ53">
        <v>4593.2803948439969</v>
      </c>
      <c r="BR53">
        <v>20.605838038201462</v>
      </c>
      <c r="BS53">
        <v>8382.4549139403553</v>
      </c>
      <c r="BT53">
        <v>3.3073839453692009</v>
      </c>
      <c r="BU53">
        <v>1345.4437889761909</v>
      </c>
      <c r="BV53">
        <v>20.796328341346236</v>
      </c>
      <c r="BW53">
        <v>8459.9463692596491</v>
      </c>
      <c r="BX53">
        <v>1.794101913359895</v>
      </c>
      <c r="BY53">
        <v>729.84065835480533</v>
      </c>
      <c r="BZ53">
        <v>5.3021317461253599</v>
      </c>
      <c r="CA53">
        <v>2156.9071943237964</v>
      </c>
      <c r="CB53">
        <v>6.864546146363546</v>
      </c>
      <c r="CC53">
        <v>2792.4973723406906</v>
      </c>
      <c r="CD53">
        <v>8</v>
      </c>
      <c r="CE53">
        <v>3254.4</v>
      </c>
      <c r="CF53">
        <v>0.76684552135512285</v>
      </c>
      <c r="CG53">
        <v>311.95275808726399</v>
      </c>
      <c r="CH53">
        <v>2.135447605958356</v>
      </c>
      <c r="CI53">
        <v>868.70008610385923</v>
      </c>
      <c r="CJ53">
        <v>0.42732767284625728</v>
      </c>
      <c r="CK53">
        <v>173.83689731385746</v>
      </c>
      <c r="CL53">
        <v>1.142830705847802</v>
      </c>
      <c r="CM53">
        <v>464.90353113888585</v>
      </c>
      <c r="CN53">
        <v>11.774776754130976</v>
      </c>
      <c r="CO53">
        <v>4789.9791835804808</v>
      </c>
      <c r="CP53">
        <v>10.152484219208086</v>
      </c>
      <c r="CQ53">
        <v>4130.0305803738493</v>
      </c>
      <c r="CR53">
        <v>2.7197363907981367</v>
      </c>
      <c r="CS53">
        <v>1106.388763776682</v>
      </c>
      <c r="CT53">
        <v>15.997586624252753</v>
      </c>
      <c r="CU53">
        <v>6507.8182387460201</v>
      </c>
    </row>
    <row r="54" spans="2:99" x14ac:dyDescent="0.2">
      <c r="C54" s="105" t="s">
        <v>220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0.44444791040894782</v>
      </c>
      <c r="O54">
        <v>148.80116040491575</v>
      </c>
      <c r="P54">
        <v>2.2083767368479612</v>
      </c>
      <c r="Q54">
        <v>739.3645314966974</v>
      </c>
      <c r="R54">
        <v>0.54041684901884335</v>
      </c>
      <c r="S54">
        <v>180.93156105150877</v>
      </c>
      <c r="T54">
        <v>6.932260384590351</v>
      </c>
      <c r="U54">
        <v>2320.9207767608495</v>
      </c>
      <c r="V54">
        <v>1.6010093432756889</v>
      </c>
      <c r="W54">
        <v>536.01792812870065</v>
      </c>
      <c r="X54">
        <v>10.684401958019762</v>
      </c>
      <c r="Y54">
        <v>3577.1377755450167</v>
      </c>
      <c r="Z54">
        <v>1.4391249366719776</v>
      </c>
      <c r="AA54">
        <v>481.81902879777812</v>
      </c>
      <c r="AB54">
        <v>3.4624278787126861</v>
      </c>
      <c r="AC54">
        <v>1159.2208537930073</v>
      </c>
      <c r="AD54">
        <v>0.35179279453209</v>
      </c>
      <c r="AE54">
        <v>117.78022760934374</v>
      </c>
      <c r="AF54">
        <v>2.1976789100000302</v>
      </c>
      <c r="AG54">
        <v>735.78289906801012</v>
      </c>
      <c r="AH54">
        <v>0.21585521375770925</v>
      </c>
      <c r="AI54">
        <v>72.26832556608106</v>
      </c>
      <c r="AJ54">
        <v>18</v>
      </c>
      <c r="AK54">
        <v>6026.4000000000005</v>
      </c>
      <c r="AL54">
        <v>8.75903466739984</v>
      </c>
      <c r="AM54">
        <v>2932.5248066454665</v>
      </c>
      <c r="AN54">
        <v>11.550321296725187</v>
      </c>
      <c r="AO54">
        <v>3867.0475701435926</v>
      </c>
      <c r="AP54">
        <v>2.8428556824290907</v>
      </c>
      <c r="AQ54">
        <v>951.78808247725965</v>
      </c>
      <c r="AR54">
        <v>5.6439797139676529</v>
      </c>
      <c r="AS54">
        <v>1889.6044082363703</v>
      </c>
      <c r="AT54">
        <v>7.6274189850032572</v>
      </c>
      <c r="AU54">
        <v>2553.6598761790906</v>
      </c>
      <c r="AV54">
        <v>5.880338983050847</v>
      </c>
      <c r="AW54">
        <v>1968.7374915254236</v>
      </c>
      <c r="AX54">
        <v>11.317613620131057</v>
      </c>
      <c r="AY54">
        <v>3789.137040019878</v>
      </c>
      <c r="AZ54">
        <v>1.5998493221604815</v>
      </c>
      <c r="BA54">
        <v>535.62955305932917</v>
      </c>
      <c r="BB54">
        <v>1.9587719383502478</v>
      </c>
      <c r="BC54">
        <v>655.79684495966296</v>
      </c>
      <c r="BD54">
        <v>0.30190380370805531</v>
      </c>
      <c r="BE54">
        <v>101.07739348145692</v>
      </c>
      <c r="BF54">
        <v>3.0180230235427223</v>
      </c>
      <c r="BG54">
        <v>1010.4341082821035</v>
      </c>
      <c r="BH54">
        <v>0</v>
      </c>
      <c r="BI54">
        <v>0</v>
      </c>
      <c r="BJ54">
        <v>16.920271347430639</v>
      </c>
      <c r="BK54">
        <v>5664.9068471197779</v>
      </c>
      <c r="BL54">
        <v>1.7408790110689822</v>
      </c>
      <c r="BM54">
        <v>582.84629290589533</v>
      </c>
      <c r="BN54">
        <v>10.366554201676983</v>
      </c>
      <c r="BO54">
        <v>3470.722346721454</v>
      </c>
      <c r="BP54">
        <v>10.938398187082402</v>
      </c>
      <c r="BQ54">
        <v>3662.1757130351884</v>
      </c>
      <c r="BR54">
        <v>20.048923496628447</v>
      </c>
      <c r="BS54">
        <v>6712.3795866712044</v>
      </c>
      <c r="BT54">
        <v>3.1535521339566799</v>
      </c>
      <c r="BU54">
        <v>1055.8092544486965</v>
      </c>
      <c r="BV54">
        <v>21.489539286057781</v>
      </c>
      <c r="BW54">
        <v>7194.6977529721453</v>
      </c>
      <c r="BX54">
        <v>1.794101913359895</v>
      </c>
      <c r="BY54">
        <v>600.66532059289284</v>
      </c>
      <c r="BZ54">
        <v>5.964898214391031</v>
      </c>
      <c r="CA54">
        <v>1997.0479221781172</v>
      </c>
      <c r="CB54">
        <v>6.864546146363546</v>
      </c>
      <c r="CC54">
        <v>2298.2500498025152</v>
      </c>
      <c r="CD54">
        <v>7</v>
      </c>
      <c r="CE54">
        <v>2343.6</v>
      </c>
      <c r="CF54">
        <v>0.76684552135512285</v>
      </c>
      <c r="CG54">
        <v>256.73988054969516</v>
      </c>
      <c r="CH54">
        <v>2.440511549666692</v>
      </c>
      <c r="CI54">
        <v>817.08326682840857</v>
      </c>
      <c r="CJ54">
        <v>0.36628086243964908</v>
      </c>
      <c r="CK54">
        <v>122.63083274479452</v>
      </c>
      <c r="CL54">
        <v>0.95235892153983492</v>
      </c>
      <c r="CM54">
        <v>318.84976693153675</v>
      </c>
      <c r="CN54">
        <v>11.330445555861882</v>
      </c>
      <c r="CO54">
        <v>3793.4331721025583</v>
      </c>
      <c r="CP54">
        <v>10.575504395008423</v>
      </c>
      <c r="CQ54">
        <v>3540.6788714488202</v>
      </c>
      <c r="CR54">
        <v>2.6290785111048653</v>
      </c>
      <c r="CS54">
        <v>880.21548551790897</v>
      </c>
      <c r="CT54">
        <v>15.642084699269358</v>
      </c>
      <c r="CU54">
        <v>5236.9699573153812</v>
      </c>
    </row>
    <row r="55" spans="2:99" x14ac:dyDescent="0.2">
      <c r="C55" s="105" t="s">
        <v>221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0.44444791040894782</v>
      </c>
      <c r="O55">
        <v>294.9356333473778</v>
      </c>
      <c r="P55">
        <v>2.2083767368479612</v>
      </c>
      <c r="Q55">
        <v>1465.4788025723071</v>
      </c>
      <c r="R55">
        <v>0.48637516411695897</v>
      </c>
      <c r="S55">
        <v>322.75855890801398</v>
      </c>
      <c r="T55">
        <v>6.932260384590351</v>
      </c>
      <c r="U55">
        <v>4600.2479912141571</v>
      </c>
      <c r="V55">
        <v>1.4554630393415355</v>
      </c>
      <c r="W55">
        <v>965.84527290704307</v>
      </c>
      <c r="X55">
        <v>9.7130926891088745</v>
      </c>
      <c r="Y55">
        <v>6445.6083084926495</v>
      </c>
      <c r="Z55">
        <v>1.4391249366719776</v>
      </c>
      <c r="AA55">
        <v>955.00330797552442</v>
      </c>
      <c r="AB55">
        <v>3.4624278787126861</v>
      </c>
      <c r="AC55">
        <v>2297.6671403137384</v>
      </c>
      <c r="AD55">
        <v>0.3198116313928091</v>
      </c>
      <c r="AE55">
        <v>212.22699859226813</v>
      </c>
      <c r="AF55">
        <v>1.9229690462500264</v>
      </c>
      <c r="AG55">
        <v>1276.0822590915175</v>
      </c>
      <c r="AH55">
        <v>0.1918713011179638</v>
      </c>
      <c r="AI55">
        <v>127.32579542188078</v>
      </c>
      <c r="AJ55">
        <v>17</v>
      </c>
      <c r="AK55">
        <v>11281.2</v>
      </c>
      <c r="AL55">
        <v>9.1398622616346152</v>
      </c>
      <c r="AM55">
        <v>6065.2125968207311</v>
      </c>
      <c r="AN55">
        <v>11.550321296725187</v>
      </c>
      <c r="AO55">
        <v>7664.7932125068346</v>
      </c>
      <c r="AP55">
        <v>2.8428556824290907</v>
      </c>
      <c r="AQ55">
        <v>1886.5190308599447</v>
      </c>
      <c r="AR55">
        <v>5.6439797139676529</v>
      </c>
      <c r="AS55">
        <v>3745.3449381889345</v>
      </c>
      <c r="AT55">
        <v>7.6274189850032572</v>
      </c>
      <c r="AU55">
        <v>5061.5552384481616</v>
      </c>
      <c r="AV55">
        <v>5.880338983050847</v>
      </c>
      <c r="AW55">
        <v>3902.192949152542</v>
      </c>
      <c r="AX55">
        <v>11.317613620131057</v>
      </c>
      <c r="AY55">
        <v>7510.3683983189703</v>
      </c>
      <c r="AZ55">
        <v>1.5998493221604815</v>
      </c>
      <c r="BA55">
        <v>1061.6600101856955</v>
      </c>
      <c r="BB55">
        <v>2.1368421145639065</v>
      </c>
      <c r="BC55">
        <v>1418.0084272246083</v>
      </c>
      <c r="BD55">
        <v>0.27445800337095932</v>
      </c>
      <c r="BE55">
        <v>182.13033103696861</v>
      </c>
      <c r="BF55">
        <v>3.0180230235427223</v>
      </c>
      <c r="BG55">
        <v>2002.7600784229505</v>
      </c>
      <c r="BH55">
        <v>0</v>
      </c>
      <c r="BI55">
        <v>0</v>
      </c>
      <c r="BJ55">
        <v>16.084702392001965</v>
      </c>
      <c r="BK55">
        <v>10673.808507332504</v>
      </c>
      <c r="BL55">
        <v>1.8176824968514373</v>
      </c>
      <c r="BM55">
        <v>1206.214104910614</v>
      </c>
      <c r="BN55">
        <v>9.0337115186042283</v>
      </c>
      <c r="BO55">
        <v>5994.7709637457665</v>
      </c>
      <c r="BP55">
        <v>10.585546632660391</v>
      </c>
      <c r="BQ55">
        <v>7024.5687454334357</v>
      </c>
      <c r="BR55">
        <v>20.048923496628447</v>
      </c>
      <c r="BS55">
        <v>13304.465632362639</v>
      </c>
      <c r="BT55">
        <v>3.3842998510754612</v>
      </c>
      <c r="BU55">
        <v>2245.8213811736759</v>
      </c>
      <c r="BV55">
        <v>22.182750230769322</v>
      </c>
      <c r="BW55">
        <v>14720.473053138523</v>
      </c>
      <c r="BX55">
        <v>1.794101913359895</v>
      </c>
      <c r="BY55">
        <v>1190.5660297056263</v>
      </c>
      <c r="BZ55">
        <v>5.3021317461253599</v>
      </c>
      <c r="CA55">
        <v>3518.4946267287887</v>
      </c>
      <c r="CB55">
        <v>6.864546146363546</v>
      </c>
      <c r="CC55">
        <v>4555.3128227268489</v>
      </c>
      <c r="CD55">
        <v>8</v>
      </c>
      <c r="CE55">
        <v>5308.8</v>
      </c>
      <c r="CF55">
        <v>0.76684552135512285</v>
      </c>
      <c r="CG55">
        <v>508.87868797125952</v>
      </c>
      <c r="CH55">
        <v>2.135447605958356</v>
      </c>
      <c r="CI55">
        <v>1417.0830313139652</v>
      </c>
      <c r="CJ55">
        <v>0.36628086243964908</v>
      </c>
      <c r="CK55">
        <v>243.06398031495112</v>
      </c>
      <c r="CL55">
        <v>1.142830705847802</v>
      </c>
      <c r="CM55">
        <v>758.38245640060143</v>
      </c>
      <c r="CN55">
        <v>11.552611154996429</v>
      </c>
      <c r="CO55">
        <v>7666.31276245563</v>
      </c>
      <c r="CP55">
        <v>10.363994307108255</v>
      </c>
      <c r="CQ55">
        <v>6877.5466221970382</v>
      </c>
      <c r="CR55">
        <v>2.674407450951501</v>
      </c>
      <c r="CS55">
        <v>1774.736784451416</v>
      </c>
      <c r="CT55">
        <v>15.642084699269358</v>
      </c>
      <c r="CU55">
        <v>10380.087406435146</v>
      </c>
    </row>
    <row r="56" spans="2:99" x14ac:dyDescent="0.2">
      <c r="C56" s="105" t="s">
        <v>222</v>
      </c>
      <c r="D56">
        <v>17</v>
      </c>
      <c r="E56">
        <v>19563.599999999999</v>
      </c>
      <c r="F56">
        <v>15</v>
      </c>
      <c r="G56">
        <v>17262</v>
      </c>
      <c r="H56">
        <v>15</v>
      </c>
      <c r="I56">
        <v>17262</v>
      </c>
      <c r="J56">
        <v>10</v>
      </c>
      <c r="K56">
        <v>11508</v>
      </c>
      <c r="L56">
        <v>9.9966621868904877</v>
      </c>
      <c r="M56">
        <v>11504.158844673573</v>
      </c>
      <c r="N56">
        <v>4.8653283481566891</v>
      </c>
      <c r="O56">
        <v>5599.0198630587174</v>
      </c>
      <c r="P56">
        <v>4.6958890524497381</v>
      </c>
      <c r="Q56">
        <v>5404.0291215591587</v>
      </c>
      <c r="R56">
        <v>3.3485541447180394</v>
      </c>
      <c r="S56">
        <v>3853.5161097415194</v>
      </c>
      <c r="T56">
        <v>2.299677050811384</v>
      </c>
      <c r="U56">
        <v>2646.4683500737406</v>
      </c>
      <c r="V56">
        <v>3.555079847617316</v>
      </c>
      <c r="W56">
        <v>4091.1858886380069</v>
      </c>
      <c r="X56">
        <v>2.9235672898943701</v>
      </c>
      <c r="Y56">
        <v>3364.4412372104412</v>
      </c>
      <c r="Z56">
        <v>3.1033164541916731</v>
      </c>
      <c r="AA56">
        <v>3571.2965754837774</v>
      </c>
      <c r="AB56">
        <v>1.8608681918689105</v>
      </c>
      <c r="AC56">
        <v>2141.4871152027422</v>
      </c>
      <c r="AD56">
        <v>2.3925822548603231</v>
      </c>
      <c r="AE56">
        <v>2753.3836588932595</v>
      </c>
      <c r="AF56">
        <v>1.7444818288874158</v>
      </c>
      <c r="AG56">
        <v>2007.5496886836379</v>
      </c>
      <c r="AH56">
        <v>1.8354374322652354</v>
      </c>
      <c r="AI56">
        <v>2112.2213970508328</v>
      </c>
      <c r="AJ56">
        <v>1.7511571420081582</v>
      </c>
      <c r="AK56">
        <v>2015.2316390229885</v>
      </c>
      <c r="AL56">
        <v>2.3936374760984775</v>
      </c>
      <c r="AM56">
        <v>2754.5980074941281</v>
      </c>
      <c r="AN56">
        <v>2.0888242142339468</v>
      </c>
      <c r="AO56">
        <v>2403.8189057404261</v>
      </c>
      <c r="AP56">
        <v>2.2323694298120262</v>
      </c>
      <c r="AQ56">
        <v>2569.0107398276796</v>
      </c>
      <c r="AR56">
        <v>3.5859516400525275</v>
      </c>
      <c r="AS56">
        <v>4126.7131473724485</v>
      </c>
      <c r="AT56">
        <v>0</v>
      </c>
      <c r="AU56">
        <v>0</v>
      </c>
      <c r="AV56">
        <v>9.5201594114428936</v>
      </c>
      <c r="AW56">
        <v>10955.799450688481</v>
      </c>
      <c r="AX56">
        <v>5.4669088616154973</v>
      </c>
      <c r="AY56">
        <v>6291.3187179471142</v>
      </c>
      <c r="AZ56">
        <v>4.5260676901133943</v>
      </c>
      <c r="BA56">
        <v>5208.5986977824941</v>
      </c>
      <c r="BB56">
        <v>5.5063122967957074</v>
      </c>
      <c r="BC56">
        <v>6336.6641911525003</v>
      </c>
      <c r="BD56">
        <v>4.2903349979199881</v>
      </c>
      <c r="BE56">
        <v>4937.3175156063216</v>
      </c>
      <c r="BF56">
        <v>4.8499439106921605</v>
      </c>
      <c r="BG56">
        <v>5581.3154524245383</v>
      </c>
      <c r="BH56">
        <v>4.4003435876102444</v>
      </c>
      <c r="BI56">
        <v>5063.9154006218687</v>
      </c>
      <c r="BJ56">
        <v>9.8948266618695229</v>
      </c>
      <c r="BK56">
        <v>11386.966522479446</v>
      </c>
      <c r="BL56">
        <v>7.7215154588674055</v>
      </c>
      <c r="BM56">
        <v>8885.9199900646108</v>
      </c>
      <c r="BN56">
        <v>0</v>
      </c>
      <c r="BO56">
        <v>0</v>
      </c>
      <c r="BP56">
        <v>6.8792773051830878</v>
      </c>
      <c r="BQ56">
        <v>7916.6723228046967</v>
      </c>
      <c r="BR56">
        <v>3.705552494829679</v>
      </c>
      <c r="BS56">
        <v>4264.3498110499941</v>
      </c>
      <c r="BT56">
        <v>5.3982269176462179</v>
      </c>
      <c r="BU56">
        <v>6212.2795368272673</v>
      </c>
      <c r="BV56">
        <v>2.9297100445415549</v>
      </c>
      <c r="BW56">
        <v>3371.5103192584211</v>
      </c>
      <c r="BX56">
        <v>4.0666682444739219</v>
      </c>
      <c r="BY56">
        <v>4679.9218157405894</v>
      </c>
      <c r="BZ56">
        <v>3.1131682524589483</v>
      </c>
      <c r="CA56">
        <v>3582.6340249297577</v>
      </c>
      <c r="CB56">
        <v>4.5885935806630886</v>
      </c>
      <c r="CC56">
        <v>5280.5534926270821</v>
      </c>
      <c r="CD56">
        <v>2.600203029042417</v>
      </c>
      <c r="CE56">
        <v>2992.3136458220133</v>
      </c>
      <c r="CF56">
        <v>1.069242367082863</v>
      </c>
      <c r="CG56">
        <v>1230.4841160389587</v>
      </c>
      <c r="CH56">
        <v>1.1938323472473011</v>
      </c>
      <c r="CI56">
        <v>1373.8622652121942</v>
      </c>
      <c r="CJ56">
        <v>1.072583749479997</v>
      </c>
      <c r="CK56">
        <v>1234.3293789015804</v>
      </c>
      <c r="CL56">
        <v>0.98251946517251632</v>
      </c>
      <c r="CM56">
        <v>1130.6834005205317</v>
      </c>
      <c r="CN56">
        <v>0</v>
      </c>
      <c r="CO56">
        <v>0</v>
      </c>
      <c r="CP56">
        <v>12.26878709082612</v>
      </c>
      <c r="CQ56">
        <v>14118.920184122699</v>
      </c>
      <c r="CR56">
        <v>7.1214673683944465</v>
      </c>
      <c r="CS56">
        <v>8195.3846475483278</v>
      </c>
      <c r="CT56">
        <v>5.8075600648663119</v>
      </c>
      <c r="CU56">
        <v>6683.3401226481519</v>
      </c>
    </row>
    <row r="57" spans="2:99" x14ac:dyDescent="0.2">
      <c r="C57" s="105" t="s">
        <v>223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0.44444791040894782</v>
      </c>
      <c r="O57">
        <v>627.20489116910721</v>
      </c>
      <c r="P57">
        <v>1.8403139473733012</v>
      </c>
      <c r="Q57">
        <v>2597.0510425332027</v>
      </c>
      <c r="R57">
        <v>0.54041684901884335</v>
      </c>
      <c r="S57">
        <v>762.63625733539175</v>
      </c>
      <c r="T57">
        <v>6.0657278365165572</v>
      </c>
      <c r="U57">
        <v>8559.9551228921664</v>
      </c>
      <c r="V57">
        <v>1.4554630393415355</v>
      </c>
      <c r="W57">
        <v>2053.9494411187752</v>
      </c>
      <c r="X57">
        <v>9.7130926891088745</v>
      </c>
      <c r="Y57">
        <v>13707.116402870444</v>
      </c>
      <c r="Z57">
        <v>1.308295396974525</v>
      </c>
      <c r="AA57">
        <v>1846.2664642104498</v>
      </c>
      <c r="AB57">
        <v>3.1161850908414177</v>
      </c>
      <c r="AC57">
        <v>4397.5604001954089</v>
      </c>
      <c r="AD57">
        <v>0.35179279453209</v>
      </c>
      <c r="AE57">
        <v>496.44999164368545</v>
      </c>
      <c r="AF57">
        <v>1.9229690462500264</v>
      </c>
      <c r="AG57">
        <v>2713.6939180680374</v>
      </c>
      <c r="AH57">
        <v>0.21585521375770925</v>
      </c>
      <c r="AI57">
        <v>304.61487765487931</v>
      </c>
      <c r="AJ57">
        <v>16</v>
      </c>
      <c r="AK57">
        <v>22579.200000000001</v>
      </c>
      <c r="AL57">
        <v>8.3782070731650631</v>
      </c>
      <c r="AM57">
        <v>11823.325821650538</v>
      </c>
      <c r="AN57">
        <v>10.942409649529123</v>
      </c>
      <c r="AO57">
        <v>15441.9284974155</v>
      </c>
      <c r="AP57">
        <v>3.0100824872778613</v>
      </c>
      <c r="AQ57">
        <v>4247.8284060465185</v>
      </c>
      <c r="AR57">
        <v>5.6439797139676529</v>
      </c>
      <c r="AS57">
        <v>7964.7841723511519</v>
      </c>
      <c r="AT57">
        <v>7.2642085571459587</v>
      </c>
      <c r="AU57">
        <v>10251.251115844378</v>
      </c>
      <c r="AV57">
        <v>4.9518644067796611</v>
      </c>
      <c r="AW57">
        <v>6988.0710508474576</v>
      </c>
      <c r="AX57">
        <v>11.317613620131057</v>
      </c>
      <c r="AY57">
        <v>15971.416340728949</v>
      </c>
      <c r="AZ57">
        <v>1.4855743705775899</v>
      </c>
      <c r="BA57">
        <v>2096.4425517590948</v>
      </c>
      <c r="BB57">
        <v>1.780701762136589</v>
      </c>
      <c r="BC57">
        <v>2512.9263267271544</v>
      </c>
      <c r="BD57">
        <v>0.2470122030338634</v>
      </c>
      <c r="BE57">
        <v>348.58362092138805</v>
      </c>
      <c r="BF57">
        <v>3.2695249421712824</v>
      </c>
      <c r="BG57">
        <v>4613.9535983921141</v>
      </c>
      <c r="BH57">
        <v>0</v>
      </c>
      <c r="BI57">
        <v>0</v>
      </c>
      <c r="BJ57">
        <v>12.74242657028727</v>
      </c>
      <c r="BK57">
        <v>17982.112375989396</v>
      </c>
      <c r="BL57">
        <v>1.7152778491414973</v>
      </c>
      <c r="BM57">
        <v>2420.600100708481</v>
      </c>
      <c r="BN57">
        <v>7.5527752040789453</v>
      </c>
      <c r="BO57">
        <v>10658.476367996209</v>
      </c>
      <c r="BP57">
        <v>10.585546632660391</v>
      </c>
      <c r="BQ57">
        <v>14938.323408010343</v>
      </c>
      <c r="BR57">
        <v>17.264350788763387</v>
      </c>
      <c r="BS57">
        <v>24363.451833102892</v>
      </c>
      <c r="BT57">
        <v>2.9997203225441589</v>
      </c>
      <c r="BU57">
        <v>4233.2053191743171</v>
      </c>
      <c r="BV57">
        <v>18.023484562500073</v>
      </c>
      <c r="BW57">
        <v>25434.741414600103</v>
      </c>
      <c r="BX57">
        <v>1.6146917220239057</v>
      </c>
      <c r="BY57">
        <v>2278.6529581201357</v>
      </c>
      <c r="BZ57">
        <v>5.3021317461253599</v>
      </c>
      <c r="CA57">
        <v>7482.3683201321082</v>
      </c>
      <c r="CB57">
        <v>6.1780915317271905</v>
      </c>
      <c r="CC57">
        <v>8718.522769573412</v>
      </c>
      <c r="CD57">
        <v>7</v>
      </c>
      <c r="CE57">
        <v>9878.4</v>
      </c>
      <c r="CF57">
        <v>0.76684552135512285</v>
      </c>
      <c r="CG57">
        <v>1082.1723997363495</v>
      </c>
      <c r="CH57">
        <v>2.135447605958356</v>
      </c>
      <c r="CI57">
        <v>3013.543661528432</v>
      </c>
      <c r="CJ57">
        <v>0.36628086243964908</v>
      </c>
      <c r="CK57">
        <v>516.89555307483283</v>
      </c>
      <c r="CL57">
        <v>1.142830705847802</v>
      </c>
      <c r="CM57">
        <v>1612.7626920924183</v>
      </c>
      <c r="CN57">
        <v>9.7752863619200561</v>
      </c>
      <c r="CO57">
        <v>13794.884113941584</v>
      </c>
      <c r="CP57">
        <v>8.8834236918070761</v>
      </c>
      <c r="CQ57">
        <v>12536.287513878146</v>
      </c>
      <c r="CR57">
        <v>2.3117759321784166</v>
      </c>
      <c r="CS57">
        <v>3262.3781954901815</v>
      </c>
      <c r="CT57">
        <v>13.864575074352386</v>
      </c>
      <c r="CU57">
        <v>19565.688344926086</v>
      </c>
    </row>
    <row r="58" spans="2:99" x14ac:dyDescent="0.2">
      <c r="C58" s="105" t="s">
        <v>224</v>
      </c>
      <c r="D58">
        <v>17</v>
      </c>
      <c r="E58">
        <v>20012.400000000001</v>
      </c>
      <c r="F58">
        <v>15</v>
      </c>
      <c r="G58">
        <v>17658</v>
      </c>
      <c r="H58">
        <v>15</v>
      </c>
      <c r="I58">
        <v>17658</v>
      </c>
      <c r="J58">
        <v>11</v>
      </c>
      <c r="K58">
        <v>12949.2</v>
      </c>
      <c r="L58">
        <v>9.9966621868904877</v>
      </c>
      <c r="M58">
        <v>11768.070726407483</v>
      </c>
      <c r="N58">
        <v>5.3076309252618428</v>
      </c>
      <c r="O58">
        <v>6248.1431252182419</v>
      </c>
      <c r="P58">
        <v>4.2689900476815801</v>
      </c>
      <c r="Q58">
        <v>5025.4550841307564</v>
      </c>
      <c r="R58">
        <v>4.1856926808975494</v>
      </c>
      <c r="S58">
        <v>4927.3974239525951</v>
      </c>
      <c r="T58">
        <v>2.0122174194599607</v>
      </c>
      <c r="U58">
        <v>2368.7823461882658</v>
      </c>
      <c r="V58">
        <v>3.555079847617316</v>
      </c>
      <c r="W58">
        <v>4185.0399966151044</v>
      </c>
      <c r="X58">
        <v>2.9235672898943701</v>
      </c>
      <c r="Y58">
        <v>3441.6234136636526</v>
      </c>
      <c r="Z58">
        <v>3.1033164541916731</v>
      </c>
      <c r="AA58">
        <v>3653.2241298744379</v>
      </c>
      <c r="AB58">
        <v>2.2743944567286682</v>
      </c>
      <c r="AC58">
        <v>2677.4171544609885</v>
      </c>
      <c r="AD58">
        <v>2.3925822548603231</v>
      </c>
      <c r="AE58">
        <v>2816.5478304215726</v>
      </c>
      <c r="AF58">
        <v>1.5264216002764888</v>
      </c>
      <c r="AG58">
        <v>1796.9035078454826</v>
      </c>
      <c r="AH58">
        <v>1.8354374322652354</v>
      </c>
      <c r="AI58">
        <v>2160.6769452626349</v>
      </c>
      <c r="AJ58">
        <v>1.6417098206326486</v>
      </c>
      <c r="AK58">
        <v>1932.620800848754</v>
      </c>
      <c r="AL58">
        <v>2.0814238922595454</v>
      </c>
      <c r="AM58">
        <v>2450.2522059679368</v>
      </c>
      <c r="AN58">
        <v>2.0888242142339468</v>
      </c>
      <c r="AO58">
        <v>2458.9638649962021</v>
      </c>
      <c r="AP58">
        <v>2.2323694298120262</v>
      </c>
      <c r="AQ58">
        <v>2627.9452927747175</v>
      </c>
      <c r="AR58">
        <v>4.0982304457743171</v>
      </c>
      <c r="AS58">
        <v>4824.4368807655264</v>
      </c>
      <c r="AT58">
        <v>0</v>
      </c>
      <c r="AU58">
        <v>0</v>
      </c>
      <c r="AV58">
        <v>9.5201594114428936</v>
      </c>
      <c r="AW58">
        <v>11207.131659150575</v>
      </c>
      <c r="AX58">
        <v>5.4669088616154973</v>
      </c>
      <c r="AY58">
        <v>6435.6451118937639</v>
      </c>
      <c r="AZ58">
        <v>4.5260676901133943</v>
      </c>
      <c r="BA58">
        <v>5328.0868848014879</v>
      </c>
      <c r="BB58">
        <v>5.047452938729398</v>
      </c>
      <c r="BC58">
        <v>5941.8615994722477</v>
      </c>
      <c r="BD58">
        <v>4.2903349979199881</v>
      </c>
      <c r="BE58">
        <v>5050.5823595514103</v>
      </c>
      <c r="BF58">
        <v>4.4768713021773783</v>
      </c>
      <c r="BG58">
        <v>5270.1728969232099</v>
      </c>
      <c r="BH58">
        <v>4.7303693566810123</v>
      </c>
      <c r="BI58">
        <v>5568.5908066848879</v>
      </c>
      <c r="BJ58">
        <v>10.822466661419789</v>
      </c>
      <c r="BK58">
        <v>12740.207753823375</v>
      </c>
      <c r="BL58">
        <v>7.5040079811528306</v>
      </c>
      <c r="BM58">
        <v>8833.718195413112</v>
      </c>
      <c r="BN58">
        <v>0</v>
      </c>
      <c r="BO58">
        <v>0</v>
      </c>
      <c r="BP58">
        <v>7.862031205923528</v>
      </c>
      <c r="BQ58">
        <v>9255.183135613177</v>
      </c>
      <c r="BR58">
        <v>3.705552494829679</v>
      </c>
      <c r="BS58">
        <v>4362.1763969134981</v>
      </c>
      <c r="BT58">
        <v>5.0216064350197369</v>
      </c>
      <c r="BU58">
        <v>5911.4350953052344</v>
      </c>
      <c r="BV58">
        <v>3.3804346667787168</v>
      </c>
      <c r="BW58">
        <v>3979.4476897319055</v>
      </c>
      <c r="BX58">
        <v>3.6600014200265303</v>
      </c>
      <c r="BY58">
        <v>4308.5536716552315</v>
      </c>
      <c r="BZ58">
        <v>3.1131682524589483</v>
      </c>
      <c r="CA58">
        <v>3664.821666794674</v>
      </c>
      <c r="CB58">
        <v>4.1297342225967801</v>
      </c>
      <c r="CC58">
        <v>4861.5231268409298</v>
      </c>
      <c r="CD58">
        <v>2.9716606046199052</v>
      </c>
      <c r="CE58">
        <v>3498.2388637585527</v>
      </c>
      <c r="CF58">
        <v>1.069242367082863</v>
      </c>
      <c r="CG58">
        <v>1258.7121145299463</v>
      </c>
      <c r="CH58">
        <v>1.0446033038413884</v>
      </c>
      <c r="CI58">
        <v>1229.7070092820825</v>
      </c>
      <c r="CJ58">
        <v>0.91935749955428314</v>
      </c>
      <c r="CK58">
        <v>1082.2676484753022</v>
      </c>
      <c r="CL58">
        <v>0.81876622097709695</v>
      </c>
      <c r="CM58">
        <v>963.8515953342386</v>
      </c>
      <c r="CN58">
        <v>0</v>
      </c>
      <c r="CO58">
        <v>0</v>
      </c>
      <c r="CP58">
        <v>12.568025800358464</v>
      </c>
      <c r="CQ58">
        <v>14795.079972181984</v>
      </c>
      <c r="CR58">
        <v>7.6800138286606785</v>
      </c>
      <c r="CS58">
        <v>9040.9122790993515</v>
      </c>
      <c r="CT58">
        <v>5.3719930600013388</v>
      </c>
      <c r="CU58">
        <v>6323.9102302335759</v>
      </c>
    </row>
    <row r="59" spans="2:99" x14ac:dyDescent="0.2">
      <c r="C59" s="105" t="s">
        <v>225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0.4814852362763602</v>
      </c>
      <c r="O59">
        <v>146.17891773350294</v>
      </c>
      <c r="P59">
        <v>2.0243453421106312</v>
      </c>
      <c r="Q59">
        <v>614.59124586478754</v>
      </c>
      <c r="R59">
        <v>0.54041684901884335</v>
      </c>
      <c r="S59">
        <v>164.07055536212081</v>
      </c>
      <c r="T59">
        <v>7.7987929326641456</v>
      </c>
      <c r="U59">
        <v>2367.7135343568343</v>
      </c>
      <c r="V59">
        <v>1.7465556472098425</v>
      </c>
      <c r="W59">
        <v>530.25429449290812</v>
      </c>
      <c r="X59">
        <v>10.684401958019762</v>
      </c>
      <c r="Y59">
        <v>3243.7844344547993</v>
      </c>
      <c r="Z59">
        <v>1.7007840160668823</v>
      </c>
      <c r="AA59">
        <v>516.35802727790542</v>
      </c>
      <c r="AB59">
        <v>4.1549134544552233</v>
      </c>
      <c r="AC59">
        <v>1261.4317247726055</v>
      </c>
      <c r="AD59">
        <v>0.35179279453209</v>
      </c>
      <c r="AE59">
        <v>106.80429241994251</v>
      </c>
      <c r="AF59">
        <v>2.1976789100000302</v>
      </c>
      <c r="AG59">
        <v>667.21531707600911</v>
      </c>
      <c r="AH59">
        <v>0.21585521375770925</v>
      </c>
      <c r="AI59">
        <v>65.533642896840519</v>
      </c>
      <c r="AJ59">
        <v>18</v>
      </c>
      <c r="AK59">
        <v>5464.7999999999993</v>
      </c>
      <c r="AL59">
        <v>8.75903466739984</v>
      </c>
      <c r="AM59">
        <v>2659.242925022591</v>
      </c>
      <c r="AN59">
        <v>12.76614459111731</v>
      </c>
      <c r="AO59">
        <v>3875.801497863215</v>
      </c>
      <c r="AP59">
        <v>3.177309292126631</v>
      </c>
      <c r="AQ59">
        <v>964.63110108964509</v>
      </c>
      <c r="AR59">
        <v>6.3494771782136104</v>
      </c>
      <c r="AS59">
        <v>1927.701271305652</v>
      </c>
      <c r="AT59">
        <v>8.3538398407178533</v>
      </c>
      <c r="AU59">
        <v>2536.2257756419399</v>
      </c>
      <c r="AV59">
        <v>5.570847457627119</v>
      </c>
      <c r="AW59">
        <v>1691.3092881355931</v>
      </c>
      <c r="AX59">
        <v>10.803176637397828</v>
      </c>
      <c r="AY59">
        <v>3279.8444271139801</v>
      </c>
      <c r="AZ59">
        <v>1.5998493221604815</v>
      </c>
      <c r="BA59">
        <v>485.71425420792212</v>
      </c>
      <c r="BB59">
        <v>2.1368421145639065</v>
      </c>
      <c r="BC59">
        <v>648.74526598160196</v>
      </c>
      <c r="BD59">
        <v>0.30190380370805531</v>
      </c>
      <c r="BE59">
        <v>91.657994805765583</v>
      </c>
      <c r="BF59">
        <v>3.2695249421712824</v>
      </c>
      <c r="BG59">
        <v>992.62777244320125</v>
      </c>
      <c r="BH59">
        <v>0</v>
      </c>
      <c r="BI59">
        <v>0</v>
      </c>
      <c r="BJ59">
        <v>16.711379108573468</v>
      </c>
      <c r="BK59">
        <v>5073.5746973629039</v>
      </c>
      <c r="BL59">
        <v>1.9456883064888626</v>
      </c>
      <c r="BM59">
        <v>590.71096985001861</v>
      </c>
      <c r="BN59">
        <v>9.181805150056757</v>
      </c>
      <c r="BO59">
        <v>2787.596043557231</v>
      </c>
      <c r="BP59">
        <v>13.055507513614479</v>
      </c>
      <c r="BQ59">
        <v>3963.6520811333553</v>
      </c>
      <c r="BR59">
        <v>19.492008955055436</v>
      </c>
      <c r="BS59">
        <v>5917.7739187548295</v>
      </c>
      <c r="BT59">
        <v>3.6150475681942429</v>
      </c>
      <c r="BU59">
        <v>1097.5284417037719</v>
      </c>
      <c r="BV59">
        <v>21.489539286057781</v>
      </c>
      <c r="BW59">
        <v>6524.224127247142</v>
      </c>
      <c r="BX59">
        <v>1.794101913359895</v>
      </c>
      <c r="BY59">
        <v>544.6893408960641</v>
      </c>
      <c r="BZ59">
        <v>5.964898214391031</v>
      </c>
      <c r="CA59">
        <v>1810.9430978891169</v>
      </c>
      <c r="CB59">
        <v>7.5510007609998997</v>
      </c>
      <c r="CC59">
        <v>2292.4838310395694</v>
      </c>
      <c r="CD59">
        <v>8</v>
      </c>
      <c r="CE59">
        <v>2428.7999999999997</v>
      </c>
      <c r="CF59">
        <v>0.76684552135512285</v>
      </c>
      <c r="CG59">
        <v>232.81430028341526</v>
      </c>
      <c r="CH59">
        <v>2.440511549666692</v>
      </c>
      <c r="CI59">
        <v>740.93930647880757</v>
      </c>
      <c r="CJ59">
        <v>0.36628086243964908</v>
      </c>
      <c r="CK59">
        <v>111.20286983667745</v>
      </c>
      <c r="CL59">
        <v>1.142830705847802</v>
      </c>
      <c r="CM59">
        <v>346.96340229539265</v>
      </c>
      <c r="CN59">
        <v>13.552101547207348</v>
      </c>
      <c r="CO59">
        <v>4114.4180297321509</v>
      </c>
      <c r="CP59">
        <v>10.99852457080876</v>
      </c>
      <c r="CQ59">
        <v>3339.1520596975392</v>
      </c>
      <c r="CR59">
        <v>2.9010521501846793</v>
      </c>
      <c r="CS59">
        <v>880.7594327960685</v>
      </c>
      <c r="CT59">
        <v>15.997586624252753</v>
      </c>
      <c r="CU59">
        <v>4856.8672991231351</v>
      </c>
    </row>
    <row r="60" spans="2:99" x14ac:dyDescent="0.2">
      <c r="C60" s="105" t="s">
        <v>226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0.4814852362763602</v>
      </c>
      <c r="O60">
        <v>313.7357799576763</v>
      </c>
      <c r="P60">
        <v>1.8403139473733012</v>
      </c>
      <c r="Q60">
        <v>1199.1485681084432</v>
      </c>
      <c r="R60">
        <v>0.48637516411695897</v>
      </c>
      <c r="S60">
        <v>316.92205693861047</v>
      </c>
      <c r="T60">
        <v>6.932260384590351</v>
      </c>
      <c r="U60">
        <v>4517.0608665990731</v>
      </c>
      <c r="V60">
        <v>1.4554630393415355</v>
      </c>
      <c r="W60">
        <v>948.37971643494461</v>
      </c>
      <c r="X60">
        <v>10.684401958019762</v>
      </c>
      <c r="Y60">
        <v>6961.9563158456776</v>
      </c>
      <c r="Z60">
        <v>1.5699544763694298</v>
      </c>
      <c r="AA60">
        <v>1022.9823368023204</v>
      </c>
      <c r="AB60">
        <v>4.1549134544552233</v>
      </c>
      <c r="AC60">
        <v>2707.3416069230234</v>
      </c>
      <c r="AD60">
        <v>0.3198116313928091</v>
      </c>
      <c r="AE60">
        <v>208.38925901555442</v>
      </c>
      <c r="AF60">
        <v>1.9229690462500264</v>
      </c>
      <c r="AG60">
        <v>1253.0066305365172</v>
      </c>
      <c r="AH60">
        <v>0.21585521375770925</v>
      </c>
      <c r="AI60">
        <v>140.65125728452335</v>
      </c>
      <c r="AJ60">
        <v>18</v>
      </c>
      <c r="AK60">
        <v>11728.800000000001</v>
      </c>
      <c r="AL60">
        <v>7.9973794789302879</v>
      </c>
      <c r="AM60">
        <v>5211.0924684709762</v>
      </c>
      <c r="AN60">
        <v>12.158232943921249</v>
      </c>
      <c r="AO60">
        <v>7922.3045862590861</v>
      </c>
      <c r="AP60">
        <v>3.177309292126631</v>
      </c>
      <c r="AQ60">
        <v>2070.3347347497129</v>
      </c>
      <c r="AR60">
        <v>5.2912309818446746</v>
      </c>
      <c r="AS60">
        <v>3447.76610776999</v>
      </c>
      <c r="AT60">
        <v>7.6274189850032572</v>
      </c>
      <c r="AU60">
        <v>4970.0262106281225</v>
      </c>
      <c r="AV60">
        <v>5.880338983050847</v>
      </c>
      <c r="AW60">
        <v>3831.6288813559322</v>
      </c>
      <c r="AX60">
        <v>11.832050602864287</v>
      </c>
      <c r="AY60">
        <v>7709.7641728263698</v>
      </c>
      <c r="AZ60">
        <v>1.4855743705775899</v>
      </c>
      <c r="BA60">
        <v>968.0002598683576</v>
      </c>
      <c r="BB60">
        <v>2.1368421145639065</v>
      </c>
      <c r="BC60">
        <v>1392.3663218498416</v>
      </c>
      <c r="BD60">
        <v>0.2470122030338634</v>
      </c>
      <c r="BE60">
        <v>160.95315149686539</v>
      </c>
      <c r="BF60">
        <v>3.0180230235427223</v>
      </c>
      <c r="BG60">
        <v>1966.5438021404379</v>
      </c>
      <c r="BH60">
        <v>0</v>
      </c>
      <c r="BI60">
        <v>0</v>
      </c>
      <c r="BJ60">
        <v>16.293594630859133</v>
      </c>
      <c r="BK60">
        <v>10616.906261467811</v>
      </c>
      <c r="BL60">
        <v>1.7664801729964674</v>
      </c>
      <c r="BM60">
        <v>1151.0384807244982</v>
      </c>
      <c r="BN60">
        <v>9.9222733073193972</v>
      </c>
      <c r="BO60">
        <v>6465.3532870493191</v>
      </c>
      <c r="BP60">
        <v>11.644101295926429</v>
      </c>
      <c r="BQ60">
        <v>7587.2964044256614</v>
      </c>
      <c r="BR60">
        <v>20.048923496628447</v>
      </c>
      <c r="BS60">
        <v>13063.878550403097</v>
      </c>
      <c r="BT60">
        <v>3.3842998510754612</v>
      </c>
      <c r="BU60">
        <v>2205.2097829607706</v>
      </c>
      <c r="BV60">
        <v>21.489539286057781</v>
      </c>
      <c r="BW60">
        <v>14002.583798795251</v>
      </c>
      <c r="BX60">
        <v>1.794101913359895</v>
      </c>
      <c r="BY60">
        <v>1169.0368067453076</v>
      </c>
      <c r="BZ60">
        <v>5.3021317461253599</v>
      </c>
      <c r="CA60">
        <v>3454.8690457752846</v>
      </c>
      <c r="CB60">
        <v>6.1780915317271905</v>
      </c>
      <c r="CC60">
        <v>4025.6444420734374</v>
      </c>
      <c r="CD60">
        <v>8</v>
      </c>
      <c r="CE60">
        <v>5212.8</v>
      </c>
      <c r="CF60">
        <v>0.89465310824764332</v>
      </c>
      <c r="CG60">
        <v>582.95596533416438</v>
      </c>
      <c r="CH60">
        <v>2.135447605958356</v>
      </c>
      <c r="CI60">
        <v>1391.4576600424648</v>
      </c>
      <c r="CJ60">
        <v>0.42732767284625728</v>
      </c>
      <c r="CK60">
        <v>278.44671162662127</v>
      </c>
      <c r="CL60">
        <v>0.95235892153983492</v>
      </c>
      <c r="CM60">
        <v>620.5570732753564</v>
      </c>
      <c r="CN60">
        <v>11.996942353265522</v>
      </c>
      <c r="CO60">
        <v>7817.2076373878144</v>
      </c>
      <c r="CP60">
        <v>10.152484219208086</v>
      </c>
      <c r="CQ60">
        <v>6615.3587172359885</v>
      </c>
      <c r="CR60">
        <v>2.6290785111048653</v>
      </c>
      <c r="CS60">
        <v>1713.1075578359303</v>
      </c>
      <c r="CT60">
        <v>15.642084699269358</v>
      </c>
      <c r="CU60">
        <v>10192.382390043913</v>
      </c>
    </row>
    <row r="61" spans="2:99" x14ac:dyDescent="0.2">
      <c r="C61" s="105" t="s">
        <v>227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0.4074105845415355</v>
      </c>
      <c r="O61">
        <v>387.69191224972514</v>
      </c>
      <c r="P61">
        <v>1.8403139473733012</v>
      </c>
      <c r="Q61">
        <v>1751.2427523204333</v>
      </c>
      <c r="R61">
        <v>0.48637516411695897</v>
      </c>
      <c r="S61">
        <v>462.83460617369809</v>
      </c>
      <c r="T61">
        <v>6.0657278365165572</v>
      </c>
      <c r="U61">
        <v>5772.1466092291557</v>
      </c>
      <c r="V61">
        <v>1.4554630393415355</v>
      </c>
      <c r="W61">
        <v>1385.018628237405</v>
      </c>
      <c r="X61">
        <v>9.7130926891088745</v>
      </c>
      <c r="Y61">
        <v>9242.9790029560045</v>
      </c>
      <c r="Z61">
        <v>1.4391249366719776</v>
      </c>
      <c r="AA61">
        <v>1369.4712897370537</v>
      </c>
      <c r="AB61">
        <v>3.8086706665839549</v>
      </c>
      <c r="AC61">
        <v>3624.3310063212912</v>
      </c>
      <c r="AD61">
        <v>0.35179279453209</v>
      </c>
      <c r="AE61">
        <v>334.7660232767368</v>
      </c>
      <c r="AF61">
        <v>2.1976789100000302</v>
      </c>
      <c r="AG61">
        <v>2091.3112507560286</v>
      </c>
      <c r="AH61">
        <v>0.1918713011179638</v>
      </c>
      <c r="AI61">
        <v>182.58473014385433</v>
      </c>
      <c r="AJ61">
        <v>16</v>
      </c>
      <c r="AK61">
        <v>15225.599999999999</v>
      </c>
      <c r="AL61">
        <v>7.6165518846955127</v>
      </c>
      <c r="AM61">
        <v>7247.9107734762492</v>
      </c>
      <c r="AN61">
        <v>11.550321296725187</v>
      </c>
      <c r="AO61">
        <v>10991.285745963687</v>
      </c>
      <c r="AP61">
        <v>3.0100824872778613</v>
      </c>
      <c r="AQ61">
        <v>2864.3944948936128</v>
      </c>
      <c r="AR61">
        <v>5.996728446090632</v>
      </c>
      <c r="AS61">
        <v>5706.4867892998445</v>
      </c>
      <c r="AT61">
        <v>7.6274189850032572</v>
      </c>
      <c r="AU61">
        <v>7258.2519061290986</v>
      </c>
      <c r="AV61">
        <v>5.26135593220339</v>
      </c>
      <c r="AW61">
        <v>5006.7063050847455</v>
      </c>
      <c r="AX61">
        <v>10.803176637397828</v>
      </c>
      <c r="AY61">
        <v>10280.302888147771</v>
      </c>
      <c r="AZ61">
        <v>1.4855743705775899</v>
      </c>
      <c r="BA61">
        <v>1413.6725710416345</v>
      </c>
      <c r="BB61">
        <v>2.1368421145639065</v>
      </c>
      <c r="BC61">
        <v>2033.4189562190131</v>
      </c>
      <c r="BD61">
        <v>0.2470122030338634</v>
      </c>
      <c r="BE61">
        <v>235.05681240702438</v>
      </c>
      <c r="BF61">
        <v>3.0180230235427223</v>
      </c>
      <c r="BG61">
        <v>2871.9507092032545</v>
      </c>
      <c r="BH61">
        <v>0</v>
      </c>
      <c r="BI61">
        <v>0</v>
      </c>
      <c r="BJ61">
        <v>15.040241197716121</v>
      </c>
      <c r="BK61">
        <v>14312.293523746659</v>
      </c>
      <c r="BL61">
        <v>1.8176824968514373</v>
      </c>
      <c r="BM61">
        <v>1729.7066640038277</v>
      </c>
      <c r="BN61">
        <v>8.8856178871516995</v>
      </c>
      <c r="BO61">
        <v>8455.5539814135573</v>
      </c>
      <c r="BP61">
        <v>10.585546632660391</v>
      </c>
      <c r="BQ61">
        <v>10073.206175639627</v>
      </c>
      <c r="BR61">
        <v>18.37817987190941</v>
      </c>
      <c r="BS61">
        <v>17488.675966108993</v>
      </c>
      <c r="BT61">
        <v>3.3842998510754612</v>
      </c>
      <c r="BU61">
        <v>3220.4997382834085</v>
      </c>
      <c r="BV61">
        <v>21.489539286057781</v>
      </c>
      <c r="BW61">
        <v>20449.445584612582</v>
      </c>
      <c r="BX61">
        <v>1.794101913359895</v>
      </c>
      <c r="BY61">
        <v>1707.2673807532758</v>
      </c>
      <c r="BZ61">
        <v>4.6393652778596906</v>
      </c>
      <c r="CA61">
        <v>4414.8199984112807</v>
      </c>
      <c r="CB61">
        <v>6.1780915317271905</v>
      </c>
      <c r="CC61">
        <v>5879.0719015915938</v>
      </c>
      <c r="CD61">
        <v>7</v>
      </c>
      <c r="CE61">
        <v>6661.1999999999989</v>
      </c>
      <c r="CF61">
        <v>0.76684552135512285</v>
      </c>
      <c r="CG61">
        <v>729.73019812153484</v>
      </c>
      <c r="CH61">
        <v>2.135447605958356</v>
      </c>
      <c r="CI61">
        <v>2032.0919418299713</v>
      </c>
      <c r="CJ61">
        <v>0.36628086243964908</v>
      </c>
      <c r="CK61">
        <v>348.55286869757003</v>
      </c>
      <c r="CL61">
        <v>1.142830705847802</v>
      </c>
      <c r="CM61">
        <v>1087.5176996847683</v>
      </c>
      <c r="CN61">
        <v>10.219617560189148</v>
      </c>
      <c r="CO61">
        <v>9724.9880702759929</v>
      </c>
      <c r="CP61">
        <v>9.5179539555075809</v>
      </c>
      <c r="CQ61">
        <v>9057.2849840610124</v>
      </c>
      <c r="CR61">
        <v>2.3117759321784166</v>
      </c>
      <c r="CS61">
        <v>2199.8859770609811</v>
      </c>
      <c r="CT61">
        <v>13.509073149368991</v>
      </c>
      <c r="CU61">
        <v>12855.234008939531</v>
      </c>
    </row>
    <row r="62" spans="2:99" x14ac:dyDescent="0.2">
      <c r="C62" s="105" t="s">
        <v>228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0.4074105845415355</v>
      </c>
      <c r="O62">
        <v>694.71652876022631</v>
      </c>
      <c r="P62">
        <v>1.6562825526359712</v>
      </c>
      <c r="Q62">
        <v>2824.2930087548584</v>
      </c>
      <c r="R62">
        <v>0.48637516411695897</v>
      </c>
      <c r="S62">
        <v>829.3669298522384</v>
      </c>
      <c r="T62">
        <v>6.0657278365165572</v>
      </c>
      <c r="U62">
        <v>10343.279106828033</v>
      </c>
      <c r="V62">
        <v>1.4554630393415355</v>
      </c>
      <c r="W62">
        <v>2481.8555746851866</v>
      </c>
      <c r="X62">
        <v>8.7417834201979865</v>
      </c>
      <c r="Y62">
        <v>14906.489088121607</v>
      </c>
      <c r="Z62">
        <v>1.4391249366719776</v>
      </c>
      <c r="AA62">
        <v>2453.9958420130561</v>
      </c>
      <c r="AB62">
        <v>3.8086706665839549</v>
      </c>
      <c r="AC62">
        <v>6494.5452206589598</v>
      </c>
      <c r="AD62">
        <v>0.35179279453209</v>
      </c>
      <c r="AE62">
        <v>599.87707323611994</v>
      </c>
      <c r="AF62">
        <v>1.6482591825000226</v>
      </c>
      <c r="AG62">
        <v>2810.6115579990387</v>
      </c>
      <c r="AH62">
        <v>0.1918713011179638</v>
      </c>
      <c r="AI62">
        <v>327.17894266635187</v>
      </c>
      <c r="AJ62">
        <v>14</v>
      </c>
      <c r="AK62">
        <v>23872.799999999999</v>
      </c>
      <c r="AL62">
        <v>8.3782070731650631</v>
      </c>
      <c r="AM62">
        <v>14286.518701161065</v>
      </c>
      <c r="AN62">
        <v>10.942409649529123</v>
      </c>
      <c r="AO62">
        <v>18658.996934377061</v>
      </c>
      <c r="AP62">
        <v>2.8428556824290907</v>
      </c>
      <c r="AQ62">
        <v>4847.6375096780857</v>
      </c>
      <c r="AR62">
        <v>5.2912309818446746</v>
      </c>
      <c r="AS62">
        <v>9022.60707024154</v>
      </c>
      <c r="AT62">
        <v>6.9009981292886611</v>
      </c>
      <c r="AU62">
        <v>11767.582010063024</v>
      </c>
      <c r="AV62">
        <v>5.570847457627119</v>
      </c>
      <c r="AW62">
        <v>9499.4090847457628</v>
      </c>
      <c r="AX62">
        <v>9.2598656891981381</v>
      </c>
      <c r="AY62">
        <v>15789.922973220666</v>
      </c>
      <c r="AZ62">
        <v>1.4855743705775899</v>
      </c>
      <c r="BA62">
        <v>2533.2014167089064</v>
      </c>
      <c r="BB62">
        <v>1.9587719383502478</v>
      </c>
      <c r="BC62">
        <v>3340.0979092748426</v>
      </c>
      <c r="BD62">
        <v>0.27445800337095932</v>
      </c>
      <c r="BE62">
        <v>468.00578734815986</v>
      </c>
      <c r="BF62">
        <v>2.7665211049141618</v>
      </c>
      <c r="BG62">
        <v>4717.4717880996286</v>
      </c>
      <c r="BH62">
        <v>0</v>
      </c>
      <c r="BI62">
        <v>0</v>
      </c>
      <c r="BJ62">
        <v>12.115749853715766</v>
      </c>
      <c r="BK62">
        <v>20659.776650556123</v>
      </c>
      <c r="BL62">
        <v>1.4080639060116769</v>
      </c>
      <c r="BM62">
        <v>2401.0305725311114</v>
      </c>
      <c r="BN62">
        <v>7.7008688355314732</v>
      </c>
      <c r="BO62">
        <v>13131.521538348268</v>
      </c>
      <c r="BP62">
        <v>10.938398187082402</v>
      </c>
      <c r="BQ62">
        <v>18652.156588612914</v>
      </c>
      <c r="BR62">
        <v>15.036692622471337</v>
      </c>
      <c r="BS62">
        <v>25640.568259838125</v>
      </c>
      <c r="BT62">
        <v>2.9228044168378986</v>
      </c>
      <c r="BU62">
        <v>4983.9660915919849</v>
      </c>
      <c r="BV62">
        <v>20.103117396634694</v>
      </c>
      <c r="BW62">
        <v>34279.835784741481</v>
      </c>
      <c r="BX62">
        <v>1.9735121046958843</v>
      </c>
      <c r="BY62">
        <v>3365.2328409274219</v>
      </c>
      <c r="BZ62">
        <v>4.6393652778596906</v>
      </c>
      <c r="CA62">
        <v>7911.0456718063442</v>
      </c>
      <c r="CB62">
        <v>5.4916369170908368</v>
      </c>
      <c r="CC62">
        <v>9364.3392710232947</v>
      </c>
      <c r="CD62">
        <v>7</v>
      </c>
      <c r="CE62">
        <v>11936.4</v>
      </c>
      <c r="CF62">
        <v>0.76684552135512285</v>
      </c>
      <c r="CG62">
        <v>1307.6249830147556</v>
      </c>
      <c r="CH62">
        <v>2.135447605958356</v>
      </c>
      <c r="CI62">
        <v>3641.3652576801887</v>
      </c>
      <c r="CJ62">
        <v>0.30523405203304094</v>
      </c>
      <c r="CK62">
        <v>520.48510552674145</v>
      </c>
      <c r="CL62">
        <v>1.142830705847802</v>
      </c>
      <c r="CM62">
        <v>1948.754919611672</v>
      </c>
      <c r="CN62">
        <v>10.441783159323695</v>
      </c>
      <c r="CO62">
        <v>17805.328643278765</v>
      </c>
      <c r="CP62">
        <v>9.0949337797072438</v>
      </c>
      <c r="CQ62">
        <v>15508.681081156792</v>
      </c>
      <c r="CR62">
        <v>1.994473353251967</v>
      </c>
      <c r="CS62">
        <v>3400.9759619652541</v>
      </c>
      <c r="CT62">
        <v>14.575578924319174</v>
      </c>
      <c r="CU62">
        <v>24854.277181749057</v>
      </c>
    </row>
    <row r="63" spans="2:99" x14ac:dyDescent="0.2">
      <c r="C63" s="105" t="s">
        <v>229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0.4074105845415355</v>
      </c>
      <c r="O63">
        <v>324.13586106124563</v>
      </c>
      <c r="P63">
        <v>2.0243453421106312</v>
      </c>
      <c r="Q63">
        <v>1610.5691541832182</v>
      </c>
      <c r="R63">
        <v>0.43233347921507465</v>
      </c>
      <c r="S63">
        <v>343.96451606351337</v>
      </c>
      <c r="T63">
        <v>6.932260384590351</v>
      </c>
      <c r="U63">
        <v>5515.3063619800832</v>
      </c>
      <c r="V63">
        <v>1.6010093432756889</v>
      </c>
      <c r="W63">
        <v>1273.763033510138</v>
      </c>
      <c r="X63">
        <v>10.684401958019762</v>
      </c>
      <c r="Y63">
        <v>8500.5101978005241</v>
      </c>
      <c r="Z63">
        <v>1.4391249366719776</v>
      </c>
      <c r="AA63">
        <v>1144.9677996162254</v>
      </c>
      <c r="AB63">
        <v>3.8086706665839549</v>
      </c>
      <c r="AC63">
        <v>3030.1783823341948</v>
      </c>
      <c r="AD63">
        <v>0.3198116313928091</v>
      </c>
      <c r="AE63">
        <v>254.44213393611892</v>
      </c>
      <c r="AF63">
        <v>1.9229690462500264</v>
      </c>
      <c r="AG63">
        <v>1529.914173196521</v>
      </c>
      <c r="AH63">
        <v>0.21585521375770925</v>
      </c>
      <c r="AI63">
        <v>171.73440806563349</v>
      </c>
      <c r="AJ63">
        <v>16</v>
      </c>
      <c r="AK63">
        <v>12729.6</v>
      </c>
      <c r="AL63">
        <v>7.9973794789302879</v>
      </c>
      <c r="AM63">
        <v>6362.7151134369369</v>
      </c>
      <c r="AN63">
        <v>11.550321296725187</v>
      </c>
      <c r="AO63">
        <v>9189.4356236745589</v>
      </c>
      <c r="AP63">
        <v>2.8428556824290907</v>
      </c>
      <c r="AQ63">
        <v>2261.7759809405848</v>
      </c>
      <c r="AR63">
        <v>5.6439797139676529</v>
      </c>
      <c r="AS63">
        <v>4490.350260432665</v>
      </c>
      <c r="AT63">
        <v>6.5377877014313635</v>
      </c>
      <c r="AU63">
        <v>5201.4638952587929</v>
      </c>
      <c r="AV63">
        <v>5.26135593220339</v>
      </c>
      <c r="AW63">
        <v>4185.9347796610173</v>
      </c>
      <c r="AX63">
        <v>11.317613620131057</v>
      </c>
      <c r="AY63">
        <v>9004.2933961762701</v>
      </c>
      <c r="AZ63">
        <v>1.4855743705775899</v>
      </c>
      <c r="BA63">
        <v>1181.9229692315305</v>
      </c>
      <c r="BB63">
        <v>1.9587719383502478</v>
      </c>
      <c r="BC63">
        <v>1558.3989541514572</v>
      </c>
      <c r="BD63">
        <v>0.30190380370805531</v>
      </c>
      <c r="BE63">
        <v>240.1946662301288</v>
      </c>
      <c r="BF63">
        <v>3.5210268607998425</v>
      </c>
      <c r="BG63">
        <v>2801.328970452355</v>
      </c>
      <c r="BH63">
        <v>0</v>
      </c>
      <c r="BI63">
        <v>0</v>
      </c>
      <c r="BJ63">
        <v>13.577995525715943</v>
      </c>
      <c r="BK63">
        <v>10802.653240259604</v>
      </c>
      <c r="BL63">
        <v>1.8688848207064075</v>
      </c>
      <c r="BM63">
        <v>1486.8847633540179</v>
      </c>
      <c r="BN63">
        <v>8.8856178871516995</v>
      </c>
      <c r="BO63">
        <v>7069.3975910178924</v>
      </c>
      <c r="BP63">
        <v>10.585546632660391</v>
      </c>
      <c r="BQ63">
        <v>8421.8609009446063</v>
      </c>
      <c r="BR63">
        <v>18.37817987190941</v>
      </c>
      <c r="BS63">
        <v>14621.679906091127</v>
      </c>
      <c r="BT63">
        <v>3.3842998510754612</v>
      </c>
      <c r="BU63">
        <v>2692.5489615156371</v>
      </c>
      <c r="BV63">
        <v>19.409906451923156</v>
      </c>
      <c r="BW63">
        <v>15442.521573150063</v>
      </c>
      <c r="BX63">
        <v>1.794101913359895</v>
      </c>
      <c r="BY63">
        <v>1427.3874822691325</v>
      </c>
      <c r="BZ63">
        <v>5.964898214391031</v>
      </c>
      <c r="CA63">
        <v>4745.6730193695048</v>
      </c>
      <c r="CB63">
        <v>6.864546146363546</v>
      </c>
      <c r="CC63">
        <v>5461.4329140468371</v>
      </c>
      <c r="CD63">
        <v>7</v>
      </c>
      <c r="CE63">
        <v>5569.2</v>
      </c>
      <c r="CF63">
        <v>0.76684552135512285</v>
      </c>
      <c r="CG63">
        <v>610.10229679013571</v>
      </c>
      <c r="CH63">
        <v>2.135447605958356</v>
      </c>
      <c r="CI63">
        <v>1698.9621153004682</v>
      </c>
      <c r="CJ63">
        <v>0.36628086243964908</v>
      </c>
      <c r="CK63">
        <v>291.4130541569848</v>
      </c>
      <c r="CL63">
        <v>0.95235892153983492</v>
      </c>
      <c r="CM63">
        <v>757.69675797709272</v>
      </c>
      <c r="CN63">
        <v>11.108279956727335</v>
      </c>
      <c r="CO63">
        <v>8837.7475335722684</v>
      </c>
      <c r="CP63">
        <v>8.6719136039069067</v>
      </c>
      <c r="CQ63">
        <v>6899.3744632683356</v>
      </c>
      <c r="CR63">
        <v>2.4024338118716875</v>
      </c>
      <c r="CS63">
        <v>1911.3763407251147</v>
      </c>
      <c r="CT63">
        <v>16.708590474219541</v>
      </c>
      <c r="CU63">
        <v>13293.354581289068</v>
      </c>
    </row>
    <row r="64" spans="2:99" x14ac:dyDescent="0.2">
      <c r="C64" s="105" t="s">
        <v>230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0.4074105845415355</v>
      </c>
      <c r="O64">
        <v>411.15876191931756</v>
      </c>
      <c r="P64">
        <v>1.8403139473733012</v>
      </c>
      <c r="Q64">
        <v>1857.2448356891352</v>
      </c>
      <c r="R64">
        <v>0.48637516411695897</v>
      </c>
      <c r="S64">
        <v>490.84981562683492</v>
      </c>
      <c r="T64">
        <v>6.0657278365165572</v>
      </c>
      <c r="U64">
        <v>6121.5325326125085</v>
      </c>
      <c r="V64">
        <v>1.6010093432756889</v>
      </c>
      <c r="W64">
        <v>1615.7386292338249</v>
      </c>
      <c r="X64">
        <v>10.684401958019762</v>
      </c>
      <c r="Y64">
        <v>10782.698456033542</v>
      </c>
      <c r="Z64">
        <v>1.308295396974525</v>
      </c>
      <c r="AA64">
        <v>1320.3317146266904</v>
      </c>
      <c r="AB64">
        <v>3.4624278787126861</v>
      </c>
      <c r="AC64">
        <v>3494.2822151968421</v>
      </c>
      <c r="AD64">
        <v>0.35179279453209</v>
      </c>
      <c r="AE64">
        <v>355.02928824178514</v>
      </c>
      <c r="AF64">
        <v>1.9229690462500264</v>
      </c>
      <c r="AG64">
        <v>1940.6603614755263</v>
      </c>
      <c r="AH64">
        <v>0.21585521375770925</v>
      </c>
      <c r="AI64">
        <v>217.84108172428014</v>
      </c>
      <c r="AJ64">
        <v>17</v>
      </c>
      <c r="AK64">
        <v>17156.399999999998</v>
      </c>
      <c r="AL64">
        <v>7.9973794789302879</v>
      </c>
      <c r="AM64">
        <v>8070.9553701364448</v>
      </c>
      <c r="AN64">
        <v>10.942409649529123</v>
      </c>
      <c r="AO64">
        <v>11043.07981830479</v>
      </c>
      <c r="AP64">
        <v>2.8428556824290907</v>
      </c>
      <c r="AQ64">
        <v>2869.0099547074378</v>
      </c>
      <c r="AR64">
        <v>5.996728446090632</v>
      </c>
      <c r="AS64">
        <v>6051.8983477946649</v>
      </c>
      <c r="AT64">
        <v>7.9906294128605548</v>
      </c>
      <c r="AU64">
        <v>8064.1432034588706</v>
      </c>
      <c r="AV64">
        <v>5.570847457627119</v>
      </c>
      <c r="AW64">
        <v>5622.0992542372878</v>
      </c>
      <c r="AX64">
        <v>10.288739654664598</v>
      </c>
      <c r="AY64">
        <v>10383.39605948751</v>
      </c>
      <c r="AZ64">
        <v>1.5998493221604815</v>
      </c>
      <c r="BA64">
        <v>1614.5679359243577</v>
      </c>
      <c r="BB64">
        <v>2.1368421145639065</v>
      </c>
      <c r="BC64">
        <v>2156.5010620178941</v>
      </c>
      <c r="BD64">
        <v>0.27445800337095932</v>
      </c>
      <c r="BE64">
        <v>276.98301700197209</v>
      </c>
      <c r="BF64">
        <v>3.2695249421712824</v>
      </c>
      <c r="BG64">
        <v>3299.6045716392578</v>
      </c>
      <c r="BH64">
        <v>0</v>
      </c>
      <c r="BI64">
        <v>0</v>
      </c>
      <c r="BJ64">
        <v>13.99578000343028</v>
      </c>
      <c r="BK64">
        <v>14124.541179461836</v>
      </c>
      <c r="BL64">
        <v>1.612873201431557</v>
      </c>
      <c r="BM64">
        <v>1627.7116348847271</v>
      </c>
      <c r="BN64">
        <v>8.2932433613415864</v>
      </c>
      <c r="BO64">
        <v>8369.5412002659268</v>
      </c>
      <c r="BP64">
        <v>11.996952850348441</v>
      </c>
      <c r="BQ64">
        <v>12107.324816571645</v>
      </c>
      <c r="BR64">
        <v>17.264350788763387</v>
      </c>
      <c r="BS64">
        <v>17423.182816020006</v>
      </c>
      <c r="BT64">
        <v>2.9997203225441589</v>
      </c>
      <c r="BU64">
        <v>3027.3177495115647</v>
      </c>
      <c r="BV64">
        <v>20.103117396634694</v>
      </c>
      <c r="BW64">
        <v>20288.066076683728</v>
      </c>
      <c r="BX64">
        <v>1.794101913359895</v>
      </c>
      <c r="BY64">
        <v>1810.6076509628058</v>
      </c>
      <c r="BZ64">
        <v>5.3021317461253599</v>
      </c>
      <c r="CA64">
        <v>5350.9113581897118</v>
      </c>
      <c r="CB64">
        <v>6.1780915317271905</v>
      </c>
      <c r="CC64">
        <v>6234.9299738190794</v>
      </c>
      <c r="CD64">
        <v>7</v>
      </c>
      <c r="CE64">
        <v>7064.3999999999987</v>
      </c>
      <c r="CF64">
        <v>0.76684552135512285</v>
      </c>
      <c r="CG64">
        <v>773.90050015158988</v>
      </c>
      <c r="CH64">
        <v>2.135447605958356</v>
      </c>
      <c r="CI64">
        <v>2155.0937239331724</v>
      </c>
      <c r="CJ64">
        <v>0.36628086243964908</v>
      </c>
      <c r="CK64">
        <v>369.65064637409381</v>
      </c>
      <c r="CL64">
        <v>0.95235892153983492</v>
      </c>
      <c r="CM64">
        <v>961.12062361800122</v>
      </c>
      <c r="CN64">
        <v>9.9974519610546011</v>
      </c>
      <c r="CO64">
        <v>10089.428519096302</v>
      </c>
      <c r="CP64">
        <v>9.7294640434077504</v>
      </c>
      <c r="CQ64">
        <v>9818.9751126071005</v>
      </c>
      <c r="CR64">
        <v>2.4024338118716875</v>
      </c>
      <c r="CS64">
        <v>2424.5362029409066</v>
      </c>
      <c r="CT64">
        <v>14.931080849302569</v>
      </c>
      <c r="CU64">
        <v>15068.446793116151</v>
      </c>
    </row>
    <row r="65" spans="2:99" x14ac:dyDescent="0.2">
      <c r="C65" s="105" t="s">
        <v>231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0.4074105845415355</v>
      </c>
      <c r="O65">
        <v>418.00325973961543</v>
      </c>
      <c r="P65">
        <v>1.8403139473733012</v>
      </c>
      <c r="Q65">
        <v>1888.162110005007</v>
      </c>
      <c r="R65">
        <v>0.54041684901884335</v>
      </c>
      <c r="S65">
        <v>554.46768709333332</v>
      </c>
      <c r="T65">
        <v>6.0657278365165572</v>
      </c>
      <c r="U65">
        <v>6223.4367602659877</v>
      </c>
      <c r="V65">
        <v>1.6010093432756889</v>
      </c>
      <c r="W65">
        <v>1642.6355862008568</v>
      </c>
      <c r="X65">
        <v>10.684401958019762</v>
      </c>
      <c r="Y65">
        <v>10962.196408928276</v>
      </c>
      <c r="Z65">
        <v>1.4391249366719776</v>
      </c>
      <c r="AA65">
        <v>1476.542185025449</v>
      </c>
      <c r="AB65">
        <v>3.8086706665839549</v>
      </c>
      <c r="AC65">
        <v>3907.6961039151379</v>
      </c>
      <c r="AD65">
        <v>0.3198116313928091</v>
      </c>
      <c r="AE65">
        <v>328.12673380902214</v>
      </c>
      <c r="AF65">
        <v>1.9229690462500264</v>
      </c>
      <c r="AG65">
        <v>1972.9662414525271</v>
      </c>
      <c r="AH65">
        <v>0.1918713011179638</v>
      </c>
      <c r="AI65">
        <v>196.85995494703087</v>
      </c>
      <c r="AJ65">
        <v>16</v>
      </c>
      <c r="AK65">
        <v>16416</v>
      </c>
      <c r="AL65">
        <v>7.6165518846955127</v>
      </c>
      <c r="AM65">
        <v>7814.5822336975962</v>
      </c>
      <c r="AN65">
        <v>10.942409649529123</v>
      </c>
      <c r="AO65">
        <v>11226.912300416881</v>
      </c>
      <c r="AP65">
        <v>2.5084020727315508</v>
      </c>
      <c r="AQ65">
        <v>2573.6205266225711</v>
      </c>
      <c r="AR65">
        <v>5.6439797139676529</v>
      </c>
      <c r="AS65">
        <v>5790.7231865308122</v>
      </c>
      <c r="AT65">
        <v>7.9906294128605548</v>
      </c>
      <c r="AU65">
        <v>8198.3857775949291</v>
      </c>
      <c r="AV65">
        <v>5.26135593220339</v>
      </c>
      <c r="AW65">
        <v>5398.1511864406784</v>
      </c>
      <c r="AX65">
        <v>10.803176637397828</v>
      </c>
      <c r="AY65">
        <v>11084.059229970171</v>
      </c>
      <c r="AZ65">
        <v>1.5998493221604815</v>
      </c>
      <c r="BA65">
        <v>1641.445404536654</v>
      </c>
      <c r="BB65">
        <v>2.1368421145639065</v>
      </c>
      <c r="BC65">
        <v>2192.4000095425681</v>
      </c>
      <c r="BD65">
        <v>0.27445800337095932</v>
      </c>
      <c r="BE65">
        <v>281.59391145860428</v>
      </c>
      <c r="BF65">
        <v>3.0180230235427223</v>
      </c>
      <c r="BG65">
        <v>3096.4916221548333</v>
      </c>
      <c r="BH65">
        <v>0</v>
      </c>
      <c r="BI65">
        <v>0</v>
      </c>
      <c r="BJ65">
        <v>12.951318809144439</v>
      </c>
      <c r="BK65">
        <v>13288.053098182194</v>
      </c>
      <c r="BL65">
        <v>1.6896766872140121</v>
      </c>
      <c r="BM65">
        <v>1733.6082810815765</v>
      </c>
      <c r="BN65">
        <v>9.4779924129618127</v>
      </c>
      <c r="BO65">
        <v>9724.4202156988194</v>
      </c>
      <c r="BP65">
        <v>11.996952850348441</v>
      </c>
      <c r="BQ65">
        <v>12308.873624457501</v>
      </c>
      <c r="BR65">
        <v>16.150521705617361</v>
      </c>
      <c r="BS65">
        <v>16570.435269963411</v>
      </c>
      <c r="BT65">
        <v>3.1535521339566799</v>
      </c>
      <c r="BU65">
        <v>3235.5444894395537</v>
      </c>
      <c r="BV65">
        <v>22.182750230769322</v>
      </c>
      <c r="BW65">
        <v>22759.501736769325</v>
      </c>
      <c r="BX65">
        <v>1.9735121046958843</v>
      </c>
      <c r="BY65">
        <v>2024.8234194179772</v>
      </c>
      <c r="BZ65">
        <v>4.6393652778596906</v>
      </c>
      <c r="CA65">
        <v>4759.9887750840426</v>
      </c>
      <c r="CB65">
        <v>5.4916369170908368</v>
      </c>
      <c r="CC65">
        <v>5634.4194769351989</v>
      </c>
      <c r="CD65">
        <v>7</v>
      </c>
      <c r="CE65">
        <v>7182</v>
      </c>
      <c r="CF65">
        <v>0.76684552135512285</v>
      </c>
      <c r="CG65">
        <v>786.7835049103561</v>
      </c>
      <c r="CH65">
        <v>2.135447605958356</v>
      </c>
      <c r="CI65">
        <v>2190.9692437132735</v>
      </c>
      <c r="CJ65">
        <v>0.36628086243964908</v>
      </c>
      <c r="CK65">
        <v>375.80416486307996</v>
      </c>
      <c r="CL65">
        <v>1.142830705847802</v>
      </c>
      <c r="CM65">
        <v>1172.5443041998449</v>
      </c>
      <c r="CN65">
        <v>11.108279956727335</v>
      </c>
      <c r="CO65">
        <v>11397.095235602246</v>
      </c>
      <c r="CP65">
        <v>8.6719136039069067</v>
      </c>
      <c r="CQ65">
        <v>8897.3833576084871</v>
      </c>
      <c r="CR65">
        <v>2.3571048720250518</v>
      </c>
      <c r="CS65">
        <v>2418.3895986977031</v>
      </c>
      <c r="CT65">
        <v>13.509073149368991</v>
      </c>
      <c r="CU65">
        <v>13860.309051252585</v>
      </c>
    </row>
    <row r="66" spans="2:99" x14ac:dyDescent="0.2">
      <c r="C66" s="105" t="s">
        <v>232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0.44444791040894782</v>
      </c>
      <c r="O66">
        <v>529.07079255081146</v>
      </c>
      <c r="P66">
        <v>2.0243453421106312</v>
      </c>
      <c r="Q66">
        <v>2409.7806952484952</v>
      </c>
      <c r="R66">
        <v>0.54041684901884335</v>
      </c>
      <c r="S66">
        <v>643.3122170720311</v>
      </c>
      <c r="T66">
        <v>6.0657278365165572</v>
      </c>
      <c r="U66">
        <v>7220.6424165893086</v>
      </c>
      <c r="V66">
        <v>1.6010093432756889</v>
      </c>
      <c r="W66">
        <v>1905.8415222353799</v>
      </c>
      <c r="X66">
        <v>8.7417834201979865</v>
      </c>
      <c r="Y66">
        <v>10406.218983403682</v>
      </c>
      <c r="Z66">
        <v>1.5699544763694298</v>
      </c>
      <c r="AA66">
        <v>1868.873808670169</v>
      </c>
      <c r="AB66">
        <v>3.4624278787126861</v>
      </c>
      <c r="AC66">
        <v>4121.6741468195814</v>
      </c>
      <c r="AD66">
        <v>0.3198116313928091</v>
      </c>
      <c r="AE66">
        <v>380.70376600999992</v>
      </c>
      <c r="AF66">
        <v>1.9229690462500264</v>
      </c>
      <c r="AG66">
        <v>2289.1023526560311</v>
      </c>
      <c r="AH66">
        <v>0.21585521375770925</v>
      </c>
      <c r="AI66">
        <v>256.95404645717707</v>
      </c>
      <c r="AJ66">
        <v>17</v>
      </c>
      <c r="AK66">
        <v>20236.8</v>
      </c>
      <c r="AL66">
        <v>7.9973794789302879</v>
      </c>
      <c r="AM66">
        <v>9520.0805317186132</v>
      </c>
      <c r="AN66">
        <v>11.550321296725187</v>
      </c>
      <c r="AO66">
        <v>13749.502471621661</v>
      </c>
      <c r="AP66">
        <v>3.0100824872778613</v>
      </c>
      <c r="AQ66">
        <v>3583.2021928555655</v>
      </c>
      <c r="AR66">
        <v>5.2912309818446746</v>
      </c>
      <c r="AS66">
        <v>6298.6813607879003</v>
      </c>
      <c r="AT66">
        <v>6.5377877014313635</v>
      </c>
      <c r="AU66">
        <v>7782.5824797838941</v>
      </c>
      <c r="AV66">
        <v>5.880338983050847</v>
      </c>
      <c r="AW66">
        <v>6999.9555254237275</v>
      </c>
      <c r="AX66">
        <v>10.803176637397828</v>
      </c>
      <c r="AY66">
        <v>12860.101469158373</v>
      </c>
      <c r="AZ66">
        <v>1.3712994189946985</v>
      </c>
      <c r="BA66">
        <v>1632.3948283712889</v>
      </c>
      <c r="BB66">
        <v>1.9587719383502478</v>
      </c>
      <c r="BC66">
        <v>2331.7221154121348</v>
      </c>
      <c r="BD66">
        <v>0.27445800337095932</v>
      </c>
      <c r="BE66">
        <v>326.71480721278994</v>
      </c>
      <c r="BF66">
        <v>3.2695249421712824</v>
      </c>
      <c r="BG66">
        <v>3892.0424911606942</v>
      </c>
      <c r="BH66">
        <v>0</v>
      </c>
      <c r="BI66">
        <v>0</v>
      </c>
      <c r="BJ66">
        <v>12.533534331430102</v>
      </c>
      <c r="BK66">
        <v>14919.919268134392</v>
      </c>
      <c r="BL66">
        <v>1.6640755252865271</v>
      </c>
      <c r="BM66">
        <v>1980.9155053010816</v>
      </c>
      <c r="BN66">
        <v>8.7375242556991726</v>
      </c>
      <c r="BO66">
        <v>10401.148873984293</v>
      </c>
      <c r="BP66">
        <v>9.879843523816362</v>
      </c>
      <c r="BQ66">
        <v>11760.965730750995</v>
      </c>
      <c r="BR66">
        <v>16.707436247190373</v>
      </c>
      <c r="BS66">
        <v>19888.532108655418</v>
      </c>
      <c r="BT66">
        <v>3.3073839453692009</v>
      </c>
      <c r="BU66">
        <v>3937.1098485674961</v>
      </c>
      <c r="BV66">
        <v>20.796328341346236</v>
      </c>
      <c r="BW66">
        <v>24755.949257538556</v>
      </c>
      <c r="BX66">
        <v>1.794101913359895</v>
      </c>
      <c r="BY66">
        <v>2135.6989176636189</v>
      </c>
      <c r="BZ66">
        <v>4.6393652778596906</v>
      </c>
      <c r="CA66">
        <v>5522.7004267641751</v>
      </c>
      <c r="CB66">
        <v>5.4916369170908368</v>
      </c>
      <c r="CC66">
        <v>6537.2445861049309</v>
      </c>
      <c r="CD66">
        <v>7</v>
      </c>
      <c r="CE66">
        <v>8332.7999999999993</v>
      </c>
      <c r="CF66">
        <v>0.63903793446260237</v>
      </c>
      <c r="CG66">
        <v>760.71075718428176</v>
      </c>
      <c r="CH66">
        <v>2.135447605958356</v>
      </c>
      <c r="CI66">
        <v>2542.0368301328267</v>
      </c>
      <c r="CJ66">
        <v>0.36628086243964908</v>
      </c>
      <c r="CK66">
        <v>436.02073864815821</v>
      </c>
      <c r="CL66">
        <v>1.142830705847802</v>
      </c>
      <c r="CM66">
        <v>1360.4256722412233</v>
      </c>
      <c r="CN66">
        <v>10.886114357592788</v>
      </c>
      <c r="CO66">
        <v>12958.830531278454</v>
      </c>
      <c r="CP66">
        <v>8.2488934281065713</v>
      </c>
      <c r="CQ66">
        <v>9819.4827368180613</v>
      </c>
      <c r="CR66">
        <v>2.2664469923317809</v>
      </c>
      <c r="CS66">
        <v>2697.9784996717517</v>
      </c>
      <c r="CT66">
        <v>15.642084699269358</v>
      </c>
      <c r="CU66">
        <v>18620.337626010241</v>
      </c>
    </row>
    <row r="67" spans="2:99" x14ac:dyDescent="0.2">
      <c r="C67" s="105" t="s">
        <v>233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0.4074105845415355</v>
      </c>
      <c r="O67">
        <v>457.60356855705271</v>
      </c>
      <c r="P67">
        <v>1.8403139473733012</v>
      </c>
      <c r="Q67">
        <v>2067.0406256896922</v>
      </c>
      <c r="R67">
        <v>0.54041684901884335</v>
      </c>
      <c r="S67">
        <v>606.99620481796489</v>
      </c>
      <c r="T67">
        <v>6.0657278365165572</v>
      </c>
      <c r="U67">
        <v>6813.0255059753972</v>
      </c>
      <c r="V67">
        <v>1.4554630393415355</v>
      </c>
      <c r="W67">
        <v>1634.7760857884127</v>
      </c>
      <c r="X67">
        <v>10.684401958019762</v>
      </c>
      <c r="Y67">
        <v>12000.720279247798</v>
      </c>
      <c r="Z67">
        <v>1.308295396974525</v>
      </c>
      <c r="AA67">
        <v>1469.4773898817866</v>
      </c>
      <c r="AB67">
        <v>3.8086706665839549</v>
      </c>
      <c r="AC67">
        <v>4277.8988927070986</v>
      </c>
      <c r="AD67">
        <v>0.2878304682535282</v>
      </c>
      <c r="AE67">
        <v>323.29118194236287</v>
      </c>
      <c r="AF67">
        <v>2.1976789100000302</v>
      </c>
      <c r="AG67">
        <v>2468.4329517120341</v>
      </c>
      <c r="AH67">
        <v>0.16788738847821832</v>
      </c>
      <c r="AI67">
        <v>188.57111473873482</v>
      </c>
      <c r="AJ67">
        <v>16</v>
      </c>
      <c r="AK67">
        <v>17971.2</v>
      </c>
      <c r="AL67">
        <v>7.6165518846955127</v>
      </c>
      <c r="AM67">
        <v>8554.9110768900009</v>
      </c>
      <c r="AN67">
        <v>9.726586355137</v>
      </c>
      <c r="AO67">
        <v>10924.901794089879</v>
      </c>
      <c r="AP67">
        <v>3.0100824872778613</v>
      </c>
      <c r="AQ67">
        <v>3380.9246497104941</v>
      </c>
      <c r="AR67">
        <v>4.9384822497216962</v>
      </c>
      <c r="AS67">
        <v>5546.9032628874093</v>
      </c>
      <c r="AT67">
        <v>7.2642085571459587</v>
      </c>
      <c r="AU67">
        <v>8159.1590513863412</v>
      </c>
      <c r="AV67">
        <v>5.26135593220339</v>
      </c>
      <c r="AW67">
        <v>5909.554983050848</v>
      </c>
      <c r="AX67">
        <v>11.317613620131057</v>
      </c>
      <c r="AY67">
        <v>12711.943618131205</v>
      </c>
      <c r="AZ67">
        <v>1.3712994189946985</v>
      </c>
      <c r="BA67">
        <v>1540.2435074148455</v>
      </c>
      <c r="BB67">
        <v>2.1368421145639065</v>
      </c>
      <c r="BC67">
        <v>2400.1010630781798</v>
      </c>
      <c r="BD67">
        <v>0.27445800337095932</v>
      </c>
      <c r="BE67">
        <v>308.27122938626155</v>
      </c>
      <c r="BF67">
        <v>3.0180230235427223</v>
      </c>
      <c r="BG67">
        <v>3389.843460043186</v>
      </c>
      <c r="BH67">
        <v>0</v>
      </c>
      <c r="BI67">
        <v>0</v>
      </c>
      <c r="BJ67">
        <v>13.369103286858776</v>
      </c>
      <c r="BK67">
        <v>15016.176811799778</v>
      </c>
      <c r="BL67">
        <v>1.6896766872140121</v>
      </c>
      <c r="BM67">
        <v>1897.8448550787784</v>
      </c>
      <c r="BN67">
        <v>7.848962466984001</v>
      </c>
      <c r="BO67">
        <v>8815.9546429164311</v>
      </c>
      <c r="BP67">
        <v>10.232695078238375</v>
      </c>
      <c r="BQ67">
        <v>11493.363111877345</v>
      </c>
      <c r="BR67">
        <v>17.821265330336399</v>
      </c>
      <c r="BS67">
        <v>20016.845219033843</v>
      </c>
      <c r="BT67">
        <v>3.0766362282504192</v>
      </c>
      <c r="BU67">
        <v>3455.6778115708707</v>
      </c>
      <c r="BV67">
        <v>19.409906451923156</v>
      </c>
      <c r="BW67">
        <v>21801.206926800089</v>
      </c>
      <c r="BX67">
        <v>1.6146917220239057</v>
      </c>
      <c r="BY67">
        <v>1813.621742177251</v>
      </c>
      <c r="BZ67">
        <v>5.3021317461253599</v>
      </c>
      <c r="CA67">
        <v>5955.3543772480043</v>
      </c>
      <c r="CB67">
        <v>6.864546146363546</v>
      </c>
      <c r="CC67">
        <v>7710.2582315955351</v>
      </c>
      <c r="CD67">
        <v>7</v>
      </c>
      <c r="CE67">
        <v>7862.4000000000005</v>
      </c>
      <c r="CF67">
        <v>0.76684552135512285</v>
      </c>
      <c r="CG67">
        <v>861.32088958607403</v>
      </c>
      <c r="CH67">
        <v>2.135447605958356</v>
      </c>
      <c r="CI67">
        <v>2398.5347510124257</v>
      </c>
      <c r="CJ67">
        <v>0.36628086243964908</v>
      </c>
      <c r="CK67">
        <v>411.40666469221384</v>
      </c>
      <c r="CL67">
        <v>1.142830705847802</v>
      </c>
      <c r="CM67">
        <v>1283.6274488082513</v>
      </c>
      <c r="CN67">
        <v>10.441783159323695</v>
      </c>
      <c r="CO67">
        <v>11728.210844552374</v>
      </c>
      <c r="CP67">
        <v>9.5179539555075809</v>
      </c>
      <c r="CQ67">
        <v>10690.565882826115</v>
      </c>
      <c r="CR67">
        <v>2.1757891126385092</v>
      </c>
      <c r="CS67">
        <v>2443.8463313155735</v>
      </c>
      <c r="CT67">
        <v>15.286582774285964</v>
      </c>
      <c r="CU67">
        <v>17169.889772077997</v>
      </c>
    </row>
    <row r="68" spans="2:99" x14ac:dyDescent="0.2">
      <c r="C68" s="105" t="s">
        <v>234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0.44444791040894782</v>
      </c>
      <c r="O68">
        <v>459.20358103452492</v>
      </c>
      <c r="P68">
        <v>2.0243453421106312</v>
      </c>
      <c r="Q68">
        <v>2091.5536074687043</v>
      </c>
      <c r="R68">
        <v>0.48637516411695897</v>
      </c>
      <c r="S68">
        <v>502.52281956564201</v>
      </c>
      <c r="T68">
        <v>6.0657278365165572</v>
      </c>
      <c r="U68">
        <v>6267.1100006889073</v>
      </c>
      <c r="V68">
        <v>1.4554630393415355</v>
      </c>
      <c r="W68">
        <v>1503.7844122476745</v>
      </c>
      <c r="X68">
        <v>10.684401958019762</v>
      </c>
      <c r="Y68">
        <v>11039.124103026019</v>
      </c>
      <c r="Z68">
        <v>1.5699544763694298</v>
      </c>
      <c r="AA68">
        <v>1622.0769649848949</v>
      </c>
      <c r="AB68">
        <v>3.8086706665839549</v>
      </c>
      <c r="AC68">
        <v>3935.1185327145422</v>
      </c>
      <c r="AD68">
        <v>0.3198116313928091</v>
      </c>
      <c r="AE68">
        <v>330.42937755505039</v>
      </c>
      <c r="AF68">
        <v>1.9229690462500264</v>
      </c>
      <c r="AG68">
        <v>1986.8116185855274</v>
      </c>
      <c r="AH68">
        <v>0.1918713011179638</v>
      </c>
      <c r="AI68">
        <v>198.24142831508021</v>
      </c>
      <c r="AJ68">
        <v>18</v>
      </c>
      <c r="AK68">
        <v>18597.600000000002</v>
      </c>
      <c r="AL68">
        <v>8.3782070731650631</v>
      </c>
      <c r="AM68">
        <v>8656.363547994144</v>
      </c>
      <c r="AN68">
        <v>11.550321296725187</v>
      </c>
      <c r="AO68">
        <v>11933.791963776464</v>
      </c>
      <c r="AP68">
        <v>3.0100824872778613</v>
      </c>
      <c r="AQ68">
        <v>3110.0172258554862</v>
      </c>
      <c r="AR68">
        <v>5.996728446090632</v>
      </c>
      <c r="AS68">
        <v>6195.8198305008409</v>
      </c>
      <c r="AT68">
        <v>7.6274189850032572</v>
      </c>
      <c r="AU68">
        <v>7880.6492953053657</v>
      </c>
      <c r="AV68">
        <v>5.570847457627119</v>
      </c>
      <c r="AW68">
        <v>5755.7995932203394</v>
      </c>
      <c r="AX68">
        <v>11.832050602864287</v>
      </c>
      <c r="AY68">
        <v>12224.874682879383</v>
      </c>
      <c r="AZ68">
        <v>1.4855743705775899</v>
      </c>
      <c r="BA68">
        <v>1534.895439680766</v>
      </c>
      <c r="BB68">
        <v>1.9587719383502478</v>
      </c>
      <c r="BC68">
        <v>2023.8031667034761</v>
      </c>
      <c r="BD68">
        <v>0.27445800337095932</v>
      </c>
      <c r="BE68">
        <v>283.57000908287517</v>
      </c>
      <c r="BF68">
        <v>3.2695249421712824</v>
      </c>
      <c r="BG68">
        <v>3378.073170251369</v>
      </c>
      <c r="BH68">
        <v>0</v>
      </c>
      <c r="BI68">
        <v>0</v>
      </c>
      <c r="BJ68">
        <v>14.622456720001784</v>
      </c>
      <c r="BK68">
        <v>15107.922283105843</v>
      </c>
      <c r="BL68">
        <v>1.7152778491414973</v>
      </c>
      <c r="BM68">
        <v>1772.225073732995</v>
      </c>
      <c r="BN68">
        <v>9.0337115186042283</v>
      </c>
      <c r="BO68">
        <v>9333.6307410218888</v>
      </c>
      <c r="BP68">
        <v>10.585546632660391</v>
      </c>
      <c r="BQ68">
        <v>10936.986780864716</v>
      </c>
      <c r="BR68">
        <v>18.37817987190941</v>
      </c>
      <c r="BS68">
        <v>18988.335443656804</v>
      </c>
      <c r="BT68">
        <v>3.1535521339566799</v>
      </c>
      <c r="BU68">
        <v>3258.2500648040418</v>
      </c>
      <c r="BV68">
        <v>20.103117396634694</v>
      </c>
      <c r="BW68">
        <v>20770.540894202968</v>
      </c>
      <c r="BX68">
        <v>1.9735121046958843</v>
      </c>
      <c r="BY68">
        <v>2039.0327065717877</v>
      </c>
      <c r="BZ68">
        <v>5.3021317461253599</v>
      </c>
      <c r="CA68">
        <v>5478.1625200967219</v>
      </c>
      <c r="CB68">
        <v>6.1780915317271905</v>
      </c>
      <c r="CC68">
        <v>6383.2041705805332</v>
      </c>
      <c r="CD68">
        <v>8</v>
      </c>
      <c r="CE68">
        <v>8265.6</v>
      </c>
      <c r="CF68">
        <v>0.76684552135512285</v>
      </c>
      <c r="CG68">
        <v>792.30479266411294</v>
      </c>
      <c r="CH68">
        <v>2.135447605958356</v>
      </c>
      <c r="CI68">
        <v>2206.3444664761737</v>
      </c>
      <c r="CJ68">
        <v>0.36628086243964908</v>
      </c>
      <c r="CK68">
        <v>378.44138707264545</v>
      </c>
      <c r="CL68">
        <v>1.142830705847802</v>
      </c>
      <c r="CM68">
        <v>1180.7726852819492</v>
      </c>
      <c r="CN68">
        <v>11.108279956727335</v>
      </c>
      <c r="CO68">
        <v>11477.074851290683</v>
      </c>
      <c r="CP68">
        <v>9.0949337797072438</v>
      </c>
      <c r="CQ68">
        <v>9396.8855811935246</v>
      </c>
      <c r="CR68">
        <v>2.4477627517183231</v>
      </c>
      <c r="CS68">
        <v>2529.0284750753717</v>
      </c>
      <c r="CT68">
        <v>15.997586624252753</v>
      </c>
      <c r="CU68">
        <v>16528.706500177945</v>
      </c>
    </row>
    <row r="69" spans="2:99" x14ac:dyDescent="0.2">
      <c r="C69" s="105" t="s">
        <v>235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0.4814852362763602</v>
      </c>
      <c r="O69">
        <v>365.15840319199157</v>
      </c>
      <c r="P69">
        <v>2.0243453421106312</v>
      </c>
      <c r="Q69">
        <v>1535.2635074567027</v>
      </c>
      <c r="R69">
        <v>0.48637516411695897</v>
      </c>
      <c r="S69">
        <v>368.86692446630167</v>
      </c>
      <c r="T69">
        <v>6.932260384590351</v>
      </c>
      <c r="U69">
        <v>5257.4262756733224</v>
      </c>
      <c r="V69">
        <v>1.4554630393415355</v>
      </c>
      <c r="W69">
        <v>1103.8231690366206</v>
      </c>
      <c r="X69">
        <v>9.7130926891088745</v>
      </c>
      <c r="Y69">
        <v>7366.4094954201701</v>
      </c>
      <c r="Z69">
        <v>1.5699544763694298</v>
      </c>
      <c r="AA69">
        <v>1190.6534748785755</v>
      </c>
      <c r="AB69">
        <v>3.4624278787126861</v>
      </c>
      <c r="AC69">
        <v>2625.9053032157012</v>
      </c>
      <c r="AD69">
        <v>0.3198116313928091</v>
      </c>
      <c r="AE69">
        <v>242.54514124830641</v>
      </c>
      <c r="AF69">
        <v>1.9229690462500264</v>
      </c>
      <c r="AG69">
        <v>1458.37972467602</v>
      </c>
      <c r="AH69">
        <v>0.1918713011179638</v>
      </c>
      <c r="AI69">
        <v>145.51519476786373</v>
      </c>
      <c r="AJ69">
        <v>17</v>
      </c>
      <c r="AK69">
        <v>12892.8</v>
      </c>
      <c r="AL69">
        <v>7.9973794789302879</v>
      </c>
      <c r="AM69">
        <v>6065.2125968207301</v>
      </c>
      <c r="AN69">
        <v>10.334498002333062</v>
      </c>
      <c r="AO69">
        <v>7837.6832849693938</v>
      </c>
      <c r="AP69">
        <v>3.177309292126631</v>
      </c>
      <c r="AQ69">
        <v>2409.6713671488369</v>
      </c>
      <c r="AR69">
        <v>5.2912309818446746</v>
      </c>
      <c r="AS69">
        <v>4012.8695766310011</v>
      </c>
      <c r="AT69">
        <v>7.9906294128605548</v>
      </c>
      <c r="AU69">
        <v>6060.0933467134446</v>
      </c>
      <c r="AV69">
        <v>6.1898305084745759</v>
      </c>
      <c r="AW69">
        <v>4694.3674576271178</v>
      </c>
      <c r="AX69">
        <v>11.317613620131057</v>
      </c>
      <c r="AY69">
        <v>8583.2781695073936</v>
      </c>
      <c r="AZ69">
        <v>1.3712994189946985</v>
      </c>
      <c r="BA69">
        <v>1039.9934793655793</v>
      </c>
      <c r="BB69">
        <v>2.1368421145639065</v>
      </c>
      <c r="BC69">
        <v>1620.5810596852666</v>
      </c>
      <c r="BD69">
        <v>0.27445800337095932</v>
      </c>
      <c r="BE69">
        <v>208.14894975653556</v>
      </c>
      <c r="BF69">
        <v>3.2695249421712824</v>
      </c>
      <c r="BG69">
        <v>2479.6077161427006</v>
      </c>
      <c r="BH69">
        <v>0</v>
      </c>
      <c r="BI69">
        <v>0</v>
      </c>
      <c r="BJ69">
        <v>13.369103286858776</v>
      </c>
      <c r="BK69">
        <v>10139.127932753696</v>
      </c>
      <c r="BL69">
        <v>1.7152778491414973</v>
      </c>
      <c r="BM69">
        <v>1300.8667207889116</v>
      </c>
      <c r="BN69">
        <v>8.7375242556991726</v>
      </c>
      <c r="BO69">
        <v>6626.5383955222524</v>
      </c>
      <c r="BP69">
        <v>11.644101295926429</v>
      </c>
      <c r="BQ69">
        <v>8830.8864228306029</v>
      </c>
      <c r="BR69">
        <v>18.935094413482425</v>
      </c>
      <c r="BS69">
        <v>14360.37560318507</v>
      </c>
      <c r="BT69">
        <v>3.5381316624879826</v>
      </c>
      <c r="BU69">
        <v>2683.319052830886</v>
      </c>
      <c r="BV69">
        <v>20.103117396634694</v>
      </c>
      <c r="BW69">
        <v>15246.204233607752</v>
      </c>
      <c r="BX69">
        <v>1.9735121046958843</v>
      </c>
      <c r="BY69">
        <v>1496.7115802013586</v>
      </c>
      <c r="BZ69">
        <v>5.3021317461253599</v>
      </c>
      <c r="CA69">
        <v>4021.1367162614729</v>
      </c>
      <c r="CB69">
        <v>6.864546146363546</v>
      </c>
      <c r="CC69">
        <v>5206.0717974021127</v>
      </c>
      <c r="CD69">
        <v>7</v>
      </c>
      <c r="CE69">
        <v>5308.8</v>
      </c>
      <c r="CF69">
        <v>0.76684552135512285</v>
      </c>
      <c r="CG69">
        <v>581.57564339572514</v>
      </c>
      <c r="CH69">
        <v>2.135447605958356</v>
      </c>
      <c r="CI69">
        <v>1619.5234643588171</v>
      </c>
      <c r="CJ69">
        <v>0.36628086243964908</v>
      </c>
      <c r="CK69">
        <v>277.78740607422986</v>
      </c>
      <c r="CL69">
        <v>0.95235892153983492</v>
      </c>
      <c r="CM69">
        <v>722.26900609581082</v>
      </c>
      <c r="CN69">
        <v>10.441783159323695</v>
      </c>
      <c r="CO69">
        <v>7919.0483480310895</v>
      </c>
      <c r="CP69">
        <v>9.5179539555075809</v>
      </c>
      <c r="CQ69">
        <v>7218.4162798569496</v>
      </c>
      <c r="CR69">
        <v>2.2664469923317809</v>
      </c>
      <c r="CS69">
        <v>1718.8733989844227</v>
      </c>
      <c r="CT69">
        <v>16.353088549236144</v>
      </c>
      <c r="CU69">
        <v>12402.182355740691</v>
      </c>
    </row>
    <row r="70" spans="2:99" x14ac:dyDescent="0.2">
      <c r="C70" s="105" t="s">
        <v>236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0.4814852362763602</v>
      </c>
      <c r="O70">
        <v>257.69089845510797</v>
      </c>
      <c r="P70">
        <v>2.0243453421106312</v>
      </c>
      <c r="Q70">
        <v>1083.4296270976097</v>
      </c>
      <c r="R70">
        <v>0.48637516411695897</v>
      </c>
      <c r="S70">
        <v>260.30798783539643</v>
      </c>
      <c r="T70">
        <v>6.932260384590351</v>
      </c>
      <c r="U70">
        <v>3710.1457578327554</v>
      </c>
      <c r="V70">
        <v>1.7465556472098425</v>
      </c>
      <c r="W70">
        <v>934.75658238670758</v>
      </c>
      <c r="X70">
        <v>9.7130926891088745</v>
      </c>
      <c r="Y70">
        <v>5198.4472072110693</v>
      </c>
      <c r="Z70">
        <v>1.4391249366719776</v>
      </c>
      <c r="AA70">
        <v>770.21966610684228</v>
      </c>
      <c r="AB70">
        <v>3.4624278787126861</v>
      </c>
      <c r="AC70">
        <v>1853.0914006870294</v>
      </c>
      <c r="AD70">
        <v>0.35179279453209</v>
      </c>
      <c r="AE70">
        <v>188.27950363357454</v>
      </c>
      <c r="AF70">
        <v>1.9229690462500264</v>
      </c>
      <c r="AG70">
        <v>1029.173033553014</v>
      </c>
      <c r="AH70">
        <v>0.21585521375770925</v>
      </c>
      <c r="AI70">
        <v>115.52571040312597</v>
      </c>
      <c r="AJ70">
        <v>17</v>
      </c>
      <c r="AK70">
        <v>9098.4</v>
      </c>
      <c r="AL70">
        <v>8.3782070731650631</v>
      </c>
      <c r="AM70">
        <v>4484.0164255579411</v>
      </c>
      <c r="AN70">
        <v>10.334498002333062</v>
      </c>
      <c r="AO70">
        <v>5531.023330848654</v>
      </c>
      <c r="AP70">
        <v>3.177309292126631</v>
      </c>
      <c r="AQ70">
        <v>1700.4959331461728</v>
      </c>
      <c r="AR70">
        <v>5.2912309818446746</v>
      </c>
      <c r="AS70">
        <v>2831.8668214832696</v>
      </c>
      <c r="AT70">
        <v>6.9009981292886611</v>
      </c>
      <c r="AU70">
        <v>3693.4141987952908</v>
      </c>
      <c r="AV70">
        <v>5.880338983050847</v>
      </c>
      <c r="AW70">
        <v>3147.1574237288128</v>
      </c>
      <c r="AX70">
        <v>12.346487585597517</v>
      </c>
      <c r="AY70">
        <v>6607.8401558117903</v>
      </c>
      <c r="AZ70">
        <v>1.3712994189946985</v>
      </c>
      <c r="BA70">
        <v>733.91944904596255</v>
      </c>
      <c r="BB70">
        <v>2.3149122907775657</v>
      </c>
      <c r="BC70">
        <v>1238.9410580241529</v>
      </c>
      <c r="BD70">
        <v>0.30190380370805531</v>
      </c>
      <c r="BE70">
        <v>161.57891574455118</v>
      </c>
      <c r="BF70">
        <v>3.0180230235427223</v>
      </c>
      <c r="BG70">
        <v>1615.2459222000648</v>
      </c>
      <c r="BH70">
        <v>0</v>
      </c>
      <c r="BI70">
        <v>0</v>
      </c>
      <c r="BJ70">
        <v>14.831348958858953</v>
      </c>
      <c r="BK70">
        <v>7937.7379627813107</v>
      </c>
      <c r="BL70">
        <v>1.9968906303438325</v>
      </c>
      <c r="BM70">
        <v>1068.735865360019</v>
      </c>
      <c r="BN70">
        <v>9.0337115186042283</v>
      </c>
      <c r="BO70">
        <v>4834.8424047569824</v>
      </c>
      <c r="BP70">
        <v>13.055507513614479</v>
      </c>
      <c r="BQ70">
        <v>6987.307621286468</v>
      </c>
      <c r="BR70">
        <v>18.37817987190941</v>
      </c>
      <c r="BS70">
        <v>9836.0018674459152</v>
      </c>
      <c r="BT70">
        <v>3.6150475681942429</v>
      </c>
      <c r="BU70">
        <v>1934.7734584975585</v>
      </c>
      <c r="BV70">
        <v>22.182750230769322</v>
      </c>
      <c r="BW70">
        <v>11872.20792350774</v>
      </c>
      <c r="BX70">
        <v>1.794101913359895</v>
      </c>
      <c r="BY70">
        <v>960.2033440302157</v>
      </c>
      <c r="BZ70">
        <v>4.6393652778596906</v>
      </c>
      <c r="CA70">
        <v>2482.9882967105059</v>
      </c>
      <c r="CB70">
        <v>6.864546146363546</v>
      </c>
      <c r="CC70">
        <v>3673.9050975337695</v>
      </c>
      <c r="CD70">
        <v>7</v>
      </c>
      <c r="CE70">
        <v>3746.3999999999996</v>
      </c>
      <c r="CF70">
        <v>0.89465310824764332</v>
      </c>
      <c r="CG70">
        <v>478.81834353413865</v>
      </c>
      <c r="CH70">
        <v>2.440511549666692</v>
      </c>
      <c r="CI70">
        <v>1306.1617813816133</v>
      </c>
      <c r="CJ70">
        <v>0.36628086243964908</v>
      </c>
      <c r="CK70">
        <v>196.03351757770017</v>
      </c>
      <c r="CL70">
        <v>1.142830705847802</v>
      </c>
      <c r="CM70">
        <v>611.6429937697435</v>
      </c>
      <c r="CN70">
        <v>11.996942353265522</v>
      </c>
      <c r="CO70">
        <v>6420.7635474677072</v>
      </c>
      <c r="CP70">
        <v>9.7294640434077504</v>
      </c>
      <c r="CQ70">
        <v>5207.2091560318277</v>
      </c>
      <c r="CR70">
        <v>2.3571048720250518</v>
      </c>
      <c r="CS70">
        <v>1261.5225275078076</v>
      </c>
      <c r="CT70">
        <v>15.642084699269358</v>
      </c>
      <c r="CU70">
        <v>8371.64373104896</v>
      </c>
    </row>
    <row r="71" spans="2:99" x14ac:dyDescent="0.2">
      <c r="B71" s="105" t="s">
        <v>130</v>
      </c>
      <c r="C71" s="105" t="s">
        <v>237</v>
      </c>
      <c r="D71">
        <v>31</v>
      </c>
      <c r="E71">
        <v>17484</v>
      </c>
      <c r="F71">
        <v>27</v>
      </c>
      <c r="G71">
        <v>15228</v>
      </c>
      <c r="H71">
        <v>28</v>
      </c>
      <c r="I71">
        <v>15792</v>
      </c>
      <c r="J71">
        <v>24</v>
      </c>
      <c r="K71">
        <v>13536</v>
      </c>
      <c r="L71">
        <v>11.814237129961487</v>
      </c>
      <c r="M71">
        <v>6663.2297412982789</v>
      </c>
      <c r="N71">
        <v>5.3076309252618428</v>
      </c>
      <c r="O71">
        <v>2993.5038418476793</v>
      </c>
      <c r="P71">
        <v>4.2689900476815801</v>
      </c>
      <c r="Q71">
        <v>2407.710386892411</v>
      </c>
      <c r="R71">
        <v>5.4414004851668141</v>
      </c>
      <c r="S71">
        <v>3068.9498736340834</v>
      </c>
      <c r="T71">
        <v>4.5993541016227679</v>
      </c>
      <c r="U71">
        <v>2594.0357133152411</v>
      </c>
      <c r="V71">
        <v>5.8174033870101534</v>
      </c>
      <c r="W71">
        <v>3281.0155102737267</v>
      </c>
      <c r="X71">
        <v>4.0929942058521185</v>
      </c>
      <c r="Y71">
        <v>2308.448732100595</v>
      </c>
      <c r="Z71">
        <v>5.585969617545012</v>
      </c>
      <c r="AA71">
        <v>3150.4868642953866</v>
      </c>
      <c r="AB71">
        <v>6.4096571053262474</v>
      </c>
      <c r="AC71">
        <v>3615.0466074040037</v>
      </c>
      <c r="AD71">
        <v>5.8727018982935197</v>
      </c>
      <c r="AE71">
        <v>3312.2038706375452</v>
      </c>
      <c r="AF71">
        <v>5.0153852580513201</v>
      </c>
      <c r="AG71">
        <v>2828.6772855409445</v>
      </c>
      <c r="AH71">
        <v>6.6534606919614792</v>
      </c>
      <c r="AI71">
        <v>3752.5518302662745</v>
      </c>
      <c r="AJ71">
        <v>7.9896544604122228</v>
      </c>
      <c r="AK71">
        <v>4506.1651156724938</v>
      </c>
      <c r="AL71">
        <v>6.9727700390694771</v>
      </c>
      <c r="AM71">
        <v>3932.6423020351849</v>
      </c>
      <c r="AN71">
        <v>8.4652349734744146</v>
      </c>
      <c r="AO71">
        <v>4774.3925250395696</v>
      </c>
      <c r="AP71">
        <v>5.4414004851668141</v>
      </c>
      <c r="AQ71">
        <v>3068.9498736340834</v>
      </c>
      <c r="AR71">
        <v>5.3789274600787902</v>
      </c>
      <c r="AS71">
        <v>3033.7150874844378</v>
      </c>
      <c r="AT71">
        <v>0</v>
      </c>
      <c r="AU71">
        <v>0</v>
      </c>
      <c r="AV71">
        <v>10.021220433097781</v>
      </c>
      <c r="AW71">
        <v>5651.968324267149</v>
      </c>
      <c r="AX71">
        <v>4.991525482344584</v>
      </c>
      <c r="AY71">
        <v>2815.2203720423454</v>
      </c>
      <c r="AZ71">
        <v>4.1488953826039445</v>
      </c>
      <c r="BA71">
        <v>2339.9769957886247</v>
      </c>
      <c r="BB71">
        <v>4.1297342225967801</v>
      </c>
      <c r="BC71">
        <v>2329.1701015445842</v>
      </c>
      <c r="BD71">
        <v>3.8613014981279892</v>
      </c>
      <c r="BE71">
        <v>2177.7740449441858</v>
      </c>
      <c r="BF71">
        <v>4.103798693662597</v>
      </c>
      <c r="BG71">
        <v>2314.5424632257045</v>
      </c>
      <c r="BH71">
        <v>6.1604810226543414</v>
      </c>
      <c r="BI71">
        <v>3474.5112967770488</v>
      </c>
      <c r="BJ71">
        <v>6.3388733302601619</v>
      </c>
      <c r="BK71">
        <v>3575.1245582667311</v>
      </c>
      <c r="BL71">
        <v>7.2865005034382557</v>
      </c>
      <c r="BM71">
        <v>4109.5862839391766</v>
      </c>
      <c r="BN71">
        <v>0</v>
      </c>
      <c r="BO71">
        <v>0</v>
      </c>
      <c r="BP71">
        <v>8.1077196811086392</v>
      </c>
      <c r="BQ71">
        <v>4572.7539001452724</v>
      </c>
      <c r="BR71">
        <v>4.7477391340005264</v>
      </c>
      <c r="BS71">
        <v>2677.7248715762967</v>
      </c>
      <c r="BT71">
        <v>5.9003875611481913</v>
      </c>
      <c r="BU71">
        <v>3327.8185844875798</v>
      </c>
      <c r="BV71">
        <v>4.2818839112530407</v>
      </c>
      <c r="BW71">
        <v>2414.9825259467148</v>
      </c>
      <c r="BX71">
        <v>3.6600014200265303</v>
      </c>
      <c r="BY71">
        <v>2064.2408008949633</v>
      </c>
      <c r="BZ71">
        <v>3.8914603155736853</v>
      </c>
      <c r="CA71">
        <v>2194.7836179835585</v>
      </c>
      <c r="CB71">
        <v>3.2120155064641618</v>
      </c>
      <c r="CC71">
        <v>1811.5767456457872</v>
      </c>
      <c r="CD71">
        <v>2.2287454534649291</v>
      </c>
      <c r="CE71">
        <v>1257.01243575422</v>
      </c>
      <c r="CF71">
        <v>2.3166917953462032</v>
      </c>
      <c r="CG71">
        <v>1306.6141725752586</v>
      </c>
      <c r="CH71">
        <v>1.1938323472473011</v>
      </c>
      <c r="CI71">
        <v>673.32144384747789</v>
      </c>
      <c r="CJ71">
        <v>1.6854887491828525</v>
      </c>
      <c r="CK71">
        <v>950.61565453912885</v>
      </c>
      <c r="CL71">
        <v>2.2925454187358714</v>
      </c>
      <c r="CM71">
        <v>1292.9956161670314</v>
      </c>
      <c r="CN71">
        <v>0</v>
      </c>
      <c r="CO71">
        <v>0</v>
      </c>
      <c r="CP71">
        <v>11.071832252696742</v>
      </c>
      <c r="CQ71">
        <v>6244.5133905209623</v>
      </c>
      <c r="CR71">
        <v>4.3287350670632918</v>
      </c>
      <c r="CS71">
        <v>2441.4065778236964</v>
      </c>
      <c r="CT71">
        <v>5.2268040583796811</v>
      </c>
      <c r="CU71">
        <v>2947.9174889261403</v>
      </c>
    </row>
    <row r="72" spans="2:99" x14ac:dyDescent="0.2">
      <c r="C72" s="105" t="s">
        <v>238</v>
      </c>
      <c r="D72">
        <v>34</v>
      </c>
      <c r="E72">
        <v>2529.6</v>
      </c>
      <c r="F72">
        <v>26</v>
      </c>
      <c r="G72">
        <v>1934.3999999999999</v>
      </c>
      <c r="H72">
        <v>31</v>
      </c>
      <c r="I72">
        <v>2306.3999999999996</v>
      </c>
      <c r="J72">
        <v>26</v>
      </c>
      <c r="K72">
        <v>1934.3999999999999</v>
      </c>
      <c r="L72">
        <v>12.723024601496986</v>
      </c>
      <c r="M72">
        <v>946.59303035137566</v>
      </c>
      <c r="N72">
        <v>4.8653283481566891</v>
      </c>
      <c r="O72">
        <v>361.98042910285761</v>
      </c>
      <c r="P72">
        <v>4.6958890524497381</v>
      </c>
      <c r="Q72">
        <v>349.37414550226049</v>
      </c>
      <c r="R72">
        <v>6.2785390213463232</v>
      </c>
      <c r="S72">
        <v>467.1233031881664</v>
      </c>
      <c r="T72">
        <v>4.5993541016227679</v>
      </c>
      <c r="U72">
        <v>342.19194516073389</v>
      </c>
      <c r="V72">
        <v>5.1710252328979136</v>
      </c>
      <c r="W72">
        <v>384.72427732760474</v>
      </c>
      <c r="X72">
        <v>4.0929942058521185</v>
      </c>
      <c r="Y72">
        <v>304.51876891539757</v>
      </c>
      <c r="Z72">
        <v>5.8963012629641796</v>
      </c>
      <c r="AA72">
        <v>438.6848139645349</v>
      </c>
      <c r="AB72">
        <v>6.2028939728963683</v>
      </c>
      <c r="AC72">
        <v>461.49531158348975</v>
      </c>
      <c r="AD72">
        <v>5.4376869428643708</v>
      </c>
      <c r="AE72">
        <v>404.56390854910916</v>
      </c>
      <c r="AF72">
        <v>5.4515057152731741</v>
      </c>
      <c r="AG72">
        <v>405.59202521632409</v>
      </c>
      <c r="AH72">
        <v>6.4240310129283236</v>
      </c>
      <c r="AI72">
        <v>477.94790736186724</v>
      </c>
      <c r="AJ72">
        <v>8.8652330314163024</v>
      </c>
      <c r="AK72">
        <v>659.57333753737282</v>
      </c>
      <c r="AL72">
        <v>8.1175531798122265</v>
      </c>
      <c r="AM72">
        <v>603.94595657802961</v>
      </c>
      <c r="AN72">
        <v>7.8056062742426437</v>
      </c>
      <c r="AO72">
        <v>580.73710680365264</v>
      </c>
      <c r="AP72">
        <v>6.6971082894360787</v>
      </c>
      <c r="AQ72">
        <v>498.2648567340442</v>
      </c>
      <c r="AR72">
        <v>5.891206265800581</v>
      </c>
      <c r="AS72">
        <v>438.30574617556317</v>
      </c>
      <c r="AT72">
        <v>0</v>
      </c>
      <c r="AU72">
        <v>0</v>
      </c>
      <c r="AV72">
        <v>11.524403498062451</v>
      </c>
      <c r="AW72">
        <v>857.41562025584631</v>
      </c>
      <c r="AX72">
        <v>5.2292171719800411</v>
      </c>
      <c r="AY72">
        <v>389.05375759531501</v>
      </c>
      <c r="AZ72">
        <v>4.5260676901133943</v>
      </c>
      <c r="BA72">
        <v>336.73943614443647</v>
      </c>
      <c r="BB72">
        <v>4.1297342225967801</v>
      </c>
      <c r="BC72">
        <v>307.25222616120038</v>
      </c>
      <c r="BD72">
        <v>4.7193684977119865</v>
      </c>
      <c r="BE72">
        <v>351.12101622977178</v>
      </c>
      <c r="BF72">
        <v>4.103798693662597</v>
      </c>
      <c r="BG72">
        <v>305.32262280849716</v>
      </c>
      <c r="BH72">
        <v>6.7105239711056219</v>
      </c>
      <c r="BI72">
        <v>499.26298345025822</v>
      </c>
      <c r="BJ72">
        <v>5.8750533304850281</v>
      </c>
      <c r="BK72">
        <v>437.10396778808604</v>
      </c>
      <c r="BL72">
        <v>8.591545369725706</v>
      </c>
      <c r="BM72">
        <v>639.21097550759248</v>
      </c>
      <c r="BN72">
        <v>0</v>
      </c>
      <c r="BO72">
        <v>0</v>
      </c>
      <c r="BP72">
        <v>8.3534081562937494</v>
      </c>
      <c r="BQ72">
        <v>621.49356682825487</v>
      </c>
      <c r="BR72">
        <v>4.979336164927382</v>
      </c>
      <c r="BS72">
        <v>370.4626106705972</v>
      </c>
      <c r="BT72">
        <v>5.5237670785217112</v>
      </c>
      <c r="BU72">
        <v>410.96827064201528</v>
      </c>
      <c r="BV72">
        <v>4.3945650668123317</v>
      </c>
      <c r="BW72">
        <v>326.95564097083746</v>
      </c>
      <c r="BX72">
        <v>3.2533345955791382</v>
      </c>
      <c r="BY72">
        <v>242.04809391108785</v>
      </c>
      <c r="BZ72">
        <v>4.2806063471310543</v>
      </c>
      <c r="CA72">
        <v>318.47711222655039</v>
      </c>
      <c r="CB72">
        <v>3.6708748645304707</v>
      </c>
      <c r="CC72">
        <v>273.113089921067</v>
      </c>
      <c r="CD72">
        <v>2.600203029042417</v>
      </c>
      <c r="CE72">
        <v>193.45510536075579</v>
      </c>
      <c r="CF72">
        <v>1.9602776729852489</v>
      </c>
      <c r="CG72">
        <v>145.84465887010251</v>
      </c>
      <c r="CH72">
        <v>1.3430613906532138</v>
      </c>
      <c r="CI72">
        <v>99.923767464599095</v>
      </c>
      <c r="CJ72">
        <v>1.8387149991085663</v>
      </c>
      <c r="CK72">
        <v>136.80039593367732</v>
      </c>
      <c r="CL72">
        <v>1.9650389303450326</v>
      </c>
      <c r="CM72">
        <v>146.1988964176704</v>
      </c>
      <c r="CN72">
        <v>0</v>
      </c>
      <c r="CO72">
        <v>0</v>
      </c>
      <c r="CP72">
        <v>10.17411612409971</v>
      </c>
      <c r="CQ72">
        <v>756.95423963301835</v>
      </c>
      <c r="CR72">
        <v>4.7476449122629649</v>
      </c>
      <c r="CS72">
        <v>353.22478147236455</v>
      </c>
      <c r="CT72">
        <v>5.2268040583796811</v>
      </c>
      <c r="CU72">
        <v>388.87422194344822</v>
      </c>
    </row>
    <row r="73" spans="2:99" x14ac:dyDescent="0.2">
      <c r="C73" s="105" t="s">
        <v>239</v>
      </c>
      <c r="D73">
        <v>34</v>
      </c>
      <c r="E73">
        <v>19012.8</v>
      </c>
      <c r="F73">
        <v>26</v>
      </c>
      <c r="G73">
        <v>14539.199999999999</v>
      </c>
      <c r="H73">
        <v>29</v>
      </c>
      <c r="I73">
        <v>16216.799999999997</v>
      </c>
      <c r="J73">
        <v>25</v>
      </c>
      <c r="K73">
        <v>13979.999999999998</v>
      </c>
      <c r="L73">
        <v>10.905449658425988</v>
      </c>
      <c r="M73">
        <v>6098.3274489918122</v>
      </c>
      <c r="N73">
        <v>5.3076309252618428</v>
      </c>
      <c r="O73">
        <v>2968.0272134064221</v>
      </c>
      <c r="P73">
        <v>4.2689900476815801</v>
      </c>
      <c r="Q73">
        <v>2387.2192346635393</v>
      </c>
      <c r="R73">
        <v>5.4414004851668141</v>
      </c>
      <c r="S73">
        <v>3042.8311513052822</v>
      </c>
      <c r="T73">
        <v>5.1742733643256136</v>
      </c>
      <c r="U73">
        <v>2893.4536653308828</v>
      </c>
      <c r="V73">
        <v>5.1710252328979136</v>
      </c>
      <c r="W73">
        <v>2891.6373102365128</v>
      </c>
      <c r="X73">
        <v>3.8006374768626809</v>
      </c>
      <c r="Y73">
        <v>2125.3164770616108</v>
      </c>
      <c r="Z73">
        <v>5.585969617545012</v>
      </c>
      <c r="AA73">
        <v>3123.6742101311702</v>
      </c>
      <c r="AB73">
        <v>5.7893677080366102</v>
      </c>
      <c r="AC73">
        <v>3237.4144223340718</v>
      </c>
      <c r="AD73">
        <v>5.8727018982935197</v>
      </c>
      <c r="AE73">
        <v>3284.0149015257357</v>
      </c>
      <c r="AF73">
        <v>5.4515057152731741</v>
      </c>
      <c r="AG73">
        <v>3048.4819959807587</v>
      </c>
      <c r="AH73">
        <v>6.882890370994633</v>
      </c>
      <c r="AI73">
        <v>3848.9122954601985</v>
      </c>
      <c r="AJ73">
        <v>7.442417853534673</v>
      </c>
      <c r="AK73">
        <v>4161.8000636965889</v>
      </c>
      <c r="AL73">
        <v>6.6605564552305454</v>
      </c>
      <c r="AM73">
        <v>3724.5831697649205</v>
      </c>
      <c r="AN73">
        <v>7.1459775750108712</v>
      </c>
      <c r="AO73">
        <v>3996.0306599460787</v>
      </c>
      <c r="AP73">
        <v>5.9994928426198202</v>
      </c>
      <c r="AQ73">
        <v>3354.9163975930032</v>
      </c>
      <c r="AR73">
        <v>5.6350668629396861</v>
      </c>
      <c r="AS73">
        <v>3151.1293897558721</v>
      </c>
      <c r="AT73">
        <v>0</v>
      </c>
      <c r="AU73">
        <v>0</v>
      </c>
      <c r="AV73">
        <v>10.522281454752671</v>
      </c>
      <c r="AW73">
        <v>5884.0597894976927</v>
      </c>
      <c r="AX73">
        <v>5.2292171719800411</v>
      </c>
      <c r="AY73">
        <v>2924.1782425712386</v>
      </c>
      <c r="AZ73">
        <v>4.1488953826039445</v>
      </c>
      <c r="BA73">
        <v>2320.0622979521254</v>
      </c>
      <c r="BB73">
        <v>4.1297342225967801</v>
      </c>
      <c r="BC73">
        <v>2309.347377276119</v>
      </c>
      <c r="BD73">
        <v>4.2903349979199881</v>
      </c>
      <c r="BE73">
        <v>2399.155330836857</v>
      </c>
      <c r="BF73">
        <v>4.103798693662597</v>
      </c>
      <c r="BG73">
        <v>2294.8442294961242</v>
      </c>
      <c r="BH73">
        <v>6.380498202034854</v>
      </c>
      <c r="BI73">
        <v>3567.97459457789</v>
      </c>
      <c r="BJ73">
        <v>6.3388733302601619</v>
      </c>
      <c r="BK73">
        <v>3544.697966281482</v>
      </c>
      <c r="BL73">
        <v>7.0689930257236817</v>
      </c>
      <c r="BM73">
        <v>3952.9808999846823</v>
      </c>
      <c r="BN73">
        <v>0</v>
      </c>
      <c r="BO73">
        <v>0</v>
      </c>
      <c r="BP73">
        <v>8.3534081562937494</v>
      </c>
      <c r="BQ73">
        <v>4671.2258409994638</v>
      </c>
      <c r="BR73">
        <v>4.4003435876102444</v>
      </c>
      <c r="BS73">
        <v>2460.6721341916482</v>
      </c>
      <c r="BT73">
        <v>5.1471465958952303</v>
      </c>
      <c r="BU73">
        <v>2878.2843764246122</v>
      </c>
      <c r="BV73">
        <v>4.0565216001344604</v>
      </c>
      <c r="BW73">
        <v>2268.4068787951901</v>
      </c>
      <c r="BX73">
        <v>3.2533345955791382</v>
      </c>
      <c r="BY73">
        <v>1819.2647058478537</v>
      </c>
      <c r="BZ73">
        <v>4.2806063471310543</v>
      </c>
      <c r="CA73">
        <v>2393.7150693156855</v>
      </c>
      <c r="CB73">
        <v>3.6708748645304707</v>
      </c>
      <c r="CC73">
        <v>2052.753224245439</v>
      </c>
      <c r="CD73">
        <v>2.600203029042417</v>
      </c>
      <c r="CE73">
        <v>1454.0335338405193</v>
      </c>
      <c r="CF73">
        <v>1.9602776729852489</v>
      </c>
      <c r="CG73">
        <v>1096.1872747333512</v>
      </c>
      <c r="CH73">
        <v>1.1938323472473011</v>
      </c>
      <c r="CI73">
        <v>667.59104858069077</v>
      </c>
      <c r="CJ73">
        <v>1.8387149991085663</v>
      </c>
      <c r="CK73">
        <v>1028.2094275015102</v>
      </c>
      <c r="CL73">
        <v>1.9650389303450326</v>
      </c>
      <c r="CM73">
        <v>1098.8497698489421</v>
      </c>
      <c r="CN73">
        <v>0</v>
      </c>
      <c r="CO73">
        <v>0</v>
      </c>
      <c r="CP73">
        <v>11.071832252696742</v>
      </c>
      <c r="CQ73">
        <v>6191.3685957080179</v>
      </c>
      <c r="CR73">
        <v>4.8872815273295229</v>
      </c>
      <c r="CS73">
        <v>2732.967830082669</v>
      </c>
      <c r="CT73">
        <v>5.2268040583796811</v>
      </c>
      <c r="CU73">
        <v>2922.8288294459171</v>
      </c>
    </row>
    <row r="74" spans="2:99" x14ac:dyDescent="0.2">
      <c r="C74" s="105" t="s">
        <v>240</v>
      </c>
      <c r="D74">
        <v>29</v>
      </c>
      <c r="E74">
        <v>11692.8</v>
      </c>
      <c r="F74">
        <v>26</v>
      </c>
      <c r="G74">
        <v>10483.199999999999</v>
      </c>
      <c r="H74">
        <v>29</v>
      </c>
      <c r="I74">
        <v>11692.8</v>
      </c>
      <c r="J74">
        <v>25</v>
      </c>
      <c r="K74">
        <v>10080</v>
      </c>
      <c r="L74">
        <v>11.814237129961487</v>
      </c>
      <c r="M74">
        <v>4763.5004108004714</v>
      </c>
      <c r="N74">
        <v>5.3076309252618428</v>
      </c>
      <c r="O74">
        <v>2140.0367890655748</v>
      </c>
      <c r="P74">
        <v>4.2689900476815801</v>
      </c>
      <c r="Q74">
        <v>1721.256787225213</v>
      </c>
      <c r="R74">
        <v>5.4414004851668141</v>
      </c>
      <c r="S74">
        <v>2193.9726756192595</v>
      </c>
      <c r="T74">
        <v>5.1742733643256136</v>
      </c>
      <c r="U74">
        <v>2086.2670204960873</v>
      </c>
      <c r="V74">
        <v>5.4942143099540335</v>
      </c>
      <c r="W74">
        <v>2215.2672097734662</v>
      </c>
      <c r="X74">
        <v>4.0929942058521185</v>
      </c>
      <c r="Y74">
        <v>1650.2952637995741</v>
      </c>
      <c r="Z74">
        <v>5.585969617545012</v>
      </c>
      <c r="AA74">
        <v>2252.2629497941489</v>
      </c>
      <c r="AB74">
        <v>6.2028939728963683</v>
      </c>
      <c r="AC74">
        <v>2501.0068498718156</v>
      </c>
      <c r="AD74">
        <v>5.6551944205789457</v>
      </c>
      <c r="AE74">
        <v>2280.1743903774309</v>
      </c>
      <c r="AF74">
        <v>5.0153852580513201</v>
      </c>
      <c r="AG74">
        <v>2022.2033360462922</v>
      </c>
      <c r="AH74">
        <v>6.1946013338951698</v>
      </c>
      <c r="AI74">
        <v>2497.6632578265326</v>
      </c>
      <c r="AJ74">
        <v>8.5368910672897726</v>
      </c>
      <c r="AK74">
        <v>3442.0744783312362</v>
      </c>
      <c r="AL74">
        <v>7.7012684013603181</v>
      </c>
      <c r="AM74">
        <v>3105.15141942848</v>
      </c>
      <c r="AN74">
        <v>7.6956681577040138</v>
      </c>
      <c r="AO74">
        <v>3102.8934011862584</v>
      </c>
      <c r="AP74">
        <v>5.9994928426198202</v>
      </c>
      <c r="AQ74">
        <v>2418.9955141443115</v>
      </c>
      <c r="AR74">
        <v>6.4034850715223701</v>
      </c>
      <c r="AS74">
        <v>2581.8851808378195</v>
      </c>
      <c r="AT74">
        <v>0</v>
      </c>
      <c r="AU74">
        <v>0</v>
      </c>
      <c r="AV74">
        <v>10.522281454752671</v>
      </c>
      <c r="AW74">
        <v>4242.5838825562769</v>
      </c>
      <c r="AX74">
        <v>4.7538337927091279</v>
      </c>
      <c r="AY74">
        <v>1916.7457852203204</v>
      </c>
      <c r="AZ74">
        <v>4.1488953826039445</v>
      </c>
      <c r="BA74">
        <v>1672.8346182659104</v>
      </c>
      <c r="BB74">
        <v>4.1297342225967801</v>
      </c>
      <c r="BC74">
        <v>1665.1088385510218</v>
      </c>
      <c r="BD74">
        <v>4.2903349979199881</v>
      </c>
      <c r="BE74">
        <v>1729.8630711613391</v>
      </c>
      <c r="BF74">
        <v>4.103798693662597</v>
      </c>
      <c r="BG74">
        <v>1654.6516332847591</v>
      </c>
      <c r="BH74">
        <v>6.1604810226543414</v>
      </c>
      <c r="BI74">
        <v>2483.9059483342303</v>
      </c>
      <c r="BJ74">
        <v>5.5658399973016062</v>
      </c>
      <c r="BK74">
        <v>2244.1466869120077</v>
      </c>
      <c r="BL74">
        <v>7.1777467645809683</v>
      </c>
      <c r="BM74">
        <v>2894.0674954790461</v>
      </c>
      <c r="BN74">
        <v>0</v>
      </c>
      <c r="BO74">
        <v>0</v>
      </c>
      <c r="BP74">
        <v>8.5990966314788597</v>
      </c>
      <c r="BQ74">
        <v>3467.1557618122761</v>
      </c>
      <c r="BR74">
        <v>4.8635376494639537</v>
      </c>
      <c r="BS74">
        <v>1960.978380263866</v>
      </c>
      <c r="BT74">
        <v>5.3982269176462179</v>
      </c>
      <c r="BU74">
        <v>2176.5650931949549</v>
      </c>
      <c r="BV74">
        <v>4.2818839112530407</v>
      </c>
      <c r="BW74">
        <v>1726.455593017226</v>
      </c>
      <c r="BX74">
        <v>3.2533345955791382</v>
      </c>
      <c r="BY74">
        <v>1311.7445089375085</v>
      </c>
      <c r="BZ74">
        <v>4.2806063471310543</v>
      </c>
      <c r="CA74">
        <v>1725.940479163241</v>
      </c>
      <c r="CB74">
        <v>3.2120155064641618</v>
      </c>
      <c r="CC74">
        <v>1295.08465220635</v>
      </c>
      <c r="CD74">
        <v>2.2287454534649291</v>
      </c>
      <c r="CE74">
        <v>898.63016683705939</v>
      </c>
      <c r="CF74">
        <v>2.138484734165726</v>
      </c>
      <c r="CG74">
        <v>862.23704481562072</v>
      </c>
      <c r="CH74">
        <v>1.0446033038413884</v>
      </c>
      <c r="CI74">
        <v>421.18405210884782</v>
      </c>
      <c r="CJ74">
        <v>1.6854887491828525</v>
      </c>
      <c r="CK74">
        <v>679.58906367052612</v>
      </c>
      <c r="CL74">
        <v>1.9650389303450326</v>
      </c>
      <c r="CM74">
        <v>792.3036967151171</v>
      </c>
      <c r="CN74">
        <v>0</v>
      </c>
      <c r="CO74">
        <v>0</v>
      </c>
      <c r="CP74">
        <v>9.8748774145673668</v>
      </c>
      <c r="CQ74">
        <v>3981.5505735535621</v>
      </c>
      <c r="CR74">
        <v>4.4683716821298489</v>
      </c>
      <c r="CS74">
        <v>1801.647462234755</v>
      </c>
      <c r="CT74">
        <v>4.9364260551363648</v>
      </c>
      <c r="CU74">
        <v>1990.3669854309821</v>
      </c>
    </row>
    <row r="75" spans="2:99" x14ac:dyDescent="0.2">
      <c r="C75" s="105" t="s">
        <v>241</v>
      </c>
      <c r="D75">
        <v>32</v>
      </c>
      <c r="E75">
        <v>20582.399999999998</v>
      </c>
      <c r="F75">
        <v>26</v>
      </c>
      <c r="G75">
        <v>16723.199999999997</v>
      </c>
      <c r="H75">
        <v>33</v>
      </c>
      <c r="I75">
        <v>21225.599999999999</v>
      </c>
      <c r="J75">
        <v>25</v>
      </c>
      <c r="K75">
        <v>16079.999999999998</v>
      </c>
      <c r="L75">
        <v>11.814237129961487</v>
      </c>
      <c r="M75">
        <v>7598.9173219912282</v>
      </c>
      <c r="N75">
        <v>5.3076309252618428</v>
      </c>
      <c r="O75">
        <v>3413.868211128417</v>
      </c>
      <c r="P75">
        <v>4.6958890524497381</v>
      </c>
      <c r="Q75">
        <v>3020.3958385356714</v>
      </c>
      <c r="R75">
        <v>5.8599697532565695</v>
      </c>
      <c r="S75">
        <v>3769.1325452946253</v>
      </c>
      <c r="T75">
        <v>5.1742733643256136</v>
      </c>
      <c r="U75">
        <v>3328.0926279342343</v>
      </c>
      <c r="V75">
        <v>5.4942143099540335</v>
      </c>
      <c r="W75">
        <v>3533.8786441624338</v>
      </c>
      <c r="X75">
        <v>4.0929942058521185</v>
      </c>
      <c r="Y75">
        <v>2632.6138732040822</v>
      </c>
      <c r="Z75">
        <v>4.6549746812875092</v>
      </c>
      <c r="AA75">
        <v>2994.0797150041258</v>
      </c>
      <c r="AB75">
        <v>5.3758414431768529</v>
      </c>
      <c r="AC75">
        <v>3457.7412162513515</v>
      </c>
      <c r="AD75">
        <v>5.002671987435221</v>
      </c>
      <c r="AE75">
        <v>3217.7186223183339</v>
      </c>
      <c r="AF75">
        <v>4.5792648008294661</v>
      </c>
      <c r="AG75">
        <v>2945.3831198935122</v>
      </c>
      <c r="AH75">
        <v>6.4240310129283236</v>
      </c>
      <c r="AI75">
        <v>4131.9367475154977</v>
      </c>
      <c r="AJ75">
        <v>7.1140758894081433</v>
      </c>
      <c r="AK75">
        <v>4575.7736120673171</v>
      </c>
      <c r="AL75">
        <v>7.3890548175213864</v>
      </c>
      <c r="AM75">
        <v>4752.640058629755</v>
      </c>
      <c r="AN75">
        <v>7.1459775750108712</v>
      </c>
      <c r="AO75">
        <v>4596.2927762469917</v>
      </c>
      <c r="AP75">
        <v>5.4414004851668141</v>
      </c>
      <c r="AQ75">
        <v>3499.9087920592942</v>
      </c>
      <c r="AR75">
        <v>5.3789274600787902</v>
      </c>
      <c r="AS75">
        <v>3459.7261423226773</v>
      </c>
      <c r="AT75">
        <v>0</v>
      </c>
      <c r="AU75">
        <v>0</v>
      </c>
      <c r="AV75">
        <v>10.021220433097781</v>
      </c>
      <c r="AW75">
        <v>6445.6489825684921</v>
      </c>
      <c r="AX75">
        <v>4.5161421030736717</v>
      </c>
      <c r="AY75">
        <v>2904.7826006969854</v>
      </c>
      <c r="AZ75">
        <v>4.1488953826039445</v>
      </c>
      <c r="BA75">
        <v>2668.569510090857</v>
      </c>
      <c r="BB75">
        <v>4.1297342225967801</v>
      </c>
      <c r="BC75">
        <v>2656.2450519742488</v>
      </c>
      <c r="BD75">
        <v>4.2903349979199881</v>
      </c>
      <c r="BE75">
        <v>2759.5434706621359</v>
      </c>
      <c r="BF75">
        <v>4.103798693662597</v>
      </c>
      <c r="BG75">
        <v>2639.5633197637821</v>
      </c>
      <c r="BH75">
        <v>6.8205325607958782</v>
      </c>
      <c r="BI75">
        <v>4386.9665431039084</v>
      </c>
      <c r="BJ75">
        <v>5.8750533304850281</v>
      </c>
      <c r="BK75">
        <v>3778.8343021679698</v>
      </c>
      <c r="BL75">
        <v>6.5252243314372445</v>
      </c>
      <c r="BM75">
        <v>4197.0242899804352</v>
      </c>
      <c r="BN75">
        <v>0</v>
      </c>
      <c r="BO75">
        <v>0</v>
      </c>
      <c r="BP75">
        <v>7.862031205923528</v>
      </c>
      <c r="BQ75">
        <v>5056.8584716500127</v>
      </c>
      <c r="BR75">
        <v>4.5161421030736717</v>
      </c>
      <c r="BS75">
        <v>2904.7826006969854</v>
      </c>
      <c r="BT75">
        <v>5.2726867567707236</v>
      </c>
      <c r="BU75">
        <v>3391.3921219549293</v>
      </c>
      <c r="BV75">
        <v>3.6057969778972976</v>
      </c>
      <c r="BW75">
        <v>2319.2486161835413</v>
      </c>
      <c r="BX75">
        <v>3.6600014200265303</v>
      </c>
      <c r="BY75">
        <v>2354.1129133610639</v>
      </c>
      <c r="BZ75">
        <v>3.8914603155736853</v>
      </c>
      <c r="CA75">
        <v>2502.9872749769943</v>
      </c>
      <c r="CB75">
        <v>3.2120155064641618</v>
      </c>
      <c r="CC75">
        <v>2065.9683737577489</v>
      </c>
      <c r="CD75">
        <v>2.600203029042417</v>
      </c>
      <c r="CE75">
        <v>1672.4505882800825</v>
      </c>
      <c r="CF75">
        <v>2.138484734165726</v>
      </c>
      <c r="CG75">
        <v>1375.4733810153948</v>
      </c>
      <c r="CH75">
        <v>1.0446033038413884</v>
      </c>
      <c r="CI75">
        <v>671.888845030781</v>
      </c>
      <c r="CJ75">
        <v>1.9919412490342803</v>
      </c>
      <c r="CK75">
        <v>1281.2166113788489</v>
      </c>
      <c r="CL75">
        <v>2.1287921745404521</v>
      </c>
      <c r="CM75">
        <v>1369.2391266644186</v>
      </c>
      <c r="CN75">
        <v>0</v>
      </c>
      <c r="CO75">
        <v>0</v>
      </c>
      <c r="CP75">
        <v>9.575638705035022</v>
      </c>
      <c r="CQ75">
        <v>6159.0508150785254</v>
      </c>
      <c r="CR75">
        <v>4.0494618369301758</v>
      </c>
      <c r="CS75">
        <v>2604.6138535134887</v>
      </c>
      <c r="CT75">
        <v>4.791237053514708</v>
      </c>
      <c r="CU75">
        <v>3081.7236728206599</v>
      </c>
    </row>
    <row r="76" spans="2:99" x14ac:dyDescent="0.2">
      <c r="C76" s="105" t="s">
        <v>242</v>
      </c>
      <c r="D76">
        <v>29</v>
      </c>
      <c r="E76">
        <v>22585.199999999997</v>
      </c>
      <c r="F76">
        <v>27</v>
      </c>
      <c r="G76">
        <v>21027.599999999999</v>
      </c>
      <c r="H76">
        <v>28</v>
      </c>
      <c r="I76">
        <v>21806.399999999998</v>
      </c>
      <c r="J76">
        <v>23</v>
      </c>
      <c r="K76">
        <v>17912.399999999998</v>
      </c>
      <c r="L76">
        <v>10.905449658425988</v>
      </c>
      <c r="M76">
        <v>8493.1641939821584</v>
      </c>
      <c r="N76">
        <v>4.4230257710515355</v>
      </c>
      <c r="O76">
        <v>3444.6524704949356</v>
      </c>
      <c r="P76">
        <v>4.6958890524497381</v>
      </c>
      <c r="Q76">
        <v>3657.1583940478558</v>
      </c>
      <c r="R76">
        <v>5.4414004851668141</v>
      </c>
      <c r="S76">
        <v>4237.7626978479148</v>
      </c>
      <c r="T76">
        <v>5.1742733643256136</v>
      </c>
      <c r="U76">
        <v>4029.7240961367875</v>
      </c>
      <c r="V76">
        <v>5.1710252328979136</v>
      </c>
      <c r="W76">
        <v>4027.1944513808949</v>
      </c>
      <c r="X76">
        <v>3.8006374768626809</v>
      </c>
      <c r="Y76">
        <v>2959.936466980656</v>
      </c>
      <c r="Z76">
        <v>4.9653063267066768</v>
      </c>
      <c r="AA76">
        <v>3866.9805672391599</v>
      </c>
      <c r="AB76">
        <v>5.9961308404664901</v>
      </c>
      <c r="AC76">
        <v>4669.7866985553019</v>
      </c>
      <c r="AD76">
        <v>5.002671987435221</v>
      </c>
      <c r="AE76">
        <v>3896.0809438145498</v>
      </c>
      <c r="AF76">
        <v>5.2334454866622471</v>
      </c>
      <c r="AG76">
        <v>4075.8073450125576</v>
      </c>
      <c r="AH76">
        <v>5.9651716548620159</v>
      </c>
      <c r="AI76">
        <v>4645.6756848065379</v>
      </c>
      <c r="AJ76">
        <v>7.8802071390367132</v>
      </c>
      <c r="AK76">
        <v>6137.1053198817917</v>
      </c>
      <c r="AL76">
        <v>7.5971972067473414</v>
      </c>
      <c r="AM76">
        <v>5916.697184614829</v>
      </c>
      <c r="AN76">
        <v>8.2453587403971582</v>
      </c>
      <c r="AO76">
        <v>6421.4853870213065</v>
      </c>
      <c r="AP76">
        <v>5.5809235745300665</v>
      </c>
      <c r="AQ76">
        <v>4346.4232798440153</v>
      </c>
      <c r="AR76">
        <v>5.3789274600787902</v>
      </c>
      <c r="AS76">
        <v>4189.1087059093616</v>
      </c>
      <c r="AT76">
        <v>0</v>
      </c>
      <c r="AU76">
        <v>0</v>
      </c>
      <c r="AV76">
        <v>9.5201594114428936</v>
      </c>
      <c r="AW76">
        <v>7414.3001496317247</v>
      </c>
      <c r="AX76">
        <v>5.4669088616154973</v>
      </c>
      <c r="AY76">
        <v>4257.628621426149</v>
      </c>
      <c r="AZ76">
        <v>3.7717230750944952</v>
      </c>
      <c r="BA76">
        <v>2937.4179308835928</v>
      </c>
      <c r="BB76">
        <v>3.6708748645304707</v>
      </c>
      <c r="BC76">
        <v>2858.8773444963304</v>
      </c>
      <c r="BD76">
        <v>4.2903349979199881</v>
      </c>
      <c r="BE76">
        <v>3341.3128963800864</v>
      </c>
      <c r="BF76">
        <v>4.103798693662597</v>
      </c>
      <c r="BG76">
        <v>3196.0384226244305</v>
      </c>
      <c r="BH76">
        <v>6.2704896123445986</v>
      </c>
      <c r="BI76">
        <v>4883.4573100939733</v>
      </c>
      <c r="BJ76">
        <v>5.7204466638933171</v>
      </c>
      <c r="BK76">
        <v>4455.0838618401149</v>
      </c>
      <c r="BL76">
        <v>6.416470592579957</v>
      </c>
      <c r="BM76">
        <v>4997.1472975012703</v>
      </c>
      <c r="BN76">
        <v>0</v>
      </c>
      <c r="BO76">
        <v>0</v>
      </c>
      <c r="BP76">
        <v>8.3534081562937494</v>
      </c>
      <c r="BQ76">
        <v>6505.6342721215715</v>
      </c>
      <c r="BR76">
        <v>4.0529480412199614</v>
      </c>
      <c r="BS76">
        <v>3156.4359345021057</v>
      </c>
      <c r="BT76">
        <v>5.5237670785217112</v>
      </c>
      <c r="BU76">
        <v>4301.9098007527082</v>
      </c>
      <c r="BV76">
        <v>3.6057969778972976</v>
      </c>
      <c r="BW76">
        <v>2808.194686386415</v>
      </c>
      <c r="BX76">
        <v>3.6600014200265303</v>
      </c>
      <c r="BY76">
        <v>2850.4091059166617</v>
      </c>
      <c r="BZ76">
        <v>4.2806063471310543</v>
      </c>
      <c r="CA76">
        <v>3333.736223145665</v>
      </c>
      <c r="CB76">
        <v>3.2120155064641618</v>
      </c>
      <c r="CC76">
        <v>2501.5176764342891</v>
      </c>
      <c r="CD76">
        <v>2.2287454534649291</v>
      </c>
      <c r="CE76">
        <v>1735.7469591584868</v>
      </c>
      <c r="CF76">
        <v>1.9602776729852489</v>
      </c>
      <c r="CG76">
        <v>1526.6642517209118</v>
      </c>
      <c r="CH76">
        <v>1.1938323472473011</v>
      </c>
      <c r="CI76">
        <v>929.75663203619808</v>
      </c>
      <c r="CJ76">
        <v>1.6854887491828525</v>
      </c>
      <c r="CK76">
        <v>1312.6586378636055</v>
      </c>
      <c r="CL76">
        <v>2.1287921745404521</v>
      </c>
      <c r="CM76">
        <v>1657.9033455321039</v>
      </c>
      <c r="CN76">
        <v>0</v>
      </c>
      <c r="CO76">
        <v>0</v>
      </c>
      <c r="CP76">
        <v>10.473354833632055</v>
      </c>
      <c r="CQ76">
        <v>8156.648744432644</v>
      </c>
      <c r="CR76">
        <v>4.3287350670632918</v>
      </c>
      <c r="CS76">
        <v>3371.2188702288913</v>
      </c>
      <c r="CT76">
        <v>5.0816150567580234</v>
      </c>
      <c r="CU76">
        <v>3957.5618062031485</v>
      </c>
    </row>
    <row r="77" spans="2:99" x14ac:dyDescent="0.2">
      <c r="C77" s="105" t="s">
        <v>243</v>
      </c>
      <c r="D77">
        <v>36</v>
      </c>
      <c r="E77">
        <v>10022.4</v>
      </c>
      <c r="F77">
        <v>28</v>
      </c>
      <c r="G77">
        <v>7795.1999999999989</v>
      </c>
      <c r="H77">
        <v>29</v>
      </c>
      <c r="I77">
        <v>8073.5999999999995</v>
      </c>
      <c r="J77">
        <v>25</v>
      </c>
      <c r="K77">
        <v>6959.9999999999991</v>
      </c>
      <c r="L77">
        <v>10.905449658425988</v>
      </c>
      <c r="M77">
        <v>3036.0771849057951</v>
      </c>
      <c r="N77">
        <v>5.3076309252618428</v>
      </c>
      <c r="O77">
        <v>1477.644449592897</v>
      </c>
      <c r="P77">
        <v>4.6958890524497381</v>
      </c>
      <c r="Q77">
        <v>1307.3355122020071</v>
      </c>
      <c r="R77">
        <v>5.8599697532565695</v>
      </c>
      <c r="S77">
        <v>1631.4155793066288</v>
      </c>
      <c r="T77">
        <v>5.1742733643256136</v>
      </c>
      <c r="U77">
        <v>1440.5177046282506</v>
      </c>
      <c r="V77">
        <v>5.8174033870101534</v>
      </c>
      <c r="W77">
        <v>1619.5651029436265</v>
      </c>
      <c r="X77">
        <v>4.0929942058521185</v>
      </c>
      <c r="Y77">
        <v>1139.4895869092297</v>
      </c>
      <c r="Z77">
        <v>4.9653063267066768</v>
      </c>
      <c r="AA77">
        <v>1382.3412813551388</v>
      </c>
      <c r="AB77">
        <v>5.9961308404664901</v>
      </c>
      <c r="AC77">
        <v>1669.3228259858706</v>
      </c>
      <c r="AD77">
        <v>5.4376869428643708</v>
      </c>
      <c r="AE77">
        <v>1513.8520448934407</v>
      </c>
      <c r="AF77">
        <v>4.7973250294403931</v>
      </c>
      <c r="AG77">
        <v>1335.5752881962053</v>
      </c>
      <c r="AH77">
        <v>5.9651716548620159</v>
      </c>
      <c r="AI77">
        <v>1660.703788713585</v>
      </c>
      <c r="AJ77">
        <v>7.7707598176612036</v>
      </c>
      <c r="AK77">
        <v>2163.3795332368791</v>
      </c>
      <c r="AL77">
        <v>8.2216243744252058</v>
      </c>
      <c r="AM77">
        <v>2288.9002258399769</v>
      </c>
      <c r="AN77">
        <v>8.6851112065516745</v>
      </c>
      <c r="AO77">
        <v>2417.9349599039861</v>
      </c>
      <c r="AP77">
        <v>5.7204466638933171</v>
      </c>
      <c r="AQ77">
        <v>1592.5723512278994</v>
      </c>
      <c r="AR77">
        <v>6.147345668661476</v>
      </c>
      <c r="AS77">
        <v>1711.4210341553548</v>
      </c>
      <c r="AT77">
        <v>0</v>
      </c>
      <c r="AU77">
        <v>0</v>
      </c>
      <c r="AV77">
        <v>11.023342476407562</v>
      </c>
      <c r="AW77">
        <v>3068.8985454318649</v>
      </c>
      <c r="AX77">
        <v>5.2292171719800411</v>
      </c>
      <c r="AY77">
        <v>1455.8140606792433</v>
      </c>
      <c r="AZ77">
        <v>3.7717230750944952</v>
      </c>
      <c r="BA77">
        <v>1050.0477041063075</v>
      </c>
      <c r="BB77">
        <v>3.6708748645304707</v>
      </c>
      <c r="BC77">
        <v>1021.971562285283</v>
      </c>
      <c r="BD77">
        <v>4.2903349979199881</v>
      </c>
      <c r="BE77">
        <v>1194.4292634209246</v>
      </c>
      <c r="BF77">
        <v>4.103798693662597</v>
      </c>
      <c r="BG77">
        <v>1142.497556315667</v>
      </c>
      <c r="BH77">
        <v>6.2704896123445986</v>
      </c>
      <c r="BI77">
        <v>1745.7043080767362</v>
      </c>
      <c r="BJ77">
        <v>5.8750533304850281</v>
      </c>
      <c r="BK77">
        <v>1635.6148472070317</v>
      </c>
      <c r="BL77">
        <v>7.1777467645809683</v>
      </c>
      <c r="BM77">
        <v>1998.2846992593413</v>
      </c>
      <c r="BN77">
        <v>0</v>
      </c>
      <c r="BO77">
        <v>0</v>
      </c>
      <c r="BP77">
        <v>8.1077196811086392</v>
      </c>
      <c r="BQ77">
        <v>2257.1891592206448</v>
      </c>
      <c r="BR77">
        <v>4.631940618537099</v>
      </c>
      <c r="BS77">
        <v>1289.5322682007284</v>
      </c>
      <c r="BT77">
        <v>5.9003875611481913</v>
      </c>
      <c r="BU77">
        <v>1642.6678970236562</v>
      </c>
      <c r="BV77">
        <v>3.7184781334565886</v>
      </c>
      <c r="BW77">
        <v>1035.2243123543142</v>
      </c>
      <c r="BX77">
        <v>3.2533345955791382</v>
      </c>
      <c r="BY77">
        <v>905.728351409232</v>
      </c>
      <c r="BZ77">
        <v>4.6697523786884219</v>
      </c>
      <c r="CA77">
        <v>1300.0590622268564</v>
      </c>
      <c r="CB77">
        <v>3.6708748645304707</v>
      </c>
      <c r="CC77">
        <v>1021.971562285283</v>
      </c>
      <c r="CD77">
        <v>2.600203029042417</v>
      </c>
      <c r="CE77">
        <v>723.89652328540888</v>
      </c>
      <c r="CF77">
        <v>2.138484734165726</v>
      </c>
      <c r="CG77">
        <v>595.35414999173804</v>
      </c>
      <c r="CH77">
        <v>1.0446033038413884</v>
      </c>
      <c r="CI77">
        <v>290.8175597894425</v>
      </c>
      <c r="CJ77">
        <v>1.8387149991085663</v>
      </c>
      <c r="CK77">
        <v>511.89825575182482</v>
      </c>
      <c r="CL77">
        <v>1.9650389303450326</v>
      </c>
      <c r="CM77">
        <v>547.06683820805699</v>
      </c>
      <c r="CN77">
        <v>0</v>
      </c>
      <c r="CO77">
        <v>0</v>
      </c>
      <c r="CP77">
        <v>11.371070962229087</v>
      </c>
      <c r="CQ77">
        <v>3165.7061558845776</v>
      </c>
      <c r="CR77">
        <v>4.7476449122629649</v>
      </c>
      <c r="CS77">
        <v>1321.7443435740092</v>
      </c>
      <c r="CT77">
        <v>5.6623710632446542</v>
      </c>
      <c r="CU77">
        <v>1576.4041040073116</v>
      </c>
    </row>
    <row r="78" spans="2:99" x14ac:dyDescent="0.2">
      <c r="C78" s="105" t="s">
        <v>244</v>
      </c>
      <c r="D78">
        <v>31</v>
      </c>
      <c r="E78">
        <v>17112</v>
      </c>
      <c r="F78">
        <v>27</v>
      </c>
      <c r="G78">
        <v>14904</v>
      </c>
      <c r="H78">
        <v>33</v>
      </c>
      <c r="I78">
        <v>18216</v>
      </c>
      <c r="J78">
        <v>22</v>
      </c>
      <c r="K78">
        <v>12144</v>
      </c>
      <c r="L78">
        <v>11.814237129961487</v>
      </c>
      <c r="M78">
        <v>6521.4588957387414</v>
      </c>
      <c r="N78">
        <v>4.8653283481566891</v>
      </c>
      <c r="O78">
        <v>2685.6612481824923</v>
      </c>
      <c r="P78">
        <v>4.2689900476815801</v>
      </c>
      <c r="Q78">
        <v>2356.482506320232</v>
      </c>
      <c r="R78">
        <v>6.2785390213463232</v>
      </c>
      <c r="S78">
        <v>3465.7535397831703</v>
      </c>
      <c r="T78">
        <v>4.8868137329741907</v>
      </c>
      <c r="U78">
        <v>2697.5211806017533</v>
      </c>
      <c r="V78">
        <v>5.1710252328979136</v>
      </c>
      <c r="W78">
        <v>2854.4059285596481</v>
      </c>
      <c r="X78">
        <v>4.0929942058521185</v>
      </c>
      <c r="Y78">
        <v>2259.3328016303694</v>
      </c>
      <c r="Z78">
        <v>4.6549746812875092</v>
      </c>
      <c r="AA78">
        <v>2569.5460240707052</v>
      </c>
      <c r="AB78">
        <v>5.7893677080366102</v>
      </c>
      <c r="AC78">
        <v>3195.7309748362086</v>
      </c>
      <c r="AD78">
        <v>5.6551944205789457</v>
      </c>
      <c r="AE78">
        <v>3121.6673201595781</v>
      </c>
      <c r="AF78">
        <v>5.0153852580513201</v>
      </c>
      <c r="AG78">
        <v>2768.4926624443287</v>
      </c>
      <c r="AH78">
        <v>6.1946013338951698</v>
      </c>
      <c r="AI78">
        <v>3419.4199363101338</v>
      </c>
      <c r="AJ78">
        <v>7.8802071390367132</v>
      </c>
      <c r="AK78">
        <v>4349.8743407482652</v>
      </c>
      <c r="AL78">
        <v>7.0768412336824547</v>
      </c>
      <c r="AM78">
        <v>3906.416360992715</v>
      </c>
      <c r="AN78">
        <v>7.9155443907812728</v>
      </c>
      <c r="AO78">
        <v>4369.3805037112625</v>
      </c>
      <c r="AP78">
        <v>5.7204466638933171</v>
      </c>
      <c r="AQ78">
        <v>3157.6865584691109</v>
      </c>
      <c r="AR78">
        <v>5.6350668629396861</v>
      </c>
      <c r="AS78">
        <v>3110.5569083427067</v>
      </c>
      <c r="AT78">
        <v>0</v>
      </c>
      <c r="AU78">
        <v>0</v>
      </c>
      <c r="AV78">
        <v>10.021220433097781</v>
      </c>
      <c r="AW78">
        <v>5531.7136790699751</v>
      </c>
      <c r="AX78">
        <v>4.5161421030736717</v>
      </c>
      <c r="AY78">
        <v>2492.9104408966668</v>
      </c>
      <c r="AZ78">
        <v>4.1488953826039445</v>
      </c>
      <c r="BA78">
        <v>2290.1902511973772</v>
      </c>
      <c r="BB78">
        <v>3.6708748645304707</v>
      </c>
      <c r="BC78">
        <v>2026.3229252208198</v>
      </c>
      <c r="BD78">
        <v>4.2903349979199881</v>
      </c>
      <c r="BE78">
        <v>2368.2649188518335</v>
      </c>
      <c r="BF78">
        <v>4.103798693662597</v>
      </c>
      <c r="BG78">
        <v>2265.2968789017536</v>
      </c>
      <c r="BH78">
        <v>6.4905067917251094</v>
      </c>
      <c r="BI78">
        <v>3582.7597490322605</v>
      </c>
      <c r="BJ78">
        <v>6.1842666636684509</v>
      </c>
      <c r="BK78">
        <v>3413.7151983449849</v>
      </c>
      <c r="BL78">
        <v>7.3952542422955441</v>
      </c>
      <c r="BM78">
        <v>4082.1803417471401</v>
      </c>
      <c r="BN78">
        <v>0</v>
      </c>
      <c r="BO78">
        <v>0</v>
      </c>
      <c r="BP78">
        <v>8.1077196811086392</v>
      </c>
      <c r="BQ78">
        <v>4475.4612639719689</v>
      </c>
      <c r="BR78">
        <v>4.8635376494639537</v>
      </c>
      <c r="BS78">
        <v>2684.6727825041025</v>
      </c>
      <c r="BT78">
        <v>5.7748474002726979</v>
      </c>
      <c r="BU78">
        <v>3187.7157649505293</v>
      </c>
      <c r="BV78">
        <v>3.8311592890158792</v>
      </c>
      <c r="BW78">
        <v>2114.7999275367652</v>
      </c>
      <c r="BX78">
        <v>3.2533345955791382</v>
      </c>
      <c r="BY78">
        <v>1795.8406967596843</v>
      </c>
      <c r="BZ78">
        <v>4.6697523786884219</v>
      </c>
      <c r="CA78">
        <v>2577.7033130360087</v>
      </c>
      <c r="CB78">
        <v>3.6708748645304707</v>
      </c>
      <c r="CC78">
        <v>2026.3229252208198</v>
      </c>
      <c r="CD78">
        <v>2.600203029042417</v>
      </c>
      <c r="CE78">
        <v>1435.3120720314141</v>
      </c>
      <c r="CF78">
        <v>1.9602776729852489</v>
      </c>
      <c r="CG78">
        <v>1082.0732754878575</v>
      </c>
      <c r="CH78">
        <v>1.0446033038413884</v>
      </c>
      <c r="CI78">
        <v>576.62102372044637</v>
      </c>
      <c r="CJ78">
        <v>1.6854887491828525</v>
      </c>
      <c r="CK78">
        <v>930.38978954893457</v>
      </c>
      <c r="CL78">
        <v>2.1287921745404521</v>
      </c>
      <c r="CM78">
        <v>1175.0932803463295</v>
      </c>
      <c r="CN78">
        <v>0</v>
      </c>
      <c r="CO78">
        <v>0</v>
      </c>
      <c r="CP78">
        <v>11.071832252696742</v>
      </c>
      <c r="CQ78">
        <v>6111.6514034886013</v>
      </c>
      <c r="CR78">
        <v>4.1890984519967338</v>
      </c>
      <c r="CS78">
        <v>2312.382345502197</v>
      </c>
      <c r="CT78">
        <v>4.791237053514708</v>
      </c>
      <c r="CU78">
        <v>2644.7628535401186</v>
      </c>
    </row>
    <row r="79" spans="2:99" x14ac:dyDescent="0.2">
      <c r="C79" s="105" t="s">
        <v>245</v>
      </c>
      <c r="D79">
        <v>28</v>
      </c>
      <c r="E79">
        <v>21201.599999999999</v>
      </c>
      <c r="F79">
        <v>24</v>
      </c>
      <c r="G79">
        <v>18172.8</v>
      </c>
      <c r="H79">
        <v>32</v>
      </c>
      <c r="I79">
        <v>24230.399999999998</v>
      </c>
      <c r="J79">
        <v>22</v>
      </c>
      <c r="K79">
        <v>16658.399999999998</v>
      </c>
      <c r="L79">
        <v>10.905449658425988</v>
      </c>
      <c r="M79">
        <v>8257.606481360157</v>
      </c>
      <c r="N79">
        <v>5.3076309252618428</v>
      </c>
      <c r="O79">
        <v>4018.9381366082671</v>
      </c>
      <c r="P79">
        <v>4.2689900476815801</v>
      </c>
      <c r="Q79">
        <v>3232.4792641044924</v>
      </c>
      <c r="R79">
        <v>5.8599697532565695</v>
      </c>
      <c r="S79">
        <v>4437.1690971658736</v>
      </c>
      <c r="T79">
        <v>5.1742733643256136</v>
      </c>
      <c r="U79">
        <v>3917.9597914673541</v>
      </c>
      <c r="V79">
        <v>5.8174033870101534</v>
      </c>
      <c r="W79">
        <v>4404.9378446440878</v>
      </c>
      <c r="X79">
        <v>3.8006374768626809</v>
      </c>
      <c r="Y79">
        <v>2877.842697480422</v>
      </c>
      <c r="Z79">
        <v>4.6549746812875092</v>
      </c>
      <c r="AA79">
        <v>3524.7468286709018</v>
      </c>
      <c r="AB79">
        <v>6.2028939728963683</v>
      </c>
      <c r="AC79">
        <v>4696.8313162771301</v>
      </c>
      <c r="AD79">
        <v>5.6551944205789457</v>
      </c>
      <c r="AE79">
        <v>4282.1132152623777</v>
      </c>
      <c r="AF79">
        <v>5.0153852580513201</v>
      </c>
      <c r="AG79">
        <v>3797.6497173964594</v>
      </c>
      <c r="AH79">
        <v>6.4240310129283236</v>
      </c>
      <c r="AI79">
        <v>4864.2762829893263</v>
      </c>
      <c r="AJ79">
        <v>7.1140758894081433</v>
      </c>
      <c r="AK79">
        <v>5386.7782634598452</v>
      </c>
      <c r="AL79">
        <v>6.6605564552305454</v>
      </c>
      <c r="AM79">
        <v>5043.3733479005687</v>
      </c>
      <c r="AN79">
        <v>8.1354206238585292</v>
      </c>
      <c r="AO79">
        <v>6160.1404963856776</v>
      </c>
      <c r="AP79">
        <v>5.5809235745300665</v>
      </c>
      <c r="AQ79">
        <v>4225.8753306341659</v>
      </c>
      <c r="AR79">
        <v>5.891206265800581</v>
      </c>
      <c r="AS79">
        <v>4460.8213844641996</v>
      </c>
      <c r="AT79">
        <v>0</v>
      </c>
      <c r="AU79">
        <v>0</v>
      </c>
      <c r="AV79">
        <v>9.5201594114428936</v>
      </c>
      <c r="AW79">
        <v>7208.664706344558</v>
      </c>
      <c r="AX79">
        <v>5.2292171719800411</v>
      </c>
      <c r="AY79">
        <v>3959.5632426232869</v>
      </c>
      <c r="AZ79">
        <v>4.5260676901133943</v>
      </c>
      <c r="BA79">
        <v>3427.138454953862</v>
      </c>
      <c r="BB79">
        <v>3.6708748645304707</v>
      </c>
      <c r="BC79">
        <v>2779.5864474224722</v>
      </c>
      <c r="BD79">
        <v>4.2903349979199881</v>
      </c>
      <c r="BE79">
        <v>3248.6416604250148</v>
      </c>
      <c r="BF79">
        <v>4.103798693662597</v>
      </c>
      <c r="BG79">
        <v>3107.396370841318</v>
      </c>
      <c r="BH79">
        <v>6.380498202034854</v>
      </c>
      <c r="BI79">
        <v>4831.3132385807912</v>
      </c>
      <c r="BJ79">
        <v>6.0296599970767399</v>
      </c>
      <c r="BK79">
        <v>4565.6585497865071</v>
      </c>
      <c r="BL79">
        <v>7.0689930257236817</v>
      </c>
      <c r="BM79">
        <v>5352.6415190779717</v>
      </c>
      <c r="BN79">
        <v>0</v>
      </c>
      <c r="BO79">
        <v>0</v>
      </c>
      <c r="BP79">
        <v>8.5990966314788597</v>
      </c>
      <c r="BQ79">
        <v>6511.2359693557919</v>
      </c>
      <c r="BR79">
        <v>4.1687465566833897</v>
      </c>
      <c r="BS79">
        <v>3156.5748927206623</v>
      </c>
      <c r="BT79">
        <v>5.1471465958952303</v>
      </c>
      <c r="BU79">
        <v>3897.4194024118678</v>
      </c>
      <c r="BV79">
        <v>4.0565216001344604</v>
      </c>
      <c r="BW79">
        <v>3071.598155621813</v>
      </c>
      <c r="BX79">
        <v>3.2533345955791382</v>
      </c>
      <c r="BY79">
        <v>2463.4249557725234</v>
      </c>
      <c r="BZ79">
        <v>3.8914603155736853</v>
      </c>
      <c r="CA79">
        <v>2946.6137509523942</v>
      </c>
      <c r="CB79">
        <v>3.2120155064641618</v>
      </c>
      <c r="CC79">
        <v>2432.1381414946632</v>
      </c>
      <c r="CD79">
        <v>2.2287454534649291</v>
      </c>
      <c r="CE79">
        <v>1687.6060573636441</v>
      </c>
      <c r="CF79">
        <v>2.3166917953462032</v>
      </c>
      <c r="CG79">
        <v>1754.1990274361449</v>
      </c>
      <c r="CH79">
        <v>1.0446033038413884</v>
      </c>
      <c r="CI79">
        <v>790.97362166869925</v>
      </c>
      <c r="CJ79">
        <v>1.9919412490342803</v>
      </c>
      <c r="CK79">
        <v>1508.2979137687569</v>
      </c>
      <c r="CL79">
        <v>2.1287921745404521</v>
      </c>
      <c r="CM79">
        <v>1611.9214345620303</v>
      </c>
      <c r="CN79">
        <v>0</v>
      </c>
      <c r="CO79">
        <v>0</v>
      </c>
      <c r="CP79">
        <v>11.071832252696742</v>
      </c>
      <c r="CQ79">
        <v>8383.5913817419732</v>
      </c>
      <c r="CR79">
        <v>4.1890984519967338</v>
      </c>
      <c r="CS79">
        <v>3171.9853478519267</v>
      </c>
      <c r="CT79">
        <v>4.9364260551363648</v>
      </c>
      <c r="CU79">
        <v>3737.8618089492552</v>
      </c>
    </row>
    <row r="80" spans="2:99" x14ac:dyDescent="0.2">
      <c r="C80" s="105" t="s">
        <v>246</v>
      </c>
      <c r="D80">
        <v>33</v>
      </c>
      <c r="E80">
        <v>26571.599999999999</v>
      </c>
      <c r="F80">
        <v>28</v>
      </c>
      <c r="G80">
        <v>22545.599999999999</v>
      </c>
      <c r="H80">
        <v>29</v>
      </c>
      <c r="I80">
        <v>23350.799999999999</v>
      </c>
      <c r="J80">
        <v>25</v>
      </c>
      <c r="K80">
        <v>20130</v>
      </c>
      <c r="L80">
        <v>10.905449658425988</v>
      </c>
      <c r="M80">
        <v>8781.0680649646056</v>
      </c>
      <c r="N80">
        <v>5.3076309252618428</v>
      </c>
      <c r="O80">
        <v>4273.7044210208351</v>
      </c>
      <c r="P80">
        <v>5.1227880572178961</v>
      </c>
      <c r="Q80">
        <v>4124.8689436718496</v>
      </c>
      <c r="R80">
        <v>5.8599697532565695</v>
      </c>
      <c r="S80">
        <v>4718.4476453221896</v>
      </c>
      <c r="T80">
        <v>4.5993541016227679</v>
      </c>
      <c r="U80">
        <v>3703.3999226266524</v>
      </c>
      <c r="V80">
        <v>5.4942143099540335</v>
      </c>
      <c r="W80">
        <v>4423.941362374987</v>
      </c>
      <c r="X80">
        <v>3.5082807478732438</v>
      </c>
      <c r="Y80">
        <v>2824.8676581875357</v>
      </c>
      <c r="Z80">
        <v>4.9653063267066768</v>
      </c>
      <c r="AA80">
        <v>3998.0646542642157</v>
      </c>
      <c r="AB80">
        <v>6.4096571053262474</v>
      </c>
      <c r="AC80">
        <v>5161.0559012086942</v>
      </c>
      <c r="AD80">
        <v>5.4376869428643708</v>
      </c>
      <c r="AE80">
        <v>4378.4255263943915</v>
      </c>
      <c r="AF80">
        <v>4.5792648008294661</v>
      </c>
      <c r="AG80">
        <v>3687.2240176278856</v>
      </c>
      <c r="AH80">
        <v>6.1946013338951698</v>
      </c>
      <c r="AI80">
        <v>4987.8929940523903</v>
      </c>
      <c r="AJ80">
        <v>7.1140758894081433</v>
      </c>
      <c r="AK80">
        <v>5728.2539061514362</v>
      </c>
      <c r="AL80">
        <v>6.8686988444564996</v>
      </c>
      <c r="AM80">
        <v>5530.6763095563729</v>
      </c>
      <c r="AN80">
        <v>7.0360394584722412</v>
      </c>
      <c r="AO80">
        <v>5665.418971961848</v>
      </c>
      <c r="AP80">
        <v>6.2785390213463232</v>
      </c>
      <c r="AQ80">
        <v>5055.4796199880593</v>
      </c>
      <c r="AR80">
        <v>5.3789274600787902</v>
      </c>
      <c r="AS80">
        <v>4331.1123908554418</v>
      </c>
      <c r="AT80">
        <v>0</v>
      </c>
      <c r="AU80">
        <v>0</v>
      </c>
      <c r="AV80">
        <v>9.0190983897880042</v>
      </c>
      <c r="AW80">
        <v>7262.1780234573007</v>
      </c>
      <c r="AX80">
        <v>4.7538337927091279</v>
      </c>
      <c r="AY80">
        <v>3827.7869698893896</v>
      </c>
      <c r="AZ80">
        <v>4.1488953826039445</v>
      </c>
      <c r="BA80">
        <v>3340.6905620726957</v>
      </c>
      <c r="BB80">
        <v>3.6708748645304707</v>
      </c>
      <c r="BC80">
        <v>2955.7884409199346</v>
      </c>
      <c r="BD80">
        <v>3.8613014981279892</v>
      </c>
      <c r="BE80">
        <v>3109.1199662926565</v>
      </c>
      <c r="BF80">
        <v>4.103798693662597</v>
      </c>
      <c r="BG80">
        <v>3304.3787081371229</v>
      </c>
      <c r="BH80">
        <v>6.1604810226543414</v>
      </c>
      <c r="BI80">
        <v>4960.4193194412755</v>
      </c>
      <c r="BJ80">
        <v>5.4112333307098943</v>
      </c>
      <c r="BK80">
        <v>4357.1250778876065</v>
      </c>
      <c r="BL80">
        <v>7.612761720010119</v>
      </c>
      <c r="BM80">
        <v>6129.7957369521473</v>
      </c>
      <c r="BN80">
        <v>0</v>
      </c>
      <c r="BO80">
        <v>0</v>
      </c>
      <c r="BP80">
        <v>7.862031205923528</v>
      </c>
      <c r="BQ80">
        <v>6330.507527009624</v>
      </c>
      <c r="BR80">
        <v>4.4003435876102444</v>
      </c>
      <c r="BS80">
        <v>3543.1566567437685</v>
      </c>
      <c r="BT80">
        <v>5.7748474002726979</v>
      </c>
      <c r="BU80">
        <v>4649.9071266995761</v>
      </c>
      <c r="BV80">
        <v>3.493115822338007</v>
      </c>
      <c r="BW80">
        <v>2812.6568601465628</v>
      </c>
      <c r="BX80">
        <v>3.2533345955791382</v>
      </c>
      <c r="BY80">
        <v>2619.5850163603218</v>
      </c>
      <c r="BZ80">
        <v>3.8914603155736853</v>
      </c>
      <c r="CA80">
        <v>3133.4038460999313</v>
      </c>
      <c r="CB80">
        <v>3.6708748645304707</v>
      </c>
      <c r="CC80">
        <v>2955.7884409199346</v>
      </c>
      <c r="CD80">
        <v>2.2287454534649291</v>
      </c>
      <c r="CE80">
        <v>1794.5858391299607</v>
      </c>
      <c r="CF80">
        <v>2.3166917953462032</v>
      </c>
      <c r="CG80">
        <v>1865.4002336127626</v>
      </c>
      <c r="CH80">
        <v>1.1938323472473011</v>
      </c>
      <c r="CI80">
        <v>961.27380600352683</v>
      </c>
      <c r="CJ80">
        <v>1.6854887491828525</v>
      </c>
      <c r="CK80">
        <v>1357.1555408420327</v>
      </c>
      <c r="CL80">
        <v>2.2925454187358714</v>
      </c>
      <c r="CM80">
        <v>1845.9575711661234</v>
      </c>
      <c r="CN80">
        <v>0</v>
      </c>
      <c r="CO80">
        <v>0</v>
      </c>
      <c r="CP80">
        <v>10.772593543164399</v>
      </c>
      <c r="CQ80">
        <v>8674.0923209559733</v>
      </c>
      <c r="CR80">
        <v>4.0494618369301758</v>
      </c>
      <c r="CS80">
        <v>3260.6266710961772</v>
      </c>
      <c r="CT80">
        <v>5.2268040583796811</v>
      </c>
      <c r="CU80">
        <v>4208.6226278073191</v>
      </c>
    </row>
    <row r="81" spans="2:99" x14ac:dyDescent="0.2">
      <c r="C81" s="105" t="s">
        <v>247</v>
      </c>
      <c r="D81">
        <v>34</v>
      </c>
      <c r="E81">
        <v>25622.400000000001</v>
      </c>
      <c r="F81">
        <v>25</v>
      </c>
      <c r="G81">
        <v>18840</v>
      </c>
      <c r="H81">
        <v>28</v>
      </c>
      <c r="I81">
        <v>21100.799999999999</v>
      </c>
      <c r="J81">
        <v>25</v>
      </c>
      <c r="K81">
        <v>18840</v>
      </c>
      <c r="L81">
        <v>10.905449658425988</v>
      </c>
      <c r="M81">
        <v>8218.3468625898258</v>
      </c>
      <c r="N81">
        <v>5.3076309252618428</v>
      </c>
      <c r="O81">
        <v>3999.8306652773249</v>
      </c>
      <c r="P81">
        <v>4.2689900476815801</v>
      </c>
      <c r="Q81">
        <v>3217.1108999328389</v>
      </c>
      <c r="R81">
        <v>5.8599697532565695</v>
      </c>
      <c r="S81">
        <v>4416.0732060541513</v>
      </c>
      <c r="T81">
        <v>4.3118944702713451</v>
      </c>
      <c r="U81">
        <v>3249.4436727964858</v>
      </c>
      <c r="V81">
        <v>5.4942143099540335</v>
      </c>
      <c r="W81">
        <v>4140.4399039813597</v>
      </c>
      <c r="X81">
        <v>3.5082807478732438</v>
      </c>
      <c r="Y81">
        <v>2643.8403715972768</v>
      </c>
      <c r="Z81">
        <v>4.6549746812875092</v>
      </c>
      <c r="AA81">
        <v>3507.9889198182673</v>
      </c>
      <c r="AB81">
        <v>6.4096571053262474</v>
      </c>
      <c r="AC81">
        <v>4830.3175945738603</v>
      </c>
      <c r="AD81">
        <v>5.220179465149795</v>
      </c>
      <c r="AE81">
        <v>3933.9272449368855</v>
      </c>
      <c r="AF81">
        <v>5.0153852580513201</v>
      </c>
      <c r="AG81">
        <v>3779.5943304674747</v>
      </c>
      <c r="AH81">
        <v>6.4240310129283236</v>
      </c>
      <c r="AI81">
        <v>4841.1497713427843</v>
      </c>
      <c r="AJ81">
        <v>7.9896544604122228</v>
      </c>
      <c r="AK81">
        <v>6021.0036013666513</v>
      </c>
      <c r="AL81">
        <v>7.8053395959732947</v>
      </c>
      <c r="AM81">
        <v>5882.1039195254752</v>
      </c>
      <c r="AN81">
        <v>8.2453587403971582</v>
      </c>
      <c r="AO81">
        <v>6213.7023467632989</v>
      </c>
      <c r="AP81">
        <v>5.5809235745300665</v>
      </c>
      <c r="AQ81">
        <v>4205.7840057658586</v>
      </c>
      <c r="AR81">
        <v>5.3789274600787902</v>
      </c>
      <c r="AS81">
        <v>4053.5597339153765</v>
      </c>
      <c r="AT81">
        <v>0</v>
      </c>
      <c r="AU81">
        <v>0</v>
      </c>
      <c r="AV81">
        <v>9.0190983897880042</v>
      </c>
      <c r="AW81">
        <v>6796.7925465442404</v>
      </c>
      <c r="AX81">
        <v>4.7538337927091279</v>
      </c>
      <c r="AY81">
        <v>3582.4891461855987</v>
      </c>
      <c r="AZ81">
        <v>4.1488953826039445</v>
      </c>
      <c r="BA81">
        <v>3126.6075603303325</v>
      </c>
      <c r="BB81">
        <v>4.1297342225967801</v>
      </c>
      <c r="BC81">
        <v>3112.1677101489336</v>
      </c>
      <c r="BD81">
        <v>4.2903349979199881</v>
      </c>
      <c r="BE81">
        <v>3233.1964544325033</v>
      </c>
      <c r="BF81">
        <v>4.4768713021773783</v>
      </c>
      <c r="BG81">
        <v>3373.7702133208722</v>
      </c>
      <c r="BH81">
        <v>6.1604810226543414</v>
      </c>
      <c r="BI81">
        <v>4642.538498672312</v>
      </c>
      <c r="BJ81">
        <v>6.3388733302601619</v>
      </c>
      <c r="BK81">
        <v>4776.9749416840577</v>
      </c>
      <c r="BL81">
        <v>7.0689930257236817</v>
      </c>
      <c r="BM81">
        <v>5327.1931441853667</v>
      </c>
      <c r="BN81">
        <v>0</v>
      </c>
      <c r="BO81">
        <v>0</v>
      </c>
      <c r="BP81">
        <v>8.84478510666397</v>
      </c>
      <c r="BQ81">
        <v>6665.4300563819679</v>
      </c>
      <c r="BR81">
        <v>4.5161421030736717</v>
      </c>
      <c r="BS81">
        <v>3403.3646888763192</v>
      </c>
      <c r="BT81">
        <v>5.0216064350197369</v>
      </c>
      <c r="BU81">
        <v>3784.2826094308739</v>
      </c>
      <c r="BV81">
        <v>3.6057969778972976</v>
      </c>
      <c r="BW81">
        <v>2717.3286025434036</v>
      </c>
      <c r="BX81">
        <v>2.8466677711317461</v>
      </c>
      <c r="BY81">
        <v>2145.248832324884</v>
      </c>
      <c r="BZ81">
        <v>3.8914603155736853</v>
      </c>
      <c r="CA81">
        <v>2932.6044938163295</v>
      </c>
      <c r="CB81">
        <v>3.6708748645304707</v>
      </c>
      <c r="CC81">
        <v>2766.3712979101629</v>
      </c>
      <c r="CD81">
        <v>2.2287454534649291</v>
      </c>
      <c r="CE81">
        <v>1679.5825737311707</v>
      </c>
      <c r="CF81">
        <v>2.138484734165726</v>
      </c>
      <c r="CG81">
        <v>1611.5620956672913</v>
      </c>
      <c r="CH81">
        <v>1.0446033038413884</v>
      </c>
      <c r="CI81">
        <v>787.21304977487034</v>
      </c>
      <c r="CJ81">
        <v>1.9919412490342803</v>
      </c>
      <c r="CK81">
        <v>1501.1269252722336</v>
      </c>
      <c r="CL81">
        <v>2.1287921745404521</v>
      </c>
      <c r="CM81">
        <v>1604.2577827336847</v>
      </c>
      <c r="CN81">
        <v>0</v>
      </c>
      <c r="CO81">
        <v>0</v>
      </c>
      <c r="CP81">
        <v>10.17411612409971</v>
      </c>
      <c r="CQ81">
        <v>7667.213911121542</v>
      </c>
      <c r="CR81">
        <v>4.4683716821298489</v>
      </c>
      <c r="CS81">
        <v>3367.3648996530542</v>
      </c>
      <c r="CT81">
        <v>4.6460480518930494</v>
      </c>
      <c r="CU81">
        <v>3501.2618119066019</v>
      </c>
    </row>
    <row r="82" spans="2:99" x14ac:dyDescent="0.2">
      <c r="C82" s="105" t="s">
        <v>248</v>
      </c>
      <c r="D82">
        <v>33</v>
      </c>
      <c r="E82">
        <v>16790.399999999998</v>
      </c>
      <c r="F82">
        <v>29</v>
      </c>
      <c r="G82">
        <v>14755.199999999997</v>
      </c>
      <c r="H82">
        <v>32</v>
      </c>
      <c r="I82">
        <v>16281.599999999997</v>
      </c>
      <c r="J82">
        <v>27</v>
      </c>
      <c r="K82">
        <v>13737.599999999997</v>
      </c>
      <c r="L82">
        <v>11.814237129961487</v>
      </c>
      <c r="M82">
        <v>6011.0838517244038</v>
      </c>
      <c r="N82">
        <v>5.3076309252618428</v>
      </c>
      <c r="O82">
        <v>2700.5226147732251</v>
      </c>
      <c r="P82">
        <v>4.6958890524497381</v>
      </c>
      <c r="Q82">
        <v>2389.2683498864262</v>
      </c>
      <c r="R82">
        <v>5.8599697532565695</v>
      </c>
      <c r="S82">
        <v>2981.5526104569421</v>
      </c>
      <c r="T82">
        <v>4.8868137329741907</v>
      </c>
      <c r="U82">
        <v>2486.4108273372676</v>
      </c>
      <c r="V82">
        <v>5.4942143099540335</v>
      </c>
      <c r="W82">
        <v>2795.4562409046116</v>
      </c>
      <c r="X82">
        <v>4.0929942058521185</v>
      </c>
      <c r="Y82">
        <v>2082.5154519375574</v>
      </c>
      <c r="Z82">
        <v>5.2756379721258444</v>
      </c>
      <c r="AA82">
        <v>2684.2446002176289</v>
      </c>
      <c r="AB82">
        <v>5.9961308404664901</v>
      </c>
      <c r="AC82">
        <v>3050.8313716293496</v>
      </c>
      <c r="AD82">
        <v>5.8727018982935197</v>
      </c>
      <c r="AE82">
        <v>2988.0307258517423</v>
      </c>
      <c r="AF82">
        <v>5.0153852580513201</v>
      </c>
      <c r="AG82">
        <v>2551.8280192965112</v>
      </c>
      <c r="AH82">
        <v>5.9651716548620159</v>
      </c>
      <c r="AI82">
        <v>3035.0793379937932</v>
      </c>
      <c r="AJ82">
        <v>7.5518651749101835</v>
      </c>
      <c r="AK82">
        <v>3842.3890009943007</v>
      </c>
      <c r="AL82">
        <v>7.493126012134363</v>
      </c>
      <c r="AM82">
        <v>3812.5025149739631</v>
      </c>
      <c r="AN82">
        <v>8.4652349734744146</v>
      </c>
      <c r="AO82">
        <v>4307.111554503781</v>
      </c>
      <c r="AP82">
        <v>6.4180621107095757</v>
      </c>
      <c r="AQ82">
        <v>3265.5100019290317</v>
      </c>
      <c r="AR82">
        <v>5.3789274600787902</v>
      </c>
      <c r="AS82">
        <v>2736.7982916880878</v>
      </c>
      <c r="AT82">
        <v>0</v>
      </c>
      <c r="AU82">
        <v>0</v>
      </c>
      <c r="AV82">
        <v>11.023342476407562</v>
      </c>
      <c r="AW82">
        <v>5608.6766519961666</v>
      </c>
      <c r="AX82">
        <v>4.7538337927091279</v>
      </c>
      <c r="AY82">
        <v>2418.7506337304039</v>
      </c>
      <c r="AZ82">
        <v>4.1488953826039445</v>
      </c>
      <c r="BA82">
        <v>2110.9579706688864</v>
      </c>
      <c r="BB82">
        <v>4.1297342225967801</v>
      </c>
      <c r="BC82">
        <v>2101.2087724572411</v>
      </c>
      <c r="BD82">
        <v>4.2903349979199881</v>
      </c>
      <c r="BE82">
        <v>2182.9224469416895</v>
      </c>
      <c r="BF82">
        <v>4.4768713021773783</v>
      </c>
      <c r="BG82">
        <v>2277.8321185478494</v>
      </c>
      <c r="BH82">
        <v>6.1604810226543414</v>
      </c>
      <c r="BI82">
        <v>3134.4527443265283</v>
      </c>
      <c r="BJ82">
        <v>5.5658399973016062</v>
      </c>
      <c r="BK82">
        <v>2831.8993906270566</v>
      </c>
      <c r="BL82">
        <v>7.7215154588674055</v>
      </c>
      <c r="BM82">
        <v>3928.7070654717349</v>
      </c>
      <c r="BN82">
        <v>0</v>
      </c>
      <c r="BO82">
        <v>0</v>
      </c>
      <c r="BP82">
        <v>7.862031205923528</v>
      </c>
      <c r="BQ82">
        <v>4000.2014775738903</v>
      </c>
      <c r="BR82">
        <v>4.8635376494639537</v>
      </c>
      <c r="BS82">
        <v>2474.567956047259</v>
      </c>
      <c r="BT82">
        <v>5.7748474002726979</v>
      </c>
      <c r="BU82">
        <v>2938.2423572587481</v>
      </c>
      <c r="BV82">
        <v>4.1692027556937505</v>
      </c>
      <c r="BW82">
        <v>2121.2903620969801</v>
      </c>
      <c r="BX82">
        <v>3.2533345955791382</v>
      </c>
      <c r="BY82">
        <v>1655.2966422306652</v>
      </c>
      <c r="BZ82">
        <v>4.6697523786884219</v>
      </c>
      <c r="CA82">
        <v>2375.9700102766687</v>
      </c>
      <c r="CB82">
        <v>3.6708748645304707</v>
      </c>
      <c r="CC82">
        <v>1867.7411310731031</v>
      </c>
      <c r="CD82">
        <v>2.600203029042417</v>
      </c>
      <c r="CE82">
        <v>1322.9833011767814</v>
      </c>
      <c r="CF82">
        <v>1.9602776729852489</v>
      </c>
      <c r="CG82">
        <v>997.38928001489444</v>
      </c>
      <c r="CH82">
        <v>1.0446033038413884</v>
      </c>
      <c r="CI82">
        <v>531.49416099449832</v>
      </c>
      <c r="CJ82">
        <v>1.8387149991085663</v>
      </c>
      <c r="CK82">
        <v>935.53819154643838</v>
      </c>
      <c r="CL82">
        <v>2.2925454187358714</v>
      </c>
      <c r="CM82">
        <v>1166.4471090528111</v>
      </c>
      <c r="CN82">
        <v>0</v>
      </c>
      <c r="CO82">
        <v>0</v>
      </c>
      <c r="CP82">
        <v>9.8748774145673668</v>
      </c>
      <c r="CQ82">
        <v>5024.3376285318755</v>
      </c>
      <c r="CR82">
        <v>4.8872815273295229</v>
      </c>
      <c r="CS82">
        <v>2486.6488411052605</v>
      </c>
      <c r="CT82">
        <v>5.2268040583796811</v>
      </c>
      <c r="CU82">
        <v>2659.3979049035811</v>
      </c>
    </row>
    <row r="83" spans="2:99" x14ac:dyDescent="0.2">
      <c r="C83" s="105" t="s">
        <v>249</v>
      </c>
      <c r="D83">
        <v>28</v>
      </c>
      <c r="E83">
        <v>24091.200000000001</v>
      </c>
      <c r="F83">
        <v>27</v>
      </c>
      <c r="G83">
        <v>23230.799999999999</v>
      </c>
      <c r="H83">
        <v>33</v>
      </c>
      <c r="I83">
        <v>28393.200000000001</v>
      </c>
      <c r="J83">
        <v>23</v>
      </c>
      <c r="K83">
        <v>19789.2</v>
      </c>
      <c r="L83">
        <v>9.9966621868904877</v>
      </c>
      <c r="M83">
        <v>8601.1281456005745</v>
      </c>
      <c r="N83">
        <v>4.8653283481566891</v>
      </c>
      <c r="O83">
        <v>4186.1285107540152</v>
      </c>
      <c r="P83">
        <v>4.6958890524497381</v>
      </c>
      <c r="Q83">
        <v>4040.3429407277545</v>
      </c>
      <c r="R83">
        <v>5.4414004851668141</v>
      </c>
      <c r="S83">
        <v>4681.7809774375264</v>
      </c>
      <c r="T83">
        <v>4.5993541016227679</v>
      </c>
      <c r="U83">
        <v>3957.2842690362295</v>
      </c>
      <c r="V83">
        <v>4.8478361558417946</v>
      </c>
      <c r="W83">
        <v>4171.0782284862798</v>
      </c>
      <c r="X83">
        <v>3.8006374768626809</v>
      </c>
      <c r="Y83">
        <v>3270.0684850926505</v>
      </c>
      <c r="Z83">
        <v>5.2756379721258444</v>
      </c>
      <c r="AA83">
        <v>4539.1589112170768</v>
      </c>
      <c r="AB83">
        <v>5.3758414431768529</v>
      </c>
      <c r="AC83">
        <v>4625.3739777093642</v>
      </c>
      <c r="AD83">
        <v>5.002671987435221</v>
      </c>
      <c r="AE83">
        <v>4304.2989779892641</v>
      </c>
      <c r="AF83">
        <v>4.5792648008294661</v>
      </c>
      <c r="AG83">
        <v>3939.9994346336725</v>
      </c>
      <c r="AH83">
        <v>6.4240310129283236</v>
      </c>
      <c r="AI83">
        <v>5527.2362835235299</v>
      </c>
      <c r="AJ83">
        <v>7.3329705321591634</v>
      </c>
      <c r="AK83">
        <v>6309.2878458697442</v>
      </c>
      <c r="AL83">
        <v>6.244271676778637</v>
      </c>
      <c r="AM83">
        <v>5372.5713507003393</v>
      </c>
      <c r="AN83">
        <v>6.926101341933613</v>
      </c>
      <c r="AO83">
        <v>5959.2175945996805</v>
      </c>
      <c r="AP83">
        <v>6.2785390213463232</v>
      </c>
      <c r="AQ83">
        <v>5402.0549739663766</v>
      </c>
      <c r="AR83">
        <v>5.1227880572178961</v>
      </c>
      <c r="AS83">
        <v>4407.6468444302773</v>
      </c>
      <c r="AT83">
        <v>0</v>
      </c>
      <c r="AU83">
        <v>0</v>
      </c>
      <c r="AV83">
        <v>10.021220433097781</v>
      </c>
      <c r="AW83">
        <v>8622.2580606373303</v>
      </c>
      <c r="AX83">
        <v>4.991525482344584</v>
      </c>
      <c r="AY83">
        <v>4294.7085250092796</v>
      </c>
      <c r="AZ83">
        <v>3.7717230750944952</v>
      </c>
      <c r="BA83">
        <v>3245.1905338113038</v>
      </c>
      <c r="BB83">
        <v>3.6708748645304707</v>
      </c>
      <c r="BC83">
        <v>3158.4207334420171</v>
      </c>
      <c r="BD83">
        <v>4.2903349979199881</v>
      </c>
      <c r="BE83">
        <v>3691.4042322103578</v>
      </c>
      <c r="BF83">
        <v>4.103798693662597</v>
      </c>
      <c r="BG83">
        <v>3530.9083960272983</v>
      </c>
      <c r="BH83">
        <v>6.2704896123445986</v>
      </c>
      <c r="BI83">
        <v>5395.1292624612925</v>
      </c>
      <c r="BJ83">
        <v>5.7204466638933171</v>
      </c>
      <c r="BK83">
        <v>4921.8723096138101</v>
      </c>
      <c r="BL83">
        <v>6.9602392868663934</v>
      </c>
      <c r="BM83">
        <v>5988.5898824198448</v>
      </c>
      <c r="BN83">
        <v>0</v>
      </c>
      <c r="BO83">
        <v>0</v>
      </c>
      <c r="BP83">
        <v>7.6163427307384177</v>
      </c>
      <c r="BQ83">
        <v>6553.1012855273348</v>
      </c>
      <c r="BR83">
        <v>4.0529480412199614</v>
      </c>
      <c r="BS83">
        <v>3487.1564946656549</v>
      </c>
      <c r="BT83">
        <v>5.5237670785217112</v>
      </c>
      <c r="BU83">
        <v>4752.6491943600804</v>
      </c>
      <c r="BV83">
        <v>3.3804346667787168</v>
      </c>
      <c r="BW83">
        <v>2908.5259872964079</v>
      </c>
      <c r="BX83">
        <v>3.2533345955791382</v>
      </c>
      <c r="BY83">
        <v>2799.1690860362905</v>
      </c>
      <c r="BZ83">
        <v>4.2806063471310543</v>
      </c>
      <c r="CA83">
        <v>3683.0337010715589</v>
      </c>
      <c r="CB83">
        <v>3.2120155064641618</v>
      </c>
      <c r="CC83">
        <v>2763.6181417617649</v>
      </c>
      <c r="CD83">
        <v>2.600203029042417</v>
      </c>
      <c r="CE83">
        <v>2237.2146861880956</v>
      </c>
      <c r="CF83">
        <v>1.9602776729852489</v>
      </c>
      <c r="CG83">
        <v>1686.6229098365081</v>
      </c>
      <c r="CH83">
        <v>1.1938323472473011</v>
      </c>
      <c r="CI83">
        <v>1027.1733515715778</v>
      </c>
      <c r="CJ83">
        <v>1.8387149991085663</v>
      </c>
      <c r="CK83">
        <v>1582.0303852330103</v>
      </c>
      <c r="CL83">
        <v>2.2925454187358714</v>
      </c>
      <c r="CM83">
        <v>1972.5060782803437</v>
      </c>
      <c r="CN83">
        <v>0</v>
      </c>
      <c r="CO83">
        <v>0</v>
      </c>
      <c r="CP83">
        <v>10.772593543164399</v>
      </c>
      <c r="CQ83">
        <v>9268.7394845386498</v>
      </c>
      <c r="CR83">
        <v>4.0494618369301758</v>
      </c>
      <c r="CS83">
        <v>3484.1569644947231</v>
      </c>
      <c r="CT83">
        <v>4.5008590502713917</v>
      </c>
      <c r="CU83">
        <v>3872.5391268535054</v>
      </c>
    </row>
    <row r="84" spans="2:99" x14ac:dyDescent="0.2">
      <c r="C84" s="105" t="s">
        <v>250</v>
      </c>
      <c r="D84">
        <v>30</v>
      </c>
      <c r="E84">
        <v>23435.999999999996</v>
      </c>
      <c r="F84">
        <v>25</v>
      </c>
      <c r="G84">
        <v>19530</v>
      </c>
      <c r="H84">
        <v>30</v>
      </c>
      <c r="I84">
        <v>23435.999999999996</v>
      </c>
      <c r="J84">
        <v>22</v>
      </c>
      <c r="K84">
        <v>17186.399999999998</v>
      </c>
      <c r="L84">
        <v>10.905449658425988</v>
      </c>
      <c r="M84">
        <v>8519.3372731623822</v>
      </c>
      <c r="N84">
        <v>4.8653283481566891</v>
      </c>
      <c r="O84">
        <v>3800.7945055800051</v>
      </c>
      <c r="P84">
        <v>4.6958890524497381</v>
      </c>
      <c r="Q84">
        <v>3668.4285277737349</v>
      </c>
      <c r="R84">
        <v>5.4414004851668141</v>
      </c>
      <c r="S84">
        <v>4250.8220590123146</v>
      </c>
      <c r="T84">
        <v>4.5993541016227679</v>
      </c>
      <c r="U84">
        <v>3593.0154241877058</v>
      </c>
      <c r="V84">
        <v>5.1710252328979136</v>
      </c>
      <c r="W84">
        <v>4039.6049119398499</v>
      </c>
      <c r="X84">
        <v>3.8006374768626809</v>
      </c>
      <c r="Y84">
        <v>2969.0579969251262</v>
      </c>
      <c r="Z84">
        <v>4.6549746812875092</v>
      </c>
      <c r="AA84">
        <v>3636.4662210218021</v>
      </c>
      <c r="AB84">
        <v>5.5826045756067311</v>
      </c>
      <c r="AC84">
        <v>4361.1306944639782</v>
      </c>
      <c r="AD84">
        <v>5.002671987435221</v>
      </c>
      <c r="AE84">
        <v>3908.0873565843945</v>
      </c>
      <c r="AF84">
        <v>5.2334454866622471</v>
      </c>
      <c r="AG84">
        <v>4088.3676141805472</v>
      </c>
      <c r="AH84">
        <v>5.9651716548620159</v>
      </c>
      <c r="AI84">
        <v>4659.9920967782064</v>
      </c>
      <c r="AJ84">
        <v>7.3329705321591634</v>
      </c>
      <c r="AK84">
        <v>5728.5165797227382</v>
      </c>
      <c r="AL84">
        <v>6.5564852606175688</v>
      </c>
      <c r="AM84">
        <v>5121.9262855944444</v>
      </c>
      <c r="AN84">
        <v>6.926101341933613</v>
      </c>
      <c r="AO84">
        <v>5410.6703683185378</v>
      </c>
      <c r="AP84">
        <v>5.8599697532565695</v>
      </c>
      <c r="AQ84">
        <v>4577.8083712440321</v>
      </c>
      <c r="AR84">
        <v>5.6350668629396861</v>
      </c>
      <c r="AS84">
        <v>4402.1142333284824</v>
      </c>
      <c r="AT84">
        <v>0</v>
      </c>
      <c r="AU84">
        <v>0</v>
      </c>
      <c r="AV84">
        <v>10.522281454752671</v>
      </c>
      <c r="AW84">
        <v>8220.0062724527852</v>
      </c>
      <c r="AX84">
        <v>4.7538337927091279</v>
      </c>
      <c r="AY84">
        <v>3713.6949588643702</v>
      </c>
      <c r="AZ84">
        <v>4.5260676901133943</v>
      </c>
      <c r="BA84">
        <v>3535.7640795165835</v>
      </c>
      <c r="BB84">
        <v>3.6708748645304707</v>
      </c>
      <c r="BC84">
        <v>2867.6874441712034</v>
      </c>
      <c r="BD84">
        <v>3.8613014981279892</v>
      </c>
      <c r="BE84">
        <v>3016.4487303375849</v>
      </c>
      <c r="BF84">
        <v>4.103798693662597</v>
      </c>
      <c r="BG84">
        <v>3205.8875394892207</v>
      </c>
      <c r="BH84">
        <v>6.380498202034854</v>
      </c>
      <c r="BI84">
        <v>4984.4451954296273</v>
      </c>
      <c r="BJ84">
        <v>5.5658399973016062</v>
      </c>
      <c r="BK84">
        <v>4348.0342058920141</v>
      </c>
      <c r="BL84">
        <v>7.5040079811528306</v>
      </c>
      <c r="BM84">
        <v>5862.131034876591</v>
      </c>
      <c r="BN84">
        <v>0</v>
      </c>
      <c r="BO84">
        <v>0</v>
      </c>
      <c r="BP84">
        <v>7.3706542555533083</v>
      </c>
      <c r="BQ84">
        <v>5757.9551044382442</v>
      </c>
      <c r="BR84">
        <v>4.7477391340005264</v>
      </c>
      <c r="BS84">
        <v>3708.9338114812108</v>
      </c>
      <c r="BT84">
        <v>4.8960662741442436</v>
      </c>
      <c r="BU84">
        <v>3824.806973361483</v>
      </c>
      <c r="BV84">
        <v>3.8311592890158792</v>
      </c>
      <c r="BW84">
        <v>2992.9016365792045</v>
      </c>
      <c r="BX84">
        <v>2.8466677711317461</v>
      </c>
      <c r="BY84">
        <v>2223.8168628081198</v>
      </c>
      <c r="BZ84">
        <v>4.2806063471310543</v>
      </c>
      <c r="CA84">
        <v>3344.0096783787794</v>
      </c>
      <c r="CB84">
        <v>3.2120155064641618</v>
      </c>
      <c r="CC84">
        <v>2509.2265136498031</v>
      </c>
      <c r="CD84">
        <v>2.2287454534649291</v>
      </c>
      <c r="CE84">
        <v>1741.0959482468024</v>
      </c>
      <c r="CF84">
        <v>2.138484734165726</v>
      </c>
      <c r="CG84">
        <v>1670.5842743302651</v>
      </c>
      <c r="CH84">
        <v>1.0446033038413884</v>
      </c>
      <c r="CI84">
        <v>816.04410096089259</v>
      </c>
      <c r="CJ84">
        <v>1.8387149991085663</v>
      </c>
      <c r="CK84">
        <v>1436.4041573036118</v>
      </c>
      <c r="CL84">
        <v>2.2925454187358714</v>
      </c>
      <c r="CM84">
        <v>1790.9364811164626</v>
      </c>
      <c r="CN84">
        <v>0</v>
      </c>
      <c r="CO84">
        <v>0</v>
      </c>
      <c r="CP84">
        <v>11.071832252696742</v>
      </c>
      <c r="CQ84">
        <v>8649.3153558066952</v>
      </c>
      <c r="CR84">
        <v>4.3287350670632918</v>
      </c>
      <c r="CS84">
        <v>3381.6078343898434</v>
      </c>
      <c r="CT84">
        <v>4.6460480518930494</v>
      </c>
      <c r="CU84">
        <v>3629.4927381388497</v>
      </c>
    </row>
    <row r="85" spans="2:99" x14ac:dyDescent="0.2">
      <c r="C85" s="105" t="s">
        <v>251</v>
      </c>
      <c r="D85">
        <v>34</v>
      </c>
      <c r="E85">
        <v>5100</v>
      </c>
      <c r="F85">
        <v>30</v>
      </c>
      <c r="G85">
        <v>4500</v>
      </c>
      <c r="H85">
        <v>30</v>
      </c>
      <c r="I85">
        <v>4500</v>
      </c>
      <c r="J85">
        <v>24</v>
      </c>
      <c r="K85">
        <v>3600</v>
      </c>
      <c r="L85">
        <v>10.905449658425988</v>
      </c>
      <c r="M85">
        <v>1635.8174487638983</v>
      </c>
      <c r="N85">
        <v>5.7499335023669964</v>
      </c>
      <c r="O85">
        <v>862.49002535504951</v>
      </c>
      <c r="P85">
        <v>4.6958890524497381</v>
      </c>
      <c r="Q85">
        <v>704.38335786746075</v>
      </c>
      <c r="R85">
        <v>6.6971082894360787</v>
      </c>
      <c r="S85">
        <v>1004.5662434154118</v>
      </c>
      <c r="T85">
        <v>5.1742733643256136</v>
      </c>
      <c r="U85">
        <v>776.141004648842</v>
      </c>
      <c r="V85">
        <v>5.8174033870101534</v>
      </c>
      <c r="W85">
        <v>872.61050805152297</v>
      </c>
      <c r="X85">
        <v>3.8006374768626809</v>
      </c>
      <c r="Y85">
        <v>570.09562152940214</v>
      </c>
      <c r="Z85">
        <v>5.2756379721258444</v>
      </c>
      <c r="AA85">
        <v>791.34569581887661</v>
      </c>
      <c r="AB85">
        <v>6.6164202377561265</v>
      </c>
      <c r="AC85">
        <v>992.46303566341896</v>
      </c>
      <c r="AD85">
        <v>5.220179465149795</v>
      </c>
      <c r="AE85">
        <v>783.02691977246923</v>
      </c>
      <c r="AF85">
        <v>5.0153852580513201</v>
      </c>
      <c r="AG85">
        <v>752.30778870769802</v>
      </c>
      <c r="AH85">
        <v>7.3417497290609415</v>
      </c>
      <c r="AI85">
        <v>1101.2624593591413</v>
      </c>
      <c r="AJ85">
        <v>7.5518651749101835</v>
      </c>
      <c r="AK85">
        <v>1132.7797762365276</v>
      </c>
      <c r="AL85">
        <v>7.1809124282954313</v>
      </c>
      <c r="AM85">
        <v>1077.1368642443147</v>
      </c>
      <c r="AN85">
        <v>8.5751730900130454</v>
      </c>
      <c r="AO85">
        <v>1286.2759635019568</v>
      </c>
      <c r="AP85">
        <v>5.8599697532565695</v>
      </c>
      <c r="AQ85">
        <v>878.99546298848543</v>
      </c>
      <c r="AR85">
        <v>6.4034850715223701</v>
      </c>
      <c r="AS85">
        <v>960.52276072835548</v>
      </c>
      <c r="AT85">
        <v>0</v>
      </c>
      <c r="AU85">
        <v>0</v>
      </c>
      <c r="AV85">
        <v>11.023342476407562</v>
      </c>
      <c r="AW85">
        <v>1653.5013714611343</v>
      </c>
      <c r="AX85">
        <v>5.2292171719800411</v>
      </c>
      <c r="AY85">
        <v>784.38257579700621</v>
      </c>
      <c r="AZ85">
        <v>4.5260676901133943</v>
      </c>
      <c r="BA85">
        <v>678.91015351700912</v>
      </c>
      <c r="BB85">
        <v>3.6708748645304707</v>
      </c>
      <c r="BC85">
        <v>550.63122967957065</v>
      </c>
      <c r="BD85">
        <v>3.8613014981279892</v>
      </c>
      <c r="BE85">
        <v>579.19522471919834</v>
      </c>
      <c r="BF85">
        <v>4.4768713021773783</v>
      </c>
      <c r="BG85">
        <v>671.53069532660675</v>
      </c>
      <c r="BH85">
        <v>6.1604810226543414</v>
      </c>
      <c r="BI85">
        <v>924.07215339815116</v>
      </c>
      <c r="BJ85">
        <v>6.1842666636684509</v>
      </c>
      <c r="BK85">
        <v>927.63999955026759</v>
      </c>
      <c r="BL85">
        <v>7.3952542422955441</v>
      </c>
      <c r="BM85">
        <v>1109.2881363443316</v>
      </c>
      <c r="BN85">
        <v>0</v>
      </c>
      <c r="BO85">
        <v>0</v>
      </c>
      <c r="BP85">
        <v>9.3361620570341906</v>
      </c>
      <c r="BQ85">
        <v>1400.4243085551286</v>
      </c>
      <c r="BR85">
        <v>4.7477391340005264</v>
      </c>
      <c r="BS85">
        <v>712.16087010007891</v>
      </c>
      <c r="BT85">
        <v>5.6493072393972046</v>
      </c>
      <c r="BU85">
        <v>847.39608590958073</v>
      </c>
      <c r="BV85">
        <v>4.1692027556937505</v>
      </c>
      <c r="BW85">
        <v>625.38041335406263</v>
      </c>
      <c r="BX85">
        <v>3.2533345955791382</v>
      </c>
      <c r="BY85">
        <v>488.00018933687073</v>
      </c>
      <c r="BZ85">
        <v>3.8914603155736853</v>
      </c>
      <c r="CA85">
        <v>583.71904733605277</v>
      </c>
      <c r="CB85">
        <v>3.2120155064641618</v>
      </c>
      <c r="CC85">
        <v>481.80232596962429</v>
      </c>
      <c r="CD85">
        <v>2.600203029042417</v>
      </c>
      <c r="CE85">
        <v>390.03045435636255</v>
      </c>
      <c r="CF85">
        <v>2.138484734165726</v>
      </c>
      <c r="CG85">
        <v>320.77271012485892</v>
      </c>
      <c r="CH85">
        <v>1.3430613906532138</v>
      </c>
      <c r="CI85">
        <v>201.45920859798207</v>
      </c>
      <c r="CJ85">
        <v>1.8387149991085663</v>
      </c>
      <c r="CK85">
        <v>275.80724986628496</v>
      </c>
      <c r="CL85">
        <v>2.2925454187358714</v>
      </c>
      <c r="CM85">
        <v>343.88181281038072</v>
      </c>
      <c r="CN85">
        <v>0</v>
      </c>
      <c r="CO85">
        <v>0</v>
      </c>
      <c r="CP85">
        <v>10.473354833632055</v>
      </c>
      <c r="CQ85">
        <v>1571.0032250448082</v>
      </c>
      <c r="CR85">
        <v>4.3287350670632918</v>
      </c>
      <c r="CS85">
        <v>649.31026005949377</v>
      </c>
      <c r="CT85">
        <v>5.3719930600013388</v>
      </c>
      <c r="CU85">
        <v>805.79895900020085</v>
      </c>
    </row>
    <row r="86" spans="2:99" x14ac:dyDescent="0.2">
      <c r="C86" s="105" t="s">
        <v>252</v>
      </c>
      <c r="D86">
        <v>30</v>
      </c>
      <c r="E86">
        <v>16200</v>
      </c>
      <c r="F86">
        <v>25</v>
      </c>
      <c r="G86">
        <v>13500</v>
      </c>
      <c r="H86">
        <v>31</v>
      </c>
      <c r="I86">
        <v>16740</v>
      </c>
      <c r="J86">
        <v>25</v>
      </c>
      <c r="K86">
        <v>13500</v>
      </c>
      <c r="L86">
        <v>10.905449658425988</v>
      </c>
      <c r="M86">
        <v>5888.9428155500336</v>
      </c>
      <c r="N86">
        <v>5.7499335023669964</v>
      </c>
      <c r="O86">
        <v>3104.9640912781779</v>
      </c>
      <c r="P86">
        <v>4.2689900476815801</v>
      </c>
      <c r="Q86">
        <v>2305.2546257480531</v>
      </c>
      <c r="R86">
        <v>5.4414004851668141</v>
      </c>
      <c r="S86">
        <v>2938.3562619900795</v>
      </c>
      <c r="T86">
        <v>5.1742733643256136</v>
      </c>
      <c r="U86">
        <v>2794.1076167358315</v>
      </c>
      <c r="V86">
        <v>6.1405924640662723</v>
      </c>
      <c r="W86">
        <v>3315.9199305957873</v>
      </c>
      <c r="X86">
        <v>4.0929942058521185</v>
      </c>
      <c r="Y86">
        <v>2210.2168711601439</v>
      </c>
      <c r="Z86">
        <v>4.9653063267066768</v>
      </c>
      <c r="AA86">
        <v>2681.2654164216056</v>
      </c>
      <c r="AB86">
        <v>6.4096571053262474</v>
      </c>
      <c r="AC86">
        <v>3461.2148368761736</v>
      </c>
      <c r="AD86">
        <v>5.8727018982935197</v>
      </c>
      <c r="AE86">
        <v>3171.2590250785006</v>
      </c>
      <c r="AF86">
        <v>5.2334454866622471</v>
      </c>
      <c r="AG86">
        <v>2826.0605627976133</v>
      </c>
      <c r="AH86">
        <v>5.7357419758288612</v>
      </c>
      <c r="AI86">
        <v>3097.3006669475849</v>
      </c>
      <c r="AJ86">
        <v>8.0991017817877324</v>
      </c>
      <c r="AK86">
        <v>4373.5149621653754</v>
      </c>
      <c r="AL86">
        <v>7.493126012134363</v>
      </c>
      <c r="AM86">
        <v>4046.2880465525559</v>
      </c>
      <c r="AN86">
        <v>7.8056062742426437</v>
      </c>
      <c r="AO86">
        <v>4215.0273880910272</v>
      </c>
      <c r="AP86">
        <v>5.9994928426198202</v>
      </c>
      <c r="AQ86">
        <v>3239.7261350147028</v>
      </c>
      <c r="AR86">
        <v>5.891206265800581</v>
      </c>
      <c r="AS86">
        <v>3181.2513835323139</v>
      </c>
      <c r="AT86">
        <v>0</v>
      </c>
      <c r="AU86">
        <v>0</v>
      </c>
      <c r="AV86">
        <v>10.021220433097781</v>
      </c>
      <c r="AW86">
        <v>5411.4590338728021</v>
      </c>
      <c r="AX86">
        <v>4.7538337927091279</v>
      </c>
      <c r="AY86">
        <v>2567.0702480629288</v>
      </c>
      <c r="AZ86">
        <v>3.7717230750944952</v>
      </c>
      <c r="BA86">
        <v>2036.7304605510274</v>
      </c>
      <c r="BB86">
        <v>4.1297342225967801</v>
      </c>
      <c r="BC86">
        <v>2230.0564802022614</v>
      </c>
      <c r="BD86">
        <v>4.7193684977119865</v>
      </c>
      <c r="BE86">
        <v>2548.4589887644729</v>
      </c>
      <c r="BF86">
        <v>3.7307260851478157</v>
      </c>
      <c r="BG86">
        <v>2014.5920859798205</v>
      </c>
      <c r="BH86">
        <v>7.1505583298666462</v>
      </c>
      <c r="BI86">
        <v>3861.3014981279889</v>
      </c>
      <c r="BJ86">
        <v>6.3388733302601619</v>
      </c>
      <c r="BK86">
        <v>3422.9915983404876</v>
      </c>
      <c r="BL86">
        <v>6.8514855480091068</v>
      </c>
      <c r="BM86">
        <v>3699.8021959249177</v>
      </c>
      <c r="BN86">
        <v>0</v>
      </c>
      <c r="BO86">
        <v>0</v>
      </c>
      <c r="BP86">
        <v>7.862031205923528</v>
      </c>
      <c r="BQ86">
        <v>4245.4968511987054</v>
      </c>
      <c r="BR86">
        <v>4.5161421030736717</v>
      </c>
      <c r="BS86">
        <v>2438.7167356597829</v>
      </c>
      <c r="BT86">
        <v>5.6493072393972046</v>
      </c>
      <c r="BU86">
        <v>3050.6259092744904</v>
      </c>
      <c r="BV86">
        <v>3.7184781334565886</v>
      </c>
      <c r="BW86">
        <v>2007.9781920665578</v>
      </c>
      <c r="BX86">
        <v>3.6600014200265303</v>
      </c>
      <c r="BY86">
        <v>1976.4007668143263</v>
      </c>
      <c r="BZ86">
        <v>3.8914603155736853</v>
      </c>
      <c r="CA86">
        <v>2101.3885704097902</v>
      </c>
      <c r="CB86">
        <v>3.6708748645304707</v>
      </c>
      <c r="CC86">
        <v>1982.2724268464542</v>
      </c>
      <c r="CD86">
        <v>2.600203029042417</v>
      </c>
      <c r="CE86">
        <v>1404.1096356829053</v>
      </c>
      <c r="CF86">
        <v>2.3166917953462032</v>
      </c>
      <c r="CG86">
        <v>1251.0135694869498</v>
      </c>
      <c r="CH86">
        <v>1.1938323472473011</v>
      </c>
      <c r="CI86">
        <v>644.6694675135426</v>
      </c>
      <c r="CJ86">
        <v>1.9919412490342803</v>
      </c>
      <c r="CK86">
        <v>1075.6482744785114</v>
      </c>
      <c r="CL86">
        <v>2.1287921745404521</v>
      </c>
      <c r="CM86">
        <v>1149.5477742518442</v>
      </c>
      <c r="CN86">
        <v>0</v>
      </c>
      <c r="CO86">
        <v>0</v>
      </c>
      <c r="CP86">
        <v>10.473354833632055</v>
      </c>
      <c r="CQ86">
        <v>5655.6116101613097</v>
      </c>
      <c r="CR86">
        <v>4.3287350670632918</v>
      </c>
      <c r="CS86">
        <v>2337.5169362141778</v>
      </c>
      <c r="CT86">
        <v>4.9364260551363648</v>
      </c>
      <c r="CU86">
        <v>2665.6700697736369</v>
      </c>
    </row>
    <row r="87" spans="2:99" x14ac:dyDescent="0.2">
      <c r="B87" s="105" t="s">
        <v>131</v>
      </c>
      <c r="C87" s="105" t="s">
        <v>253</v>
      </c>
      <c r="D87">
        <v>8</v>
      </c>
      <c r="E87">
        <v>15638.4</v>
      </c>
      <c r="F87">
        <v>7</v>
      </c>
      <c r="G87">
        <v>13683.6</v>
      </c>
      <c r="H87">
        <v>9</v>
      </c>
      <c r="I87">
        <v>17593.2</v>
      </c>
      <c r="J87">
        <v>11</v>
      </c>
      <c r="K87">
        <v>21502.799999999999</v>
      </c>
      <c r="L87">
        <v>5.4527248292129942</v>
      </c>
      <c r="M87">
        <v>10658.986496145561</v>
      </c>
      <c r="N87">
        <v>2.6538154626309214</v>
      </c>
      <c r="O87">
        <v>5187.6784663509252</v>
      </c>
      <c r="P87">
        <v>5.1227880572178961</v>
      </c>
      <c r="Q87">
        <v>10014.026094249542</v>
      </c>
      <c r="R87">
        <v>2.9299848766282848</v>
      </c>
      <c r="S87">
        <v>5727.5344368329706</v>
      </c>
      <c r="T87">
        <v>8.6237889405426902</v>
      </c>
      <c r="U87">
        <v>16857.782620972852</v>
      </c>
      <c r="V87">
        <v>5.8174033870101534</v>
      </c>
      <c r="W87">
        <v>11371.860140927447</v>
      </c>
      <c r="X87">
        <v>8.7707018696831103</v>
      </c>
      <c r="Y87">
        <v>17144.968014856542</v>
      </c>
      <c r="Z87">
        <v>4.9653063267066768</v>
      </c>
      <c r="AA87">
        <v>9706.1808074462115</v>
      </c>
      <c r="AB87">
        <v>5.9961308404664901</v>
      </c>
      <c r="AC87">
        <v>11721.236566943895</v>
      </c>
      <c r="AD87">
        <v>6.3077168537226695</v>
      </c>
      <c r="AE87">
        <v>12330.324905657075</v>
      </c>
      <c r="AF87">
        <v>8.0682284586042972</v>
      </c>
      <c r="AG87">
        <v>15771.772990879679</v>
      </c>
      <c r="AH87">
        <v>4.5885935806630886</v>
      </c>
      <c r="AI87">
        <v>8969.7827314802053</v>
      </c>
      <c r="AJ87">
        <v>2.8456303557632574</v>
      </c>
      <c r="AK87">
        <v>5562.6382194460157</v>
      </c>
      <c r="AL87">
        <v>4.8913461468099317</v>
      </c>
      <c r="AM87">
        <v>9561.6034477840549</v>
      </c>
      <c r="AN87">
        <v>3.2981434961588634</v>
      </c>
      <c r="AO87">
        <v>6447.210906291346</v>
      </c>
      <c r="AP87">
        <v>6.6971082894360787</v>
      </c>
      <c r="AQ87">
        <v>13091.507284189647</v>
      </c>
      <c r="AR87">
        <v>4.3543698486352111</v>
      </c>
      <c r="AS87">
        <v>8511.9221801121112</v>
      </c>
      <c r="AT87">
        <v>0</v>
      </c>
      <c r="AU87">
        <v>0</v>
      </c>
      <c r="AV87">
        <v>7.5159153248233368</v>
      </c>
      <c r="AW87">
        <v>14692.111276964659</v>
      </c>
      <c r="AX87">
        <v>3.5653753445318461</v>
      </c>
      <c r="AY87">
        <v>6969.5957234908528</v>
      </c>
      <c r="AZ87">
        <v>7.5434461501889905</v>
      </c>
      <c r="BA87">
        <v>14745.928534389439</v>
      </c>
      <c r="BB87">
        <v>9.1771871613261773</v>
      </c>
      <c r="BC87">
        <v>17939.565462960411</v>
      </c>
      <c r="BD87">
        <v>6.4355024968799821</v>
      </c>
      <c r="BE87">
        <v>12580.120280900988</v>
      </c>
      <c r="BF87">
        <v>6.7153069532660687</v>
      </c>
      <c r="BG87">
        <v>13127.082032244511</v>
      </c>
      <c r="BH87">
        <v>1.3201030762830732</v>
      </c>
      <c r="BI87">
        <v>2580.5374935181517</v>
      </c>
      <c r="BJ87">
        <v>1.3914599993254015</v>
      </c>
      <c r="BK87">
        <v>2720.0260066812948</v>
      </c>
      <c r="BL87">
        <v>0.87002991085829917</v>
      </c>
      <c r="BM87">
        <v>1700.7344697458032</v>
      </c>
      <c r="BN87">
        <v>0</v>
      </c>
      <c r="BO87">
        <v>0</v>
      </c>
      <c r="BP87">
        <v>3.4396386525915439</v>
      </c>
      <c r="BQ87">
        <v>6723.8056380859498</v>
      </c>
      <c r="BR87">
        <v>1.2737836700977023</v>
      </c>
      <c r="BS87">
        <v>2489.9923183069886</v>
      </c>
      <c r="BT87">
        <v>1.3809417696304278</v>
      </c>
      <c r="BU87">
        <v>2699.4649712735604</v>
      </c>
      <c r="BV87">
        <v>1.4648550222707775</v>
      </c>
      <c r="BW87">
        <v>2863.4985975349159</v>
      </c>
      <c r="BX87">
        <v>3.2533345955791382</v>
      </c>
      <c r="BY87">
        <v>6359.6184674380993</v>
      </c>
      <c r="BZ87">
        <v>3.5023142840163164</v>
      </c>
      <c r="CA87">
        <v>6846.3239623950949</v>
      </c>
      <c r="CB87">
        <v>3.2120155064641618</v>
      </c>
      <c r="CC87">
        <v>6278.8479120361435</v>
      </c>
      <c r="CD87">
        <v>2.9716606046199052</v>
      </c>
      <c r="CE87">
        <v>5809.0021499109907</v>
      </c>
      <c r="CF87">
        <v>1.7820706118047718</v>
      </c>
      <c r="CG87">
        <v>3483.5916319559678</v>
      </c>
      <c r="CH87">
        <v>2.5368937379005145</v>
      </c>
      <c r="CI87">
        <v>4959.119878847926</v>
      </c>
      <c r="CJ87">
        <v>1.8387149991085663</v>
      </c>
      <c r="CK87">
        <v>3594.3200802574252</v>
      </c>
      <c r="CL87">
        <v>1.4737791977587746</v>
      </c>
      <c r="CM87">
        <v>2880.9435757788524</v>
      </c>
      <c r="CN87">
        <v>0</v>
      </c>
      <c r="CO87">
        <v>0</v>
      </c>
      <c r="CP87">
        <v>12.26878709082612</v>
      </c>
      <c r="CQ87">
        <v>23983.025005146897</v>
      </c>
      <c r="CR87">
        <v>6.8421941382613314</v>
      </c>
      <c r="CS87">
        <v>13375.121101473251</v>
      </c>
      <c r="CT87">
        <v>6.9690720778395736</v>
      </c>
      <c r="CU87">
        <v>13623.142097760798</v>
      </c>
    </row>
    <row r="88" spans="2:99" x14ac:dyDescent="0.2">
      <c r="C88" s="105" t="s">
        <v>254</v>
      </c>
      <c r="D88">
        <v>8</v>
      </c>
      <c r="E88">
        <v>15139.199999999999</v>
      </c>
      <c r="F88">
        <v>8</v>
      </c>
      <c r="G88">
        <v>15139.199999999999</v>
      </c>
      <c r="H88">
        <v>9</v>
      </c>
      <c r="I88">
        <v>17031.599999999999</v>
      </c>
      <c r="J88">
        <v>10</v>
      </c>
      <c r="K88">
        <v>18924</v>
      </c>
      <c r="L88">
        <v>6.3615123007484931</v>
      </c>
      <c r="M88">
        <v>12038.525877936447</v>
      </c>
      <c r="N88">
        <v>2.6538154626309214</v>
      </c>
      <c r="O88">
        <v>5022.080381482755</v>
      </c>
      <c r="P88">
        <v>4.2689900476815801</v>
      </c>
      <c r="Q88">
        <v>8078.636766232622</v>
      </c>
      <c r="R88">
        <v>2.9299848766282848</v>
      </c>
      <c r="S88">
        <v>5544.7033805313658</v>
      </c>
      <c r="T88">
        <v>7.4739504151369971</v>
      </c>
      <c r="U88">
        <v>14143.703765605253</v>
      </c>
      <c r="V88">
        <v>5.4942143099540335</v>
      </c>
      <c r="W88">
        <v>10397.251160157011</v>
      </c>
      <c r="X88">
        <v>7.8936316827147994</v>
      </c>
      <c r="Y88">
        <v>14937.908596369485</v>
      </c>
      <c r="Z88">
        <v>5.8963012629641796</v>
      </c>
      <c r="AA88">
        <v>11158.160510033413</v>
      </c>
      <c r="AB88">
        <v>5.7893677080366102</v>
      </c>
      <c r="AC88">
        <v>10955.799450688481</v>
      </c>
      <c r="AD88">
        <v>6.0902093760080946</v>
      </c>
      <c r="AE88">
        <v>11525.112223157717</v>
      </c>
      <c r="AF88">
        <v>7.8501682299933702</v>
      </c>
      <c r="AG88">
        <v>14855.658358439452</v>
      </c>
      <c r="AH88">
        <v>4.8180232596962433</v>
      </c>
      <c r="AI88">
        <v>9117.6272166491708</v>
      </c>
      <c r="AJ88">
        <v>3.0645249985142771</v>
      </c>
      <c r="AK88">
        <v>5799.3071071884178</v>
      </c>
      <c r="AL88">
        <v>4.4750613683580225</v>
      </c>
      <c r="AM88">
        <v>8468.6061334807218</v>
      </c>
      <c r="AN88">
        <v>3.408081612697492</v>
      </c>
      <c r="AO88">
        <v>6449.4536438687337</v>
      </c>
      <c r="AP88">
        <v>5.5809235745300665</v>
      </c>
      <c r="AQ88">
        <v>10561.339772440697</v>
      </c>
      <c r="AR88">
        <v>4.6105092514961061</v>
      </c>
      <c r="AS88">
        <v>8724.9277075312311</v>
      </c>
      <c r="AT88">
        <v>0</v>
      </c>
      <c r="AU88">
        <v>0</v>
      </c>
      <c r="AV88">
        <v>7.5159153248233368</v>
      </c>
      <c r="AW88">
        <v>14223.118160695682</v>
      </c>
      <c r="AX88">
        <v>3.8030670341673023</v>
      </c>
      <c r="AY88">
        <v>7196.924055458202</v>
      </c>
      <c r="AZ88">
        <v>8.2977907652078891</v>
      </c>
      <c r="BA88">
        <v>15702.739244079408</v>
      </c>
      <c r="BB88">
        <v>8.7183278032598697</v>
      </c>
      <c r="BC88">
        <v>16498.563534888977</v>
      </c>
      <c r="BD88">
        <v>6.8645359966719814</v>
      </c>
      <c r="BE88">
        <v>12990.447920102057</v>
      </c>
      <c r="BF88">
        <v>6.3422343447512874</v>
      </c>
      <c r="BG88">
        <v>12002.044274007336</v>
      </c>
      <c r="BH88">
        <v>1.2100944865928172</v>
      </c>
      <c r="BI88">
        <v>2289.9828064282469</v>
      </c>
      <c r="BJ88">
        <v>1.5460666659171127</v>
      </c>
      <c r="BK88">
        <v>2925.7765585815441</v>
      </c>
      <c r="BL88">
        <v>0.87002991085829917</v>
      </c>
      <c r="BM88">
        <v>1646.4446033082452</v>
      </c>
      <c r="BN88">
        <v>0</v>
      </c>
      <c r="BO88">
        <v>0</v>
      </c>
      <c r="BP88">
        <v>3.4396386525915439</v>
      </c>
      <c r="BQ88">
        <v>6509.1721861642372</v>
      </c>
      <c r="BR88">
        <v>1.2737836700977023</v>
      </c>
      <c r="BS88">
        <v>2410.5082172928919</v>
      </c>
      <c r="BT88">
        <v>1.6320220913814147</v>
      </c>
      <c r="BU88">
        <v>3088.438605730189</v>
      </c>
      <c r="BV88">
        <v>1.6902173333893584</v>
      </c>
      <c r="BW88">
        <v>3198.5672817060217</v>
      </c>
      <c r="BX88">
        <v>2.8466677711317461</v>
      </c>
      <c r="BY88">
        <v>5387.0340900897163</v>
      </c>
      <c r="BZ88">
        <v>4.2806063471310543</v>
      </c>
      <c r="CA88">
        <v>8100.6194513108067</v>
      </c>
      <c r="CB88">
        <v>3.2120155064641618</v>
      </c>
      <c r="CC88">
        <v>6078.4181444327796</v>
      </c>
      <c r="CD88">
        <v>2.9716606046199052</v>
      </c>
      <c r="CE88">
        <v>5623.5705281827086</v>
      </c>
      <c r="CF88">
        <v>1.6038635506242944</v>
      </c>
      <c r="CG88">
        <v>3035.1513832014143</v>
      </c>
      <c r="CH88">
        <v>2.3876646944946023</v>
      </c>
      <c r="CI88">
        <v>4518.4166678615848</v>
      </c>
      <c r="CJ88">
        <v>2.145167498959994</v>
      </c>
      <c r="CK88">
        <v>4059.5149750318924</v>
      </c>
      <c r="CL88">
        <v>1.6375324419541939</v>
      </c>
      <c r="CM88">
        <v>3098.8663931541164</v>
      </c>
      <c r="CN88">
        <v>0</v>
      </c>
      <c r="CO88">
        <v>0</v>
      </c>
      <c r="CP88">
        <v>13.166503219423156</v>
      </c>
      <c r="CQ88">
        <v>24916.290692436378</v>
      </c>
      <c r="CR88">
        <v>7.8196504437272365</v>
      </c>
      <c r="CS88">
        <v>14797.906499709421</v>
      </c>
      <c r="CT88">
        <v>6.9690720778395736</v>
      </c>
      <c r="CU88">
        <v>13188.272000103609</v>
      </c>
    </row>
    <row r="89" spans="2:99" x14ac:dyDescent="0.2">
      <c r="C89" s="105" t="s">
        <v>255</v>
      </c>
      <c r="D89">
        <v>8</v>
      </c>
      <c r="E89">
        <v>19180.8</v>
      </c>
      <c r="F89">
        <v>7</v>
      </c>
      <c r="G89">
        <v>16783.2</v>
      </c>
      <c r="H89">
        <v>9</v>
      </c>
      <c r="I89">
        <v>21578.399999999998</v>
      </c>
      <c r="J89">
        <v>10</v>
      </c>
      <c r="K89">
        <v>23976</v>
      </c>
      <c r="L89">
        <v>5.4527248292129942</v>
      </c>
      <c r="M89">
        <v>13073.453050521075</v>
      </c>
      <c r="N89">
        <v>2.6538154626309214</v>
      </c>
      <c r="O89">
        <v>6362.7879532038969</v>
      </c>
      <c r="P89">
        <v>4.6958890524497381</v>
      </c>
      <c r="Q89">
        <v>11258.863592153491</v>
      </c>
      <c r="R89">
        <v>2.9299848766282848</v>
      </c>
      <c r="S89">
        <v>7024.9317402039751</v>
      </c>
      <c r="T89">
        <v>8.3363293091912674</v>
      </c>
      <c r="U89">
        <v>19987.183151716981</v>
      </c>
      <c r="V89">
        <v>4.5246470787856747</v>
      </c>
      <c r="W89">
        <v>10848.293836096533</v>
      </c>
      <c r="X89">
        <v>6.7242047667570519</v>
      </c>
      <c r="Y89">
        <v>16121.953348776708</v>
      </c>
      <c r="Z89">
        <v>5.2756379721258444</v>
      </c>
      <c r="AA89">
        <v>12648.869601968923</v>
      </c>
      <c r="AB89">
        <v>6.2028939728963683</v>
      </c>
      <c r="AC89">
        <v>14872.058589416332</v>
      </c>
      <c r="AD89">
        <v>5.4376869428643708</v>
      </c>
      <c r="AE89">
        <v>13037.398214211615</v>
      </c>
      <c r="AF89">
        <v>8.2862886872152242</v>
      </c>
      <c r="AG89">
        <v>19867.205756467221</v>
      </c>
      <c r="AH89">
        <v>4.8180232596962433</v>
      </c>
      <c r="AI89">
        <v>11551.692567447713</v>
      </c>
      <c r="AJ89">
        <v>2.7361830343877473</v>
      </c>
      <c r="AK89">
        <v>6560.2724432480627</v>
      </c>
      <c r="AL89">
        <v>4.3709901737450458</v>
      </c>
      <c r="AM89">
        <v>10479.886040571122</v>
      </c>
      <c r="AN89">
        <v>3.408081612697492</v>
      </c>
      <c r="AO89">
        <v>8171.2164746035069</v>
      </c>
      <c r="AP89">
        <v>5.7204466638933171</v>
      </c>
      <c r="AQ89">
        <v>13715.342921350617</v>
      </c>
      <c r="AR89">
        <v>4.0982304457743171</v>
      </c>
      <c r="AS89">
        <v>9825.9173167885019</v>
      </c>
      <c r="AT89">
        <v>0</v>
      </c>
      <c r="AU89">
        <v>0</v>
      </c>
      <c r="AV89">
        <v>7.0148543031684474</v>
      </c>
      <c r="AW89">
        <v>16818.81467727667</v>
      </c>
      <c r="AX89">
        <v>4.0407587238027594</v>
      </c>
      <c r="AY89">
        <v>9688.1231161894957</v>
      </c>
      <c r="AZ89">
        <v>7.1662738426795398</v>
      </c>
      <c r="BA89">
        <v>17181.858165208465</v>
      </c>
      <c r="BB89">
        <v>8.2594684451935603</v>
      </c>
      <c r="BC89">
        <v>19802.90154419608</v>
      </c>
      <c r="BD89">
        <v>6.8645359966719814</v>
      </c>
      <c r="BE89">
        <v>16458.411505620741</v>
      </c>
      <c r="BF89">
        <v>7.0883795617808492</v>
      </c>
      <c r="BG89">
        <v>16995.098837325764</v>
      </c>
      <c r="BH89">
        <v>1.2100944865928172</v>
      </c>
      <c r="BI89">
        <v>2901.3225410549385</v>
      </c>
      <c r="BJ89">
        <v>1.3914599993254015</v>
      </c>
      <c r="BK89">
        <v>3336.1644943825827</v>
      </c>
      <c r="BL89">
        <v>0.76127617200101183</v>
      </c>
      <c r="BM89">
        <v>1825.2357499896259</v>
      </c>
      <c r="BN89">
        <v>0</v>
      </c>
      <c r="BO89">
        <v>0</v>
      </c>
      <c r="BP89">
        <v>3.1939501774064332</v>
      </c>
      <c r="BQ89">
        <v>7657.8149453496635</v>
      </c>
      <c r="BR89">
        <v>1.2737836700977023</v>
      </c>
      <c r="BS89">
        <v>3054.0237274262508</v>
      </c>
      <c r="BT89">
        <v>1.3809417696304278</v>
      </c>
      <c r="BU89">
        <v>3310.9459868659137</v>
      </c>
      <c r="BV89">
        <v>1.5775361778300678</v>
      </c>
      <c r="BW89">
        <v>3782.3007399653707</v>
      </c>
      <c r="BX89">
        <v>3.2533345955791382</v>
      </c>
      <c r="BY89">
        <v>7800.1950263605413</v>
      </c>
      <c r="BZ89">
        <v>3.8914603155736853</v>
      </c>
      <c r="CA89">
        <v>9330.1652526194684</v>
      </c>
      <c r="CB89">
        <v>3.2120155064641618</v>
      </c>
      <c r="CC89">
        <v>7701.1283782984738</v>
      </c>
      <c r="CD89">
        <v>2.600203029042417</v>
      </c>
      <c r="CE89">
        <v>6234.2467824320984</v>
      </c>
      <c r="CF89">
        <v>1.7820706118047718</v>
      </c>
      <c r="CG89">
        <v>4272.6924988631208</v>
      </c>
      <c r="CH89">
        <v>2.3876646944946023</v>
      </c>
      <c r="CI89">
        <v>5724.6648715202582</v>
      </c>
      <c r="CJ89">
        <v>1.9919412490342803</v>
      </c>
      <c r="CK89">
        <v>4775.8783386845898</v>
      </c>
      <c r="CL89">
        <v>1.3100259535633552</v>
      </c>
      <c r="CM89">
        <v>3140.9182262635004</v>
      </c>
      <c r="CN89">
        <v>0</v>
      </c>
      <c r="CO89">
        <v>0</v>
      </c>
      <c r="CP89">
        <v>11.071832252696742</v>
      </c>
      <c r="CQ89">
        <v>26545.825009065709</v>
      </c>
      <c r="CR89">
        <v>7.5403772135941205</v>
      </c>
      <c r="CS89">
        <v>18078.808407313263</v>
      </c>
      <c r="CT89">
        <v>6.9690720778395736</v>
      </c>
      <c r="CU89">
        <v>16709.047213828162</v>
      </c>
    </row>
    <row r="90" spans="2:99" x14ac:dyDescent="0.2">
      <c r="C90" s="105" t="s">
        <v>256</v>
      </c>
      <c r="D90">
        <v>8</v>
      </c>
      <c r="E90">
        <v>17577.599999999999</v>
      </c>
      <c r="F90">
        <v>7</v>
      </c>
      <c r="G90">
        <v>15380.399999999998</v>
      </c>
      <c r="H90">
        <v>9</v>
      </c>
      <c r="I90">
        <v>19774.8</v>
      </c>
      <c r="J90">
        <v>11</v>
      </c>
      <c r="K90">
        <v>24169.199999999997</v>
      </c>
      <c r="L90">
        <v>6.3615123007484931</v>
      </c>
      <c r="M90">
        <v>13977.514827204588</v>
      </c>
      <c r="N90">
        <v>2.6538154626309214</v>
      </c>
      <c r="O90">
        <v>5830.9633344926597</v>
      </c>
      <c r="P90">
        <v>4.6958890524497381</v>
      </c>
      <c r="Q90">
        <v>10317.807426042564</v>
      </c>
      <c r="R90">
        <v>2.9299848766282848</v>
      </c>
      <c r="S90">
        <v>6437.7627709276667</v>
      </c>
      <c r="T90">
        <v>8.0488696778398428</v>
      </c>
      <c r="U90">
        <v>17684.9764561497</v>
      </c>
      <c r="V90">
        <v>4.5246470787856747</v>
      </c>
      <c r="W90">
        <v>9941.5545615078845</v>
      </c>
      <c r="X90">
        <v>7.0165614957464877</v>
      </c>
      <c r="Y90">
        <v>15416.788918454182</v>
      </c>
      <c r="Z90">
        <v>5.2756379721258444</v>
      </c>
      <c r="AA90">
        <v>11591.631752354904</v>
      </c>
      <c r="AB90">
        <v>5.9961308404664901</v>
      </c>
      <c r="AC90">
        <v>13174.698682672972</v>
      </c>
      <c r="AD90">
        <v>5.8727018982935197</v>
      </c>
      <c r="AE90">
        <v>12903.500610930521</v>
      </c>
      <c r="AF90">
        <v>7.6321080013824441</v>
      </c>
      <c r="AG90">
        <v>16769.267700637505</v>
      </c>
      <c r="AH90">
        <v>5.047452938729398</v>
      </c>
      <c r="AI90">
        <v>11090.263596976232</v>
      </c>
      <c r="AJ90">
        <v>2.955077677138767</v>
      </c>
      <c r="AK90">
        <v>6492.8966722092982</v>
      </c>
      <c r="AL90">
        <v>4.579132562971</v>
      </c>
      <c r="AM90">
        <v>10061.270067359881</v>
      </c>
      <c r="AN90">
        <v>3.5180197292361206</v>
      </c>
      <c r="AO90">
        <v>7729.7929490776032</v>
      </c>
      <c r="AP90">
        <v>6.1390159319830726</v>
      </c>
      <c r="AQ90">
        <v>13488.645805753205</v>
      </c>
      <c r="AR90">
        <v>4.0982304457743171</v>
      </c>
      <c r="AS90">
        <v>9004.6319354553289</v>
      </c>
      <c r="AT90">
        <v>0</v>
      </c>
      <c r="AU90">
        <v>0</v>
      </c>
      <c r="AV90">
        <v>7.5159153248233368</v>
      </c>
      <c r="AW90">
        <v>16513.969151701833</v>
      </c>
      <c r="AX90">
        <v>3.3276836548963895</v>
      </c>
      <c r="AY90">
        <v>7311.5865265383463</v>
      </c>
      <c r="AZ90">
        <v>6.789101535170091</v>
      </c>
      <c r="BA90">
        <v>14917.013893075722</v>
      </c>
      <c r="BB90">
        <v>8.2594684451935603</v>
      </c>
      <c r="BC90">
        <v>18147.70406777929</v>
      </c>
      <c r="BD90">
        <v>6.0064689970879837</v>
      </c>
      <c r="BE90">
        <v>13197.413680401716</v>
      </c>
      <c r="BF90">
        <v>7.0883795617808492</v>
      </c>
      <c r="BG90">
        <v>15574.587573144881</v>
      </c>
      <c r="BH90">
        <v>1.1000858969025611</v>
      </c>
      <c r="BI90">
        <v>2417.1087326743072</v>
      </c>
      <c r="BJ90">
        <v>1.3914599993254015</v>
      </c>
      <c r="BK90">
        <v>3057.315910517772</v>
      </c>
      <c r="BL90">
        <v>0.76127617200101183</v>
      </c>
      <c r="BM90">
        <v>1672.6760051206231</v>
      </c>
      <c r="BN90">
        <v>0</v>
      </c>
      <c r="BO90">
        <v>0</v>
      </c>
      <c r="BP90">
        <v>3.1939501774064332</v>
      </c>
      <c r="BQ90">
        <v>7017.7473297974147</v>
      </c>
      <c r="BR90">
        <v>1.1579851546342748</v>
      </c>
      <c r="BS90">
        <v>2544.3249817624283</v>
      </c>
      <c r="BT90">
        <v>1.3809417696304278</v>
      </c>
      <c r="BU90">
        <v>3034.2052562319759</v>
      </c>
      <c r="BV90">
        <v>1.4648550222707775</v>
      </c>
      <c r="BW90">
        <v>3218.5794549333518</v>
      </c>
      <c r="BX90">
        <v>2.8466677711317461</v>
      </c>
      <c r="BY90">
        <v>6254.6984267306716</v>
      </c>
      <c r="BZ90">
        <v>3.8914603155736853</v>
      </c>
      <c r="CA90">
        <v>8550.3166053785008</v>
      </c>
      <c r="CB90">
        <v>3.2120155064641618</v>
      </c>
      <c r="CC90">
        <v>7057.4404708030561</v>
      </c>
      <c r="CD90">
        <v>3.343118180197393</v>
      </c>
      <c r="CE90">
        <v>7345.499265529711</v>
      </c>
      <c r="CF90">
        <v>1.6038635506242944</v>
      </c>
      <c r="CG90">
        <v>3524.0089934316993</v>
      </c>
      <c r="CH90">
        <v>2.0892066076827769</v>
      </c>
      <c r="CI90">
        <v>4590.4047584005966</v>
      </c>
      <c r="CJ90">
        <v>1.8387149991085663</v>
      </c>
      <c r="CK90">
        <v>4040.0245960413413</v>
      </c>
      <c r="CL90">
        <v>1.4737791977587746</v>
      </c>
      <c r="CM90">
        <v>3238.1876533155792</v>
      </c>
      <c r="CN90">
        <v>0</v>
      </c>
      <c r="CO90">
        <v>0</v>
      </c>
      <c r="CP90">
        <v>13.166503219423156</v>
      </c>
      <c r="CQ90">
        <v>28929.440873716554</v>
      </c>
      <c r="CR90">
        <v>7.6800138286606785</v>
      </c>
      <c r="CS90">
        <v>16874.526384333243</v>
      </c>
      <c r="CT90">
        <v>7.6950170859478639</v>
      </c>
      <c r="CU90">
        <v>16907.491541244646</v>
      </c>
    </row>
    <row r="91" spans="2:99" x14ac:dyDescent="0.2">
      <c r="C91" s="105" t="s">
        <v>257</v>
      </c>
      <c r="D91">
        <v>9</v>
      </c>
      <c r="E91">
        <v>20671.199999999997</v>
      </c>
      <c r="F91">
        <v>8</v>
      </c>
      <c r="G91">
        <v>18374.399999999998</v>
      </c>
      <c r="H91">
        <v>10</v>
      </c>
      <c r="I91">
        <v>22967.999999999996</v>
      </c>
      <c r="J91">
        <v>9</v>
      </c>
      <c r="K91">
        <v>20671.199999999997</v>
      </c>
      <c r="L91">
        <v>6.3615123007484931</v>
      </c>
      <c r="M91">
        <v>14611.121452359137</v>
      </c>
      <c r="N91">
        <v>2.6538154626309214</v>
      </c>
      <c r="O91">
        <v>6095.2833545706999</v>
      </c>
      <c r="P91">
        <v>4.2689900476815801</v>
      </c>
      <c r="Q91">
        <v>9805.0163415150528</v>
      </c>
      <c r="R91">
        <v>2.5114156085385297</v>
      </c>
      <c r="S91">
        <v>5768.2193696912946</v>
      </c>
      <c r="T91">
        <v>8.3363293091912674</v>
      </c>
      <c r="U91">
        <v>19146.881157350501</v>
      </c>
      <c r="V91">
        <v>4.8478361558417946</v>
      </c>
      <c r="W91">
        <v>11134.510082737432</v>
      </c>
      <c r="X91">
        <v>8.185988411704237</v>
      </c>
      <c r="Y91">
        <v>18801.57818400229</v>
      </c>
      <c r="Z91">
        <v>5.2756379721258444</v>
      </c>
      <c r="AA91">
        <v>12117.085294378638</v>
      </c>
      <c r="AB91">
        <v>5.9961308404664901</v>
      </c>
      <c r="AC91">
        <v>13771.913314383433</v>
      </c>
      <c r="AD91">
        <v>5.8727018982935197</v>
      </c>
      <c r="AE91">
        <v>13488.421720000555</v>
      </c>
      <c r="AF91">
        <v>8.2862886872152242</v>
      </c>
      <c r="AG91">
        <v>19031.947856795923</v>
      </c>
      <c r="AH91">
        <v>4.3591639016299348</v>
      </c>
      <c r="AI91">
        <v>10012.127649263633</v>
      </c>
      <c r="AJ91">
        <v>2.955077677138767</v>
      </c>
      <c r="AK91">
        <v>6787.2224088523189</v>
      </c>
      <c r="AL91">
        <v>4.579132562971</v>
      </c>
      <c r="AM91">
        <v>10517.351670631791</v>
      </c>
      <c r="AN91">
        <v>3.5180197292361206</v>
      </c>
      <c r="AO91">
        <v>8080.187714109521</v>
      </c>
      <c r="AP91">
        <v>5.5809235745300665</v>
      </c>
      <c r="AQ91">
        <v>12818.265265980655</v>
      </c>
      <c r="AR91">
        <v>4.0982304457743171</v>
      </c>
      <c r="AS91">
        <v>9412.8156878544505</v>
      </c>
      <c r="AT91">
        <v>0</v>
      </c>
      <c r="AU91">
        <v>0</v>
      </c>
      <c r="AV91">
        <v>7.0148543031684474</v>
      </c>
      <c r="AW91">
        <v>16111.717363517288</v>
      </c>
      <c r="AX91">
        <v>3.8030670341673023</v>
      </c>
      <c r="AY91">
        <v>8734.8843640754585</v>
      </c>
      <c r="AZ91">
        <v>6.789101535170091</v>
      </c>
      <c r="BA91">
        <v>15593.208405978663</v>
      </c>
      <c r="BB91">
        <v>7.8006090871272509</v>
      </c>
      <c r="BC91">
        <v>17916.438951313867</v>
      </c>
      <c r="BD91">
        <v>6.0064689970879837</v>
      </c>
      <c r="BE91">
        <v>13795.657992511678</v>
      </c>
      <c r="BF91">
        <v>7.0883795617808492</v>
      </c>
      <c r="BG91">
        <v>16280.590177498252</v>
      </c>
      <c r="BH91">
        <v>1.3201030762830732</v>
      </c>
      <c r="BI91">
        <v>3032.0127456069622</v>
      </c>
      <c r="BJ91">
        <v>1.3914599993254015</v>
      </c>
      <c r="BK91">
        <v>3195.9053264505819</v>
      </c>
      <c r="BL91">
        <v>0.87002991085829917</v>
      </c>
      <c r="BM91">
        <v>1998.2846992593413</v>
      </c>
      <c r="BN91">
        <v>0</v>
      </c>
      <c r="BO91">
        <v>0</v>
      </c>
      <c r="BP91">
        <v>3.1939501774064332</v>
      </c>
      <c r="BQ91">
        <v>7335.8647674670947</v>
      </c>
      <c r="BR91">
        <v>1.1579851546342748</v>
      </c>
      <c r="BS91">
        <v>2659.660303164002</v>
      </c>
      <c r="BT91">
        <v>1.5064819305059212</v>
      </c>
      <c r="BU91">
        <v>3460.0876979859995</v>
      </c>
      <c r="BV91">
        <v>1.4648550222707775</v>
      </c>
      <c r="BW91">
        <v>3364.4790151515213</v>
      </c>
      <c r="BX91">
        <v>3.2533345955791382</v>
      </c>
      <c r="BY91">
        <v>7472.2588991261637</v>
      </c>
      <c r="BZ91">
        <v>3.8914603155736853</v>
      </c>
      <c r="CA91">
        <v>8937.9060528096397</v>
      </c>
      <c r="CB91">
        <v>2.7531561483978537</v>
      </c>
      <c r="CC91">
        <v>6323.4490416401895</v>
      </c>
      <c r="CD91">
        <v>2.9716606046199052</v>
      </c>
      <c r="CE91">
        <v>6825.3100766909974</v>
      </c>
      <c r="CF91">
        <v>1.7820706118047718</v>
      </c>
      <c r="CG91">
        <v>4093.0597811931993</v>
      </c>
      <c r="CH91">
        <v>2.2384356510886891</v>
      </c>
      <c r="CI91">
        <v>5141.2390034205009</v>
      </c>
      <c r="CJ91">
        <v>2.145167498959994</v>
      </c>
      <c r="CK91">
        <v>4927.0207116113133</v>
      </c>
      <c r="CL91">
        <v>1.4737791977587746</v>
      </c>
      <c r="CM91">
        <v>3384.9760614123534</v>
      </c>
      <c r="CN91">
        <v>0</v>
      </c>
      <c r="CO91">
        <v>0</v>
      </c>
      <c r="CP91">
        <v>11.071832252696742</v>
      </c>
      <c r="CQ91">
        <v>25429.784317993875</v>
      </c>
      <c r="CR91">
        <v>7.6800138286606785</v>
      </c>
      <c r="CS91">
        <v>17639.455761667843</v>
      </c>
      <c r="CT91">
        <v>7.5498280843262062</v>
      </c>
      <c r="CU91">
        <v>17340.44514408043</v>
      </c>
    </row>
    <row r="92" spans="2:99" x14ac:dyDescent="0.2">
      <c r="C92" s="105" t="s">
        <v>258</v>
      </c>
      <c r="D92">
        <v>9</v>
      </c>
      <c r="E92">
        <v>12787.199999999999</v>
      </c>
      <c r="F92">
        <v>8</v>
      </c>
      <c r="G92">
        <v>11366.4</v>
      </c>
      <c r="H92">
        <v>9</v>
      </c>
      <c r="I92">
        <v>12787.199999999999</v>
      </c>
      <c r="J92">
        <v>10</v>
      </c>
      <c r="K92">
        <v>14208</v>
      </c>
      <c r="L92">
        <v>6.3615123007484931</v>
      </c>
      <c r="M92">
        <v>9038.4366769034586</v>
      </c>
      <c r="N92">
        <v>2.6538154626309214</v>
      </c>
      <c r="O92">
        <v>3770.5410093060132</v>
      </c>
      <c r="P92">
        <v>5.1227880572178961</v>
      </c>
      <c r="Q92">
        <v>7278.4572716951861</v>
      </c>
      <c r="R92">
        <v>2.9299848766282848</v>
      </c>
      <c r="S92">
        <v>4162.9225127134669</v>
      </c>
      <c r="T92">
        <v>9.1987082032455358</v>
      </c>
      <c r="U92">
        <v>13069.524615171256</v>
      </c>
      <c r="V92">
        <v>5.8174033870101534</v>
      </c>
      <c r="W92">
        <v>8265.3667322640249</v>
      </c>
      <c r="X92">
        <v>9.0630585986725478</v>
      </c>
      <c r="Y92">
        <v>12876.793656993956</v>
      </c>
      <c r="Z92">
        <v>5.8963012629641796</v>
      </c>
      <c r="AA92">
        <v>8377.4648344195066</v>
      </c>
      <c r="AB92">
        <v>7.443472767475642</v>
      </c>
      <c r="AC92">
        <v>10575.686108029391</v>
      </c>
      <c r="AD92">
        <v>7.3952542422955441</v>
      </c>
      <c r="AE92">
        <v>10507.177227453509</v>
      </c>
      <c r="AF92">
        <v>9.5946500588807861</v>
      </c>
      <c r="AG92">
        <v>13632.07880365782</v>
      </c>
      <c r="AH92">
        <v>4.8180232596962433</v>
      </c>
      <c r="AI92">
        <v>6845.4474473764221</v>
      </c>
      <c r="AJ92">
        <v>3.1739723198897871</v>
      </c>
      <c r="AK92">
        <v>4509.5798720994098</v>
      </c>
      <c r="AL92">
        <v>5.5157733144877952</v>
      </c>
      <c r="AM92">
        <v>7836.8107252242589</v>
      </c>
      <c r="AN92">
        <v>4.1776484284678936</v>
      </c>
      <c r="AO92">
        <v>5935.6028871671833</v>
      </c>
      <c r="AP92">
        <v>6.9761544681625818</v>
      </c>
      <c r="AQ92">
        <v>9911.7202683653959</v>
      </c>
      <c r="AR92">
        <v>4.3543698486352111</v>
      </c>
      <c r="AS92">
        <v>6186.6886809409079</v>
      </c>
      <c r="AT92">
        <v>0</v>
      </c>
      <c r="AU92">
        <v>0</v>
      </c>
      <c r="AV92">
        <v>7.0148543031684474</v>
      </c>
      <c r="AW92">
        <v>9966.7049939417302</v>
      </c>
      <c r="AX92">
        <v>4.2784504134382155</v>
      </c>
      <c r="AY92">
        <v>6078.8223474130164</v>
      </c>
      <c r="AZ92">
        <v>7.9206184576984402</v>
      </c>
      <c r="BA92">
        <v>11253.614704697944</v>
      </c>
      <c r="BB92">
        <v>9.1771871613261773</v>
      </c>
      <c r="BC92">
        <v>13038.947518812232</v>
      </c>
      <c r="BD92">
        <v>7.2935694964639799</v>
      </c>
      <c r="BE92">
        <v>10362.703540576022</v>
      </c>
      <c r="BF92">
        <v>6.7153069532660687</v>
      </c>
      <c r="BG92">
        <v>9541.1081192004294</v>
      </c>
      <c r="BH92">
        <v>1.3201030762830732</v>
      </c>
      <c r="BI92">
        <v>1875.6024507829904</v>
      </c>
      <c r="BJ92">
        <v>1.5460666659171127</v>
      </c>
      <c r="BK92">
        <v>2196.6515189350339</v>
      </c>
      <c r="BL92">
        <v>0.97878364971558662</v>
      </c>
      <c r="BM92">
        <v>1390.6558095159055</v>
      </c>
      <c r="BN92">
        <v>0</v>
      </c>
      <c r="BO92">
        <v>0</v>
      </c>
      <c r="BP92">
        <v>3.1939501774064332</v>
      </c>
      <c r="BQ92">
        <v>4537.9644120590601</v>
      </c>
      <c r="BR92">
        <v>1.2737836700977023</v>
      </c>
      <c r="BS92">
        <v>1809.7918384748154</v>
      </c>
      <c r="BT92">
        <v>1.3809417696304278</v>
      </c>
      <c r="BU92">
        <v>1962.0420662909119</v>
      </c>
      <c r="BV92">
        <v>1.5775361778300678</v>
      </c>
      <c r="BW92">
        <v>2241.3634014609602</v>
      </c>
      <c r="BX92">
        <v>2.8466677711317461</v>
      </c>
      <c r="BY92">
        <v>4044.5455692239848</v>
      </c>
      <c r="BZ92">
        <v>4.6697523786884219</v>
      </c>
      <c r="CA92">
        <v>6634.7841796405091</v>
      </c>
      <c r="CB92">
        <v>3.2120155064641618</v>
      </c>
      <c r="CC92">
        <v>4563.6316315842805</v>
      </c>
      <c r="CD92">
        <v>2.9716606046199052</v>
      </c>
      <c r="CE92">
        <v>4222.1353870439616</v>
      </c>
      <c r="CF92">
        <v>1.9602776729852489</v>
      </c>
      <c r="CG92">
        <v>2785.1625177774417</v>
      </c>
      <c r="CH92">
        <v>2.2384356510886891</v>
      </c>
      <c r="CI92">
        <v>3180.3693730668092</v>
      </c>
      <c r="CJ92">
        <v>2.145167498959994</v>
      </c>
      <c r="CK92">
        <v>3047.8539825223593</v>
      </c>
      <c r="CL92">
        <v>1.6375324419541939</v>
      </c>
      <c r="CM92">
        <v>2326.6060935285186</v>
      </c>
      <c r="CN92">
        <v>0</v>
      </c>
      <c r="CO92">
        <v>0</v>
      </c>
      <c r="CP92">
        <v>14.662696767084876</v>
      </c>
      <c r="CQ92">
        <v>20832.759566674191</v>
      </c>
      <c r="CR92">
        <v>8.5178335190600247</v>
      </c>
      <c r="CS92">
        <v>12102.137863880484</v>
      </c>
      <c r="CT92">
        <v>8.2757730924344948</v>
      </c>
      <c r="CU92">
        <v>11758.218409730929</v>
      </c>
    </row>
    <row r="93" spans="2:99" x14ac:dyDescent="0.2">
      <c r="C93" s="105" t="s">
        <v>259</v>
      </c>
      <c r="D93">
        <v>8</v>
      </c>
      <c r="E93">
        <v>14179.199999999999</v>
      </c>
      <c r="F93">
        <v>8</v>
      </c>
      <c r="G93">
        <v>14179.199999999999</v>
      </c>
      <c r="H93">
        <v>9</v>
      </c>
      <c r="I93">
        <v>15951.599999999999</v>
      </c>
      <c r="J93">
        <v>10</v>
      </c>
      <c r="K93">
        <v>17724</v>
      </c>
      <c r="L93">
        <v>5.4527248292129942</v>
      </c>
      <c r="M93">
        <v>9664.4094872971109</v>
      </c>
      <c r="N93">
        <v>2.6538154626309214</v>
      </c>
      <c r="O93">
        <v>4703.6225259670446</v>
      </c>
      <c r="P93">
        <v>4.2689900476815801</v>
      </c>
      <c r="Q93">
        <v>7566.3579605108316</v>
      </c>
      <c r="R93">
        <v>2.9299848766282848</v>
      </c>
      <c r="S93">
        <v>5193.105195335972</v>
      </c>
      <c r="T93">
        <v>8.0488696778398428</v>
      </c>
      <c r="U93">
        <v>14265.816617003336</v>
      </c>
      <c r="V93">
        <v>5.4942143099540335</v>
      </c>
      <c r="W93">
        <v>9737.9454429625275</v>
      </c>
      <c r="X93">
        <v>8.4783451406936727</v>
      </c>
      <c r="Y93">
        <v>15027.018927365465</v>
      </c>
      <c r="Z93">
        <v>5.8963012629641796</v>
      </c>
      <c r="AA93">
        <v>10450.604358477711</v>
      </c>
      <c r="AB93">
        <v>7.0299465026158847</v>
      </c>
      <c r="AC93">
        <v>12459.877181236394</v>
      </c>
      <c r="AD93">
        <v>6.9602392868663934</v>
      </c>
      <c r="AE93">
        <v>12336.328112041994</v>
      </c>
      <c r="AF93">
        <v>8.9404693730480069</v>
      </c>
      <c r="AG93">
        <v>15846.087916790286</v>
      </c>
      <c r="AH93">
        <v>5.2768826177625527</v>
      </c>
      <c r="AI93">
        <v>9352.7467517223486</v>
      </c>
      <c r="AJ93">
        <v>3.2834196412652972</v>
      </c>
      <c r="AK93">
        <v>5819.532972178612</v>
      </c>
      <c r="AL93">
        <v>4.579132562971</v>
      </c>
      <c r="AM93">
        <v>8116.0545546098001</v>
      </c>
      <c r="AN93">
        <v>3.7378959623133783</v>
      </c>
      <c r="AO93">
        <v>6625.0468036042312</v>
      </c>
      <c r="AP93">
        <v>6.4180621107095757</v>
      </c>
      <c r="AQ93">
        <v>11375.373285021651</v>
      </c>
      <c r="AR93">
        <v>4.6105092514961061</v>
      </c>
      <c r="AS93">
        <v>8171.6665973516983</v>
      </c>
      <c r="AT93">
        <v>0</v>
      </c>
      <c r="AU93">
        <v>0</v>
      </c>
      <c r="AV93">
        <v>7.5159153248233368</v>
      </c>
      <c r="AW93">
        <v>13321.208321716882</v>
      </c>
      <c r="AX93">
        <v>3.5653753445318461</v>
      </c>
      <c r="AY93">
        <v>6319.2712606482437</v>
      </c>
      <c r="AZ93">
        <v>8.2977907652078891</v>
      </c>
      <c r="BA93">
        <v>14707.004352254462</v>
      </c>
      <c r="BB93">
        <v>8.2594684451935603</v>
      </c>
      <c r="BC93">
        <v>14639.081872261066</v>
      </c>
      <c r="BD93">
        <v>6.0064689970879837</v>
      </c>
      <c r="BE93">
        <v>10645.865650438742</v>
      </c>
      <c r="BF93">
        <v>6.7153069532660687</v>
      </c>
      <c r="BG93">
        <v>11902.21004396878</v>
      </c>
      <c r="BH93">
        <v>1.2100944865928172</v>
      </c>
      <c r="BI93">
        <v>2144.7714680371091</v>
      </c>
      <c r="BJ93">
        <v>1.3914599993254015</v>
      </c>
      <c r="BK93">
        <v>2466.2237028043414</v>
      </c>
      <c r="BL93">
        <v>0.87002991085829917</v>
      </c>
      <c r="BM93">
        <v>1542.0410140052493</v>
      </c>
      <c r="BN93">
        <v>0</v>
      </c>
      <c r="BO93">
        <v>0</v>
      </c>
      <c r="BP93">
        <v>3.4396386525915439</v>
      </c>
      <c r="BQ93">
        <v>6096.4155478532521</v>
      </c>
      <c r="BR93">
        <v>1.2737836700977023</v>
      </c>
      <c r="BS93">
        <v>2257.6541768811676</v>
      </c>
      <c r="BT93">
        <v>1.6320220913814147</v>
      </c>
      <c r="BU93">
        <v>2892.5959547644193</v>
      </c>
      <c r="BV93">
        <v>1.4648550222707775</v>
      </c>
      <c r="BW93">
        <v>2596.3090414727258</v>
      </c>
      <c r="BX93">
        <v>2.8466677711317461</v>
      </c>
      <c r="BY93">
        <v>5045.4339575539061</v>
      </c>
      <c r="BZ93">
        <v>4.2806063471310543</v>
      </c>
      <c r="CA93">
        <v>7586.9466896550803</v>
      </c>
      <c r="CB93">
        <v>2.7531561483978537</v>
      </c>
      <c r="CC93">
        <v>4879.6939574203552</v>
      </c>
      <c r="CD93">
        <v>2.9716606046199052</v>
      </c>
      <c r="CE93">
        <v>5266.9712556283193</v>
      </c>
      <c r="CF93">
        <v>1.6038635506242944</v>
      </c>
      <c r="CG93">
        <v>2842.687757126499</v>
      </c>
      <c r="CH93">
        <v>2.3876646944946023</v>
      </c>
      <c r="CI93">
        <v>4231.8969045222329</v>
      </c>
      <c r="CJ93">
        <v>2.145167498959994</v>
      </c>
      <c r="CK93">
        <v>3802.094875156693</v>
      </c>
      <c r="CL93">
        <v>1.6375324419541939</v>
      </c>
      <c r="CM93">
        <v>2902.3625001196128</v>
      </c>
      <c r="CN93">
        <v>0</v>
      </c>
      <c r="CO93">
        <v>0</v>
      </c>
      <c r="CP93">
        <v>12.568025800358464</v>
      </c>
      <c r="CQ93">
        <v>22275.568928555342</v>
      </c>
      <c r="CR93">
        <v>7.2611039834610045</v>
      </c>
      <c r="CS93">
        <v>12869.580700286284</v>
      </c>
      <c r="CT93">
        <v>8.1305840908128371</v>
      </c>
      <c r="CU93">
        <v>14410.647242556672</v>
      </c>
    </row>
    <row r="94" spans="2:99" x14ac:dyDescent="0.2">
      <c r="C94" s="105" t="s">
        <v>260</v>
      </c>
      <c r="D94">
        <v>8</v>
      </c>
      <c r="E94">
        <v>19161.599999999999</v>
      </c>
      <c r="F94">
        <v>8</v>
      </c>
      <c r="G94">
        <v>19161.599999999999</v>
      </c>
      <c r="H94">
        <v>8</v>
      </c>
      <c r="I94">
        <v>19161.599999999999</v>
      </c>
      <c r="J94">
        <v>9</v>
      </c>
      <c r="K94">
        <v>21556.799999999999</v>
      </c>
      <c r="L94">
        <v>5.4527248292129942</v>
      </c>
      <c r="M94">
        <v>13060.366510930962</v>
      </c>
      <c r="N94">
        <v>2.6538154626309214</v>
      </c>
      <c r="O94">
        <v>6356.4187960935824</v>
      </c>
      <c r="P94">
        <v>4.2689900476815801</v>
      </c>
      <c r="Q94">
        <v>10225.08496220692</v>
      </c>
      <c r="R94">
        <v>2.9299848766282848</v>
      </c>
      <c r="S94">
        <v>7017.8997765000668</v>
      </c>
      <c r="T94">
        <v>7.4739504151369971</v>
      </c>
      <c r="U94">
        <v>17901.606034336135</v>
      </c>
      <c r="V94">
        <v>5.1710252328979136</v>
      </c>
      <c r="W94">
        <v>12385.639637837081</v>
      </c>
      <c r="X94">
        <v>7.8936316827147994</v>
      </c>
      <c r="Y94">
        <v>18906.826606438488</v>
      </c>
      <c r="Z94">
        <v>4.9653063267066768</v>
      </c>
      <c r="AA94">
        <v>11892.901713727832</v>
      </c>
      <c r="AB94">
        <v>6.2028939728963683</v>
      </c>
      <c r="AC94">
        <v>14857.17164388138</v>
      </c>
      <c r="AD94">
        <v>6.0902093760080946</v>
      </c>
      <c r="AE94">
        <v>14587.269497414587</v>
      </c>
      <c r="AF94">
        <v>7.1959875441605901</v>
      </c>
      <c r="AG94">
        <v>17235.829365773443</v>
      </c>
      <c r="AH94">
        <v>5.047452938729398</v>
      </c>
      <c r="AI94">
        <v>12089.659278844654</v>
      </c>
      <c r="AJ94">
        <v>2.8456303557632574</v>
      </c>
      <c r="AK94">
        <v>6815.8538281241536</v>
      </c>
      <c r="AL94">
        <v>4.4750613683580225</v>
      </c>
      <c r="AM94">
        <v>10718.666989491134</v>
      </c>
      <c r="AN94">
        <v>3.2981434961588634</v>
      </c>
      <c r="AO94">
        <v>7899.7133019997091</v>
      </c>
      <c r="AP94">
        <v>5.9994928426198202</v>
      </c>
      <c r="AQ94">
        <v>14369.985256642993</v>
      </c>
      <c r="AR94">
        <v>4.3543698486352111</v>
      </c>
      <c r="AS94">
        <v>10429.586661451058</v>
      </c>
      <c r="AT94">
        <v>0</v>
      </c>
      <c r="AU94">
        <v>0</v>
      </c>
      <c r="AV94">
        <v>7.5159153248233368</v>
      </c>
      <c r="AW94">
        <v>18002.120386016853</v>
      </c>
      <c r="AX94">
        <v>3.8030670341673023</v>
      </c>
      <c r="AY94">
        <v>9109.1061602375212</v>
      </c>
      <c r="AZ94">
        <v>7.5434461501889905</v>
      </c>
      <c r="BA94">
        <v>18068.062218932668</v>
      </c>
      <c r="BB94">
        <v>7.8006090871272509</v>
      </c>
      <c r="BC94">
        <v>18684.018885487189</v>
      </c>
      <c r="BD94">
        <v>6.8645359966719814</v>
      </c>
      <c r="BE94">
        <v>16441.936619228727</v>
      </c>
      <c r="BF94">
        <v>7.0883795617808492</v>
      </c>
      <c r="BG94">
        <v>16978.086726377489</v>
      </c>
      <c r="BH94">
        <v>1.2100944865928172</v>
      </c>
      <c r="BI94">
        <v>2898.4183142871152</v>
      </c>
      <c r="BJ94">
        <v>1.5460666659171127</v>
      </c>
      <c r="BK94">
        <v>3703.1388782046683</v>
      </c>
      <c r="BL94">
        <v>0.87002991085829917</v>
      </c>
      <c r="BM94">
        <v>2083.8956424877979</v>
      </c>
      <c r="BN94">
        <v>0</v>
      </c>
      <c r="BO94">
        <v>0</v>
      </c>
      <c r="BP94">
        <v>2.7025732270362131</v>
      </c>
      <c r="BQ94">
        <v>6473.203393397137</v>
      </c>
      <c r="BR94">
        <v>1.1579851546342748</v>
      </c>
      <c r="BS94">
        <v>2773.6060423800145</v>
      </c>
      <c r="BT94">
        <v>1.2554016087549342</v>
      </c>
      <c r="BU94">
        <v>3006.9379332898184</v>
      </c>
      <c r="BV94">
        <v>1.4648550222707775</v>
      </c>
      <c r="BW94">
        <v>3508.6207493429661</v>
      </c>
      <c r="BX94">
        <v>2.8466677711317461</v>
      </c>
      <c r="BY94">
        <v>6818.3386454147576</v>
      </c>
      <c r="BZ94">
        <v>3.5023142840163164</v>
      </c>
      <c r="CA94">
        <v>8388.7431730758799</v>
      </c>
      <c r="CB94">
        <v>3.2120155064641618</v>
      </c>
      <c r="CC94">
        <v>7693.4195410829598</v>
      </c>
      <c r="CD94">
        <v>3.343118180197393</v>
      </c>
      <c r="CE94">
        <v>8007.4366652087956</v>
      </c>
      <c r="CF94">
        <v>1.7820706118047718</v>
      </c>
      <c r="CG94">
        <v>4268.4155293947888</v>
      </c>
      <c r="CH94">
        <v>2.5368937379005145</v>
      </c>
      <c r="CI94">
        <v>6076.3678810193123</v>
      </c>
      <c r="CJ94">
        <v>1.8387149991085663</v>
      </c>
      <c r="CK94">
        <v>4404.0901658648372</v>
      </c>
      <c r="CL94">
        <v>1.4737791977587746</v>
      </c>
      <c r="CM94">
        <v>3529.9959344718168</v>
      </c>
      <c r="CN94">
        <v>0</v>
      </c>
      <c r="CO94">
        <v>0</v>
      </c>
      <c r="CP94">
        <v>12.26878709082612</v>
      </c>
      <c r="CQ94">
        <v>29386.198839946719</v>
      </c>
      <c r="CR94">
        <v>6.2836476779951003</v>
      </c>
      <c r="CS94">
        <v>15050.592918333863</v>
      </c>
      <c r="CT94">
        <v>7.5498280843262062</v>
      </c>
      <c r="CU94">
        <v>18083.348227578128</v>
      </c>
    </row>
    <row r="95" spans="2:99" x14ac:dyDescent="0.2">
      <c r="B95" s="105" t="s">
        <v>132</v>
      </c>
      <c r="C95" s="105" t="s">
        <v>261</v>
      </c>
      <c r="D95">
        <v>28</v>
      </c>
      <c r="E95">
        <v>48518.400000000001</v>
      </c>
      <c r="F95">
        <v>35</v>
      </c>
      <c r="G95">
        <v>60648</v>
      </c>
      <c r="H95">
        <v>48</v>
      </c>
      <c r="I95">
        <v>83174.399999999994</v>
      </c>
      <c r="J95">
        <v>43</v>
      </c>
      <c r="K95">
        <v>74510.399999999994</v>
      </c>
      <c r="L95">
        <v>9.9966621868904877</v>
      </c>
      <c r="M95">
        <v>17322.216237443838</v>
      </c>
      <c r="N95">
        <v>4.8653283481566891</v>
      </c>
      <c r="O95">
        <v>8430.640961685911</v>
      </c>
      <c r="P95">
        <v>4.6958890524497381</v>
      </c>
      <c r="Q95">
        <v>8137.0365500849057</v>
      </c>
      <c r="R95">
        <v>3.7671234128077944</v>
      </c>
      <c r="S95">
        <v>6527.6714497133462</v>
      </c>
      <c r="T95">
        <v>2.0122174194599607</v>
      </c>
      <c r="U95">
        <v>3486.77034444022</v>
      </c>
      <c r="V95">
        <v>2.5855126164489568</v>
      </c>
      <c r="W95">
        <v>4480.1762617827526</v>
      </c>
      <c r="X95">
        <v>3.5082807478732438</v>
      </c>
      <c r="Y95">
        <v>6079.1488799147564</v>
      </c>
      <c r="Z95">
        <v>3.7239797450300078</v>
      </c>
      <c r="AA95">
        <v>6452.9121021879973</v>
      </c>
      <c r="AB95">
        <v>1.4473419270091525</v>
      </c>
      <c r="AC95">
        <v>2507.9540911214594</v>
      </c>
      <c r="AD95">
        <v>2.6100897325748975</v>
      </c>
      <c r="AE95">
        <v>4522.7634886057822</v>
      </c>
      <c r="AF95">
        <v>1.9625420574983425</v>
      </c>
      <c r="AG95">
        <v>3400.692877233128</v>
      </c>
      <c r="AH95">
        <v>2.2942967903315443</v>
      </c>
      <c r="AI95">
        <v>3975.5574782865001</v>
      </c>
      <c r="AJ95">
        <v>1.7511571420081582</v>
      </c>
      <c r="AK95">
        <v>3034.4050956717365</v>
      </c>
      <c r="AL95">
        <v>1.14478314074275</v>
      </c>
      <c r="AM95">
        <v>1983.6802262790372</v>
      </c>
      <c r="AN95">
        <v>0.9894430488476591</v>
      </c>
      <c r="AO95">
        <v>1714.5069150432237</v>
      </c>
      <c r="AP95">
        <v>2.0928463404487747</v>
      </c>
      <c r="AQ95">
        <v>3626.4841387296369</v>
      </c>
      <c r="AR95">
        <v>2.817533431469843</v>
      </c>
      <c r="AS95">
        <v>4882.2219300509441</v>
      </c>
      <c r="AT95">
        <v>0</v>
      </c>
      <c r="AU95">
        <v>0</v>
      </c>
      <c r="AV95">
        <v>8.0169763464782253</v>
      </c>
      <c r="AW95">
        <v>13891.816613177469</v>
      </c>
      <c r="AX95">
        <v>4.2784504134382155</v>
      </c>
      <c r="AY95">
        <v>7413.6988764057396</v>
      </c>
      <c r="AZ95">
        <v>3.0173784600755962</v>
      </c>
      <c r="BA95">
        <v>5228.5133956189929</v>
      </c>
      <c r="BB95">
        <v>2.7531561483978537</v>
      </c>
      <c r="BC95">
        <v>4770.6689739438007</v>
      </c>
      <c r="BD95">
        <v>3.8613014981279892</v>
      </c>
      <c r="BE95">
        <v>6690.8632359561798</v>
      </c>
      <c r="BF95">
        <v>3.3576534766330344</v>
      </c>
      <c r="BG95">
        <v>5818.141944309722</v>
      </c>
      <c r="BH95">
        <v>4.4003435876102444</v>
      </c>
      <c r="BI95">
        <v>7624.9153686110312</v>
      </c>
      <c r="BJ95">
        <v>3.2467399984259373</v>
      </c>
      <c r="BK95">
        <v>5625.9510692724643</v>
      </c>
      <c r="BL95">
        <v>2.5013359937176105</v>
      </c>
      <c r="BM95">
        <v>4334.3150099138757</v>
      </c>
      <c r="BN95">
        <v>0</v>
      </c>
      <c r="BO95">
        <v>0</v>
      </c>
      <c r="BP95">
        <v>14.249931560736396</v>
      </c>
      <c r="BQ95">
        <v>24692.281408444025</v>
      </c>
      <c r="BR95">
        <v>7.4111049896593579</v>
      </c>
      <c r="BS95">
        <v>12841.962726081734</v>
      </c>
      <c r="BT95">
        <v>5.3982269176462179</v>
      </c>
      <c r="BU95">
        <v>9354.0476028973662</v>
      </c>
      <c r="BV95">
        <v>7.5496374224724683</v>
      </c>
      <c r="BW95">
        <v>13082.011725660293</v>
      </c>
      <c r="BX95">
        <v>8.1333364889478439</v>
      </c>
      <c r="BY95">
        <v>14093.445468048823</v>
      </c>
      <c r="BZ95">
        <v>5.4480444418031588</v>
      </c>
      <c r="CA95">
        <v>9440.3714087565131</v>
      </c>
      <c r="CB95">
        <v>6.882890370994633</v>
      </c>
      <c r="CC95">
        <v>11926.6724348595</v>
      </c>
      <c r="CD95">
        <v>8.9149818138597166</v>
      </c>
      <c r="CE95">
        <v>15447.880487056116</v>
      </c>
      <c r="CF95">
        <v>11.761666037911493</v>
      </c>
      <c r="CG95">
        <v>20380.614910493034</v>
      </c>
      <c r="CH95">
        <v>12.982926776314399</v>
      </c>
      <c r="CI95">
        <v>22496.815517997587</v>
      </c>
      <c r="CJ95">
        <v>11.491968744428538</v>
      </c>
      <c r="CK95">
        <v>19913.283440345771</v>
      </c>
      <c r="CL95">
        <v>10.971467361093099</v>
      </c>
      <c r="CM95">
        <v>19011.358643302123</v>
      </c>
      <c r="CN95">
        <v>0</v>
      </c>
      <c r="CO95">
        <v>0</v>
      </c>
      <c r="CP95">
        <v>3.5908645143881333</v>
      </c>
      <c r="CQ95">
        <v>6222.2500305317571</v>
      </c>
      <c r="CR95">
        <v>1.6756393807986936</v>
      </c>
      <c r="CS95">
        <v>2903.5479190479759</v>
      </c>
      <c r="CT95">
        <v>1.1615120129732623</v>
      </c>
      <c r="CU95">
        <v>2012.668016080069</v>
      </c>
    </row>
    <row r="96" spans="2:99" x14ac:dyDescent="0.2">
      <c r="C96" s="105" t="s">
        <v>262</v>
      </c>
      <c r="D96">
        <v>32</v>
      </c>
      <c r="E96">
        <v>26342.399999999998</v>
      </c>
      <c r="F96">
        <v>42</v>
      </c>
      <c r="G96">
        <v>34574.399999999994</v>
      </c>
      <c r="H96">
        <v>50</v>
      </c>
      <c r="I96">
        <v>41160</v>
      </c>
      <c r="J96">
        <v>43</v>
      </c>
      <c r="K96">
        <v>35397.599999999999</v>
      </c>
      <c r="L96">
        <v>10.905449658425988</v>
      </c>
      <c r="M96">
        <v>8977.3661588162722</v>
      </c>
      <c r="N96">
        <v>4.8653283481566891</v>
      </c>
      <c r="O96">
        <v>4005.1382962025859</v>
      </c>
      <c r="P96">
        <v>4.6958890524497381</v>
      </c>
      <c r="Q96">
        <v>3865.655867976624</v>
      </c>
      <c r="R96">
        <v>4.604261948987304</v>
      </c>
      <c r="S96">
        <v>3790.2284364063485</v>
      </c>
      <c r="T96">
        <v>2.0122174194599607</v>
      </c>
      <c r="U96">
        <v>1656.4573796994396</v>
      </c>
      <c r="V96">
        <v>3.2318907705611961</v>
      </c>
      <c r="W96">
        <v>2660.4924823259762</v>
      </c>
      <c r="X96">
        <v>3.5082807478732438</v>
      </c>
      <c r="Y96">
        <v>2888.0167116492539</v>
      </c>
      <c r="Z96">
        <v>4.034311390449175</v>
      </c>
      <c r="AA96">
        <v>3321.0451366177604</v>
      </c>
      <c r="AB96">
        <v>1.6541050594390316</v>
      </c>
      <c r="AC96">
        <v>1361.6592849302108</v>
      </c>
      <c r="AD96">
        <v>2.6100897325748975</v>
      </c>
      <c r="AE96">
        <v>2148.6258678556555</v>
      </c>
      <c r="AF96">
        <v>1.9625420574983425</v>
      </c>
      <c r="AG96">
        <v>1615.5646217326355</v>
      </c>
      <c r="AH96">
        <v>2.523726469364699</v>
      </c>
      <c r="AI96">
        <v>2077.5316295810198</v>
      </c>
      <c r="AJ96">
        <v>1.8606044633836683</v>
      </c>
      <c r="AK96">
        <v>1531.6495942574356</v>
      </c>
      <c r="AL96">
        <v>1.14478314074275</v>
      </c>
      <c r="AM96">
        <v>942.38548145943173</v>
      </c>
      <c r="AN96">
        <v>1.2093192819249166</v>
      </c>
      <c r="AO96">
        <v>995.51163288059126</v>
      </c>
      <c r="AP96">
        <v>2.0928463404487747</v>
      </c>
      <c r="AQ96">
        <v>1722.8311074574312</v>
      </c>
      <c r="AR96">
        <v>3.5859516400525275</v>
      </c>
      <c r="AS96">
        <v>2951.9553900912406</v>
      </c>
      <c r="AT96">
        <v>0</v>
      </c>
      <c r="AU96">
        <v>0</v>
      </c>
      <c r="AV96">
        <v>9.5201594114428936</v>
      </c>
      <c r="AW96">
        <v>7836.9952274997895</v>
      </c>
      <c r="AX96">
        <v>4.5161421030736717</v>
      </c>
      <c r="AY96">
        <v>3717.6881792502463</v>
      </c>
      <c r="AZ96">
        <v>3.0173784600755962</v>
      </c>
      <c r="BA96">
        <v>2483.9059483342307</v>
      </c>
      <c r="BB96">
        <v>2.7531561483978537</v>
      </c>
      <c r="BC96">
        <v>2266.3981413611132</v>
      </c>
      <c r="BD96">
        <v>3.8613014981279892</v>
      </c>
      <c r="BE96">
        <v>3178.6233932589603</v>
      </c>
      <c r="BF96">
        <v>3.3576534766330344</v>
      </c>
      <c r="BG96">
        <v>2764.0203419643135</v>
      </c>
      <c r="BH96">
        <v>4.6203607669907569</v>
      </c>
      <c r="BI96">
        <v>3803.4809833867907</v>
      </c>
      <c r="BJ96">
        <v>3.5559533316093597</v>
      </c>
      <c r="BK96">
        <v>2927.2607825808245</v>
      </c>
      <c r="BL96">
        <v>2.8275972102894729</v>
      </c>
      <c r="BM96">
        <v>2327.6780235102938</v>
      </c>
      <c r="BN96">
        <v>0</v>
      </c>
      <c r="BO96">
        <v>0</v>
      </c>
      <c r="BP96">
        <v>16.215439362217278</v>
      </c>
      <c r="BQ96">
        <v>13348.549682977262</v>
      </c>
      <c r="BR96">
        <v>8.3374931133667793</v>
      </c>
      <c r="BS96">
        <v>6863.4243309235326</v>
      </c>
      <c r="BT96">
        <v>5.6493072393972046</v>
      </c>
      <c r="BU96">
        <v>4650.5097194717782</v>
      </c>
      <c r="BV96">
        <v>10.141304000336151</v>
      </c>
      <c r="BW96">
        <v>8348.3214530767182</v>
      </c>
      <c r="BX96">
        <v>8.946670137842629</v>
      </c>
      <c r="BY96">
        <v>7364.8988574720515</v>
      </c>
      <c r="BZ96">
        <v>6.2263365049178967</v>
      </c>
      <c r="CA96">
        <v>5125.5202108484118</v>
      </c>
      <c r="CB96">
        <v>8.2594684451935603</v>
      </c>
      <c r="CC96">
        <v>6799.1944240833382</v>
      </c>
      <c r="CD96">
        <v>8.9149818138597166</v>
      </c>
      <c r="CE96">
        <v>7338.8130291693178</v>
      </c>
      <c r="CF96">
        <v>13.721943710896744</v>
      </c>
      <c r="CG96">
        <v>11295.904062810199</v>
      </c>
      <c r="CH96">
        <v>13.729071993343963</v>
      </c>
      <c r="CI96">
        <v>11301.772064920749</v>
      </c>
      <c r="CJ96">
        <v>12.564552493908536</v>
      </c>
      <c r="CK96">
        <v>10343.139612985506</v>
      </c>
      <c r="CL96">
        <v>14.246532245001488</v>
      </c>
      <c r="CM96">
        <v>11727.745344085224</v>
      </c>
      <c r="CN96">
        <v>0</v>
      </c>
      <c r="CO96">
        <v>0</v>
      </c>
      <c r="CP96">
        <v>3.2916258048557889</v>
      </c>
      <c r="CQ96">
        <v>2709.6663625572851</v>
      </c>
      <c r="CR96">
        <v>1.8152759958652511</v>
      </c>
      <c r="CS96">
        <v>1494.3351997962745</v>
      </c>
      <c r="CT96">
        <v>1.451890016216578</v>
      </c>
      <c r="CU96">
        <v>1195.1958613494869</v>
      </c>
    </row>
    <row r="97" spans="2:99" x14ac:dyDescent="0.2">
      <c r="C97" s="105" t="s">
        <v>263</v>
      </c>
      <c r="D97">
        <v>24</v>
      </c>
      <c r="E97">
        <v>43891.199999999997</v>
      </c>
      <c r="F97">
        <v>36</v>
      </c>
      <c r="G97">
        <v>65836.800000000003</v>
      </c>
      <c r="H97">
        <v>46</v>
      </c>
      <c r="I97">
        <v>84124.800000000003</v>
      </c>
      <c r="J97">
        <v>40</v>
      </c>
      <c r="K97">
        <v>73152</v>
      </c>
      <c r="L97">
        <v>10.905449658425988</v>
      </c>
      <c r="M97">
        <v>19943.886335329447</v>
      </c>
      <c r="N97">
        <v>4.4230257710515355</v>
      </c>
      <c r="O97">
        <v>8088.8295300990476</v>
      </c>
      <c r="P97">
        <v>4.6958890524497381</v>
      </c>
      <c r="Q97">
        <v>8587.8418991200815</v>
      </c>
      <c r="R97">
        <v>3.7671234128077944</v>
      </c>
      <c r="S97">
        <v>6889.3152973428942</v>
      </c>
      <c r="T97">
        <v>1.7247577881085379</v>
      </c>
      <c r="U97">
        <v>3154.2370428928939</v>
      </c>
      <c r="V97">
        <v>2.9087016935050767</v>
      </c>
      <c r="W97">
        <v>5319.4336570820842</v>
      </c>
      <c r="X97">
        <v>3.2159240188838072</v>
      </c>
      <c r="Y97">
        <v>5881.2818457347066</v>
      </c>
      <c r="Z97">
        <v>3.4136480996108407</v>
      </c>
      <c r="AA97">
        <v>6242.8796445683056</v>
      </c>
      <c r="AB97">
        <v>1.8608681918689105</v>
      </c>
      <c r="AC97">
        <v>3403.1557492898633</v>
      </c>
      <c r="AD97">
        <v>2.3925822548603231</v>
      </c>
      <c r="AE97">
        <v>4375.5544276885585</v>
      </c>
      <c r="AF97">
        <v>1.9625420574983425</v>
      </c>
      <c r="AG97">
        <v>3589.0969147529686</v>
      </c>
      <c r="AH97">
        <v>2.523726469364699</v>
      </c>
      <c r="AI97">
        <v>4615.3909671741612</v>
      </c>
      <c r="AJ97">
        <v>1.7511571420081582</v>
      </c>
      <c r="AK97">
        <v>3202.5161813045197</v>
      </c>
      <c r="AL97">
        <v>1.0407119461297727</v>
      </c>
      <c r="AM97">
        <v>1903.2540070821283</v>
      </c>
      <c r="AN97">
        <v>1.2093192819249166</v>
      </c>
      <c r="AO97">
        <v>2211.6031027842873</v>
      </c>
      <c r="AP97">
        <v>1.8138001617222712</v>
      </c>
      <c r="AQ97">
        <v>3317.0777357576894</v>
      </c>
      <c r="AR97">
        <v>3.073672834330738</v>
      </c>
      <c r="AS97">
        <v>5621.1328794240535</v>
      </c>
      <c r="AT97">
        <v>0</v>
      </c>
      <c r="AU97">
        <v>0</v>
      </c>
      <c r="AV97">
        <v>8.0169763464782253</v>
      </c>
      <c r="AW97">
        <v>14661.446342439378</v>
      </c>
      <c r="AX97">
        <v>4.2784504134382155</v>
      </c>
      <c r="AY97">
        <v>7824.4301160958084</v>
      </c>
      <c r="AZ97">
        <v>3.0173784600755962</v>
      </c>
      <c r="BA97">
        <v>5518.1817277862501</v>
      </c>
      <c r="BB97">
        <v>2.2942967903315443</v>
      </c>
      <c r="BC97">
        <v>4195.8099701583278</v>
      </c>
      <c r="BD97">
        <v>3.4322679983359907</v>
      </c>
      <c r="BE97">
        <v>6276.93171535686</v>
      </c>
      <c r="BF97">
        <v>3.3576534766330344</v>
      </c>
      <c r="BG97">
        <v>6140.4766780664932</v>
      </c>
      <c r="BH97">
        <v>3.7402920494687075</v>
      </c>
      <c r="BI97">
        <v>6840.2461000683725</v>
      </c>
      <c r="BJ97">
        <v>3.0921333318342255</v>
      </c>
      <c r="BK97">
        <v>5654.8934372584317</v>
      </c>
      <c r="BL97">
        <v>2.2838285160030352</v>
      </c>
      <c r="BM97">
        <v>4176.6655900663509</v>
      </c>
      <c r="BN97">
        <v>0</v>
      </c>
      <c r="BO97">
        <v>0</v>
      </c>
      <c r="BP97">
        <v>15.724062411847056</v>
      </c>
      <c r="BQ97">
        <v>28756.165338785897</v>
      </c>
      <c r="BR97">
        <v>6.8321124123422212</v>
      </c>
      <c r="BS97">
        <v>12494.567179691454</v>
      </c>
      <c r="BT97">
        <v>5.5237670785217112</v>
      </c>
      <c r="BU97">
        <v>10101.865233200506</v>
      </c>
      <c r="BV97">
        <v>8.2257243558282109</v>
      </c>
      <c r="BW97">
        <v>15043.204701938632</v>
      </c>
      <c r="BX97">
        <v>7.7266696645004522</v>
      </c>
      <c r="BY97">
        <v>14130.533482438426</v>
      </c>
      <c r="BZ97">
        <v>6.2263365049178967</v>
      </c>
      <c r="CA97">
        <v>11386.724200193848</v>
      </c>
      <c r="CB97">
        <v>6.882890370994633</v>
      </c>
      <c r="CC97">
        <v>12587.429910474984</v>
      </c>
      <c r="CD97">
        <v>9.6578969650146931</v>
      </c>
      <c r="CE97">
        <v>17662.361969618869</v>
      </c>
      <c r="CF97">
        <v>10.157802487287199</v>
      </c>
      <c r="CG97">
        <v>18576.58918875083</v>
      </c>
      <c r="CH97">
        <v>12.535239646096661</v>
      </c>
      <c r="CI97">
        <v>22924.446264781574</v>
      </c>
      <c r="CJ97">
        <v>10.572611244874256</v>
      </c>
      <c r="CK97">
        <v>19335.191444626038</v>
      </c>
      <c r="CL97">
        <v>10.480207628506841</v>
      </c>
      <c r="CM97">
        <v>19166.20371101331</v>
      </c>
      <c r="CN97">
        <v>0</v>
      </c>
      <c r="CO97">
        <v>0</v>
      </c>
      <c r="CP97">
        <v>2.9923870953234442</v>
      </c>
      <c r="CQ97">
        <v>5472.4775199275145</v>
      </c>
      <c r="CR97">
        <v>1.6756393807986936</v>
      </c>
      <c r="CS97">
        <v>3064.4092996046506</v>
      </c>
      <c r="CT97">
        <v>1.3067010145949203</v>
      </c>
      <c r="CU97">
        <v>2389.6948154911902</v>
      </c>
    </row>
    <row r="98" spans="2:99" x14ac:dyDescent="0.2">
      <c r="C98" s="105" t="s">
        <v>264</v>
      </c>
      <c r="D98">
        <v>31</v>
      </c>
      <c r="E98">
        <v>39171.599999999999</v>
      </c>
      <c r="F98">
        <v>38</v>
      </c>
      <c r="G98">
        <v>48016.799999999996</v>
      </c>
      <c r="H98">
        <v>47</v>
      </c>
      <c r="I98">
        <v>59389.2</v>
      </c>
      <c r="J98">
        <v>45</v>
      </c>
      <c r="K98">
        <v>56861.999999999993</v>
      </c>
      <c r="L98">
        <v>10.905449658425988</v>
      </c>
      <c r="M98">
        <v>13780.126188387077</v>
      </c>
      <c r="N98">
        <v>4.4230257710515355</v>
      </c>
      <c r="O98">
        <v>5588.9353643007198</v>
      </c>
      <c r="P98">
        <v>4.2689900476815801</v>
      </c>
      <c r="Q98">
        <v>5394.2958242504446</v>
      </c>
      <c r="R98">
        <v>3.7671234128077944</v>
      </c>
      <c r="S98">
        <v>4760.1371444239285</v>
      </c>
      <c r="T98">
        <v>2.0122174194599607</v>
      </c>
      <c r="U98">
        <v>2542.6379312296062</v>
      </c>
      <c r="V98">
        <v>3.2318907705611961</v>
      </c>
      <c r="W98">
        <v>4083.8171776811273</v>
      </c>
      <c r="X98">
        <v>3.5082807478732438</v>
      </c>
      <c r="Y98">
        <v>4433.063553012631</v>
      </c>
      <c r="Z98">
        <v>3.1033164541916731</v>
      </c>
      <c r="AA98">
        <v>3921.3506715165977</v>
      </c>
      <c r="AB98">
        <v>1.6541050594390316</v>
      </c>
      <c r="AC98">
        <v>2090.1271531071602</v>
      </c>
      <c r="AD98">
        <v>2.6100897325748975</v>
      </c>
      <c r="AE98">
        <v>3298.1093860816404</v>
      </c>
      <c r="AF98">
        <v>2.1806022861092695</v>
      </c>
      <c r="AG98">
        <v>2755.4090487276726</v>
      </c>
      <c r="AH98">
        <v>2.523726469364699</v>
      </c>
      <c r="AI98">
        <v>3188.9807666892334</v>
      </c>
      <c r="AJ98">
        <v>1.8606044633836683</v>
      </c>
      <c r="AK98">
        <v>2351.0597999316028</v>
      </c>
      <c r="AL98">
        <v>1.0407119461297727</v>
      </c>
      <c r="AM98">
        <v>1315.0436151295808</v>
      </c>
      <c r="AN98">
        <v>1.0993811653862877</v>
      </c>
      <c r="AO98">
        <v>1389.178040582113</v>
      </c>
      <c r="AP98">
        <v>2.0928463404487747</v>
      </c>
      <c r="AQ98">
        <v>2644.5206357910715</v>
      </c>
      <c r="AR98">
        <v>3.073672834330738</v>
      </c>
      <c r="AS98">
        <v>3883.8929934603202</v>
      </c>
      <c r="AT98">
        <v>0</v>
      </c>
      <c r="AU98">
        <v>0</v>
      </c>
      <c r="AV98">
        <v>9.0190983897880042</v>
      </c>
      <c r="AW98">
        <v>11396.532725336121</v>
      </c>
      <c r="AX98">
        <v>4.2784504134382155</v>
      </c>
      <c r="AY98">
        <v>5406.2499424205289</v>
      </c>
      <c r="AZ98">
        <v>2.6402061525661464</v>
      </c>
      <c r="BA98">
        <v>3336.1644943825822</v>
      </c>
      <c r="BB98">
        <v>2.2942967903315443</v>
      </c>
      <c r="BC98">
        <v>2899.0734242629392</v>
      </c>
      <c r="BD98">
        <v>3.8613014981279892</v>
      </c>
      <c r="BE98">
        <v>4879.1405730345268</v>
      </c>
      <c r="BF98">
        <v>3.3576534766330344</v>
      </c>
      <c r="BG98">
        <v>4242.7309330735015</v>
      </c>
      <c r="BH98">
        <v>4.4003435876102444</v>
      </c>
      <c r="BI98">
        <v>5560.274157304304</v>
      </c>
      <c r="BJ98">
        <v>3.0921333318342255</v>
      </c>
      <c r="BK98">
        <v>3907.2196781057269</v>
      </c>
      <c r="BL98">
        <v>2.6100897325748975</v>
      </c>
      <c r="BM98">
        <v>3298.1093860816404</v>
      </c>
      <c r="BN98">
        <v>0</v>
      </c>
      <c r="BO98">
        <v>0</v>
      </c>
      <c r="BP98">
        <v>15.478373936661946</v>
      </c>
      <c r="BQ98">
        <v>19558.473306366031</v>
      </c>
      <c r="BR98">
        <v>7.9900975669764964</v>
      </c>
      <c r="BS98">
        <v>10096.287285631501</v>
      </c>
      <c r="BT98">
        <v>5.7748474002726979</v>
      </c>
      <c r="BU98">
        <v>7297.0971749845803</v>
      </c>
      <c r="BV98">
        <v>8.3384055113875011</v>
      </c>
      <c r="BW98">
        <v>10536.409204189245</v>
      </c>
      <c r="BX98">
        <v>8.5400033133952373</v>
      </c>
      <c r="BY98">
        <v>10791.148186806222</v>
      </c>
      <c r="BZ98">
        <v>5.8371904733605282</v>
      </c>
      <c r="CA98">
        <v>7375.8738821383631</v>
      </c>
      <c r="CB98">
        <v>7.8006090871272509</v>
      </c>
      <c r="CC98">
        <v>9856.8496424939931</v>
      </c>
      <c r="CD98">
        <v>10.400812116169668</v>
      </c>
      <c r="CE98">
        <v>13142.466189991992</v>
      </c>
      <c r="CF98">
        <v>12.296287221452925</v>
      </c>
      <c r="CG98">
        <v>15537.588533027914</v>
      </c>
      <c r="CH98">
        <v>12.982926776314399</v>
      </c>
      <c r="CI98">
        <v>16405.226274550874</v>
      </c>
      <c r="CJ98">
        <v>12.258099994057108</v>
      </c>
      <c r="CK98">
        <v>15489.335152490561</v>
      </c>
      <c r="CL98">
        <v>11.953986826265616</v>
      </c>
      <c r="CM98">
        <v>15105.057753669233</v>
      </c>
      <c r="CN98">
        <v>0</v>
      </c>
      <c r="CO98">
        <v>0</v>
      </c>
      <c r="CP98">
        <v>3.2916258048557889</v>
      </c>
      <c r="CQ98">
        <v>4159.2983670157746</v>
      </c>
      <c r="CR98">
        <v>2.0945492259983669</v>
      </c>
      <c r="CS98">
        <v>2646.6724019715361</v>
      </c>
      <c r="CT98">
        <v>1.3067010145949203</v>
      </c>
      <c r="CU98">
        <v>1651.147402042141</v>
      </c>
    </row>
    <row r="99" spans="2:99" x14ac:dyDescent="0.2">
      <c r="C99" s="105" t="s">
        <v>265</v>
      </c>
      <c r="D99">
        <v>18</v>
      </c>
      <c r="E99">
        <v>98668.799999999988</v>
      </c>
      <c r="F99">
        <v>22</v>
      </c>
      <c r="G99">
        <v>120595.19999999998</v>
      </c>
      <c r="H99">
        <v>30</v>
      </c>
      <c r="I99">
        <v>164447.99999999997</v>
      </c>
      <c r="J99">
        <v>25</v>
      </c>
      <c r="K99">
        <v>137040</v>
      </c>
      <c r="L99">
        <v>8.1790872438194899</v>
      </c>
      <c r="M99">
        <v>44834.48463572091</v>
      </c>
      <c r="N99">
        <v>3.5384206168412282</v>
      </c>
      <c r="O99">
        <v>19396.206453276875</v>
      </c>
      <c r="P99">
        <v>3.4151920381452641</v>
      </c>
      <c r="Q99">
        <v>18720.716676297077</v>
      </c>
      <c r="R99">
        <v>3.3485541447180394</v>
      </c>
      <c r="S99">
        <v>18355.434399686405</v>
      </c>
      <c r="T99">
        <v>1.4372981567571148</v>
      </c>
      <c r="U99">
        <v>7878.6935760797996</v>
      </c>
      <c r="V99">
        <v>2.2623235393928374</v>
      </c>
      <c r="W99">
        <v>12401.152713535776</v>
      </c>
      <c r="X99">
        <v>2.9235672898943701</v>
      </c>
      <c r="Y99">
        <v>16025.826456284978</v>
      </c>
      <c r="Z99">
        <v>2.4826531633533384</v>
      </c>
      <c r="AA99">
        <v>13608.911580237658</v>
      </c>
      <c r="AB99">
        <v>1.4473419270091525</v>
      </c>
      <c r="AC99">
        <v>7933.7495070933701</v>
      </c>
      <c r="AD99">
        <v>1.9575672994311732</v>
      </c>
      <c r="AE99">
        <v>10730.600908561919</v>
      </c>
      <c r="AF99">
        <v>1.5264216002764888</v>
      </c>
      <c r="AG99">
        <v>8367.2326440756005</v>
      </c>
      <c r="AH99">
        <v>1.8354374322652354</v>
      </c>
      <c r="AI99">
        <v>10061.133828705113</v>
      </c>
      <c r="AJ99">
        <v>1.3133678565061189</v>
      </c>
      <c r="AK99">
        <v>7199.3572422239404</v>
      </c>
      <c r="AL99">
        <v>0.72849836229084086</v>
      </c>
      <c r="AM99">
        <v>3993.3366227334727</v>
      </c>
      <c r="AN99">
        <v>0.87950493230903015</v>
      </c>
      <c r="AO99">
        <v>4821.0942369451795</v>
      </c>
      <c r="AP99">
        <v>1.3952308936325166</v>
      </c>
      <c r="AQ99">
        <v>7648.0976665360022</v>
      </c>
      <c r="AR99">
        <v>2.561394028608948</v>
      </c>
      <c r="AS99">
        <v>14040.537507222809</v>
      </c>
      <c r="AT99">
        <v>0</v>
      </c>
      <c r="AU99">
        <v>0</v>
      </c>
      <c r="AV99">
        <v>7.0148543031684474</v>
      </c>
      <c r="AW99">
        <v>38452.625348248155</v>
      </c>
      <c r="AX99">
        <v>2.8523002756254772</v>
      </c>
      <c r="AY99">
        <v>15635.169190868613</v>
      </c>
      <c r="AZ99">
        <v>2.2630338450566971</v>
      </c>
      <c r="BA99">
        <v>12405.046325062789</v>
      </c>
      <c r="BB99">
        <v>1.8354374322652354</v>
      </c>
      <c r="BC99">
        <v>10061.133828705113</v>
      </c>
      <c r="BD99">
        <v>3.0032344985439918</v>
      </c>
      <c r="BE99">
        <v>16462.530227218744</v>
      </c>
      <c r="BF99">
        <v>2.9845808681182526</v>
      </c>
      <c r="BG99">
        <v>16360.278486677013</v>
      </c>
      <c r="BH99">
        <v>2.6402061525661464</v>
      </c>
      <c r="BI99">
        <v>14472.554045906587</v>
      </c>
      <c r="BJ99">
        <v>2.1644933322839579</v>
      </c>
      <c r="BK99">
        <v>11864.886650247743</v>
      </c>
      <c r="BL99">
        <v>1.6313060828593111</v>
      </c>
      <c r="BM99">
        <v>8942.1674238015985</v>
      </c>
      <c r="BN99">
        <v>0</v>
      </c>
      <c r="BO99">
        <v>0</v>
      </c>
      <c r="BP99">
        <v>8.1077196811086392</v>
      </c>
      <c r="BQ99">
        <v>44443.276203965113</v>
      </c>
      <c r="BR99">
        <v>4.631940618537099</v>
      </c>
      <c r="BS99">
        <v>25390.445694572958</v>
      </c>
      <c r="BT99">
        <v>3.2640441827628295</v>
      </c>
      <c r="BU99">
        <v>17892.184592232723</v>
      </c>
      <c r="BV99">
        <v>4.7326085334902039</v>
      </c>
      <c r="BW99">
        <v>25942.266937179898</v>
      </c>
      <c r="BX99">
        <v>4.8800018933687062</v>
      </c>
      <c r="BY99">
        <v>26750.218378689897</v>
      </c>
      <c r="BZ99">
        <v>3.8914603155736853</v>
      </c>
      <c r="CA99">
        <v>21331.428865848713</v>
      </c>
      <c r="CB99">
        <v>5.5063122967957074</v>
      </c>
      <c r="CC99">
        <v>30183.401486115348</v>
      </c>
      <c r="CD99">
        <v>6.3147787848172987</v>
      </c>
      <c r="CE99">
        <v>34615.091386854503</v>
      </c>
      <c r="CF99">
        <v>6.0590400801362243</v>
      </c>
      <c r="CG99">
        <v>33213.234103274721</v>
      </c>
      <c r="CH99">
        <v>6.7153069532660687</v>
      </c>
      <c r="CI99">
        <v>36810.626595023277</v>
      </c>
      <c r="CJ99">
        <v>6.4355024968799821</v>
      </c>
      <c r="CK99">
        <v>35276.850486897303</v>
      </c>
      <c r="CL99">
        <v>6.2226232794259362</v>
      </c>
      <c r="CM99">
        <v>34109.931768501207</v>
      </c>
      <c r="CN99">
        <v>0</v>
      </c>
      <c r="CO99">
        <v>0</v>
      </c>
      <c r="CP99">
        <v>2.6931483857910998</v>
      </c>
      <c r="CQ99">
        <v>14762.762191552491</v>
      </c>
      <c r="CR99">
        <v>1.396366150665578</v>
      </c>
      <c r="CS99">
        <v>7654.3206914884313</v>
      </c>
      <c r="CT99">
        <v>0.8711340097299467</v>
      </c>
      <c r="CU99">
        <v>4775.208187735675</v>
      </c>
    </row>
    <row r="100" spans="2:99" x14ac:dyDescent="0.2">
      <c r="C100" s="105" t="s">
        <v>266</v>
      </c>
      <c r="D100">
        <v>29</v>
      </c>
      <c r="E100">
        <v>47049.599999999999</v>
      </c>
      <c r="F100">
        <v>33</v>
      </c>
      <c r="G100">
        <v>53539.199999999997</v>
      </c>
      <c r="H100">
        <v>46</v>
      </c>
      <c r="I100">
        <v>74630.399999999994</v>
      </c>
      <c r="J100">
        <v>41</v>
      </c>
      <c r="K100">
        <v>66518.399999999994</v>
      </c>
      <c r="L100">
        <v>9.9966621868904877</v>
      </c>
      <c r="M100">
        <v>16218.584732011126</v>
      </c>
      <c r="N100">
        <v>4.8653283481566891</v>
      </c>
      <c r="O100">
        <v>7893.5087120494118</v>
      </c>
      <c r="P100">
        <v>4.2689900476815801</v>
      </c>
      <c r="Q100">
        <v>6926.0094533585952</v>
      </c>
      <c r="R100">
        <v>4.1856926808975494</v>
      </c>
      <c r="S100">
        <v>6790.8678054881839</v>
      </c>
      <c r="T100">
        <v>2.0122174194599607</v>
      </c>
      <c r="U100">
        <v>3264.62154133184</v>
      </c>
      <c r="V100">
        <v>2.9087016935050767</v>
      </c>
      <c r="W100">
        <v>4719.077627542636</v>
      </c>
      <c r="X100">
        <v>3.5082807478732438</v>
      </c>
      <c r="Y100">
        <v>5691.8346853495505</v>
      </c>
      <c r="Z100">
        <v>3.1033164541916731</v>
      </c>
      <c r="AA100">
        <v>5034.8206152805697</v>
      </c>
      <c r="AB100">
        <v>1.6541050594390316</v>
      </c>
      <c r="AC100">
        <v>2683.6200484338847</v>
      </c>
      <c r="AD100">
        <v>2.6100897325748975</v>
      </c>
      <c r="AE100">
        <v>4234.609582129513</v>
      </c>
      <c r="AF100">
        <v>1.7444818288874158</v>
      </c>
      <c r="AG100">
        <v>2830.2473191869431</v>
      </c>
      <c r="AH100">
        <v>2.523726469364699</v>
      </c>
      <c r="AI100">
        <v>4094.4938238972873</v>
      </c>
      <c r="AJ100">
        <v>1.5322624992571385</v>
      </c>
      <c r="AK100">
        <v>2485.9426787947814</v>
      </c>
      <c r="AL100">
        <v>1.14478314074275</v>
      </c>
      <c r="AM100">
        <v>1857.2961675410374</v>
      </c>
      <c r="AN100">
        <v>1.0993811653862877</v>
      </c>
      <c r="AO100">
        <v>1783.6360027227131</v>
      </c>
      <c r="AP100">
        <v>1.8138001617222712</v>
      </c>
      <c r="AQ100">
        <v>2942.7093823782125</v>
      </c>
      <c r="AR100">
        <v>3.073672834330738</v>
      </c>
      <c r="AS100">
        <v>4986.726806418189</v>
      </c>
      <c r="AT100">
        <v>0</v>
      </c>
      <c r="AU100">
        <v>0</v>
      </c>
      <c r="AV100">
        <v>8.0169763464782253</v>
      </c>
      <c r="AW100">
        <v>13006.742424526272</v>
      </c>
      <c r="AX100">
        <v>4.7538337927091279</v>
      </c>
      <c r="AY100">
        <v>7712.6199452912888</v>
      </c>
      <c r="AZ100">
        <v>3.0173784600755962</v>
      </c>
      <c r="BA100">
        <v>4895.3948136266472</v>
      </c>
      <c r="BB100">
        <v>2.2942967903315443</v>
      </c>
      <c r="BC100">
        <v>3722.2671126338973</v>
      </c>
      <c r="BD100">
        <v>3.8613014981279892</v>
      </c>
      <c r="BE100">
        <v>6264.5755505628495</v>
      </c>
      <c r="BF100">
        <v>2.9845808681182526</v>
      </c>
      <c r="BG100">
        <v>4842.1840004350524</v>
      </c>
      <c r="BH100">
        <v>4.4003435876102444</v>
      </c>
      <c r="BI100">
        <v>7139.1174365388597</v>
      </c>
      <c r="BJ100">
        <v>3.4013466650176478</v>
      </c>
      <c r="BK100">
        <v>5518.3448293246311</v>
      </c>
      <c r="BL100">
        <v>2.5013359937176105</v>
      </c>
      <c r="BM100">
        <v>4058.1675162074507</v>
      </c>
      <c r="BN100">
        <v>0</v>
      </c>
      <c r="BO100">
        <v>0</v>
      </c>
      <c r="BP100">
        <v>16.461127837402387</v>
      </c>
      <c r="BQ100">
        <v>26706.533803401631</v>
      </c>
      <c r="BR100">
        <v>7.8742990515130691</v>
      </c>
      <c r="BS100">
        <v>12775.262781174803</v>
      </c>
      <c r="BT100">
        <v>5.2726867567707236</v>
      </c>
      <c r="BU100">
        <v>8554.4069941848211</v>
      </c>
      <c r="BV100">
        <v>8.6764489780653733</v>
      </c>
      <c r="BW100">
        <v>14076.67082201326</v>
      </c>
      <c r="BX100">
        <v>8.1333364889478439</v>
      </c>
      <c r="BY100">
        <v>13195.525119668981</v>
      </c>
      <c r="BZ100">
        <v>5.8371904733605282</v>
      </c>
      <c r="CA100">
        <v>9470.2578239801205</v>
      </c>
      <c r="CB100">
        <v>7.3417497290609415</v>
      </c>
      <c r="CC100">
        <v>11911.25476042847</v>
      </c>
      <c r="CD100">
        <v>10.02935454059218</v>
      </c>
      <c r="CE100">
        <v>16271.624806656751</v>
      </c>
      <c r="CF100">
        <v>10.514216609648154</v>
      </c>
      <c r="CG100">
        <v>17058.265027493162</v>
      </c>
      <c r="CH100">
        <v>11.639865385661185</v>
      </c>
      <c r="CI100">
        <v>18884.517601696705</v>
      </c>
      <c r="CJ100">
        <v>12.71777874383425</v>
      </c>
      <c r="CK100">
        <v>20633.324233996686</v>
      </c>
      <c r="CL100">
        <v>11.462727093679357</v>
      </c>
      <c r="CM100">
        <v>18597.128436785388</v>
      </c>
      <c r="CN100">
        <v>0</v>
      </c>
      <c r="CO100">
        <v>0</v>
      </c>
      <c r="CP100">
        <v>3.2916258048557889</v>
      </c>
      <c r="CQ100">
        <v>5340.3337057980316</v>
      </c>
      <c r="CR100">
        <v>1.6756393807986936</v>
      </c>
      <c r="CS100">
        <v>2718.5573314078001</v>
      </c>
      <c r="CT100">
        <v>1.3067010145949203</v>
      </c>
      <c r="CU100">
        <v>2119.9917260787984</v>
      </c>
    </row>
    <row r="101" spans="2:99" x14ac:dyDescent="0.2">
      <c r="C101" s="105" t="s">
        <v>267</v>
      </c>
      <c r="D101">
        <v>27</v>
      </c>
      <c r="E101">
        <v>32140.799999999996</v>
      </c>
      <c r="F101">
        <v>36</v>
      </c>
      <c r="G101">
        <v>42854.399999999994</v>
      </c>
      <c r="H101">
        <v>50</v>
      </c>
      <c r="I101">
        <v>59519.999999999993</v>
      </c>
      <c r="J101">
        <v>43</v>
      </c>
      <c r="K101">
        <v>51187.199999999997</v>
      </c>
      <c r="L101">
        <v>10.905449658425988</v>
      </c>
      <c r="M101">
        <v>12981.847273390295</v>
      </c>
      <c r="N101">
        <v>5.3076309252618428</v>
      </c>
      <c r="O101">
        <v>6318.2038534316971</v>
      </c>
      <c r="P101">
        <v>4.6958890524497381</v>
      </c>
      <c r="Q101">
        <v>5589.9863280361678</v>
      </c>
      <c r="R101">
        <v>4.1856926808975494</v>
      </c>
      <c r="S101">
        <v>4982.6485673404422</v>
      </c>
      <c r="T101">
        <v>2.299677050811384</v>
      </c>
      <c r="U101">
        <v>2737.5355612858712</v>
      </c>
      <c r="V101">
        <v>2.5855126164489568</v>
      </c>
      <c r="W101">
        <v>3077.7942186208379</v>
      </c>
      <c r="X101">
        <v>3.2159240188838072</v>
      </c>
      <c r="Y101">
        <v>3828.2359520792838</v>
      </c>
      <c r="Z101">
        <v>3.1033164541916731</v>
      </c>
      <c r="AA101">
        <v>3694.1879070697673</v>
      </c>
      <c r="AB101">
        <v>1.6541050594390316</v>
      </c>
      <c r="AC101">
        <v>1969.046662756223</v>
      </c>
      <c r="AD101">
        <v>2.3925822548603231</v>
      </c>
      <c r="AE101">
        <v>2848.1299161857282</v>
      </c>
      <c r="AF101">
        <v>1.9625420574983425</v>
      </c>
      <c r="AG101">
        <v>2336.2100652460267</v>
      </c>
      <c r="AH101">
        <v>2.523726469364699</v>
      </c>
      <c r="AI101">
        <v>3004.2439891317372</v>
      </c>
      <c r="AJ101">
        <v>1.7511571420081582</v>
      </c>
      <c r="AK101">
        <v>2084.5774618465111</v>
      </c>
      <c r="AL101">
        <v>1.14478314074275</v>
      </c>
      <c r="AM101">
        <v>1362.7498507401694</v>
      </c>
      <c r="AN101">
        <v>1.2093192819249166</v>
      </c>
      <c r="AO101">
        <v>1439.5736732034204</v>
      </c>
      <c r="AP101">
        <v>2.0928463404487747</v>
      </c>
      <c r="AQ101">
        <v>2491.3242836702211</v>
      </c>
      <c r="AR101">
        <v>3.5859516400525275</v>
      </c>
      <c r="AS101">
        <v>4268.7168323185278</v>
      </c>
      <c r="AT101">
        <v>0</v>
      </c>
      <c r="AU101">
        <v>0</v>
      </c>
      <c r="AV101">
        <v>10.021220433097781</v>
      </c>
      <c r="AW101">
        <v>11929.260803559597</v>
      </c>
      <c r="AX101">
        <v>4.2784504134382155</v>
      </c>
      <c r="AY101">
        <v>5093.067372156851</v>
      </c>
      <c r="AZ101">
        <v>3.0173784600755962</v>
      </c>
      <c r="BA101">
        <v>3591.8873188739894</v>
      </c>
      <c r="BB101">
        <v>2.7531561483978537</v>
      </c>
      <c r="BC101">
        <v>3277.3570790528047</v>
      </c>
      <c r="BD101">
        <v>3.4322679983359907</v>
      </c>
      <c r="BE101">
        <v>4085.771825219163</v>
      </c>
      <c r="BF101">
        <v>3.3576534766330344</v>
      </c>
      <c r="BG101">
        <v>3996.9506985839635</v>
      </c>
      <c r="BH101">
        <v>4.7303693566810123</v>
      </c>
      <c r="BI101">
        <v>5631.0316821930764</v>
      </c>
      <c r="BJ101">
        <v>3.5559533316093597</v>
      </c>
      <c r="BK101">
        <v>4233.0068459477816</v>
      </c>
      <c r="BL101">
        <v>2.6100897325748975</v>
      </c>
      <c r="BM101">
        <v>3107.0508176571575</v>
      </c>
      <c r="BN101">
        <v>0</v>
      </c>
      <c r="BO101">
        <v>0</v>
      </c>
      <c r="BP101">
        <v>18.180947163698161</v>
      </c>
      <c r="BQ101">
        <v>21642.599503666286</v>
      </c>
      <c r="BR101">
        <v>7.6427020205862126</v>
      </c>
      <c r="BS101">
        <v>9097.8724853058266</v>
      </c>
      <c r="BT101">
        <v>6.2770080437746714</v>
      </c>
      <c r="BU101">
        <v>7472.1503753093675</v>
      </c>
      <c r="BV101">
        <v>9.1271736003025357</v>
      </c>
      <c r="BW101">
        <v>10864.987453800137</v>
      </c>
      <c r="BX101">
        <v>7.3200028400530606</v>
      </c>
      <c r="BY101">
        <v>8713.7313807991632</v>
      </c>
      <c r="BZ101">
        <v>6.2263365049178967</v>
      </c>
      <c r="CA101">
        <v>7411.8309754542634</v>
      </c>
      <c r="CB101">
        <v>7.3417497290609415</v>
      </c>
      <c r="CC101">
        <v>8739.618877474144</v>
      </c>
      <c r="CD101">
        <v>10.02935454059218</v>
      </c>
      <c r="CE101">
        <v>11938.943645120929</v>
      </c>
      <c r="CF101">
        <v>12.652701343813881</v>
      </c>
      <c r="CG101">
        <v>15061.775679676042</v>
      </c>
      <c r="CH101">
        <v>14.475217210373525</v>
      </c>
      <c r="CI101">
        <v>17231.298567228641</v>
      </c>
      <c r="CJ101">
        <v>13.177457493611392</v>
      </c>
      <c r="CK101">
        <v>15686.445400395</v>
      </c>
      <c r="CL101">
        <v>12.117740070461036</v>
      </c>
      <c r="CM101">
        <v>14424.957779876815</v>
      </c>
      <c r="CN101">
        <v>0</v>
      </c>
      <c r="CO101">
        <v>0</v>
      </c>
      <c r="CP101">
        <v>3.5908645143881333</v>
      </c>
      <c r="CQ101">
        <v>4274.5651179276338</v>
      </c>
      <c r="CR101">
        <v>1.8152759958652511</v>
      </c>
      <c r="CS101">
        <v>2160.9045454779948</v>
      </c>
      <c r="CT101">
        <v>1.451890016216578</v>
      </c>
      <c r="CU101">
        <v>1728.3298753042143</v>
      </c>
    </row>
    <row r="102" spans="2:99" x14ac:dyDescent="0.2">
      <c r="C102" s="105" t="s">
        <v>268</v>
      </c>
      <c r="D102">
        <v>26</v>
      </c>
      <c r="E102">
        <v>50419.199999999997</v>
      </c>
      <c r="F102">
        <v>33</v>
      </c>
      <c r="G102">
        <v>63993.599999999991</v>
      </c>
      <c r="H102">
        <v>43</v>
      </c>
      <c r="I102">
        <v>83385.599999999991</v>
      </c>
      <c r="J102">
        <v>40</v>
      </c>
      <c r="K102">
        <v>77568</v>
      </c>
      <c r="L102">
        <v>10.905449658425988</v>
      </c>
      <c r="M102">
        <v>21147.847977619676</v>
      </c>
      <c r="N102">
        <v>4.8653283481566891</v>
      </c>
      <c r="O102">
        <v>9434.8447327454505</v>
      </c>
      <c r="P102">
        <v>4.6958890524497381</v>
      </c>
      <c r="Q102">
        <v>9106.2680505105309</v>
      </c>
      <c r="R102">
        <v>4.1856926808975494</v>
      </c>
      <c r="S102">
        <v>8116.8952467965273</v>
      </c>
      <c r="T102">
        <v>2.0122174194599607</v>
      </c>
      <c r="U102">
        <v>3902.0920198167555</v>
      </c>
      <c r="V102">
        <v>2.9087016935050767</v>
      </c>
      <c r="W102">
        <v>5640.5543240450443</v>
      </c>
      <c r="X102">
        <v>3.2159240188838072</v>
      </c>
      <c r="Y102">
        <v>6236.3198574194785</v>
      </c>
      <c r="Z102">
        <v>3.4136480996108407</v>
      </c>
      <c r="AA102">
        <v>6619.7463947653414</v>
      </c>
      <c r="AB102">
        <v>1.4473419270091525</v>
      </c>
      <c r="AC102">
        <v>2806.6854648561484</v>
      </c>
      <c r="AD102">
        <v>2.3925822548603231</v>
      </c>
      <c r="AE102">
        <v>4639.6955086251382</v>
      </c>
      <c r="AF102">
        <v>1.7444818288874158</v>
      </c>
      <c r="AG102">
        <v>3382.8991625784765</v>
      </c>
      <c r="AH102">
        <v>2.523726469364699</v>
      </c>
      <c r="AI102">
        <v>4894.0103693920237</v>
      </c>
      <c r="AJ102">
        <v>1.7511571420081582</v>
      </c>
      <c r="AK102">
        <v>3395.8439297822201</v>
      </c>
      <c r="AL102">
        <v>1.0407119461297727</v>
      </c>
      <c r="AM102">
        <v>2018.1486059348549</v>
      </c>
      <c r="AN102">
        <v>1.0993811653862877</v>
      </c>
      <c r="AO102">
        <v>2131.9199559170888</v>
      </c>
      <c r="AP102">
        <v>2.0928463404487747</v>
      </c>
      <c r="AQ102">
        <v>4058.4476233982637</v>
      </c>
      <c r="AR102">
        <v>2.817533431469843</v>
      </c>
      <c r="AS102">
        <v>5463.7608303063189</v>
      </c>
      <c r="AT102">
        <v>0</v>
      </c>
      <c r="AU102">
        <v>0</v>
      </c>
      <c r="AV102">
        <v>8.0169763464782253</v>
      </c>
      <c r="AW102">
        <v>15546.520531090573</v>
      </c>
      <c r="AX102">
        <v>4.0407587238027594</v>
      </c>
      <c r="AY102">
        <v>7835.8393171983098</v>
      </c>
      <c r="AZ102">
        <v>2.6402061525661464</v>
      </c>
      <c r="BA102">
        <v>5119.887771056271</v>
      </c>
      <c r="BB102">
        <v>2.2942967903315443</v>
      </c>
      <c r="BC102">
        <v>4449.1003358109301</v>
      </c>
      <c r="BD102">
        <v>3.4322679983359907</v>
      </c>
      <c r="BE102">
        <v>6655.8541023731523</v>
      </c>
      <c r="BF102">
        <v>3.3576534766330344</v>
      </c>
      <c r="BG102">
        <v>6511.1616218867794</v>
      </c>
      <c r="BH102">
        <v>4.1803264082297318</v>
      </c>
      <c r="BI102">
        <v>8106.4889708390947</v>
      </c>
      <c r="BJ102">
        <v>3.0921333318342255</v>
      </c>
      <c r="BK102">
        <v>5996.2649570929298</v>
      </c>
      <c r="BL102">
        <v>2.6100897325748975</v>
      </c>
      <c r="BM102">
        <v>5061.486009409241</v>
      </c>
      <c r="BN102">
        <v>0</v>
      </c>
      <c r="BO102">
        <v>0</v>
      </c>
      <c r="BP102">
        <v>13.758554610366176</v>
      </c>
      <c r="BQ102">
        <v>26680.589100422087</v>
      </c>
      <c r="BR102">
        <v>6.3689183504885118</v>
      </c>
      <c r="BS102">
        <v>12350.606465267321</v>
      </c>
      <c r="BT102">
        <v>4.6449859523932568</v>
      </c>
      <c r="BU102">
        <v>9007.5567588810027</v>
      </c>
      <c r="BV102">
        <v>7.2115939557945952</v>
      </c>
      <c r="BW102">
        <v>13984.722999076877</v>
      </c>
      <c r="BX102">
        <v>6.913336015605668</v>
      </c>
      <c r="BY102">
        <v>13406.34120146251</v>
      </c>
      <c r="BZ102">
        <v>6.2263365049178967</v>
      </c>
      <c r="CA102">
        <v>12074.111750336784</v>
      </c>
      <c r="CB102">
        <v>6.882890370994633</v>
      </c>
      <c r="CC102">
        <v>13347.30100743279</v>
      </c>
      <c r="CD102">
        <v>8.5435242382822274</v>
      </c>
      <c r="CE102">
        <v>16567.602202876893</v>
      </c>
      <c r="CF102">
        <v>11.405251915550538</v>
      </c>
      <c r="CG102">
        <v>22117.0645146356</v>
      </c>
      <c r="CH102">
        <v>11.639865385661185</v>
      </c>
      <c r="CI102">
        <v>22572.026955874167</v>
      </c>
      <c r="CJ102">
        <v>10.112932495097114</v>
      </c>
      <c r="CK102">
        <v>19610.998694492322</v>
      </c>
      <c r="CL102">
        <v>12.117740070461036</v>
      </c>
      <c r="CM102">
        <v>23498.72154463804</v>
      </c>
      <c r="CN102">
        <v>0</v>
      </c>
      <c r="CO102">
        <v>0</v>
      </c>
      <c r="CP102">
        <v>3.5908645143881333</v>
      </c>
      <c r="CQ102">
        <v>6963.4044663014674</v>
      </c>
      <c r="CR102">
        <v>1.8152759958652511</v>
      </c>
      <c r="CS102">
        <v>3520.1832111818949</v>
      </c>
      <c r="CT102">
        <v>1.1615120129732623</v>
      </c>
      <c r="CU102">
        <v>2252.4040955577502</v>
      </c>
    </row>
    <row r="103" spans="2:99" x14ac:dyDescent="0.2">
      <c r="C103" s="105" t="s">
        <v>269</v>
      </c>
      <c r="D103">
        <v>28</v>
      </c>
      <c r="E103">
        <v>56784</v>
      </c>
      <c r="F103">
        <v>34</v>
      </c>
      <c r="G103">
        <v>68952</v>
      </c>
      <c r="H103">
        <v>45</v>
      </c>
      <c r="I103">
        <v>91260</v>
      </c>
      <c r="J103">
        <v>41</v>
      </c>
      <c r="K103">
        <v>83148</v>
      </c>
      <c r="L103">
        <v>10.905449658425988</v>
      </c>
      <c r="M103">
        <v>22116.251907287904</v>
      </c>
      <c r="N103">
        <v>4.8653283481566891</v>
      </c>
      <c r="O103">
        <v>9866.8858900617652</v>
      </c>
      <c r="P103">
        <v>4.6958890524497381</v>
      </c>
      <c r="Q103">
        <v>9523.262998368069</v>
      </c>
      <c r="R103">
        <v>4.604261948987304</v>
      </c>
      <c r="S103">
        <v>9337.4432325462531</v>
      </c>
      <c r="T103">
        <v>2.0122174194599607</v>
      </c>
      <c r="U103">
        <v>4080.7769266648002</v>
      </c>
      <c r="V103">
        <v>2.9087016935050767</v>
      </c>
      <c r="W103">
        <v>5898.847034428296</v>
      </c>
      <c r="X103">
        <v>3.2159240188838072</v>
      </c>
      <c r="Y103">
        <v>6521.8939102963614</v>
      </c>
      <c r="Z103">
        <v>3.7239797450300078</v>
      </c>
      <c r="AA103">
        <v>7552.2309229208558</v>
      </c>
      <c r="AB103">
        <v>1.6541050594390316</v>
      </c>
      <c r="AC103">
        <v>3354.5250605423562</v>
      </c>
      <c r="AD103">
        <v>2.3925822548603231</v>
      </c>
      <c r="AE103">
        <v>4852.1568128567351</v>
      </c>
      <c r="AF103">
        <v>1.9625420574983425</v>
      </c>
      <c r="AG103">
        <v>3980.0352926066384</v>
      </c>
      <c r="AH103">
        <v>2.2942967903315443</v>
      </c>
      <c r="AI103">
        <v>4652.8338907923717</v>
      </c>
      <c r="AJ103">
        <v>1.7511571420081582</v>
      </c>
      <c r="AK103">
        <v>3551.346683992545</v>
      </c>
      <c r="AL103">
        <v>0.93664075151679538</v>
      </c>
      <c r="AM103">
        <v>1899.5074440760611</v>
      </c>
      <c r="AN103">
        <v>1.0993811653862877</v>
      </c>
      <c r="AO103">
        <v>2229.5450034033915</v>
      </c>
      <c r="AP103">
        <v>1.9533232510855232</v>
      </c>
      <c r="AQ103">
        <v>3961.339553201441</v>
      </c>
      <c r="AR103">
        <v>3.3298122371916326</v>
      </c>
      <c r="AS103">
        <v>6752.8592170246311</v>
      </c>
      <c r="AT103">
        <v>0</v>
      </c>
      <c r="AU103">
        <v>0</v>
      </c>
      <c r="AV103">
        <v>9.0190983897880042</v>
      </c>
      <c r="AW103">
        <v>18290.731534490071</v>
      </c>
      <c r="AX103">
        <v>4.0407587238027594</v>
      </c>
      <c r="AY103">
        <v>8194.6586918719968</v>
      </c>
      <c r="AZ103">
        <v>3.0173784600755962</v>
      </c>
      <c r="BA103">
        <v>6119.2435170333092</v>
      </c>
      <c r="BB103">
        <v>2.2942967903315443</v>
      </c>
      <c r="BC103">
        <v>4652.8338907923717</v>
      </c>
      <c r="BD103">
        <v>3.0032344985439918</v>
      </c>
      <c r="BE103">
        <v>6090.5595630472153</v>
      </c>
      <c r="BF103">
        <v>3.3576534766330344</v>
      </c>
      <c r="BG103">
        <v>6809.3212506117934</v>
      </c>
      <c r="BH103">
        <v>4.0703178185394755</v>
      </c>
      <c r="BI103">
        <v>8254.6045359980562</v>
      </c>
      <c r="BJ103">
        <v>2.7829199986508031</v>
      </c>
      <c r="BK103">
        <v>5643.7617572638283</v>
      </c>
      <c r="BL103">
        <v>2.2838285160030352</v>
      </c>
      <c r="BM103">
        <v>4631.6042304541552</v>
      </c>
      <c r="BN103">
        <v>0</v>
      </c>
      <c r="BO103">
        <v>0</v>
      </c>
      <c r="BP103">
        <v>16.215439362217278</v>
      </c>
      <c r="BQ103">
        <v>32884.911026576643</v>
      </c>
      <c r="BR103">
        <v>7.0637094432690759</v>
      </c>
      <c r="BS103">
        <v>14325.202750949686</v>
      </c>
      <c r="BT103">
        <v>5.3982269176462179</v>
      </c>
      <c r="BU103">
        <v>10947.60418898653</v>
      </c>
      <c r="BV103">
        <v>7.4369562669131772</v>
      </c>
      <c r="BW103">
        <v>15082.147309299924</v>
      </c>
      <c r="BX103">
        <v>7.7266696645004522</v>
      </c>
      <c r="BY103">
        <v>15669.686079606918</v>
      </c>
      <c r="BZ103">
        <v>5.8371904733605282</v>
      </c>
      <c r="CA103">
        <v>11837.822279975151</v>
      </c>
      <c r="CB103">
        <v>7.3417497290609415</v>
      </c>
      <c r="CC103">
        <v>14889.068450535589</v>
      </c>
      <c r="CD103">
        <v>9.2864393894372039</v>
      </c>
      <c r="CE103">
        <v>18832.899081778651</v>
      </c>
      <c r="CF103">
        <v>11.048837793189586</v>
      </c>
      <c r="CG103">
        <v>22407.043044588481</v>
      </c>
      <c r="CH103">
        <v>11.490636342255272</v>
      </c>
      <c r="CI103">
        <v>23303.01050209369</v>
      </c>
      <c r="CJ103">
        <v>11.798421244279968</v>
      </c>
      <c r="CK103">
        <v>23927.198283399775</v>
      </c>
      <c r="CL103">
        <v>11.298973849483938</v>
      </c>
      <c r="CM103">
        <v>22914.318966753424</v>
      </c>
      <c r="CN103">
        <v>0</v>
      </c>
      <c r="CO103">
        <v>0</v>
      </c>
      <c r="CP103">
        <v>2.9923870953234442</v>
      </c>
      <c r="CQ103">
        <v>6068.5610293159443</v>
      </c>
      <c r="CR103">
        <v>1.9549126109318091</v>
      </c>
      <c r="CS103">
        <v>3964.5627749697087</v>
      </c>
      <c r="CT103">
        <v>1.3067010145949203</v>
      </c>
      <c r="CU103">
        <v>2649.9896575984985</v>
      </c>
    </row>
    <row r="104" spans="2:99" x14ac:dyDescent="0.2">
      <c r="C104" s="105" t="s">
        <v>270</v>
      </c>
      <c r="D104">
        <v>26</v>
      </c>
      <c r="E104">
        <v>53882.400000000001</v>
      </c>
      <c r="F104">
        <v>33</v>
      </c>
      <c r="G104">
        <v>68389.2</v>
      </c>
      <c r="H104">
        <v>49</v>
      </c>
      <c r="I104">
        <v>101547.6</v>
      </c>
      <c r="J104">
        <v>38</v>
      </c>
      <c r="K104">
        <v>78751.199999999997</v>
      </c>
      <c r="L104">
        <v>10.905449658425988</v>
      </c>
      <c r="M104">
        <v>22600.45387212202</v>
      </c>
      <c r="N104">
        <v>4.4230257710515355</v>
      </c>
      <c r="O104">
        <v>9166.2786079272028</v>
      </c>
      <c r="P104">
        <v>4.2689900476815801</v>
      </c>
      <c r="Q104">
        <v>8847.0549748153062</v>
      </c>
      <c r="R104">
        <v>4.1856926808975494</v>
      </c>
      <c r="S104">
        <v>8674.4295118920818</v>
      </c>
      <c r="T104">
        <v>1.7247577881085379</v>
      </c>
      <c r="U104">
        <v>3574.3880400761341</v>
      </c>
      <c r="V104">
        <v>3.2318907705611961</v>
      </c>
      <c r="W104">
        <v>6697.7704329110229</v>
      </c>
      <c r="X104">
        <v>3.5082807478732438</v>
      </c>
      <c r="Y104">
        <v>7270.5610218925112</v>
      </c>
      <c r="Z104">
        <v>3.4136480996108407</v>
      </c>
      <c r="AA104">
        <v>7074.4443216335067</v>
      </c>
      <c r="AB104">
        <v>1.6541050594390316</v>
      </c>
      <c r="AC104">
        <v>3427.9673251814493</v>
      </c>
      <c r="AD104">
        <v>2.6100897325748975</v>
      </c>
      <c r="AE104">
        <v>5409.1499617882182</v>
      </c>
      <c r="AF104">
        <v>1.9625420574983425</v>
      </c>
      <c r="AG104">
        <v>4067.1721599595653</v>
      </c>
      <c r="AH104">
        <v>2.523726469364699</v>
      </c>
      <c r="AI104">
        <v>5230.1707351114028</v>
      </c>
      <c r="AJ104">
        <v>1.6417098206326486</v>
      </c>
      <c r="AK104">
        <v>3402.279432279101</v>
      </c>
      <c r="AL104">
        <v>0.93664075151679538</v>
      </c>
      <c r="AM104">
        <v>1941.0942934434067</v>
      </c>
      <c r="AN104">
        <v>0.9894430488476591</v>
      </c>
      <c r="AO104">
        <v>2050.5217744318888</v>
      </c>
      <c r="AP104">
        <v>1.8138001617222712</v>
      </c>
      <c r="AQ104">
        <v>3758.919455153235</v>
      </c>
      <c r="AR104">
        <v>3.073672834330738</v>
      </c>
      <c r="AS104">
        <v>6369.8795818670214</v>
      </c>
      <c r="AT104">
        <v>0</v>
      </c>
      <c r="AU104">
        <v>0</v>
      </c>
      <c r="AV104">
        <v>8.0169763464782253</v>
      </c>
      <c r="AW104">
        <v>16614.381780441476</v>
      </c>
      <c r="AX104">
        <v>4.5161421030736717</v>
      </c>
      <c r="AY104">
        <v>9359.2528944098776</v>
      </c>
      <c r="AZ104">
        <v>2.6402061525661464</v>
      </c>
      <c r="BA104">
        <v>5471.5632305780819</v>
      </c>
      <c r="BB104">
        <v>2.2942967903315443</v>
      </c>
      <c r="BC104">
        <v>4754.7006682830925</v>
      </c>
      <c r="BD104">
        <v>3.0032344985439918</v>
      </c>
      <c r="BE104">
        <v>6223.9031747825693</v>
      </c>
      <c r="BF104">
        <v>3.3576534766330344</v>
      </c>
      <c r="BG104">
        <v>6958.4010649743004</v>
      </c>
      <c r="BH104">
        <v>4.2903349979199881</v>
      </c>
      <c r="BI104">
        <v>8891.2902496893839</v>
      </c>
      <c r="BJ104">
        <v>2.937526665242514</v>
      </c>
      <c r="BK104">
        <v>6087.7302610485867</v>
      </c>
      <c r="BL104">
        <v>2.6100897325748975</v>
      </c>
      <c r="BM104">
        <v>5409.1499617882182</v>
      </c>
      <c r="BN104">
        <v>0</v>
      </c>
      <c r="BO104">
        <v>0</v>
      </c>
      <c r="BP104">
        <v>14.249931560736396</v>
      </c>
      <c r="BQ104">
        <v>29531.558166470109</v>
      </c>
      <c r="BR104">
        <v>6.9479109278056486</v>
      </c>
      <c r="BS104">
        <v>14398.850606784426</v>
      </c>
      <c r="BT104">
        <v>4.3939056306422701</v>
      </c>
      <c r="BU104">
        <v>9105.9300289430412</v>
      </c>
      <c r="BV104">
        <v>7.7749997335910486</v>
      </c>
      <c r="BW104">
        <v>16112.90944789409</v>
      </c>
      <c r="BX104">
        <v>6.913336015605668</v>
      </c>
      <c r="BY104">
        <v>14327.197558741187</v>
      </c>
      <c r="BZ104">
        <v>5.4480444418031588</v>
      </c>
      <c r="CA104">
        <v>11290.527301192868</v>
      </c>
      <c r="CB104">
        <v>6.882890370994633</v>
      </c>
      <c r="CC104">
        <v>14264.102004849277</v>
      </c>
      <c r="CD104">
        <v>9.6578969650146931</v>
      </c>
      <c r="CE104">
        <v>20015.025670296451</v>
      </c>
      <c r="CF104">
        <v>11.048837793189586</v>
      </c>
      <c r="CG104">
        <v>22897.611442606099</v>
      </c>
      <c r="CH104">
        <v>11.34140729884936</v>
      </c>
      <c r="CI104">
        <v>23503.932486135414</v>
      </c>
      <c r="CJ104">
        <v>11.032289994651396</v>
      </c>
      <c r="CK104">
        <v>22863.317784915555</v>
      </c>
      <c r="CL104">
        <v>9.8251946517251625</v>
      </c>
      <c r="CM104">
        <v>20361.733396235228</v>
      </c>
      <c r="CN104">
        <v>0</v>
      </c>
      <c r="CO104">
        <v>0</v>
      </c>
      <c r="CP104">
        <v>2.9923870953234442</v>
      </c>
      <c r="CQ104">
        <v>6201.4230163483062</v>
      </c>
      <c r="CR104">
        <v>1.9549126109318091</v>
      </c>
      <c r="CS104">
        <v>4051.3608948950814</v>
      </c>
      <c r="CT104">
        <v>1.3067010145949203</v>
      </c>
      <c r="CU104">
        <v>2708.0071826465128</v>
      </c>
    </row>
    <row r="105" spans="2:99" x14ac:dyDescent="0.2">
      <c r="C105" s="105" t="s">
        <v>271</v>
      </c>
      <c r="D105">
        <v>25</v>
      </c>
      <c r="E105">
        <v>49950</v>
      </c>
      <c r="F105">
        <v>30</v>
      </c>
      <c r="G105">
        <v>59940</v>
      </c>
      <c r="H105">
        <v>49</v>
      </c>
      <c r="I105">
        <v>97902</v>
      </c>
      <c r="J105">
        <v>41</v>
      </c>
      <c r="K105">
        <v>81918</v>
      </c>
      <c r="L105">
        <v>10.905449658425988</v>
      </c>
      <c r="M105">
        <v>21789.088417535124</v>
      </c>
      <c r="N105">
        <v>5.3076309252618428</v>
      </c>
      <c r="O105">
        <v>10604.646588673162</v>
      </c>
      <c r="P105">
        <v>4.2689900476815801</v>
      </c>
      <c r="Q105">
        <v>8529.4421152677969</v>
      </c>
      <c r="R105">
        <v>3.7671234128077944</v>
      </c>
      <c r="S105">
        <v>7526.7125787899731</v>
      </c>
      <c r="T105">
        <v>2.0122174194599607</v>
      </c>
      <c r="U105">
        <v>4020.4104040810016</v>
      </c>
      <c r="V105">
        <v>2.9087016935050767</v>
      </c>
      <c r="W105">
        <v>5811.585983623143</v>
      </c>
      <c r="X105">
        <v>2.9235672898943701</v>
      </c>
      <c r="Y105">
        <v>5841.2874452089518</v>
      </c>
      <c r="Z105">
        <v>3.4136480996108407</v>
      </c>
      <c r="AA105">
        <v>6820.4689030224599</v>
      </c>
      <c r="AB105">
        <v>1.8608681918689105</v>
      </c>
      <c r="AC105">
        <v>3718.0146473540831</v>
      </c>
      <c r="AD105">
        <v>2.6100897325748975</v>
      </c>
      <c r="AE105">
        <v>5214.9592856846448</v>
      </c>
      <c r="AF105">
        <v>1.7444818288874158</v>
      </c>
      <c r="AG105">
        <v>3485.4746941170565</v>
      </c>
      <c r="AH105">
        <v>2.2942967903315443</v>
      </c>
      <c r="AI105">
        <v>4584.0049870824259</v>
      </c>
      <c r="AJ105">
        <v>1.7511571420081582</v>
      </c>
      <c r="AK105">
        <v>3498.8119697323</v>
      </c>
      <c r="AL105">
        <v>0.93664075151679538</v>
      </c>
      <c r="AM105">
        <v>1871.4082215305571</v>
      </c>
      <c r="AN105">
        <v>1.0993811653862877</v>
      </c>
      <c r="AO105">
        <v>2196.563568441803</v>
      </c>
      <c r="AP105">
        <v>2.0928463404487747</v>
      </c>
      <c r="AQ105">
        <v>4181.5069882166517</v>
      </c>
      <c r="AR105">
        <v>3.073672834330738</v>
      </c>
      <c r="AS105">
        <v>6141.1983229928146</v>
      </c>
      <c r="AT105">
        <v>0</v>
      </c>
      <c r="AU105">
        <v>0</v>
      </c>
      <c r="AV105">
        <v>8.5180373681331147</v>
      </c>
      <c r="AW105">
        <v>17019.038661529965</v>
      </c>
      <c r="AX105">
        <v>4.0407587238027594</v>
      </c>
      <c r="AY105">
        <v>8073.4359301579134</v>
      </c>
      <c r="AZ105">
        <v>3.0173784600755962</v>
      </c>
      <c r="BA105">
        <v>6028.7221632310411</v>
      </c>
      <c r="BB105">
        <v>2.2942967903315443</v>
      </c>
      <c r="BC105">
        <v>4584.0049870824259</v>
      </c>
      <c r="BD105">
        <v>3.8613014981279892</v>
      </c>
      <c r="BE105">
        <v>7714.880393259722</v>
      </c>
      <c r="BF105">
        <v>3.7307260851478157</v>
      </c>
      <c r="BG105">
        <v>7453.9907181253357</v>
      </c>
      <c r="BH105">
        <v>3.7402920494687075</v>
      </c>
      <c r="BI105">
        <v>7473.1035148384781</v>
      </c>
      <c r="BJ105">
        <v>3.4013466650176478</v>
      </c>
      <c r="BK105">
        <v>6795.8906367052605</v>
      </c>
      <c r="BL105">
        <v>2.5013359937176105</v>
      </c>
      <c r="BM105">
        <v>4997.6693154477862</v>
      </c>
      <c r="BN105">
        <v>0</v>
      </c>
      <c r="BO105">
        <v>0</v>
      </c>
      <c r="BP105">
        <v>15.232685461476835</v>
      </c>
      <c r="BQ105">
        <v>30434.905552030716</v>
      </c>
      <c r="BR105">
        <v>6.2531198350250836</v>
      </c>
      <c r="BS105">
        <v>12493.733430380116</v>
      </c>
      <c r="BT105">
        <v>4.7705261132687502</v>
      </c>
      <c r="BU105">
        <v>9531.5111743109628</v>
      </c>
      <c r="BV105">
        <v>8.2257243558282109</v>
      </c>
      <c r="BW105">
        <v>16434.997262944766</v>
      </c>
      <c r="BX105">
        <v>7.7266696645004522</v>
      </c>
      <c r="BY105">
        <v>15437.885989671904</v>
      </c>
      <c r="BZ105">
        <v>6.2263365049178967</v>
      </c>
      <c r="CA105">
        <v>12440.220336825958</v>
      </c>
      <c r="CB105">
        <v>7.8006090871272509</v>
      </c>
      <c r="CC105">
        <v>15585.616956080246</v>
      </c>
      <c r="CD105">
        <v>8.5435242382822274</v>
      </c>
      <c r="CE105">
        <v>17069.961428087889</v>
      </c>
      <c r="CF105">
        <v>9.979595426106723</v>
      </c>
      <c r="CG105">
        <v>19939.231661361231</v>
      </c>
      <c r="CH105">
        <v>11.789094429067099</v>
      </c>
      <c r="CI105">
        <v>23554.610669276062</v>
      </c>
      <c r="CJ105">
        <v>11.185516244577112</v>
      </c>
      <c r="CK105">
        <v>22348.661456665071</v>
      </c>
      <c r="CL105">
        <v>11.626480337874778</v>
      </c>
      <c r="CM105">
        <v>23229.707715073808</v>
      </c>
      <c r="CN105">
        <v>0</v>
      </c>
      <c r="CO105">
        <v>0</v>
      </c>
      <c r="CP105">
        <v>3.5908645143881333</v>
      </c>
      <c r="CQ105">
        <v>7174.5472997474899</v>
      </c>
      <c r="CR105">
        <v>1.8152759958652511</v>
      </c>
      <c r="CS105">
        <v>3626.9214397387718</v>
      </c>
      <c r="CT105">
        <v>1.1615120129732623</v>
      </c>
      <c r="CU105">
        <v>2320.7010019205782</v>
      </c>
    </row>
    <row r="107" spans="2:99" x14ac:dyDescent="0.2">
      <c r="B107" s="108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>
        <f>SUM(D$6:D$19)+SUM(F$6:F$19)+SUM(H$6:H$19)+SUM(J$6:J$19)</f>
        <v>0</v>
      </c>
      <c r="E109">
        <f>SUM(L$6:L$19)+SUM(N$6:N$19)+SUM(P$6:P$19)+SUM(R$6:R$19)</f>
        <v>25.398476699022169</v>
      </c>
      <c r="F109">
        <f>SUM(T$6:T$19)+SUM(V$6:V$19)+SUM(X$6:X$19)+SUM(Z$6:Z$19)</f>
        <v>232.6069094576915</v>
      </c>
      <c r="G109">
        <f>SUM(AB$6:AB$19)+SUM(AD$6:AD$19)+SUM(AF$6:AF$19)+SUM(AH$6:AH$19)</f>
        <v>207.26386727210397</v>
      </c>
      <c r="H109">
        <f>SUM(AJ$6:AJ$19)+SUM(AL$6:AL$19)+SUM(AN$6:AN$19)+SUM(AP$6:AP$19)</f>
        <v>196.57846651905311</v>
      </c>
      <c r="I109">
        <f>SUM(AR$6:AR$19)+SUM(AT$6:AT$19)+SUM(AV$6:AV$19)+SUM(AX$6:AX$19)</f>
        <v>1143.5854784727783</v>
      </c>
      <c r="J109">
        <f>SUM(AZ$6:AZ$19)+SUM(BB$6:BB$19)+SUM(BD$6:BD$19)+SUM(BF$6:BF$19)</f>
        <v>541.92923401811288</v>
      </c>
      <c r="K109">
        <f>SUM(BH$6:BH$19)+SUM(BJ$6:BJ$19)+SUM(BL$6:BL$19)+SUM(BN$6:BN$19)</f>
        <v>64.364677581089339</v>
      </c>
      <c r="L109">
        <f>SUM(BP$6:BP$19)+SUM(BR$6:BR$19)+SUM(BT$6:BT$19)+SUM(BV$6:BV$19)</f>
        <v>174.03551094172715</v>
      </c>
      <c r="M109">
        <f>SUM(BX$6:BX$19)+SUM(BZ$6:BZ$19)+SUM(CB$6:CB$19)+SUM(CD$6:CD$19)</f>
        <v>306.81677194224562</v>
      </c>
      <c r="N109">
        <f>SUM(CF$6:CF$19)+SUM(CH$6:CH$19)+SUM(CJ$6:CJ$19)+SUM(CL$6:CL$19)</f>
        <v>93.402453584644988</v>
      </c>
      <c r="O109">
        <f>SUM(CN$6:CN$19)+SUM(CP$6:CP$19)+SUM(CR$6:CR$19)+SUM(CT$6:CT$19)</f>
        <v>754.7492404424936</v>
      </c>
    </row>
    <row r="110" spans="2:99" x14ac:dyDescent="0.2">
      <c r="C110" s="105" t="s">
        <v>127</v>
      </c>
      <c r="D110">
        <f>SUM(D$20:D$36)+SUM(F$20:F$36)+SUM(H$20:H$36)+SUM(J$20:J$36)</f>
        <v>0</v>
      </c>
      <c r="E110">
        <f>SUM(L$20:L$36)+SUM(N$20:N$36)+SUM(P$20:P$36)+SUM(R$20:R$36)</f>
        <v>529.2074112398434</v>
      </c>
      <c r="F110">
        <f>SUM(T$20:T$36)+SUM(V$20:V$36)+SUM(X$20:X$36)+SUM(Z$20:Z$36)</f>
        <v>920.04688502769204</v>
      </c>
      <c r="G110">
        <f>SUM(AB$20:AB$36)+SUM(AD$20:AD$36)+SUM(AF$20:AF$36)+SUM(AH$20:AH$36)</f>
        <v>1732.7757089441143</v>
      </c>
      <c r="H110">
        <f>SUM(AJ$20:AJ$36)+SUM(AL$20:AL$36)+SUM(AN$20:AN$36)+SUM(AP$20:AP$36)</f>
        <v>636.20810112363381</v>
      </c>
      <c r="I110">
        <f>SUM(AR$20:AR$36)+SUM(AT$20:AT$36)+SUM(AV$20:AV$36)+SUM(AX$20:AX$36)</f>
        <v>285.10616164446174</v>
      </c>
      <c r="J110">
        <f>SUM(AZ$20:AZ$36)+SUM(BB$20:BB$36)+SUM(BD$20:BD$36)+SUM(BF$20:BF$36)</f>
        <v>1528.6146285204836</v>
      </c>
      <c r="K110">
        <f>SUM(BH$20:BH$36)+SUM(BJ$20:BJ$36)+SUM(BL$20:BL$36)+SUM(BN$20:BN$36)</f>
        <v>1242.7639980070294</v>
      </c>
      <c r="L110">
        <f>SUM(BP$20:BP$36)+SUM(BR$20:BR$36)+SUM(BT$20:BT$36)+SUM(BV$20:BV$36)</f>
        <v>358.7804088887865</v>
      </c>
      <c r="M110">
        <f>SUM(BX$20:BX$36)+SUM(BZ$20:BZ$36)+SUM(CB$20:CB$36)+SUM(CD$20:CD$36)</f>
        <v>669.73090185130059</v>
      </c>
      <c r="N110">
        <f>SUM(CF$20:CF$36)+SUM(CH$20:CH$36)+SUM(CJ$20:CJ$36)+SUM(CL$20:CL$36)</f>
        <v>1875.18513884084</v>
      </c>
      <c r="O110">
        <f>SUM(CN$20:CN$36)+SUM(CP$20:CP$36)+SUM(CR$20:CR$36)+SUM(CT$20:CT$36)</f>
        <v>301.37798342725216</v>
      </c>
    </row>
    <row r="111" spans="2:99" x14ac:dyDescent="0.2">
      <c r="C111" s="105" t="s">
        <v>128</v>
      </c>
      <c r="D111">
        <f>SUM(D$37:D$48)+SUM(F$37:F$48)+SUM(H$37:H$48)+SUM(J$37:J$48)</f>
        <v>0</v>
      </c>
      <c r="E111">
        <f>SUM(L$37:L$48)+SUM(N$37:N$48)+SUM(P$37:P$48)+SUM(R$37:R$48)</f>
        <v>47.152949839477628</v>
      </c>
      <c r="F111">
        <f>SUM(T$37:T$48)+SUM(V$37:V$48)+SUM(X$37:X$48)+SUM(Z$37:Z$48)</f>
        <v>641.70761747122845</v>
      </c>
      <c r="G111">
        <f>SUM(AB$37:AB$48)+SUM(AD$37:AD$48)+SUM(AF$37:AF$48)+SUM(AH$37:AH$48)</f>
        <v>186.19480041712055</v>
      </c>
      <c r="H111">
        <f>SUM(AJ$37:AJ$48)+SUM(AL$37:AL$48)+SUM(AN$37:AN$48)+SUM(AP$37:AP$48)</f>
        <v>254.69736296635975</v>
      </c>
      <c r="I111">
        <f>SUM(AR$37:AR$48)+SUM(AT$37:AT$48)+SUM(AV$37:AV$48)+SUM(AX$37:AX$48)</f>
        <v>218.93764759450829</v>
      </c>
      <c r="J111">
        <f>SUM(AZ$37:AZ$48)+SUM(BB$37:BB$48)+SUM(BD$37:BD$48)+SUM(BF$37:BF$48)</f>
        <v>51.194267280811729</v>
      </c>
      <c r="K111">
        <f>SUM(BH$37:BH$48)+SUM(BJ$37:BJ$48)+SUM(BL$37:BL$48)+SUM(BN$37:BN$48)</f>
        <v>44.931901291551455</v>
      </c>
      <c r="L111">
        <f>SUM(BP$37:BP$48)+SUM(BR$37:BR$48)+SUM(BT$37:BT$48)+SUM(BV$37:BV$48)</f>
        <v>1193.7659626463524</v>
      </c>
      <c r="M111">
        <f>SUM(BX$37:BX$48)+SUM(BZ$37:BZ$48)+SUM(CB$37:CB$48)+SUM(CD$37:CD$48)</f>
        <v>593.18496451841668</v>
      </c>
      <c r="N111">
        <f>SUM(CF$37:CF$48)+SUM(CH$37:CH$48)+SUM(CJ$37:CJ$48)+SUM(CL$37:CL$48)</f>
        <v>101.05164413005063</v>
      </c>
      <c r="O111">
        <f>SUM(CN$37:CN$48)+SUM(CP$37:CP$48)+SUM(CR$37:CR$48)+SUM(CT$37:CT$48)</f>
        <v>500.47036746907099</v>
      </c>
    </row>
    <row r="112" spans="2:99" x14ac:dyDescent="0.2">
      <c r="C112" s="105" t="s">
        <v>129</v>
      </c>
      <c r="D112">
        <f>SUM(D$49:D$70)+SUM(F$49:F$70)+SUM(H$49:H$70)+SUM(J$49:J$70)</f>
        <v>177</v>
      </c>
      <c r="E112">
        <f>SUM(L$49:L$70)+SUM(N$49:N$70)+SUM(P$49:P$70)+SUM(R$49:R$70)</f>
        <v>125.51742921464719</v>
      </c>
      <c r="F112">
        <f>SUM(T$49:T$70)+SUM(V$49:V$70)+SUM(X$49:X$70)+SUM(Z$49:Z$70)</f>
        <v>403.85262381207622</v>
      </c>
      <c r="G112">
        <f>SUM(AB$49:AB$70)+SUM(AD$49:AD$70)+SUM(AF$49:AF$70)+SUM(AH$49:AH$70)</f>
        <v>142.49071232088602</v>
      </c>
      <c r="H112">
        <f>SUM(AJ$49:AJ$70)+SUM(AL$49:AL$70)+SUM(AN$49:AN$70)+SUM(AP$49:AP$70)</f>
        <v>771.81313031095419</v>
      </c>
      <c r="I112">
        <f>SUM(AR$49:AR$70)+SUM(AT$49:AT$70)+SUM(AV$49:AV$70)+SUM(AX$49:AX$70)</f>
        <v>628.49722737194384</v>
      </c>
      <c r="J112">
        <f>SUM(AZ$49:AZ$70)+SUM(BB$49:BB$70)+SUM(BD$49:BD$70)+SUM(BF$49:BF$70)</f>
        <v>188.32827424170156</v>
      </c>
      <c r="K112">
        <f>SUM(BH$49:BH$70)+SUM(BJ$49:BJ$70)+SUM(BL$49:BL$70)+SUM(BN$49:BN$70)</f>
        <v>549.29782157838429</v>
      </c>
      <c r="L112">
        <f>SUM(BP$49:BP$70)+SUM(BR$49:BR$70)+SUM(BT$49:BT$70)+SUM(BV$49:BV$70)</f>
        <v>1079.9576353920738</v>
      </c>
      <c r="M112">
        <f>SUM(BX$49:BX$70)+SUM(BZ$49:BZ$70)+SUM(CB$49:CB$70)+SUM(CD$49:CD$70)</f>
        <v>439.40671807425088</v>
      </c>
      <c r="N112">
        <f>SUM(CF$49:CF$70)+SUM(CH$49:CH$70)+SUM(CJ$49:CJ$70)+SUM(CL$49:CL$70)</f>
        <v>96.585500622983332</v>
      </c>
      <c r="O112">
        <f>SUM(CN$49:CN$70)+SUM(CP$49:CP$70)+SUM(CR$49:CR$70)+SUM(CT$49:CT$70)</f>
        <v>811.01921712839385</v>
      </c>
    </row>
    <row r="113" spans="2:15" x14ac:dyDescent="0.2">
      <c r="C113" s="105" t="s">
        <v>130</v>
      </c>
      <c r="D113">
        <f>SUM(D$71:D$86)+SUM(F$71:F$86)+SUM(H$71:H$86)+SUM(J$71:J$86)</f>
        <v>1805</v>
      </c>
      <c r="E113">
        <f>SUM(L$71:L$86)+SUM(N$71:N$86)+SUM(P$71:P$86)+SUM(R$71:R$86)</f>
        <v>428.16944291822034</v>
      </c>
      <c r="F113">
        <f>SUM(T$71:T$86)+SUM(V$71:V$86)+SUM(X$71:X$86)+SUM(Z$71:Z$86)</f>
        <v>310.24228199012742</v>
      </c>
      <c r="G113">
        <f>SUM(AB$71:AB$86)+SUM(AD$71:AD$86)+SUM(AF$71:AF$86)+SUM(AH$71:AH$86)</f>
        <v>365.4102971231701</v>
      </c>
      <c r="H113">
        <f>SUM(AJ$71:AJ$86)+SUM(AL$71:AL$86)+SUM(AN$71:AN$86)+SUM(AP$71:AP$86)</f>
        <v>459.2820540628399</v>
      </c>
      <c r="I113">
        <f>SUM(AR$71:AR$86)+SUM(AT$71:AT$86)+SUM(AV$71:AV$86)+SUM(AX$71:AX$86)</f>
        <v>333.42671372371842</v>
      </c>
      <c r="J113">
        <f>SUM(AZ$71:AZ$86)+SUM(BB$71:BB$86)+SUM(BD$71:BD$86)+SUM(BF$71:BF$86)</f>
        <v>262.98141610144802</v>
      </c>
      <c r="K113">
        <f>SUM(BH$71:BH$86)+SUM(BJ$71:BJ$86)+SUM(BL$71:BL$86)+SUM(BN$71:BN$86)</f>
        <v>312.83919640287945</v>
      </c>
      <c r="L113">
        <f>SUM(BP$71:BP$86)+SUM(BR$71:BR$86)+SUM(BT$71:BT$86)+SUM(BV$71:BV$86)</f>
        <v>354.34461948784548</v>
      </c>
      <c r="M113">
        <f>SUM(BX$71:BX$86)+SUM(BZ$71:BZ$86)+SUM(CB$71:CB$86)+SUM(CD$71:CD$86)</f>
        <v>213.86597300962174</v>
      </c>
      <c r="N113">
        <f>SUM(CF$71:CF$86)+SUM(CH$71:CH$86)+SUM(CJ$71:CJ$86)+SUM(CL$71:CL$86)</f>
        <v>115.71967993666141</v>
      </c>
      <c r="O113">
        <f>SUM(CN$71:CN$86)+SUM(CP$71:CP$86)+SUM(CR$71:CR$86)+SUM(CT$71:CT$86)</f>
        <v>320.18067048725044</v>
      </c>
    </row>
    <row r="114" spans="2:15" x14ac:dyDescent="0.2">
      <c r="C114" s="105" t="s">
        <v>131</v>
      </c>
      <c r="D114">
        <f>SUM(D$87:D$94)+SUM(F$87:F$94)+SUM(H$87:H$94)+SUM(J$87:J$94)</f>
        <v>279</v>
      </c>
      <c r="E114">
        <f>SUM(L$87:L$94)+SUM(N$87:N$94)+SUM(P$87:P$94)+SUM(R$87:R$94)</f>
        <v>128.22209637589143</v>
      </c>
      <c r="F114">
        <f>SUM(T$87:T$94)+SUM(V$87:V$94)+SUM(X$87:X$94)+SUM(Z$87:Z$94)</f>
        <v>214.70474089573401</v>
      </c>
      <c r="G114">
        <f>SUM(AB$87:AB$94)+SUM(AD$87:AD$94)+SUM(AF$87:AF$94)+SUM(AH$87:AH$94)</f>
        <v>205.31149211677561</v>
      </c>
      <c r="H114">
        <f>SUM(AJ$87:AJ$94)+SUM(AL$87:AL$94)+SUM(AN$87:AN$94)+SUM(AP$87:AP$94)</f>
        <v>138.8013076433638</v>
      </c>
      <c r="I114">
        <f>SUM(AR$87:AR$94)+SUM(AT$87:AT$94)+SUM(AV$87:AV$94)+SUM(AX$87:AX$94)</f>
        <v>123.38980350354578</v>
      </c>
      <c r="J114">
        <f>SUM(AZ$87:AZ$94)+SUM(BB$87:BB$94)+SUM(BD$87:BD$94)+SUM(BF$87:BF$94)</f>
        <v>234.98365526355607</v>
      </c>
      <c r="K114">
        <f>SUM(BH$87:BH$94)+SUM(BJ$87:BJ$94)+SUM(BL$87:BL$94)+SUM(BN$87:BN$94)</f>
        <v>28.347758614510504</v>
      </c>
      <c r="L114">
        <f>SUM(BP$87:BP$94)+SUM(BR$87:BR$94)+SUM(BT$87:BT$94)+SUM(BV$87:BV$94)</f>
        <v>59.359423309776687</v>
      </c>
      <c r="M114">
        <f>SUM(BX$87:BX$94)+SUM(BZ$87:BZ$94)+SUM(CB$87:CB$94)+SUM(CD$87:CD$94)</f>
        <v>104.82646497821777</v>
      </c>
      <c r="N114">
        <f>SUM(CF$87:CF$94)+SUM(CH$87:CH$94)+SUM(CJ$87:CJ$94)+SUM(CL$87:CL$94)</f>
        <v>60.909506553883205</v>
      </c>
      <c r="O114">
        <f>SUM(CN$87:CN$94)+SUM(CP$87:CP$94)+SUM(CR$87:CR$94)+SUM(CT$87:CT$94)</f>
        <v>219.97804899812189</v>
      </c>
    </row>
    <row r="115" spans="2:15" x14ac:dyDescent="0.2">
      <c r="C115" s="105" t="s">
        <v>132</v>
      </c>
      <c r="D115">
        <f>SUM(D$95:D$105)+SUM(F$95:F$105)+SUM(H$95:H$105)+SUM(J$95:J$105)</f>
        <v>1609</v>
      </c>
      <c r="E115">
        <f>SUM(L$95:L$105)+SUM(N$95:N$105)+SUM(P$95:P$105)+SUM(R$95:R$105)</f>
        <v>260.2002393673954</v>
      </c>
      <c r="F115">
        <f>SUM(T$95:T$105)+SUM(V$95:V$105)+SUM(X$95:X$105)+SUM(Z$95:Z$105)</f>
        <v>126.12624247107611</v>
      </c>
      <c r="G115">
        <f>SUM(AB$95:AB$105)+SUM(AD$95:AD$105)+SUM(AF$95:AF$105)+SUM(AH$95:AH$105)</f>
        <v>92.276962042572151</v>
      </c>
      <c r="H115">
        <f>SUM(AJ$95:AJ$105)+SUM(AL$95:AL$105)+SUM(AN$95:AN$105)+SUM(AP$95:AP$105)</f>
        <v>63.28546834870177</v>
      </c>
      <c r="I115">
        <f>SUM(AR$95:AR$105)+SUM(AT$95:AT$105)+SUM(AV$95:AV$105)+SUM(AX$95:AX$105)</f>
        <v>173.13838670795144</v>
      </c>
      <c r="J115">
        <f>SUM(AZ$95:AZ$105)+SUM(BB$95:BB$105)+SUM(BD$95:BD$105)+SUM(BF$95:BF$105)</f>
        <v>132.63441554879239</v>
      </c>
      <c r="K115">
        <f>SUM(BH$95:BH$105)+SUM(BJ$95:BJ$105)+SUM(BL$95:BL$105)+SUM(BN$95:BN$105)</f>
        <v>106.50713758266244</v>
      </c>
      <c r="L115">
        <f>SUM(BP$95:BP$105)+SUM(BR$95:BR$105)+SUM(BT$95:BT$105)+SUM(BV$95:BV$105)</f>
        <v>385.03573022514416</v>
      </c>
      <c r="M115">
        <f>SUM(BX$95:BX$105)+SUM(BZ$95:BZ$105)+SUM(CB$95:CB$105)+SUM(CD$95:CD$105)</f>
        <v>325.60819032444601</v>
      </c>
      <c r="N115">
        <f>SUM(CF$95:CF$105)+SUM(CH$95:CH$105)+SUM(CJ$95:CJ$105)+SUM(CL$95:CL$105)</f>
        <v>497.63854322056415</v>
      </c>
      <c r="O115">
        <f>SUM(CN$95:CN$105)+SUM(CP$95:CP$105)+SUM(CR$95:CR$105)+SUM(CT$95:CT$105)</f>
        <v>69.39036302232347</v>
      </c>
    </row>
    <row r="116" spans="2:15" x14ac:dyDescent="0.2">
      <c r="C116" s="105" t="s">
        <v>278</v>
      </c>
      <c r="D116">
        <f t="shared" ref="D116:O116" si="0">SUM(D$109:D$115)</f>
        <v>3870</v>
      </c>
      <c r="E116">
        <f t="shared" si="0"/>
        <v>1543.8680456544976</v>
      </c>
      <c r="F116">
        <f t="shared" si="0"/>
        <v>2849.2873011256261</v>
      </c>
      <c r="G116">
        <f t="shared" si="0"/>
        <v>2931.7238402367425</v>
      </c>
      <c r="H116">
        <f t="shared" si="0"/>
        <v>2520.6658909749062</v>
      </c>
      <c r="I116">
        <f t="shared" si="0"/>
        <v>2906.0814190189076</v>
      </c>
      <c r="J116">
        <f t="shared" si="0"/>
        <v>2940.6658909749058</v>
      </c>
      <c r="K116">
        <f t="shared" si="0"/>
        <v>2349.0524910581071</v>
      </c>
      <c r="L116">
        <f t="shared" si="0"/>
        <v>3605.2792908917058</v>
      </c>
      <c r="M116">
        <f t="shared" si="0"/>
        <v>2653.4399846984998</v>
      </c>
      <c r="N116">
        <f t="shared" si="0"/>
        <v>2840.4924668896283</v>
      </c>
      <c r="O116">
        <f t="shared" si="0"/>
        <v>2977.1658909749062</v>
      </c>
    </row>
    <row r="118" spans="2:15" x14ac:dyDescent="0.2">
      <c r="B118" s="107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>
        <f>D109*pricing!D15*2000</f>
        <v>0</v>
      </c>
      <c r="E120">
        <f>E109*pricing!E15*2000</f>
        <v>180486.385289606</v>
      </c>
      <c r="F120">
        <f>F109*pricing!F15*2000</f>
        <v>1588633.8386851</v>
      </c>
      <c r="G120">
        <f>G109*pricing!G15*2000</f>
        <v>725068.88700834394</v>
      </c>
      <c r="H120">
        <f>H109*pricing!H15*2000</f>
        <v>1333714.5069678116</v>
      </c>
      <c r="I120">
        <f>I109*pricing!I15*2000</f>
        <v>2917192.045580802</v>
      </c>
      <c r="J120">
        <f>J109*pricing!J15*2000</f>
        <v>1285633.3720897923</v>
      </c>
      <c r="K120">
        <f>K109*pricing!K15*2000</f>
        <v>337038.02600221179</v>
      </c>
      <c r="L120">
        <f>L109*pricing!L15*2000</f>
        <v>1094843.2566891802</v>
      </c>
      <c r="M120">
        <f>M109*pricing!M15*2000</f>
        <v>2053086.7654319578</v>
      </c>
      <c r="N120">
        <f>N109*pricing!N15*2000</f>
        <v>579620.65463825548</v>
      </c>
      <c r="O120">
        <f>O109*pricing!O15*2000</f>
        <v>1928055.2812683317</v>
      </c>
    </row>
    <row r="121" spans="2:15" x14ac:dyDescent="0.2">
      <c r="C121" s="105" t="s">
        <v>127</v>
      </c>
      <c r="D121">
        <f>D110*pricing!D16*2000</f>
        <v>0</v>
      </c>
      <c r="E121">
        <f>E110*pricing!E16*2000</f>
        <v>1337335.7347419634</v>
      </c>
      <c r="F121">
        <f>F110*pricing!F16*2000</f>
        <v>4664804.3333077356</v>
      </c>
      <c r="G121">
        <f>G110*pricing!G16*2000</f>
        <v>3481424.8764650696</v>
      </c>
      <c r="H121">
        <f>H110*pricing!H16*2000</f>
        <v>3683936.8382194643</v>
      </c>
      <c r="I121">
        <f>I110*pricing!I16*2000</f>
        <v>2018787.186630483</v>
      </c>
      <c r="J121">
        <f>J110*pricing!J16*2000</f>
        <v>3128866.2489095181</v>
      </c>
      <c r="K121">
        <f>K110*pricing!K16*2000</f>
        <v>2550745.3862762428</v>
      </c>
      <c r="L121">
        <f>L110*pricing!L16*2000</f>
        <v>2383813.7007232774</v>
      </c>
      <c r="M121">
        <f>M110*pricing!M16*2000</f>
        <v>4595297.9802850699</v>
      </c>
      <c r="N121">
        <f>N110*pricing!N16*2000</f>
        <v>3980583.1316778646</v>
      </c>
      <c r="O121">
        <f>O110*pricing!O16*2000</f>
        <v>1711197.9344413367</v>
      </c>
    </row>
    <row r="122" spans="2:15" x14ac:dyDescent="0.2">
      <c r="C122" s="105" t="s">
        <v>128</v>
      </c>
      <c r="D122">
        <f>D111*pricing!D17*2000</f>
        <v>0</v>
      </c>
      <c r="E122">
        <f>E111*pricing!E17*2000</f>
        <v>272667.70378213801</v>
      </c>
      <c r="F122">
        <f>F111*pricing!F17*2000</f>
        <v>2617011.1972737112</v>
      </c>
      <c r="G122">
        <f>G111*pricing!G17*2000</f>
        <v>780151.81671680778</v>
      </c>
      <c r="H122">
        <f>H111*pricing!H17*2000</f>
        <v>1696326.0461976489</v>
      </c>
      <c r="I122">
        <f>I111*pricing!I17*2000</f>
        <v>1363783.9640452468</v>
      </c>
      <c r="J122">
        <f>J111*pricing!J17*2000</f>
        <v>327173.86921676493</v>
      </c>
      <c r="K122">
        <f>K111*pricing!K17*2000</f>
        <v>285138.78108102927</v>
      </c>
      <c r="L122">
        <f>L111*pricing!L17*2000</f>
        <v>3074603.9572316501</v>
      </c>
      <c r="M122">
        <f>M111*pricing!M17*2000</f>
        <v>2743873.5064953389</v>
      </c>
      <c r="N122">
        <f>N111*pricing!N17*2000</f>
        <v>591342.10368199518</v>
      </c>
      <c r="O122">
        <f>O111*pricing!O17*2000</f>
        <v>1664298.4794892133</v>
      </c>
    </row>
    <row r="123" spans="2:15" x14ac:dyDescent="0.2">
      <c r="C123" s="105" t="s">
        <v>129</v>
      </c>
      <c r="D123">
        <f>D112*pricing!D18*2000</f>
        <v>801845.34955948859</v>
      </c>
      <c r="E123">
        <f>E112*pricing!E18*2000</f>
        <v>713080.7168869765</v>
      </c>
      <c r="F123">
        <f>F112*pricing!F18*2000</f>
        <v>2226758.2890779367</v>
      </c>
      <c r="G123">
        <f>G112*pricing!G18*2000</f>
        <v>837287.03954937903</v>
      </c>
      <c r="H123">
        <f>H112*pricing!H18*2000</f>
        <v>3335993.4245527419</v>
      </c>
      <c r="I123">
        <f>I112*pricing!I18*2000</f>
        <v>2700062.7840947201</v>
      </c>
      <c r="J123">
        <f>J112*pricing!J18*2000</f>
        <v>1000970.4771190004</v>
      </c>
      <c r="K123">
        <f>K112*pricing!K18*2000</f>
        <v>1358216.8513725235</v>
      </c>
      <c r="L123">
        <f>L112*pricing!L18*2000</f>
        <v>3293878.9657466337</v>
      </c>
      <c r="M123">
        <f>M112*pricing!M18*2000</f>
        <v>2644260.4487801283</v>
      </c>
      <c r="N123">
        <f>N112*pricing!N18*2000</f>
        <v>694930.99630245031</v>
      </c>
      <c r="O123">
        <f>O112*pricing!O18*2000</f>
        <v>2283397.0566927847</v>
      </c>
    </row>
    <row r="124" spans="2:15" x14ac:dyDescent="0.2">
      <c r="C124" s="105" t="s">
        <v>130</v>
      </c>
      <c r="D124">
        <f>D113*pricing!D19*2000</f>
        <v>7090364.7948664222</v>
      </c>
      <c r="E124">
        <f>E113*pricing!E19*2000</f>
        <v>2524661.9088659212</v>
      </c>
      <c r="F124">
        <f>F113*pricing!F19*2000</f>
        <v>1667951.315645118</v>
      </c>
      <c r="G124">
        <f>G113*pricing!G19*2000</f>
        <v>1583678.1837265806</v>
      </c>
      <c r="H124">
        <f>H113*pricing!H19*2000</f>
        <v>1267005.9430913113</v>
      </c>
      <c r="I124">
        <f>I113*pricing!I19*2000</f>
        <v>1620709.207293184</v>
      </c>
      <c r="J124">
        <f>J113*pricing!J19*2000</f>
        <v>1818405.518547527</v>
      </c>
      <c r="K124">
        <f>K113*pricing!K19*2000</f>
        <v>897973.7981767907</v>
      </c>
      <c r="L124">
        <f>L113*pricing!L19*2000</f>
        <v>1254115.2850315971</v>
      </c>
      <c r="M124">
        <f>M113*pricing!M19*2000</f>
        <v>1503798.087027407</v>
      </c>
      <c r="N124">
        <f>N113*pricing!N19*2000</f>
        <v>713917.54322246986</v>
      </c>
      <c r="O124">
        <f>O113*pricing!O19*2000</f>
        <v>1309300.1194993437</v>
      </c>
    </row>
    <row r="125" spans="2:15" x14ac:dyDescent="0.2">
      <c r="C125" s="105" t="s">
        <v>131</v>
      </c>
      <c r="D125">
        <f>D114*pricing!D20*2000</f>
        <v>1506563.6158416951</v>
      </c>
      <c r="E125">
        <f>E114*pricing!E20*2000</f>
        <v>729312.57177693385</v>
      </c>
      <c r="F125">
        <f>F114*pricing!F20*2000</f>
        <v>742297.63527320267</v>
      </c>
      <c r="G125">
        <f>G114*pricing!G20*2000</f>
        <v>627923.62157896452</v>
      </c>
      <c r="H125">
        <f>H114*pricing!H20*2000</f>
        <v>389997.43382065411</v>
      </c>
      <c r="I125">
        <f>I114*pricing!I20*2000</f>
        <v>514438.60955014406</v>
      </c>
      <c r="J125">
        <f>J114*pricing!J20*2000</f>
        <v>960106.10972072207</v>
      </c>
      <c r="K125">
        <f>K114*pricing!K20*2000</f>
        <v>156024.1453457204</v>
      </c>
      <c r="L125">
        <f>L114*pricing!L20*2000</f>
        <v>280806.80763346271</v>
      </c>
      <c r="M125">
        <f>M114*pricing!M20*2000</f>
        <v>617268.81825493032</v>
      </c>
      <c r="N125">
        <f>N114*pricing!N20*2000</f>
        <v>302540.55790908926</v>
      </c>
      <c r="O125">
        <f>O114*pricing!O20*2000</f>
        <v>591404.30310704536</v>
      </c>
    </row>
    <row r="126" spans="2:15" x14ac:dyDescent="0.2">
      <c r="C126" s="105" t="s">
        <v>132</v>
      </c>
      <c r="D126">
        <f>D115*pricing!D21*2000</f>
        <v>4654416.6901007965</v>
      </c>
      <c r="E126">
        <f>E115*pricing!E21*2000</f>
        <v>1529028.5308079273</v>
      </c>
      <c r="F126">
        <f>F115*pricing!F21*2000</f>
        <v>759729.62336954707</v>
      </c>
      <c r="G126">
        <f>G115*pricing!G21*2000</f>
        <v>529884.80049779825</v>
      </c>
      <c r="H126">
        <f>H115*pricing!H21*2000</f>
        <v>303951.41111236712</v>
      </c>
      <c r="I126">
        <f>I115*pricing!I21*2000</f>
        <v>867819.46859923063</v>
      </c>
      <c r="J126">
        <f>J115*pricing!J21*2000</f>
        <v>924281.66218869318</v>
      </c>
      <c r="K126">
        <f>K115*pricing!K21*2000</f>
        <v>372391.56044032937</v>
      </c>
      <c r="L126">
        <f>L115*pricing!L21*2000</f>
        <v>926741.23076661245</v>
      </c>
      <c r="M126">
        <f>M115*pricing!M21*2000</f>
        <v>1317500.6340089287</v>
      </c>
      <c r="N126">
        <f>N115*pricing!N21*2000</f>
        <v>1011766.294814771</v>
      </c>
      <c r="O126">
        <f>O115*pricing!O21*2000</f>
        <v>402758.82187831623</v>
      </c>
    </row>
    <row r="127" spans="2:15" x14ac:dyDescent="0.2">
      <c r="C127" s="105" t="s">
        <v>278</v>
      </c>
      <c r="D127">
        <f t="shared" ref="D127:O127" si="1">SUM(D$120:D$126)</f>
        <v>14053190.450368403</v>
      </c>
      <c r="E127">
        <f t="shared" si="1"/>
        <v>7286573.5521514658</v>
      </c>
      <c r="F127">
        <f t="shared" si="1"/>
        <v>14267186.232632352</v>
      </c>
      <c r="G127">
        <f t="shared" si="1"/>
        <v>8565419.2255429439</v>
      </c>
      <c r="H127">
        <f t="shared" si="1"/>
        <v>12010925.603961997</v>
      </c>
      <c r="I127">
        <f t="shared" si="1"/>
        <v>12002793.265793812</v>
      </c>
      <c r="J127">
        <f t="shared" si="1"/>
        <v>9445437.2577920184</v>
      </c>
      <c r="K127">
        <f t="shared" si="1"/>
        <v>5957528.5486948472</v>
      </c>
      <c r="L127">
        <f t="shared" si="1"/>
        <v>12308803.203822415</v>
      </c>
      <c r="M127">
        <f t="shared" si="1"/>
        <v>15475086.240283763</v>
      </c>
      <c r="N127">
        <f t="shared" si="1"/>
        <v>7874701.2822468961</v>
      </c>
      <c r="O127">
        <f t="shared" si="1"/>
        <v>9890411.9963763729</v>
      </c>
    </row>
    <row r="129" spans="2:15" x14ac:dyDescent="0.2">
      <c r="B129" s="107" t="s">
        <v>280</v>
      </c>
    </row>
    <row r="130" spans="2:15" x14ac:dyDescent="0.2">
      <c r="C130" s="109" t="s">
        <v>277</v>
      </c>
      <c r="D130" s="109" t="s">
        <v>92</v>
      </c>
      <c r="E130" s="109" t="s">
        <v>93</v>
      </c>
      <c r="F130" s="109" t="s">
        <v>94</v>
      </c>
      <c r="G130" s="109" t="s">
        <v>95</v>
      </c>
      <c r="H130" s="109" t="s">
        <v>96</v>
      </c>
      <c r="I130" s="109" t="s">
        <v>97</v>
      </c>
      <c r="J130" s="109" t="s">
        <v>98</v>
      </c>
      <c r="K130" s="109" t="s">
        <v>99</v>
      </c>
      <c r="L130" s="109" t="s">
        <v>100</v>
      </c>
      <c r="M130" s="109" t="s">
        <v>101</v>
      </c>
      <c r="N130" s="109" t="s">
        <v>102</v>
      </c>
      <c r="O130" s="109" t="s">
        <v>103</v>
      </c>
    </row>
    <row r="131" spans="2:15" x14ac:dyDescent="0.2">
      <c r="C131" s="109" t="s">
        <v>126</v>
      </c>
      <c r="D131" s="110">
        <f>SUM(E$6:E$19)+SUM(G$6:G$19)+SUM(I$6:I$19)+SUM(K$6:K$19)</f>
        <v>0</v>
      </c>
      <c r="E131" s="110">
        <f>SUM(M$6:M$19)+SUM(O$6:O$19)+SUM(Q$6:Q$19)+SUM(S$6:S$19)</f>
        <v>12851.399745821818</v>
      </c>
      <c r="F131" s="110">
        <f>SUM(U$6:U$19)+SUM(W$6:W$19)+SUM(Y$6:Y$19)+SUM(AA$6:AA$19)</f>
        <v>117711.58443609817</v>
      </c>
      <c r="G131" s="110">
        <f>SUM(AC$6:AC$19)+SUM(AE$6:AE$19)+SUM(AG$6:AG$19)+SUM(AI$6:AI$19)</f>
        <v>105138.94838322682</v>
      </c>
      <c r="H131" s="110">
        <f>SUM(AK$6:AK$19)+SUM(AM$6:AM$19)+SUM(AO$6:AO$19)+SUM(AQ$6:AQ$19)</f>
        <v>98665.397704763818</v>
      </c>
      <c r="I131" s="110">
        <f>SUM(AS$6:AS$19)+SUM(AU$6:AU$19)+SUM(AW$6:AW$19)+SUM(AY$6:AY$19)</f>
        <v>570991.30936657405</v>
      </c>
      <c r="J131" s="110">
        <f>SUM(BA$6:BA$19)+SUM(BC$6:BC$19)+SUM(BE$6:BE$19)+SUM(BG$6:BG$19)</f>
        <v>271238.63376191386</v>
      </c>
      <c r="K131" s="110">
        <f>SUM(BI$6:BI$19)+SUM(BK$6:BK$19)+SUM(BM$6:BM$19)+SUM(BO$6:BO$19)</f>
        <v>32561.063228697567</v>
      </c>
      <c r="L131" s="110">
        <f>SUM(BQ$6:BQ$19)+SUM(BS$6:BS$19)+SUM(BU$6:BU$19)+SUM(BW$6:BW$19)</f>
        <v>87808.729004178633</v>
      </c>
      <c r="M131" s="110">
        <f>SUM(BY$6:BY$19)+SUM(CA$6:CA$19)+SUM(CC$6:CC$19)+SUM(CE$6:CE$19)</f>
        <v>153881.8307938395</v>
      </c>
      <c r="N131" s="110">
        <f>SUM(CG$6:CG$19)+SUM(CI$6:CI$19)+SUM(CK$6:CK$19)+SUM(CM$6:CM$19)</f>
        <v>47391.130712169572</v>
      </c>
      <c r="O131" s="110">
        <f>SUM(CO$6:CO$19)+SUM(CQ$6:CQ$19)+SUM(CS$6:CS$19)+SUM(CU$6:CU$19)</f>
        <v>380236.47247294389</v>
      </c>
    </row>
    <row r="132" spans="2:15" x14ac:dyDescent="0.2">
      <c r="C132" s="109" t="s">
        <v>127</v>
      </c>
      <c r="D132" s="110">
        <f>SUM(E$20:E$36)+SUM(G$20:G$36)+SUM(I$20:I$36)+SUM(K$20:K$36)</f>
        <v>0</v>
      </c>
      <c r="E132" s="110">
        <f>SUM(M$20:M$36)+SUM(O$20:O$36)+SUM(Q$20:Q$36)+SUM(S$20:S$36)</f>
        <v>224144.64228293402</v>
      </c>
      <c r="F132" s="110">
        <f>SUM(U$20:U$36)+SUM(W$20:W$36)+SUM(Y$20:Y$36)+SUM(AA$20:AA$36)</f>
        <v>393216.05184708704</v>
      </c>
      <c r="G132" s="110">
        <f>SUM(AC$20:AC$36)+SUM(AE$20:AE$36)+SUM(AG$20:AG$36)+SUM(AI$20:AI$36)</f>
        <v>733550.93835121871</v>
      </c>
      <c r="H132" s="110">
        <f>SUM(AK$20:AK$36)+SUM(AM$20:AM$36)+SUM(AO$20:AO$36)+SUM(AQ$20:AQ$36)</f>
        <v>272440.04813136009</v>
      </c>
      <c r="I132" s="110">
        <f>SUM(AS$20:AS$36)+SUM(AU$20:AU$36)+SUM(AW$20:AW$36)+SUM(AY$20:AY$36)</f>
        <v>121352.04192205763</v>
      </c>
      <c r="J132" s="110">
        <f>SUM(BA$20:BA$36)+SUM(BC$20:BC$36)+SUM(BE$20:BE$36)+SUM(BG$20:BG$36)</f>
        <v>646375.55701363878</v>
      </c>
      <c r="K132" s="110">
        <f>SUM(BI$20:BI$36)+SUM(BK$20:BK$36)+SUM(BM$20:BM$36)+SUM(BO$20:BO$36)</f>
        <v>523654.51637145854</v>
      </c>
      <c r="L132" s="110">
        <f>SUM(BQ$20:BQ$36)+SUM(BS$20:BS$36)+SUM(BU$20:BU$36)+SUM(BW$20:BW$36)</f>
        <v>154778.94729743607</v>
      </c>
      <c r="M132" s="110">
        <f>SUM(BY$20:BY$36)+SUM(CA$20:CA$36)+SUM(CC$20:CC$36)+SUM(CE$20:CE$36)</f>
        <v>285453.47365457349</v>
      </c>
      <c r="N132" s="110">
        <f>SUM(CG$20:CG$36)+SUM(CI$20:CI$36)+SUM(CK$20:CK$36)+SUM(CM$20:CM$36)</f>
        <v>791231.71655542986</v>
      </c>
      <c r="O132" s="110">
        <f>SUM(CO$20:CO$36)+SUM(CQ$20:CQ$36)+SUM(CS$20:CS$36)+SUM(CU$20:CU$36)</f>
        <v>128671.1403756371</v>
      </c>
    </row>
    <row r="133" spans="2:15" x14ac:dyDescent="0.2">
      <c r="C133" s="109" t="s">
        <v>128</v>
      </c>
      <c r="D133" s="110">
        <f>SUM(E$37:E$48)+SUM(G$37:G$48)+SUM(I$37:I$48)+SUM(K$37:K$48)</f>
        <v>0</v>
      </c>
      <c r="E133" s="110">
        <f>SUM(M$37:M$48)+SUM(O$37:O$48)+SUM(Q$37:Q$48)+SUM(S$37:S$48)</f>
        <v>49471.485924579611</v>
      </c>
      <c r="F133" s="110">
        <f>SUM(U$37:U$48)+SUM(W$37:W$48)+SUM(Y$37:Y$48)+SUM(AA$37:AA$48)</f>
        <v>671951.37571962085</v>
      </c>
      <c r="G133" s="110">
        <f>SUM(AC$37:AC$48)+SUM(AE$37:AE$48)+SUM(AG$37:AG$48)+SUM(AI$37:AI$48)</f>
        <v>194998.30749127935</v>
      </c>
      <c r="H133" s="110">
        <f>SUM(AK$37:AK$48)+SUM(AM$37:AM$48)+SUM(AO$37:AO$48)+SUM(AQ$37:AQ$48)</f>
        <v>267974.30303713167</v>
      </c>
      <c r="I133" s="110">
        <f>SUM(AS$37:AS$48)+SUM(AU$37:AU$48)+SUM(AW$37:AW$48)+SUM(AY$37:AY$48)</f>
        <v>230214.76518538268</v>
      </c>
      <c r="J133" s="110">
        <f>SUM(BA$37:BA$48)+SUM(BC$37:BC$48)+SUM(BE$37:BE$48)+SUM(BG$37:BG$48)</f>
        <v>53782.833615203635</v>
      </c>
      <c r="K133" s="110">
        <f>SUM(BI$37:BI$48)+SUM(BK$37:BK$48)+SUM(BM$37:BM$48)+SUM(BO$37:BO$48)</f>
        <v>47182.535893725304</v>
      </c>
      <c r="L133" s="110">
        <f>SUM(BQ$37:BQ$48)+SUM(BS$37:BS$48)+SUM(BU$37:BU$48)+SUM(BW$37:BW$48)</f>
        <v>1245680.9632261833</v>
      </c>
      <c r="M133" s="110">
        <f>SUM(BY$37:BY$48)+SUM(CA$37:CA$48)+SUM(CC$37:CC$48)+SUM(CE$37:CE$48)</f>
        <v>624269.22108426748</v>
      </c>
      <c r="N133" s="110">
        <f>SUM(CG$37:CG$48)+SUM(CI$37:CI$48)+SUM(CK$37:CK$48)+SUM(CM$37:CM$48)</f>
        <v>106120.91195395135</v>
      </c>
      <c r="O133" s="110">
        <f>SUM(CO$37:CO$48)+SUM(CQ$37:CQ$48)+SUM(CS$37:CS$48)+SUM(CU$37:CU$48)</f>
        <v>524437.07697874517</v>
      </c>
    </row>
    <row r="134" spans="2:15" x14ac:dyDescent="0.2">
      <c r="C134" s="109" t="s">
        <v>129</v>
      </c>
      <c r="D134" s="110">
        <f>SUM(E$49:E$70)+SUM(G$49:G$70)+SUM(I$49:I$70)+SUM(K$49:K$70)</f>
        <v>194955.59999999998</v>
      </c>
      <c r="E134" s="110">
        <f>SUM(M$49:M$70)+SUM(O$49:O$70)+SUM(Q$49:Q$70)+SUM(S$49:S$70)</f>
        <v>122405.90126672608</v>
      </c>
      <c r="F134" s="110">
        <f>SUM(U$49:U$70)+SUM(W$49:W$70)+SUM(Y$49:Y$70)+SUM(AA$49:AA$70)</f>
        <v>336990.43107045011</v>
      </c>
      <c r="G134" s="110">
        <f>SUM(AC$49:AC$70)+SUM(AE$49:AE$70)+SUM(AG$49:AG$70)+SUM(AI$49:AI$70)</f>
        <v>122054.94766456247</v>
      </c>
      <c r="H134" s="110">
        <f>SUM(AK$49:AK$70)+SUM(AM$49:AM$70)+SUM(AO$49:AO$70)+SUM(AQ$49:AQ$70)</f>
        <v>630175.65669149824</v>
      </c>
      <c r="I134" s="110">
        <f>SUM(AS$49:AS$70)+SUM(AU$49:AU$70)+SUM(AW$49:AW$70)+SUM(AY$49:AY$70)</f>
        <v>524360.82848227513</v>
      </c>
      <c r="J134" s="110">
        <f>SUM(BA$49:BA$70)+SUM(BC$49:BC$70)+SUM(BE$49:BE$70)+SUM(BG$49:BG$70)</f>
        <v>169748.85072227608</v>
      </c>
      <c r="K134" s="110">
        <f>SUM(BI$49:BI$70)+SUM(BK$49:BK$70)+SUM(BM$49:BM$70)+SUM(BO$49:BO$70)</f>
        <v>455517.28105889197</v>
      </c>
      <c r="L134" s="110">
        <f>SUM(BQ$49:BQ$70)+SUM(BS$49:BS$70)+SUM(BU$49:BU$70)+SUM(BW$49:BW$70)</f>
        <v>885462.9383134169</v>
      </c>
      <c r="M134" s="110">
        <f>SUM(BY$49:BY$70)+SUM(CA$49:CA$70)+SUM(CC$49:CC$70)+SUM(CE$49:CE$70)</f>
        <v>365698.07875176839</v>
      </c>
      <c r="N134" s="110">
        <f>SUM(CG$49:CG$70)+SUM(CI$49:CI$70)+SUM(CK$49:CK$70)+SUM(CM$49:CM$70)</f>
        <v>81938.474696141173</v>
      </c>
      <c r="O134" s="110">
        <f>SUM(CO$49:CO$70)+SUM(CQ$49:CQ$70)+SUM(CS$49:CS$70)+SUM(CU$49:CU$70)</f>
        <v>673771.60757941683</v>
      </c>
    </row>
    <row r="135" spans="2:15" x14ac:dyDescent="0.2">
      <c r="C135" s="109" t="s">
        <v>130</v>
      </c>
      <c r="D135" s="110">
        <f>SUM(E$71:E$86)+SUM(G$71:G$86)+SUM(I$71:I$86)+SUM(K$71:K$86)</f>
        <v>1007174.4</v>
      </c>
      <c r="E135" s="110">
        <f>SUM(M$71:M$86)+SUM(O$71:O$86)+SUM(Q$71:Q$86)+SUM(S$71:S$86)</f>
        <v>238662.12597717933</v>
      </c>
      <c r="F135" s="110">
        <f>SUM(U$71:U$86)+SUM(W$71:W$86)+SUM(Y$71:Y$86)+SUM(AA$71:AA$86)</f>
        <v>172831.03864589313</v>
      </c>
      <c r="G135" s="110">
        <f>SUM(AC$71:AC$86)+SUM(AE$71:AE$86)+SUM(AG$71:AG$86)+SUM(AI$71:AI$86)</f>
        <v>204168.45451405601</v>
      </c>
      <c r="H135" s="110">
        <f>SUM(AK$71:AK$86)+SUM(AM$71:AM$86)+SUM(AO$71:AO$86)+SUM(AQ$71:AQ$86)</f>
        <v>254901.48858329188</v>
      </c>
      <c r="I135" s="110">
        <f>SUM(AS$71:AS$86)+SUM(AU$71:AU$86)+SUM(AW$71:AW$86)+SUM(AY$71:AY$86)</f>
        <v>184394.58103926218</v>
      </c>
      <c r="J135" s="110">
        <f>SUM(BA$71:BA$86)+SUM(BC$71:BC$86)+SUM(BE$71:BE$86)+SUM(BG$71:BG$86)</f>
        <v>147277.57617650562</v>
      </c>
      <c r="K135" s="110">
        <f>SUM(BI$71:BI$86)+SUM(BK$71:BK$86)+SUM(BM$71:BM$86)+SUM(BO$71:BO$86)</f>
        <v>174863.36310472607</v>
      </c>
      <c r="L135" s="110">
        <f>SUM(BQ$71:BQ$86)+SUM(BS$71:BS$86)+SUM(BU$71:BU$86)+SUM(BW$71:BW$86)</f>
        <v>196856.5984647249</v>
      </c>
      <c r="M135" s="110">
        <f>SUM(BY$71:BY$86)+SUM(CA$71:CA$86)+SUM(CC$71:CC$86)+SUM(CE$71:CE$86)</f>
        <v>119597.48932890409</v>
      </c>
      <c r="N135" s="110">
        <f>SUM(CG$71:CG$86)+SUM(CI$71:CI$86)+SUM(CK$71:CK$86)+SUM(CM$71:CM$86)</f>
        <v>65307.89053775627</v>
      </c>
      <c r="O135" s="110">
        <f>SUM(CO$71:CO$86)+SUM(CQ$71:CQ$86)+SUM(CS$71:CS$86)+SUM(CU$71:CU$86)</f>
        <v>179330.85766515014</v>
      </c>
    </row>
    <row r="136" spans="2:15" x14ac:dyDescent="0.2">
      <c r="C136" s="109" t="s">
        <v>131</v>
      </c>
      <c r="D136" s="110">
        <f>SUM(E$87:E$94)+SUM(G$87:G$94)+SUM(I$87:I$94)+SUM(K$87:K$94)</f>
        <v>567981.6</v>
      </c>
      <c r="E136" s="110">
        <f>SUM(M$87:M$94)+SUM(O$87:O$94)+SUM(Q$87:Q$94)+SUM(S$87:S$94)</f>
        <v>260873.5197981089</v>
      </c>
      <c r="F136" s="110">
        <f>SUM(U$87:U$94)+SUM(W$87:W$94)+SUM(Y$87:Y$94)+SUM(AA$87:AA$94)</f>
        <v>434316.63113886025</v>
      </c>
      <c r="G136" s="110">
        <f>SUM(AC$87:AC$94)+SUM(AE$87:AE$94)+SUM(AG$87:AG$94)+SUM(AI$87:AI$94)</f>
        <v>415143.17003732157</v>
      </c>
      <c r="H136" s="110">
        <f>SUM(AK$87:AK$94)+SUM(AM$87:AM$94)+SUM(AO$87:AO$94)+SUM(AQ$87:AQ$94)</f>
        <v>280777.95769296575</v>
      </c>
      <c r="I136" s="110">
        <f>SUM(AS$87:AS$94)+SUM(AU$87:AU$94)+SUM(AW$87:AW$94)+SUM(AY$87:AY$94)</f>
        <v>251326.23465336801</v>
      </c>
      <c r="J136" s="110">
        <f>SUM(BA$87:BA$94)+SUM(BC$87:BC$94)+SUM(BE$87:BE$94)+SUM(BG$87:BG$94)</f>
        <v>477710.01632986404</v>
      </c>
      <c r="K136" s="110">
        <f>SUM(BI$87:BI$94)+SUM(BK$87:BK$94)+SUM(BM$87:BM$94)+SUM(BO$87:BO$94)</f>
        <v>57600.926942380225</v>
      </c>
      <c r="L136" s="110">
        <f>SUM(BQ$87:BQ$94)+SUM(BS$87:BS$94)+SUM(BU$87:BU$94)+SUM(BW$87:BW$94)</f>
        <v>120579.98657986298</v>
      </c>
      <c r="M136" s="110">
        <f>SUM(BY$87:BY$94)+SUM(CA$87:CA$94)+SUM(CC$87:CC$94)+SUM(CE$87:CE$94)</f>
        <v>213468.12963674864</v>
      </c>
      <c r="N136" s="110">
        <f>SUM(CG$87:CG$94)+SUM(CI$87:CI$94)+SUM(CK$87:CK$94)+SUM(CM$87:CM$94)</f>
        <v>123880.90359481814</v>
      </c>
      <c r="O136" s="110">
        <f>SUM(CO$87:CO$94)+SUM(CQ$87:CQ$94)+SUM(CS$87:CS$94)+SUM(CU$87:CU$94)</f>
        <v>445107.63474741665</v>
      </c>
    </row>
    <row r="137" spans="2:15" x14ac:dyDescent="0.2">
      <c r="C137" s="109" t="s">
        <v>132</v>
      </c>
      <c r="D137" s="110">
        <f>SUM(E$95:E$105)+SUM(G$95:G$105)+SUM(I$95:I$105)+SUM(K$95:K$105)</f>
        <v>2990752.8</v>
      </c>
      <c r="E137" s="110">
        <f>SUM(M$95:M$105)+SUM(O$95:O$105)+SUM(Q$95:Q$105)+SUM(S$95:S$105)</f>
        <v>499485.62713462953</v>
      </c>
      <c r="F137" s="110">
        <f>SUM(U$95:U$105)+SUM(W$95:W$105)+SUM(Y$95:Y$105)+SUM(AA$95:AA$105)</f>
        <v>242129.79119984031</v>
      </c>
      <c r="G137" s="110">
        <f>SUM(AC$95:AC$105)+SUM(AE$95:AE$105)+SUM(AG$95:AG$105)+SUM(AI$95:AI$105)</f>
        <v>177719.24740678974</v>
      </c>
      <c r="H137" s="110">
        <f>SUM(AK$95:AK$105)+SUM(AM$95:AM$105)+SUM(AO$95:AO$105)+SUM(AQ$95:AQ$105)</f>
        <v>120142.607082412</v>
      </c>
      <c r="I137" s="110">
        <f>SUM(AS$95:AS$105)+SUM(AU$95:AU$105)+SUM(AW$95:AW$105)+SUM(AY$95:AY$105)</f>
        <v>330275.08473964292</v>
      </c>
      <c r="J137" s="110">
        <f>SUM(BA$95:BA$105)+SUM(BC$95:BC$105)+SUM(BE$95:BE$105)+SUM(BG$95:BG$105)</f>
        <v>256253.1506104492</v>
      </c>
      <c r="K137" s="110">
        <f>SUM(BI$95:BI$105)+SUM(BK$95:BK$105)+SUM(BM$95:BM$105)+SUM(BO$95:BO$105)</f>
        <v>198396.38123455999</v>
      </c>
      <c r="L137" s="110">
        <f>SUM(BQ$95:BQ$105)+SUM(BS$95:BS$105)+SUM(BU$95:BU$105)+SUM(BW$95:BW$105)</f>
        <v>705231.57199034572</v>
      </c>
      <c r="M137" s="110">
        <f>SUM(BY$95:BY$105)+SUM(CA$95:CA$105)+SUM(CC$95:CC$105)+SUM(CE$95:CE$105)</f>
        <v>612058.48059129319</v>
      </c>
      <c r="N137" s="110">
        <f>SUM(CG$95:CG$105)+SUM(CI$95:CI$105)+SUM(CK$95:CK$105)+SUM(CM$95:CM$105)</f>
        <v>905047.81671943946</v>
      </c>
      <c r="O137" s="110">
        <f>SUM(CO$95:CO$105)+SUM(CQ$95:CQ$105)+SUM(CS$95:CS$105)+SUM(CU$95:CU$105)</f>
        <v>132958.40263840873</v>
      </c>
    </row>
    <row r="138" spans="2:15" x14ac:dyDescent="0.2">
      <c r="C138" s="109" t="s">
        <v>278</v>
      </c>
      <c r="D138">
        <f t="shared" ref="D138:O138" si="2">SUM(D$131:D$137)</f>
        <v>4760864.4000000004</v>
      </c>
      <c r="E138">
        <f t="shared" si="2"/>
        <v>1407894.7021299792</v>
      </c>
      <c r="F138">
        <f t="shared" si="2"/>
        <v>2369146.9040578497</v>
      </c>
      <c r="G138">
        <f t="shared" si="2"/>
        <v>1952774.0138484547</v>
      </c>
      <c r="H138">
        <f t="shared" si="2"/>
        <v>1925077.4589234237</v>
      </c>
      <c r="I138">
        <f t="shared" si="2"/>
        <v>2212914.8453885624</v>
      </c>
      <c r="J138">
        <f t="shared" si="2"/>
        <v>2022386.6182298511</v>
      </c>
      <c r="K138">
        <f t="shared" si="2"/>
        <v>1489776.0678344395</v>
      </c>
      <c r="L138">
        <f t="shared" si="2"/>
        <v>3396399.7348761484</v>
      </c>
      <c r="M138">
        <f t="shared" si="2"/>
        <v>2374426.7038413947</v>
      </c>
      <c r="N138">
        <f t="shared" si="2"/>
        <v>2120918.844769706</v>
      </c>
      <c r="O138">
        <f t="shared" si="2"/>
        <v>2464513.1924577188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07" t="s">
        <v>281</v>
      </c>
    </row>
    <row r="4" spans="1:99" x14ac:dyDescent="0.2">
      <c r="A4" s="106"/>
      <c r="B4" s="106"/>
      <c r="C4" s="105" t="s">
        <v>274</v>
      </c>
      <c r="D4" s="105" t="s">
        <v>92</v>
      </c>
      <c r="E4" s="106"/>
      <c r="F4" s="106"/>
      <c r="G4" s="106"/>
      <c r="H4" s="106"/>
      <c r="I4" s="106"/>
      <c r="J4" s="106"/>
      <c r="K4" s="106"/>
      <c r="L4" s="105" t="s">
        <v>93</v>
      </c>
      <c r="M4" s="106"/>
      <c r="N4" s="106"/>
      <c r="O4" s="106"/>
      <c r="P4" s="106"/>
      <c r="Q4" s="106"/>
      <c r="R4" s="106"/>
      <c r="S4" s="106"/>
      <c r="T4" s="105" t="s">
        <v>94</v>
      </c>
      <c r="U4" s="106"/>
      <c r="V4" s="106"/>
      <c r="W4" s="106"/>
      <c r="X4" s="106"/>
      <c r="Y4" s="106"/>
      <c r="Z4" s="106"/>
      <c r="AA4" s="106"/>
      <c r="AB4" s="105" t="s">
        <v>95</v>
      </c>
      <c r="AC4" s="106"/>
      <c r="AD4" s="106"/>
      <c r="AE4" s="106"/>
      <c r="AF4" s="106"/>
      <c r="AG4" s="106"/>
      <c r="AH4" s="106"/>
      <c r="AI4" s="106"/>
      <c r="AJ4" s="105" t="s">
        <v>96</v>
      </c>
      <c r="AK4" s="106"/>
      <c r="AL4" s="106"/>
      <c r="AM4" s="106"/>
      <c r="AN4" s="106"/>
      <c r="AO4" s="106"/>
      <c r="AP4" s="106"/>
      <c r="AQ4" s="106"/>
      <c r="AR4" s="105" t="s">
        <v>97</v>
      </c>
      <c r="AS4" s="106"/>
      <c r="AT4" s="106"/>
      <c r="AU4" s="106"/>
      <c r="AV4" s="106"/>
      <c r="AW4" s="106"/>
      <c r="AX4" s="106"/>
      <c r="AY4" s="106"/>
      <c r="AZ4" s="105" t="s">
        <v>98</v>
      </c>
      <c r="BA4" s="106"/>
      <c r="BB4" s="106"/>
      <c r="BC4" s="106"/>
      <c r="BD4" s="106"/>
      <c r="BE4" s="106"/>
      <c r="BF4" s="106"/>
      <c r="BG4" s="106"/>
      <c r="BH4" s="105" t="s">
        <v>99</v>
      </c>
      <c r="BI4" s="106"/>
      <c r="BJ4" s="106"/>
      <c r="BK4" s="106"/>
      <c r="BL4" s="106"/>
      <c r="BM4" s="106"/>
      <c r="BN4" s="106"/>
      <c r="BO4" s="106"/>
      <c r="BP4" s="105" t="s">
        <v>100</v>
      </c>
      <c r="BQ4" s="106"/>
      <c r="BR4" s="106"/>
      <c r="BS4" s="106"/>
      <c r="BT4" s="106"/>
      <c r="BU4" s="106"/>
      <c r="BV4" s="106"/>
      <c r="BW4" s="106"/>
      <c r="BX4" s="105" t="s">
        <v>101</v>
      </c>
      <c r="BY4" s="106"/>
      <c r="BZ4" s="106"/>
      <c r="CA4" s="106"/>
      <c r="CB4" s="106"/>
      <c r="CC4" s="106"/>
      <c r="CD4" s="106"/>
      <c r="CE4" s="106"/>
      <c r="CF4" s="105" t="s">
        <v>102</v>
      </c>
      <c r="CG4" s="106"/>
      <c r="CH4" s="106"/>
      <c r="CI4" s="106"/>
      <c r="CJ4" s="106"/>
      <c r="CK4" s="106"/>
      <c r="CL4" s="106"/>
      <c r="CM4" s="106"/>
      <c r="CN4" s="105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>
        <v>21</v>
      </c>
      <c r="E6">
        <v>12146.4</v>
      </c>
      <c r="F6">
        <v>30</v>
      </c>
      <c r="G6">
        <v>17352</v>
      </c>
      <c r="H6">
        <v>34</v>
      </c>
      <c r="I6">
        <v>19665.599999999999</v>
      </c>
      <c r="J6">
        <v>27</v>
      </c>
      <c r="K6">
        <v>15616.8</v>
      </c>
      <c r="L6">
        <v>4</v>
      </c>
      <c r="M6">
        <v>2313.6</v>
      </c>
      <c r="N6">
        <v>7</v>
      </c>
      <c r="O6">
        <v>4048.7999999999997</v>
      </c>
      <c r="P6">
        <v>8</v>
      </c>
      <c r="Q6">
        <v>4627.2</v>
      </c>
      <c r="R6">
        <v>5</v>
      </c>
      <c r="S6">
        <v>2892</v>
      </c>
      <c r="T6">
        <v>13</v>
      </c>
      <c r="U6">
        <v>7519.2</v>
      </c>
      <c r="V6">
        <v>19</v>
      </c>
      <c r="W6">
        <v>10989.6</v>
      </c>
      <c r="X6">
        <v>27</v>
      </c>
      <c r="Y6">
        <v>15616.8</v>
      </c>
      <c r="Z6">
        <v>20</v>
      </c>
      <c r="AA6">
        <v>11568</v>
      </c>
      <c r="AB6">
        <v>18</v>
      </c>
      <c r="AC6">
        <v>10411.199999999999</v>
      </c>
      <c r="AD6">
        <v>17</v>
      </c>
      <c r="AE6">
        <v>9832.7999999999993</v>
      </c>
      <c r="AF6">
        <v>12</v>
      </c>
      <c r="AG6">
        <v>6940.7999999999993</v>
      </c>
      <c r="AH6">
        <v>15</v>
      </c>
      <c r="AI6">
        <v>8676</v>
      </c>
      <c r="AJ6">
        <v>7</v>
      </c>
      <c r="AK6">
        <v>4048.7999999999997</v>
      </c>
      <c r="AL6">
        <v>15</v>
      </c>
      <c r="AM6">
        <v>8676</v>
      </c>
      <c r="AN6">
        <v>9</v>
      </c>
      <c r="AO6">
        <v>5205.5999999999995</v>
      </c>
      <c r="AP6">
        <v>12</v>
      </c>
      <c r="AQ6">
        <v>6940.7999999999993</v>
      </c>
      <c r="AR6">
        <v>26</v>
      </c>
      <c r="AS6">
        <v>15038.4</v>
      </c>
      <c r="AT6">
        <v>23</v>
      </c>
      <c r="AU6">
        <v>13303.199999999999</v>
      </c>
      <c r="AV6">
        <v>19</v>
      </c>
      <c r="AW6">
        <v>10989.6</v>
      </c>
      <c r="AX6">
        <v>25</v>
      </c>
      <c r="AY6">
        <v>14460</v>
      </c>
      <c r="AZ6">
        <v>12</v>
      </c>
      <c r="BA6">
        <v>6940.7999999999993</v>
      </c>
      <c r="BB6">
        <v>21</v>
      </c>
      <c r="BC6">
        <v>12146.4</v>
      </c>
      <c r="BD6">
        <v>19</v>
      </c>
      <c r="BE6">
        <v>10989.6</v>
      </c>
      <c r="BF6">
        <v>17</v>
      </c>
      <c r="BG6">
        <v>9832.7999999999993</v>
      </c>
      <c r="BH6">
        <v>22</v>
      </c>
      <c r="BI6">
        <v>12724.8</v>
      </c>
      <c r="BJ6">
        <v>18.462717559926741</v>
      </c>
      <c r="BK6">
        <v>10678.835836661627</v>
      </c>
      <c r="BL6">
        <v>25.049891484870894</v>
      </c>
      <c r="BM6">
        <v>14488.857234849325</v>
      </c>
      <c r="BN6">
        <v>17.227091433996314</v>
      </c>
      <c r="BO6">
        <v>9964.1496854234683</v>
      </c>
      <c r="BP6">
        <v>8</v>
      </c>
      <c r="BQ6">
        <v>4627.2</v>
      </c>
      <c r="BR6">
        <v>8</v>
      </c>
      <c r="BS6">
        <v>4627.2</v>
      </c>
      <c r="BT6">
        <v>4</v>
      </c>
      <c r="BU6">
        <v>2313.6</v>
      </c>
      <c r="BV6">
        <v>6</v>
      </c>
      <c r="BW6">
        <v>3470.3999999999996</v>
      </c>
      <c r="BX6">
        <v>42</v>
      </c>
      <c r="BY6">
        <v>24292.799999999999</v>
      </c>
      <c r="BZ6">
        <v>41</v>
      </c>
      <c r="CA6">
        <v>23714.399999999998</v>
      </c>
      <c r="CB6">
        <v>35</v>
      </c>
      <c r="CC6">
        <v>20244</v>
      </c>
      <c r="CD6">
        <v>41</v>
      </c>
      <c r="CE6">
        <v>23714.399999999998</v>
      </c>
      <c r="CF6">
        <v>7</v>
      </c>
      <c r="CG6">
        <v>4048.7999999999997</v>
      </c>
      <c r="CH6">
        <v>6</v>
      </c>
      <c r="CI6">
        <v>3470.3999999999996</v>
      </c>
      <c r="CJ6">
        <v>8.1375682336298905</v>
      </c>
      <c r="CK6">
        <v>4706.7694663315287</v>
      </c>
      <c r="CL6">
        <v>7.2775461106429109</v>
      </c>
      <c r="CM6">
        <v>4209.3326703958592</v>
      </c>
      <c r="CN6">
        <v>8</v>
      </c>
      <c r="CO6">
        <v>4627.2</v>
      </c>
      <c r="CP6">
        <v>9</v>
      </c>
      <c r="CQ6">
        <v>5205.5999999999995</v>
      </c>
      <c r="CR6">
        <v>6.4846713430609757</v>
      </c>
      <c r="CS6">
        <v>3750.733904826468</v>
      </c>
      <c r="CT6">
        <v>6</v>
      </c>
      <c r="CU6">
        <v>3470.3999999999996</v>
      </c>
    </row>
    <row r="7" spans="1:99" x14ac:dyDescent="0.2">
      <c r="C7" s="105" t="s">
        <v>173</v>
      </c>
      <c r="D7">
        <v>20</v>
      </c>
      <c r="E7">
        <v>15768</v>
      </c>
      <c r="F7">
        <v>27</v>
      </c>
      <c r="G7">
        <v>21286.799999999999</v>
      </c>
      <c r="H7">
        <v>31</v>
      </c>
      <c r="I7">
        <v>24440.399999999998</v>
      </c>
      <c r="J7">
        <v>26</v>
      </c>
      <c r="K7">
        <v>20498.399999999998</v>
      </c>
      <c r="L7">
        <v>4</v>
      </c>
      <c r="M7">
        <v>3153.6</v>
      </c>
      <c r="N7">
        <v>6</v>
      </c>
      <c r="O7">
        <v>4730.3999999999996</v>
      </c>
      <c r="P7">
        <v>8</v>
      </c>
      <c r="Q7">
        <v>6307.2</v>
      </c>
      <c r="R7">
        <v>4</v>
      </c>
      <c r="S7">
        <v>3153.6</v>
      </c>
      <c r="T7">
        <v>14</v>
      </c>
      <c r="U7">
        <v>11037.6</v>
      </c>
      <c r="V7">
        <v>17</v>
      </c>
      <c r="W7">
        <v>13402.8</v>
      </c>
      <c r="X7">
        <v>22</v>
      </c>
      <c r="Y7">
        <v>17344.8</v>
      </c>
      <c r="Z7">
        <v>21</v>
      </c>
      <c r="AA7">
        <v>16556.399999999998</v>
      </c>
      <c r="AB7">
        <v>15</v>
      </c>
      <c r="AC7">
        <v>11826</v>
      </c>
      <c r="AD7">
        <v>18</v>
      </c>
      <c r="AE7">
        <v>14191.199999999999</v>
      </c>
      <c r="AF7">
        <v>12</v>
      </c>
      <c r="AG7">
        <v>9460.7999999999993</v>
      </c>
      <c r="AH7">
        <v>13</v>
      </c>
      <c r="AI7">
        <v>10249.199999999999</v>
      </c>
      <c r="AJ7">
        <v>7</v>
      </c>
      <c r="AK7">
        <v>5518.8</v>
      </c>
      <c r="AL7">
        <v>13</v>
      </c>
      <c r="AM7">
        <v>10249.199999999999</v>
      </c>
      <c r="AN7">
        <v>8</v>
      </c>
      <c r="AO7">
        <v>6307.2</v>
      </c>
      <c r="AP7">
        <v>10</v>
      </c>
      <c r="AQ7">
        <v>7884</v>
      </c>
      <c r="AR7">
        <v>25</v>
      </c>
      <c r="AS7">
        <v>19710</v>
      </c>
      <c r="AT7">
        <v>24</v>
      </c>
      <c r="AU7">
        <v>18921.599999999999</v>
      </c>
      <c r="AV7">
        <v>18</v>
      </c>
      <c r="AW7">
        <v>14191.199999999999</v>
      </c>
      <c r="AX7">
        <v>24</v>
      </c>
      <c r="AY7">
        <v>18921.599999999999</v>
      </c>
      <c r="AZ7">
        <v>13</v>
      </c>
      <c r="BA7">
        <v>10249.199999999999</v>
      </c>
      <c r="BB7">
        <v>21</v>
      </c>
      <c r="BC7">
        <v>16556.399999999998</v>
      </c>
      <c r="BD7">
        <v>17</v>
      </c>
      <c r="BE7">
        <v>13402.8</v>
      </c>
      <c r="BF7">
        <v>17</v>
      </c>
      <c r="BG7">
        <v>13402.8</v>
      </c>
      <c r="BH7">
        <v>23</v>
      </c>
      <c r="BI7">
        <v>18133.2</v>
      </c>
      <c r="BJ7">
        <v>19.396615051365778</v>
      </c>
      <c r="BK7">
        <v>15292.29130649678</v>
      </c>
      <c r="BL7">
        <v>26.049891484870894</v>
      </c>
      <c r="BM7">
        <v>20537.734446672213</v>
      </c>
      <c r="BN7">
        <v>16.277556197106609</v>
      </c>
      <c r="BO7">
        <v>12833.225305798851</v>
      </c>
      <c r="BP7">
        <v>8</v>
      </c>
      <c r="BQ7">
        <v>6307.2</v>
      </c>
      <c r="BR7">
        <v>9</v>
      </c>
      <c r="BS7">
        <v>7095.5999999999995</v>
      </c>
      <c r="BT7">
        <v>4</v>
      </c>
      <c r="BU7">
        <v>3153.6</v>
      </c>
      <c r="BV7">
        <v>5</v>
      </c>
      <c r="BW7">
        <v>3942</v>
      </c>
      <c r="BX7">
        <v>46</v>
      </c>
      <c r="BY7">
        <v>36266.400000000001</v>
      </c>
      <c r="BZ7">
        <v>41</v>
      </c>
      <c r="CA7">
        <v>32324.399999999998</v>
      </c>
      <c r="CB7">
        <v>32</v>
      </c>
      <c r="CC7">
        <v>25228.799999999999</v>
      </c>
      <c r="CD7">
        <v>40</v>
      </c>
      <c r="CE7">
        <v>31536</v>
      </c>
      <c r="CF7">
        <v>7</v>
      </c>
      <c r="CG7">
        <v>5518.8</v>
      </c>
      <c r="CH7">
        <v>6</v>
      </c>
      <c r="CI7">
        <v>4730.3999999999996</v>
      </c>
      <c r="CJ7">
        <v>8.1490322530990476</v>
      </c>
      <c r="CK7">
        <v>6424.6970283432893</v>
      </c>
      <c r="CL7">
        <v>8.2775461106429109</v>
      </c>
      <c r="CM7">
        <v>6526.0173536308712</v>
      </c>
      <c r="CN7">
        <v>7</v>
      </c>
      <c r="CO7">
        <v>5518.8</v>
      </c>
      <c r="CP7">
        <v>9</v>
      </c>
      <c r="CQ7">
        <v>7095.5999999999995</v>
      </c>
      <c r="CR7">
        <v>5.4587068068255666</v>
      </c>
      <c r="CS7">
        <v>4303.6444465012764</v>
      </c>
      <c r="CT7">
        <v>6</v>
      </c>
      <c r="CU7">
        <v>4730.3999999999996</v>
      </c>
    </row>
    <row r="8" spans="1:99" x14ac:dyDescent="0.2">
      <c r="C8" s="105" t="s">
        <v>174</v>
      </c>
      <c r="D8">
        <v>21</v>
      </c>
      <c r="E8">
        <v>6501.5999999999995</v>
      </c>
      <c r="F8">
        <v>27</v>
      </c>
      <c r="G8">
        <v>8359.1999999999989</v>
      </c>
      <c r="H8">
        <v>33</v>
      </c>
      <c r="I8">
        <v>10216.799999999999</v>
      </c>
      <c r="J8">
        <v>24</v>
      </c>
      <c r="K8">
        <v>7430.4</v>
      </c>
      <c r="L8">
        <v>5</v>
      </c>
      <c r="M8">
        <v>1547.9999999999998</v>
      </c>
      <c r="N8">
        <v>6</v>
      </c>
      <c r="O8">
        <v>1857.6</v>
      </c>
      <c r="P8">
        <v>7</v>
      </c>
      <c r="Q8">
        <v>2167.1999999999998</v>
      </c>
      <c r="R8">
        <v>4</v>
      </c>
      <c r="S8">
        <v>1238.3999999999999</v>
      </c>
      <c r="T8">
        <v>14</v>
      </c>
      <c r="U8">
        <v>4334.3999999999996</v>
      </c>
      <c r="V8">
        <v>18</v>
      </c>
      <c r="W8">
        <v>5572.7999999999993</v>
      </c>
      <c r="X8">
        <v>23</v>
      </c>
      <c r="Y8">
        <v>7120.7999999999993</v>
      </c>
      <c r="Z8">
        <v>20</v>
      </c>
      <c r="AA8">
        <v>6191.9999999999991</v>
      </c>
      <c r="AB8">
        <v>16</v>
      </c>
      <c r="AC8">
        <v>4953.5999999999995</v>
      </c>
      <c r="AD8">
        <v>18</v>
      </c>
      <c r="AE8">
        <v>5572.7999999999993</v>
      </c>
      <c r="AF8">
        <v>11</v>
      </c>
      <c r="AG8">
        <v>3405.5999999999995</v>
      </c>
      <c r="AH8">
        <v>15</v>
      </c>
      <c r="AI8">
        <v>4643.9999999999991</v>
      </c>
      <c r="AJ8">
        <v>8</v>
      </c>
      <c r="AK8">
        <v>2476.7999999999997</v>
      </c>
      <c r="AL8">
        <v>14</v>
      </c>
      <c r="AM8">
        <v>4334.3999999999996</v>
      </c>
      <c r="AN8">
        <v>9</v>
      </c>
      <c r="AO8">
        <v>2786.3999999999996</v>
      </c>
      <c r="AP8">
        <v>11</v>
      </c>
      <c r="AQ8">
        <v>3405.5999999999995</v>
      </c>
      <c r="AR8">
        <v>28</v>
      </c>
      <c r="AS8">
        <v>8668.7999999999993</v>
      </c>
      <c r="AT8">
        <v>22</v>
      </c>
      <c r="AU8">
        <v>6811.1999999999989</v>
      </c>
      <c r="AV8">
        <v>18</v>
      </c>
      <c r="AW8">
        <v>5572.7999999999993</v>
      </c>
      <c r="AX8">
        <v>24</v>
      </c>
      <c r="AY8">
        <v>7430.4</v>
      </c>
      <c r="AZ8">
        <v>13</v>
      </c>
      <c r="BA8">
        <v>4024.7999999999997</v>
      </c>
      <c r="BB8">
        <v>21</v>
      </c>
      <c r="BC8">
        <v>6501.5999999999995</v>
      </c>
      <c r="BD8">
        <v>18</v>
      </c>
      <c r="BE8">
        <v>5572.7999999999993</v>
      </c>
      <c r="BF8">
        <v>16</v>
      </c>
      <c r="BG8">
        <v>4953.5999999999995</v>
      </c>
      <c r="BH8">
        <v>22</v>
      </c>
      <c r="BI8">
        <v>6811.1999999999989</v>
      </c>
      <c r="BJ8">
        <v>18.495768814207224</v>
      </c>
      <c r="BK8">
        <v>5726.2900248785563</v>
      </c>
      <c r="BL8">
        <v>26.054880633357985</v>
      </c>
      <c r="BM8">
        <v>8066.5910440876314</v>
      </c>
      <c r="BN8">
        <v>15.252323815551462</v>
      </c>
      <c r="BO8">
        <v>4722.119453294732</v>
      </c>
      <c r="BP8">
        <v>9</v>
      </c>
      <c r="BQ8">
        <v>2786.3999999999996</v>
      </c>
      <c r="BR8">
        <v>8</v>
      </c>
      <c r="BS8">
        <v>2476.7999999999997</v>
      </c>
      <c r="BT8">
        <v>4</v>
      </c>
      <c r="BU8">
        <v>1238.3999999999999</v>
      </c>
      <c r="BV8">
        <v>5</v>
      </c>
      <c r="BW8">
        <v>1547.9999999999998</v>
      </c>
      <c r="BX8">
        <v>49</v>
      </c>
      <c r="BY8">
        <v>15170.399999999998</v>
      </c>
      <c r="BZ8">
        <v>46</v>
      </c>
      <c r="CA8">
        <v>14241.599999999999</v>
      </c>
      <c r="CB8">
        <v>30</v>
      </c>
      <c r="CC8">
        <v>9287.9999999999982</v>
      </c>
      <c r="CD8">
        <v>39</v>
      </c>
      <c r="CE8">
        <v>12074.399999999998</v>
      </c>
      <c r="CF8">
        <v>7</v>
      </c>
      <c r="CG8">
        <v>2167.1999999999998</v>
      </c>
      <c r="CH8">
        <v>6</v>
      </c>
      <c r="CI8">
        <v>1857.6</v>
      </c>
      <c r="CJ8">
        <v>8.1375682336298905</v>
      </c>
      <c r="CK8">
        <v>2519.3911251318136</v>
      </c>
      <c r="CL8">
        <v>7.2467076539048101</v>
      </c>
      <c r="CM8">
        <v>2243.5806896489289</v>
      </c>
      <c r="CN8">
        <v>9</v>
      </c>
      <c r="CO8">
        <v>2786.3999999999996</v>
      </c>
      <c r="CP8">
        <v>9</v>
      </c>
      <c r="CQ8">
        <v>2786.3999999999996</v>
      </c>
      <c r="CR8">
        <v>6.5452552609435974</v>
      </c>
      <c r="CS8">
        <v>2026.4110287881376</v>
      </c>
      <c r="CT8">
        <v>6</v>
      </c>
      <c r="CU8">
        <v>1857.6</v>
      </c>
    </row>
    <row r="9" spans="1:99" x14ac:dyDescent="0.2">
      <c r="C9" s="105" t="s">
        <v>175</v>
      </c>
      <c r="D9">
        <v>19</v>
      </c>
      <c r="E9">
        <v>13338</v>
      </c>
      <c r="F9">
        <v>30</v>
      </c>
      <c r="G9">
        <v>21060</v>
      </c>
      <c r="H9">
        <v>32</v>
      </c>
      <c r="I9">
        <v>22464</v>
      </c>
      <c r="J9">
        <v>25</v>
      </c>
      <c r="K9">
        <v>17550</v>
      </c>
      <c r="L9">
        <v>4</v>
      </c>
      <c r="M9">
        <v>2808</v>
      </c>
      <c r="N9">
        <v>6</v>
      </c>
      <c r="O9">
        <v>4212</v>
      </c>
      <c r="P9">
        <v>7</v>
      </c>
      <c r="Q9">
        <v>4914</v>
      </c>
      <c r="R9">
        <v>4</v>
      </c>
      <c r="S9">
        <v>2808</v>
      </c>
      <c r="T9">
        <v>12</v>
      </c>
      <c r="U9">
        <v>8424</v>
      </c>
      <c r="V9">
        <v>18</v>
      </c>
      <c r="W9">
        <v>12636</v>
      </c>
      <c r="X9">
        <v>24</v>
      </c>
      <c r="Y9">
        <v>16848</v>
      </c>
      <c r="Z9">
        <v>22</v>
      </c>
      <c r="AA9">
        <v>15444</v>
      </c>
      <c r="AB9">
        <v>17</v>
      </c>
      <c r="AC9">
        <v>11934</v>
      </c>
      <c r="AD9">
        <v>17</v>
      </c>
      <c r="AE9">
        <v>11934</v>
      </c>
      <c r="AF9">
        <v>13</v>
      </c>
      <c r="AG9">
        <v>9126</v>
      </c>
      <c r="AH9">
        <v>13</v>
      </c>
      <c r="AI9">
        <v>9126</v>
      </c>
      <c r="AJ9">
        <v>8</v>
      </c>
      <c r="AK9">
        <v>5616</v>
      </c>
      <c r="AL9">
        <v>15</v>
      </c>
      <c r="AM9">
        <v>10530</v>
      </c>
      <c r="AN9">
        <v>9</v>
      </c>
      <c r="AO9">
        <v>6318</v>
      </c>
      <c r="AP9">
        <v>10</v>
      </c>
      <c r="AQ9">
        <v>7020</v>
      </c>
      <c r="AR9">
        <v>25</v>
      </c>
      <c r="AS9">
        <v>17550</v>
      </c>
      <c r="AT9">
        <v>23</v>
      </c>
      <c r="AU9">
        <v>16146</v>
      </c>
      <c r="AV9">
        <v>19</v>
      </c>
      <c r="AW9">
        <v>13338</v>
      </c>
      <c r="AX9">
        <v>21</v>
      </c>
      <c r="AY9">
        <v>14742</v>
      </c>
      <c r="AZ9">
        <v>12</v>
      </c>
      <c r="BA9">
        <v>8424</v>
      </c>
      <c r="BB9">
        <v>19</v>
      </c>
      <c r="BC9">
        <v>13338</v>
      </c>
      <c r="BD9">
        <v>19</v>
      </c>
      <c r="BE9">
        <v>13338</v>
      </c>
      <c r="BF9">
        <v>17</v>
      </c>
      <c r="BG9">
        <v>11934</v>
      </c>
      <c r="BH9">
        <v>21</v>
      </c>
      <c r="BI9">
        <v>14742</v>
      </c>
      <c r="BJ9">
        <v>18.429666305646261</v>
      </c>
      <c r="BK9">
        <v>12937.625746563675</v>
      </c>
      <c r="BL9">
        <v>27.044902336383807</v>
      </c>
      <c r="BM9">
        <v>18985.521440141431</v>
      </c>
      <c r="BN9">
        <v>16.252323815551463</v>
      </c>
      <c r="BO9">
        <v>11409.131318517128</v>
      </c>
      <c r="BP9">
        <v>8</v>
      </c>
      <c r="BQ9">
        <v>5616</v>
      </c>
      <c r="BR9">
        <v>8</v>
      </c>
      <c r="BS9">
        <v>5616</v>
      </c>
      <c r="BT9">
        <v>4</v>
      </c>
      <c r="BU9">
        <v>2808</v>
      </c>
      <c r="BV9">
        <v>5</v>
      </c>
      <c r="BW9">
        <v>3510</v>
      </c>
      <c r="BX9">
        <v>44</v>
      </c>
      <c r="BY9">
        <v>30888</v>
      </c>
      <c r="BZ9">
        <v>37</v>
      </c>
      <c r="CA9">
        <v>25974</v>
      </c>
      <c r="CB9">
        <v>30</v>
      </c>
      <c r="CC9">
        <v>21060</v>
      </c>
      <c r="CD9">
        <v>39</v>
      </c>
      <c r="CE9">
        <v>27378</v>
      </c>
      <c r="CF9">
        <v>7</v>
      </c>
      <c r="CG9">
        <v>4914</v>
      </c>
      <c r="CH9">
        <v>6</v>
      </c>
      <c r="CI9">
        <v>4212</v>
      </c>
      <c r="CJ9">
        <v>9.1375682336298905</v>
      </c>
      <c r="CK9">
        <v>6414.5729000081828</v>
      </c>
      <c r="CL9">
        <v>9.2467076539048101</v>
      </c>
      <c r="CM9">
        <v>6491.1887730411763</v>
      </c>
      <c r="CN9">
        <v>7</v>
      </c>
      <c r="CO9">
        <v>4914</v>
      </c>
      <c r="CP9">
        <v>9</v>
      </c>
      <c r="CQ9">
        <v>6318</v>
      </c>
      <c r="CR9">
        <v>5.476016497649173</v>
      </c>
      <c r="CS9">
        <v>3844.1635813497196</v>
      </c>
      <c r="CT9">
        <v>6</v>
      </c>
      <c r="CU9">
        <v>4212</v>
      </c>
    </row>
    <row r="10" spans="1:99" x14ac:dyDescent="0.2">
      <c r="C10" s="105" t="s">
        <v>176</v>
      </c>
      <c r="D10">
        <v>22</v>
      </c>
      <c r="E10">
        <v>11985.599999999999</v>
      </c>
      <c r="F10">
        <v>31</v>
      </c>
      <c r="G10">
        <v>16888.8</v>
      </c>
      <c r="H10">
        <v>31</v>
      </c>
      <c r="I10">
        <v>16888.8</v>
      </c>
      <c r="J10">
        <v>27</v>
      </c>
      <c r="K10">
        <v>14709.599999999999</v>
      </c>
      <c r="L10">
        <v>5</v>
      </c>
      <c r="M10">
        <v>2724</v>
      </c>
      <c r="N10">
        <v>6</v>
      </c>
      <c r="O10">
        <v>3268.7999999999997</v>
      </c>
      <c r="P10">
        <v>8</v>
      </c>
      <c r="Q10">
        <v>4358.3999999999996</v>
      </c>
      <c r="R10">
        <v>4</v>
      </c>
      <c r="S10">
        <v>2179.1999999999998</v>
      </c>
      <c r="T10">
        <v>14</v>
      </c>
      <c r="U10">
        <v>7627.1999999999989</v>
      </c>
      <c r="V10">
        <v>20</v>
      </c>
      <c r="W10">
        <v>10896</v>
      </c>
      <c r="X10">
        <v>22</v>
      </c>
      <c r="Y10">
        <v>11985.599999999999</v>
      </c>
      <c r="Z10">
        <v>19</v>
      </c>
      <c r="AA10">
        <v>10351.199999999999</v>
      </c>
      <c r="AB10">
        <v>17</v>
      </c>
      <c r="AC10">
        <v>9261.5999999999985</v>
      </c>
      <c r="AD10">
        <v>18</v>
      </c>
      <c r="AE10">
        <v>9806.4</v>
      </c>
      <c r="AF10">
        <v>12</v>
      </c>
      <c r="AG10">
        <v>6537.5999999999995</v>
      </c>
      <c r="AH10">
        <v>13</v>
      </c>
      <c r="AI10">
        <v>7082.4</v>
      </c>
      <c r="AJ10">
        <v>8</v>
      </c>
      <c r="AK10">
        <v>4358.3999999999996</v>
      </c>
      <c r="AL10">
        <v>15</v>
      </c>
      <c r="AM10">
        <v>8171.9999999999991</v>
      </c>
      <c r="AN10">
        <v>9</v>
      </c>
      <c r="AO10">
        <v>4903.2</v>
      </c>
      <c r="AP10">
        <v>10</v>
      </c>
      <c r="AQ10">
        <v>5448</v>
      </c>
      <c r="AR10">
        <v>25</v>
      </c>
      <c r="AS10">
        <v>13619.999999999998</v>
      </c>
      <c r="AT10">
        <v>26</v>
      </c>
      <c r="AU10">
        <v>14164.8</v>
      </c>
      <c r="AV10">
        <v>18</v>
      </c>
      <c r="AW10">
        <v>9806.4</v>
      </c>
      <c r="AX10">
        <v>22</v>
      </c>
      <c r="AY10">
        <v>11985.599999999999</v>
      </c>
      <c r="AZ10">
        <v>12</v>
      </c>
      <c r="BA10">
        <v>6537.5999999999995</v>
      </c>
      <c r="BB10">
        <v>21</v>
      </c>
      <c r="BC10">
        <v>11440.8</v>
      </c>
      <c r="BD10">
        <v>17</v>
      </c>
      <c r="BE10">
        <v>9261.5999999999985</v>
      </c>
      <c r="BF10">
        <v>16</v>
      </c>
      <c r="BG10">
        <v>8716.7999999999993</v>
      </c>
      <c r="BH10">
        <v>25</v>
      </c>
      <c r="BI10">
        <v>13619.999999999998</v>
      </c>
      <c r="BJ10">
        <v>16.429666305646261</v>
      </c>
      <c r="BK10">
        <v>8950.8822033160832</v>
      </c>
      <c r="BL10">
        <v>23.044902336383807</v>
      </c>
      <c r="BM10">
        <v>12554.862792861897</v>
      </c>
      <c r="BN10">
        <v>15.227091433996316</v>
      </c>
      <c r="BO10">
        <v>8295.7194132411914</v>
      </c>
      <c r="BP10">
        <v>8</v>
      </c>
      <c r="BQ10">
        <v>4358.3999999999996</v>
      </c>
      <c r="BR10">
        <v>9</v>
      </c>
      <c r="BS10">
        <v>4903.2</v>
      </c>
      <c r="BT10">
        <v>4</v>
      </c>
      <c r="BU10">
        <v>2179.1999999999998</v>
      </c>
      <c r="BV10">
        <v>5</v>
      </c>
      <c r="BW10">
        <v>2724</v>
      </c>
      <c r="BX10">
        <v>41</v>
      </c>
      <c r="BY10">
        <v>22336.799999999999</v>
      </c>
      <c r="BZ10">
        <v>43</v>
      </c>
      <c r="CA10">
        <v>23426.399999999998</v>
      </c>
      <c r="CB10">
        <v>35</v>
      </c>
      <c r="CC10">
        <v>19068</v>
      </c>
      <c r="CD10">
        <v>41</v>
      </c>
      <c r="CE10">
        <v>22336.799999999999</v>
      </c>
      <c r="CF10">
        <v>7</v>
      </c>
      <c r="CG10">
        <v>3813.5999999999995</v>
      </c>
      <c r="CH10">
        <v>7</v>
      </c>
      <c r="CI10">
        <v>3813.5999999999995</v>
      </c>
      <c r="CJ10">
        <v>8.1375682336298905</v>
      </c>
      <c r="CK10">
        <v>4433.3471736815636</v>
      </c>
      <c r="CL10">
        <v>9.2775461106429109</v>
      </c>
      <c r="CM10">
        <v>5054.4071210782577</v>
      </c>
      <c r="CN10">
        <v>7</v>
      </c>
      <c r="CO10">
        <v>3813.5999999999995</v>
      </c>
      <c r="CP10">
        <v>9</v>
      </c>
      <c r="CQ10">
        <v>4903.2</v>
      </c>
      <c r="CR10">
        <v>6.4933261884727793</v>
      </c>
      <c r="CS10">
        <v>3537.5641074799701</v>
      </c>
      <c r="CT10">
        <v>6</v>
      </c>
      <c r="CU10">
        <v>3268.7999999999997</v>
      </c>
    </row>
    <row r="11" spans="1:99" x14ac:dyDescent="0.2">
      <c r="C11" s="105" t="s">
        <v>177</v>
      </c>
      <c r="D11">
        <v>22</v>
      </c>
      <c r="E11">
        <v>11721.599999999999</v>
      </c>
      <c r="F11">
        <v>26</v>
      </c>
      <c r="G11">
        <v>13852.8</v>
      </c>
      <c r="H11">
        <v>30</v>
      </c>
      <c r="I11">
        <v>15983.999999999998</v>
      </c>
      <c r="J11">
        <v>27</v>
      </c>
      <c r="K11">
        <v>14385.599999999999</v>
      </c>
      <c r="L11">
        <v>4</v>
      </c>
      <c r="M11">
        <v>2131.1999999999998</v>
      </c>
      <c r="N11">
        <v>6</v>
      </c>
      <c r="O11">
        <v>3196.7999999999997</v>
      </c>
      <c r="P11">
        <v>7</v>
      </c>
      <c r="Q11">
        <v>3729.5999999999995</v>
      </c>
      <c r="R11">
        <v>4</v>
      </c>
      <c r="S11">
        <v>2131.1999999999998</v>
      </c>
      <c r="T11">
        <v>13</v>
      </c>
      <c r="U11">
        <v>6926.4</v>
      </c>
      <c r="V11">
        <v>20</v>
      </c>
      <c r="W11">
        <v>10656</v>
      </c>
      <c r="X11">
        <v>24</v>
      </c>
      <c r="Y11">
        <v>12787.199999999999</v>
      </c>
      <c r="Z11">
        <v>22</v>
      </c>
      <c r="AA11">
        <v>11721.599999999999</v>
      </c>
      <c r="AB11">
        <v>18</v>
      </c>
      <c r="AC11">
        <v>9590.4</v>
      </c>
      <c r="AD11">
        <v>17</v>
      </c>
      <c r="AE11">
        <v>9057.5999999999985</v>
      </c>
      <c r="AF11">
        <v>11</v>
      </c>
      <c r="AG11">
        <v>5860.7999999999993</v>
      </c>
      <c r="AH11">
        <v>14</v>
      </c>
      <c r="AI11">
        <v>7459.1999999999989</v>
      </c>
      <c r="AJ11">
        <v>7</v>
      </c>
      <c r="AK11">
        <v>3729.5999999999995</v>
      </c>
      <c r="AL11">
        <v>15</v>
      </c>
      <c r="AM11">
        <v>7991.9999999999991</v>
      </c>
      <c r="AN11">
        <v>9</v>
      </c>
      <c r="AO11">
        <v>4795.2</v>
      </c>
      <c r="AP11">
        <v>12</v>
      </c>
      <c r="AQ11">
        <v>6393.5999999999995</v>
      </c>
      <c r="AR11">
        <v>26</v>
      </c>
      <c r="AS11">
        <v>13852.8</v>
      </c>
      <c r="AT11">
        <v>26</v>
      </c>
      <c r="AU11">
        <v>13852.8</v>
      </c>
      <c r="AV11">
        <v>18</v>
      </c>
      <c r="AW11">
        <v>9590.4</v>
      </c>
      <c r="AX11">
        <v>24</v>
      </c>
      <c r="AY11">
        <v>12787.199999999999</v>
      </c>
      <c r="AZ11">
        <v>13</v>
      </c>
      <c r="BA11">
        <v>6926.4</v>
      </c>
      <c r="BB11">
        <v>20</v>
      </c>
      <c r="BC11">
        <v>10656</v>
      </c>
      <c r="BD11">
        <v>16</v>
      </c>
      <c r="BE11">
        <v>8524.7999999999993</v>
      </c>
      <c r="BF11">
        <v>18</v>
      </c>
      <c r="BG11">
        <v>9590.4</v>
      </c>
      <c r="BH11">
        <v>23</v>
      </c>
      <c r="BI11">
        <v>12254.4</v>
      </c>
      <c r="BJ11">
        <v>19.462717559926741</v>
      </c>
      <c r="BK11">
        <v>10369.735915928966</v>
      </c>
      <c r="BL11">
        <v>24.049891484870894</v>
      </c>
      <c r="BM11">
        <v>12813.782183139212</v>
      </c>
      <c r="BN11">
        <v>17.252323815551463</v>
      </c>
      <c r="BO11">
        <v>9192.0381289258185</v>
      </c>
      <c r="BP11">
        <v>9</v>
      </c>
      <c r="BQ11">
        <v>4795.2</v>
      </c>
      <c r="BR11">
        <v>8</v>
      </c>
      <c r="BS11">
        <v>4262.3999999999996</v>
      </c>
      <c r="BT11">
        <v>4</v>
      </c>
      <c r="BU11">
        <v>2131.1999999999998</v>
      </c>
      <c r="BV11">
        <v>5</v>
      </c>
      <c r="BW11">
        <v>2664</v>
      </c>
      <c r="BX11">
        <v>45</v>
      </c>
      <c r="BY11">
        <v>23975.999999999996</v>
      </c>
      <c r="BZ11">
        <v>45</v>
      </c>
      <c r="CA11">
        <v>23975.999999999996</v>
      </c>
      <c r="CB11">
        <v>31</v>
      </c>
      <c r="CC11">
        <v>16516.8</v>
      </c>
      <c r="CD11">
        <v>36</v>
      </c>
      <c r="CE11">
        <v>19180.8</v>
      </c>
      <c r="CF11">
        <v>7</v>
      </c>
      <c r="CG11">
        <v>3729.5999999999995</v>
      </c>
      <c r="CH11">
        <v>6</v>
      </c>
      <c r="CI11">
        <v>3196.7999999999997</v>
      </c>
      <c r="CJ11">
        <v>9.1375682336298905</v>
      </c>
      <c r="CK11">
        <v>4868.4963548780051</v>
      </c>
      <c r="CL11">
        <v>9.2467076539048101</v>
      </c>
      <c r="CM11">
        <v>4926.6458380004824</v>
      </c>
      <c r="CN11">
        <v>8</v>
      </c>
      <c r="CO11">
        <v>4262.3999999999996</v>
      </c>
      <c r="CP11">
        <v>9</v>
      </c>
      <c r="CQ11">
        <v>4795.2</v>
      </c>
      <c r="CR11">
        <v>5.450051961413763</v>
      </c>
      <c r="CS11">
        <v>2903.7876850412526</v>
      </c>
      <c r="CT11">
        <v>6</v>
      </c>
      <c r="CU11">
        <v>3196.7999999999997</v>
      </c>
    </row>
    <row r="12" spans="1:99" x14ac:dyDescent="0.2">
      <c r="C12" s="105" t="s">
        <v>178</v>
      </c>
      <c r="D12">
        <v>20</v>
      </c>
      <c r="E12">
        <v>11256</v>
      </c>
      <c r="F12">
        <v>29</v>
      </c>
      <c r="G12">
        <v>16321.199999999999</v>
      </c>
      <c r="H12">
        <v>31</v>
      </c>
      <c r="I12">
        <v>17446.8</v>
      </c>
      <c r="J12">
        <v>27</v>
      </c>
      <c r="K12">
        <v>15195.599999999999</v>
      </c>
      <c r="L12">
        <v>4</v>
      </c>
      <c r="M12">
        <v>2251.1999999999998</v>
      </c>
      <c r="N12">
        <v>6</v>
      </c>
      <c r="O12">
        <v>3376.7999999999997</v>
      </c>
      <c r="P12">
        <v>7</v>
      </c>
      <c r="Q12">
        <v>3939.5999999999995</v>
      </c>
      <c r="R12">
        <v>4</v>
      </c>
      <c r="S12">
        <v>2251.1999999999998</v>
      </c>
      <c r="T12">
        <v>14</v>
      </c>
      <c r="U12">
        <v>7879.1999999999989</v>
      </c>
      <c r="V12">
        <v>20</v>
      </c>
      <c r="W12">
        <v>11256</v>
      </c>
      <c r="X12">
        <v>26</v>
      </c>
      <c r="Y12">
        <v>14632.8</v>
      </c>
      <c r="Z12">
        <v>20</v>
      </c>
      <c r="AA12">
        <v>11256</v>
      </c>
      <c r="AB12">
        <v>17</v>
      </c>
      <c r="AC12">
        <v>9567.5999999999985</v>
      </c>
      <c r="AD12">
        <v>18</v>
      </c>
      <c r="AE12">
        <v>10130.4</v>
      </c>
      <c r="AF12">
        <v>11</v>
      </c>
      <c r="AG12">
        <v>6190.7999999999993</v>
      </c>
      <c r="AH12">
        <v>14</v>
      </c>
      <c r="AI12">
        <v>7879.1999999999989</v>
      </c>
      <c r="AJ12">
        <v>7</v>
      </c>
      <c r="AK12">
        <v>3939.5999999999995</v>
      </c>
      <c r="AL12">
        <v>14</v>
      </c>
      <c r="AM12">
        <v>7879.1999999999989</v>
      </c>
      <c r="AN12">
        <v>9</v>
      </c>
      <c r="AO12">
        <v>5065.2</v>
      </c>
      <c r="AP12">
        <v>11</v>
      </c>
      <c r="AQ12">
        <v>6190.7999999999993</v>
      </c>
      <c r="AR12">
        <v>25</v>
      </c>
      <c r="AS12">
        <v>14069.999999999998</v>
      </c>
      <c r="AT12">
        <v>22</v>
      </c>
      <c r="AU12">
        <v>12381.599999999999</v>
      </c>
      <c r="AV12">
        <v>18</v>
      </c>
      <c r="AW12">
        <v>10130.4</v>
      </c>
      <c r="AX12">
        <v>25</v>
      </c>
      <c r="AY12">
        <v>14069.999999999998</v>
      </c>
      <c r="AZ12">
        <v>12</v>
      </c>
      <c r="BA12">
        <v>6753.5999999999995</v>
      </c>
      <c r="BB12">
        <v>20</v>
      </c>
      <c r="BC12">
        <v>11256</v>
      </c>
      <c r="BD12">
        <v>17</v>
      </c>
      <c r="BE12">
        <v>9567.5999999999985</v>
      </c>
      <c r="BF12">
        <v>19</v>
      </c>
      <c r="BG12">
        <v>10693.199999999999</v>
      </c>
      <c r="BH12">
        <v>24</v>
      </c>
      <c r="BI12">
        <v>13507.199999999999</v>
      </c>
      <c r="BJ12">
        <v>17.462717559926741</v>
      </c>
      <c r="BK12">
        <v>9828.0174427267684</v>
      </c>
      <c r="BL12">
        <v>26.049891484870894</v>
      </c>
      <c r="BM12">
        <v>14660.878927685339</v>
      </c>
      <c r="BN12">
        <v>15.252323815551462</v>
      </c>
      <c r="BO12">
        <v>8584.0078433923627</v>
      </c>
      <c r="BP12">
        <v>8</v>
      </c>
      <c r="BQ12">
        <v>4502.3999999999996</v>
      </c>
      <c r="BR12">
        <v>8</v>
      </c>
      <c r="BS12">
        <v>4502.3999999999996</v>
      </c>
      <c r="BT12">
        <v>4</v>
      </c>
      <c r="BU12">
        <v>2251.1999999999998</v>
      </c>
      <c r="BV12">
        <v>5</v>
      </c>
      <c r="BW12">
        <v>2814</v>
      </c>
      <c r="BX12">
        <v>44</v>
      </c>
      <c r="BY12">
        <v>24763.199999999997</v>
      </c>
      <c r="BZ12">
        <v>42</v>
      </c>
      <c r="CA12">
        <v>23637.599999999999</v>
      </c>
      <c r="CB12">
        <v>34</v>
      </c>
      <c r="CC12">
        <v>19135.199999999997</v>
      </c>
      <c r="CD12">
        <v>38</v>
      </c>
      <c r="CE12">
        <v>21386.399999999998</v>
      </c>
      <c r="CF12">
        <v>7</v>
      </c>
      <c r="CG12">
        <v>3939.5999999999995</v>
      </c>
      <c r="CH12">
        <v>6</v>
      </c>
      <c r="CI12">
        <v>3376.7999999999997</v>
      </c>
      <c r="CJ12">
        <v>9.1490322530990476</v>
      </c>
      <c r="CK12">
        <v>5149.075352044144</v>
      </c>
      <c r="CL12">
        <v>8.2775461106429109</v>
      </c>
      <c r="CM12">
        <v>4658.6029510698299</v>
      </c>
      <c r="CN12">
        <v>7</v>
      </c>
      <c r="CO12">
        <v>3939.5999999999995</v>
      </c>
      <c r="CP12">
        <v>9</v>
      </c>
      <c r="CQ12">
        <v>5065.2</v>
      </c>
      <c r="CR12">
        <v>6.476016497649173</v>
      </c>
      <c r="CS12">
        <v>3644.7020848769544</v>
      </c>
      <c r="CT12">
        <v>6</v>
      </c>
      <c r="CU12">
        <v>3376.7999999999997</v>
      </c>
    </row>
    <row r="13" spans="1:99" x14ac:dyDescent="0.2">
      <c r="C13" s="105" t="s">
        <v>179</v>
      </c>
      <c r="D13">
        <v>22</v>
      </c>
      <c r="E13">
        <v>1874.4</v>
      </c>
      <c r="F13">
        <v>29</v>
      </c>
      <c r="G13">
        <v>2470.8000000000002</v>
      </c>
      <c r="H13">
        <v>38</v>
      </c>
      <c r="I13">
        <v>3237.6</v>
      </c>
      <c r="J13">
        <v>27</v>
      </c>
      <c r="K13">
        <v>2300.4</v>
      </c>
      <c r="L13">
        <v>4</v>
      </c>
      <c r="M13">
        <v>340.8</v>
      </c>
      <c r="N13">
        <v>7</v>
      </c>
      <c r="O13">
        <v>596.4</v>
      </c>
      <c r="P13">
        <v>7</v>
      </c>
      <c r="Q13">
        <v>596.4</v>
      </c>
      <c r="R13">
        <v>4</v>
      </c>
      <c r="S13">
        <v>340.8</v>
      </c>
      <c r="T13">
        <v>15</v>
      </c>
      <c r="U13">
        <v>1278</v>
      </c>
      <c r="V13">
        <v>21</v>
      </c>
      <c r="W13">
        <v>1789.2</v>
      </c>
      <c r="X13">
        <v>27</v>
      </c>
      <c r="Y13">
        <v>2300.4</v>
      </c>
      <c r="Z13">
        <v>22</v>
      </c>
      <c r="AA13">
        <v>1874.4</v>
      </c>
      <c r="AB13">
        <v>18</v>
      </c>
      <c r="AC13">
        <v>1533.6000000000001</v>
      </c>
      <c r="AD13">
        <v>18</v>
      </c>
      <c r="AE13">
        <v>1533.6000000000001</v>
      </c>
      <c r="AF13">
        <v>11</v>
      </c>
      <c r="AG13">
        <v>937.2</v>
      </c>
      <c r="AH13">
        <v>13</v>
      </c>
      <c r="AI13">
        <v>1107.6000000000001</v>
      </c>
      <c r="AJ13">
        <v>8</v>
      </c>
      <c r="AK13">
        <v>681.6</v>
      </c>
      <c r="AL13">
        <v>15</v>
      </c>
      <c r="AM13">
        <v>1278</v>
      </c>
      <c r="AN13">
        <v>9</v>
      </c>
      <c r="AO13">
        <v>766.80000000000007</v>
      </c>
      <c r="AP13">
        <v>11</v>
      </c>
      <c r="AQ13">
        <v>937.2</v>
      </c>
      <c r="AR13">
        <v>28</v>
      </c>
      <c r="AS13">
        <v>2385.6</v>
      </c>
      <c r="AT13">
        <v>26</v>
      </c>
      <c r="AU13">
        <v>2215.2000000000003</v>
      </c>
      <c r="AV13">
        <v>20</v>
      </c>
      <c r="AW13">
        <v>1704</v>
      </c>
      <c r="AX13">
        <v>26</v>
      </c>
      <c r="AY13">
        <v>2215.2000000000003</v>
      </c>
      <c r="AZ13">
        <v>13</v>
      </c>
      <c r="BA13">
        <v>1107.6000000000001</v>
      </c>
      <c r="BB13">
        <v>22</v>
      </c>
      <c r="BC13">
        <v>1874.4</v>
      </c>
      <c r="BD13">
        <v>19</v>
      </c>
      <c r="BE13">
        <v>1618.8</v>
      </c>
      <c r="BF13">
        <v>19</v>
      </c>
      <c r="BG13">
        <v>1618.8</v>
      </c>
      <c r="BH13">
        <v>26</v>
      </c>
      <c r="BI13">
        <v>2215.2000000000003</v>
      </c>
      <c r="BJ13">
        <v>19.429666305646261</v>
      </c>
      <c r="BK13">
        <v>1655.4075692410615</v>
      </c>
      <c r="BL13">
        <v>28.049891484870894</v>
      </c>
      <c r="BM13">
        <v>2389.8507545110001</v>
      </c>
      <c r="BN13">
        <v>17.277556197106609</v>
      </c>
      <c r="BO13">
        <v>1472.0477879934831</v>
      </c>
      <c r="BP13">
        <v>8</v>
      </c>
      <c r="BQ13">
        <v>681.6</v>
      </c>
      <c r="BR13">
        <v>9</v>
      </c>
      <c r="BS13">
        <v>766.80000000000007</v>
      </c>
      <c r="BT13">
        <v>4</v>
      </c>
      <c r="BU13">
        <v>340.8</v>
      </c>
      <c r="BV13">
        <v>5</v>
      </c>
      <c r="BW13">
        <v>426</v>
      </c>
      <c r="BX13">
        <v>43</v>
      </c>
      <c r="BY13">
        <v>3663.6</v>
      </c>
      <c r="BZ13">
        <v>41</v>
      </c>
      <c r="CA13">
        <v>3493.2000000000003</v>
      </c>
      <c r="CB13">
        <v>34</v>
      </c>
      <c r="CC13">
        <v>2896.8</v>
      </c>
      <c r="CD13">
        <v>44</v>
      </c>
      <c r="CE13">
        <v>3748.8</v>
      </c>
      <c r="CF13">
        <v>7</v>
      </c>
      <c r="CG13">
        <v>596.4</v>
      </c>
      <c r="CH13">
        <v>6</v>
      </c>
      <c r="CI13">
        <v>511.20000000000005</v>
      </c>
      <c r="CJ13">
        <v>9.1490322530990476</v>
      </c>
      <c r="CK13">
        <v>779.49754796403886</v>
      </c>
      <c r="CL13">
        <v>9.2775461106429109</v>
      </c>
      <c r="CM13">
        <v>790.44692862677607</v>
      </c>
      <c r="CN13">
        <v>8</v>
      </c>
      <c r="CO13">
        <v>681.6</v>
      </c>
      <c r="CP13">
        <v>9</v>
      </c>
      <c r="CQ13">
        <v>766.80000000000007</v>
      </c>
      <c r="CR13">
        <v>6.5366004155317947</v>
      </c>
      <c r="CS13">
        <v>556.91835540330896</v>
      </c>
      <c r="CT13">
        <v>7</v>
      </c>
      <c r="CU13">
        <v>596.4</v>
      </c>
    </row>
    <row r="14" spans="1:99" x14ac:dyDescent="0.2">
      <c r="C14" s="105" t="s">
        <v>180</v>
      </c>
      <c r="D14">
        <v>21</v>
      </c>
      <c r="E14">
        <v>10256.4</v>
      </c>
      <c r="F14">
        <v>29</v>
      </c>
      <c r="G14">
        <v>14163.599999999999</v>
      </c>
      <c r="H14">
        <v>35</v>
      </c>
      <c r="I14">
        <v>17094</v>
      </c>
      <c r="J14">
        <v>24</v>
      </c>
      <c r="K14">
        <v>11721.599999999999</v>
      </c>
      <c r="L14">
        <v>4</v>
      </c>
      <c r="M14">
        <v>1953.6</v>
      </c>
      <c r="N14">
        <v>6</v>
      </c>
      <c r="O14">
        <v>2930.3999999999996</v>
      </c>
      <c r="P14">
        <v>8</v>
      </c>
      <c r="Q14">
        <v>3907.2</v>
      </c>
      <c r="R14">
        <v>4</v>
      </c>
      <c r="S14">
        <v>1953.6</v>
      </c>
      <c r="T14">
        <v>14</v>
      </c>
      <c r="U14">
        <v>6837.5999999999995</v>
      </c>
      <c r="V14">
        <v>19</v>
      </c>
      <c r="W14">
        <v>9279.6</v>
      </c>
      <c r="X14">
        <v>24</v>
      </c>
      <c r="Y14">
        <v>11721.599999999999</v>
      </c>
      <c r="Z14">
        <v>21</v>
      </c>
      <c r="AA14">
        <v>10256.4</v>
      </c>
      <c r="AB14">
        <v>16</v>
      </c>
      <c r="AC14">
        <v>7814.4</v>
      </c>
      <c r="AD14">
        <v>15</v>
      </c>
      <c r="AE14">
        <v>7326</v>
      </c>
      <c r="AF14">
        <v>12</v>
      </c>
      <c r="AG14">
        <v>5860.7999999999993</v>
      </c>
      <c r="AH14">
        <v>13</v>
      </c>
      <c r="AI14">
        <v>6349.2</v>
      </c>
      <c r="AJ14">
        <v>8</v>
      </c>
      <c r="AK14">
        <v>3907.2</v>
      </c>
      <c r="AL14">
        <v>15</v>
      </c>
      <c r="AM14">
        <v>7326</v>
      </c>
      <c r="AN14">
        <v>9</v>
      </c>
      <c r="AO14">
        <v>4395.5999999999995</v>
      </c>
      <c r="AP14">
        <v>11</v>
      </c>
      <c r="AQ14">
        <v>5372.4</v>
      </c>
      <c r="AR14">
        <v>23</v>
      </c>
      <c r="AS14">
        <v>11233.199999999999</v>
      </c>
      <c r="AT14">
        <v>22</v>
      </c>
      <c r="AU14">
        <v>10744.8</v>
      </c>
      <c r="AV14">
        <v>19</v>
      </c>
      <c r="AW14">
        <v>9279.6</v>
      </c>
      <c r="AX14">
        <v>25</v>
      </c>
      <c r="AY14">
        <v>12210</v>
      </c>
      <c r="AZ14">
        <v>11</v>
      </c>
      <c r="BA14">
        <v>5372.4</v>
      </c>
      <c r="BB14">
        <v>21</v>
      </c>
      <c r="BC14">
        <v>10256.4</v>
      </c>
      <c r="BD14">
        <v>17</v>
      </c>
      <c r="BE14">
        <v>8302.7999999999993</v>
      </c>
      <c r="BF14">
        <v>17</v>
      </c>
      <c r="BG14">
        <v>8302.7999999999993</v>
      </c>
      <c r="BH14">
        <v>22</v>
      </c>
      <c r="BI14">
        <v>10744.8</v>
      </c>
      <c r="BJ14">
        <v>18.429666305646261</v>
      </c>
      <c r="BK14">
        <v>9001.0490236776332</v>
      </c>
      <c r="BL14">
        <v>26.049891484870894</v>
      </c>
      <c r="BM14">
        <v>12722.767001210945</v>
      </c>
      <c r="BN14">
        <v>15.277556197106609</v>
      </c>
      <c r="BO14">
        <v>7461.5584466668679</v>
      </c>
      <c r="BP14">
        <v>9</v>
      </c>
      <c r="BQ14">
        <v>4395.5999999999995</v>
      </c>
      <c r="BR14">
        <v>9</v>
      </c>
      <c r="BS14">
        <v>4395.5999999999995</v>
      </c>
      <c r="BT14">
        <v>4</v>
      </c>
      <c r="BU14">
        <v>1953.6</v>
      </c>
      <c r="BV14">
        <v>6</v>
      </c>
      <c r="BW14">
        <v>2930.3999999999996</v>
      </c>
      <c r="BX14">
        <v>40</v>
      </c>
      <c r="BY14">
        <v>19536</v>
      </c>
      <c r="BZ14">
        <v>42</v>
      </c>
      <c r="CA14">
        <v>20512.8</v>
      </c>
      <c r="CB14">
        <v>35</v>
      </c>
      <c r="CC14">
        <v>17094</v>
      </c>
      <c r="CD14">
        <v>42</v>
      </c>
      <c r="CE14">
        <v>20512.8</v>
      </c>
      <c r="CF14">
        <v>7</v>
      </c>
      <c r="CG14">
        <v>3418.7999999999997</v>
      </c>
      <c r="CH14">
        <v>6</v>
      </c>
      <c r="CI14">
        <v>2930.3999999999996</v>
      </c>
      <c r="CJ14">
        <v>8.1375682336298905</v>
      </c>
      <c r="CK14">
        <v>3974.3883253048384</v>
      </c>
      <c r="CL14">
        <v>8.2775461106429109</v>
      </c>
      <c r="CM14">
        <v>4042.7535204379974</v>
      </c>
      <c r="CN14">
        <v>7</v>
      </c>
      <c r="CO14">
        <v>3418.7999999999997</v>
      </c>
      <c r="CP14">
        <v>8</v>
      </c>
      <c r="CQ14">
        <v>3907.2</v>
      </c>
      <c r="CR14">
        <v>6.450051961413763</v>
      </c>
      <c r="CS14">
        <v>3150.2053779544817</v>
      </c>
      <c r="CT14">
        <v>7</v>
      </c>
      <c r="CU14">
        <v>3418.7999999999997</v>
      </c>
    </row>
    <row r="15" spans="1:99" x14ac:dyDescent="0.2">
      <c r="C15" s="105" t="s">
        <v>181</v>
      </c>
      <c r="D15">
        <v>21</v>
      </c>
      <c r="E15">
        <v>16027.199999999999</v>
      </c>
      <c r="F15">
        <v>27</v>
      </c>
      <c r="G15">
        <v>20606.399999999998</v>
      </c>
      <c r="H15">
        <v>33</v>
      </c>
      <c r="I15">
        <v>25185.599999999999</v>
      </c>
      <c r="J15">
        <v>25</v>
      </c>
      <c r="K15">
        <v>19080</v>
      </c>
      <c r="L15">
        <v>4</v>
      </c>
      <c r="M15">
        <v>3052.7999999999997</v>
      </c>
      <c r="N15">
        <v>6</v>
      </c>
      <c r="O15">
        <v>4579.2</v>
      </c>
      <c r="P15">
        <v>8</v>
      </c>
      <c r="Q15">
        <v>6105.5999999999995</v>
      </c>
      <c r="R15">
        <v>4</v>
      </c>
      <c r="S15">
        <v>3052.7999999999997</v>
      </c>
      <c r="T15">
        <v>14</v>
      </c>
      <c r="U15">
        <v>10684.8</v>
      </c>
      <c r="V15">
        <v>20</v>
      </c>
      <c r="W15">
        <v>15263.999999999998</v>
      </c>
      <c r="X15">
        <v>23</v>
      </c>
      <c r="Y15">
        <v>17553.599999999999</v>
      </c>
      <c r="Z15">
        <v>19</v>
      </c>
      <c r="AA15">
        <v>14500.8</v>
      </c>
      <c r="AB15">
        <v>18</v>
      </c>
      <c r="AC15">
        <v>13737.599999999999</v>
      </c>
      <c r="AD15">
        <v>17</v>
      </c>
      <c r="AE15">
        <v>12974.4</v>
      </c>
      <c r="AF15">
        <v>11</v>
      </c>
      <c r="AG15">
        <v>8395.1999999999989</v>
      </c>
      <c r="AH15">
        <v>15</v>
      </c>
      <c r="AI15">
        <v>11447.999999999998</v>
      </c>
      <c r="AJ15">
        <v>7</v>
      </c>
      <c r="AK15">
        <v>5342.4</v>
      </c>
      <c r="AL15">
        <v>15</v>
      </c>
      <c r="AM15">
        <v>11447.999999999998</v>
      </c>
      <c r="AN15">
        <v>9</v>
      </c>
      <c r="AO15">
        <v>6868.7999999999993</v>
      </c>
      <c r="AP15">
        <v>11</v>
      </c>
      <c r="AQ15">
        <v>8395.1999999999989</v>
      </c>
      <c r="AR15">
        <v>27</v>
      </c>
      <c r="AS15">
        <v>20606.399999999998</v>
      </c>
      <c r="AT15">
        <v>22</v>
      </c>
      <c r="AU15">
        <v>16790.399999999998</v>
      </c>
      <c r="AV15">
        <v>17</v>
      </c>
      <c r="AW15">
        <v>12974.4</v>
      </c>
      <c r="AX15">
        <v>24</v>
      </c>
      <c r="AY15">
        <v>18316.8</v>
      </c>
      <c r="AZ15">
        <v>11</v>
      </c>
      <c r="BA15">
        <v>8395.1999999999989</v>
      </c>
      <c r="BB15">
        <v>19</v>
      </c>
      <c r="BC15">
        <v>14500.8</v>
      </c>
      <c r="BD15">
        <v>16</v>
      </c>
      <c r="BE15">
        <v>12211.199999999999</v>
      </c>
      <c r="BF15">
        <v>17</v>
      </c>
      <c r="BG15">
        <v>12974.4</v>
      </c>
      <c r="BH15">
        <v>21</v>
      </c>
      <c r="BI15">
        <v>16027.199999999999</v>
      </c>
      <c r="BJ15">
        <v>17.462717559926741</v>
      </c>
      <c r="BK15">
        <v>13327.546041736088</v>
      </c>
      <c r="BL15">
        <v>24.049891484870894</v>
      </c>
      <c r="BM15">
        <v>18354.877181253465</v>
      </c>
      <c r="BN15">
        <v>16.277556197106609</v>
      </c>
      <c r="BO15">
        <v>12423.030889631762</v>
      </c>
      <c r="BP15">
        <v>8</v>
      </c>
      <c r="BQ15">
        <v>6105.5999999999995</v>
      </c>
      <c r="BR15">
        <v>8</v>
      </c>
      <c r="BS15">
        <v>6105.5999999999995</v>
      </c>
      <c r="BT15">
        <v>4</v>
      </c>
      <c r="BU15">
        <v>3052.7999999999997</v>
      </c>
      <c r="BV15">
        <v>5</v>
      </c>
      <c r="BW15">
        <v>3815.9999999999995</v>
      </c>
      <c r="BX15">
        <v>46</v>
      </c>
      <c r="BY15">
        <v>35107.199999999997</v>
      </c>
      <c r="BZ15">
        <v>38</v>
      </c>
      <c r="CA15">
        <v>29001.599999999999</v>
      </c>
      <c r="CB15">
        <v>30</v>
      </c>
      <c r="CC15">
        <v>22895.999999999996</v>
      </c>
      <c r="CD15">
        <v>38</v>
      </c>
      <c r="CE15">
        <v>29001.599999999999</v>
      </c>
      <c r="CF15">
        <v>7</v>
      </c>
      <c r="CG15">
        <v>5342.4</v>
      </c>
      <c r="CH15">
        <v>6</v>
      </c>
      <c r="CI15">
        <v>4579.2</v>
      </c>
      <c r="CJ15">
        <v>9.1490322530990476</v>
      </c>
      <c r="CK15">
        <v>6982.5414155651924</v>
      </c>
      <c r="CL15">
        <v>8.2467076539048101</v>
      </c>
      <c r="CM15">
        <v>6293.8872814601509</v>
      </c>
      <c r="CN15">
        <v>7</v>
      </c>
      <c r="CO15">
        <v>5342.4</v>
      </c>
      <c r="CP15">
        <v>9</v>
      </c>
      <c r="CQ15">
        <v>6868.7999999999993</v>
      </c>
      <c r="CR15">
        <v>6.424087425178354</v>
      </c>
      <c r="CS15">
        <v>4902.8635228961193</v>
      </c>
      <c r="CT15">
        <v>6</v>
      </c>
      <c r="CU15">
        <v>4579.2</v>
      </c>
    </row>
    <row r="16" spans="1:99" x14ac:dyDescent="0.2">
      <c r="C16" s="105" t="s">
        <v>182</v>
      </c>
      <c r="D16">
        <v>21</v>
      </c>
      <c r="E16">
        <v>7156.8</v>
      </c>
      <c r="F16">
        <v>27</v>
      </c>
      <c r="G16">
        <v>9201.6</v>
      </c>
      <c r="H16">
        <v>34</v>
      </c>
      <c r="I16">
        <v>11587.2</v>
      </c>
      <c r="J16">
        <v>26</v>
      </c>
      <c r="K16">
        <v>8860.8000000000011</v>
      </c>
      <c r="L16">
        <v>5</v>
      </c>
      <c r="M16">
        <v>1704</v>
      </c>
      <c r="N16">
        <v>6</v>
      </c>
      <c r="O16">
        <v>2044.8000000000002</v>
      </c>
      <c r="P16">
        <v>7</v>
      </c>
      <c r="Q16">
        <v>2385.6</v>
      </c>
      <c r="R16">
        <v>5</v>
      </c>
      <c r="S16">
        <v>1704</v>
      </c>
      <c r="T16">
        <v>13</v>
      </c>
      <c r="U16">
        <v>4430.4000000000005</v>
      </c>
      <c r="V16">
        <v>20</v>
      </c>
      <c r="W16">
        <v>6816</v>
      </c>
      <c r="X16">
        <v>23</v>
      </c>
      <c r="Y16">
        <v>7838.4000000000005</v>
      </c>
      <c r="Z16">
        <v>23</v>
      </c>
      <c r="AA16">
        <v>7838.4000000000005</v>
      </c>
      <c r="AB16">
        <v>18</v>
      </c>
      <c r="AC16">
        <v>6134.4000000000005</v>
      </c>
      <c r="AD16">
        <v>16</v>
      </c>
      <c r="AE16">
        <v>5452.8</v>
      </c>
      <c r="AF16">
        <v>13</v>
      </c>
      <c r="AG16">
        <v>4430.4000000000005</v>
      </c>
      <c r="AH16">
        <v>13</v>
      </c>
      <c r="AI16">
        <v>4430.4000000000005</v>
      </c>
      <c r="AJ16">
        <v>8</v>
      </c>
      <c r="AK16">
        <v>2726.4</v>
      </c>
      <c r="AL16">
        <v>14</v>
      </c>
      <c r="AM16">
        <v>4771.2</v>
      </c>
      <c r="AN16">
        <v>8</v>
      </c>
      <c r="AO16">
        <v>2726.4</v>
      </c>
      <c r="AP16">
        <v>12</v>
      </c>
      <c r="AQ16">
        <v>4089.6000000000004</v>
      </c>
      <c r="AR16">
        <v>25</v>
      </c>
      <c r="AS16">
        <v>8520</v>
      </c>
      <c r="AT16">
        <v>23</v>
      </c>
      <c r="AU16">
        <v>7838.4000000000005</v>
      </c>
      <c r="AV16">
        <v>19</v>
      </c>
      <c r="AW16">
        <v>6475.2</v>
      </c>
      <c r="AX16">
        <v>23</v>
      </c>
      <c r="AY16">
        <v>7838.4000000000005</v>
      </c>
      <c r="AZ16">
        <v>13</v>
      </c>
      <c r="BA16">
        <v>4430.4000000000005</v>
      </c>
      <c r="BB16">
        <v>19</v>
      </c>
      <c r="BC16">
        <v>6475.2</v>
      </c>
      <c r="BD16">
        <v>19</v>
      </c>
      <c r="BE16">
        <v>6475.2</v>
      </c>
      <c r="BF16">
        <v>16</v>
      </c>
      <c r="BG16">
        <v>5452.8</v>
      </c>
      <c r="BH16">
        <v>22</v>
      </c>
      <c r="BI16">
        <v>7497.6</v>
      </c>
      <c r="BJ16">
        <v>18.396615051365778</v>
      </c>
      <c r="BK16">
        <v>6269.5664095054572</v>
      </c>
      <c r="BL16">
        <v>29.049891484870894</v>
      </c>
      <c r="BM16">
        <v>9900.2030180440015</v>
      </c>
      <c r="BN16">
        <v>16.252323815551463</v>
      </c>
      <c r="BO16">
        <v>5538.7919563399391</v>
      </c>
      <c r="BP16">
        <v>8</v>
      </c>
      <c r="BQ16">
        <v>2726.4</v>
      </c>
      <c r="BR16">
        <v>9</v>
      </c>
      <c r="BS16">
        <v>3067.2000000000003</v>
      </c>
      <c r="BT16">
        <v>5</v>
      </c>
      <c r="BU16">
        <v>1704</v>
      </c>
      <c r="BV16">
        <v>5</v>
      </c>
      <c r="BW16">
        <v>1704</v>
      </c>
      <c r="BX16">
        <v>48</v>
      </c>
      <c r="BY16">
        <v>16358.400000000001</v>
      </c>
      <c r="BZ16">
        <v>44</v>
      </c>
      <c r="CA16">
        <v>14995.2</v>
      </c>
      <c r="CB16">
        <v>36</v>
      </c>
      <c r="CC16">
        <v>12268.800000000001</v>
      </c>
      <c r="CD16">
        <v>40</v>
      </c>
      <c r="CE16">
        <v>13632</v>
      </c>
      <c r="CF16">
        <v>8</v>
      </c>
      <c r="CG16">
        <v>2726.4</v>
      </c>
      <c r="CH16">
        <v>6</v>
      </c>
      <c r="CI16">
        <v>2044.8000000000002</v>
      </c>
      <c r="CJ16">
        <v>8.1490322530990476</v>
      </c>
      <c r="CK16">
        <v>2777.1901918561557</v>
      </c>
      <c r="CL16">
        <v>9.3083845673810117</v>
      </c>
      <c r="CM16">
        <v>3172.297460563449</v>
      </c>
      <c r="CN16">
        <v>8</v>
      </c>
      <c r="CO16">
        <v>2726.4</v>
      </c>
      <c r="CP16">
        <v>9</v>
      </c>
      <c r="CQ16">
        <v>3067.2000000000003</v>
      </c>
      <c r="CR16">
        <v>6.501981033884582</v>
      </c>
      <c r="CS16">
        <v>2215.8751363478655</v>
      </c>
      <c r="CT16">
        <v>7</v>
      </c>
      <c r="CU16">
        <v>2385.6</v>
      </c>
    </row>
    <row r="17" spans="2:99" x14ac:dyDescent="0.2">
      <c r="C17" s="105" t="s">
        <v>183</v>
      </c>
      <c r="D17">
        <v>19</v>
      </c>
      <c r="E17">
        <v>8025.5999999999995</v>
      </c>
      <c r="F17">
        <v>31</v>
      </c>
      <c r="G17">
        <v>13094.4</v>
      </c>
      <c r="H17">
        <v>37</v>
      </c>
      <c r="I17">
        <v>15628.8</v>
      </c>
      <c r="J17">
        <v>26</v>
      </c>
      <c r="K17">
        <v>10982.4</v>
      </c>
      <c r="L17">
        <v>5</v>
      </c>
      <c r="M17">
        <v>2112</v>
      </c>
      <c r="N17">
        <v>6</v>
      </c>
      <c r="O17">
        <v>2534.3999999999996</v>
      </c>
      <c r="P17">
        <v>7</v>
      </c>
      <c r="Q17">
        <v>2956.7999999999997</v>
      </c>
      <c r="R17">
        <v>4</v>
      </c>
      <c r="S17">
        <v>1689.6</v>
      </c>
      <c r="T17">
        <v>12</v>
      </c>
      <c r="U17">
        <v>5068.7999999999993</v>
      </c>
      <c r="V17">
        <v>20</v>
      </c>
      <c r="W17">
        <v>8448</v>
      </c>
      <c r="X17">
        <v>25</v>
      </c>
      <c r="Y17">
        <v>10560</v>
      </c>
      <c r="Z17">
        <v>23</v>
      </c>
      <c r="AA17">
        <v>9715.1999999999989</v>
      </c>
      <c r="AB17">
        <v>16</v>
      </c>
      <c r="AC17">
        <v>6758.4</v>
      </c>
      <c r="AD17">
        <v>16</v>
      </c>
      <c r="AE17">
        <v>6758.4</v>
      </c>
      <c r="AF17">
        <v>13</v>
      </c>
      <c r="AG17">
        <v>5491.2</v>
      </c>
      <c r="AH17">
        <v>13</v>
      </c>
      <c r="AI17">
        <v>5491.2</v>
      </c>
      <c r="AJ17">
        <v>8</v>
      </c>
      <c r="AK17">
        <v>3379.2</v>
      </c>
      <c r="AL17">
        <v>14</v>
      </c>
      <c r="AM17">
        <v>5913.5999999999995</v>
      </c>
      <c r="AN17">
        <v>9</v>
      </c>
      <c r="AO17">
        <v>3801.6</v>
      </c>
      <c r="AP17">
        <v>12</v>
      </c>
      <c r="AQ17">
        <v>5068.7999999999993</v>
      </c>
      <c r="AR17">
        <v>26</v>
      </c>
      <c r="AS17">
        <v>10982.4</v>
      </c>
      <c r="AT17">
        <v>25</v>
      </c>
      <c r="AU17">
        <v>10560</v>
      </c>
      <c r="AV17">
        <v>19</v>
      </c>
      <c r="AW17">
        <v>8025.5999999999995</v>
      </c>
      <c r="AX17">
        <v>24</v>
      </c>
      <c r="AY17">
        <v>10137.599999999999</v>
      </c>
      <c r="AZ17">
        <v>11</v>
      </c>
      <c r="BA17">
        <v>4646.3999999999996</v>
      </c>
      <c r="BB17">
        <v>22</v>
      </c>
      <c r="BC17">
        <v>9292.7999999999993</v>
      </c>
      <c r="BD17">
        <v>18</v>
      </c>
      <c r="BE17">
        <v>7603.2</v>
      </c>
      <c r="BF17">
        <v>16</v>
      </c>
      <c r="BG17">
        <v>6758.4</v>
      </c>
      <c r="BH17">
        <v>23</v>
      </c>
      <c r="BI17">
        <v>9715.1999999999989</v>
      </c>
      <c r="BJ17">
        <v>17.429666305646261</v>
      </c>
      <c r="BK17">
        <v>7362.2910475049803</v>
      </c>
      <c r="BL17">
        <v>24.054880633357985</v>
      </c>
      <c r="BM17">
        <v>10160.781579530412</v>
      </c>
      <c r="BN17">
        <v>17.252323815551463</v>
      </c>
      <c r="BO17">
        <v>7287.3815796889376</v>
      </c>
      <c r="BP17">
        <v>8</v>
      </c>
      <c r="BQ17">
        <v>3379.2</v>
      </c>
      <c r="BR17">
        <v>8</v>
      </c>
      <c r="BS17">
        <v>3379.2</v>
      </c>
      <c r="BT17">
        <v>4</v>
      </c>
      <c r="BU17">
        <v>1689.6</v>
      </c>
      <c r="BV17">
        <v>5</v>
      </c>
      <c r="BW17">
        <v>2112</v>
      </c>
      <c r="BX17">
        <v>47</v>
      </c>
      <c r="BY17">
        <v>19852.8</v>
      </c>
      <c r="BZ17">
        <v>41</v>
      </c>
      <c r="CA17">
        <v>17318.399999999998</v>
      </c>
      <c r="CB17">
        <v>32</v>
      </c>
      <c r="CC17">
        <v>13516.8</v>
      </c>
      <c r="CD17">
        <v>38</v>
      </c>
      <c r="CE17">
        <v>16051.199999999999</v>
      </c>
      <c r="CF17">
        <v>7</v>
      </c>
      <c r="CG17">
        <v>2956.7999999999997</v>
      </c>
      <c r="CH17">
        <v>7</v>
      </c>
      <c r="CI17">
        <v>2956.7999999999997</v>
      </c>
      <c r="CJ17">
        <v>8.1490322530990476</v>
      </c>
      <c r="CK17">
        <v>3442.1512237090374</v>
      </c>
      <c r="CL17">
        <v>8.2775461106429109</v>
      </c>
      <c r="CM17">
        <v>3496.4354771355652</v>
      </c>
      <c r="CN17">
        <v>9</v>
      </c>
      <c r="CO17">
        <v>3801.6</v>
      </c>
      <c r="CP17">
        <v>8</v>
      </c>
      <c r="CQ17">
        <v>3379.2</v>
      </c>
      <c r="CR17">
        <v>6.501981033884582</v>
      </c>
      <c r="CS17">
        <v>2746.4367887128474</v>
      </c>
      <c r="CT17">
        <v>6</v>
      </c>
      <c r="CU17">
        <v>2534.3999999999996</v>
      </c>
    </row>
    <row r="18" spans="2:99" x14ac:dyDescent="0.2">
      <c r="C18" s="105" t="s">
        <v>184</v>
      </c>
      <c r="D18">
        <v>21</v>
      </c>
      <c r="E18">
        <v>13708.8</v>
      </c>
      <c r="F18">
        <v>28</v>
      </c>
      <c r="G18">
        <v>18278.399999999998</v>
      </c>
      <c r="H18">
        <v>31</v>
      </c>
      <c r="I18">
        <v>20236.8</v>
      </c>
      <c r="J18">
        <v>25</v>
      </c>
      <c r="K18">
        <v>16319.999999999998</v>
      </c>
      <c r="L18">
        <v>4</v>
      </c>
      <c r="M18">
        <v>2611.1999999999998</v>
      </c>
      <c r="N18">
        <v>6</v>
      </c>
      <c r="O18">
        <v>3916.7999999999997</v>
      </c>
      <c r="P18">
        <v>7</v>
      </c>
      <c r="Q18">
        <v>4569.5999999999995</v>
      </c>
      <c r="R18">
        <v>4</v>
      </c>
      <c r="S18">
        <v>2611.1999999999998</v>
      </c>
      <c r="T18">
        <v>14</v>
      </c>
      <c r="U18">
        <v>9139.1999999999989</v>
      </c>
      <c r="V18">
        <v>17</v>
      </c>
      <c r="W18">
        <v>11097.599999999999</v>
      </c>
      <c r="X18">
        <v>26</v>
      </c>
      <c r="Y18">
        <v>16972.8</v>
      </c>
      <c r="Z18">
        <v>21</v>
      </c>
      <c r="AA18">
        <v>13708.8</v>
      </c>
      <c r="AB18">
        <v>16</v>
      </c>
      <c r="AC18">
        <v>10444.799999999999</v>
      </c>
      <c r="AD18">
        <v>18</v>
      </c>
      <c r="AE18">
        <v>11750.4</v>
      </c>
      <c r="AF18">
        <v>11</v>
      </c>
      <c r="AG18">
        <v>7180.7999999999993</v>
      </c>
      <c r="AH18">
        <v>13</v>
      </c>
      <c r="AI18">
        <v>8486.4</v>
      </c>
      <c r="AJ18">
        <v>7</v>
      </c>
      <c r="AK18">
        <v>4569.5999999999995</v>
      </c>
      <c r="AL18">
        <v>15</v>
      </c>
      <c r="AM18">
        <v>9792</v>
      </c>
      <c r="AN18">
        <v>9</v>
      </c>
      <c r="AO18">
        <v>5875.2</v>
      </c>
      <c r="AP18">
        <v>11</v>
      </c>
      <c r="AQ18">
        <v>7180.7999999999993</v>
      </c>
      <c r="AR18">
        <v>23</v>
      </c>
      <c r="AS18">
        <v>15014.4</v>
      </c>
      <c r="AT18">
        <v>22</v>
      </c>
      <c r="AU18">
        <v>14361.599999999999</v>
      </c>
      <c r="AV18">
        <v>19</v>
      </c>
      <c r="AW18">
        <v>12403.199999999999</v>
      </c>
      <c r="AX18">
        <v>23</v>
      </c>
      <c r="AY18">
        <v>15014.4</v>
      </c>
      <c r="AZ18">
        <v>13</v>
      </c>
      <c r="BA18">
        <v>8486.4</v>
      </c>
      <c r="BB18">
        <v>20</v>
      </c>
      <c r="BC18">
        <v>13056</v>
      </c>
      <c r="BD18">
        <v>19</v>
      </c>
      <c r="BE18">
        <v>12403.199999999999</v>
      </c>
      <c r="BF18">
        <v>18</v>
      </c>
      <c r="BG18">
        <v>11750.4</v>
      </c>
      <c r="BH18">
        <v>22</v>
      </c>
      <c r="BI18">
        <v>14361.599999999999</v>
      </c>
      <c r="BJ18">
        <v>18.462717559926741</v>
      </c>
      <c r="BK18">
        <v>12052.462023120175</v>
      </c>
      <c r="BL18">
        <v>28.044902336383807</v>
      </c>
      <c r="BM18">
        <v>18307.712245191349</v>
      </c>
      <c r="BN18">
        <v>17.277556197106609</v>
      </c>
      <c r="BO18">
        <v>11278.788685471194</v>
      </c>
      <c r="BP18">
        <v>9</v>
      </c>
      <c r="BQ18">
        <v>5875.2</v>
      </c>
      <c r="BR18">
        <v>8</v>
      </c>
      <c r="BS18">
        <v>5222.3999999999996</v>
      </c>
      <c r="BT18">
        <v>4</v>
      </c>
      <c r="BU18">
        <v>2611.1999999999998</v>
      </c>
      <c r="BV18">
        <v>5</v>
      </c>
      <c r="BW18">
        <v>3264</v>
      </c>
      <c r="BX18">
        <v>41</v>
      </c>
      <c r="BY18">
        <v>26764.799999999999</v>
      </c>
      <c r="BZ18">
        <v>41</v>
      </c>
      <c r="CA18">
        <v>26764.799999999999</v>
      </c>
      <c r="CB18">
        <v>29</v>
      </c>
      <c r="CC18">
        <v>18931.199999999997</v>
      </c>
      <c r="CD18">
        <v>41</v>
      </c>
      <c r="CE18">
        <v>26764.799999999999</v>
      </c>
      <c r="CF18">
        <v>7</v>
      </c>
      <c r="CG18">
        <v>4569.5999999999995</v>
      </c>
      <c r="CH18">
        <v>6</v>
      </c>
      <c r="CI18">
        <v>3916.7999999999997</v>
      </c>
      <c r="CJ18">
        <v>9.1375682336298905</v>
      </c>
      <c r="CK18">
        <v>5965.0045429135916</v>
      </c>
      <c r="CL18">
        <v>8.2775461106429109</v>
      </c>
      <c r="CM18">
        <v>5403.5821010276923</v>
      </c>
      <c r="CN18">
        <v>9</v>
      </c>
      <c r="CO18">
        <v>5875.2</v>
      </c>
      <c r="CP18">
        <v>9</v>
      </c>
      <c r="CQ18">
        <v>5875.2</v>
      </c>
      <c r="CR18">
        <v>6.450051961413763</v>
      </c>
      <c r="CS18">
        <v>4210.5939204109045</v>
      </c>
      <c r="CT18">
        <v>6</v>
      </c>
      <c r="CU18">
        <v>3916.7999999999997</v>
      </c>
    </row>
    <row r="19" spans="2:99" x14ac:dyDescent="0.2">
      <c r="C19" s="105" t="s">
        <v>185</v>
      </c>
      <c r="D19">
        <v>22</v>
      </c>
      <c r="E19">
        <v>7260</v>
      </c>
      <c r="F19">
        <v>31</v>
      </c>
      <c r="G19">
        <v>10230</v>
      </c>
      <c r="H19">
        <v>35</v>
      </c>
      <c r="I19">
        <v>11550</v>
      </c>
      <c r="J19">
        <v>27</v>
      </c>
      <c r="K19">
        <v>8910</v>
      </c>
      <c r="L19">
        <v>5</v>
      </c>
      <c r="M19">
        <v>1650</v>
      </c>
      <c r="N19">
        <v>6</v>
      </c>
      <c r="O19">
        <v>1980</v>
      </c>
      <c r="P19">
        <v>7</v>
      </c>
      <c r="Q19">
        <v>2310</v>
      </c>
      <c r="R19">
        <v>4</v>
      </c>
      <c r="S19">
        <v>1320</v>
      </c>
      <c r="T19">
        <v>15</v>
      </c>
      <c r="U19">
        <v>4950</v>
      </c>
      <c r="V19">
        <v>18</v>
      </c>
      <c r="W19">
        <v>5940</v>
      </c>
      <c r="X19">
        <v>23</v>
      </c>
      <c r="Y19">
        <v>7590</v>
      </c>
      <c r="Z19">
        <v>20</v>
      </c>
      <c r="AA19">
        <v>6600</v>
      </c>
      <c r="AB19">
        <v>17</v>
      </c>
      <c r="AC19">
        <v>5610</v>
      </c>
      <c r="AD19">
        <v>17</v>
      </c>
      <c r="AE19">
        <v>5610</v>
      </c>
      <c r="AF19">
        <v>13</v>
      </c>
      <c r="AG19">
        <v>4290</v>
      </c>
      <c r="AH19">
        <v>14</v>
      </c>
      <c r="AI19">
        <v>4620</v>
      </c>
      <c r="AJ19">
        <v>8</v>
      </c>
      <c r="AK19">
        <v>2640</v>
      </c>
      <c r="AL19">
        <v>15</v>
      </c>
      <c r="AM19">
        <v>4950</v>
      </c>
      <c r="AN19">
        <v>9</v>
      </c>
      <c r="AO19">
        <v>2970</v>
      </c>
      <c r="AP19">
        <v>11</v>
      </c>
      <c r="AQ19">
        <v>3630</v>
      </c>
      <c r="AR19">
        <v>26</v>
      </c>
      <c r="AS19">
        <v>8580</v>
      </c>
      <c r="AT19">
        <v>25</v>
      </c>
      <c r="AU19">
        <v>8250</v>
      </c>
      <c r="AV19">
        <v>19</v>
      </c>
      <c r="AW19">
        <v>6270</v>
      </c>
      <c r="AX19">
        <v>25</v>
      </c>
      <c r="AY19">
        <v>8250</v>
      </c>
      <c r="AZ19">
        <v>13</v>
      </c>
      <c r="BA19">
        <v>4290</v>
      </c>
      <c r="BB19">
        <v>20</v>
      </c>
      <c r="BC19">
        <v>6600</v>
      </c>
      <c r="BD19">
        <v>17</v>
      </c>
      <c r="BE19">
        <v>5610</v>
      </c>
      <c r="BF19">
        <v>17</v>
      </c>
      <c r="BG19">
        <v>5610</v>
      </c>
      <c r="BH19">
        <v>26</v>
      </c>
      <c r="BI19">
        <v>8580</v>
      </c>
      <c r="BJ19">
        <v>20.495768814207224</v>
      </c>
      <c r="BK19">
        <v>6763.6037086883844</v>
      </c>
      <c r="BL19">
        <v>25.049891484870894</v>
      </c>
      <c r="BM19">
        <v>8266.4641900073948</v>
      </c>
      <c r="BN19">
        <v>15.277556197106609</v>
      </c>
      <c r="BO19">
        <v>5041.5935450451807</v>
      </c>
      <c r="BP19">
        <v>9</v>
      </c>
      <c r="BQ19">
        <v>2970</v>
      </c>
      <c r="BR19">
        <v>8</v>
      </c>
      <c r="BS19">
        <v>2640</v>
      </c>
      <c r="BT19">
        <v>5</v>
      </c>
      <c r="BU19">
        <v>1650</v>
      </c>
      <c r="BV19">
        <v>5</v>
      </c>
      <c r="BW19">
        <v>1650</v>
      </c>
      <c r="BX19">
        <v>41</v>
      </c>
      <c r="BY19">
        <v>13530</v>
      </c>
      <c r="BZ19">
        <v>39</v>
      </c>
      <c r="CA19">
        <v>12870</v>
      </c>
      <c r="CB19">
        <v>35</v>
      </c>
      <c r="CC19">
        <v>11550</v>
      </c>
      <c r="CD19">
        <v>40</v>
      </c>
      <c r="CE19">
        <v>13200</v>
      </c>
      <c r="CF19">
        <v>7</v>
      </c>
      <c r="CG19">
        <v>2310</v>
      </c>
      <c r="CH19">
        <v>7</v>
      </c>
      <c r="CI19">
        <v>2310</v>
      </c>
      <c r="CJ19">
        <v>8.1490322530990476</v>
      </c>
      <c r="CK19">
        <v>2689.1806435226858</v>
      </c>
      <c r="CL19">
        <v>7.2775461106429109</v>
      </c>
      <c r="CM19">
        <v>2401.5902165121606</v>
      </c>
      <c r="CN19">
        <v>8</v>
      </c>
      <c r="CO19">
        <v>2640</v>
      </c>
      <c r="CP19">
        <v>8</v>
      </c>
      <c r="CQ19">
        <v>2640</v>
      </c>
      <c r="CR19">
        <v>5.4846713430609757</v>
      </c>
      <c r="CS19">
        <v>1809.9415432101221</v>
      </c>
      <c r="CT19">
        <v>7</v>
      </c>
      <c r="CU19">
        <v>2310</v>
      </c>
    </row>
    <row r="20" spans="2:99" x14ac:dyDescent="0.2">
      <c r="B20" s="105" t="s">
        <v>127</v>
      </c>
      <c r="C20" s="105" t="s">
        <v>186</v>
      </c>
      <c r="D20">
        <v>13</v>
      </c>
      <c r="E20">
        <v>3728.4</v>
      </c>
      <c r="F20">
        <v>14</v>
      </c>
      <c r="G20">
        <v>4015.2000000000003</v>
      </c>
      <c r="H20">
        <v>18</v>
      </c>
      <c r="I20">
        <v>5162.4000000000005</v>
      </c>
      <c r="J20">
        <v>19</v>
      </c>
      <c r="K20">
        <v>5449.2</v>
      </c>
      <c r="L20">
        <v>30</v>
      </c>
      <c r="M20">
        <v>8604</v>
      </c>
      <c r="N20">
        <v>48</v>
      </c>
      <c r="O20">
        <v>13766.400000000001</v>
      </c>
      <c r="P20">
        <v>49</v>
      </c>
      <c r="Q20">
        <v>14053.2</v>
      </c>
      <c r="R20">
        <v>63</v>
      </c>
      <c r="S20">
        <v>18068.400000000001</v>
      </c>
      <c r="T20">
        <v>11</v>
      </c>
      <c r="U20">
        <v>3154.8</v>
      </c>
      <c r="V20">
        <v>7</v>
      </c>
      <c r="W20">
        <v>2007.6000000000001</v>
      </c>
      <c r="X20">
        <v>11</v>
      </c>
      <c r="Y20">
        <v>3154.8</v>
      </c>
      <c r="Z20">
        <v>8</v>
      </c>
      <c r="AA20">
        <v>2294.4</v>
      </c>
      <c r="AB20">
        <v>33</v>
      </c>
      <c r="AC20">
        <v>9464.4</v>
      </c>
      <c r="AD20">
        <v>29</v>
      </c>
      <c r="AE20">
        <v>8317.2000000000007</v>
      </c>
      <c r="AF20">
        <v>20</v>
      </c>
      <c r="AG20">
        <v>5736</v>
      </c>
      <c r="AH20">
        <v>30</v>
      </c>
      <c r="AI20">
        <v>8604</v>
      </c>
      <c r="AJ20">
        <v>10</v>
      </c>
      <c r="AK20">
        <v>2868</v>
      </c>
      <c r="AL20">
        <v>6</v>
      </c>
      <c r="AM20">
        <v>1720.8000000000002</v>
      </c>
      <c r="AN20">
        <v>8</v>
      </c>
      <c r="AO20">
        <v>2294.4</v>
      </c>
      <c r="AP20">
        <v>10</v>
      </c>
      <c r="AQ20">
        <v>2868</v>
      </c>
      <c r="AR20">
        <v>92</v>
      </c>
      <c r="AS20">
        <v>26385.600000000002</v>
      </c>
      <c r="AT20">
        <v>114</v>
      </c>
      <c r="AU20">
        <v>32695.200000000001</v>
      </c>
      <c r="AV20">
        <v>129</v>
      </c>
      <c r="AW20">
        <v>36997.200000000004</v>
      </c>
      <c r="AX20">
        <v>145</v>
      </c>
      <c r="AY20">
        <v>41586</v>
      </c>
      <c r="AZ20">
        <v>76</v>
      </c>
      <c r="BA20">
        <v>21796.799999999999</v>
      </c>
      <c r="BB20">
        <v>82</v>
      </c>
      <c r="BC20">
        <v>23517.600000000002</v>
      </c>
      <c r="BD20">
        <v>104.88619194224761</v>
      </c>
      <c r="BE20">
        <v>30081.359849036613</v>
      </c>
      <c r="BF20">
        <v>98</v>
      </c>
      <c r="BG20">
        <v>28106.400000000001</v>
      </c>
      <c r="BH20">
        <v>136</v>
      </c>
      <c r="BI20">
        <v>39004.800000000003</v>
      </c>
      <c r="BJ20">
        <v>85</v>
      </c>
      <c r="BK20">
        <v>24378</v>
      </c>
      <c r="BL20">
        <v>138.8581335397794</v>
      </c>
      <c r="BM20">
        <v>39824.512699208732</v>
      </c>
      <c r="BN20">
        <v>131</v>
      </c>
      <c r="BO20">
        <v>37570.800000000003</v>
      </c>
      <c r="BP20">
        <v>71</v>
      </c>
      <c r="BQ20">
        <v>20362.8</v>
      </c>
      <c r="BR20">
        <v>85</v>
      </c>
      <c r="BS20">
        <v>24378</v>
      </c>
      <c r="BT20">
        <v>75</v>
      </c>
      <c r="BU20">
        <v>21510</v>
      </c>
      <c r="BV20">
        <v>85</v>
      </c>
      <c r="BW20">
        <v>24378</v>
      </c>
      <c r="BX20">
        <v>9</v>
      </c>
      <c r="BY20">
        <v>2581.2000000000003</v>
      </c>
      <c r="BZ20">
        <v>13</v>
      </c>
      <c r="CA20">
        <v>3728.4</v>
      </c>
      <c r="CB20">
        <v>14</v>
      </c>
      <c r="CC20">
        <v>4015.2000000000003</v>
      </c>
      <c r="CD20">
        <v>11</v>
      </c>
      <c r="CE20">
        <v>3154.8</v>
      </c>
      <c r="CF20">
        <v>20</v>
      </c>
      <c r="CG20">
        <v>5736</v>
      </c>
      <c r="CH20">
        <v>24</v>
      </c>
      <c r="CI20">
        <v>6883.2000000000007</v>
      </c>
      <c r="CJ20">
        <v>22</v>
      </c>
      <c r="CK20">
        <v>6309.6</v>
      </c>
      <c r="CL20">
        <v>18</v>
      </c>
      <c r="CM20">
        <v>5162.4000000000005</v>
      </c>
      <c r="CN20">
        <v>36.552985746226348</v>
      </c>
      <c r="CO20">
        <v>10483.396312017718</v>
      </c>
      <c r="CP20">
        <v>36.833867853083156</v>
      </c>
      <c r="CQ20">
        <v>10563.953300264249</v>
      </c>
      <c r="CR20">
        <v>35.173096908236062</v>
      </c>
      <c r="CS20">
        <v>10087.644193282104</v>
      </c>
      <c r="CT20">
        <v>26.962305286529279</v>
      </c>
      <c r="CU20">
        <v>7732.7891561765973</v>
      </c>
    </row>
    <row r="21" spans="2:99" x14ac:dyDescent="0.2">
      <c r="C21" s="105" t="s">
        <v>187</v>
      </c>
      <c r="D21">
        <v>13</v>
      </c>
      <c r="E21">
        <v>811.19999999999993</v>
      </c>
      <c r="F21">
        <v>15</v>
      </c>
      <c r="G21">
        <v>936</v>
      </c>
      <c r="H21">
        <v>18</v>
      </c>
      <c r="I21">
        <v>1123.2</v>
      </c>
      <c r="J21">
        <v>19</v>
      </c>
      <c r="K21">
        <v>1185.5999999999999</v>
      </c>
      <c r="L21">
        <v>35</v>
      </c>
      <c r="M21">
        <v>2184</v>
      </c>
      <c r="N21">
        <v>53</v>
      </c>
      <c r="O21">
        <v>3307.2</v>
      </c>
      <c r="P21">
        <v>52</v>
      </c>
      <c r="Q21">
        <v>3244.7999999999997</v>
      </c>
      <c r="R21">
        <v>65</v>
      </c>
      <c r="S21">
        <v>4056</v>
      </c>
      <c r="T21">
        <v>13</v>
      </c>
      <c r="U21">
        <v>811.19999999999993</v>
      </c>
      <c r="V21">
        <v>6</v>
      </c>
      <c r="W21">
        <v>374.4</v>
      </c>
      <c r="X21">
        <v>11</v>
      </c>
      <c r="Y21">
        <v>686.4</v>
      </c>
      <c r="Z21">
        <v>9</v>
      </c>
      <c r="AA21">
        <v>561.6</v>
      </c>
      <c r="AB21">
        <v>33</v>
      </c>
      <c r="AC21">
        <v>2059.1999999999998</v>
      </c>
      <c r="AD21">
        <v>30</v>
      </c>
      <c r="AE21">
        <v>1872</v>
      </c>
      <c r="AF21">
        <v>18</v>
      </c>
      <c r="AG21">
        <v>1123.2</v>
      </c>
      <c r="AH21">
        <v>30</v>
      </c>
      <c r="AI21">
        <v>1872</v>
      </c>
      <c r="AJ21">
        <v>11</v>
      </c>
      <c r="AK21">
        <v>686.4</v>
      </c>
      <c r="AL21">
        <v>7</v>
      </c>
      <c r="AM21">
        <v>436.8</v>
      </c>
      <c r="AN21">
        <v>9</v>
      </c>
      <c r="AO21">
        <v>561.6</v>
      </c>
      <c r="AP21">
        <v>10</v>
      </c>
      <c r="AQ21">
        <v>624</v>
      </c>
      <c r="AR21">
        <v>89</v>
      </c>
      <c r="AS21">
        <v>5553.5999999999995</v>
      </c>
      <c r="AT21">
        <v>119</v>
      </c>
      <c r="AU21">
        <v>7425.5999999999995</v>
      </c>
      <c r="AV21">
        <v>131</v>
      </c>
      <c r="AW21">
        <v>8174.4</v>
      </c>
      <c r="AX21">
        <v>168</v>
      </c>
      <c r="AY21">
        <v>10483.199999999999</v>
      </c>
      <c r="AZ21">
        <v>85</v>
      </c>
      <c r="BA21">
        <v>5304</v>
      </c>
      <c r="BB21">
        <v>93</v>
      </c>
      <c r="BC21">
        <v>5803.2</v>
      </c>
      <c r="BD21">
        <v>102.93957699900952</v>
      </c>
      <c r="BE21">
        <v>6423.429604738194</v>
      </c>
      <c r="BF21">
        <v>104</v>
      </c>
      <c r="BG21">
        <v>6489.5999999999995</v>
      </c>
      <c r="BH21">
        <v>134</v>
      </c>
      <c r="BI21">
        <v>8361.6</v>
      </c>
      <c r="BJ21">
        <v>85</v>
      </c>
      <c r="BK21">
        <v>5304</v>
      </c>
      <c r="BL21">
        <v>124.89305757918903</v>
      </c>
      <c r="BM21">
        <v>7793.3267929413951</v>
      </c>
      <c r="BN21">
        <v>150</v>
      </c>
      <c r="BO21">
        <v>9360</v>
      </c>
      <c r="BP21">
        <v>73</v>
      </c>
      <c r="BQ21">
        <v>4555.2</v>
      </c>
      <c r="BR21">
        <v>85</v>
      </c>
      <c r="BS21">
        <v>5304</v>
      </c>
      <c r="BT21">
        <v>69</v>
      </c>
      <c r="BU21">
        <v>4305.5999999999995</v>
      </c>
      <c r="BV21">
        <v>99</v>
      </c>
      <c r="BW21">
        <v>6177.5999999999995</v>
      </c>
      <c r="BX21">
        <v>9</v>
      </c>
      <c r="BY21">
        <v>561.6</v>
      </c>
      <c r="BZ21">
        <v>13</v>
      </c>
      <c r="CA21">
        <v>811.19999999999993</v>
      </c>
      <c r="CB21">
        <v>13</v>
      </c>
      <c r="CC21">
        <v>811.19999999999993</v>
      </c>
      <c r="CD21">
        <v>12</v>
      </c>
      <c r="CE21">
        <v>748.8</v>
      </c>
      <c r="CF21">
        <v>23</v>
      </c>
      <c r="CG21">
        <v>1435.2</v>
      </c>
      <c r="CH21">
        <v>26</v>
      </c>
      <c r="CI21">
        <v>1622.3999999999999</v>
      </c>
      <c r="CJ21">
        <v>22</v>
      </c>
      <c r="CK21">
        <v>1372.8</v>
      </c>
      <c r="CL21">
        <v>18</v>
      </c>
      <c r="CM21">
        <v>1123.2</v>
      </c>
      <c r="CN21">
        <v>45.656670573643794</v>
      </c>
      <c r="CO21">
        <v>2848.9762437953727</v>
      </c>
      <c r="CP21">
        <v>40.967286709576463</v>
      </c>
      <c r="CQ21">
        <v>2556.3586906775713</v>
      </c>
      <c r="CR21">
        <v>39.173096908236062</v>
      </c>
      <c r="CS21">
        <v>2444.4012470739303</v>
      </c>
      <c r="CT21">
        <v>28.962305286529279</v>
      </c>
      <c r="CU21">
        <v>1807.2478498794269</v>
      </c>
    </row>
    <row r="22" spans="2:99" x14ac:dyDescent="0.2">
      <c r="C22" s="105" t="s">
        <v>188</v>
      </c>
      <c r="D22">
        <v>13</v>
      </c>
      <c r="E22">
        <v>2433.6</v>
      </c>
      <c r="F22">
        <v>15</v>
      </c>
      <c r="G22">
        <v>2808</v>
      </c>
      <c r="H22">
        <v>16</v>
      </c>
      <c r="I22">
        <v>2995.2</v>
      </c>
      <c r="J22">
        <v>18</v>
      </c>
      <c r="K22">
        <v>3369.6</v>
      </c>
      <c r="L22">
        <v>31</v>
      </c>
      <c r="M22">
        <v>5803.2</v>
      </c>
      <c r="N22">
        <v>51</v>
      </c>
      <c r="O22">
        <v>9547.1999999999989</v>
      </c>
      <c r="P22">
        <v>56</v>
      </c>
      <c r="Q22">
        <v>10483.199999999999</v>
      </c>
      <c r="R22">
        <v>62</v>
      </c>
      <c r="S22">
        <v>11606.4</v>
      </c>
      <c r="T22">
        <v>13</v>
      </c>
      <c r="U22">
        <v>2433.6</v>
      </c>
      <c r="V22">
        <v>6</v>
      </c>
      <c r="W22">
        <v>1123.1999999999998</v>
      </c>
      <c r="X22">
        <v>10</v>
      </c>
      <c r="Y22">
        <v>1872</v>
      </c>
      <c r="Z22">
        <v>8</v>
      </c>
      <c r="AA22">
        <v>1497.6</v>
      </c>
      <c r="AB22">
        <v>32</v>
      </c>
      <c r="AC22">
        <v>5990.4</v>
      </c>
      <c r="AD22">
        <v>33</v>
      </c>
      <c r="AE22">
        <v>6177.5999999999995</v>
      </c>
      <c r="AF22">
        <v>20</v>
      </c>
      <c r="AG22">
        <v>3744</v>
      </c>
      <c r="AH22">
        <v>31</v>
      </c>
      <c r="AI22">
        <v>5803.2</v>
      </c>
      <c r="AJ22">
        <v>10</v>
      </c>
      <c r="AK22">
        <v>1872</v>
      </c>
      <c r="AL22">
        <v>6</v>
      </c>
      <c r="AM22">
        <v>1123.1999999999998</v>
      </c>
      <c r="AN22">
        <v>9</v>
      </c>
      <c r="AO22">
        <v>1684.8</v>
      </c>
      <c r="AP22">
        <v>8</v>
      </c>
      <c r="AQ22">
        <v>1497.6</v>
      </c>
      <c r="AR22">
        <v>86</v>
      </c>
      <c r="AS22">
        <v>16099.199999999999</v>
      </c>
      <c r="AT22">
        <v>106</v>
      </c>
      <c r="AU22">
        <v>19843.199999999997</v>
      </c>
      <c r="AV22">
        <v>130</v>
      </c>
      <c r="AW22">
        <v>24336</v>
      </c>
      <c r="AX22">
        <v>140</v>
      </c>
      <c r="AY22">
        <v>26208</v>
      </c>
      <c r="AZ22">
        <v>80</v>
      </c>
      <c r="BA22">
        <v>14976</v>
      </c>
      <c r="BB22">
        <v>100</v>
      </c>
      <c r="BC22">
        <v>18720</v>
      </c>
      <c r="BD22">
        <v>101.98762355009524</v>
      </c>
      <c r="BE22">
        <v>19092.083128577826</v>
      </c>
      <c r="BF22">
        <v>105</v>
      </c>
      <c r="BG22">
        <v>19656</v>
      </c>
      <c r="BH22">
        <v>134</v>
      </c>
      <c r="BI22">
        <v>25084.799999999999</v>
      </c>
      <c r="BJ22">
        <v>90</v>
      </c>
      <c r="BK22">
        <v>16848</v>
      </c>
      <c r="BL22">
        <v>133.9579165095212</v>
      </c>
      <c r="BM22">
        <v>25076.921970582367</v>
      </c>
      <c r="BN22">
        <v>133</v>
      </c>
      <c r="BO22">
        <v>24897.599999999999</v>
      </c>
      <c r="BP22">
        <v>73</v>
      </c>
      <c r="BQ22">
        <v>13665.599999999999</v>
      </c>
      <c r="BR22">
        <v>82</v>
      </c>
      <c r="BS22">
        <v>15350.4</v>
      </c>
      <c r="BT22">
        <v>72</v>
      </c>
      <c r="BU22">
        <v>13478.4</v>
      </c>
      <c r="BV22">
        <v>88</v>
      </c>
      <c r="BW22">
        <v>16473.599999999999</v>
      </c>
      <c r="BX22">
        <v>9</v>
      </c>
      <c r="BY22">
        <v>1684.8</v>
      </c>
      <c r="BZ22">
        <v>13</v>
      </c>
      <c r="CA22">
        <v>2433.6</v>
      </c>
      <c r="CB22">
        <v>12</v>
      </c>
      <c r="CC22">
        <v>2246.3999999999996</v>
      </c>
      <c r="CD22">
        <v>12</v>
      </c>
      <c r="CE22">
        <v>2246.3999999999996</v>
      </c>
      <c r="CF22">
        <v>20</v>
      </c>
      <c r="CG22">
        <v>3744</v>
      </c>
      <c r="CH22">
        <v>26</v>
      </c>
      <c r="CI22">
        <v>4867.2</v>
      </c>
      <c r="CJ22">
        <v>22</v>
      </c>
      <c r="CK22">
        <v>4118.3999999999996</v>
      </c>
      <c r="CL22">
        <v>21</v>
      </c>
      <c r="CM22">
        <v>3931.2</v>
      </c>
      <c r="CN22">
        <v>42.656670573643794</v>
      </c>
      <c r="CO22">
        <v>7985.3287313861174</v>
      </c>
      <c r="CP22">
        <v>36.833867853083156</v>
      </c>
      <c r="CQ22">
        <v>6895.3000620971661</v>
      </c>
      <c r="CR22">
        <v>33.164442062824257</v>
      </c>
      <c r="CS22">
        <v>6208.3835541607004</v>
      </c>
      <c r="CT22">
        <v>24.008129347792579</v>
      </c>
      <c r="CU22">
        <v>4494.3218139067703</v>
      </c>
    </row>
    <row r="23" spans="2:99" x14ac:dyDescent="0.2">
      <c r="C23" s="105" t="s">
        <v>189</v>
      </c>
      <c r="D23">
        <v>14</v>
      </c>
      <c r="E23">
        <v>4116</v>
      </c>
      <c r="F23">
        <v>15</v>
      </c>
      <c r="G23">
        <v>4410</v>
      </c>
      <c r="H23">
        <v>17</v>
      </c>
      <c r="I23">
        <v>4998</v>
      </c>
      <c r="J23">
        <v>18</v>
      </c>
      <c r="K23">
        <v>5292</v>
      </c>
      <c r="L23">
        <v>33</v>
      </c>
      <c r="M23">
        <v>9702</v>
      </c>
      <c r="N23">
        <v>44</v>
      </c>
      <c r="O23">
        <v>12936</v>
      </c>
      <c r="P23">
        <v>47</v>
      </c>
      <c r="Q23">
        <v>13818</v>
      </c>
      <c r="R23">
        <v>56</v>
      </c>
      <c r="S23">
        <v>16464</v>
      </c>
      <c r="T23">
        <v>11</v>
      </c>
      <c r="U23">
        <v>3234</v>
      </c>
      <c r="V23">
        <v>7</v>
      </c>
      <c r="W23">
        <v>2058</v>
      </c>
      <c r="X23">
        <v>10</v>
      </c>
      <c r="Y23">
        <v>2940</v>
      </c>
      <c r="Z23">
        <v>9</v>
      </c>
      <c r="AA23">
        <v>2646</v>
      </c>
      <c r="AB23">
        <v>29</v>
      </c>
      <c r="AC23">
        <v>8526</v>
      </c>
      <c r="AD23">
        <v>33</v>
      </c>
      <c r="AE23">
        <v>9702</v>
      </c>
      <c r="AF23">
        <v>20</v>
      </c>
      <c r="AG23">
        <v>5880</v>
      </c>
      <c r="AH23">
        <v>27</v>
      </c>
      <c r="AI23">
        <v>7938</v>
      </c>
      <c r="AJ23">
        <v>10</v>
      </c>
      <c r="AK23">
        <v>2940</v>
      </c>
      <c r="AL23">
        <v>6</v>
      </c>
      <c r="AM23">
        <v>1764</v>
      </c>
      <c r="AN23">
        <v>9</v>
      </c>
      <c r="AO23">
        <v>2646</v>
      </c>
      <c r="AP23">
        <v>9</v>
      </c>
      <c r="AQ23">
        <v>2646</v>
      </c>
      <c r="AR23">
        <v>90</v>
      </c>
      <c r="AS23">
        <v>26460</v>
      </c>
      <c r="AT23">
        <v>105</v>
      </c>
      <c r="AU23">
        <v>30870</v>
      </c>
      <c r="AV23">
        <v>122</v>
      </c>
      <c r="AW23">
        <v>35868</v>
      </c>
      <c r="AX23">
        <v>152</v>
      </c>
      <c r="AY23">
        <v>44688</v>
      </c>
      <c r="AZ23">
        <v>82</v>
      </c>
      <c r="BA23">
        <v>24108</v>
      </c>
      <c r="BB23">
        <v>84</v>
      </c>
      <c r="BC23">
        <v>24696</v>
      </c>
      <c r="BD23">
        <v>89.832806885485709</v>
      </c>
      <c r="BE23">
        <v>26410.845224332799</v>
      </c>
      <c r="BF23">
        <v>95</v>
      </c>
      <c r="BG23">
        <v>27930</v>
      </c>
      <c r="BH23">
        <v>142</v>
      </c>
      <c r="BI23">
        <v>41748</v>
      </c>
      <c r="BJ23">
        <v>86</v>
      </c>
      <c r="BK23">
        <v>25284</v>
      </c>
      <c r="BL23">
        <v>123.99284054893081</v>
      </c>
      <c r="BM23">
        <v>36453.895121385656</v>
      </c>
      <c r="BN23">
        <v>141</v>
      </c>
      <c r="BO23">
        <v>41454</v>
      </c>
      <c r="BP23">
        <v>65</v>
      </c>
      <c r="BQ23">
        <v>19110</v>
      </c>
      <c r="BR23">
        <v>85</v>
      </c>
      <c r="BS23">
        <v>24990</v>
      </c>
      <c r="BT23">
        <v>66</v>
      </c>
      <c r="BU23">
        <v>19404</v>
      </c>
      <c r="BV23">
        <v>98</v>
      </c>
      <c r="BW23">
        <v>28812</v>
      </c>
      <c r="BX23">
        <v>8</v>
      </c>
      <c r="BY23">
        <v>2352</v>
      </c>
      <c r="BZ23">
        <v>14</v>
      </c>
      <c r="CA23">
        <v>4116</v>
      </c>
      <c r="CB23">
        <v>12</v>
      </c>
      <c r="CC23">
        <v>3528</v>
      </c>
      <c r="CD23">
        <v>12</v>
      </c>
      <c r="CE23">
        <v>3528</v>
      </c>
      <c r="CF23">
        <v>20</v>
      </c>
      <c r="CG23">
        <v>5880</v>
      </c>
      <c r="CH23">
        <v>24</v>
      </c>
      <c r="CI23">
        <v>7056</v>
      </c>
      <c r="CJ23">
        <v>21</v>
      </c>
      <c r="CK23">
        <v>6174</v>
      </c>
      <c r="CL23">
        <v>19</v>
      </c>
      <c r="CM23">
        <v>5586</v>
      </c>
      <c r="CN23">
        <v>40.622108964504648</v>
      </c>
      <c r="CO23">
        <v>11942.900035564366</v>
      </c>
      <c r="CP23">
        <v>41.00064142369979</v>
      </c>
      <c r="CQ23">
        <v>12054.188578567739</v>
      </c>
      <c r="CR23">
        <v>32.190406599059671</v>
      </c>
      <c r="CS23">
        <v>9463.9795401235424</v>
      </c>
      <c r="CT23">
        <v>24</v>
      </c>
      <c r="CU23">
        <v>7056</v>
      </c>
    </row>
    <row r="24" spans="2:99" x14ac:dyDescent="0.2">
      <c r="C24" s="105" t="s">
        <v>190</v>
      </c>
      <c r="D24">
        <v>14</v>
      </c>
      <c r="E24">
        <v>5140.8</v>
      </c>
      <c r="F24">
        <v>15</v>
      </c>
      <c r="G24">
        <v>5508</v>
      </c>
      <c r="H24">
        <v>17</v>
      </c>
      <c r="I24">
        <v>6242.4</v>
      </c>
      <c r="J24">
        <v>21</v>
      </c>
      <c r="K24">
        <v>7711.2</v>
      </c>
      <c r="L24">
        <v>34</v>
      </c>
      <c r="M24">
        <v>12484.8</v>
      </c>
      <c r="N24">
        <v>47</v>
      </c>
      <c r="O24">
        <v>17258.399999999998</v>
      </c>
      <c r="P24">
        <v>46</v>
      </c>
      <c r="Q24">
        <v>16891.2</v>
      </c>
      <c r="R24">
        <v>54</v>
      </c>
      <c r="S24">
        <v>19828.8</v>
      </c>
      <c r="T24">
        <v>11</v>
      </c>
      <c r="U24">
        <v>4039.2</v>
      </c>
      <c r="V24">
        <v>7</v>
      </c>
      <c r="W24">
        <v>2570.4</v>
      </c>
      <c r="X24">
        <v>12</v>
      </c>
      <c r="Y24">
        <v>4406.3999999999996</v>
      </c>
      <c r="Z24">
        <v>9</v>
      </c>
      <c r="AA24">
        <v>3304.7999999999997</v>
      </c>
      <c r="AB24">
        <v>31</v>
      </c>
      <c r="AC24">
        <v>11383.199999999999</v>
      </c>
      <c r="AD24">
        <v>31</v>
      </c>
      <c r="AE24">
        <v>11383.199999999999</v>
      </c>
      <c r="AF24">
        <v>20</v>
      </c>
      <c r="AG24">
        <v>7344</v>
      </c>
      <c r="AH24">
        <v>28</v>
      </c>
      <c r="AI24">
        <v>10281.6</v>
      </c>
      <c r="AJ24">
        <v>10</v>
      </c>
      <c r="AK24">
        <v>3672</v>
      </c>
      <c r="AL24">
        <v>6</v>
      </c>
      <c r="AM24">
        <v>2203.1999999999998</v>
      </c>
      <c r="AN24">
        <v>9</v>
      </c>
      <c r="AO24">
        <v>3304.7999999999997</v>
      </c>
      <c r="AP24">
        <v>9</v>
      </c>
      <c r="AQ24">
        <v>3304.7999999999997</v>
      </c>
      <c r="AR24">
        <v>90</v>
      </c>
      <c r="AS24">
        <v>33048</v>
      </c>
      <c r="AT24">
        <v>114</v>
      </c>
      <c r="AU24">
        <v>41860.799999999996</v>
      </c>
      <c r="AV24">
        <v>112</v>
      </c>
      <c r="AW24">
        <v>41126.400000000001</v>
      </c>
      <c r="AX24">
        <v>153</v>
      </c>
      <c r="AY24">
        <v>56181.599999999999</v>
      </c>
      <c r="AZ24">
        <v>83</v>
      </c>
      <c r="BA24">
        <v>30477.599999999999</v>
      </c>
      <c r="BB24">
        <v>83</v>
      </c>
      <c r="BC24">
        <v>30477.599999999999</v>
      </c>
      <c r="BD24">
        <v>103.84882240251429</v>
      </c>
      <c r="BE24">
        <v>38133.287586203245</v>
      </c>
      <c r="BF24">
        <v>96</v>
      </c>
      <c r="BG24">
        <v>35251.199999999997</v>
      </c>
      <c r="BH24">
        <v>148</v>
      </c>
      <c r="BI24">
        <v>54345.599999999999</v>
      </c>
      <c r="BJ24">
        <v>82</v>
      </c>
      <c r="BK24">
        <v>30110.399999999998</v>
      </c>
      <c r="BL24">
        <v>116.80325290642142</v>
      </c>
      <c r="BM24">
        <v>42890.154467237946</v>
      </c>
      <c r="BN24">
        <v>134</v>
      </c>
      <c r="BO24">
        <v>49204.799999999996</v>
      </c>
      <c r="BP24">
        <v>63</v>
      </c>
      <c r="BQ24">
        <v>23133.599999999999</v>
      </c>
      <c r="BR24">
        <v>94</v>
      </c>
      <c r="BS24">
        <v>34516.799999999996</v>
      </c>
      <c r="BT24">
        <v>73</v>
      </c>
      <c r="BU24">
        <v>26805.599999999999</v>
      </c>
      <c r="BV24">
        <v>89</v>
      </c>
      <c r="BW24">
        <v>32680.799999999999</v>
      </c>
      <c r="BX24">
        <v>9</v>
      </c>
      <c r="BY24">
        <v>3304.7999999999997</v>
      </c>
      <c r="BZ24">
        <v>12</v>
      </c>
      <c r="CA24">
        <v>4406.3999999999996</v>
      </c>
      <c r="CB24">
        <v>13</v>
      </c>
      <c r="CC24">
        <v>4773.5999999999995</v>
      </c>
      <c r="CD24">
        <v>11</v>
      </c>
      <c r="CE24">
        <v>4039.2</v>
      </c>
      <c r="CF24">
        <v>21</v>
      </c>
      <c r="CG24">
        <v>7711.2</v>
      </c>
      <c r="CH24">
        <v>26</v>
      </c>
      <c r="CI24">
        <v>9547.1999999999989</v>
      </c>
      <c r="CJ24">
        <v>21</v>
      </c>
      <c r="CK24">
        <v>7711.2</v>
      </c>
      <c r="CL24">
        <v>19</v>
      </c>
      <c r="CM24">
        <v>6976.8</v>
      </c>
      <c r="CN24">
        <v>37.622108964504648</v>
      </c>
      <c r="CO24">
        <v>13814.838411766106</v>
      </c>
      <c r="CP24">
        <v>40.867222567206483</v>
      </c>
      <c r="CQ24">
        <v>15006.44412667822</v>
      </c>
      <c r="CR24">
        <v>34.173096908236062</v>
      </c>
      <c r="CS24">
        <v>12548.361184704281</v>
      </c>
      <c r="CT24">
        <v>23</v>
      </c>
      <c r="CU24">
        <v>8445.6</v>
      </c>
    </row>
    <row r="25" spans="2:99" x14ac:dyDescent="0.2">
      <c r="C25" s="105" t="s">
        <v>191</v>
      </c>
      <c r="D25">
        <v>13</v>
      </c>
      <c r="E25">
        <v>6895.2</v>
      </c>
      <c r="F25">
        <v>14</v>
      </c>
      <c r="G25">
        <v>7425.5999999999995</v>
      </c>
      <c r="H25">
        <v>18</v>
      </c>
      <c r="I25">
        <v>9547.1999999999989</v>
      </c>
      <c r="J25">
        <v>19</v>
      </c>
      <c r="K25">
        <v>10077.6</v>
      </c>
      <c r="L25">
        <v>33</v>
      </c>
      <c r="M25">
        <v>17503.2</v>
      </c>
      <c r="N25">
        <v>48</v>
      </c>
      <c r="O25">
        <v>25459.199999999997</v>
      </c>
      <c r="P25">
        <v>47</v>
      </c>
      <c r="Q25">
        <v>24928.799999999999</v>
      </c>
      <c r="R25">
        <v>55</v>
      </c>
      <c r="S25">
        <v>29172</v>
      </c>
      <c r="T25">
        <v>11</v>
      </c>
      <c r="U25">
        <v>5834.4</v>
      </c>
      <c r="V25">
        <v>7</v>
      </c>
      <c r="W25">
        <v>3712.7999999999997</v>
      </c>
      <c r="X25">
        <v>11</v>
      </c>
      <c r="Y25">
        <v>5834.4</v>
      </c>
      <c r="Z25">
        <v>9</v>
      </c>
      <c r="AA25">
        <v>4773.5999999999995</v>
      </c>
      <c r="AB25">
        <v>28</v>
      </c>
      <c r="AC25">
        <v>14851.199999999999</v>
      </c>
      <c r="AD25">
        <v>30</v>
      </c>
      <c r="AE25">
        <v>15912</v>
      </c>
      <c r="AF25">
        <v>18</v>
      </c>
      <c r="AG25">
        <v>9547.1999999999989</v>
      </c>
      <c r="AH25">
        <v>30</v>
      </c>
      <c r="AI25">
        <v>15912</v>
      </c>
      <c r="AJ25">
        <v>9</v>
      </c>
      <c r="AK25">
        <v>4773.5999999999995</v>
      </c>
      <c r="AL25">
        <v>6</v>
      </c>
      <c r="AM25">
        <v>3182.3999999999996</v>
      </c>
      <c r="AN25">
        <v>9</v>
      </c>
      <c r="AO25">
        <v>4773.5999999999995</v>
      </c>
      <c r="AP25">
        <v>10</v>
      </c>
      <c r="AQ25">
        <v>5304</v>
      </c>
      <c r="AR25">
        <v>93</v>
      </c>
      <c r="AS25">
        <v>49327.199999999997</v>
      </c>
      <c r="AT25">
        <v>112</v>
      </c>
      <c r="AU25">
        <v>59404.799999999996</v>
      </c>
      <c r="AV25">
        <v>118</v>
      </c>
      <c r="AW25">
        <v>62587.199999999997</v>
      </c>
      <c r="AX25">
        <v>149</v>
      </c>
      <c r="AY25">
        <v>79029.599999999991</v>
      </c>
      <c r="AZ25">
        <v>84</v>
      </c>
      <c r="BA25">
        <v>44553.599999999999</v>
      </c>
      <c r="BB25">
        <v>80</v>
      </c>
      <c r="BC25">
        <v>42432</v>
      </c>
      <c r="BD25">
        <v>90.811452862780953</v>
      </c>
      <c r="BE25">
        <v>48166.394598419014</v>
      </c>
      <c r="BF25">
        <v>101</v>
      </c>
      <c r="BG25">
        <v>53570.399999999994</v>
      </c>
      <c r="BH25">
        <v>133</v>
      </c>
      <c r="BI25">
        <v>70543.199999999997</v>
      </c>
      <c r="BJ25">
        <v>82</v>
      </c>
      <c r="BK25">
        <v>43492.799999999996</v>
      </c>
      <c r="BL25">
        <v>118.8581335397794</v>
      </c>
      <c r="BM25">
        <v>63042.354029498994</v>
      </c>
      <c r="BN25">
        <v>125</v>
      </c>
      <c r="BO25">
        <v>66300</v>
      </c>
      <c r="BP25">
        <v>62</v>
      </c>
      <c r="BQ25">
        <v>32884.799999999996</v>
      </c>
      <c r="BR25">
        <v>76</v>
      </c>
      <c r="BS25">
        <v>40310.400000000001</v>
      </c>
      <c r="BT25">
        <v>72</v>
      </c>
      <c r="BU25">
        <v>38188.799999999996</v>
      </c>
      <c r="BV25">
        <v>85</v>
      </c>
      <c r="BW25">
        <v>45084</v>
      </c>
      <c r="BX25">
        <v>10</v>
      </c>
      <c r="BY25">
        <v>5304</v>
      </c>
      <c r="BZ25">
        <v>12</v>
      </c>
      <c r="CA25">
        <v>6364.7999999999993</v>
      </c>
      <c r="CB25">
        <v>13</v>
      </c>
      <c r="CC25">
        <v>6895.2</v>
      </c>
      <c r="CD25">
        <v>12</v>
      </c>
      <c r="CE25">
        <v>6364.7999999999993</v>
      </c>
      <c r="CF25">
        <v>21</v>
      </c>
      <c r="CG25">
        <v>11138.4</v>
      </c>
      <c r="CH25">
        <v>23</v>
      </c>
      <c r="CI25">
        <v>12199.199999999999</v>
      </c>
      <c r="CJ25">
        <v>19</v>
      </c>
      <c r="CK25">
        <v>10077.6</v>
      </c>
      <c r="CL25">
        <v>19</v>
      </c>
      <c r="CM25">
        <v>10077.6</v>
      </c>
      <c r="CN25">
        <v>41.552985746226348</v>
      </c>
      <c r="CO25">
        <v>22039.703639798456</v>
      </c>
      <c r="CP25">
        <v>35.833867853083156</v>
      </c>
      <c r="CQ25">
        <v>19006.283509275305</v>
      </c>
      <c r="CR25">
        <v>34.181751753647866</v>
      </c>
      <c r="CS25">
        <v>18130.001130134828</v>
      </c>
      <c r="CT25">
        <v>27.962305286529279</v>
      </c>
      <c r="CU25">
        <v>14831.206723975129</v>
      </c>
    </row>
    <row r="26" spans="2:99" x14ac:dyDescent="0.2">
      <c r="C26" s="105" t="s">
        <v>192</v>
      </c>
      <c r="D26">
        <v>14</v>
      </c>
      <c r="E26">
        <v>6804</v>
      </c>
      <c r="F26">
        <v>16</v>
      </c>
      <c r="G26">
        <v>7776</v>
      </c>
      <c r="H26">
        <v>17</v>
      </c>
      <c r="I26">
        <v>8262</v>
      </c>
      <c r="J26">
        <v>19</v>
      </c>
      <c r="K26">
        <v>9234</v>
      </c>
      <c r="L26">
        <v>32</v>
      </c>
      <c r="M26">
        <v>15552</v>
      </c>
      <c r="N26">
        <v>43</v>
      </c>
      <c r="O26">
        <v>20898</v>
      </c>
      <c r="P26">
        <v>47</v>
      </c>
      <c r="Q26">
        <v>22842</v>
      </c>
      <c r="R26">
        <v>60</v>
      </c>
      <c r="S26">
        <v>29160</v>
      </c>
      <c r="T26">
        <v>12</v>
      </c>
      <c r="U26">
        <v>5832</v>
      </c>
      <c r="V26">
        <v>6</v>
      </c>
      <c r="W26">
        <v>2916</v>
      </c>
      <c r="X26">
        <v>10</v>
      </c>
      <c r="Y26">
        <v>4860</v>
      </c>
      <c r="Z26">
        <v>8</v>
      </c>
      <c r="AA26">
        <v>3888</v>
      </c>
      <c r="AB26">
        <v>32</v>
      </c>
      <c r="AC26">
        <v>15552</v>
      </c>
      <c r="AD26">
        <v>30</v>
      </c>
      <c r="AE26">
        <v>14580</v>
      </c>
      <c r="AF26">
        <v>17</v>
      </c>
      <c r="AG26">
        <v>8262</v>
      </c>
      <c r="AH26">
        <v>27</v>
      </c>
      <c r="AI26">
        <v>13122</v>
      </c>
      <c r="AJ26">
        <v>9</v>
      </c>
      <c r="AK26">
        <v>4374</v>
      </c>
      <c r="AL26">
        <v>6</v>
      </c>
      <c r="AM26">
        <v>2916</v>
      </c>
      <c r="AN26">
        <v>8</v>
      </c>
      <c r="AO26">
        <v>3888</v>
      </c>
      <c r="AP26">
        <v>9</v>
      </c>
      <c r="AQ26">
        <v>4374</v>
      </c>
      <c r="AR26">
        <v>85</v>
      </c>
      <c r="AS26">
        <v>41310</v>
      </c>
      <c r="AT26">
        <v>112</v>
      </c>
      <c r="AU26">
        <v>54432</v>
      </c>
      <c r="AV26">
        <v>127</v>
      </c>
      <c r="AW26">
        <v>61722</v>
      </c>
      <c r="AX26">
        <v>133</v>
      </c>
      <c r="AY26">
        <v>64638</v>
      </c>
      <c r="AZ26">
        <v>86</v>
      </c>
      <c r="BA26">
        <v>41796</v>
      </c>
      <c r="BB26">
        <v>83</v>
      </c>
      <c r="BC26">
        <v>40338</v>
      </c>
      <c r="BD26">
        <v>103.92356148198094</v>
      </c>
      <c r="BE26">
        <v>50506.850880242739</v>
      </c>
      <c r="BF26">
        <v>97</v>
      </c>
      <c r="BG26">
        <v>47142</v>
      </c>
      <c r="BH26">
        <v>134</v>
      </c>
      <c r="BI26">
        <v>65124</v>
      </c>
      <c r="BJ26">
        <v>72</v>
      </c>
      <c r="BK26">
        <v>34992</v>
      </c>
      <c r="BL26">
        <v>125.80325290642142</v>
      </c>
      <c r="BM26">
        <v>61140.380912520814</v>
      </c>
      <c r="BN26">
        <v>134</v>
      </c>
      <c r="BO26">
        <v>65124</v>
      </c>
      <c r="BP26">
        <v>62</v>
      </c>
      <c r="BQ26">
        <v>30132</v>
      </c>
      <c r="BR26">
        <v>80</v>
      </c>
      <c r="BS26">
        <v>38880</v>
      </c>
      <c r="BT26">
        <v>63</v>
      </c>
      <c r="BU26">
        <v>30618</v>
      </c>
      <c r="BV26">
        <v>98</v>
      </c>
      <c r="BW26">
        <v>47628</v>
      </c>
      <c r="BX26">
        <v>10</v>
      </c>
      <c r="BY26">
        <v>4860</v>
      </c>
      <c r="BZ26">
        <v>13</v>
      </c>
      <c r="CA26">
        <v>6318</v>
      </c>
      <c r="CB26">
        <v>13</v>
      </c>
      <c r="CC26">
        <v>6318</v>
      </c>
      <c r="CD26">
        <v>11</v>
      </c>
      <c r="CE26">
        <v>5346</v>
      </c>
      <c r="CF26">
        <v>21</v>
      </c>
      <c r="CG26">
        <v>10206</v>
      </c>
      <c r="CH26">
        <v>24</v>
      </c>
      <c r="CI26">
        <v>11664</v>
      </c>
      <c r="CJ26">
        <v>20</v>
      </c>
      <c r="CK26">
        <v>9720</v>
      </c>
      <c r="CL26">
        <v>19</v>
      </c>
      <c r="CM26">
        <v>9234</v>
      </c>
      <c r="CN26">
        <v>36.622108964504648</v>
      </c>
      <c r="CO26">
        <v>17798.344956749257</v>
      </c>
      <c r="CP26">
        <v>34.933931995453136</v>
      </c>
      <c r="CQ26">
        <v>16977.890949790224</v>
      </c>
      <c r="CR26">
        <v>35.181751753647866</v>
      </c>
      <c r="CS26">
        <v>17098.331352272864</v>
      </c>
      <c r="CT26">
        <v>27.870657164002683</v>
      </c>
      <c r="CU26">
        <v>13545.139381705303</v>
      </c>
    </row>
    <row r="27" spans="2:99" x14ac:dyDescent="0.2">
      <c r="C27" s="105" t="s">
        <v>193</v>
      </c>
      <c r="D27">
        <v>14</v>
      </c>
      <c r="E27">
        <v>5980.8</v>
      </c>
      <c r="F27">
        <v>13</v>
      </c>
      <c r="G27">
        <v>5553.5999999999995</v>
      </c>
      <c r="H27">
        <v>17</v>
      </c>
      <c r="I27">
        <v>7262.4</v>
      </c>
      <c r="J27">
        <v>21</v>
      </c>
      <c r="K27">
        <v>8971.1999999999989</v>
      </c>
      <c r="L27">
        <v>34</v>
      </c>
      <c r="M27">
        <v>14524.8</v>
      </c>
      <c r="N27">
        <v>52</v>
      </c>
      <c r="O27">
        <v>22214.399999999998</v>
      </c>
      <c r="P27">
        <v>48</v>
      </c>
      <c r="Q27">
        <v>20505.599999999999</v>
      </c>
      <c r="R27">
        <v>56</v>
      </c>
      <c r="S27">
        <v>23923.200000000001</v>
      </c>
      <c r="T27">
        <v>10</v>
      </c>
      <c r="U27">
        <v>4272</v>
      </c>
      <c r="V27">
        <v>6</v>
      </c>
      <c r="W27">
        <v>2563.1999999999998</v>
      </c>
      <c r="X27">
        <v>11</v>
      </c>
      <c r="Y27">
        <v>4699.2</v>
      </c>
      <c r="Z27">
        <v>8</v>
      </c>
      <c r="AA27">
        <v>3417.6</v>
      </c>
      <c r="AB27">
        <v>28</v>
      </c>
      <c r="AC27">
        <v>11961.6</v>
      </c>
      <c r="AD27">
        <v>34</v>
      </c>
      <c r="AE27">
        <v>14524.8</v>
      </c>
      <c r="AF27">
        <v>19</v>
      </c>
      <c r="AG27">
        <v>8116.8</v>
      </c>
      <c r="AH27">
        <v>30</v>
      </c>
      <c r="AI27">
        <v>12816</v>
      </c>
      <c r="AJ27">
        <v>10</v>
      </c>
      <c r="AK27">
        <v>4272</v>
      </c>
      <c r="AL27">
        <v>6</v>
      </c>
      <c r="AM27">
        <v>2563.1999999999998</v>
      </c>
      <c r="AN27">
        <v>9</v>
      </c>
      <c r="AO27">
        <v>3844.7999999999997</v>
      </c>
      <c r="AP27">
        <v>10</v>
      </c>
      <c r="AQ27">
        <v>4272</v>
      </c>
      <c r="AR27">
        <v>79</v>
      </c>
      <c r="AS27">
        <v>33748.799999999996</v>
      </c>
      <c r="AT27">
        <v>108</v>
      </c>
      <c r="AU27">
        <v>46137.599999999999</v>
      </c>
      <c r="AV27">
        <v>114</v>
      </c>
      <c r="AW27">
        <v>48700.799999999996</v>
      </c>
      <c r="AX27">
        <v>137</v>
      </c>
      <c r="AY27">
        <v>58526.400000000001</v>
      </c>
      <c r="AZ27">
        <v>88</v>
      </c>
      <c r="BA27">
        <v>37593.599999999999</v>
      </c>
      <c r="BB27">
        <v>83</v>
      </c>
      <c r="BC27">
        <v>35457.599999999999</v>
      </c>
      <c r="BD27">
        <v>89.902207459276184</v>
      </c>
      <c r="BE27">
        <v>38406.223026602784</v>
      </c>
      <c r="BF27">
        <v>93</v>
      </c>
      <c r="BG27">
        <v>39729.599999999999</v>
      </c>
      <c r="BH27">
        <v>135</v>
      </c>
      <c r="BI27">
        <v>57672</v>
      </c>
      <c r="BJ27">
        <v>83</v>
      </c>
      <c r="BK27">
        <v>35457.599999999999</v>
      </c>
      <c r="BL27">
        <v>119.79826375793432</v>
      </c>
      <c r="BM27">
        <v>51177.818277389539</v>
      </c>
      <c r="BN27">
        <v>145</v>
      </c>
      <c r="BO27">
        <v>61944</v>
      </c>
      <c r="BP27">
        <v>66</v>
      </c>
      <c r="BQ27">
        <v>28195.200000000001</v>
      </c>
      <c r="BR27">
        <v>83</v>
      </c>
      <c r="BS27">
        <v>35457.599999999999</v>
      </c>
      <c r="BT27">
        <v>71</v>
      </c>
      <c r="BU27">
        <v>30331.200000000001</v>
      </c>
      <c r="BV27">
        <v>91</v>
      </c>
      <c r="BW27">
        <v>38875.199999999997</v>
      </c>
      <c r="BX27">
        <v>9</v>
      </c>
      <c r="BY27">
        <v>3844.7999999999997</v>
      </c>
      <c r="BZ27">
        <v>12</v>
      </c>
      <c r="CA27">
        <v>5126.3999999999996</v>
      </c>
      <c r="CB27">
        <v>12</v>
      </c>
      <c r="CC27">
        <v>5126.3999999999996</v>
      </c>
      <c r="CD27">
        <v>11</v>
      </c>
      <c r="CE27">
        <v>4699.2</v>
      </c>
      <c r="CF27">
        <v>23</v>
      </c>
      <c r="CG27">
        <v>9825.6</v>
      </c>
      <c r="CH27">
        <v>24</v>
      </c>
      <c r="CI27">
        <v>10252.799999999999</v>
      </c>
      <c r="CJ27">
        <v>20</v>
      </c>
      <c r="CK27">
        <v>8544</v>
      </c>
      <c r="CL27">
        <v>20</v>
      </c>
      <c r="CM27">
        <v>8544</v>
      </c>
      <c r="CN27">
        <v>40.552985746226348</v>
      </c>
      <c r="CO27">
        <v>17324.235510787894</v>
      </c>
      <c r="CP27">
        <v>35.867222567206483</v>
      </c>
      <c r="CQ27">
        <v>15322.47748071061</v>
      </c>
      <c r="CR27">
        <v>33.164442062824257</v>
      </c>
      <c r="CS27">
        <v>14167.849649238522</v>
      </c>
      <c r="CT27">
        <v>23.916481225265983</v>
      </c>
      <c r="CU27">
        <v>10217.120779433628</v>
      </c>
    </row>
    <row r="28" spans="2:99" x14ac:dyDescent="0.2">
      <c r="C28" s="105" t="s">
        <v>194</v>
      </c>
      <c r="D28">
        <v>12</v>
      </c>
      <c r="E28">
        <v>8856</v>
      </c>
      <c r="F28">
        <v>14</v>
      </c>
      <c r="G28">
        <v>10332</v>
      </c>
      <c r="H28">
        <v>17</v>
      </c>
      <c r="I28">
        <v>12546</v>
      </c>
      <c r="J28">
        <v>20</v>
      </c>
      <c r="K28">
        <v>14760</v>
      </c>
      <c r="L28">
        <v>28</v>
      </c>
      <c r="M28">
        <v>20664</v>
      </c>
      <c r="N28">
        <v>44</v>
      </c>
      <c r="O28">
        <v>32472</v>
      </c>
      <c r="P28">
        <v>51</v>
      </c>
      <c r="Q28">
        <v>37638</v>
      </c>
      <c r="R28">
        <v>56</v>
      </c>
      <c r="S28">
        <v>41328</v>
      </c>
      <c r="T28">
        <v>12</v>
      </c>
      <c r="U28">
        <v>8856</v>
      </c>
      <c r="V28">
        <v>7</v>
      </c>
      <c r="W28">
        <v>5166</v>
      </c>
      <c r="X28">
        <v>10</v>
      </c>
      <c r="Y28">
        <v>7380</v>
      </c>
      <c r="Z28">
        <v>9</v>
      </c>
      <c r="AA28">
        <v>6642</v>
      </c>
      <c r="AB28">
        <v>32</v>
      </c>
      <c r="AC28">
        <v>23616</v>
      </c>
      <c r="AD28">
        <v>33</v>
      </c>
      <c r="AE28">
        <v>24354</v>
      </c>
      <c r="AF28">
        <v>19</v>
      </c>
      <c r="AG28">
        <v>14022</v>
      </c>
      <c r="AH28">
        <v>25</v>
      </c>
      <c r="AI28">
        <v>18450</v>
      </c>
      <c r="AJ28">
        <v>11</v>
      </c>
      <c r="AK28">
        <v>8118</v>
      </c>
      <c r="AL28">
        <v>6</v>
      </c>
      <c r="AM28">
        <v>4428</v>
      </c>
      <c r="AN28">
        <v>9</v>
      </c>
      <c r="AO28">
        <v>6642</v>
      </c>
      <c r="AP28">
        <v>8</v>
      </c>
      <c r="AQ28">
        <v>5904</v>
      </c>
      <c r="AR28">
        <v>85</v>
      </c>
      <c r="AS28">
        <v>62730</v>
      </c>
      <c r="AT28">
        <v>108</v>
      </c>
      <c r="AU28">
        <v>79704</v>
      </c>
      <c r="AV28">
        <v>104</v>
      </c>
      <c r="AW28">
        <v>76752</v>
      </c>
      <c r="AX28">
        <v>130</v>
      </c>
      <c r="AY28">
        <v>95940</v>
      </c>
      <c r="AZ28">
        <v>79</v>
      </c>
      <c r="BA28">
        <v>58302</v>
      </c>
      <c r="BB28">
        <v>81</v>
      </c>
      <c r="BC28">
        <v>59778</v>
      </c>
      <c r="BD28">
        <v>87.816791368457132</v>
      </c>
      <c r="BE28">
        <v>64808.792029921366</v>
      </c>
      <c r="BF28">
        <v>90</v>
      </c>
      <c r="BG28">
        <v>66420</v>
      </c>
      <c r="BH28">
        <v>129</v>
      </c>
      <c r="BI28">
        <v>95202</v>
      </c>
      <c r="BJ28">
        <v>78</v>
      </c>
      <c r="BK28">
        <v>57564</v>
      </c>
      <c r="BL28">
        <v>131.88307928221485</v>
      </c>
      <c r="BM28">
        <v>97329.712510274563</v>
      </c>
      <c r="BN28">
        <v>116</v>
      </c>
      <c r="BO28">
        <v>85608</v>
      </c>
      <c r="BP28">
        <v>65</v>
      </c>
      <c r="BQ28">
        <v>47970</v>
      </c>
      <c r="BR28">
        <v>89</v>
      </c>
      <c r="BS28">
        <v>65682</v>
      </c>
      <c r="BT28">
        <v>70</v>
      </c>
      <c r="BU28">
        <v>51660</v>
      </c>
      <c r="BV28">
        <v>95</v>
      </c>
      <c r="BW28">
        <v>70110</v>
      </c>
      <c r="BX28">
        <v>9</v>
      </c>
      <c r="BY28">
        <v>6642</v>
      </c>
      <c r="BZ28">
        <v>13</v>
      </c>
      <c r="CA28">
        <v>9594</v>
      </c>
      <c r="CB28">
        <v>14</v>
      </c>
      <c r="CC28">
        <v>10332</v>
      </c>
      <c r="CD28">
        <v>11</v>
      </c>
      <c r="CE28">
        <v>8118</v>
      </c>
      <c r="CF28">
        <v>20</v>
      </c>
      <c r="CG28">
        <v>14760</v>
      </c>
      <c r="CH28">
        <v>22</v>
      </c>
      <c r="CI28">
        <v>16236</v>
      </c>
      <c r="CJ28">
        <v>19</v>
      </c>
      <c r="CK28">
        <v>14022</v>
      </c>
      <c r="CL28">
        <v>19</v>
      </c>
      <c r="CM28">
        <v>14022</v>
      </c>
      <c r="CN28">
        <v>40.552985746226348</v>
      </c>
      <c r="CO28">
        <v>29928.103480715046</v>
      </c>
      <c r="CP28">
        <v>38.800513138959829</v>
      </c>
      <c r="CQ28">
        <v>28634.778696552356</v>
      </c>
      <c r="CR28">
        <v>31.181751753647866</v>
      </c>
      <c r="CS28">
        <v>23012.132794192126</v>
      </c>
      <c r="CT28">
        <v>26.916481225265983</v>
      </c>
      <c r="CU28">
        <v>19864.363144246294</v>
      </c>
    </row>
    <row r="29" spans="2:99" x14ac:dyDescent="0.2">
      <c r="C29" s="105" t="s">
        <v>195</v>
      </c>
      <c r="D29">
        <v>14</v>
      </c>
      <c r="E29">
        <v>4737.5999999999995</v>
      </c>
      <c r="F29">
        <v>16</v>
      </c>
      <c r="G29">
        <v>5414.4</v>
      </c>
      <c r="H29">
        <v>18</v>
      </c>
      <c r="I29">
        <v>6091.2</v>
      </c>
      <c r="J29">
        <v>19</v>
      </c>
      <c r="K29">
        <v>6429.5999999999995</v>
      </c>
      <c r="L29">
        <v>34</v>
      </c>
      <c r="M29">
        <v>11505.599999999999</v>
      </c>
      <c r="N29">
        <v>46</v>
      </c>
      <c r="O29">
        <v>15566.4</v>
      </c>
      <c r="P29">
        <v>49</v>
      </c>
      <c r="Q29">
        <v>16581.599999999999</v>
      </c>
      <c r="R29">
        <v>63</v>
      </c>
      <c r="S29">
        <v>21319.199999999997</v>
      </c>
      <c r="T29">
        <v>13</v>
      </c>
      <c r="U29">
        <v>4399.2</v>
      </c>
      <c r="V29">
        <v>6</v>
      </c>
      <c r="W29">
        <v>2030.3999999999999</v>
      </c>
      <c r="X29">
        <v>11</v>
      </c>
      <c r="Y29">
        <v>3722.3999999999996</v>
      </c>
      <c r="Z29">
        <v>9</v>
      </c>
      <c r="AA29">
        <v>3045.6</v>
      </c>
      <c r="AB29">
        <v>27</v>
      </c>
      <c r="AC29">
        <v>9136.7999999999993</v>
      </c>
      <c r="AD29">
        <v>34</v>
      </c>
      <c r="AE29">
        <v>11505.599999999999</v>
      </c>
      <c r="AF29">
        <v>19</v>
      </c>
      <c r="AG29">
        <v>6429.5999999999995</v>
      </c>
      <c r="AH29">
        <v>28</v>
      </c>
      <c r="AI29">
        <v>9475.1999999999989</v>
      </c>
      <c r="AJ29">
        <v>9</v>
      </c>
      <c r="AK29">
        <v>3045.6</v>
      </c>
      <c r="AL29">
        <v>7</v>
      </c>
      <c r="AM29">
        <v>2368.7999999999997</v>
      </c>
      <c r="AN29">
        <v>9</v>
      </c>
      <c r="AO29">
        <v>3045.6</v>
      </c>
      <c r="AP29">
        <v>10</v>
      </c>
      <c r="AQ29">
        <v>3384</v>
      </c>
      <c r="AR29">
        <v>85</v>
      </c>
      <c r="AS29">
        <v>28763.999999999996</v>
      </c>
      <c r="AT29">
        <v>116</v>
      </c>
      <c r="AU29">
        <v>39254.399999999994</v>
      </c>
      <c r="AV29">
        <v>127</v>
      </c>
      <c r="AW29">
        <v>42976.799999999996</v>
      </c>
      <c r="AX29">
        <v>145</v>
      </c>
      <c r="AY29">
        <v>49068</v>
      </c>
      <c r="AZ29">
        <v>88</v>
      </c>
      <c r="BA29">
        <v>29779.199999999997</v>
      </c>
      <c r="BB29">
        <v>95</v>
      </c>
      <c r="BC29">
        <v>32147.999999999996</v>
      </c>
      <c r="BD29">
        <v>103.92356148198094</v>
      </c>
      <c r="BE29">
        <v>35167.733205502351</v>
      </c>
      <c r="BF29">
        <v>93</v>
      </c>
      <c r="BG29">
        <v>31471.199999999997</v>
      </c>
      <c r="BH29">
        <v>131</v>
      </c>
      <c r="BI29">
        <v>44330.399999999994</v>
      </c>
      <c r="BJ29">
        <v>81</v>
      </c>
      <c r="BK29">
        <v>27410.399999999998</v>
      </c>
      <c r="BL29">
        <v>123.8581335397794</v>
      </c>
      <c r="BM29">
        <v>41913.592389861347</v>
      </c>
      <c r="BN29">
        <v>127</v>
      </c>
      <c r="BO29">
        <v>42976.799999999996</v>
      </c>
      <c r="BP29">
        <v>70</v>
      </c>
      <c r="BQ29">
        <v>23688</v>
      </c>
      <c r="BR29">
        <v>78</v>
      </c>
      <c r="BS29">
        <v>26395.199999999997</v>
      </c>
      <c r="BT29">
        <v>73</v>
      </c>
      <c r="BU29">
        <v>24703.199999999997</v>
      </c>
      <c r="BV29">
        <v>91</v>
      </c>
      <c r="BW29">
        <v>30794.399999999998</v>
      </c>
      <c r="BX29">
        <v>8</v>
      </c>
      <c r="BY29">
        <v>2707.2</v>
      </c>
      <c r="BZ29">
        <v>13</v>
      </c>
      <c r="CA29">
        <v>4399.2</v>
      </c>
      <c r="CB29">
        <v>14</v>
      </c>
      <c r="CC29">
        <v>4737.5999999999995</v>
      </c>
      <c r="CD29">
        <v>11</v>
      </c>
      <c r="CE29">
        <v>3722.3999999999996</v>
      </c>
      <c r="CF29">
        <v>22</v>
      </c>
      <c r="CG29">
        <v>7444.7999999999993</v>
      </c>
      <c r="CH29">
        <v>23</v>
      </c>
      <c r="CI29">
        <v>7783.2</v>
      </c>
      <c r="CJ29">
        <v>22</v>
      </c>
      <c r="CK29">
        <v>7444.7999999999993</v>
      </c>
      <c r="CL29">
        <v>20</v>
      </c>
      <c r="CM29">
        <v>6768</v>
      </c>
      <c r="CN29">
        <v>40.622108964504648</v>
      </c>
      <c r="CO29">
        <v>13746.521673588371</v>
      </c>
      <c r="CP29">
        <v>41.833867853083156</v>
      </c>
      <c r="CQ29">
        <v>14156.580881483338</v>
      </c>
      <c r="CR29">
        <v>33.164442062824257</v>
      </c>
      <c r="CS29">
        <v>11222.847194059728</v>
      </c>
      <c r="CT29">
        <v>23.916481225265983</v>
      </c>
      <c r="CU29">
        <v>8093.3372466300079</v>
      </c>
    </row>
    <row r="30" spans="2:99" x14ac:dyDescent="0.2">
      <c r="C30" s="105" t="s">
        <v>196</v>
      </c>
      <c r="D30">
        <v>14</v>
      </c>
      <c r="E30">
        <v>1948.7999999999997</v>
      </c>
      <c r="F30">
        <v>15</v>
      </c>
      <c r="G30">
        <v>2088</v>
      </c>
      <c r="H30">
        <v>16</v>
      </c>
      <c r="I30">
        <v>2227.1999999999998</v>
      </c>
      <c r="J30">
        <v>19</v>
      </c>
      <c r="K30">
        <v>2644.7999999999997</v>
      </c>
      <c r="L30">
        <v>30</v>
      </c>
      <c r="M30">
        <v>4176</v>
      </c>
      <c r="N30">
        <v>51</v>
      </c>
      <c r="O30">
        <v>7099.2</v>
      </c>
      <c r="P30">
        <v>48</v>
      </c>
      <c r="Q30">
        <v>6681.5999999999995</v>
      </c>
      <c r="R30">
        <v>59</v>
      </c>
      <c r="S30">
        <v>8212.7999999999993</v>
      </c>
      <c r="T30">
        <v>12</v>
      </c>
      <c r="U30">
        <v>1670.3999999999999</v>
      </c>
      <c r="V30">
        <v>7</v>
      </c>
      <c r="W30">
        <v>974.39999999999986</v>
      </c>
      <c r="X30">
        <v>10</v>
      </c>
      <c r="Y30">
        <v>1392</v>
      </c>
      <c r="Z30">
        <v>10</v>
      </c>
      <c r="AA30">
        <v>1392</v>
      </c>
      <c r="AB30">
        <v>28</v>
      </c>
      <c r="AC30">
        <v>3897.5999999999995</v>
      </c>
      <c r="AD30">
        <v>32</v>
      </c>
      <c r="AE30">
        <v>4454.3999999999996</v>
      </c>
      <c r="AF30">
        <v>20</v>
      </c>
      <c r="AG30">
        <v>2784</v>
      </c>
      <c r="AH30">
        <v>31</v>
      </c>
      <c r="AI30">
        <v>4315.2</v>
      </c>
      <c r="AJ30">
        <v>9</v>
      </c>
      <c r="AK30">
        <v>1252.8</v>
      </c>
      <c r="AL30">
        <v>7</v>
      </c>
      <c r="AM30">
        <v>974.39999999999986</v>
      </c>
      <c r="AN30">
        <v>8</v>
      </c>
      <c r="AO30">
        <v>1113.5999999999999</v>
      </c>
      <c r="AP30">
        <v>9</v>
      </c>
      <c r="AQ30">
        <v>1252.8</v>
      </c>
      <c r="AR30">
        <v>86</v>
      </c>
      <c r="AS30">
        <v>11971.199999999999</v>
      </c>
      <c r="AT30">
        <v>106</v>
      </c>
      <c r="AU30">
        <v>14755.199999999999</v>
      </c>
      <c r="AV30">
        <v>122</v>
      </c>
      <c r="AW30">
        <v>16982.399999999998</v>
      </c>
      <c r="AX30">
        <v>156</v>
      </c>
      <c r="AY30">
        <v>21715.199999999997</v>
      </c>
      <c r="AZ30">
        <v>81</v>
      </c>
      <c r="BA30">
        <v>11275.199999999999</v>
      </c>
      <c r="BB30">
        <v>101</v>
      </c>
      <c r="BC30">
        <v>14059.199999999999</v>
      </c>
      <c r="BD30">
        <v>96.982285044419044</v>
      </c>
      <c r="BE30">
        <v>13499.934078183131</v>
      </c>
      <c r="BF30">
        <v>108</v>
      </c>
      <c r="BG30">
        <v>15033.599999999999</v>
      </c>
      <c r="BH30">
        <v>145</v>
      </c>
      <c r="BI30">
        <v>20184</v>
      </c>
      <c r="BJ30">
        <v>77</v>
      </c>
      <c r="BK30">
        <v>10718.4</v>
      </c>
      <c r="BL30">
        <v>129.87809013372777</v>
      </c>
      <c r="BM30">
        <v>18079.030146614903</v>
      </c>
      <c r="BN30">
        <v>145</v>
      </c>
      <c r="BO30">
        <v>20184</v>
      </c>
      <c r="BP30">
        <v>64</v>
      </c>
      <c r="BQ30">
        <v>8908.7999999999993</v>
      </c>
      <c r="BR30">
        <v>90</v>
      </c>
      <c r="BS30">
        <v>12527.999999999998</v>
      </c>
      <c r="BT30">
        <v>69</v>
      </c>
      <c r="BU30">
        <v>9604.7999999999993</v>
      </c>
      <c r="BV30">
        <v>104</v>
      </c>
      <c r="BW30">
        <v>14476.8</v>
      </c>
      <c r="BX30">
        <v>10</v>
      </c>
      <c r="BY30">
        <v>1392</v>
      </c>
      <c r="BZ30">
        <v>13</v>
      </c>
      <c r="CA30">
        <v>1809.6</v>
      </c>
      <c r="CB30">
        <v>14</v>
      </c>
      <c r="CC30">
        <v>1948.7999999999997</v>
      </c>
      <c r="CD30">
        <v>11</v>
      </c>
      <c r="CE30">
        <v>1531.1999999999998</v>
      </c>
      <c r="CF30">
        <v>19</v>
      </c>
      <c r="CG30">
        <v>2644.7999999999997</v>
      </c>
      <c r="CH30">
        <v>23</v>
      </c>
      <c r="CI30">
        <v>3201.6</v>
      </c>
      <c r="CJ30">
        <v>22</v>
      </c>
      <c r="CK30">
        <v>3062.3999999999996</v>
      </c>
      <c r="CL30">
        <v>19</v>
      </c>
      <c r="CM30">
        <v>2644.7999999999997</v>
      </c>
      <c r="CN30">
        <v>42.587547355365501</v>
      </c>
      <c r="CO30">
        <v>5928.1865918668773</v>
      </c>
      <c r="CP30">
        <v>38.900577281329809</v>
      </c>
      <c r="CQ30">
        <v>5414.960357561109</v>
      </c>
      <c r="CR30">
        <v>39.164442062824257</v>
      </c>
      <c r="CS30">
        <v>5451.6903351451365</v>
      </c>
      <c r="CT30">
        <v>26.916481225265983</v>
      </c>
      <c r="CU30">
        <v>3746.7741865570247</v>
      </c>
    </row>
    <row r="31" spans="2:99" x14ac:dyDescent="0.2">
      <c r="C31" s="105" t="s">
        <v>197</v>
      </c>
      <c r="D31">
        <v>12</v>
      </c>
      <c r="E31">
        <v>4089.6000000000004</v>
      </c>
      <c r="F31">
        <v>14</v>
      </c>
      <c r="G31">
        <v>4771.2</v>
      </c>
      <c r="H31">
        <v>17</v>
      </c>
      <c r="I31">
        <v>5793.6</v>
      </c>
      <c r="J31">
        <v>20</v>
      </c>
      <c r="K31">
        <v>6816</v>
      </c>
      <c r="L31">
        <v>32</v>
      </c>
      <c r="M31">
        <v>10905.6</v>
      </c>
      <c r="N31">
        <v>51</v>
      </c>
      <c r="O31">
        <v>17380.8</v>
      </c>
      <c r="P31">
        <v>51</v>
      </c>
      <c r="Q31">
        <v>17380.8</v>
      </c>
      <c r="R31">
        <v>54</v>
      </c>
      <c r="S31">
        <v>18403.2</v>
      </c>
      <c r="T31">
        <v>11</v>
      </c>
      <c r="U31">
        <v>3748.8</v>
      </c>
      <c r="V31">
        <v>7</v>
      </c>
      <c r="W31">
        <v>2385.6</v>
      </c>
      <c r="X31">
        <v>12</v>
      </c>
      <c r="Y31">
        <v>4089.6000000000004</v>
      </c>
      <c r="Z31">
        <v>9</v>
      </c>
      <c r="AA31">
        <v>3067.2000000000003</v>
      </c>
      <c r="AB31">
        <v>29</v>
      </c>
      <c r="AC31">
        <v>9883.2000000000007</v>
      </c>
      <c r="AD31">
        <v>34</v>
      </c>
      <c r="AE31">
        <v>11587.2</v>
      </c>
      <c r="AF31">
        <v>19</v>
      </c>
      <c r="AG31">
        <v>6475.2</v>
      </c>
      <c r="AH31">
        <v>29</v>
      </c>
      <c r="AI31">
        <v>9883.2000000000007</v>
      </c>
      <c r="AJ31">
        <v>9</v>
      </c>
      <c r="AK31">
        <v>3067.2000000000003</v>
      </c>
      <c r="AL31">
        <v>6</v>
      </c>
      <c r="AM31">
        <v>2044.8000000000002</v>
      </c>
      <c r="AN31">
        <v>8</v>
      </c>
      <c r="AO31">
        <v>2726.4</v>
      </c>
      <c r="AP31">
        <v>10</v>
      </c>
      <c r="AQ31">
        <v>3408</v>
      </c>
      <c r="AR31">
        <v>97</v>
      </c>
      <c r="AS31">
        <v>33057.599999999999</v>
      </c>
      <c r="AT31">
        <v>111</v>
      </c>
      <c r="AU31">
        <v>37828.800000000003</v>
      </c>
      <c r="AV31">
        <v>130</v>
      </c>
      <c r="AW31">
        <v>44304</v>
      </c>
      <c r="AX31">
        <v>154</v>
      </c>
      <c r="AY31">
        <v>52483.200000000004</v>
      </c>
      <c r="AZ31">
        <v>87</v>
      </c>
      <c r="BA31">
        <v>29649.600000000002</v>
      </c>
      <c r="BB31">
        <v>95</v>
      </c>
      <c r="BC31">
        <v>32376</v>
      </c>
      <c r="BD31">
        <v>95.859499413866658</v>
      </c>
      <c r="BE31">
        <v>32668.917400245758</v>
      </c>
      <c r="BF31">
        <v>92</v>
      </c>
      <c r="BG31">
        <v>31353.600000000002</v>
      </c>
      <c r="BH31">
        <v>143</v>
      </c>
      <c r="BI31">
        <v>48734.400000000001</v>
      </c>
      <c r="BJ31">
        <v>80</v>
      </c>
      <c r="BK31">
        <v>27264</v>
      </c>
      <c r="BL31">
        <v>119.91800332162448</v>
      </c>
      <c r="BM31">
        <v>40868.055532009625</v>
      </c>
      <c r="BN31">
        <v>139</v>
      </c>
      <c r="BO31">
        <v>47371.200000000004</v>
      </c>
      <c r="BP31">
        <v>60</v>
      </c>
      <c r="BQ31">
        <v>20448</v>
      </c>
      <c r="BR31">
        <v>95</v>
      </c>
      <c r="BS31">
        <v>32376</v>
      </c>
      <c r="BT31">
        <v>70</v>
      </c>
      <c r="BU31">
        <v>23856</v>
      </c>
      <c r="BV31">
        <v>93</v>
      </c>
      <c r="BW31">
        <v>31694.400000000001</v>
      </c>
      <c r="BX31">
        <v>10</v>
      </c>
      <c r="BY31">
        <v>3408</v>
      </c>
      <c r="BZ31">
        <v>13</v>
      </c>
      <c r="CA31">
        <v>4430.4000000000005</v>
      </c>
      <c r="CB31">
        <v>14</v>
      </c>
      <c r="CC31">
        <v>4771.2</v>
      </c>
      <c r="CD31">
        <v>10</v>
      </c>
      <c r="CE31">
        <v>3408</v>
      </c>
      <c r="CF31">
        <v>23</v>
      </c>
      <c r="CG31">
        <v>7838.4000000000005</v>
      </c>
      <c r="CH31">
        <v>26</v>
      </c>
      <c r="CI31">
        <v>8860.8000000000011</v>
      </c>
      <c r="CJ31">
        <v>22</v>
      </c>
      <c r="CK31">
        <v>7497.6</v>
      </c>
      <c r="CL31">
        <v>20</v>
      </c>
      <c r="CM31">
        <v>6816</v>
      </c>
      <c r="CN31">
        <v>41.552985746226348</v>
      </c>
      <c r="CO31">
        <v>14161.257542313941</v>
      </c>
      <c r="CP31">
        <v>40.900577281329809</v>
      </c>
      <c r="CQ31">
        <v>13938.916737477199</v>
      </c>
      <c r="CR31">
        <v>34.164442062824257</v>
      </c>
      <c r="CS31">
        <v>11643.241855010507</v>
      </c>
      <c r="CT31">
        <v>27.053953409055879</v>
      </c>
      <c r="CU31">
        <v>9219.9873218062439</v>
      </c>
    </row>
    <row r="32" spans="2:99" x14ac:dyDescent="0.2">
      <c r="C32" s="105" t="s">
        <v>198</v>
      </c>
      <c r="D32">
        <v>13</v>
      </c>
      <c r="E32">
        <v>10920</v>
      </c>
      <c r="F32">
        <v>14</v>
      </c>
      <c r="G32">
        <v>11760</v>
      </c>
      <c r="H32">
        <v>16</v>
      </c>
      <c r="I32">
        <v>13440</v>
      </c>
      <c r="J32">
        <v>19</v>
      </c>
      <c r="K32">
        <v>15960</v>
      </c>
      <c r="L32">
        <v>28</v>
      </c>
      <c r="M32">
        <v>23520</v>
      </c>
      <c r="N32">
        <v>43</v>
      </c>
      <c r="O32">
        <v>36120</v>
      </c>
      <c r="P32">
        <v>47</v>
      </c>
      <c r="Q32">
        <v>39480</v>
      </c>
      <c r="R32">
        <v>56</v>
      </c>
      <c r="S32">
        <v>47040</v>
      </c>
      <c r="T32">
        <v>12</v>
      </c>
      <c r="U32">
        <v>10080</v>
      </c>
      <c r="V32">
        <v>7</v>
      </c>
      <c r="W32">
        <v>5880</v>
      </c>
      <c r="X32">
        <v>11</v>
      </c>
      <c r="Y32">
        <v>9240</v>
      </c>
      <c r="Z32">
        <v>9</v>
      </c>
      <c r="AA32">
        <v>7560</v>
      </c>
      <c r="AB32">
        <v>29</v>
      </c>
      <c r="AC32">
        <v>24360</v>
      </c>
      <c r="AD32">
        <v>32</v>
      </c>
      <c r="AE32">
        <v>26880</v>
      </c>
      <c r="AF32">
        <v>16</v>
      </c>
      <c r="AG32">
        <v>13440</v>
      </c>
      <c r="AH32">
        <v>27</v>
      </c>
      <c r="AI32">
        <v>22680</v>
      </c>
      <c r="AJ32">
        <v>9</v>
      </c>
      <c r="AK32">
        <v>7560</v>
      </c>
      <c r="AL32">
        <v>6</v>
      </c>
      <c r="AM32">
        <v>5040</v>
      </c>
      <c r="AN32">
        <v>8</v>
      </c>
      <c r="AO32">
        <v>6720</v>
      </c>
      <c r="AP32">
        <v>9</v>
      </c>
      <c r="AQ32">
        <v>7560</v>
      </c>
      <c r="AR32">
        <v>85</v>
      </c>
      <c r="AS32">
        <v>71400</v>
      </c>
      <c r="AT32">
        <v>101</v>
      </c>
      <c r="AU32">
        <v>84840</v>
      </c>
      <c r="AV32">
        <v>111</v>
      </c>
      <c r="AW32">
        <v>93240</v>
      </c>
      <c r="AX32">
        <v>129</v>
      </c>
      <c r="AY32">
        <v>108360</v>
      </c>
      <c r="AZ32">
        <v>80</v>
      </c>
      <c r="BA32">
        <v>67200</v>
      </c>
      <c r="BB32">
        <v>86</v>
      </c>
      <c r="BC32">
        <v>72240</v>
      </c>
      <c r="BD32">
        <v>96.784760334399991</v>
      </c>
      <c r="BE32">
        <v>81299.198680895992</v>
      </c>
      <c r="BF32">
        <v>87</v>
      </c>
      <c r="BG32">
        <v>73080</v>
      </c>
      <c r="BH32">
        <v>132</v>
      </c>
      <c r="BI32">
        <v>110880</v>
      </c>
      <c r="BJ32">
        <v>72</v>
      </c>
      <c r="BK32">
        <v>60480</v>
      </c>
      <c r="BL32">
        <v>110.88806843070194</v>
      </c>
      <c r="BM32">
        <v>93145.977481789625</v>
      </c>
      <c r="BN32">
        <v>125</v>
      </c>
      <c r="BO32">
        <v>105000</v>
      </c>
      <c r="BP32">
        <v>59</v>
      </c>
      <c r="BQ32">
        <v>49560</v>
      </c>
      <c r="BR32">
        <v>86</v>
      </c>
      <c r="BS32">
        <v>72240</v>
      </c>
      <c r="BT32">
        <v>61</v>
      </c>
      <c r="BU32">
        <v>51240</v>
      </c>
      <c r="BV32">
        <v>79</v>
      </c>
      <c r="BW32">
        <v>66360</v>
      </c>
      <c r="BX32">
        <v>9</v>
      </c>
      <c r="BY32">
        <v>7560</v>
      </c>
      <c r="BZ32">
        <v>12</v>
      </c>
      <c r="CA32">
        <v>10080</v>
      </c>
      <c r="CB32">
        <v>12</v>
      </c>
      <c r="CC32">
        <v>10080</v>
      </c>
      <c r="CD32">
        <v>11</v>
      </c>
      <c r="CE32">
        <v>9240</v>
      </c>
      <c r="CF32">
        <v>20</v>
      </c>
      <c r="CG32">
        <v>16800</v>
      </c>
      <c r="CH32">
        <v>24</v>
      </c>
      <c r="CI32">
        <v>20160</v>
      </c>
      <c r="CJ32">
        <v>19</v>
      </c>
      <c r="CK32">
        <v>15960</v>
      </c>
      <c r="CL32">
        <v>18</v>
      </c>
      <c r="CM32">
        <v>15120</v>
      </c>
      <c r="CN32">
        <v>36.622108964504648</v>
      </c>
      <c r="CO32">
        <v>30762.571530183905</v>
      </c>
      <c r="CP32">
        <v>34.867222567206483</v>
      </c>
      <c r="CQ32">
        <v>29288.466956453445</v>
      </c>
      <c r="CR32">
        <v>32.181751753647866</v>
      </c>
      <c r="CS32">
        <v>27032.671473064209</v>
      </c>
      <c r="CT32">
        <v>25.916481225265983</v>
      </c>
      <c r="CU32">
        <v>21769.844229223425</v>
      </c>
    </row>
    <row r="33" spans="2:99" x14ac:dyDescent="0.2">
      <c r="C33" s="105" t="s">
        <v>199</v>
      </c>
      <c r="D33">
        <v>12</v>
      </c>
      <c r="E33">
        <v>5688</v>
      </c>
      <c r="F33">
        <v>15</v>
      </c>
      <c r="G33">
        <v>7110</v>
      </c>
      <c r="H33">
        <v>18</v>
      </c>
      <c r="I33">
        <v>8532</v>
      </c>
      <c r="J33">
        <v>20</v>
      </c>
      <c r="K33">
        <v>9480</v>
      </c>
      <c r="L33">
        <v>29</v>
      </c>
      <c r="M33">
        <v>13746</v>
      </c>
      <c r="N33">
        <v>50</v>
      </c>
      <c r="O33">
        <v>23700</v>
      </c>
      <c r="P33">
        <v>54</v>
      </c>
      <c r="Q33">
        <v>25596</v>
      </c>
      <c r="R33">
        <v>57</v>
      </c>
      <c r="S33">
        <v>27018</v>
      </c>
      <c r="T33">
        <v>11</v>
      </c>
      <c r="U33">
        <v>5214</v>
      </c>
      <c r="V33">
        <v>7</v>
      </c>
      <c r="W33">
        <v>3318</v>
      </c>
      <c r="X33">
        <v>11</v>
      </c>
      <c r="Y33">
        <v>5214</v>
      </c>
      <c r="Z33">
        <v>9</v>
      </c>
      <c r="AA33">
        <v>4266</v>
      </c>
      <c r="AB33">
        <v>27</v>
      </c>
      <c r="AC33">
        <v>12798</v>
      </c>
      <c r="AD33">
        <v>34</v>
      </c>
      <c r="AE33">
        <v>16116</v>
      </c>
      <c r="AF33">
        <v>17</v>
      </c>
      <c r="AG33">
        <v>8058</v>
      </c>
      <c r="AH33">
        <v>28</v>
      </c>
      <c r="AI33">
        <v>13272</v>
      </c>
      <c r="AJ33">
        <v>9</v>
      </c>
      <c r="AK33">
        <v>4266</v>
      </c>
      <c r="AL33">
        <v>7</v>
      </c>
      <c r="AM33">
        <v>3318</v>
      </c>
      <c r="AN33">
        <v>8</v>
      </c>
      <c r="AO33">
        <v>3792</v>
      </c>
      <c r="AP33">
        <v>9</v>
      </c>
      <c r="AQ33">
        <v>4266</v>
      </c>
      <c r="AR33">
        <v>91</v>
      </c>
      <c r="AS33">
        <v>43134</v>
      </c>
      <c r="AT33">
        <v>106</v>
      </c>
      <c r="AU33">
        <v>50244</v>
      </c>
      <c r="AV33">
        <v>113</v>
      </c>
      <c r="AW33">
        <v>53562</v>
      </c>
      <c r="AX33">
        <v>129</v>
      </c>
      <c r="AY33">
        <v>61146</v>
      </c>
      <c r="AZ33">
        <v>75</v>
      </c>
      <c r="BA33">
        <v>35550</v>
      </c>
      <c r="BB33">
        <v>87</v>
      </c>
      <c r="BC33">
        <v>41238</v>
      </c>
      <c r="BD33">
        <v>95.859499413866658</v>
      </c>
      <c r="BE33">
        <v>45437.402722172796</v>
      </c>
      <c r="BF33">
        <v>85</v>
      </c>
      <c r="BG33">
        <v>40290</v>
      </c>
      <c r="BH33">
        <v>131</v>
      </c>
      <c r="BI33">
        <v>62094</v>
      </c>
      <c r="BJ33">
        <v>76</v>
      </c>
      <c r="BK33">
        <v>36024</v>
      </c>
      <c r="BL33">
        <v>138.86811183675357</v>
      </c>
      <c r="BM33">
        <v>65823.485010621196</v>
      </c>
      <c r="BN33">
        <v>131</v>
      </c>
      <c r="BO33">
        <v>62094</v>
      </c>
      <c r="BP33">
        <v>65</v>
      </c>
      <c r="BQ33">
        <v>30810</v>
      </c>
      <c r="BR33">
        <v>81</v>
      </c>
      <c r="BS33">
        <v>38394</v>
      </c>
      <c r="BT33">
        <v>64</v>
      </c>
      <c r="BU33">
        <v>30336</v>
      </c>
      <c r="BV33">
        <v>87</v>
      </c>
      <c r="BW33">
        <v>41238</v>
      </c>
      <c r="BX33">
        <v>9</v>
      </c>
      <c r="BY33">
        <v>4266</v>
      </c>
      <c r="BZ33">
        <v>11</v>
      </c>
      <c r="CA33">
        <v>5214</v>
      </c>
      <c r="CB33">
        <v>13</v>
      </c>
      <c r="CC33">
        <v>6162</v>
      </c>
      <c r="CD33">
        <v>10</v>
      </c>
      <c r="CE33">
        <v>4740</v>
      </c>
      <c r="CF33">
        <v>22</v>
      </c>
      <c r="CG33">
        <v>10428</v>
      </c>
      <c r="CH33">
        <v>25</v>
      </c>
      <c r="CI33">
        <v>11850</v>
      </c>
      <c r="CJ33">
        <v>23</v>
      </c>
      <c r="CK33">
        <v>10902</v>
      </c>
      <c r="CL33">
        <v>18</v>
      </c>
      <c r="CM33">
        <v>8532</v>
      </c>
      <c r="CN33">
        <v>42.552985746226348</v>
      </c>
      <c r="CO33">
        <v>20170.115243711291</v>
      </c>
      <c r="CP33">
        <v>34.933931995453136</v>
      </c>
      <c r="CQ33">
        <v>16558.683765844788</v>
      </c>
      <c r="CR33">
        <v>38.164442062824257</v>
      </c>
      <c r="CS33">
        <v>18089.945537778698</v>
      </c>
      <c r="CT33">
        <v>26.962305286529279</v>
      </c>
      <c r="CU33">
        <v>12780.132705814878</v>
      </c>
    </row>
    <row r="34" spans="2:99" x14ac:dyDescent="0.2">
      <c r="C34" s="105" t="s">
        <v>200</v>
      </c>
      <c r="D34">
        <v>14</v>
      </c>
      <c r="E34">
        <v>7677.5999999999995</v>
      </c>
      <c r="F34">
        <v>13</v>
      </c>
      <c r="G34">
        <v>7129.2</v>
      </c>
      <c r="H34">
        <v>16</v>
      </c>
      <c r="I34">
        <v>8774.4</v>
      </c>
      <c r="J34">
        <v>19</v>
      </c>
      <c r="K34">
        <v>10419.6</v>
      </c>
      <c r="L34">
        <v>34</v>
      </c>
      <c r="M34">
        <v>18645.599999999999</v>
      </c>
      <c r="N34">
        <v>49</v>
      </c>
      <c r="O34">
        <v>26871.599999999999</v>
      </c>
      <c r="P34">
        <v>47</v>
      </c>
      <c r="Q34">
        <v>25774.799999999999</v>
      </c>
      <c r="R34">
        <v>55</v>
      </c>
      <c r="S34">
        <v>30162</v>
      </c>
      <c r="T34">
        <v>12</v>
      </c>
      <c r="U34">
        <v>6580.7999999999993</v>
      </c>
      <c r="V34">
        <v>7</v>
      </c>
      <c r="W34">
        <v>3838.7999999999997</v>
      </c>
      <c r="X34">
        <v>11</v>
      </c>
      <c r="Y34">
        <v>6032.4</v>
      </c>
      <c r="Z34">
        <v>8</v>
      </c>
      <c r="AA34">
        <v>4387.2</v>
      </c>
      <c r="AB34">
        <v>29</v>
      </c>
      <c r="AC34">
        <v>15903.599999999999</v>
      </c>
      <c r="AD34">
        <v>34</v>
      </c>
      <c r="AE34">
        <v>18645.599999999999</v>
      </c>
      <c r="AF34">
        <v>17</v>
      </c>
      <c r="AG34">
        <v>9322.7999999999993</v>
      </c>
      <c r="AH34">
        <v>25</v>
      </c>
      <c r="AI34">
        <v>13710</v>
      </c>
      <c r="AJ34">
        <v>9</v>
      </c>
      <c r="AK34">
        <v>4935.5999999999995</v>
      </c>
      <c r="AL34">
        <v>6</v>
      </c>
      <c r="AM34">
        <v>3290.3999999999996</v>
      </c>
      <c r="AN34">
        <v>9</v>
      </c>
      <c r="AO34">
        <v>4935.5999999999995</v>
      </c>
      <c r="AP34">
        <v>8</v>
      </c>
      <c r="AQ34">
        <v>4387.2</v>
      </c>
      <c r="AR34">
        <v>90</v>
      </c>
      <c r="AS34">
        <v>49356</v>
      </c>
      <c r="AT34">
        <v>99</v>
      </c>
      <c r="AU34">
        <v>54291.6</v>
      </c>
      <c r="AV34">
        <v>115</v>
      </c>
      <c r="AW34">
        <v>63066</v>
      </c>
      <c r="AX34">
        <v>129</v>
      </c>
      <c r="AY34">
        <v>70743.599999999991</v>
      </c>
      <c r="AZ34">
        <v>76</v>
      </c>
      <c r="BA34">
        <v>41678.400000000001</v>
      </c>
      <c r="BB34">
        <v>93</v>
      </c>
      <c r="BC34">
        <v>51001.2</v>
      </c>
      <c r="BD34">
        <v>86.816791368457132</v>
      </c>
      <c r="BE34">
        <v>47610.328386461886</v>
      </c>
      <c r="BF34">
        <v>84</v>
      </c>
      <c r="BG34">
        <v>46065.599999999999</v>
      </c>
      <c r="BH34">
        <v>127</v>
      </c>
      <c r="BI34">
        <v>69646.8</v>
      </c>
      <c r="BJ34">
        <v>74</v>
      </c>
      <c r="BK34">
        <v>40581.599999999999</v>
      </c>
      <c r="BL34">
        <v>114.91301417313738</v>
      </c>
      <c r="BM34">
        <v>63018.296972548538</v>
      </c>
      <c r="BN34">
        <v>124</v>
      </c>
      <c r="BO34">
        <v>68001.599999999991</v>
      </c>
      <c r="BP34">
        <v>69</v>
      </c>
      <c r="BQ34">
        <v>37839.599999999999</v>
      </c>
      <c r="BR34">
        <v>91</v>
      </c>
      <c r="BS34">
        <v>49904.4</v>
      </c>
      <c r="BT34">
        <v>75</v>
      </c>
      <c r="BU34">
        <v>41130</v>
      </c>
      <c r="BV34">
        <v>82</v>
      </c>
      <c r="BW34">
        <v>44968.799999999996</v>
      </c>
      <c r="BX34">
        <v>9</v>
      </c>
      <c r="BY34">
        <v>4935.5999999999995</v>
      </c>
      <c r="BZ34">
        <v>14</v>
      </c>
      <c r="CA34">
        <v>7677.5999999999995</v>
      </c>
      <c r="CB34">
        <v>13</v>
      </c>
      <c r="CC34">
        <v>7129.2</v>
      </c>
      <c r="CD34">
        <v>10</v>
      </c>
      <c r="CE34">
        <v>5484</v>
      </c>
      <c r="CF34">
        <v>20</v>
      </c>
      <c r="CG34">
        <v>10968</v>
      </c>
      <c r="CH34">
        <v>21</v>
      </c>
      <c r="CI34">
        <v>11516.4</v>
      </c>
      <c r="CJ34">
        <v>22</v>
      </c>
      <c r="CK34">
        <v>12064.8</v>
      </c>
      <c r="CL34">
        <v>19</v>
      </c>
      <c r="CM34">
        <v>10419.6</v>
      </c>
      <c r="CN34">
        <v>40.587547355365501</v>
      </c>
      <c r="CO34">
        <v>22258.210969682441</v>
      </c>
      <c r="CP34">
        <v>38.00064142369979</v>
      </c>
      <c r="CQ34">
        <v>20839.551756756962</v>
      </c>
      <c r="CR34">
        <v>35.15578721741246</v>
      </c>
      <c r="CS34">
        <v>19279.433710028992</v>
      </c>
      <c r="CT34">
        <v>23.962305286529279</v>
      </c>
      <c r="CU34">
        <v>13140.928219132657</v>
      </c>
    </row>
    <row r="35" spans="2:99" x14ac:dyDescent="0.2">
      <c r="C35" s="105" t="s">
        <v>201</v>
      </c>
      <c r="D35">
        <v>12</v>
      </c>
      <c r="E35">
        <v>6033.5999999999985</v>
      </c>
      <c r="F35">
        <v>15</v>
      </c>
      <c r="G35">
        <v>7541.9999999999982</v>
      </c>
      <c r="H35">
        <v>17</v>
      </c>
      <c r="I35">
        <v>8547.5999999999985</v>
      </c>
      <c r="J35">
        <v>19</v>
      </c>
      <c r="K35">
        <v>9553.1999999999989</v>
      </c>
      <c r="L35">
        <v>35</v>
      </c>
      <c r="M35">
        <v>17597.999999999996</v>
      </c>
      <c r="N35">
        <v>46</v>
      </c>
      <c r="O35">
        <v>23128.799999999996</v>
      </c>
      <c r="P35">
        <v>48</v>
      </c>
      <c r="Q35">
        <v>24134.399999999994</v>
      </c>
      <c r="R35">
        <v>52</v>
      </c>
      <c r="S35">
        <v>26145.599999999995</v>
      </c>
      <c r="T35">
        <v>10</v>
      </c>
      <c r="U35">
        <v>5027.9999999999991</v>
      </c>
      <c r="V35">
        <v>7</v>
      </c>
      <c r="W35">
        <v>3519.5999999999995</v>
      </c>
      <c r="X35">
        <v>11</v>
      </c>
      <c r="Y35">
        <v>5530.7999999999993</v>
      </c>
      <c r="Z35">
        <v>8</v>
      </c>
      <c r="AA35">
        <v>4022.3999999999992</v>
      </c>
      <c r="AB35">
        <v>27</v>
      </c>
      <c r="AC35">
        <v>13575.599999999997</v>
      </c>
      <c r="AD35">
        <v>33</v>
      </c>
      <c r="AE35">
        <v>16592.399999999998</v>
      </c>
      <c r="AF35">
        <v>20</v>
      </c>
      <c r="AG35">
        <v>10055.999999999998</v>
      </c>
      <c r="AH35">
        <v>30</v>
      </c>
      <c r="AI35">
        <v>15083.999999999996</v>
      </c>
      <c r="AJ35">
        <v>9</v>
      </c>
      <c r="AK35">
        <v>4525.1999999999989</v>
      </c>
      <c r="AL35">
        <v>7</v>
      </c>
      <c r="AM35">
        <v>3519.5999999999995</v>
      </c>
      <c r="AN35">
        <v>9</v>
      </c>
      <c r="AO35">
        <v>4525.1999999999989</v>
      </c>
      <c r="AP35">
        <v>9</v>
      </c>
      <c r="AQ35">
        <v>4525.1999999999989</v>
      </c>
      <c r="AR35">
        <v>94</v>
      </c>
      <c r="AS35">
        <v>47263.19999999999</v>
      </c>
      <c r="AT35">
        <v>110</v>
      </c>
      <c r="AU35">
        <v>55307.999999999985</v>
      </c>
      <c r="AV35">
        <v>123</v>
      </c>
      <c r="AW35">
        <v>61844.399999999987</v>
      </c>
      <c r="AX35">
        <v>133</v>
      </c>
      <c r="AY35">
        <v>66872.39999999998</v>
      </c>
      <c r="AZ35">
        <v>83</v>
      </c>
      <c r="BA35">
        <v>41732.399999999994</v>
      </c>
      <c r="BB35">
        <v>88</v>
      </c>
      <c r="BC35">
        <v>44246.399999999994</v>
      </c>
      <c r="BD35">
        <v>102.85416090819047</v>
      </c>
      <c r="BE35">
        <v>51715.072104638159</v>
      </c>
      <c r="BF35">
        <v>86</v>
      </c>
      <c r="BG35">
        <v>43240.799999999988</v>
      </c>
      <c r="BH35">
        <v>137</v>
      </c>
      <c r="BI35">
        <v>68883.599999999991</v>
      </c>
      <c r="BJ35">
        <v>74</v>
      </c>
      <c r="BK35">
        <v>37207.19999999999</v>
      </c>
      <c r="BL35">
        <v>115.81822035188269</v>
      </c>
      <c r="BM35">
        <v>58233.401192926605</v>
      </c>
      <c r="BN35">
        <v>145</v>
      </c>
      <c r="BO35">
        <v>72905.999999999985</v>
      </c>
      <c r="BP35">
        <v>66</v>
      </c>
      <c r="BQ35">
        <v>33184.799999999996</v>
      </c>
      <c r="BR35">
        <v>85</v>
      </c>
      <c r="BS35">
        <v>42737.999999999993</v>
      </c>
      <c r="BT35">
        <v>76</v>
      </c>
      <c r="BU35">
        <v>38212.799999999996</v>
      </c>
      <c r="BV35">
        <v>89</v>
      </c>
      <c r="BW35">
        <v>44749.19999999999</v>
      </c>
      <c r="BX35">
        <v>9</v>
      </c>
      <c r="BY35">
        <v>4525.1999999999989</v>
      </c>
      <c r="BZ35">
        <v>12</v>
      </c>
      <c r="CA35">
        <v>6033.5999999999985</v>
      </c>
      <c r="CB35">
        <v>12</v>
      </c>
      <c r="CC35">
        <v>6033.5999999999985</v>
      </c>
      <c r="CD35">
        <v>10</v>
      </c>
      <c r="CE35">
        <v>5027.9999999999991</v>
      </c>
      <c r="CF35">
        <v>19</v>
      </c>
      <c r="CG35">
        <v>9553.1999999999989</v>
      </c>
      <c r="CH35">
        <v>24</v>
      </c>
      <c r="CI35">
        <v>12067.199999999997</v>
      </c>
      <c r="CJ35">
        <v>22</v>
      </c>
      <c r="CK35">
        <v>11061.599999999999</v>
      </c>
      <c r="CL35">
        <v>18</v>
      </c>
      <c r="CM35">
        <v>9050.3999999999978</v>
      </c>
      <c r="CN35">
        <v>37.552985746226348</v>
      </c>
      <c r="CO35">
        <v>18881.641233202605</v>
      </c>
      <c r="CP35">
        <v>38.967286709576463</v>
      </c>
      <c r="CQ35">
        <v>19592.751757575043</v>
      </c>
      <c r="CR35">
        <v>36.164442062824257</v>
      </c>
      <c r="CS35">
        <v>18183.481469188031</v>
      </c>
      <c r="CT35">
        <v>24.870657164002683</v>
      </c>
      <c r="CU35">
        <v>12504.966422060546</v>
      </c>
    </row>
    <row r="36" spans="2:99" x14ac:dyDescent="0.2">
      <c r="C36" s="105" t="s">
        <v>202</v>
      </c>
      <c r="D36">
        <v>12</v>
      </c>
      <c r="E36">
        <v>9129.5999999999985</v>
      </c>
      <c r="F36">
        <v>14</v>
      </c>
      <c r="G36">
        <v>10651.199999999999</v>
      </c>
      <c r="H36">
        <v>18</v>
      </c>
      <c r="I36">
        <v>13694.4</v>
      </c>
      <c r="J36">
        <v>19</v>
      </c>
      <c r="K36">
        <v>14455.199999999999</v>
      </c>
      <c r="L36">
        <v>33</v>
      </c>
      <c r="M36">
        <v>25106.399999999998</v>
      </c>
      <c r="N36">
        <v>43</v>
      </c>
      <c r="O36">
        <v>32714.399999999998</v>
      </c>
      <c r="P36">
        <v>45</v>
      </c>
      <c r="Q36">
        <v>34236</v>
      </c>
      <c r="R36">
        <v>59</v>
      </c>
      <c r="S36">
        <v>44887.199999999997</v>
      </c>
      <c r="T36">
        <v>12</v>
      </c>
      <c r="U36">
        <v>9129.5999999999985</v>
      </c>
      <c r="V36">
        <v>6</v>
      </c>
      <c r="W36">
        <v>4564.7999999999993</v>
      </c>
      <c r="X36">
        <v>11</v>
      </c>
      <c r="Y36">
        <v>8368.7999999999993</v>
      </c>
      <c r="Z36">
        <v>8</v>
      </c>
      <c r="AA36">
        <v>6086.4</v>
      </c>
      <c r="AB36">
        <v>31</v>
      </c>
      <c r="AC36">
        <v>23584.799999999999</v>
      </c>
      <c r="AD36">
        <v>33</v>
      </c>
      <c r="AE36">
        <v>25106.399999999998</v>
      </c>
      <c r="AF36">
        <v>20</v>
      </c>
      <c r="AG36">
        <v>15216</v>
      </c>
      <c r="AH36">
        <v>26</v>
      </c>
      <c r="AI36">
        <v>19780.8</v>
      </c>
      <c r="AJ36">
        <v>10</v>
      </c>
      <c r="AK36">
        <v>7608</v>
      </c>
      <c r="AL36">
        <v>7</v>
      </c>
      <c r="AM36">
        <v>5325.5999999999995</v>
      </c>
      <c r="AN36">
        <v>8</v>
      </c>
      <c r="AO36">
        <v>6086.4</v>
      </c>
      <c r="AP36">
        <v>9</v>
      </c>
      <c r="AQ36">
        <v>6847.2</v>
      </c>
      <c r="AR36">
        <v>83</v>
      </c>
      <c r="AS36">
        <v>63146.399999999994</v>
      </c>
      <c r="AT36">
        <v>106</v>
      </c>
      <c r="AU36">
        <v>80644.799999999988</v>
      </c>
      <c r="AV36">
        <v>120</v>
      </c>
      <c r="AW36">
        <v>91296</v>
      </c>
      <c r="AX36">
        <v>124</v>
      </c>
      <c r="AY36">
        <v>94339.199999999997</v>
      </c>
      <c r="AZ36">
        <v>69</v>
      </c>
      <c r="BA36">
        <v>52495.199999999997</v>
      </c>
      <c r="BB36">
        <v>80</v>
      </c>
      <c r="BC36">
        <v>60864</v>
      </c>
      <c r="BD36">
        <v>83.763406311695235</v>
      </c>
      <c r="BE36">
        <v>63727.199521937728</v>
      </c>
      <c r="BF36">
        <v>91</v>
      </c>
      <c r="BG36">
        <v>69232.800000000003</v>
      </c>
      <c r="BH36">
        <v>138</v>
      </c>
      <c r="BI36">
        <v>104990.39999999999</v>
      </c>
      <c r="BJ36">
        <v>72</v>
      </c>
      <c r="BK36">
        <v>54777.599999999999</v>
      </c>
      <c r="BL36">
        <v>116.89305757918903</v>
      </c>
      <c r="BM36">
        <v>88932.238206247013</v>
      </c>
      <c r="BN36">
        <v>122</v>
      </c>
      <c r="BO36">
        <v>92817.599999999991</v>
      </c>
      <c r="BP36">
        <v>56</v>
      </c>
      <c r="BQ36">
        <v>42604.799999999996</v>
      </c>
      <c r="BR36">
        <v>81</v>
      </c>
      <c r="BS36">
        <v>61624.799999999996</v>
      </c>
      <c r="BT36">
        <v>69</v>
      </c>
      <c r="BU36">
        <v>52495.199999999997</v>
      </c>
      <c r="BV36">
        <v>85</v>
      </c>
      <c r="BW36">
        <v>64667.999999999993</v>
      </c>
      <c r="BX36">
        <v>9</v>
      </c>
      <c r="BY36">
        <v>6847.2</v>
      </c>
      <c r="BZ36">
        <v>11</v>
      </c>
      <c r="CA36">
        <v>8368.7999999999993</v>
      </c>
      <c r="CB36">
        <v>13</v>
      </c>
      <c r="CC36">
        <v>9890.4</v>
      </c>
      <c r="CD36">
        <v>11</v>
      </c>
      <c r="CE36">
        <v>8368.7999999999993</v>
      </c>
      <c r="CF36">
        <v>20</v>
      </c>
      <c r="CG36">
        <v>15216</v>
      </c>
      <c r="CH36">
        <v>23</v>
      </c>
      <c r="CI36">
        <v>17498.399999999998</v>
      </c>
      <c r="CJ36">
        <v>20</v>
      </c>
      <c r="CK36">
        <v>15216</v>
      </c>
      <c r="CL36">
        <v>19</v>
      </c>
      <c r="CM36">
        <v>14455.199999999999</v>
      </c>
      <c r="CN36">
        <v>36.622108964504648</v>
      </c>
      <c r="CO36">
        <v>27862.100500195134</v>
      </c>
      <c r="CP36">
        <v>36.867222567206483</v>
      </c>
      <c r="CQ36">
        <v>28048.582929130691</v>
      </c>
      <c r="CR36">
        <v>33.173096908236062</v>
      </c>
      <c r="CS36">
        <v>25238.092127785992</v>
      </c>
      <c r="CT36">
        <v>22.870657164002683</v>
      </c>
      <c r="CU36">
        <v>17399.995970373238</v>
      </c>
    </row>
    <row r="37" spans="2:99" x14ac:dyDescent="0.2">
      <c r="B37" s="105" t="s">
        <v>128</v>
      </c>
      <c r="C37" s="105" t="s">
        <v>203</v>
      </c>
      <c r="D37">
        <v>12</v>
      </c>
      <c r="E37">
        <v>10324.799999999999</v>
      </c>
      <c r="F37">
        <v>14</v>
      </c>
      <c r="G37">
        <v>12045.6</v>
      </c>
      <c r="H37">
        <v>12</v>
      </c>
      <c r="I37">
        <v>10324.799999999999</v>
      </c>
      <c r="J37">
        <v>17</v>
      </c>
      <c r="K37">
        <v>14626.8</v>
      </c>
      <c r="L37">
        <v>5</v>
      </c>
      <c r="M37">
        <v>4302</v>
      </c>
      <c r="N37">
        <v>5</v>
      </c>
      <c r="O37">
        <v>4302</v>
      </c>
      <c r="P37">
        <v>6</v>
      </c>
      <c r="Q37">
        <v>5162.3999999999996</v>
      </c>
      <c r="R37">
        <v>3</v>
      </c>
      <c r="S37">
        <v>2581.1999999999998</v>
      </c>
      <c r="T37">
        <v>12</v>
      </c>
      <c r="U37">
        <v>10324.799999999999</v>
      </c>
      <c r="V37">
        <v>11</v>
      </c>
      <c r="W37">
        <v>9464.4</v>
      </c>
      <c r="X37">
        <v>13</v>
      </c>
      <c r="Y37">
        <v>11185.199999999999</v>
      </c>
      <c r="Z37">
        <v>20</v>
      </c>
      <c r="AA37">
        <v>17208</v>
      </c>
      <c r="AB37">
        <v>11</v>
      </c>
      <c r="AC37">
        <v>9464.4</v>
      </c>
      <c r="AD37">
        <v>11</v>
      </c>
      <c r="AE37">
        <v>9464.4</v>
      </c>
      <c r="AF37">
        <v>8</v>
      </c>
      <c r="AG37">
        <v>6883.2</v>
      </c>
      <c r="AH37">
        <v>8</v>
      </c>
      <c r="AI37">
        <v>6883.2</v>
      </c>
      <c r="AJ37">
        <v>10</v>
      </c>
      <c r="AK37">
        <v>8604</v>
      </c>
      <c r="AL37">
        <v>14</v>
      </c>
      <c r="AM37">
        <v>12045.6</v>
      </c>
      <c r="AN37">
        <v>11</v>
      </c>
      <c r="AO37">
        <v>9464.4</v>
      </c>
      <c r="AP37">
        <v>16</v>
      </c>
      <c r="AQ37">
        <v>13766.4</v>
      </c>
      <c r="AR37">
        <v>10</v>
      </c>
      <c r="AS37">
        <v>8604</v>
      </c>
      <c r="AT37">
        <v>11</v>
      </c>
      <c r="AU37">
        <v>9464.4</v>
      </c>
      <c r="AV37">
        <v>11</v>
      </c>
      <c r="AW37">
        <v>9464.4</v>
      </c>
      <c r="AX37">
        <v>12</v>
      </c>
      <c r="AY37">
        <v>10324.799999999999</v>
      </c>
      <c r="AZ37">
        <v>27</v>
      </c>
      <c r="BA37">
        <v>23230.799999999999</v>
      </c>
      <c r="BB37">
        <v>38</v>
      </c>
      <c r="BC37">
        <v>32695.200000000001</v>
      </c>
      <c r="BD37">
        <v>38.058723562438097</v>
      </c>
      <c r="BE37">
        <v>32745.725753121736</v>
      </c>
      <c r="BF37">
        <v>46</v>
      </c>
      <c r="BG37">
        <v>39578.400000000001</v>
      </c>
      <c r="BH37">
        <v>23</v>
      </c>
      <c r="BI37">
        <v>19789.2</v>
      </c>
      <c r="BJ37">
        <v>21.363563797085298</v>
      </c>
      <c r="BK37">
        <v>18381.21029101219</v>
      </c>
      <c r="BL37">
        <v>16.049891484870894</v>
      </c>
      <c r="BM37">
        <v>13809.326633582918</v>
      </c>
      <c r="BN37">
        <v>15</v>
      </c>
      <c r="BO37">
        <v>12906</v>
      </c>
      <c r="BP37">
        <v>57</v>
      </c>
      <c r="BQ37">
        <v>49042.799999999996</v>
      </c>
      <c r="BR37">
        <v>56</v>
      </c>
      <c r="BS37">
        <v>48182.400000000001</v>
      </c>
      <c r="BT37">
        <v>45</v>
      </c>
      <c r="BU37">
        <v>38718</v>
      </c>
      <c r="BV37">
        <v>45</v>
      </c>
      <c r="BW37">
        <v>38718</v>
      </c>
      <c r="BX37">
        <v>6</v>
      </c>
      <c r="BY37">
        <v>5162.3999999999996</v>
      </c>
      <c r="BZ37">
        <v>8</v>
      </c>
      <c r="CA37">
        <v>6883.2</v>
      </c>
      <c r="CB37">
        <v>7</v>
      </c>
      <c r="CC37">
        <v>6022.8</v>
      </c>
      <c r="CD37">
        <v>5</v>
      </c>
      <c r="CE37">
        <v>4302</v>
      </c>
      <c r="CF37">
        <v>29</v>
      </c>
      <c r="CG37">
        <v>24951.599999999999</v>
      </c>
      <c r="CH37">
        <v>25</v>
      </c>
      <c r="CI37">
        <v>21510</v>
      </c>
      <c r="CJ37">
        <v>34.091712155753264</v>
      </c>
      <c r="CK37">
        <v>29332.509138810106</v>
      </c>
      <c r="CL37">
        <v>26.400899937595316</v>
      </c>
      <c r="CM37">
        <v>22715.33430630701</v>
      </c>
      <c r="CN37">
        <v>55.797203675235643</v>
      </c>
      <c r="CO37">
        <v>48007.914042172742</v>
      </c>
      <c r="CP37">
        <v>57.667735706166312</v>
      </c>
      <c r="CQ37">
        <v>49617.319801585494</v>
      </c>
      <c r="CR37">
        <v>41.276955053177701</v>
      </c>
      <c r="CS37">
        <v>35514.692127754097</v>
      </c>
      <c r="CT37">
        <v>55.749443675797949</v>
      </c>
      <c r="CU37">
        <v>47966.821338656555</v>
      </c>
    </row>
    <row r="38" spans="2:99" x14ac:dyDescent="0.2">
      <c r="C38" s="105" t="s">
        <v>204</v>
      </c>
      <c r="D38">
        <v>11</v>
      </c>
      <c r="E38">
        <v>13662</v>
      </c>
      <c r="F38">
        <v>12</v>
      </c>
      <c r="G38">
        <v>14904</v>
      </c>
      <c r="H38">
        <v>11</v>
      </c>
      <c r="I38">
        <v>13662</v>
      </c>
      <c r="J38">
        <v>15</v>
      </c>
      <c r="K38">
        <v>18630</v>
      </c>
      <c r="L38">
        <v>6</v>
      </c>
      <c r="M38">
        <v>7452</v>
      </c>
      <c r="N38">
        <v>5</v>
      </c>
      <c r="O38">
        <v>6210</v>
      </c>
      <c r="P38">
        <v>6</v>
      </c>
      <c r="Q38">
        <v>7452</v>
      </c>
      <c r="R38">
        <v>4</v>
      </c>
      <c r="S38">
        <v>4968</v>
      </c>
      <c r="T38">
        <v>12</v>
      </c>
      <c r="U38">
        <v>14904</v>
      </c>
      <c r="V38">
        <v>11</v>
      </c>
      <c r="W38">
        <v>13662</v>
      </c>
      <c r="X38">
        <v>14</v>
      </c>
      <c r="Y38">
        <v>17388</v>
      </c>
      <c r="Z38">
        <v>19</v>
      </c>
      <c r="AA38">
        <v>23598</v>
      </c>
      <c r="AB38">
        <v>10</v>
      </c>
      <c r="AC38">
        <v>12420</v>
      </c>
      <c r="AD38">
        <v>10</v>
      </c>
      <c r="AE38">
        <v>12420</v>
      </c>
      <c r="AF38">
        <v>8</v>
      </c>
      <c r="AG38">
        <v>9936</v>
      </c>
      <c r="AH38">
        <v>7</v>
      </c>
      <c r="AI38">
        <v>8694</v>
      </c>
      <c r="AJ38">
        <v>9</v>
      </c>
      <c r="AK38">
        <v>11178</v>
      </c>
      <c r="AL38">
        <v>14</v>
      </c>
      <c r="AM38">
        <v>17388</v>
      </c>
      <c r="AN38">
        <v>9</v>
      </c>
      <c r="AO38">
        <v>11178</v>
      </c>
      <c r="AP38">
        <v>13</v>
      </c>
      <c r="AQ38">
        <v>16146</v>
      </c>
      <c r="AR38">
        <v>8</v>
      </c>
      <c r="AS38">
        <v>9936</v>
      </c>
      <c r="AT38">
        <v>10</v>
      </c>
      <c r="AU38">
        <v>12420</v>
      </c>
      <c r="AV38">
        <v>10</v>
      </c>
      <c r="AW38">
        <v>12420</v>
      </c>
      <c r="AX38">
        <v>12</v>
      </c>
      <c r="AY38">
        <v>14904</v>
      </c>
      <c r="AZ38">
        <v>29</v>
      </c>
      <c r="BA38">
        <v>36018</v>
      </c>
      <c r="BB38">
        <v>37</v>
      </c>
      <c r="BC38">
        <v>45954</v>
      </c>
      <c r="BD38">
        <v>39.058723562438097</v>
      </c>
      <c r="BE38">
        <v>48510.934664548113</v>
      </c>
      <c r="BF38">
        <v>39</v>
      </c>
      <c r="BG38">
        <v>48438</v>
      </c>
      <c r="BH38">
        <v>23</v>
      </c>
      <c r="BI38">
        <v>28566</v>
      </c>
      <c r="BJ38">
        <v>19.363563797085298</v>
      </c>
      <c r="BK38">
        <v>24049.546235979942</v>
      </c>
      <c r="BL38">
        <v>13.044902336383807</v>
      </c>
      <c r="BM38">
        <v>16201.768701788687</v>
      </c>
      <c r="BN38">
        <v>15</v>
      </c>
      <c r="BO38">
        <v>18630</v>
      </c>
      <c r="BP38">
        <v>50</v>
      </c>
      <c r="BQ38">
        <v>62100</v>
      </c>
      <c r="BR38">
        <v>50</v>
      </c>
      <c r="BS38">
        <v>62100</v>
      </c>
      <c r="BT38">
        <v>42</v>
      </c>
      <c r="BU38">
        <v>52164</v>
      </c>
      <c r="BV38">
        <v>41</v>
      </c>
      <c r="BW38">
        <v>50922</v>
      </c>
      <c r="BX38">
        <v>5</v>
      </c>
      <c r="BY38">
        <v>6210</v>
      </c>
      <c r="BZ38">
        <v>7</v>
      </c>
      <c r="CA38">
        <v>8694</v>
      </c>
      <c r="CB38">
        <v>8</v>
      </c>
      <c r="CC38">
        <v>9936</v>
      </c>
      <c r="CD38">
        <v>5</v>
      </c>
      <c r="CE38">
        <v>6210</v>
      </c>
      <c r="CF38">
        <v>29</v>
      </c>
      <c r="CG38">
        <v>36018</v>
      </c>
      <c r="CH38">
        <v>24</v>
      </c>
      <c r="CI38">
        <v>29808</v>
      </c>
      <c r="CJ38">
        <v>30.09171215575326</v>
      </c>
      <c r="CK38">
        <v>37373.906497445547</v>
      </c>
      <c r="CL38">
        <v>26.400899937595316</v>
      </c>
      <c r="CM38">
        <v>32789.917722493381</v>
      </c>
      <c r="CN38">
        <v>50.589834020400758</v>
      </c>
      <c r="CO38">
        <v>62832.573853337744</v>
      </c>
      <c r="CP38">
        <v>47.601026277919665</v>
      </c>
      <c r="CQ38">
        <v>59120.474637176223</v>
      </c>
      <c r="CR38">
        <v>36.320229280236717</v>
      </c>
      <c r="CS38">
        <v>45109.724766054002</v>
      </c>
      <c r="CT38">
        <v>45.520323369481453</v>
      </c>
      <c r="CU38">
        <v>56536.241624895963</v>
      </c>
    </row>
    <row r="39" spans="2:99" x14ac:dyDescent="0.2">
      <c r="C39" s="105" t="s">
        <v>205</v>
      </c>
      <c r="D39">
        <v>13</v>
      </c>
      <c r="E39">
        <v>18501.600000000002</v>
      </c>
      <c r="F39">
        <v>13</v>
      </c>
      <c r="G39">
        <v>18501.600000000002</v>
      </c>
      <c r="H39">
        <v>11</v>
      </c>
      <c r="I39">
        <v>15655.2</v>
      </c>
      <c r="J39">
        <v>16</v>
      </c>
      <c r="K39">
        <v>22771.200000000001</v>
      </c>
      <c r="L39">
        <v>5</v>
      </c>
      <c r="M39">
        <v>7116</v>
      </c>
      <c r="N39">
        <v>5</v>
      </c>
      <c r="O39">
        <v>7116</v>
      </c>
      <c r="P39">
        <v>6</v>
      </c>
      <c r="Q39">
        <v>8539.2000000000007</v>
      </c>
      <c r="R39">
        <v>4</v>
      </c>
      <c r="S39">
        <v>5692.8</v>
      </c>
      <c r="T39">
        <v>12</v>
      </c>
      <c r="U39">
        <v>17078.400000000001</v>
      </c>
      <c r="V39">
        <v>12</v>
      </c>
      <c r="W39">
        <v>17078.400000000001</v>
      </c>
      <c r="X39">
        <v>12</v>
      </c>
      <c r="Y39">
        <v>17078.400000000001</v>
      </c>
      <c r="Z39">
        <v>21</v>
      </c>
      <c r="AA39">
        <v>29887.200000000001</v>
      </c>
      <c r="AB39">
        <v>9</v>
      </c>
      <c r="AC39">
        <v>12808.800000000001</v>
      </c>
      <c r="AD39">
        <v>11</v>
      </c>
      <c r="AE39">
        <v>15655.2</v>
      </c>
      <c r="AF39">
        <v>7</v>
      </c>
      <c r="AG39">
        <v>9962.4</v>
      </c>
      <c r="AH39">
        <v>8</v>
      </c>
      <c r="AI39">
        <v>11385.6</v>
      </c>
      <c r="AJ39">
        <v>9</v>
      </c>
      <c r="AK39">
        <v>12808.800000000001</v>
      </c>
      <c r="AL39">
        <v>14</v>
      </c>
      <c r="AM39">
        <v>19924.8</v>
      </c>
      <c r="AN39">
        <v>10</v>
      </c>
      <c r="AO39">
        <v>14232</v>
      </c>
      <c r="AP39">
        <v>15</v>
      </c>
      <c r="AQ39">
        <v>21348</v>
      </c>
      <c r="AR39">
        <v>9</v>
      </c>
      <c r="AS39">
        <v>12808.800000000001</v>
      </c>
      <c r="AT39">
        <v>10</v>
      </c>
      <c r="AU39">
        <v>14232</v>
      </c>
      <c r="AV39">
        <v>11</v>
      </c>
      <c r="AW39">
        <v>15655.2</v>
      </c>
      <c r="AX39">
        <v>12</v>
      </c>
      <c r="AY39">
        <v>17078.400000000001</v>
      </c>
      <c r="AZ39">
        <v>27</v>
      </c>
      <c r="BA39">
        <v>38426.400000000001</v>
      </c>
      <c r="BB39">
        <v>35</v>
      </c>
      <c r="BC39">
        <v>49812</v>
      </c>
      <c r="BD39">
        <v>41.058723562438097</v>
      </c>
      <c r="BE39">
        <v>58434.775374061901</v>
      </c>
      <c r="BF39">
        <v>37</v>
      </c>
      <c r="BG39">
        <v>52658.400000000001</v>
      </c>
      <c r="BH39">
        <v>21</v>
      </c>
      <c r="BI39">
        <v>29887.200000000001</v>
      </c>
      <c r="BJ39">
        <v>19</v>
      </c>
      <c r="BK39">
        <v>27040.799999999999</v>
      </c>
      <c r="BL39">
        <v>15.054880633357985</v>
      </c>
      <c r="BM39">
        <v>21426.106117395084</v>
      </c>
      <c r="BN39">
        <v>15</v>
      </c>
      <c r="BO39">
        <v>21348</v>
      </c>
      <c r="BP39">
        <v>49</v>
      </c>
      <c r="BQ39">
        <v>69736.800000000003</v>
      </c>
      <c r="BR39">
        <v>51</v>
      </c>
      <c r="BS39">
        <v>72583.199999999997</v>
      </c>
      <c r="BT39">
        <v>38</v>
      </c>
      <c r="BU39">
        <v>54081.599999999999</v>
      </c>
      <c r="BV39">
        <v>37</v>
      </c>
      <c r="BW39">
        <v>52658.400000000001</v>
      </c>
      <c r="BX39">
        <v>5</v>
      </c>
      <c r="BY39">
        <v>7116</v>
      </c>
      <c r="BZ39">
        <v>6</v>
      </c>
      <c r="CA39">
        <v>8539.2000000000007</v>
      </c>
      <c r="CB39">
        <v>8</v>
      </c>
      <c r="CC39">
        <v>11385.6</v>
      </c>
      <c r="CD39">
        <v>6</v>
      </c>
      <c r="CE39">
        <v>8539.2000000000007</v>
      </c>
      <c r="CF39">
        <v>30</v>
      </c>
      <c r="CG39">
        <v>42696</v>
      </c>
      <c r="CH39">
        <v>23</v>
      </c>
      <c r="CI39">
        <v>32733.600000000002</v>
      </c>
      <c r="CJ39">
        <v>28.080248136284101</v>
      </c>
      <c r="CK39">
        <v>39963.809147559536</v>
      </c>
      <c r="CL39">
        <v>22.339223024119114</v>
      </c>
      <c r="CM39">
        <v>31793.182207926326</v>
      </c>
      <c r="CN39">
        <v>48.728080456957343</v>
      </c>
      <c r="CO39">
        <v>69349.804106341689</v>
      </c>
      <c r="CP39">
        <v>49.434252707303031</v>
      </c>
      <c r="CQ39">
        <v>70354.828453033682</v>
      </c>
      <c r="CR39">
        <v>37.294264744001303</v>
      </c>
      <c r="CS39">
        <v>53077.197583662659</v>
      </c>
      <c r="CT39">
        <v>45.520323369481453</v>
      </c>
      <c r="CU39">
        <v>64784.524219446008</v>
      </c>
    </row>
    <row r="40" spans="2:99" x14ac:dyDescent="0.2">
      <c r="C40" s="105" t="s">
        <v>206</v>
      </c>
      <c r="D40">
        <v>13</v>
      </c>
      <c r="E40">
        <v>9422.4</v>
      </c>
      <c r="F40">
        <v>15</v>
      </c>
      <c r="G40">
        <v>10872</v>
      </c>
      <c r="H40">
        <v>12</v>
      </c>
      <c r="I40">
        <v>8697.5999999999985</v>
      </c>
      <c r="J40">
        <v>17</v>
      </c>
      <c r="K40">
        <v>12321.599999999999</v>
      </c>
      <c r="L40">
        <v>5</v>
      </c>
      <c r="M40">
        <v>3624</v>
      </c>
      <c r="N40">
        <v>5</v>
      </c>
      <c r="O40">
        <v>3624</v>
      </c>
      <c r="P40">
        <v>6</v>
      </c>
      <c r="Q40">
        <v>4348.7999999999993</v>
      </c>
      <c r="R40">
        <v>4</v>
      </c>
      <c r="S40">
        <v>2899.2</v>
      </c>
      <c r="T40">
        <v>11</v>
      </c>
      <c r="U40">
        <v>7972.7999999999993</v>
      </c>
      <c r="V40">
        <v>11</v>
      </c>
      <c r="W40">
        <v>7972.7999999999993</v>
      </c>
      <c r="X40">
        <v>12</v>
      </c>
      <c r="Y40">
        <v>8697.5999999999985</v>
      </c>
      <c r="Z40">
        <v>19</v>
      </c>
      <c r="AA40">
        <v>13771.199999999999</v>
      </c>
      <c r="AB40">
        <v>10</v>
      </c>
      <c r="AC40">
        <v>7248</v>
      </c>
      <c r="AD40">
        <v>10</v>
      </c>
      <c r="AE40">
        <v>7248</v>
      </c>
      <c r="AF40">
        <v>8</v>
      </c>
      <c r="AG40">
        <v>5798.4</v>
      </c>
      <c r="AH40">
        <v>7</v>
      </c>
      <c r="AI40">
        <v>5073.5999999999995</v>
      </c>
      <c r="AJ40">
        <v>10</v>
      </c>
      <c r="AK40">
        <v>7248</v>
      </c>
      <c r="AL40">
        <v>15</v>
      </c>
      <c r="AM40">
        <v>10872</v>
      </c>
      <c r="AN40">
        <v>11</v>
      </c>
      <c r="AO40">
        <v>7972.7999999999993</v>
      </c>
      <c r="AP40">
        <v>16</v>
      </c>
      <c r="AQ40">
        <v>11596.8</v>
      </c>
      <c r="AR40">
        <v>8</v>
      </c>
      <c r="AS40">
        <v>5798.4</v>
      </c>
      <c r="AT40">
        <v>9</v>
      </c>
      <c r="AU40">
        <v>6523.2</v>
      </c>
      <c r="AV40">
        <v>9</v>
      </c>
      <c r="AW40">
        <v>6523.2</v>
      </c>
      <c r="AX40">
        <v>13</v>
      </c>
      <c r="AY40">
        <v>9422.4</v>
      </c>
      <c r="AZ40">
        <v>27</v>
      </c>
      <c r="BA40">
        <v>19569.599999999999</v>
      </c>
      <c r="BB40">
        <v>37</v>
      </c>
      <c r="BC40">
        <v>26817.599999999999</v>
      </c>
      <c r="BD40">
        <v>40.069400573790475</v>
      </c>
      <c r="BE40">
        <v>29042.301535883333</v>
      </c>
      <c r="BF40">
        <v>43</v>
      </c>
      <c r="BG40">
        <v>31166.399999999998</v>
      </c>
      <c r="BH40">
        <v>26</v>
      </c>
      <c r="BI40">
        <v>18844.8</v>
      </c>
      <c r="BJ40">
        <v>20.330512542804815</v>
      </c>
      <c r="BK40">
        <v>14735.555491024928</v>
      </c>
      <c r="BL40">
        <v>16.049891484870894</v>
      </c>
      <c r="BM40">
        <v>11632.961348234423</v>
      </c>
      <c r="BN40">
        <v>15</v>
      </c>
      <c r="BO40">
        <v>10872</v>
      </c>
      <c r="BP40">
        <v>56</v>
      </c>
      <c r="BQ40">
        <v>40588.799999999996</v>
      </c>
      <c r="BR40">
        <v>56</v>
      </c>
      <c r="BS40">
        <v>40588.799999999996</v>
      </c>
      <c r="BT40">
        <v>47</v>
      </c>
      <c r="BU40">
        <v>34065.599999999999</v>
      </c>
      <c r="BV40">
        <v>45</v>
      </c>
      <c r="BW40">
        <v>32615.999999999996</v>
      </c>
      <c r="BX40">
        <v>5</v>
      </c>
      <c r="BY40">
        <v>3624</v>
      </c>
      <c r="BZ40">
        <v>8</v>
      </c>
      <c r="CA40">
        <v>5798.4</v>
      </c>
      <c r="CB40">
        <v>8</v>
      </c>
      <c r="CC40">
        <v>5798.4</v>
      </c>
      <c r="CD40">
        <v>5</v>
      </c>
      <c r="CE40">
        <v>3624</v>
      </c>
      <c r="CF40">
        <v>32</v>
      </c>
      <c r="CG40">
        <v>23193.599999999999</v>
      </c>
      <c r="CH40">
        <v>28</v>
      </c>
      <c r="CI40">
        <v>20294.399999999998</v>
      </c>
      <c r="CJ40">
        <v>30.09171215575326</v>
      </c>
      <c r="CK40">
        <v>21810.472970489962</v>
      </c>
      <c r="CL40">
        <v>24.370061480857217</v>
      </c>
      <c r="CM40">
        <v>17663.420561325311</v>
      </c>
      <c r="CN40">
        <v>48.624395629539904</v>
      </c>
      <c r="CO40">
        <v>35242.96195229052</v>
      </c>
      <c r="CP40">
        <v>50.667735706166312</v>
      </c>
      <c r="CQ40">
        <v>36723.974839829338</v>
      </c>
      <c r="CR40">
        <v>41.337538971060326</v>
      </c>
      <c r="CS40">
        <v>29961.448246224521</v>
      </c>
      <c r="CT40">
        <v>48.38285118569155</v>
      </c>
      <c r="CU40">
        <v>35067.890539389235</v>
      </c>
    </row>
    <row r="41" spans="2:99" x14ac:dyDescent="0.2">
      <c r="C41" s="105" t="s">
        <v>207</v>
      </c>
      <c r="D41">
        <v>13</v>
      </c>
      <c r="E41">
        <v>8580</v>
      </c>
      <c r="F41">
        <v>13</v>
      </c>
      <c r="G41">
        <v>8580</v>
      </c>
      <c r="H41">
        <v>14</v>
      </c>
      <c r="I41">
        <v>9240</v>
      </c>
      <c r="J41">
        <v>18</v>
      </c>
      <c r="K41">
        <v>11880</v>
      </c>
      <c r="L41">
        <v>5</v>
      </c>
      <c r="M41">
        <v>3300</v>
      </c>
      <c r="N41">
        <v>6</v>
      </c>
      <c r="O41">
        <v>3960</v>
      </c>
      <c r="P41">
        <v>7</v>
      </c>
      <c r="Q41">
        <v>4620</v>
      </c>
      <c r="R41">
        <v>3</v>
      </c>
      <c r="S41">
        <v>1980</v>
      </c>
      <c r="T41">
        <v>11</v>
      </c>
      <c r="U41">
        <v>7260</v>
      </c>
      <c r="V41">
        <v>12</v>
      </c>
      <c r="W41">
        <v>7920</v>
      </c>
      <c r="X41">
        <v>14</v>
      </c>
      <c r="Y41">
        <v>9240</v>
      </c>
      <c r="Z41">
        <v>20</v>
      </c>
      <c r="AA41">
        <v>13200</v>
      </c>
      <c r="AB41">
        <v>10</v>
      </c>
      <c r="AC41">
        <v>6600</v>
      </c>
      <c r="AD41">
        <v>11</v>
      </c>
      <c r="AE41">
        <v>7260</v>
      </c>
      <c r="AF41">
        <v>8</v>
      </c>
      <c r="AG41">
        <v>5280</v>
      </c>
      <c r="AH41">
        <v>8</v>
      </c>
      <c r="AI41">
        <v>5280</v>
      </c>
      <c r="AJ41">
        <v>11</v>
      </c>
      <c r="AK41">
        <v>7260</v>
      </c>
      <c r="AL41">
        <v>14</v>
      </c>
      <c r="AM41">
        <v>9240</v>
      </c>
      <c r="AN41">
        <v>11</v>
      </c>
      <c r="AO41">
        <v>7260</v>
      </c>
      <c r="AP41">
        <v>16</v>
      </c>
      <c r="AQ41">
        <v>10560</v>
      </c>
      <c r="AR41">
        <v>10</v>
      </c>
      <c r="AS41">
        <v>6600</v>
      </c>
      <c r="AT41">
        <v>11</v>
      </c>
      <c r="AU41">
        <v>7260</v>
      </c>
      <c r="AV41">
        <v>10</v>
      </c>
      <c r="AW41">
        <v>6600</v>
      </c>
      <c r="AX41">
        <v>13</v>
      </c>
      <c r="AY41">
        <v>8580</v>
      </c>
      <c r="AZ41">
        <v>32</v>
      </c>
      <c r="BA41">
        <v>21120</v>
      </c>
      <c r="BB41">
        <v>36</v>
      </c>
      <c r="BC41">
        <v>23760</v>
      </c>
      <c r="BD41">
        <v>40.058723562438097</v>
      </c>
      <c r="BE41">
        <v>26438.757551209143</v>
      </c>
      <c r="BF41">
        <v>45</v>
      </c>
      <c r="BG41">
        <v>29700</v>
      </c>
      <c r="BH41">
        <v>24</v>
      </c>
      <c r="BI41">
        <v>15840</v>
      </c>
      <c r="BJ41">
        <v>21.363563797085298</v>
      </c>
      <c r="BK41">
        <v>14099.952106076296</v>
      </c>
      <c r="BL41">
        <v>16.054880633357985</v>
      </c>
      <c r="BM41">
        <v>10596.22121801627</v>
      </c>
      <c r="BN41">
        <v>15</v>
      </c>
      <c r="BO41">
        <v>9900</v>
      </c>
      <c r="BP41">
        <v>61</v>
      </c>
      <c r="BQ41">
        <v>40260</v>
      </c>
      <c r="BR41">
        <v>57</v>
      </c>
      <c r="BS41">
        <v>37620</v>
      </c>
      <c r="BT41">
        <v>47</v>
      </c>
      <c r="BU41">
        <v>31020</v>
      </c>
      <c r="BV41">
        <v>46</v>
      </c>
      <c r="BW41">
        <v>30360</v>
      </c>
      <c r="BX41">
        <v>6</v>
      </c>
      <c r="BY41">
        <v>3960</v>
      </c>
      <c r="BZ41">
        <v>8</v>
      </c>
      <c r="CA41">
        <v>5280</v>
      </c>
      <c r="CB41">
        <v>8</v>
      </c>
      <c r="CC41">
        <v>5280</v>
      </c>
      <c r="CD41">
        <v>6</v>
      </c>
      <c r="CE41">
        <v>3960</v>
      </c>
      <c r="CF41">
        <v>30</v>
      </c>
      <c r="CG41">
        <v>19800</v>
      </c>
      <c r="CH41">
        <v>24</v>
      </c>
      <c r="CI41">
        <v>15840</v>
      </c>
      <c r="CJ41">
        <v>31.09171215575326</v>
      </c>
      <c r="CK41">
        <v>20520.530022797153</v>
      </c>
      <c r="CL41">
        <v>24.370061480857217</v>
      </c>
      <c r="CM41">
        <v>16084.240577365763</v>
      </c>
      <c r="CN41">
        <v>57.797203675235643</v>
      </c>
      <c r="CO41">
        <v>38146.154425655528</v>
      </c>
      <c r="CP41">
        <v>59.801154562659619</v>
      </c>
      <c r="CQ41">
        <v>39468.762011355349</v>
      </c>
      <c r="CR41">
        <v>37.328884125648521</v>
      </c>
      <c r="CS41">
        <v>24637.063522928023</v>
      </c>
      <c r="CT41">
        <v>49.337027124428253</v>
      </c>
      <c r="CU41">
        <v>32562.437902122649</v>
      </c>
    </row>
    <row r="42" spans="2:99" x14ac:dyDescent="0.2">
      <c r="C42" s="105" t="s">
        <v>208</v>
      </c>
      <c r="D42">
        <v>12</v>
      </c>
      <c r="E42">
        <v>10152</v>
      </c>
      <c r="F42">
        <v>15</v>
      </c>
      <c r="G42">
        <v>12690</v>
      </c>
      <c r="H42">
        <v>12</v>
      </c>
      <c r="I42">
        <v>10152</v>
      </c>
      <c r="J42">
        <v>15</v>
      </c>
      <c r="K42">
        <v>12690</v>
      </c>
      <c r="L42">
        <v>5</v>
      </c>
      <c r="M42">
        <v>4230</v>
      </c>
      <c r="N42">
        <v>6</v>
      </c>
      <c r="O42">
        <v>5076</v>
      </c>
      <c r="P42">
        <v>7</v>
      </c>
      <c r="Q42">
        <v>5922</v>
      </c>
      <c r="R42">
        <v>3</v>
      </c>
      <c r="S42">
        <v>2538</v>
      </c>
      <c r="T42">
        <v>11</v>
      </c>
      <c r="U42">
        <v>9306</v>
      </c>
      <c r="V42">
        <v>12</v>
      </c>
      <c r="W42">
        <v>10152</v>
      </c>
      <c r="X42">
        <v>13</v>
      </c>
      <c r="Y42">
        <v>10998</v>
      </c>
      <c r="Z42">
        <v>22</v>
      </c>
      <c r="AA42">
        <v>18612</v>
      </c>
      <c r="AB42">
        <v>9</v>
      </c>
      <c r="AC42">
        <v>7614</v>
      </c>
      <c r="AD42">
        <v>10</v>
      </c>
      <c r="AE42">
        <v>8460</v>
      </c>
      <c r="AF42">
        <v>8</v>
      </c>
      <c r="AG42">
        <v>6768</v>
      </c>
      <c r="AH42">
        <v>8</v>
      </c>
      <c r="AI42">
        <v>6768</v>
      </c>
      <c r="AJ42">
        <v>9</v>
      </c>
      <c r="AK42">
        <v>7614</v>
      </c>
      <c r="AL42">
        <v>15</v>
      </c>
      <c r="AM42">
        <v>12690</v>
      </c>
      <c r="AN42">
        <v>10</v>
      </c>
      <c r="AO42">
        <v>8460</v>
      </c>
      <c r="AP42">
        <v>14</v>
      </c>
      <c r="AQ42">
        <v>11844</v>
      </c>
      <c r="AR42">
        <v>9</v>
      </c>
      <c r="AS42">
        <v>7614</v>
      </c>
      <c r="AT42">
        <v>9</v>
      </c>
      <c r="AU42">
        <v>7614</v>
      </c>
      <c r="AV42">
        <v>11</v>
      </c>
      <c r="AW42">
        <v>9306</v>
      </c>
      <c r="AX42">
        <v>12</v>
      </c>
      <c r="AY42">
        <v>10152</v>
      </c>
      <c r="AZ42">
        <v>31</v>
      </c>
      <c r="BA42">
        <v>26226</v>
      </c>
      <c r="BB42">
        <v>35</v>
      </c>
      <c r="BC42">
        <v>29610</v>
      </c>
      <c r="BD42">
        <v>45.053385056761904</v>
      </c>
      <c r="BE42">
        <v>38115.163758020572</v>
      </c>
      <c r="BF42">
        <v>47</v>
      </c>
      <c r="BG42">
        <v>39762</v>
      </c>
      <c r="BH42">
        <v>22</v>
      </c>
      <c r="BI42">
        <v>18612</v>
      </c>
      <c r="BJ42">
        <v>19</v>
      </c>
      <c r="BK42">
        <v>16074</v>
      </c>
      <c r="BL42">
        <v>15.054880633357985</v>
      </c>
      <c r="BM42">
        <v>12736.429015820855</v>
      </c>
      <c r="BN42">
        <v>16</v>
      </c>
      <c r="BO42">
        <v>13536</v>
      </c>
      <c r="BP42">
        <v>51</v>
      </c>
      <c r="BQ42">
        <v>43146</v>
      </c>
      <c r="BR42">
        <v>57</v>
      </c>
      <c r="BS42">
        <v>48222</v>
      </c>
      <c r="BT42">
        <v>49</v>
      </c>
      <c r="BU42">
        <v>41454</v>
      </c>
      <c r="BV42">
        <v>44</v>
      </c>
      <c r="BW42">
        <v>37224</v>
      </c>
      <c r="BX42">
        <v>5</v>
      </c>
      <c r="BY42">
        <v>4230</v>
      </c>
      <c r="BZ42">
        <v>7</v>
      </c>
      <c r="CA42">
        <v>5922</v>
      </c>
      <c r="CB42">
        <v>9</v>
      </c>
      <c r="CC42">
        <v>7614</v>
      </c>
      <c r="CD42">
        <v>6</v>
      </c>
      <c r="CE42">
        <v>5076</v>
      </c>
      <c r="CF42">
        <v>29</v>
      </c>
      <c r="CG42">
        <v>24534</v>
      </c>
      <c r="CH42">
        <v>28</v>
      </c>
      <c r="CI42">
        <v>23688</v>
      </c>
      <c r="CJ42">
        <v>32.091712155753264</v>
      </c>
      <c r="CK42">
        <v>27149.58848376726</v>
      </c>
      <c r="CL42">
        <v>26.370061480857217</v>
      </c>
      <c r="CM42">
        <v>22309.072012805205</v>
      </c>
      <c r="CN42">
        <v>53.555272411261612</v>
      </c>
      <c r="CO42">
        <v>45307.760459927325</v>
      </c>
      <c r="CP42">
        <v>57.634380992042992</v>
      </c>
      <c r="CQ42">
        <v>48758.686319268374</v>
      </c>
      <c r="CR42">
        <v>39.302919589413108</v>
      </c>
      <c r="CS42">
        <v>33250.269972643488</v>
      </c>
      <c r="CT42">
        <v>52.611971492008045</v>
      </c>
      <c r="CU42">
        <v>44509.727882238803</v>
      </c>
    </row>
    <row r="43" spans="2:99" x14ac:dyDescent="0.2">
      <c r="C43" s="105" t="s">
        <v>209</v>
      </c>
      <c r="D43">
        <v>13</v>
      </c>
      <c r="E43">
        <v>13291.199999999999</v>
      </c>
      <c r="F43">
        <v>14</v>
      </c>
      <c r="G43">
        <v>14313.6</v>
      </c>
      <c r="H43">
        <v>13</v>
      </c>
      <c r="I43">
        <v>13291.199999999999</v>
      </c>
      <c r="J43">
        <v>17</v>
      </c>
      <c r="K43">
        <v>17380.8</v>
      </c>
      <c r="L43">
        <v>5</v>
      </c>
      <c r="M43">
        <v>5112</v>
      </c>
      <c r="N43">
        <v>5</v>
      </c>
      <c r="O43">
        <v>5112</v>
      </c>
      <c r="P43">
        <v>6</v>
      </c>
      <c r="Q43">
        <v>6134.4</v>
      </c>
      <c r="R43">
        <v>3</v>
      </c>
      <c r="S43">
        <v>3067.2</v>
      </c>
      <c r="T43">
        <v>12</v>
      </c>
      <c r="U43">
        <v>12268.8</v>
      </c>
      <c r="V43">
        <v>11</v>
      </c>
      <c r="W43">
        <v>11246.4</v>
      </c>
      <c r="X43">
        <v>13</v>
      </c>
      <c r="Y43">
        <v>13291.199999999999</v>
      </c>
      <c r="Z43">
        <v>21</v>
      </c>
      <c r="AA43">
        <v>21470.399999999998</v>
      </c>
      <c r="AB43">
        <v>11</v>
      </c>
      <c r="AC43">
        <v>11246.4</v>
      </c>
      <c r="AD43">
        <v>10</v>
      </c>
      <c r="AE43">
        <v>10224</v>
      </c>
      <c r="AF43">
        <v>8</v>
      </c>
      <c r="AG43">
        <v>8179.2</v>
      </c>
      <c r="AH43">
        <v>7</v>
      </c>
      <c r="AI43">
        <v>7156.8</v>
      </c>
      <c r="AJ43">
        <v>9</v>
      </c>
      <c r="AK43">
        <v>9201.6</v>
      </c>
      <c r="AL43">
        <v>16</v>
      </c>
      <c r="AM43">
        <v>16358.4</v>
      </c>
      <c r="AN43">
        <v>10</v>
      </c>
      <c r="AO43">
        <v>10224</v>
      </c>
      <c r="AP43">
        <v>15</v>
      </c>
      <c r="AQ43">
        <v>15336</v>
      </c>
      <c r="AR43">
        <v>9</v>
      </c>
      <c r="AS43">
        <v>9201.6</v>
      </c>
      <c r="AT43">
        <v>10</v>
      </c>
      <c r="AU43">
        <v>10224</v>
      </c>
      <c r="AV43">
        <v>11</v>
      </c>
      <c r="AW43">
        <v>11246.4</v>
      </c>
      <c r="AX43">
        <v>11</v>
      </c>
      <c r="AY43">
        <v>11246.4</v>
      </c>
      <c r="AZ43">
        <v>29</v>
      </c>
      <c r="BA43">
        <v>29649.599999999999</v>
      </c>
      <c r="BB43">
        <v>38</v>
      </c>
      <c r="BC43">
        <v>38851.199999999997</v>
      </c>
      <c r="BD43">
        <v>39.058723562438097</v>
      </c>
      <c r="BE43">
        <v>39933.638970236709</v>
      </c>
      <c r="BF43">
        <v>44</v>
      </c>
      <c r="BG43">
        <v>44985.599999999999</v>
      </c>
      <c r="BH43">
        <v>23</v>
      </c>
      <c r="BI43">
        <v>23515.200000000001</v>
      </c>
      <c r="BJ43">
        <v>20.330512542804815</v>
      </c>
      <c r="BK43">
        <v>20785.916023763642</v>
      </c>
      <c r="BL43">
        <v>16.049891484870894</v>
      </c>
      <c r="BM43">
        <v>16409.409054132</v>
      </c>
      <c r="BN43">
        <v>15</v>
      </c>
      <c r="BO43">
        <v>15336</v>
      </c>
      <c r="BP43">
        <v>57</v>
      </c>
      <c r="BQ43">
        <v>58276.799999999996</v>
      </c>
      <c r="BR43">
        <v>59</v>
      </c>
      <c r="BS43">
        <v>60321.599999999999</v>
      </c>
      <c r="BT43">
        <v>44</v>
      </c>
      <c r="BU43">
        <v>44985.599999999999</v>
      </c>
      <c r="BV43">
        <v>44</v>
      </c>
      <c r="BW43">
        <v>44985.599999999999</v>
      </c>
      <c r="BX43">
        <v>6</v>
      </c>
      <c r="BY43">
        <v>6134.4</v>
      </c>
      <c r="BZ43">
        <v>8</v>
      </c>
      <c r="CA43">
        <v>8179.2</v>
      </c>
      <c r="CB43">
        <v>8</v>
      </c>
      <c r="CC43">
        <v>8179.2</v>
      </c>
      <c r="CD43">
        <v>6</v>
      </c>
      <c r="CE43">
        <v>6134.4</v>
      </c>
      <c r="CF43">
        <v>28</v>
      </c>
      <c r="CG43">
        <v>28627.200000000001</v>
      </c>
      <c r="CH43">
        <v>27</v>
      </c>
      <c r="CI43">
        <v>27604.799999999999</v>
      </c>
      <c r="CJ43">
        <v>32.091712155753264</v>
      </c>
      <c r="CK43">
        <v>32810.566508042139</v>
      </c>
      <c r="CL43">
        <v>27.400899937595316</v>
      </c>
      <c r="CM43">
        <v>28014.680096197451</v>
      </c>
      <c r="CN43">
        <v>52.797203675235643</v>
      </c>
      <c r="CO43">
        <v>53979.861037560921</v>
      </c>
      <c r="CP43">
        <v>50.701090420289638</v>
      </c>
      <c r="CQ43">
        <v>51836.794845704128</v>
      </c>
      <c r="CR43">
        <v>42.302919589413108</v>
      </c>
      <c r="CS43">
        <v>43250.504988215958</v>
      </c>
      <c r="CT43">
        <v>51.474499308218149</v>
      </c>
      <c r="CU43">
        <v>52627.528092722234</v>
      </c>
    </row>
    <row r="44" spans="2:99" x14ac:dyDescent="0.2">
      <c r="C44" s="105" t="s">
        <v>210</v>
      </c>
      <c r="D44">
        <v>13</v>
      </c>
      <c r="E44">
        <v>13291.199999999999</v>
      </c>
      <c r="F44">
        <v>14</v>
      </c>
      <c r="G44">
        <v>14313.6</v>
      </c>
      <c r="H44">
        <v>13</v>
      </c>
      <c r="I44">
        <v>13291.199999999999</v>
      </c>
      <c r="J44">
        <v>15</v>
      </c>
      <c r="K44">
        <v>15336</v>
      </c>
      <c r="L44">
        <v>5</v>
      </c>
      <c r="M44">
        <v>5112</v>
      </c>
      <c r="N44">
        <v>6</v>
      </c>
      <c r="O44">
        <v>6134.4</v>
      </c>
      <c r="P44">
        <v>7</v>
      </c>
      <c r="Q44">
        <v>7156.8</v>
      </c>
      <c r="R44">
        <v>3</v>
      </c>
      <c r="S44">
        <v>3067.2</v>
      </c>
      <c r="T44">
        <v>11</v>
      </c>
      <c r="U44">
        <v>11246.4</v>
      </c>
      <c r="V44">
        <v>12</v>
      </c>
      <c r="W44">
        <v>12268.8</v>
      </c>
      <c r="X44">
        <v>13</v>
      </c>
      <c r="Y44">
        <v>13291.199999999999</v>
      </c>
      <c r="Z44">
        <v>19</v>
      </c>
      <c r="AA44">
        <v>19425.599999999999</v>
      </c>
      <c r="AB44">
        <v>10</v>
      </c>
      <c r="AC44">
        <v>10224</v>
      </c>
      <c r="AD44">
        <v>11</v>
      </c>
      <c r="AE44">
        <v>11246.4</v>
      </c>
      <c r="AF44">
        <v>7</v>
      </c>
      <c r="AG44">
        <v>7156.8</v>
      </c>
      <c r="AH44">
        <v>7</v>
      </c>
      <c r="AI44">
        <v>7156.8</v>
      </c>
      <c r="AJ44">
        <v>9</v>
      </c>
      <c r="AK44">
        <v>9201.6</v>
      </c>
      <c r="AL44">
        <v>14</v>
      </c>
      <c r="AM44">
        <v>14313.6</v>
      </c>
      <c r="AN44">
        <v>9</v>
      </c>
      <c r="AO44">
        <v>9201.6</v>
      </c>
      <c r="AP44">
        <v>14</v>
      </c>
      <c r="AQ44">
        <v>14313.6</v>
      </c>
      <c r="AR44">
        <v>10</v>
      </c>
      <c r="AS44">
        <v>10224</v>
      </c>
      <c r="AT44">
        <v>10</v>
      </c>
      <c r="AU44">
        <v>10224</v>
      </c>
      <c r="AV44">
        <v>10</v>
      </c>
      <c r="AW44">
        <v>10224</v>
      </c>
      <c r="AX44">
        <v>12</v>
      </c>
      <c r="AY44">
        <v>12268.8</v>
      </c>
      <c r="AZ44">
        <v>27</v>
      </c>
      <c r="BA44">
        <v>27604.799999999999</v>
      </c>
      <c r="BB44">
        <v>35</v>
      </c>
      <c r="BC44">
        <v>35784</v>
      </c>
      <c r="BD44">
        <v>39.058723562438097</v>
      </c>
      <c r="BE44">
        <v>39933.638970236709</v>
      </c>
      <c r="BF44">
        <v>43</v>
      </c>
      <c r="BG44">
        <v>43963.199999999997</v>
      </c>
      <c r="BH44">
        <v>21</v>
      </c>
      <c r="BI44">
        <v>21470.399999999998</v>
      </c>
      <c r="BJ44">
        <v>21</v>
      </c>
      <c r="BK44">
        <v>21470.399999999998</v>
      </c>
      <c r="BL44">
        <v>16.044902336383807</v>
      </c>
      <c r="BM44">
        <v>16404.308148718803</v>
      </c>
      <c r="BN44">
        <v>17</v>
      </c>
      <c r="BO44">
        <v>17380.8</v>
      </c>
      <c r="BP44">
        <v>49</v>
      </c>
      <c r="BQ44">
        <v>50097.599999999999</v>
      </c>
      <c r="BR44">
        <v>53</v>
      </c>
      <c r="BS44">
        <v>54187.199999999997</v>
      </c>
      <c r="BT44">
        <v>45</v>
      </c>
      <c r="BU44">
        <v>46008</v>
      </c>
      <c r="BV44">
        <v>39</v>
      </c>
      <c r="BW44">
        <v>39873.599999999999</v>
      </c>
      <c r="BX44">
        <v>6</v>
      </c>
      <c r="BY44">
        <v>6134.4</v>
      </c>
      <c r="BZ44">
        <v>7</v>
      </c>
      <c r="CA44">
        <v>7156.8</v>
      </c>
      <c r="CB44">
        <v>8</v>
      </c>
      <c r="CC44">
        <v>8179.2</v>
      </c>
      <c r="CD44">
        <v>5</v>
      </c>
      <c r="CE44">
        <v>5112</v>
      </c>
      <c r="CF44">
        <v>27</v>
      </c>
      <c r="CG44">
        <v>27604.799999999999</v>
      </c>
      <c r="CH44">
        <v>23</v>
      </c>
      <c r="CI44">
        <v>23515.200000000001</v>
      </c>
      <c r="CJ44">
        <v>30.103176175222419</v>
      </c>
      <c r="CK44">
        <v>30777.4873215474</v>
      </c>
      <c r="CL44">
        <v>23.400899937595316</v>
      </c>
      <c r="CM44">
        <v>23925.080096197449</v>
      </c>
      <c r="CN44">
        <v>53.866326893513936</v>
      </c>
      <c r="CO44">
        <v>55072.93261592865</v>
      </c>
      <c r="CP44">
        <v>54.467607421426358</v>
      </c>
      <c r="CQ44">
        <v>55687.681827666311</v>
      </c>
      <c r="CR44">
        <v>42.285609898589506</v>
      </c>
      <c r="CS44">
        <v>43232.80756031791</v>
      </c>
      <c r="CT44">
        <v>49.657795553271349</v>
      </c>
      <c r="CU44">
        <v>50770.130173664627</v>
      </c>
    </row>
    <row r="45" spans="2:99" x14ac:dyDescent="0.2">
      <c r="C45" s="105" t="s">
        <v>211</v>
      </c>
      <c r="D45">
        <v>12</v>
      </c>
      <c r="E45">
        <v>14990.400000000001</v>
      </c>
      <c r="F45">
        <v>14</v>
      </c>
      <c r="G45">
        <v>17488.8</v>
      </c>
      <c r="H45">
        <v>12</v>
      </c>
      <c r="I45">
        <v>14990.400000000001</v>
      </c>
      <c r="J45">
        <v>17</v>
      </c>
      <c r="K45">
        <v>21236.400000000001</v>
      </c>
      <c r="L45">
        <v>5</v>
      </c>
      <c r="M45">
        <v>6246</v>
      </c>
      <c r="N45">
        <v>5</v>
      </c>
      <c r="O45">
        <v>6246</v>
      </c>
      <c r="P45">
        <v>6</v>
      </c>
      <c r="Q45">
        <v>7495.2000000000007</v>
      </c>
      <c r="R45">
        <v>3</v>
      </c>
      <c r="S45">
        <v>3747.6000000000004</v>
      </c>
      <c r="T45">
        <v>11</v>
      </c>
      <c r="U45">
        <v>13741.2</v>
      </c>
      <c r="V45">
        <v>11</v>
      </c>
      <c r="W45">
        <v>13741.2</v>
      </c>
      <c r="X45">
        <v>13</v>
      </c>
      <c r="Y45">
        <v>16239.6</v>
      </c>
      <c r="Z45">
        <v>21</v>
      </c>
      <c r="AA45">
        <v>26233.200000000001</v>
      </c>
      <c r="AB45">
        <v>9</v>
      </c>
      <c r="AC45">
        <v>11242.800000000001</v>
      </c>
      <c r="AD45">
        <v>10</v>
      </c>
      <c r="AE45">
        <v>12492</v>
      </c>
      <c r="AF45">
        <v>7</v>
      </c>
      <c r="AG45">
        <v>8744.4</v>
      </c>
      <c r="AH45">
        <v>7</v>
      </c>
      <c r="AI45">
        <v>8744.4</v>
      </c>
      <c r="AJ45">
        <v>9</v>
      </c>
      <c r="AK45">
        <v>11242.800000000001</v>
      </c>
      <c r="AL45">
        <v>15</v>
      </c>
      <c r="AM45">
        <v>18738</v>
      </c>
      <c r="AN45">
        <v>11</v>
      </c>
      <c r="AO45">
        <v>13741.2</v>
      </c>
      <c r="AP45">
        <v>15</v>
      </c>
      <c r="AQ45">
        <v>18738</v>
      </c>
      <c r="AR45">
        <v>10</v>
      </c>
      <c r="AS45">
        <v>12492</v>
      </c>
      <c r="AT45">
        <v>10</v>
      </c>
      <c r="AU45">
        <v>12492</v>
      </c>
      <c r="AV45">
        <v>10</v>
      </c>
      <c r="AW45">
        <v>12492</v>
      </c>
      <c r="AX45">
        <v>11</v>
      </c>
      <c r="AY45">
        <v>13741.2</v>
      </c>
      <c r="AZ45">
        <v>30</v>
      </c>
      <c r="BA45">
        <v>37476</v>
      </c>
      <c r="BB45">
        <v>36</v>
      </c>
      <c r="BC45">
        <v>44971.200000000004</v>
      </c>
      <c r="BD45">
        <v>42.064062068114282</v>
      </c>
      <c r="BE45">
        <v>52546.426335488366</v>
      </c>
      <c r="BF45">
        <v>44</v>
      </c>
      <c r="BG45">
        <v>54964.800000000003</v>
      </c>
      <c r="BH45">
        <v>23</v>
      </c>
      <c r="BI45">
        <v>28731.600000000002</v>
      </c>
      <c r="BJ45">
        <v>20.330512542804815</v>
      </c>
      <c r="BK45">
        <v>25396.876268471777</v>
      </c>
      <c r="BL45">
        <v>14.054880633357985</v>
      </c>
      <c r="BM45">
        <v>17557.356887190796</v>
      </c>
      <c r="BN45">
        <v>15</v>
      </c>
      <c r="BO45">
        <v>18738</v>
      </c>
      <c r="BP45">
        <v>56</v>
      </c>
      <c r="BQ45">
        <v>69955.199999999997</v>
      </c>
      <c r="BR45">
        <v>52</v>
      </c>
      <c r="BS45">
        <v>64958.400000000001</v>
      </c>
      <c r="BT45">
        <v>44</v>
      </c>
      <c r="BU45">
        <v>54964.800000000003</v>
      </c>
      <c r="BV45">
        <v>42</v>
      </c>
      <c r="BW45">
        <v>52466.400000000001</v>
      </c>
      <c r="BX45">
        <v>6</v>
      </c>
      <c r="BY45">
        <v>7495.2000000000007</v>
      </c>
      <c r="BZ45">
        <v>8</v>
      </c>
      <c r="CA45">
        <v>9993.6</v>
      </c>
      <c r="CB45">
        <v>8</v>
      </c>
      <c r="CC45">
        <v>9993.6</v>
      </c>
      <c r="CD45">
        <v>6</v>
      </c>
      <c r="CE45">
        <v>7495.2000000000007</v>
      </c>
      <c r="CF45">
        <v>28</v>
      </c>
      <c r="CG45">
        <v>34977.599999999999</v>
      </c>
      <c r="CH45">
        <v>23</v>
      </c>
      <c r="CI45">
        <v>28731.600000000002</v>
      </c>
      <c r="CJ45">
        <v>30.103176175222419</v>
      </c>
      <c r="CK45">
        <v>37604.887678087849</v>
      </c>
      <c r="CL45">
        <v>25.339223024119114</v>
      </c>
      <c r="CM45">
        <v>31653.757401729599</v>
      </c>
      <c r="CN45">
        <v>46.486149192983319</v>
      </c>
      <c r="CO45">
        <v>58070.497571874766</v>
      </c>
      <c r="CP45">
        <v>48.601026277919665</v>
      </c>
      <c r="CQ45">
        <v>60712.402026377247</v>
      </c>
      <c r="CR45">
        <v>38.285609898589506</v>
      </c>
      <c r="CS45">
        <v>47826.383885318013</v>
      </c>
      <c r="CT45">
        <v>50.153730879375054</v>
      </c>
      <c r="CU45">
        <v>62652.040614515317</v>
      </c>
    </row>
    <row r="46" spans="2:99" x14ac:dyDescent="0.2">
      <c r="C46" s="105" t="s">
        <v>212</v>
      </c>
      <c r="D46">
        <v>12</v>
      </c>
      <c r="E46">
        <v>14544</v>
      </c>
      <c r="F46">
        <v>13</v>
      </c>
      <c r="G46">
        <v>15756</v>
      </c>
      <c r="H46">
        <v>13</v>
      </c>
      <c r="I46">
        <v>15756</v>
      </c>
      <c r="J46">
        <v>15</v>
      </c>
      <c r="K46">
        <v>18180</v>
      </c>
      <c r="L46">
        <v>5</v>
      </c>
      <c r="M46">
        <v>6060</v>
      </c>
      <c r="N46">
        <v>5</v>
      </c>
      <c r="O46">
        <v>6060</v>
      </c>
      <c r="P46">
        <v>6</v>
      </c>
      <c r="Q46">
        <v>7272</v>
      </c>
      <c r="R46">
        <v>4</v>
      </c>
      <c r="S46">
        <v>4848</v>
      </c>
      <c r="T46">
        <v>12</v>
      </c>
      <c r="U46">
        <v>14544</v>
      </c>
      <c r="V46">
        <v>11</v>
      </c>
      <c r="W46">
        <v>13332</v>
      </c>
      <c r="X46">
        <v>14</v>
      </c>
      <c r="Y46">
        <v>16968</v>
      </c>
      <c r="Z46">
        <v>20</v>
      </c>
      <c r="AA46">
        <v>24240</v>
      </c>
      <c r="AB46">
        <v>9</v>
      </c>
      <c r="AC46">
        <v>10908</v>
      </c>
      <c r="AD46">
        <v>9</v>
      </c>
      <c r="AE46">
        <v>10908</v>
      </c>
      <c r="AF46">
        <v>7</v>
      </c>
      <c r="AG46">
        <v>8484</v>
      </c>
      <c r="AH46">
        <v>7</v>
      </c>
      <c r="AI46">
        <v>8484</v>
      </c>
      <c r="AJ46">
        <v>10</v>
      </c>
      <c r="AK46">
        <v>12120</v>
      </c>
      <c r="AL46">
        <v>15</v>
      </c>
      <c r="AM46">
        <v>18180</v>
      </c>
      <c r="AN46">
        <v>9</v>
      </c>
      <c r="AO46">
        <v>10908</v>
      </c>
      <c r="AP46">
        <v>15</v>
      </c>
      <c r="AQ46">
        <v>18180</v>
      </c>
      <c r="AR46">
        <v>9</v>
      </c>
      <c r="AS46">
        <v>10908</v>
      </c>
      <c r="AT46">
        <v>10</v>
      </c>
      <c r="AU46">
        <v>12120</v>
      </c>
      <c r="AV46">
        <v>10</v>
      </c>
      <c r="AW46">
        <v>12120</v>
      </c>
      <c r="AX46">
        <v>10</v>
      </c>
      <c r="AY46">
        <v>12120</v>
      </c>
      <c r="AZ46">
        <v>28</v>
      </c>
      <c r="BA46">
        <v>33936</v>
      </c>
      <c r="BB46">
        <v>33</v>
      </c>
      <c r="BC46">
        <v>39996</v>
      </c>
      <c r="BD46">
        <v>38.058723562438097</v>
      </c>
      <c r="BE46">
        <v>46127.172957674971</v>
      </c>
      <c r="BF46">
        <v>39</v>
      </c>
      <c r="BG46">
        <v>47268</v>
      </c>
      <c r="BH46">
        <v>23</v>
      </c>
      <c r="BI46">
        <v>27876</v>
      </c>
      <c r="BJ46">
        <v>22.330512542804815</v>
      </c>
      <c r="BK46">
        <v>27064.581201879435</v>
      </c>
      <c r="BL46">
        <v>15.049891484870896</v>
      </c>
      <c r="BM46">
        <v>18240.468479663527</v>
      </c>
      <c r="BN46">
        <v>17</v>
      </c>
      <c r="BO46">
        <v>20604</v>
      </c>
      <c r="BP46">
        <v>47</v>
      </c>
      <c r="BQ46">
        <v>56964</v>
      </c>
      <c r="BR46">
        <v>50</v>
      </c>
      <c r="BS46">
        <v>60600</v>
      </c>
      <c r="BT46">
        <v>41</v>
      </c>
      <c r="BU46">
        <v>49692</v>
      </c>
      <c r="BV46">
        <v>41</v>
      </c>
      <c r="BW46">
        <v>49692</v>
      </c>
      <c r="BX46">
        <v>6</v>
      </c>
      <c r="BY46">
        <v>7272</v>
      </c>
      <c r="BZ46">
        <v>6</v>
      </c>
      <c r="CA46">
        <v>7272</v>
      </c>
      <c r="CB46">
        <v>8</v>
      </c>
      <c r="CC46">
        <v>9696</v>
      </c>
      <c r="CD46">
        <v>6</v>
      </c>
      <c r="CE46">
        <v>7272</v>
      </c>
      <c r="CF46">
        <v>26</v>
      </c>
      <c r="CG46">
        <v>31512</v>
      </c>
      <c r="CH46">
        <v>25</v>
      </c>
      <c r="CI46">
        <v>30300</v>
      </c>
      <c r="CJ46">
        <v>29.09171215575326</v>
      </c>
      <c r="CK46">
        <v>35259.155132772954</v>
      </c>
      <c r="CL46">
        <v>22.400899937595316</v>
      </c>
      <c r="CM46">
        <v>27149.890724365523</v>
      </c>
      <c r="CN46">
        <v>44.658957238679051</v>
      </c>
      <c r="CO46">
        <v>54126.656173279007</v>
      </c>
      <c r="CP46">
        <v>54.467607421426358</v>
      </c>
      <c r="CQ46">
        <v>66014.740194768747</v>
      </c>
      <c r="CR46">
        <v>34.311574434824912</v>
      </c>
      <c r="CS46">
        <v>41585.628215007797</v>
      </c>
      <c r="CT46">
        <v>48.428675246954853</v>
      </c>
      <c r="CU46">
        <v>58695.55439930928</v>
      </c>
    </row>
    <row r="47" spans="2:99" x14ac:dyDescent="0.2">
      <c r="C47" s="105" t="s">
        <v>213</v>
      </c>
      <c r="D47">
        <v>12</v>
      </c>
      <c r="E47">
        <v>18331.199999999997</v>
      </c>
      <c r="F47">
        <v>13</v>
      </c>
      <c r="G47">
        <v>19858.8</v>
      </c>
      <c r="H47">
        <v>11</v>
      </c>
      <c r="I47">
        <v>16803.599999999999</v>
      </c>
      <c r="J47">
        <v>16</v>
      </c>
      <c r="K47">
        <v>24441.599999999999</v>
      </c>
      <c r="L47">
        <v>5</v>
      </c>
      <c r="M47">
        <v>7638</v>
      </c>
      <c r="N47">
        <v>5</v>
      </c>
      <c r="O47">
        <v>7638</v>
      </c>
      <c r="P47">
        <v>6</v>
      </c>
      <c r="Q47">
        <v>9165.5999999999985</v>
      </c>
      <c r="R47">
        <v>3</v>
      </c>
      <c r="S47">
        <v>4582.7999999999993</v>
      </c>
      <c r="T47">
        <v>11</v>
      </c>
      <c r="U47">
        <v>16803.599999999999</v>
      </c>
      <c r="V47">
        <v>10</v>
      </c>
      <c r="W47">
        <v>15276</v>
      </c>
      <c r="X47">
        <v>11</v>
      </c>
      <c r="Y47">
        <v>16803.599999999999</v>
      </c>
      <c r="Z47">
        <v>18</v>
      </c>
      <c r="AA47">
        <v>27496.799999999999</v>
      </c>
      <c r="AB47">
        <v>10</v>
      </c>
      <c r="AC47">
        <v>15276</v>
      </c>
      <c r="AD47">
        <v>10</v>
      </c>
      <c r="AE47">
        <v>15276</v>
      </c>
      <c r="AF47">
        <v>8</v>
      </c>
      <c r="AG47">
        <v>12220.8</v>
      </c>
      <c r="AH47">
        <v>8</v>
      </c>
      <c r="AI47">
        <v>12220.8</v>
      </c>
      <c r="AJ47">
        <v>9</v>
      </c>
      <c r="AK47">
        <v>13748.4</v>
      </c>
      <c r="AL47">
        <v>14</v>
      </c>
      <c r="AM47">
        <v>21386.399999999998</v>
      </c>
      <c r="AN47">
        <v>10</v>
      </c>
      <c r="AO47">
        <v>15276</v>
      </c>
      <c r="AP47">
        <v>13</v>
      </c>
      <c r="AQ47">
        <v>19858.8</v>
      </c>
      <c r="AR47">
        <v>8</v>
      </c>
      <c r="AS47">
        <v>12220.8</v>
      </c>
      <c r="AT47">
        <v>10</v>
      </c>
      <c r="AU47">
        <v>15276</v>
      </c>
      <c r="AV47">
        <v>10</v>
      </c>
      <c r="AW47">
        <v>15276</v>
      </c>
      <c r="AX47">
        <v>11</v>
      </c>
      <c r="AY47">
        <v>16803.599999999999</v>
      </c>
      <c r="AZ47">
        <v>29</v>
      </c>
      <c r="BA47">
        <v>44300.399999999994</v>
      </c>
      <c r="BB47">
        <v>33</v>
      </c>
      <c r="BC47">
        <v>50410.799999999996</v>
      </c>
      <c r="BD47">
        <v>41.064062068114282</v>
      </c>
      <c r="BE47">
        <v>62729.461215251373</v>
      </c>
      <c r="BF47">
        <v>44</v>
      </c>
      <c r="BG47">
        <v>67214.399999999994</v>
      </c>
      <c r="BH47">
        <v>20</v>
      </c>
      <c r="BI47">
        <v>30552</v>
      </c>
      <c r="BJ47">
        <v>21.363563797085298</v>
      </c>
      <c r="BK47">
        <v>32634.980056427499</v>
      </c>
      <c r="BL47">
        <v>14.049891484870896</v>
      </c>
      <c r="BM47">
        <v>21462.614232288779</v>
      </c>
      <c r="BN47">
        <v>16</v>
      </c>
      <c r="BO47">
        <v>24441.599999999999</v>
      </c>
      <c r="BP47">
        <v>46</v>
      </c>
      <c r="BQ47">
        <v>70269.599999999991</v>
      </c>
      <c r="BR47">
        <v>51</v>
      </c>
      <c r="BS47">
        <v>77907.599999999991</v>
      </c>
      <c r="BT47">
        <v>41</v>
      </c>
      <c r="BU47">
        <v>62631.6</v>
      </c>
      <c r="BV47">
        <v>38</v>
      </c>
      <c r="BW47">
        <v>58048.799999999996</v>
      </c>
      <c r="BX47">
        <v>6</v>
      </c>
      <c r="BY47">
        <v>9165.5999999999985</v>
      </c>
      <c r="BZ47">
        <v>7</v>
      </c>
      <c r="CA47">
        <v>10693.199999999999</v>
      </c>
      <c r="CB47">
        <v>8</v>
      </c>
      <c r="CC47">
        <v>12220.8</v>
      </c>
      <c r="CD47">
        <v>6</v>
      </c>
      <c r="CE47">
        <v>9165.5999999999985</v>
      </c>
      <c r="CF47">
        <v>28</v>
      </c>
      <c r="CG47">
        <v>42772.799999999996</v>
      </c>
      <c r="CH47">
        <v>25</v>
      </c>
      <c r="CI47">
        <v>38190</v>
      </c>
      <c r="CJ47">
        <v>27.09171215575326</v>
      </c>
      <c r="CK47">
        <v>41385.29948912868</v>
      </c>
      <c r="CL47">
        <v>23.339223024119114</v>
      </c>
      <c r="CM47">
        <v>35652.997091644356</v>
      </c>
      <c r="CN47">
        <v>47.693518847818197</v>
      </c>
      <c r="CO47">
        <v>72856.619391927074</v>
      </c>
      <c r="CP47">
        <v>50.434252707303031</v>
      </c>
      <c r="CQ47">
        <v>77043.364435676107</v>
      </c>
      <c r="CR47">
        <v>34.294264744001303</v>
      </c>
      <c r="CS47">
        <v>52387.918822936386</v>
      </c>
      <c r="CT47">
        <v>47.291203063164957</v>
      </c>
      <c r="CU47">
        <v>72242.04179929079</v>
      </c>
    </row>
    <row r="48" spans="2:99" x14ac:dyDescent="0.2">
      <c r="C48" s="105" t="s">
        <v>214</v>
      </c>
      <c r="D48">
        <v>12</v>
      </c>
      <c r="E48">
        <v>10411.200000000001</v>
      </c>
      <c r="F48">
        <v>15</v>
      </c>
      <c r="G48">
        <v>13014</v>
      </c>
      <c r="H48">
        <v>12</v>
      </c>
      <c r="I48">
        <v>10411.200000000001</v>
      </c>
      <c r="J48">
        <v>15</v>
      </c>
      <c r="K48">
        <v>13014</v>
      </c>
      <c r="L48">
        <v>6</v>
      </c>
      <c r="M48">
        <v>5205.6000000000004</v>
      </c>
      <c r="N48">
        <v>5</v>
      </c>
      <c r="O48">
        <v>4338</v>
      </c>
      <c r="P48">
        <v>6</v>
      </c>
      <c r="Q48">
        <v>5205.6000000000004</v>
      </c>
      <c r="R48">
        <v>4</v>
      </c>
      <c r="S48">
        <v>3470.4</v>
      </c>
      <c r="T48">
        <v>12</v>
      </c>
      <c r="U48">
        <v>10411.200000000001</v>
      </c>
      <c r="V48">
        <v>12</v>
      </c>
      <c r="W48">
        <v>10411.200000000001</v>
      </c>
      <c r="X48">
        <v>13</v>
      </c>
      <c r="Y48">
        <v>11278.800000000001</v>
      </c>
      <c r="Z48">
        <v>19</v>
      </c>
      <c r="AA48">
        <v>16484.400000000001</v>
      </c>
      <c r="AB48">
        <v>10</v>
      </c>
      <c r="AC48">
        <v>8676</v>
      </c>
      <c r="AD48">
        <v>10</v>
      </c>
      <c r="AE48">
        <v>8676</v>
      </c>
      <c r="AF48">
        <v>7</v>
      </c>
      <c r="AG48">
        <v>6073.2</v>
      </c>
      <c r="AH48">
        <v>8</v>
      </c>
      <c r="AI48">
        <v>6940.8</v>
      </c>
      <c r="AJ48">
        <v>10</v>
      </c>
      <c r="AK48">
        <v>8676</v>
      </c>
      <c r="AL48">
        <v>15</v>
      </c>
      <c r="AM48">
        <v>13014</v>
      </c>
      <c r="AN48">
        <v>10</v>
      </c>
      <c r="AO48">
        <v>8676</v>
      </c>
      <c r="AP48">
        <v>16</v>
      </c>
      <c r="AQ48">
        <v>13881.6</v>
      </c>
      <c r="AR48">
        <v>9</v>
      </c>
      <c r="AS48">
        <v>7808.4000000000005</v>
      </c>
      <c r="AT48">
        <v>10</v>
      </c>
      <c r="AU48">
        <v>8676</v>
      </c>
      <c r="AV48">
        <v>9</v>
      </c>
      <c r="AW48">
        <v>7808.4000000000005</v>
      </c>
      <c r="AX48">
        <v>11</v>
      </c>
      <c r="AY48">
        <v>9543.6</v>
      </c>
      <c r="AZ48">
        <v>31</v>
      </c>
      <c r="BA48">
        <v>26895.600000000002</v>
      </c>
      <c r="BB48">
        <v>36</v>
      </c>
      <c r="BC48">
        <v>31233.600000000002</v>
      </c>
      <c r="BD48">
        <v>39.058723562438097</v>
      </c>
      <c r="BE48">
        <v>33887.348562771294</v>
      </c>
      <c r="BF48">
        <v>41</v>
      </c>
      <c r="BG48">
        <v>35571.599999999999</v>
      </c>
      <c r="BH48">
        <v>21</v>
      </c>
      <c r="BI48">
        <v>18219.600000000002</v>
      </c>
      <c r="BJ48">
        <v>19.330512542804815</v>
      </c>
      <c r="BK48">
        <v>16771.152682137457</v>
      </c>
      <c r="BL48">
        <v>17.054880633357985</v>
      </c>
      <c r="BM48">
        <v>14796.814437501389</v>
      </c>
      <c r="BN48">
        <v>17</v>
      </c>
      <c r="BO48">
        <v>14749.2</v>
      </c>
      <c r="BP48">
        <v>57</v>
      </c>
      <c r="BQ48">
        <v>49453.200000000004</v>
      </c>
      <c r="BR48">
        <v>53</v>
      </c>
      <c r="BS48">
        <v>45982.8</v>
      </c>
      <c r="BT48">
        <v>48</v>
      </c>
      <c r="BU48">
        <v>41644.800000000003</v>
      </c>
      <c r="BV48">
        <v>42</v>
      </c>
      <c r="BW48">
        <v>36439.200000000004</v>
      </c>
      <c r="BX48">
        <v>6</v>
      </c>
      <c r="BY48">
        <v>5205.6000000000004</v>
      </c>
      <c r="BZ48">
        <v>7</v>
      </c>
      <c r="CA48">
        <v>6073.2</v>
      </c>
      <c r="CB48">
        <v>9</v>
      </c>
      <c r="CC48">
        <v>7808.4000000000005</v>
      </c>
      <c r="CD48">
        <v>5</v>
      </c>
      <c r="CE48">
        <v>4338</v>
      </c>
      <c r="CF48">
        <v>32</v>
      </c>
      <c r="CG48">
        <v>27763.200000000001</v>
      </c>
      <c r="CH48">
        <v>28</v>
      </c>
      <c r="CI48">
        <v>24292.799999999999</v>
      </c>
      <c r="CJ48">
        <v>29.103176175222419</v>
      </c>
      <c r="CK48">
        <v>25249.91564962297</v>
      </c>
      <c r="CL48">
        <v>24.370061480857217</v>
      </c>
      <c r="CM48">
        <v>21143.465340791721</v>
      </c>
      <c r="CN48">
        <v>48.76264206609649</v>
      </c>
      <c r="CO48">
        <v>42306.468256545319</v>
      </c>
      <c r="CP48">
        <v>50.667735706166312</v>
      </c>
      <c r="CQ48">
        <v>43959.327498669896</v>
      </c>
      <c r="CR48">
        <v>36.337538971060326</v>
      </c>
      <c r="CS48">
        <v>31526.448811291939</v>
      </c>
      <c r="CT48">
        <v>50.38285118569155</v>
      </c>
      <c r="CU48">
        <v>43712.161688705986</v>
      </c>
    </row>
    <row r="49" spans="2:99" x14ac:dyDescent="0.2">
      <c r="B49" s="105" t="s">
        <v>129</v>
      </c>
      <c r="C49" s="105" t="s">
        <v>215</v>
      </c>
      <c r="D49">
        <v>16</v>
      </c>
      <c r="E49">
        <v>15763.199999999999</v>
      </c>
      <c r="F49">
        <v>16</v>
      </c>
      <c r="G49">
        <v>15763.199999999999</v>
      </c>
      <c r="H49">
        <v>10</v>
      </c>
      <c r="I49">
        <v>9852</v>
      </c>
      <c r="J49">
        <v>15</v>
      </c>
      <c r="K49">
        <v>14777.999999999998</v>
      </c>
      <c r="L49">
        <v>45.182364166854349</v>
      </c>
      <c r="M49">
        <v>44513.665177184899</v>
      </c>
      <c r="N49">
        <v>42.592010417739104</v>
      </c>
      <c r="O49">
        <v>41961.64866355656</v>
      </c>
      <c r="P49">
        <v>24.538243737891452</v>
      </c>
      <c r="Q49">
        <v>24175.077730570658</v>
      </c>
      <c r="R49">
        <v>44.48673807180112</v>
      </c>
      <c r="S49">
        <v>43828.33434833846</v>
      </c>
      <c r="T49">
        <v>7.2867572283726174</v>
      </c>
      <c r="U49">
        <v>7178.9132213927023</v>
      </c>
      <c r="V49">
        <v>4.4812233745610133</v>
      </c>
      <c r="W49">
        <v>4414.9012686175101</v>
      </c>
      <c r="X49">
        <v>5.4137685440080681</v>
      </c>
      <c r="Y49">
        <v>5333.6447695567485</v>
      </c>
      <c r="Z49">
        <v>4.4708570135953192</v>
      </c>
      <c r="AA49">
        <v>4404.6883297941085</v>
      </c>
      <c r="AB49">
        <v>21.328024278995326</v>
      </c>
      <c r="AC49">
        <v>21012.369519666194</v>
      </c>
      <c r="AD49">
        <v>21.374435544676199</v>
      </c>
      <c r="AE49">
        <v>21058.093898614989</v>
      </c>
      <c r="AF49">
        <v>22.238713951432707</v>
      </c>
      <c r="AG49">
        <v>21909.580984951503</v>
      </c>
      <c r="AH49">
        <v>23.247508381976658</v>
      </c>
      <c r="AI49">
        <v>22903.445257923402</v>
      </c>
      <c r="AJ49">
        <v>22.370380699833095</v>
      </c>
      <c r="AK49">
        <v>22039.299065475563</v>
      </c>
      <c r="AL49">
        <v>28.428905752898103</v>
      </c>
      <c r="AM49">
        <v>28008.157947755208</v>
      </c>
      <c r="AN49">
        <v>29.332695872039931</v>
      </c>
      <c r="AO49">
        <v>28898.571973133738</v>
      </c>
      <c r="AP49">
        <v>17.384180470072913</v>
      </c>
      <c r="AQ49">
        <v>17126.894599115833</v>
      </c>
      <c r="AR49">
        <v>8.6478088311540606</v>
      </c>
      <c r="AS49">
        <v>8519.8212604529799</v>
      </c>
      <c r="AT49">
        <v>13</v>
      </c>
      <c r="AU49">
        <v>12807.599999999999</v>
      </c>
      <c r="AV49">
        <v>13</v>
      </c>
      <c r="AW49">
        <v>12807.599999999999</v>
      </c>
      <c r="AX49">
        <v>10</v>
      </c>
      <c r="AY49">
        <v>9852</v>
      </c>
      <c r="AZ49">
        <v>6.5637920590978727</v>
      </c>
      <c r="BA49">
        <v>6466.6479366232234</v>
      </c>
      <c r="BB49">
        <v>11</v>
      </c>
      <c r="BC49">
        <v>10837.199999999999</v>
      </c>
      <c r="BD49">
        <v>6</v>
      </c>
      <c r="BE49">
        <v>5911.2</v>
      </c>
      <c r="BF49">
        <v>10</v>
      </c>
      <c r="BG49">
        <v>9852</v>
      </c>
      <c r="BH49">
        <v>13.939904318892323</v>
      </c>
      <c r="BI49">
        <v>13733.593734972716</v>
      </c>
      <c r="BJ49">
        <v>9.6991447880824389</v>
      </c>
      <c r="BK49">
        <v>9555.5974452188184</v>
      </c>
      <c r="BL49">
        <v>11.201886902958918</v>
      </c>
      <c r="BM49">
        <v>11036.098976795125</v>
      </c>
      <c r="BN49">
        <v>12</v>
      </c>
      <c r="BO49">
        <v>11822.4</v>
      </c>
      <c r="BP49">
        <v>6.1490190197472199</v>
      </c>
      <c r="BQ49">
        <v>6058.0135382549606</v>
      </c>
      <c r="BR49">
        <v>7.6962466911032781</v>
      </c>
      <c r="BS49">
        <v>7582.3422400749487</v>
      </c>
      <c r="BT49">
        <v>6.9441065283924983</v>
      </c>
      <c r="BU49">
        <v>6841.3337517722885</v>
      </c>
      <c r="BV49">
        <v>4.6199014989949037</v>
      </c>
      <c r="BW49">
        <v>4551.5269568097783</v>
      </c>
      <c r="BX49">
        <v>3.4825778366825322</v>
      </c>
      <c r="BY49">
        <v>3431.0356846996306</v>
      </c>
      <c r="BZ49">
        <v>4.3803382362888321</v>
      </c>
      <c r="CA49">
        <v>4315.5092303917572</v>
      </c>
      <c r="CB49">
        <v>3.4469534056463109</v>
      </c>
      <c r="CC49">
        <v>3395.9384952427454</v>
      </c>
      <c r="CD49">
        <v>5.3268675831730157</v>
      </c>
      <c r="CE49">
        <v>5248.0299429420547</v>
      </c>
      <c r="CF49">
        <v>14.175739165431073</v>
      </c>
      <c r="CG49">
        <v>13965.938225782693</v>
      </c>
      <c r="CH49">
        <v>21.177743630414096</v>
      </c>
      <c r="CI49">
        <v>20864.313024683965</v>
      </c>
      <c r="CJ49">
        <v>15.155697559511299</v>
      </c>
      <c r="CK49">
        <v>14931.39323563053</v>
      </c>
      <c r="CL49">
        <v>12.164325743053073</v>
      </c>
      <c r="CM49">
        <v>11984.293722055887</v>
      </c>
      <c r="CN49">
        <v>11</v>
      </c>
      <c r="CO49">
        <v>10837.199999999999</v>
      </c>
      <c r="CP49">
        <v>12</v>
      </c>
      <c r="CQ49">
        <v>11822.4</v>
      </c>
      <c r="CR49">
        <v>8.2254099541529797</v>
      </c>
      <c r="CS49">
        <v>8103.6738868315151</v>
      </c>
      <c r="CT49">
        <v>14.042516905610018</v>
      </c>
      <c r="CU49">
        <v>13834.68765540699</v>
      </c>
    </row>
    <row r="50" spans="2:99" x14ac:dyDescent="0.2">
      <c r="C50" s="105" t="s">
        <v>216</v>
      </c>
      <c r="D50">
        <v>16</v>
      </c>
      <c r="E50">
        <v>4512</v>
      </c>
      <c r="F50">
        <v>19</v>
      </c>
      <c r="G50">
        <v>5358</v>
      </c>
      <c r="H50">
        <v>11</v>
      </c>
      <c r="I50">
        <v>3102</v>
      </c>
      <c r="J50">
        <v>20</v>
      </c>
      <c r="K50">
        <v>5640</v>
      </c>
      <c r="L50">
        <v>47</v>
      </c>
      <c r="M50">
        <v>13254</v>
      </c>
      <c r="N50">
        <v>47</v>
      </c>
      <c r="O50">
        <v>13254</v>
      </c>
      <c r="P50">
        <v>26</v>
      </c>
      <c r="Q50">
        <v>7332</v>
      </c>
      <c r="R50">
        <v>47</v>
      </c>
      <c r="S50">
        <v>13254</v>
      </c>
      <c r="T50">
        <v>7</v>
      </c>
      <c r="U50">
        <v>1974</v>
      </c>
      <c r="V50">
        <v>5</v>
      </c>
      <c r="W50">
        <v>1410</v>
      </c>
      <c r="X50">
        <v>5</v>
      </c>
      <c r="Y50">
        <v>1410</v>
      </c>
      <c r="Z50">
        <v>3</v>
      </c>
      <c r="AA50">
        <v>846</v>
      </c>
      <c r="AB50">
        <v>20</v>
      </c>
      <c r="AC50">
        <v>5640</v>
      </c>
      <c r="AD50">
        <v>21</v>
      </c>
      <c r="AE50">
        <v>5922</v>
      </c>
      <c r="AF50">
        <v>24</v>
      </c>
      <c r="AG50">
        <v>6768</v>
      </c>
      <c r="AH50">
        <v>24</v>
      </c>
      <c r="AI50">
        <v>6768</v>
      </c>
      <c r="AJ50">
        <v>26</v>
      </c>
      <c r="AK50">
        <v>7332</v>
      </c>
      <c r="AL50">
        <v>30</v>
      </c>
      <c r="AM50">
        <v>8460</v>
      </c>
      <c r="AN50">
        <v>30</v>
      </c>
      <c r="AO50">
        <v>8460</v>
      </c>
      <c r="AP50">
        <v>19</v>
      </c>
      <c r="AQ50">
        <v>5358</v>
      </c>
      <c r="AR50">
        <v>10</v>
      </c>
      <c r="AS50">
        <v>2820</v>
      </c>
      <c r="AT50">
        <v>14</v>
      </c>
      <c r="AU50">
        <v>3948</v>
      </c>
      <c r="AV50">
        <v>15</v>
      </c>
      <c r="AW50">
        <v>4230</v>
      </c>
      <c r="AX50">
        <v>11</v>
      </c>
      <c r="AY50">
        <v>3102</v>
      </c>
      <c r="AZ50">
        <v>7</v>
      </c>
      <c r="BA50">
        <v>1974</v>
      </c>
      <c r="BB50">
        <v>12</v>
      </c>
      <c r="BC50">
        <v>3384</v>
      </c>
      <c r="BD50">
        <v>5.0587235624380948</v>
      </c>
      <c r="BE50">
        <v>1426.5600446075427</v>
      </c>
      <c r="BF50">
        <v>12</v>
      </c>
      <c r="BG50">
        <v>3384</v>
      </c>
      <c r="BH50">
        <v>15</v>
      </c>
      <c r="BI50">
        <v>4230</v>
      </c>
      <c r="BJ50">
        <v>9</v>
      </c>
      <c r="BK50">
        <v>2538</v>
      </c>
      <c r="BL50">
        <v>11.344251245609179</v>
      </c>
      <c r="BM50">
        <v>3199.0788512617887</v>
      </c>
      <c r="BN50">
        <v>13</v>
      </c>
      <c r="BO50">
        <v>3666</v>
      </c>
      <c r="BP50">
        <v>6</v>
      </c>
      <c r="BQ50">
        <v>1692</v>
      </c>
      <c r="BR50">
        <v>7</v>
      </c>
      <c r="BS50">
        <v>1974</v>
      </c>
      <c r="BT50">
        <v>7</v>
      </c>
      <c r="BU50">
        <v>1974</v>
      </c>
      <c r="BV50">
        <v>4</v>
      </c>
      <c r="BW50">
        <v>1128</v>
      </c>
      <c r="BX50">
        <v>4</v>
      </c>
      <c r="BY50">
        <v>1128</v>
      </c>
      <c r="BZ50">
        <v>5</v>
      </c>
      <c r="CA50">
        <v>1410</v>
      </c>
      <c r="CB50">
        <v>3</v>
      </c>
      <c r="CC50">
        <v>846</v>
      </c>
      <c r="CD50">
        <v>5</v>
      </c>
      <c r="CE50">
        <v>1410</v>
      </c>
      <c r="CF50">
        <v>15</v>
      </c>
      <c r="CG50">
        <v>4230</v>
      </c>
      <c r="CH50">
        <v>24</v>
      </c>
      <c r="CI50">
        <v>6768</v>
      </c>
      <c r="CJ50">
        <v>17.080248136284101</v>
      </c>
      <c r="CK50">
        <v>4816.6299744321168</v>
      </c>
      <c r="CL50">
        <v>14.185030740428608</v>
      </c>
      <c r="CM50">
        <v>4000.1786688008674</v>
      </c>
      <c r="CN50">
        <v>13.866326893513934</v>
      </c>
      <c r="CO50">
        <v>3910.3041839709294</v>
      </c>
      <c r="CP50">
        <v>15.53431684967301</v>
      </c>
      <c r="CQ50">
        <v>4380.6773516077883</v>
      </c>
      <c r="CR50">
        <v>8.5019810338845829</v>
      </c>
      <c r="CS50">
        <v>2397.5586515554523</v>
      </c>
      <c r="CT50">
        <v>14</v>
      </c>
      <c r="CU50">
        <v>3948</v>
      </c>
    </row>
    <row r="51" spans="2:99" x14ac:dyDescent="0.2">
      <c r="C51" s="105" t="s">
        <v>217</v>
      </c>
      <c r="D51">
        <v>16</v>
      </c>
      <c r="E51">
        <v>13670.4</v>
      </c>
      <c r="F51">
        <v>17</v>
      </c>
      <c r="G51">
        <v>14524.8</v>
      </c>
      <c r="H51">
        <v>10</v>
      </c>
      <c r="I51">
        <v>8544</v>
      </c>
      <c r="J51">
        <v>19</v>
      </c>
      <c r="K51">
        <v>16233.6</v>
      </c>
      <c r="L51">
        <v>43</v>
      </c>
      <c r="M51">
        <v>36739.199999999997</v>
      </c>
      <c r="N51">
        <v>44</v>
      </c>
      <c r="O51">
        <v>37593.599999999999</v>
      </c>
      <c r="P51">
        <v>22</v>
      </c>
      <c r="Q51">
        <v>18796.8</v>
      </c>
      <c r="R51">
        <v>40</v>
      </c>
      <c r="S51">
        <v>34176</v>
      </c>
      <c r="T51">
        <v>7</v>
      </c>
      <c r="U51">
        <v>5980.8</v>
      </c>
      <c r="V51">
        <v>4</v>
      </c>
      <c r="W51">
        <v>3417.6</v>
      </c>
      <c r="X51">
        <v>4</v>
      </c>
      <c r="Y51">
        <v>3417.6</v>
      </c>
      <c r="Z51">
        <v>4</v>
      </c>
      <c r="AA51">
        <v>3417.6</v>
      </c>
      <c r="AB51">
        <v>22</v>
      </c>
      <c r="AC51">
        <v>18796.8</v>
      </c>
      <c r="AD51">
        <v>21</v>
      </c>
      <c r="AE51">
        <v>17942.399999999998</v>
      </c>
      <c r="AF51">
        <v>23</v>
      </c>
      <c r="AG51">
        <v>19651.2</v>
      </c>
      <c r="AH51">
        <v>22</v>
      </c>
      <c r="AI51">
        <v>18796.8</v>
      </c>
      <c r="AJ51">
        <v>21</v>
      </c>
      <c r="AK51">
        <v>17942.399999999998</v>
      </c>
      <c r="AL51">
        <v>30</v>
      </c>
      <c r="AM51">
        <v>25632</v>
      </c>
      <c r="AN51">
        <v>31</v>
      </c>
      <c r="AO51">
        <v>26486.399999999998</v>
      </c>
      <c r="AP51">
        <v>18</v>
      </c>
      <c r="AQ51">
        <v>15379.199999999999</v>
      </c>
      <c r="AR51">
        <v>8</v>
      </c>
      <c r="AS51">
        <v>6835.2</v>
      </c>
      <c r="AT51">
        <v>14</v>
      </c>
      <c r="AU51">
        <v>11961.6</v>
      </c>
      <c r="AV51">
        <v>13</v>
      </c>
      <c r="AW51">
        <v>11107.199999999999</v>
      </c>
      <c r="AX51">
        <v>10</v>
      </c>
      <c r="AY51">
        <v>8544</v>
      </c>
      <c r="AZ51">
        <v>7</v>
      </c>
      <c r="BA51">
        <v>5980.8</v>
      </c>
      <c r="BB51">
        <v>11</v>
      </c>
      <c r="BC51">
        <v>9398.4</v>
      </c>
      <c r="BD51">
        <v>6.0533850567619041</v>
      </c>
      <c r="BE51">
        <v>5172.012192497371</v>
      </c>
      <c r="BF51">
        <v>10</v>
      </c>
      <c r="BG51">
        <v>8544</v>
      </c>
      <c r="BH51">
        <v>15</v>
      </c>
      <c r="BI51">
        <v>12816</v>
      </c>
      <c r="BJ51">
        <v>8</v>
      </c>
      <c r="BK51">
        <v>6835.2</v>
      </c>
      <c r="BL51">
        <v>10.32429465166082</v>
      </c>
      <c r="BM51">
        <v>8821.0773503790042</v>
      </c>
      <c r="BN51">
        <v>11</v>
      </c>
      <c r="BO51">
        <v>9398.4</v>
      </c>
      <c r="BP51">
        <v>6</v>
      </c>
      <c r="BQ51">
        <v>5126.3999999999996</v>
      </c>
      <c r="BR51">
        <v>7</v>
      </c>
      <c r="BS51">
        <v>5980.8</v>
      </c>
      <c r="BT51">
        <v>6</v>
      </c>
      <c r="BU51">
        <v>5126.3999999999996</v>
      </c>
      <c r="BV51">
        <v>5</v>
      </c>
      <c r="BW51">
        <v>4272</v>
      </c>
      <c r="BX51">
        <v>4</v>
      </c>
      <c r="BY51">
        <v>3417.6</v>
      </c>
      <c r="BZ51">
        <v>5</v>
      </c>
      <c r="CA51">
        <v>4272</v>
      </c>
      <c r="CB51">
        <v>3</v>
      </c>
      <c r="CC51">
        <v>2563.1999999999998</v>
      </c>
      <c r="CD51">
        <v>4</v>
      </c>
      <c r="CE51">
        <v>3417.6</v>
      </c>
      <c r="CF51">
        <v>15</v>
      </c>
      <c r="CG51">
        <v>12816</v>
      </c>
      <c r="CH51">
        <v>23</v>
      </c>
      <c r="CI51">
        <v>19651.2</v>
      </c>
      <c r="CJ51">
        <v>14.068784116814946</v>
      </c>
      <c r="CK51">
        <v>12020.36914940669</v>
      </c>
      <c r="CL51">
        <v>11.154192283690506</v>
      </c>
      <c r="CM51">
        <v>9530.1418871851674</v>
      </c>
      <c r="CN51">
        <v>12.831765284374788</v>
      </c>
      <c r="CO51">
        <v>10963.460258969819</v>
      </c>
      <c r="CP51">
        <v>13</v>
      </c>
      <c r="CQ51">
        <v>11107.199999999999</v>
      </c>
      <c r="CR51">
        <v>7.450051961413763</v>
      </c>
      <c r="CS51">
        <v>6365.324395831919</v>
      </c>
      <c r="CT51">
        <v>12</v>
      </c>
      <c r="CU51">
        <v>10252.799999999999</v>
      </c>
    </row>
    <row r="52" spans="2:99" x14ac:dyDescent="0.2">
      <c r="C52" s="105" t="s">
        <v>218</v>
      </c>
      <c r="D52">
        <v>16</v>
      </c>
      <c r="E52">
        <v>8640</v>
      </c>
      <c r="F52">
        <v>17</v>
      </c>
      <c r="G52">
        <v>9180</v>
      </c>
      <c r="H52">
        <v>12</v>
      </c>
      <c r="I52">
        <v>6480</v>
      </c>
      <c r="J52">
        <v>16</v>
      </c>
      <c r="K52">
        <v>8640</v>
      </c>
      <c r="L52">
        <v>45</v>
      </c>
      <c r="M52">
        <v>24300</v>
      </c>
      <c r="N52">
        <v>44</v>
      </c>
      <c r="O52">
        <v>23760</v>
      </c>
      <c r="P52">
        <v>24</v>
      </c>
      <c r="Q52">
        <v>12960</v>
      </c>
      <c r="R52">
        <v>40</v>
      </c>
      <c r="S52">
        <v>21600</v>
      </c>
      <c r="T52">
        <v>7</v>
      </c>
      <c r="U52">
        <v>3780</v>
      </c>
      <c r="V52">
        <v>5</v>
      </c>
      <c r="W52">
        <v>2700</v>
      </c>
      <c r="X52">
        <v>5</v>
      </c>
      <c r="Y52">
        <v>2700</v>
      </c>
      <c r="Z52">
        <v>3</v>
      </c>
      <c r="AA52">
        <v>1620</v>
      </c>
      <c r="AB52">
        <v>23</v>
      </c>
      <c r="AC52">
        <v>12420</v>
      </c>
      <c r="AD52">
        <v>20</v>
      </c>
      <c r="AE52">
        <v>10800</v>
      </c>
      <c r="AF52">
        <v>23</v>
      </c>
      <c r="AG52">
        <v>12420</v>
      </c>
      <c r="AH52">
        <v>27</v>
      </c>
      <c r="AI52">
        <v>14580</v>
      </c>
      <c r="AJ52">
        <v>22</v>
      </c>
      <c r="AK52">
        <v>11880</v>
      </c>
      <c r="AL52">
        <v>34</v>
      </c>
      <c r="AM52">
        <v>18360</v>
      </c>
      <c r="AN52">
        <v>32</v>
      </c>
      <c r="AO52">
        <v>17280</v>
      </c>
      <c r="AP52">
        <v>17</v>
      </c>
      <c r="AQ52">
        <v>9180</v>
      </c>
      <c r="AR52">
        <v>8</v>
      </c>
      <c r="AS52">
        <v>4320</v>
      </c>
      <c r="AT52">
        <v>15</v>
      </c>
      <c r="AU52">
        <v>8100</v>
      </c>
      <c r="AV52">
        <v>13</v>
      </c>
      <c r="AW52">
        <v>7020</v>
      </c>
      <c r="AX52">
        <v>10</v>
      </c>
      <c r="AY52">
        <v>5400</v>
      </c>
      <c r="AZ52">
        <v>6</v>
      </c>
      <c r="BA52">
        <v>3240</v>
      </c>
      <c r="BB52">
        <v>10</v>
      </c>
      <c r="BC52">
        <v>5400</v>
      </c>
      <c r="BD52">
        <v>6.0533850567619041</v>
      </c>
      <c r="BE52">
        <v>3268.8279306514282</v>
      </c>
      <c r="BF52">
        <v>11</v>
      </c>
      <c r="BG52">
        <v>5940</v>
      </c>
      <c r="BH52">
        <v>14</v>
      </c>
      <c r="BI52">
        <v>7560</v>
      </c>
      <c r="BJ52">
        <v>8</v>
      </c>
      <c r="BK52">
        <v>4320</v>
      </c>
      <c r="BL52">
        <v>11.334272948635</v>
      </c>
      <c r="BM52">
        <v>6120.5073922628999</v>
      </c>
      <c r="BN52">
        <v>13</v>
      </c>
      <c r="BO52">
        <v>7020</v>
      </c>
      <c r="BP52">
        <v>7</v>
      </c>
      <c r="BQ52">
        <v>3780</v>
      </c>
      <c r="BR52">
        <v>7</v>
      </c>
      <c r="BS52">
        <v>3780</v>
      </c>
      <c r="BT52">
        <v>6</v>
      </c>
      <c r="BU52">
        <v>3240</v>
      </c>
      <c r="BV52">
        <v>4</v>
      </c>
      <c r="BW52">
        <v>2160</v>
      </c>
      <c r="BX52">
        <v>3</v>
      </c>
      <c r="BY52">
        <v>1620</v>
      </c>
      <c r="BZ52">
        <v>5</v>
      </c>
      <c r="CA52">
        <v>2700</v>
      </c>
      <c r="CB52">
        <v>3</v>
      </c>
      <c r="CC52">
        <v>1620</v>
      </c>
      <c r="CD52">
        <v>5</v>
      </c>
      <c r="CE52">
        <v>2700</v>
      </c>
      <c r="CF52">
        <v>15</v>
      </c>
      <c r="CG52">
        <v>8100</v>
      </c>
      <c r="CH52">
        <v>26</v>
      </c>
      <c r="CI52">
        <v>14040</v>
      </c>
      <c r="CJ52">
        <v>17.068784116814946</v>
      </c>
      <c r="CK52">
        <v>9217.1434230800714</v>
      </c>
      <c r="CL52">
        <v>12.185030740428608</v>
      </c>
      <c r="CM52">
        <v>6579.9165998314484</v>
      </c>
      <c r="CN52">
        <v>15.039134939209669</v>
      </c>
      <c r="CO52">
        <v>8121.1328671732208</v>
      </c>
      <c r="CP52">
        <v>14.434252707303031</v>
      </c>
      <c r="CQ52">
        <v>7794.4964619436369</v>
      </c>
      <c r="CR52">
        <v>7.4846713430609757</v>
      </c>
      <c r="CS52">
        <v>4041.722525252927</v>
      </c>
      <c r="CT52">
        <v>12</v>
      </c>
      <c r="CU52">
        <v>6480</v>
      </c>
    </row>
    <row r="53" spans="2:99" x14ac:dyDescent="0.2">
      <c r="C53" s="105" t="s">
        <v>219</v>
      </c>
      <c r="D53">
        <v>16</v>
      </c>
      <c r="E53">
        <v>6508.8</v>
      </c>
      <c r="F53">
        <v>19</v>
      </c>
      <c r="G53">
        <v>7729.2</v>
      </c>
      <c r="H53">
        <v>11</v>
      </c>
      <c r="I53">
        <v>4474.8</v>
      </c>
      <c r="J53">
        <v>20</v>
      </c>
      <c r="K53">
        <v>8136</v>
      </c>
      <c r="L53">
        <v>47</v>
      </c>
      <c r="M53">
        <v>19119.600000000002</v>
      </c>
      <c r="N53">
        <v>47</v>
      </c>
      <c r="O53">
        <v>19119.600000000002</v>
      </c>
      <c r="P53">
        <v>23</v>
      </c>
      <c r="Q53">
        <v>9356.4</v>
      </c>
      <c r="R53">
        <v>43</v>
      </c>
      <c r="S53">
        <v>17492.400000000001</v>
      </c>
      <c r="T53">
        <v>6</v>
      </c>
      <c r="U53">
        <v>2440.8000000000002</v>
      </c>
      <c r="V53">
        <v>5</v>
      </c>
      <c r="W53">
        <v>2034</v>
      </c>
      <c r="X53">
        <v>5</v>
      </c>
      <c r="Y53">
        <v>2034</v>
      </c>
      <c r="Z53">
        <v>3</v>
      </c>
      <c r="AA53">
        <v>1220.4000000000001</v>
      </c>
      <c r="AB53">
        <v>23</v>
      </c>
      <c r="AC53">
        <v>9356.4</v>
      </c>
      <c r="AD53">
        <v>23</v>
      </c>
      <c r="AE53">
        <v>9356.4</v>
      </c>
      <c r="AF53">
        <v>26</v>
      </c>
      <c r="AG53">
        <v>10576.800000000001</v>
      </c>
      <c r="AH53">
        <v>26</v>
      </c>
      <c r="AI53">
        <v>10576.800000000001</v>
      </c>
      <c r="AJ53">
        <v>24</v>
      </c>
      <c r="AK53">
        <v>9763.2000000000007</v>
      </c>
      <c r="AL53">
        <v>31</v>
      </c>
      <c r="AM53">
        <v>12610.800000000001</v>
      </c>
      <c r="AN53">
        <v>33</v>
      </c>
      <c r="AO53">
        <v>13424.4</v>
      </c>
      <c r="AP53">
        <v>18</v>
      </c>
      <c r="AQ53">
        <v>7322.4000000000005</v>
      </c>
      <c r="AR53">
        <v>9</v>
      </c>
      <c r="AS53">
        <v>3661.2000000000003</v>
      </c>
      <c r="AT53">
        <v>14</v>
      </c>
      <c r="AU53">
        <v>5695.2</v>
      </c>
      <c r="AV53">
        <v>12</v>
      </c>
      <c r="AW53">
        <v>4881.6000000000004</v>
      </c>
      <c r="AX53">
        <v>9</v>
      </c>
      <c r="AY53">
        <v>3661.2000000000003</v>
      </c>
      <c r="AZ53">
        <v>7</v>
      </c>
      <c r="BA53">
        <v>2847.6</v>
      </c>
      <c r="BB53">
        <v>12</v>
      </c>
      <c r="BC53">
        <v>4881.6000000000004</v>
      </c>
      <c r="BD53">
        <v>6.0587235624380948</v>
      </c>
      <c r="BE53">
        <v>2464.6887451998173</v>
      </c>
      <c r="BF53">
        <v>10</v>
      </c>
      <c r="BG53">
        <v>4068</v>
      </c>
      <c r="BH53">
        <v>14</v>
      </c>
      <c r="BI53">
        <v>5695.2</v>
      </c>
      <c r="BJ53">
        <v>10</v>
      </c>
      <c r="BK53">
        <v>4068</v>
      </c>
      <c r="BL53">
        <v>10.349240394096269</v>
      </c>
      <c r="BM53">
        <v>4210.0709923183622</v>
      </c>
      <c r="BN53">
        <v>11</v>
      </c>
      <c r="BO53">
        <v>4474.8</v>
      </c>
      <c r="BP53">
        <v>6</v>
      </c>
      <c r="BQ53">
        <v>2440.8000000000002</v>
      </c>
      <c r="BR53">
        <v>8</v>
      </c>
      <c r="BS53">
        <v>3254.4</v>
      </c>
      <c r="BT53">
        <v>6</v>
      </c>
      <c r="BU53">
        <v>2440.8000000000002</v>
      </c>
      <c r="BV53">
        <v>4</v>
      </c>
      <c r="BW53">
        <v>1627.2</v>
      </c>
      <c r="BX53">
        <v>3</v>
      </c>
      <c r="BY53">
        <v>1220.4000000000001</v>
      </c>
      <c r="BZ53">
        <v>4</v>
      </c>
      <c r="CA53">
        <v>1627.2</v>
      </c>
      <c r="CB53">
        <v>3</v>
      </c>
      <c r="CC53">
        <v>1220.4000000000001</v>
      </c>
      <c r="CD53">
        <v>5</v>
      </c>
      <c r="CE53">
        <v>2034</v>
      </c>
      <c r="CF53">
        <v>14</v>
      </c>
      <c r="CG53">
        <v>5695.2</v>
      </c>
      <c r="CH53">
        <v>24</v>
      </c>
      <c r="CI53">
        <v>9763.2000000000007</v>
      </c>
      <c r="CJ53">
        <v>15.080248136284103</v>
      </c>
      <c r="CK53">
        <v>6134.6449418403736</v>
      </c>
      <c r="CL53">
        <v>12.185030740428608</v>
      </c>
      <c r="CM53">
        <v>4956.8705052063578</v>
      </c>
      <c r="CN53">
        <v>15.831765284374788</v>
      </c>
      <c r="CO53">
        <v>6440.3621176836641</v>
      </c>
      <c r="CP53">
        <v>13.601026277919662</v>
      </c>
      <c r="CQ53">
        <v>5532.897489857718</v>
      </c>
      <c r="CR53">
        <v>8.5192907247081884</v>
      </c>
      <c r="CS53">
        <v>3465.647466811291</v>
      </c>
      <c r="CT53">
        <v>12</v>
      </c>
      <c r="CU53">
        <v>4881.6000000000004</v>
      </c>
    </row>
    <row r="54" spans="2:99" x14ac:dyDescent="0.2">
      <c r="C54" s="105" t="s">
        <v>220</v>
      </c>
      <c r="D54">
        <v>15</v>
      </c>
      <c r="E54">
        <v>5022</v>
      </c>
      <c r="F54">
        <v>20</v>
      </c>
      <c r="G54">
        <v>6696</v>
      </c>
      <c r="H54">
        <v>12</v>
      </c>
      <c r="I54">
        <v>4017.6000000000004</v>
      </c>
      <c r="J54">
        <v>20</v>
      </c>
      <c r="K54">
        <v>6696</v>
      </c>
      <c r="L54">
        <v>41</v>
      </c>
      <c r="M54">
        <v>13726.800000000001</v>
      </c>
      <c r="N54">
        <v>46</v>
      </c>
      <c r="O54">
        <v>15400.800000000001</v>
      </c>
      <c r="P54">
        <v>26</v>
      </c>
      <c r="Q54">
        <v>8704.8000000000011</v>
      </c>
      <c r="R54">
        <v>48</v>
      </c>
      <c r="S54">
        <v>16070.400000000001</v>
      </c>
      <c r="T54">
        <v>6</v>
      </c>
      <c r="U54">
        <v>2008.8000000000002</v>
      </c>
      <c r="V54">
        <v>5</v>
      </c>
      <c r="W54">
        <v>1674</v>
      </c>
      <c r="X54">
        <v>5</v>
      </c>
      <c r="Y54">
        <v>1674</v>
      </c>
      <c r="Z54">
        <v>4</v>
      </c>
      <c r="AA54">
        <v>1339.2</v>
      </c>
      <c r="AB54">
        <v>22</v>
      </c>
      <c r="AC54">
        <v>7365.6</v>
      </c>
      <c r="AD54">
        <v>24</v>
      </c>
      <c r="AE54">
        <v>8035.2000000000007</v>
      </c>
      <c r="AF54">
        <v>26</v>
      </c>
      <c r="AG54">
        <v>8704.8000000000011</v>
      </c>
      <c r="AH54">
        <v>26</v>
      </c>
      <c r="AI54">
        <v>8704.8000000000011</v>
      </c>
      <c r="AJ54">
        <v>23</v>
      </c>
      <c r="AK54">
        <v>7700.4000000000005</v>
      </c>
      <c r="AL54">
        <v>30</v>
      </c>
      <c r="AM54">
        <v>10044</v>
      </c>
      <c r="AN54">
        <v>31</v>
      </c>
      <c r="AO54">
        <v>10378.800000000001</v>
      </c>
      <c r="AP54">
        <v>18</v>
      </c>
      <c r="AQ54">
        <v>6026.4000000000005</v>
      </c>
      <c r="AR54">
        <v>9</v>
      </c>
      <c r="AS54">
        <v>3013.2000000000003</v>
      </c>
      <c r="AT54">
        <v>14</v>
      </c>
      <c r="AU54">
        <v>4687.2</v>
      </c>
      <c r="AV54">
        <v>14</v>
      </c>
      <c r="AW54">
        <v>4687.2</v>
      </c>
      <c r="AX54">
        <v>9</v>
      </c>
      <c r="AY54">
        <v>3013.2000000000003</v>
      </c>
      <c r="AZ54">
        <v>7</v>
      </c>
      <c r="BA54">
        <v>2343.6</v>
      </c>
      <c r="BB54">
        <v>10</v>
      </c>
      <c r="BC54">
        <v>3348</v>
      </c>
      <c r="BD54">
        <v>6.0587235624380948</v>
      </c>
      <c r="BE54">
        <v>2028.4606487042743</v>
      </c>
      <c r="BF54">
        <v>10</v>
      </c>
      <c r="BG54">
        <v>3348</v>
      </c>
      <c r="BH54">
        <v>14</v>
      </c>
      <c r="BI54">
        <v>4687.2</v>
      </c>
      <c r="BJ54">
        <v>9</v>
      </c>
      <c r="BK54">
        <v>3013.2000000000003</v>
      </c>
      <c r="BL54">
        <v>11.33926209712209</v>
      </c>
      <c r="BM54">
        <v>3796.3849501164759</v>
      </c>
      <c r="BN54">
        <v>12</v>
      </c>
      <c r="BO54">
        <v>4017.6000000000004</v>
      </c>
      <c r="BP54">
        <v>6</v>
      </c>
      <c r="BQ54">
        <v>2008.8000000000002</v>
      </c>
      <c r="BR54">
        <v>8</v>
      </c>
      <c r="BS54">
        <v>2678.4</v>
      </c>
      <c r="BT54">
        <v>6</v>
      </c>
      <c r="BU54">
        <v>2008.8000000000002</v>
      </c>
      <c r="BV54">
        <v>4</v>
      </c>
      <c r="BW54">
        <v>1339.2</v>
      </c>
      <c r="BX54">
        <v>4</v>
      </c>
      <c r="BY54">
        <v>1339.2</v>
      </c>
      <c r="BZ54">
        <v>5</v>
      </c>
      <c r="CA54">
        <v>1674</v>
      </c>
      <c r="CB54">
        <v>3</v>
      </c>
      <c r="CC54">
        <v>1004.4000000000001</v>
      </c>
      <c r="CD54">
        <v>5</v>
      </c>
      <c r="CE54">
        <v>1674</v>
      </c>
      <c r="CF54">
        <v>16</v>
      </c>
      <c r="CG54">
        <v>5356.8</v>
      </c>
      <c r="CH54">
        <v>25</v>
      </c>
      <c r="CI54">
        <v>8370</v>
      </c>
      <c r="CJ54">
        <v>16.068784116814946</v>
      </c>
      <c r="CK54">
        <v>5379.8289223096444</v>
      </c>
      <c r="CL54">
        <v>12.154192283690506</v>
      </c>
      <c r="CM54">
        <v>4069.2235765795813</v>
      </c>
      <c r="CN54">
        <v>14.762642066096493</v>
      </c>
      <c r="CO54">
        <v>4942.5325637291062</v>
      </c>
      <c r="CP54">
        <v>15.667735706166315</v>
      </c>
      <c r="CQ54">
        <v>5245.5579144244821</v>
      </c>
      <c r="CR54">
        <v>8.5019810338845829</v>
      </c>
      <c r="CS54">
        <v>2846.4632501445585</v>
      </c>
      <c r="CT54">
        <v>15.01625869558516</v>
      </c>
      <c r="CU54">
        <v>5027.4434112819117</v>
      </c>
    </row>
    <row r="55" spans="2:99" x14ac:dyDescent="0.2">
      <c r="C55" s="105" t="s">
        <v>221</v>
      </c>
      <c r="D55">
        <v>15</v>
      </c>
      <c r="E55">
        <v>9954</v>
      </c>
      <c r="F55">
        <v>18</v>
      </c>
      <c r="G55">
        <v>11944.800000000001</v>
      </c>
      <c r="H55">
        <v>11</v>
      </c>
      <c r="I55">
        <v>7299.6</v>
      </c>
      <c r="J55">
        <v>18</v>
      </c>
      <c r="K55">
        <v>11944.800000000001</v>
      </c>
      <c r="L55">
        <v>41</v>
      </c>
      <c r="M55">
        <v>27207.600000000002</v>
      </c>
      <c r="N55">
        <v>41</v>
      </c>
      <c r="O55">
        <v>27207.600000000002</v>
      </c>
      <c r="P55">
        <v>26</v>
      </c>
      <c r="Q55">
        <v>17253.600000000002</v>
      </c>
      <c r="R55">
        <v>46</v>
      </c>
      <c r="S55">
        <v>30525.600000000002</v>
      </c>
      <c r="T55">
        <v>7</v>
      </c>
      <c r="U55">
        <v>4645.2</v>
      </c>
      <c r="V55">
        <v>4</v>
      </c>
      <c r="W55">
        <v>2654.4</v>
      </c>
      <c r="X55">
        <v>5</v>
      </c>
      <c r="Y55">
        <v>3318</v>
      </c>
      <c r="Z55">
        <v>4</v>
      </c>
      <c r="AA55">
        <v>2654.4</v>
      </c>
      <c r="AB55">
        <v>20</v>
      </c>
      <c r="AC55">
        <v>13272</v>
      </c>
      <c r="AD55">
        <v>23</v>
      </c>
      <c r="AE55">
        <v>15262.800000000001</v>
      </c>
      <c r="AF55">
        <v>27</v>
      </c>
      <c r="AG55">
        <v>17917.2</v>
      </c>
      <c r="AH55">
        <v>24</v>
      </c>
      <c r="AI55">
        <v>15926.400000000001</v>
      </c>
      <c r="AJ55">
        <v>22</v>
      </c>
      <c r="AK55">
        <v>14599.2</v>
      </c>
      <c r="AL55">
        <v>33</v>
      </c>
      <c r="AM55">
        <v>21898.799999999999</v>
      </c>
      <c r="AN55">
        <v>34</v>
      </c>
      <c r="AO55">
        <v>22562.400000000001</v>
      </c>
      <c r="AP55">
        <v>15</v>
      </c>
      <c r="AQ55">
        <v>9954</v>
      </c>
      <c r="AR55">
        <v>8</v>
      </c>
      <c r="AS55">
        <v>5308.8</v>
      </c>
      <c r="AT55">
        <v>15</v>
      </c>
      <c r="AU55">
        <v>9954</v>
      </c>
      <c r="AV55">
        <v>14</v>
      </c>
      <c r="AW55">
        <v>9290.4</v>
      </c>
      <c r="AX55">
        <v>9</v>
      </c>
      <c r="AY55">
        <v>5972.4000000000005</v>
      </c>
      <c r="AZ55">
        <v>6</v>
      </c>
      <c r="BA55">
        <v>3981.6000000000004</v>
      </c>
      <c r="BB55">
        <v>10</v>
      </c>
      <c r="BC55">
        <v>6636</v>
      </c>
      <c r="BD55">
        <v>5.0533850567619041</v>
      </c>
      <c r="BE55">
        <v>3353.4263236671995</v>
      </c>
      <c r="BF55">
        <v>12</v>
      </c>
      <c r="BG55">
        <v>7963.2000000000007</v>
      </c>
      <c r="BH55">
        <v>13</v>
      </c>
      <c r="BI55">
        <v>8626.8000000000011</v>
      </c>
      <c r="BJ55">
        <v>9</v>
      </c>
      <c r="BK55">
        <v>5972.4000000000005</v>
      </c>
      <c r="BL55">
        <v>11.354229542583358</v>
      </c>
      <c r="BM55">
        <v>7534.6667244583168</v>
      </c>
      <c r="BN55">
        <v>11</v>
      </c>
      <c r="BO55">
        <v>7299.6</v>
      </c>
      <c r="BP55">
        <v>6</v>
      </c>
      <c r="BQ55">
        <v>3981.6000000000004</v>
      </c>
      <c r="BR55">
        <v>7</v>
      </c>
      <c r="BS55">
        <v>4645.2</v>
      </c>
      <c r="BT55">
        <v>6</v>
      </c>
      <c r="BU55">
        <v>3981.6000000000004</v>
      </c>
      <c r="BV55">
        <v>4</v>
      </c>
      <c r="BW55">
        <v>2654.4</v>
      </c>
      <c r="BX55">
        <v>4</v>
      </c>
      <c r="BY55">
        <v>2654.4</v>
      </c>
      <c r="BZ55">
        <v>4</v>
      </c>
      <c r="CA55">
        <v>2654.4</v>
      </c>
      <c r="CB55">
        <v>3</v>
      </c>
      <c r="CC55">
        <v>1990.8000000000002</v>
      </c>
      <c r="CD55">
        <v>5</v>
      </c>
      <c r="CE55">
        <v>3318</v>
      </c>
      <c r="CF55">
        <v>15</v>
      </c>
      <c r="CG55">
        <v>9954</v>
      </c>
      <c r="CH55">
        <v>22</v>
      </c>
      <c r="CI55">
        <v>14599.2</v>
      </c>
      <c r="CJ55">
        <v>14.068784116814946</v>
      </c>
      <c r="CK55">
        <v>9336.0451399183985</v>
      </c>
      <c r="CL55">
        <v>13.185030740428608</v>
      </c>
      <c r="CM55">
        <v>8749.5863993484254</v>
      </c>
      <c r="CN55">
        <v>12.79720367523564</v>
      </c>
      <c r="CO55">
        <v>8492.2243588863712</v>
      </c>
      <c r="CP55">
        <v>15.634380992042988</v>
      </c>
      <c r="CQ55">
        <v>10374.975226319728</v>
      </c>
      <c r="CR55">
        <v>8.5106358792963857</v>
      </c>
      <c r="CS55">
        <v>5647.6579695010814</v>
      </c>
      <c r="CT55">
        <v>13</v>
      </c>
      <c r="CU55">
        <v>8626.8000000000011</v>
      </c>
    </row>
    <row r="56" spans="2:99" x14ac:dyDescent="0.2">
      <c r="C56" s="105" t="s">
        <v>222</v>
      </c>
      <c r="D56">
        <v>15</v>
      </c>
      <c r="E56">
        <v>17262</v>
      </c>
      <c r="F56">
        <v>17</v>
      </c>
      <c r="G56">
        <v>19563.599999999999</v>
      </c>
      <c r="H56">
        <v>10</v>
      </c>
      <c r="I56">
        <v>11508</v>
      </c>
      <c r="J56">
        <v>18</v>
      </c>
      <c r="K56">
        <v>20714.399999999998</v>
      </c>
      <c r="L56">
        <v>37.182364166854349</v>
      </c>
      <c r="M56">
        <v>42789.464683215985</v>
      </c>
      <c r="N56">
        <v>40.542676216260844</v>
      </c>
      <c r="O56">
        <v>46656.511789672979</v>
      </c>
      <c r="P56">
        <v>22.538243737891452</v>
      </c>
      <c r="Q56">
        <v>25937.010893565483</v>
      </c>
      <c r="R56">
        <v>35.389390457440896</v>
      </c>
      <c r="S56">
        <v>40726.110538422981</v>
      </c>
      <c r="T56">
        <v>7.3277225467115628</v>
      </c>
      <c r="U56">
        <v>8432.7431067556663</v>
      </c>
      <c r="V56">
        <v>5.4812233745610133</v>
      </c>
      <c r="W56">
        <v>6307.7918594448138</v>
      </c>
      <c r="X56">
        <v>4.4137685440080681</v>
      </c>
      <c r="Y56">
        <v>5079.3648404444848</v>
      </c>
      <c r="Z56">
        <v>4.4280518305411993</v>
      </c>
      <c r="AA56">
        <v>5095.8020465868121</v>
      </c>
      <c r="AB56">
        <v>19.295221851095793</v>
      </c>
      <c r="AC56">
        <v>22204.941306241039</v>
      </c>
      <c r="AD56">
        <v>22.374435544676199</v>
      </c>
      <c r="AE56">
        <v>25748.50042481337</v>
      </c>
      <c r="AF56">
        <v>25.272815944494525</v>
      </c>
      <c r="AG56">
        <v>29083.956588924299</v>
      </c>
      <c r="AH56">
        <v>22.282866722259037</v>
      </c>
      <c r="AI56">
        <v>25643.123023975699</v>
      </c>
      <c r="AJ56">
        <v>22.311899536701553</v>
      </c>
      <c r="AK56">
        <v>25676.533986836144</v>
      </c>
      <c r="AL56">
        <v>28.428905752898103</v>
      </c>
      <c r="AM56">
        <v>32715.984740435135</v>
      </c>
      <c r="AN56">
        <v>30.371836562868157</v>
      </c>
      <c r="AO56">
        <v>34951.909516548672</v>
      </c>
      <c r="AP56">
        <v>15.384180470072915</v>
      </c>
      <c r="AQ56">
        <v>17704.114884959909</v>
      </c>
      <c r="AR56">
        <v>9.5334896256562853</v>
      </c>
      <c r="AS56">
        <v>10971.139861205253</v>
      </c>
      <c r="AT56">
        <v>12</v>
      </c>
      <c r="AU56">
        <v>13809.599999999999</v>
      </c>
      <c r="AV56">
        <v>12</v>
      </c>
      <c r="AW56">
        <v>13809.599999999999</v>
      </c>
      <c r="AX56">
        <v>9</v>
      </c>
      <c r="AY56">
        <v>10357.199999999999</v>
      </c>
      <c r="AZ56">
        <v>6.5637920590978727</v>
      </c>
      <c r="BA56">
        <v>7553.6119016098319</v>
      </c>
      <c r="BB56">
        <v>10</v>
      </c>
      <c r="BC56">
        <v>11508</v>
      </c>
      <c r="BD56">
        <v>6</v>
      </c>
      <c r="BE56">
        <v>6904.7999999999993</v>
      </c>
      <c r="BF56">
        <v>10</v>
      </c>
      <c r="BG56">
        <v>11508</v>
      </c>
      <c r="BH56">
        <v>13.783253599076936</v>
      </c>
      <c r="BI56">
        <v>15861.768241817737</v>
      </c>
      <c r="BJ56">
        <v>10.673004099035017</v>
      </c>
      <c r="BK56">
        <v>12282.493117169497</v>
      </c>
      <c r="BL56">
        <v>11.376354356614247</v>
      </c>
      <c r="BM56">
        <v>13091.908593591674</v>
      </c>
      <c r="BN56">
        <v>11</v>
      </c>
      <c r="BO56">
        <v>12658.8</v>
      </c>
      <c r="BP56">
        <v>7.0378236307394246</v>
      </c>
      <c r="BQ56">
        <v>8099.1274342549295</v>
      </c>
      <c r="BR56">
        <v>7.6552910033913202</v>
      </c>
      <c r="BS56">
        <v>8809.7088867027305</v>
      </c>
      <c r="BT56">
        <v>7.9441065283924983</v>
      </c>
      <c r="BU56">
        <v>9142.0777928740863</v>
      </c>
      <c r="BV56">
        <v>4.5199173862537902</v>
      </c>
      <c r="BW56">
        <v>5201.520928100862</v>
      </c>
      <c r="BX56">
        <v>3.4825778366825322</v>
      </c>
      <c r="BY56">
        <v>4007.7505744542577</v>
      </c>
      <c r="BZ56">
        <v>4.3803382362888321</v>
      </c>
      <c r="CA56">
        <v>5040.8932423211882</v>
      </c>
      <c r="CB56">
        <v>3.4966148951625677</v>
      </c>
      <c r="CC56">
        <v>4023.9044213530829</v>
      </c>
      <c r="CD56">
        <v>4.3268675831730157</v>
      </c>
      <c r="CE56">
        <v>4979.3592147155059</v>
      </c>
      <c r="CF56">
        <v>14.175739165431073</v>
      </c>
      <c r="CG56">
        <v>16313.440631578078</v>
      </c>
      <c r="CH56">
        <v>23.203135577616109</v>
      </c>
      <c r="CI56">
        <v>26702.168422720617</v>
      </c>
      <c r="CJ56">
        <v>14.181647152763183</v>
      </c>
      <c r="CK56">
        <v>16320.23954339987</v>
      </c>
      <c r="CL56">
        <v>12.164325743053073</v>
      </c>
      <c r="CM56">
        <v>13998.706065105476</v>
      </c>
      <c r="CN56">
        <v>12</v>
      </c>
      <c r="CO56">
        <v>13809.599999999999</v>
      </c>
      <c r="CP56">
        <v>11</v>
      </c>
      <c r="CQ56">
        <v>12658.8</v>
      </c>
      <c r="CR56">
        <v>8.2254099541529797</v>
      </c>
      <c r="CS56">
        <v>9465.8017752392479</v>
      </c>
      <c r="CT56">
        <v>12.992873243438112</v>
      </c>
      <c r="CU56">
        <v>14952.198528548579</v>
      </c>
    </row>
    <row r="57" spans="2:99" x14ac:dyDescent="0.2">
      <c r="C57" s="105" t="s">
        <v>223</v>
      </c>
      <c r="D57">
        <v>13</v>
      </c>
      <c r="E57">
        <v>18345.600000000002</v>
      </c>
      <c r="F57">
        <v>17</v>
      </c>
      <c r="G57">
        <v>23990.400000000001</v>
      </c>
      <c r="H57">
        <v>10</v>
      </c>
      <c r="I57">
        <v>14112</v>
      </c>
      <c r="J57">
        <v>16</v>
      </c>
      <c r="K57">
        <v>22579.200000000001</v>
      </c>
      <c r="L57">
        <v>35</v>
      </c>
      <c r="M57">
        <v>49392</v>
      </c>
      <c r="N57">
        <v>34</v>
      </c>
      <c r="O57">
        <v>47980.800000000003</v>
      </c>
      <c r="P57">
        <v>22</v>
      </c>
      <c r="Q57">
        <v>31046.400000000001</v>
      </c>
      <c r="R57">
        <v>40</v>
      </c>
      <c r="S57">
        <v>56448</v>
      </c>
      <c r="T57">
        <v>6</v>
      </c>
      <c r="U57">
        <v>8467.2000000000007</v>
      </c>
      <c r="V57">
        <v>4</v>
      </c>
      <c r="W57">
        <v>5644.8</v>
      </c>
      <c r="X57">
        <v>4</v>
      </c>
      <c r="Y57">
        <v>5644.8</v>
      </c>
      <c r="Z57">
        <v>3</v>
      </c>
      <c r="AA57">
        <v>4233.6000000000004</v>
      </c>
      <c r="AB57">
        <v>18</v>
      </c>
      <c r="AC57">
        <v>25401.600000000002</v>
      </c>
      <c r="AD57">
        <v>18</v>
      </c>
      <c r="AE57">
        <v>25401.600000000002</v>
      </c>
      <c r="AF57">
        <v>24</v>
      </c>
      <c r="AG57">
        <v>33868.800000000003</v>
      </c>
      <c r="AH57">
        <v>21</v>
      </c>
      <c r="AI57">
        <v>29635.200000000001</v>
      </c>
      <c r="AJ57">
        <v>19</v>
      </c>
      <c r="AK57">
        <v>26812.799999999999</v>
      </c>
      <c r="AL57">
        <v>28</v>
      </c>
      <c r="AM57">
        <v>39513.599999999999</v>
      </c>
      <c r="AN57">
        <v>30</v>
      </c>
      <c r="AO57">
        <v>42336</v>
      </c>
      <c r="AP57">
        <v>17</v>
      </c>
      <c r="AQ57">
        <v>23990.400000000001</v>
      </c>
      <c r="AR57">
        <v>8</v>
      </c>
      <c r="AS57">
        <v>11289.6</v>
      </c>
      <c r="AT57">
        <v>13</v>
      </c>
      <c r="AU57">
        <v>18345.600000000002</v>
      </c>
      <c r="AV57">
        <v>12</v>
      </c>
      <c r="AW57">
        <v>16934.400000000001</v>
      </c>
      <c r="AX57">
        <v>8</v>
      </c>
      <c r="AY57">
        <v>11289.6</v>
      </c>
      <c r="AZ57">
        <v>6</v>
      </c>
      <c r="BA57">
        <v>8467.2000000000007</v>
      </c>
      <c r="BB57">
        <v>10</v>
      </c>
      <c r="BC57">
        <v>14112</v>
      </c>
      <c r="BD57">
        <v>5.0480465510857142</v>
      </c>
      <c r="BE57">
        <v>7123.8032928921602</v>
      </c>
      <c r="BF57">
        <v>11</v>
      </c>
      <c r="BG57">
        <v>15523.2</v>
      </c>
      <c r="BH57">
        <v>13</v>
      </c>
      <c r="BI57">
        <v>18345.600000000002</v>
      </c>
      <c r="BJ57">
        <v>7</v>
      </c>
      <c r="BK57">
        <v>9878.4</v>
      </c>
      <c r="BL57">
        <v>10.334272948635</v>
      </c>
      <c r="BM57">
        <v>14583.725985113713</v>
      </c>
      <c r="BN57">
        <v>11</v>
      </c>
      <c r="BO57">
        <v>15523.2</v>
      </c>
      <c r="BP57">
        <v>5</v>
      </c>
      <c r="BQ57">
        <v>7056</v>
      </c>
      <c r="BR57">
        <v>7</v>
      </c>
      <c r="BS57">
        <v>9878.4</v>
      </c>
      <c r="BT57">
        <v>6</v>
      </c>
      <c r="BU57">
        <v>8467.2000000000007</v>
      </c>
      <c r="BV57">
        <v>4</v>
      </c>
      <c r="BW57">
        <v>5644.8</v>
      </c>
      <c r="BX57">
        <v>3</v>
      </c>
      <c r="BY57">
        <v>4233.6000000000004</v>
      </c>
      <c r="BZ57">
        <v>4</v>
      </c>
      <c r="CA57">
        <v>5644.8</v>
      </c>
      <c r="CB57">
        <v>3</v>
      </c>
      <c r="CC57">
        <v>4233.6000000000004</v>
      </c>
      <c r="CD57">
        <v>5</v>
      </c>
      <c r="CE57">
        <v>7056</v>
      </c>
      <c r="CF57">
        <v>13</v>
      </c>
      <c r="CG57">
        <v>18345.600000000002</v>
      </c>
      <c r="CH57">
        <v>21</v>
      </c>
      <c r="CI57">
        <v>29635.200000000001</v>
      </c>
      <c r="CJ57">
        <v>13.068784116814946</v>
      </c>
      <c r="CK57">
        <v>18442.668145649252</v>
      </c>
      <c r="CL57">
        <v>12.185030740428608</v>
      </c>
      <c r="CM57">
        <v>17195.515380892852</v>
      </c>
      <c r="CN57">
        <v>11.520710802122466</v>
      </c>
      <c r="CO57">
        <v>16258.027083955223</v>
      </c>
      <c r="CP57">
        <v>13.400897993179704</v>
      </c>
      <c r="CQ57">
        <v>18911.347247975198</v>
      </c>
      <c r="CR57">
        <v>7.4413971160019603</v>
      </c>
      <c r="CS57">
        <v>10501.299610101967</v>
      </c>
      <c r="CT57">
        <v>12</v>
      </c>
      <c r="CU57">
        <v>16934.400000000001</v>
      </c>
    </row>
    <row r="58" spans="2:99" x14ac:dyDescent="0.2">
      <c r="C58" s="105" t="s">
        <v>224</v>
      </c>
      <c r="D58">
        <v>15</v>
      </c>
      <c r="E58">
        <v>17658</v>
      </c>
      <c r="F58">
        <v>19</v>
      </c>
      <c r="G58">
        <v>22366.799999999999</v>
      </c>
      <c r="H58">
        <v>11</v>
      </c>
      <c r="I58">
        <v>12949.2</v>
      </c>
      <c r="J58">
        <v>16</v>
      </c>
      <c r="K58">
        <v>18835.2</v>
      </c>
      <c r="L58">
        <v>43.182364166854349</v>
      </c>
      <c r="M58">
        <v>50834.27909722094</v>
      </c>
      <c r="N58">
        <v>42.592010417739104</v>
      </c>
      <c r="O58">
        <v>50139.314663762474</v>
      </c>
      <c r="P58">
        <v>24.48931248899223</v>
      </c>
      <c r="Q58">
        <v>28828.818662041653</v>
      </c>
      <c r="R58">
        <v>39.48673807180112</v>
      </c>
      <c r="S58">
        <v>46483.788058124279</v>
      </c>
      <c r="T58">
        <v>7.2867572283726174</v>
      </c>
      <c r="U58">
        <v>8577.9706092402448</v>
      </c>
      <c r="V58">
        <v>5.4812233745610133</v>
      </c>
      <c r="W58">
        <v>6452.4961565332251</v>
      </c>
      <c r="X58">
        <v>4.4137685440080681</v>
      </c>
      <c r="Y58">
        <v>5195.888330006298</v>
      </c>
      <c r="Z58">
        <v>4.4280518305411993</v>
      </c>
      <c r="AA58">
        <v>5212.7026149130998</v>
      </c>
      <c r="AB58">
        <v>19.360826706894859</v>
      </c>
      <c r="AC58">
        <v>22791.565199356628</v>
      </c>
      <c r="AD58">
        <v>18.374435544676199</v>
      </c>
      <c r="AE58">
        <v>21630.385523192821</v>
      </c>
      <c r="AF58">
        <v>21.238713951432707</v>
      </c>
      <c r="AG58">
        <v>25002.214063626583</v>
      </c>
      <c r="AH58">
        <v>23.282866722259037</v>
      </c>
      <c r="AI58">
        <v>27408.590705443341</v>
      </c>
      <c r="AJ58">
        <v>22.292405815657709</v>
      </c>
      <c r="AK58">
        <v>26242.620126192254</v>
      </c>
      <c r="AL58">
        <v>28.372961524259221</v>
      </c>
      <c r="AM58">
        <v>33400.650306357958</v>
      </c>
      <c r="AN58">
        <v>29.371836562868157</v>
      </c>
      <c r="AO58">
        <v>34576.526001808394</v>
      </c>
      <c r="AP58">
        <v>15.384180470072915</v>
      </c>
      <c r="AQ58">
        <v>18110.257249369835</v>
      </c>
      <c r="AR58">
        <v>7.6097024293214695</v>
      </c>
      <c r="AS58">
        <v>8958.1416997972337</v>
      </c>
      <c r="AT58">
        <v>14</v>
      </c>
      <c r="AU58">
        <v>16480.8</v>
      </c>
      <c r="AV58">
        <v>12</v>
      </c>
      <c r="AW58">
        <v>14126.400000000001</v>
      </c>
      <c r="AX58">
        <v>9</v>
      </c>
      <c r="AY58">
        <v>10594.800000000001</v>
      </c>
      <c r="AZ58">
        <v>6</v>
      </c>
      <c r="BA58">
        <v>7063.2000000000007</v>
      </c>
      <c r="BB58">
        <v>11</v>
      </c>
      <c r="BC58">
        <v>12949.2</v>
      </c>
      <c r="BD58">
        <v>5.4899275116964557</v>
      </c>
      <c r="BE58">
        <v>6462.7426667690679</v>
      </c>
      <c r="BF58">
        <v>10</v>
      </c>
      <c r="BG58">
        <v>11772</v>
      </c>
      <c r="BH58">
        <v>14.841997619007707</v>
      </c>
      <c r="BI58">
        <v>17471.999597095873</v>
      </c>
      <c r="BJ58">
        <v>10.82984823331955</v>
      </c>
      <c r="BK58">
        <v>12748.897340263775</v>
      </c>
      <c r="BL58">
        <v>10.337583811357508</v>
      </c>
      <c r="BM58">
        <v>12169.403662730059</v>
      </c>
      <c r="BN58">
        <v>12</v>
      </c>
      <c r="BO58">
        <v>14126.400000000001</v>
      </c>
      <c r="BP58">
        <v>6.1860841494164847</v>
      </c>
      <c r="BQ58">
        <v>7282.2582606930864</v>
      </c>
      <c r="BR58">
        <v>7.6552910033913202</v>
      </c>
      <c r="BS58">
        <v>9011.8085691922624</v>
      </c>
      <c r="BT58">
        <v>6.8782386310627892</v>
      </c>
      <c r="BU58">
        <v>8097.0625164871153</v>
      </c>
      <c r="BV58">
        <v>4.5999046764466813</v>
      </c>
      <c r="BW58">
        <v>5415.0077851130336</v>
      </c>
      <c r="BX58">
        <v>4.4343200530142788</v>
      </c>
      <c r="BY58">
        <v>5220.0815664084093</v>
      </c>
      <c r="BZ58">
        <v>4.3803382362888321</v>
      </c>
      <c r="CA58">
        <v>5156.5341717592137</v>
      </c>
      <c r="CB58">
        <v>3.4469534056463109</v>
      </c>
      <c r="CC58">
        <v>4057.7535491268372</v>
      </c>
      <c r="CD58">
        <v>4.3735629521977328</v>
      </c>
      <c r="CE58">
        <v>5148.558307327171</v>
      </c>
      <c r="CF58">
        <v>14.175739165431073</v>
      </c>
      <c r="CG58">
        <v>16687.680145545459</v>
      </c>
      <c r="CH58">
        <v>22.177743630414096</v>
      </c>
      <c r="CI58">
        <v>26107.639801723475</v>
      </c>
      <c r="CJ58">
        <v>15.155697559511299</v>
      </c>
      <c r="CK58">
        <v>17841.287167056704</v>
      </c>
      <c r="CL58">
        <v>13.136938119210894</v>
      </c>
      <c r="CM58">
        <v>15464.803553935066</v>
      </c>
      <c r="CN58">
        <v>12</v>
      </c>
      <c r="CO58">
        <v>14126.400000000001</v>
      </c>
      <c r="CP58">
        <v>11</v>
      </c>
      <c r="CQ58">
        <v>12949.2</v>
      </c>
      <c r="CR58">
        <v>8.3215205387924289</v>
      </c>
      <c r="CS58">
        <v>9796.0939782664482</v>
      </c>
      <c r="CT58">
        <v>12.918407750180254</v>
      </c>
      <c r="CU58">
        <v>15207.549603512196</v>
      </c>
    </row>
    <row r="59" spans="2:99" x14ac:dyDescent="0.2">
      <c r="C59" s="105" t="s">
        <v>225</v>
      </c>
      <c r="D59">
        <v>17</v>
      </c>
      <c r="E59">
        <v>5161.2</v>
      </c>
      <c r="F59">
        <v>21</v>
      </c>
      <c r="G59">
        <v>6375.5999999999995</v>
      </c>
      <c r="H59">
        <v>12</v>
      </c>
      <c r="I59">
        <v>3643.2</v>
      </c>
      <c r="J59">
        <v>17</v>
      </c>
      <c r="K59">
        <v>5161.2</v>
      </c>
      <c r="L59">
        <v>49</v>
      </c>
      <c r="M59">
        <v>14876.399999999998</v>
      </c>
      <c r="N59">
        <v>44</v>
      </c>
      <c r="O59">
        <v>13358.399999999998</v>
      </c>
      <c r="P59">
        <v>25</v>
      </c>
      <c r="Q59">
        <v>7589.9999999999991</v>
      </c>
      <c r="R59">
        <v>41</v>
      </c>
      <c r="S59">
        <v>12447.599999999999</v>
      </c>
      <c r="T59">
        <v>7</v>
      </c>
      <c r="U59">
        <v>2125.1999999999998</v>
      </c>
      <c r="V59">
        <v>5</v>
      </c>
      <c r="W59">
        <v>1517.9999999999998</v>
      </c>
      <c r="X59">
        <v>4</v>
      </c>
      <c r="Y59">
        <v>1214.3999999999999</v>
      </c>
      <c r="Z59">
        <v>3</v>
      </c>
      <c r="AA59">
        <v>910.8</v>
      </c>
      <c r="AB59">
        <v>23</v>
      </c>
      <c r="AC59">
        <v>6982.7999999999993</v>
      </c>
      <c r="AD59">
        <v>22</v>
      </c>
      <c r="AE59">
        <v>6679.1999999999989</v>
      </c>
      <c r="AF59">
        <v>23</v>
      </c>
      <c r="AG59">
        <v>6982.7999999999993</v>
      </c>
      <c r="AH59">
        <v>23</v>
      </c>
      <c r="AI59">
        <v>6982.7999999999993</v>
      </c>
      <c r="AJ59">
        <v>22</v>
      </c>
      <c r="AK59">
        <v>6679.1999999999989</v>
      </c>
      <c r="AL59">
        <v>33</v>
      </c>
      <c r="AM59">
        <v>10018.799999999999</v>
      </c>
      <c r="AN59">
        <v>31</v>
      </c>
      <c r="AO59">
        <v>9411.5999999999985</v>
      </c>
      <c r="AP59">
        <v>18</v>
      </c>
      <c r="AQ59">
        <v>5464.7999999999993</v>
      </c>
      <c r="AR59">
        <v>8</v>
      </c>
      <c r="AS59">
        <v>2428.7999999999997</v>
      </c>
      <c r="AT59">
        <v>13</v>
      </c>
      <c r="AU59">
        <v>3946.7999999999997</v>
      </c>
      <c r="AV59">
        <v>14</v>
      </c>
      <c r="AW59">
        <v>4250.3999999999996</v>
      </c>
      <c r="AX59">
        <v>9</v>
      </c>
      <c r="AY59">
        <v>2732.3999999999996</v>
      </c>
      <c r="AZ59">
        <v>6</v>
      </c>
      <c r="BA59">
        <v>1821.6</v>
      </c>
      <c r="BB59">
        <v>11</v>
      </c>
      <c r="BC59">
        <v>3339.5999999999995</v>
      </c>
      <c r="BD59">
        <v>6.0587235624380948</v>
      </c>
      <c r="BE59">
        <v>1839.4284735562053</v>
      </c>
      <c r="BF59">
        <v>11</v>
      </c>
      <c r="BG59">
        <v>3339.5999999999995</v>
      </c>
      <c r="BH59">
        <v>16</v>
      </c>
      <c r="BI59">
        <v>4857.5999999999995</v>
      </c>
      <c r="BJ59">
        <v>9</v>
      </c>
      <c r="BK59">
        <v>2732.3999999999996</v>
      </c>
      <c r="BL59">
        <v>12.379175285018805</v>
      </c>
      <c r="BM59">
        <v>3758.3176165317086</v>
      </c>
      <c r="BN59">
        <v>13</v>
      </c>
      <c r="BO59">
        <v>3946.7999999999997</v>
      </c>
      <c r="BP59">
        <v>6</v>
      </c>
      <c r="BQ59">
        <v>1821.6</v>
      </c>
      <c r="BR59">
        <v>7</v>
      </c>
      <c r="BS59">
        <v>2125.1999999999998</v>
      </c>
      <c r="BT59">
        <v>7</v>
      </c>
      <c r="BU59">
        <v>2125.1999999999998</v>
      </c>
      <c r="BV59">
        <v>5</v>
      </c>
      <c r="BW59">
        <v>1517.9999999999998</v>
      </c>
      <c r="BX59">
        <v>4</v>
      </c>
      <c r="BY59">
        <v>1214.3999999999999</v>
      </c>
      <c r="BZ59">
        <v>4</v>
      </c>
      <c r="CA59">
        <v>1214.3999999999999</v>
      </c>
      <c r="CB59">
        <v>3</v>
      </c>
      <c r="CC59">
        <v>910.8</v>
      </c>
      <c r="CD59">
        <v>5</v>
      </c>
      <c r="CE59">
        <v>1517.9999999999998</v>
      </c>
      <c r="CF59">
        <v>15</v>
      </c>
      <c r="CG59">
        <v>4553.9999999999991</v>
      </c>
      <c r="CH59">
        <v>26</v>
      </c>
      <c r="CI59">
        <v>7893.5999999999995</v>
      </c>
      <c r="CJ59">
        <v>16.068784116814946</v>
      </c>
      <c r="CK59">
        <v>4878.4828578650167</v>
      </c>
      <c r="CL59">
        <v>12.185030740428608</v>
      </c>
      <c r="CM59">
        <v>3699.3753327941249</v>
      </c>
      <c r="CN59">
        <v>15.108258157487963</v>
      </c>
      <c r="CO59">
        <v>4586.8671766133448</v>
      </c>
      <c r="CP59">
        <v>13</v>
      </c>
      <c r="CQ59">
        <v>3946.7999999999997</v>
      </c>
      <c r="CR59">
        <v>7.5539101063554011</v>
      </c>
      <c r="CS59">
        <v>2293.3671082894994</v>
      </c>
      <c r="CT59">
        <v>13</v>
      </c>
      <c r="CU59">
        <v>3946.7999999999997</v>
      </c>
    </row>
    <row r="60" spans="2:99" x14ac:dyDescent="0.2">
      <c r="C60" s="105" t="s">
        <v>226</v>
      </c>
      <c r="D60">
        <v>16</v>
      </c>
      <c r="E60">
        <v>10425.6</v>
      </c>
      <c r="F60">
        <v>17</v>
      </c>
      <c r="G60">
        <v>11077.2</v>
      </c>
      <c r="H60">
        <v>12</v>
      </c>
      <c r="I60">
        <v>7819.2000000000007</v>
      </c>
      <c r="J60">
        <v>18</v>
      </c>
      <c r="K60">
        <v>11728.800000000001</v>
      </c>
      <c r="L60">
        <v>46</v>
      </c>
      <c r="M60">
        <v>29973.600000000002</v>
      </c>
      <c r="N60">
        <v>44</v>
      </c>
      <c r="O60">
        <v>28670.400000000001</v>
      </c>
      <c r="P60">
        <v>25</v>
      </c>
      <c r="Q60">
        <v>16290</v>
      </c>
      <c r="R60">
        <v>44</v>
      </c>
      <c r="S60">
        <v>28670.400000000001</v>
      </c>
      <c r="T60">
        <v>7</v>
      </c>
      <c r="U60">
        <v>4561.2</v>
      </c>
      <c r="V60">
        <v>5</v>
      </c>
      <c r="W60">
        <v>3258</v>
      </c>
      <c r="X60">
        <v>5</v>
      </c>
      <c r="Y60">
        <v>3258</v>
      </c>
      <c r="Z60">
        <v>4</v>
      </c>
      <c r="AA60">
        <v>2606.4</v>
      </c>
      <c r="AB60">
        <v>21</v>
      </c>
      <c r="AC60">
        <v>13683.6</v>
      </c>
      <c r="AD60">
        <v>22</v>
      </c>
      <c r="AE60">
        <v>14335.2</v>
      </c>
      <c r="AF60">
        <v>23</v>
      </c>
      <c r="AG60">
        <v>14986.800000000001</v>
      </c>
      <c r="AH60">
        <v>26</v>
      </c>
      <c r="AI60">
        <v>16941.600000000002</v>
      </c>
      <c r="AJ60">
        <v>22</v>
      </c>
      <c r="AK60">
        <v>14335.2</v>
      </c>
      <c r="AL60">
        <v>30</v>
      </c>
      <c r="AM60">
        <v>19548</v>
      </c>
      <c r="AN60">
        <v>31</v>
      </c>
      <c r="AO60">
        <v>20199.600000000002</v>
      </c>
      <c r="AP60">
        <v>18</v>
      </c>
      <c r="AQ60">
        <v>11728.800000000001</v>
      </c>
      <c r="AR60">
        <v>8</v>
      </c>
      <c r="AS60">
        <v>5212.8</v>
      </c>
      <c r="AT60">
        <v>15</v>
      </c>
      <c r="AU60">
        <v>9774</v>
      </c>
      <c r="AV60">
        <v>12</v>
      </c>
      <c r="AW60">
        <v>7819.2000000000007</v>
      </c>
      <c r="AX60">
        <v>9</v>
      </c>
      <c r="AY60">
        <v>5864.4000000000005</v>
      </c>
      <c r="AZ60">
        <v>7</v>
      </c>
      <c r="BA60">
        <v>4561.2</v>
      </c>
      <c r="BB60">
        <v>11</v>
      </c>
      <c r="BC60">
        <v>7167.6</v>
      </c>
      <c r="BD60">
        <v>6.0480465510857142</v>
      </c>
      <c r="BE60">
        <v>3940.9071326874514</v>
      </c>
      <c r="BF60">
        <v>11</v>
      </c>
      <c r="BG60">
        <v>7167.6</v>
      </c>
      <c r="BH60">
        <v>14</v>
      </c>
      <c r="BI60">
        <v>9122.4</v>
      </c>
      <c r="BJ60">
        <v>9</v>
      </c>
      <c r="BK60">
        <v>5864.4000000000005</v>
      </c>
      <c r="BL60">
        <v>11.344251245609179</v>
      </c>
      <c r="BM60">
        <v>7391.914111638941</v>
      </c>
      <c r="BN60">
        <v>13</v>
      </c>
      <c r="BO60">
        <v>8470.8000000000011</v>
      </c>
      <c r="BP60">
        <v>6</v>
      </c>
      <c r="BQ60">
        <v>3909.6000000000004</v>
      </c>
      <c r="BR60">
        <v>7</v>
      </c>
      <c r="BS60">
        <v>4561.2</v>
      </c>
      <c r="BT60">
        <v>6</v>
      </c>
      <c r="BU60">
        <v>3909.6000000000004</v>
      </c>
      <c r="BV60">
        <v>4</v>
      </c>
      <c r="BW60">
        <v>2606.4</v>
      </c>
      <c r="BX60">
        <v>4</v>
      </c>
      <c r="BY60">
        <v>2606.4</v>
      </c>
      <c r="BZ60">
        <v>5</v>
      </c>
      <c r="CA60">
        <v>3258</v>
      </c>
      <c r="CB60">
        <v>3</v>
      </c>
      <c r="CC60">
        <v>1954.8000000000002</v>
      </c>
      <c r="CD60">
        <v>5</v>
      </c>
      <c r="CE60">
        <v>3258</v>
      </c>
      <c r="CF60">
        <v>15</v>
      </c>
      <c r="CG60">
        <v>9774</v>
      </c>
      <c r="CH60">
        <v>26</v>
      </c>
      <c r="CI60">
        <v>16941.600000000002</v>
      </c>
      <c r="CJ60">
        <v>14.080248136284103</v>
      </c>
      <c r="CK60">
        <v>9174.6896856027215</v>
      </c>
      <c r="CL60">
        <v>13.154192283690506</v>
      </c>
      <c r="CM60">
        <v>8571.2716920527346</v>
      </c>
      <c r="CN60">
        <v>14.866326893513934</v>
      </c>
      <c r="CO60">
        <v>9686.8986038136791</v>
      </c>
      <c r="CP60">
        <v>14</v>
      </c>
      <c r="CQ60">
        <v>9122.4</v>
      </c>
      <c r="CR60">
        <v>7.501981033884582</v>
      </c>
      <c r="CS60">
        <v>4888.2908416791943</v>
      </c>
      <c r="CT60">
        <v>13</v>
      </c>
      <c r="CU60">
        <v>8470.8000000000011</v>
      </c>
    </row>
    <row r="61" spans="2:99" x14ac:dyDescent="0.2">
      <c r="C61" s="105" t="s">
        <v>227</v>
      </c>
      <c r="D61">
        <v>16</v>
      </c>
      <c r="E61">
        <v>15225.599999999999</v>
      </c>
      <c r="F61">
        <v>18</v>
      </c>
      <c r="G61">
        <v>17128.8</v>
      </c>
      <c r="H61">
        <v>12</v>
      </c>
      <c r="I61">
        <v>11419.199999999999</v>
      </c>
      <c r="J61">
        <v>15</v>
      </c>
      <c r="K61">
        <v>14273.999999999998</v>
      </c>
      <c r="L61">
        <v>44</v>
      </c>
      <c r="M61">
        <v>41870.399999999994</v>
      </c>
      <c r="N61">
        <v>44</v>
      </c>
      <c r="O61">
        <v>41870.399999999994</v>
      </c>
      <c r="P61">
        <v>21</v>
      </c>
      <c r="Q61">
        <v>19983.599999999999</v>
      </c>
      <c r="R61">
        <v>43</v>
      </c>
      <c r="S61">
        <v>40918.799999999996</v>
      </c>
      <c r="T61">
        <v>6</v>
      </c>
      <c r="U61">
        <v>5709.5999999999995</v>
      </c>
      <c r="V61">
        <v>4</v>
      </c>
      <c r="W61">
        <v>3806.3999999999996</v>
      </c>
      <c r="X61">
        <v>5</v>
      </c>
      <c r="Y61">
        <v>4758</v>
      </c>
      <c r="Z61">
        <v>4</v>
      </c>
      <c r="AA61">
        <v>3806.3999999999996</v>
      </c>
      <c r="AB61">
        <v>21</v>
      </c>
      <c r="AC61">
        <v>19983.599999999999</v>
      </c>
      <c r="AD61">
        <v>21</v>
      </c>
      <c r="AE61">
        <v>19983.599999999999</v>
      </c>
      <c r="AF61">
        <v>23</v>
      </c>
      <c r="AG61">
        <v>21886.799999999999</v>
      </c>
      <c r="AH61">
        <v>25</v>
      </c>
      <c r="AI61">
        <v>23789.999999999996</v>
      </c>
      <c r="AJ61">
        <v>21</v>
      </c>
      <c r="AK61">
        <v>19983.599999999999</v>
      </c>
      <c r="AL61">
        <v>31</v>
      </c>
      <c r="AM61">
        <v>29499.599999999999</v>
      </c>
      <c r="AN61">
        <v>30</v>
      </c>
      <c r="AO61">
        <v>28547.999999999996</v>
      </c>
      <c r="AP61">
        <v>16</v>
      </c>
      <c r="AQ61">
        <v>15225.599999999999</v>
      </c>
      <c r="AR61">
        <v>8</v>
      </c>
      <c r="AS61">
        <v>7612.7999999999993</v>
      </c>
      <c r="AT61">
        <v>13</v>
      </c>
      <c r="AU61">
        <v>12370.8</v>
      </c>
      <c r="AV61">
        <v>12</v>
      </c>
      <c r="AW61">
        <v>11419.199999999999</v>
      </c>
      <c r="AX61">
        <v>9</v>
      </c>
      <c r="AY61">
        <v>8564.4</v>
      </c>
      <c r="AZ61">
        <v>7</v>
      </c>
      <c r="BA61">
        <v>6661.1999999999989</v>
      </c>
      <c r="BB61">
        <v>10</v>
      </c>
      <c r="BC61">
        <v>9516</v>
      </c>
      <c r="BD61">
        <v>5.0480465510857142</v>
      </c>
      <c r="BE61">
        <v>4803.7210980131649</v>
      </c>
      <c r="BF61">
        <v>10</v>
      </c>
      <c r="BG61">
        <v>9516</v>
      </c>
      <c r="BH61">
        <v>15</v>
      </c>
      <c r="BI61">
        <v>14273.999999999998</v>
      </c>
      <c r="BJ61">
        <v>9</v>
      </c>
      <c r="BK61">
        <v>8564.4</v>
      </c>
      <c r="BL61">
        <v>11.354229542583358</v>
      </c>
      <c r="BM61">
        <v>10804.684832722322</v>
      </c>
      <c r="BN61">
        <v>12</v>
      </c>
      <c r="BO61">
        <v>11419.199999999999</v>
      </c>
      <c r="BP61">
        <v>6</v>
      </c>
      <c r="BQ61">
        <v>5709.5999999999995</v>
      </c>
      <c r="BR61">
        <v>7</v>
      </c>
      <c r="BS61">
        <v>6661.1999999999989</v>
      </c>
      <c r="BT61">
        <v>6</v>
      </c>
      <c r="BU61">
        <v>5709.5999999999995</v>
      </c>
      <c r="BV61">
        <v>4</v>
      </c>
      <c r="BW61">
        <v>3806.3999999999996</v>
      </c>
      <c r="BX61">
        <v>3</v>
      </c>
      <c r="BY61">
        <v>2854.7999999999997</v>
      </c>
      <c r="BZ61">
        <v>4</v>
      </c>
      <c r="CA61">
        <v>3806.3999999999996</v>
      </c>
      <c r="CB61">
        <v>3</v>
      </c>
      <c r="CC61">
        <v>2854.7999999999997</v>
      </c>
      <c r="CD61">
        <v>5</v>
      </c>
      <c r="CE61">
        <v>4758</v>
      </c>
      <c r="CF61">
        <v>15</v>
      </c>
      <c r="CG61">
        <v>14273.999999999998</v>
      </c>
      <c r="CH61">
        <v>22</v>
      </c>
      <c r="CI61">
        <v>20935.199999999997</v>
      </c>
      <c r="CJ61">
        <v>14.068784116814946</v>
      </c>
      <c r="CK61">
        <v>13387.854965561102</v>
      </c>
      <c r="CL61">
        <v>11.185030740428608</v>
      </c>
      <c r="CM61">
        <v>10643.675252591864</v>
      </c>
      <c r="CN61">
        <v>13.589834020400758</v>
      </c>
      <c r="CO61">
        <v>12932.08605381336</v>
      </c>
      <c r="CP61">
        <v>12.500962135549683</v>
      </c>
      <c r="CQ61">
        <v>11895.915568189077</v>
      </c>
      <c r="CR61">
        <v>7.4413971160019603</v>
      </c>
      <c r="CS61">
        <v>7081.2334955874649</v>
      </c>
      <c r="CT61">
        <v>14.741314328005366</v>
      </c>
      <c r="CU61">
        <v>14027.834714529905</v>
      </c>
    </row>
    <row r="62" spans="2:99" x14ac:dyDescent="0.2">
      <c r="C62" s="105" t="s">
        <v>228</v>
      </c>
      <c r="D62">
        <v>13</v>
      </c>
      <c r="E62">
        <v>22167.600000000002</v>
      </c>
      <c r="F62">
        <v>15</v>
      </c>
      <c r="G62">
        <v>25578</v>
      </c>
      <c r="H62">
        <v>9</v>
      </c>
      <c r="I62">
        <v>15346.800000000001</v>
      </c>
      <c r="J62">
        <v>17</v>
      </c>
      <c r="K62">
        <v>28988.400000000001</v>
      </c>
      <c r="L62">
        <v>38</v>
      </c>
      <c r="M62">
        <v>64797.599999999999</v>
      </c>
      <c r="N62">
        <v>32</v>
      </c>
      <c r="O62">
        <v>54566.400000000001</v>
      </c>
      <c r="P62">
        <v>18</v>
      </c>
      <c r="Q62">
        <v>30693.600000000002</v>
      </c>
      <c r="R62">
        <v>37</v>
      </c>
      <c r="S62">
        <v>63092.4</v>
      </c>
      <c r="T62">
        <v>7</v>
      </c>
      <c r="U62">
        <v>11936.4</v>
      </c>
      <c r="V62">
        <v>4</v>
      </c>
      <c r="W62">
        <v>6820.8</v>
      </c>
      <c r="X62">
        <v>4</v>
      </c>
      <c r="Y62">
        <v>6820.8</v>
      </c>
      <c r="Z62">
        <v>3</v>
      </c>
      <c r="AA62">
        <v>5115.6000000000004</v>
      </c>
      <c r="AB62">
        <v>18</v>
      </c>
      <c r="AC62">
        <v>30693.600000000002</v>
      </c>
      <c r="AD62">
        <v>19</v>
      </c>
      <c r="AE62">
        <v>32398.799999999999</v>
      </c>
      <c r="AF62">
        <v>20</v>
      </c>
      <c r="AG62">
        <v>34104</v>
      </c>
      <c r="AH62">
        <v>21</v>
      </c>
      <c r="AI62">
        <v>35809.200000000004</v>
      </c>
      <c r="AJ62">
        <v>19</v>
      </c>
      <c r="AK62">
        <v>32398.799999999999</v>
      </c>
      <c r="AL62">
        <v>25</v>
      </c>
      <c r="AM62">
        <v>42630</v>
      </c>
      <c r="AN62">
        <v>27</v>
      </c>
      <c r="AO62">
        <v>46040.4</v>
      </c>
      <c r="AP62">
        <v>14</v>
      </c>
      <c r="AQ62">
        <v>23872.799999999999</v>
      </c>
      <c r="AR62">
        <v>8</v>
      </c>
      <c r="AS62">
        <v>13641.6</v>
      </c>
      <c r="AT62">
        <v>13</v>
      </c>
      <c r="AU62">
        <v>22167.600000000002</v>
      </c>
      <c r="AV62">
        <v>12</v>
      </c>
      <c r="AW62">
        <v>20462.400000000001</v>
      </c>
      <c r="AX62">
        <v>9</v>
      </c>
      <c r="AY62">
        <v>15346.800000000001</v>
      </c>
      <c r="AZ62">
        <v>5</v>
      </c>
      <c r="BA62">
        <v>8526</v>
      </c>
      <c r="BB62">
        <v>9</v>
      </c>
      <c r="BC62">
        <v>15346.800000000001</v>
      </c>
      <c r="BD62">
        <v>5.0533850567619041</v>
      </c>
      <c r="BE62">
        <v>8617.032198790399</v>
      </c>
      <c r="BF62">
        <v>10</v>
      </c>
      <c r="BG62">
        <v>17052</v>
      </c>
      <c r="BH62">
        <v>14</v>
      </c>
      <c r="BI62">
        <v>23872.799999999999</v>
      </c>
      <c r="BJ62">
        <v>7</v>
      </c>
      <c r="BK62">
        <v>11936.4</v>
      </c>
      <c r="BL62">
        <v>10.274403166789925</v>
      </c>
      <c r="BM62">
        <v>17519.91228001018</v>
      </c>
      <c r="BN62">
        <v>10</v>
      </c>
      <c r="BO62">
        <v>17052</v>
      </c>
      <c r="BP62">
        <v>6</v>
      </c>
      <c r="BQ62">
        <v>10231.200000000001</v>
      </c>
      <c r="BR62">
        <v>7</v>
      </c>
      <c r="BS62">
        <v>11936.4</v>
      </c>
      <c r="BT62">
        <v>5</v>
      </c>
      <c r="BU62">
        <v>8526</v>
      </c>
      <c r="BV62">
        <v>4</v>
      </c>
      <c r="BW62">
        <v>6820.8</v>
      </c>
      <c r="BX62">
        <v>3</v>
      </c>
      <c r="BY62">
        <v>5115.6000000000004</v>
      </c>
      <c r="BZ62">
        <v>5</v>
      </c>
      <c r="CA62">
        <v>8526</v>
      </c>
      <c r="CB62">
        <v>3</v>
      </c>
      <c r="CC62">
        <v>5115.6000000000004</v>
      </c>
      <c r="CD62">
        <v>4</v>
      </c>
      <c r="CE62">
        <v>6820.8</v>
      </c>
      <c r="CF62">
        <v>12</v>
      </c>
      <c r="CG62">
        <v>20462.400000000001</v>
      </c>
      <c r="CH62">
        <v>22</v>
      </c>
      <c r="CI62">
        <v>37514.400000000001</v>
      </c>
      <c r="CJ62">
        <v>14.057320097345787</v>
      </c>
      <c r="CK62">
        <v>23970.542229994036</v>
      </c>
      <c r="CL62">
        <v>12.185030740428608</v>
      </c>
      <c r="CM62">
        <v>20777.914418578865</v>
      </c>
      <c r="CN62">
        <v>12.624395629539906</v>
      </c>
      <c r="CO62">
        <v>21527.119427491449</v>
      </c>
      <c r="CP62">
        <v>12</v>
      </c>
      <c r="CQ62">
        <v>20462.400000000001</v>
      </c>
      <c r="CR62">
        <v>7.3808131981193386</v>
      </c>
      <c r="CS62">
        <v>12585.762665433096</v>
      </c>
      <c r="CT62">
        <v>11</v>
      </c>
      <c r="CU62">
        <v>18757.2</v>
      </c>
    </row>
    <row r="63" spans="2:99" x14ac:dyDescent="0.2">
      <c r="C63" s="105" t="s">
        <v>229</v>
      </c>
      <c r="D63">
        <v>16</v>
      </c>
      <c r="E63">
        <v>12729.6</v>
      </c>
      <c r="F63">
        <v>16</v>
      </c>
      <c r="G63">
        <v>12729.6</v>
      </c>
      <c r="H63">
        <v>11</v>
      </c>
      <c r="I63">
        <v>8751.6</v>
      </c>
      <c r="J63">
        <v>19</v>
      </c>
      <c r="K63">
        <v>15116.4</v>
      </c>
      <c r="L63">
        <v>43</v>
      </c>
      <c r="M63">
        <v>34210.800000000003</v>
      </c>
      <c r="N63">
        <v>41</v>
      </c>
      <c r="O63">
        <v>32619.600000000002</v>
      </c>
      <c r="P63">
        <v>22</v>
      </c>
      <c r="Q63">
        <v>17503.2</v>
      </c>
      <c r="R63">
        <v>37</v>
      </c>
      <c r="S63">
        <v>29437.200000000001</v>
      </c>
      <c r="T63">
        <v>6</v>
      </c>
      <c r="U63">
        <v>4773.6000000000004</v>
      </c>
      <c r="V63">
        <v>5</v>
      </c>
      <c r="W63">
        <v>3978</v>
      </c>
      <c r="X63">
        <v>5</v>
      </c>
      <c r="Y63">
        <v>3978</v>
      </c>
      <c r="Z63">
        <v>4</v>
      </c>
      <c r="AA63">
        <v>3182.4</v>
      </c>
      <c r="AB63">
        <v>22</v>
      </c>
      <c r="AC63">
        <v>17503.2</v>
      </c>
      <c r="AD63">
        <v>23</v>
      </c>
      <c r="AE63">
        <v>18298.8</v>
      </c>
      <c r="AF63">
        <v>26</v>
      </c>
      <c r="AG63">
        <v>20685.600000000002</v>
      </c>
      <c r="AH63">
        <v>22</v>
      </c>
      <c r="AI63">
        <v>17503.2</v>
      </c>
      <c r="AJ63">
        <v>25</v>
      </c>
      <c r="AK63">
        <v>19890</v>
      </c>
      <c r="AL63">
        <v>29</v>
      </c>
      <c r="AM63">
        <v>23072.400000000001</v>
      </c>
      <c r="AN63">
        <v>31</v>
      </c>
      <c r="AO63">
        <v>24663.600000000002</v>
      </c>
      <c r="AP63">
        <v>16</v>
      </c>
      <c r="AQ63">
        <v>12729.6</v>
      </c>
      <c r="AR63">
        <v>8</v>
      </c>
      <c r="AS63">
        <v>6364.8</v>
      </c>
      <c r="AT63">
        <v>14</v>
      </c>
      <c r="AU63">
        <v>11138.4</v>
      </c>
      <c r="AV63">
        <v>14</v>
      </c>
      <c r="AW63">
        <v>11138.4</v>
      </c>
      <c r="AX63">
        <v>10</v>
      </c>
      <c r="AY63">
        <v>7956</v>
      </c>
      <c r="AZ63">
        <v>6</v>
      </c>
      <c r="BA63">
        <v>4773.6000000000004</v>
      </c>
      <c r="BB63">
        <v>11</v>
      </c>
      <c r="BC63">
        <v>8751.6</v>
      </c>
      <c r="BD63">
        <v>5.0587235624380948</v>
      </c>
      <c r="BE63">
        <v>4024.7204662757485</v>
      </c>
      <c r="BF63">
        <v>11</v>
      </c>
      <c r="BG63">
        <v>8751.6</v>
      </c>
      <c r="BH63">
        <v>15</v>
      </c>
      <c r="BI63">
        <v>11934</v>
      </c>
      <c r="BJ63">
        <v>9</v>
      </c>
      <c r="BK63">
        <v>7160.4000000000005</v>
      </c>
      <c r="BL63">
        <v>11.364207839557537</v>
      </c>
      <c r="BM63">
        <v>9041.3637571519757</v>
      </c>
      <c r="BN63">
        <v>13</v>
      </c>
      <c r="BO63">
        <v>10342.800000000001</v>
      </c>
      <c r="BP63">
        <v>6</v>
      </c>
      <c r="BQ63">
        <v>4773.6000000000004</v>
      </c>
      <c r="BR63">
        <v>7</v>
      </c>
      <c r="BS63">
        <v>5569.2</v>
      </c>
      <c r="BT63">
        <v>6</v>
      </c>
      <c r="BU63">
        <v>4773.6000000000004</v>
      </c>
      <c r="BV63">
        <v>4</v>
      </c>
      <c r="BW63">
        <v>3182.4</v>
      </c>
      <c r="BX63">
        <v>3</v>
      </c>
      <c r="BY63">
        <v>2386.8000000000002</v>
      </c>
      <c r="BZ63">
        <v>5</v>
      </c>
      <c r="CA63">
        <v>3978</v>
      </c>
      <c r="CB63">
        <v>3</v>
      </c>
      <c r="CC63">
        <v>2386.8000000000002</v>
      </c>
      <c r="CD63">
        <v>5</v>
      </c>
      <c r="CE63">
        <v>3978</v>
      </c>
      <c r="CF63">
        <v>15</v>
      </c>
      <c r="CG63">
        <v>11934</v>
      </c>
      <c r="CH63">
        <v>22</v>
      </c>
      <c r="CI63">
        <v>17503.2</v>
      </c>
      <c r="CJ63">
        <v>16.068784116814946</v>
      </c>
      <c r="CK63">
        <v>12784.324643337972</v>
      </c>
      <c r="CL63">
        <v>11.154192283690506</v>
      </c>
      <c r="CM63">
        <v>8874.275380904166</v>
      </c>
      <c r="CN63">
        <v>13.728080456957347</v>
      </c>
      <c r="CO63">
        <v>10922.060811555266</v>
      </c>
      <c r="CP63">
        <v>15.367543279056378</v>
      </c>
      <c r="CQ63">
        <v>12226.417432817254</v>
      </c>
      <c r="CR63">
        <v>8.4587068068255657</v>
      </c>
      <c r="CS63">
        <v>6729.7471355104199</v>
      </c>
      <c r="CT63">
        <v>11</v>
      </c>
      <c r="CU63">
        <v>8751.6</v>
      </c>
    </row>
    <row r="64" spans="2:99" x14ac:dyDescent="0.2">
      <c r="C64" s="105" t="s">
        <v>230</v>
      </c>
      <c r="D64">
        <v>14</v>
      </c>
      <c r="E64">
        <v>14128.799999999997</v>
      </c>
      <c r="F64">
        <v>17</v>
      </c>
      <c r="G64">
        <v>17156.399999999998</v>
      </c>
      <c r="H64">
        <v>10</v>
      </c>
      <c r="I64">
        <v>10091.999999999998</v>
      </c>
      <c r="J64">
        <v>17</v>
      </c>
      <c r="K64">
        <v>17156.399999999998</v>
      </c>
      <c r="L64">
        <v>38</v>
      </c>
      <c r="M64">
        <v>38349.599999999991</v>
      </c>
      <c r="N64">
        <v>38</v>
      </c>
      <c r="O64">
        <v>38349.599999999991</v>
      </c>
      <c r="P64">
        <v>21</v>
      </c>
      <c r="Q64">
        <v>21193.199999999997</v>
      </c>
      <c r="R64">
        <v>38</v>
      </c>
      <c r="S64">
        <v>38349.599999999991</v>
      </c>
      <c r="T64">
        <v>7</v>
      </c>
      <c r="U64">
        <v>7064.3999999999987</v>
      </c>
      <c r="V64">
        <v>4</v>
      </c>
      <c r="W64">
        <v>4036.7999999999993</v>
      </c>
      <c r="X64">
        <v>5</v>
      </c>
      <c r="Y64">
        <v>5045.9999999999991</v>
      </c>
      <c r="Z64">
        <v>3</v>
      </c>
      <c r="AA64">
        <v>3027.5999999999995</v>
      </c>
      <c r="AB64">
        <v>18</v>
      </c>
      <c r="AC64">
        <v>18165.599999999999</v>
      </c>
      <c r="AD64">
        <v>19</v>
      </c>
      <c r="AE64">
        <v>19174.799999999996</v>
      </c>
      <c r="AF64">
        <v>23</v>
      </c>
      <c r="AG64">
        <v>23211.599999999995</v>
      </c>
      <c r="AH64">
        <v>24</v>
      </c>
      <c r="AI64">
        <v>24220.799999999996</v>
      </c>
      <c r="AJ64">
        <v>24</v>
      </c>
      <c r="AK64">
        <v>24220.799999999996</v>
      </c>
      <c r="AL64">
        <v>32</v>
      </c>
      <c r="AM64">
        <v>32294.399999999994</v>
      </c>
      <c r="AN64">
        <v>32</v>
      </c>
      <c r="AO64">
        <v>32294.399999999994</v>
      </c>
      <c r="AP64">
        <v>15</v>
      </c>
      <c r="AQ64">
        <v>15137.999999999996</v>
      </c>
      <c r="AR64">
        <v>8</v>
      </c>
      <c r="AS64">
        <v>8073.5999999999985</v>
      </c>
      <c r="AT64">
        <v>13</v>
      </c>
      <c r="AU64">
        <v>13119.599999999999</v>
      </c>
      <c r="AV64">
        <v>14</v>
      </c>
      <c r="AW64">
        <v>14128.799999999997</v>
      </c>
      <c r="AX64">
        <v>9</v>
      </c>
      <c r="AY64">
        <v>9082.7999999999993</v>
      </c>
      <c r="AZ64">
        <v>6</v>
      </c>
      <c r="BA64">
        <v>6055.1999999999989</v>
      </c>
      <c r="BB64">
        <v>10</v>
      </c>
      <c r="BC64">
        <v>10091.999999999998</v>
      </c>
      <c r="BD64">
        <v>5.0533850567619041</v>
      </c>
      <c r="BE64">
        <v>5099.8761992841128</v>
      </c>
      <c r="BF64">
        <v>10</v>
      </c>
      <c r="BG64">
        <v>10091.999999999998</v>
      </c>
      <c r="BH64">
        <v>14</v>
      </c>
      <c r="BI64">
        <v>14128.799999999997</v>
      </c>
      <c r="BJ64">
        <v>8</v>
      </c>
      <c r="BK64">
        <v>8073.5999999999985</v>
      </c>
      <c r="BL64">
        <v>9.3143163546866408</v>
      </c>
      <c r="BM64">
        <v>9400.0080651497556</v>
      </c>
      <c r="BN64">
        <v>13</v>
      </c>
      <c r="BO64">
        <v>13119.599999999999</v>
      </c>
      <c r="BP64">
        <v>6</v>
      </c>
      <c r="BQ64">
        <v>6055.1999999999989</v>
      </c>
      <c r="BR64">
        <v>7</v>
      </c>
      <c r="BS64">
        <v>7064.3999999999987</v>
      </c>
      <c r="BT64">
        <v>6</v>
      </c>
      <c r="BU64">
        <v>6055.1999999999989</v>
      </c>
      <c r="BV64">
        <v>4</v>
      </c>
      <c r="BW64">
        <v>4036.7999999999993</v>
      </c>
      <c r="BX64">
        <v>4</v>
      </c>
      <c r="BY64">
        <v>4036.7999999999993</v>
      </c>
      <c r="BZ64">
        <v>4</v>
      </c>
      <c r="CA64">
        <v>4036.7999999999993</v>
      </c>
      <c r="CB64">
        <v>3</v>
      </c>
      <c r="CC64">
        <v>3027.5999999999995</v>
      </c>
      <c r="CD64">
        <v>5</v>
      </c>
      <c r="CE64">
        <v>5045.9999999999991</v>
      </c>
      <c r="CF64">
        <v>15</v>
      </c>
      <c r="CG64">
        <v>15137.999999999996</v>
      </c>
      <c r="CH64">
        <v>25</v>
      </c>
      <c r="CI64">
        <v>25229.999999999996</v>
      </c>
      <c r="CJ64">
        <v>15.068784116814946</v>
      </c>
      <c r="CK64">
        <v>15207.41693068964</v>
      </c>
      <c r="CL64">
        <v>11.154192283690506</v>
      </c>
      <c r="CM64">
        <v>11256.810852700457</v>
      </c>
      <c r="CN64">
        <v>13.555272411261612</v>
      </c>
      <c r="CO64">
        <v>13679.980917445217</v>
      </c>
      <c r="CP64">
        <v>13.53431684967301</v>
      </c>
      <c r="CQ64">
        <v>13658.832564689999</v>
      </c>
      <c r="CR64">
        <v>8.4587068068255657</v>
      </c>
      <c r="CS64">
        <v>8536.5269094483592</v>
      </c>
      <c r="CT64">
        <v>12</v>
      </c>
      <c r="CU64">
        <v>12110.399999999998</v>
      </c>
    </row>
    <row r="65" spans="2:99" x14ac:dyDescent="0.2">
      <c r="C65" s="105" t="s">
        <v>231</v>
      </c>
      <c r="D65">
        <v>16</v>
      </c>
      <c r="E65">
        <v>16416</v>
      </c>
      <c r="F65">
        <v>17</v>
      </c>
      <c r="G65">
        <v>17442</v>
      </c>
      <c r="H65">
        <v>11</v>
      </c>
      <c r="I65">
        <v>11286</v>
      </c>
      <c r="J65">
        <v>18</v>
      </c>
      <c r="K65">
        <v>18468</v>
      </c>
      <c r="L65">
        <v>44</v>
      </c>
      <c r="M65">
        <v>45144</v>
      </c>
      <c r="N65">
        <v>40</v>
      </c>
      <c r="O65">
        <v>41040</v>
      </c>
      <c r="P65">
        <v>21</v>
      </c>
      <c r="Q65">
        <v>21546</v>
      </c>
      <c r="R65">
        <v>36</v>
      </c>
      <c r="S65">
        <v>36936</v>
      </c>
      <c r="T65">
        <v>7</v>
      </c>
      <c r="U65">
        <v>7182</v>
      </c>
      <c r="V65">
        <v>4</v>
      </c>
      <c r="W65">
        <v>4104</v>
      </c>
      <c r="X65">
        <v>5</v>
      </c>
      <c r="Y65">
        <v>5130</v>
      </c>
      <c r="Z65">
        <v>4</v>
      </c>
      <c r="AA65">
        <v>4104</v>
      </c>
      <c r="AB65">
        <v>20</v>
      </c>
      <c r="AC65">
        <v>20520</v>
      </c>
      <c r="AD65">
        <v>21</v>
      </c>
      <c r="AE65">
        <v>21546</v>
      </c>
      <c r="AF65">
        <v>23</v>
      </c>
      <c r="AG65">
        <v>23598</v>
      </c>
      <c r="AH65">
        <v>23</v>
      </c>
      <c r="AI65">
        <v>23598</v>
      </c>
      <c r="AJ65">
        <v>24</v>
      </c>
      <c r="AK65">
        <v>24624</v>
      </c>
      <c r="AL65">
        <v>30</v>
      </c>
      <c r="AM65">
        <v>30780</v>
      </c>
      <c r="AN65">
        <v>30</v>
      </c>
      <c r="AO65">
        <v>30780</v>
      </c>
      <c r="AP65">
        <v>17</v>
      </c>
      <c r="AQ65">
        <v>17442</v>
      </c>
      <c r="AR65">
        <v>8</v>
      </c>
      <c r="AS65">
        <v>8208</v>
      </c>
      <c r="AT65">
        <v>13</v>
      </c>
      <c r="AU65">
        <v>13338</v>
      </c>
      <c r="AV65">
        <v>12</v>
      </c>
      <c r="AW65">
        <v>12312</v>
      </c>
      <c r="AX65">
        <v>10</v>
      </c>
      <c r="AY65">
        <v>10260</v>
      </c>
      <c r="AZ65">
        <v>6</v>
      </c>
      <c r="BA65">
        <v>6156</v>
      </c>
      <c r="BB65">
        <v>10</v>
      </c>
      <c r="BC65">
        <v>10260</v>
      </c>
      <c r="BD65">
        <v>6.0533850567619041</v>
      </c>
      <c r="BE65">
        <v>6210.7730682377132</v>
      </c>
      <c r="BF65">
        <v>10</v>
      </c>
      <c r="BG65">
        <v>10260</v>
      </c>
      <c r="BH65">
        <v>13</v>
      </c>
      <c r="BI65">
        <v>13338</v>
      </c>
      <c r="BJ65">
        <v>9</v>
      </c>
      <c r="BK65">
        <v>9234</v>
      </c>
      <c r="BL65">
        <v>11.329283800147911</v>
      </c>
      <c r="BM65">
        <v>11623.845178951757</v>
      </c>
      <c r="BN65">
        <v>12</v>
      </c>
      <c r="BO65">
        <v>12312</v>
      </c>
      <c r="BP65">
        <v>6</v>
      </c>
      <c r="BQ65">
        <v>6156</v>
      </c>
      <c r="BR65">
        <v>8</v>
      </c>
      <c r="BS65">
        <v>8208</v>
      </c>
      <c r="BT65">
        <v>6</v>
      </c>
      <c r="BU65">
        <v>6156</v>
      </c>
      <c r="BV65">
        <v>4</v>
      </c>
      <c r="BW65">
        <v>4104</v>
      </c>
      <c r="BX65">
        <v>3</v>
      </c>
      <c r="BY65">
        <v>3078</v>
      </c>
      <c r="BZ65">
        <v>4</v>
      </c>
      <c r="CA65">
        <v>4104</v>
      </c>
      <c r="CB65">
        <v>3</v>
      </c>
      <c r="CC65">
        <v>3078</v>
      </c>
      <c r="CD65">
        <v>5</v>
      </c>
      <c r="CE65">
        <v>5130</v>
      </c>
      <c r="CF65">
        <v>15</v>
      </c>
      <c r="CG65">
        <v>15390</v>
      </c>
      <c r="CH65">
        <v>21</v>
      </c>
      <c r="CI65">
        <v>21546</v>
      </c>
      <c r="CJ65">
        <v>16.068784116814946</v>
      </c>
      <c r="CK65">
        <v>16486.572503852134</v>
      </c>
      <c r="CL65">
        <v>12.185030740428608</v>
      </c>
      <c r="CM65">
        <v>12501.841539679752</v>
      </c>
      <c r="CN65">
        <v>13.728080456957347</v>
      </c>
      <c r="CO65">
        <v>14085.010548838238</v>
      </c>
      <c r="CP65">
        <v>12.367543279056378</v>
      </c>
      <c r="CQ65">
        <v>12689.099404311843</v>
      </c>
      <c r="CR65">
        <v>7.450051961413763</v>
      </c>
      <c r="CS65">
        <v>7643.7533124105212</v>
      </c>
      <c r="CT65">
        <v>14.741314328005366</v>
      </c>
      <c r="CU65">
        <v>15124.588500533506</v>
      </c>
    </row>
    <row r="66" spans="2:99" x14ac:dyDescent="0.2">
      <c r="C66" s="105" t="s">
        <v>232</v>
      </c>
      <c r="D66">
        <v>14</v>
      </c>
      <c r="E66">
        <v>16665.599999999999</v>
      </c>
      <c r="F66">
        <v>18</v>
      </c>
      <c r="G66">
        <v>21427.199999999997</v>
      </c>
      <c r="H66">
        <v>11</v>
      </c>
      <c r="I66">
        <v>13094.399999999998</v>
      </c>
      <c r="J66">
        <v>18</v>
      </c>
      <c r="K66">
        <v>21427.199999999997</v>
      </c>
      <c r="L66">
        <v>42</v>
      </c>
      <c r="M66">
        <v>49996.799999999996</v>
      </c>
      <c r="N66">
        <v>38</v>
      </c>
      <c r="O66">
        <v>45235.199999999997</v>
      </c>
      <c r="P66">
        <v>23</v>
      </c>
      <c r="Q66">
        <v>27379.199999999997</v>
      </c>
      <c r="R66">
        <v>38</v>
      </c>
      <c r="S66">
        <v>45235.199999999997</v>
      </c>
      <c r="T66">
        <v>6</v>
      </c>
      <c r="U66">
        <v>7142.4</v>
      </c>
      <c r="V66">
        <v>4</v>
      </c>
      <c r="W66">
        <v>4761.5999999999995</v>
      </c>
      <c r="X66">
        <v>5</v>
      </c>
      <c r="Y66">
        <v>5951.9999999999991</v>
      </c>
      <c r="Z66">
        <v>4</v>
      </c>
      <c r="AA66">
        <v>4761.5999999999995</v>
      </c>
      <c r="AB66">
        <v>18</v>
      </c>
      <c r="AC66">
        <v>21427.199999999997</v>
      </c>
      <c r="AD66">
        <v>19</v>
      </c>
      <c r="AE66">
        <v>22617.599999999999</v>
      </c>
      <c r="AF66">
        <v>24</v>
      </c>
      <c r="AG66">
        <v>28569.599999999999</v>
      </c>
      <c r="AH66">
        <v>23</v>
      </c>
      <c r="AI66">
        <v>27379.199999999997</v>
      </c>
      <c r="AJ66">
        <v>24</v>
      </c>
      <c r="AK66">
        <v>28569.599999999999</v>
      </c>
      <c r="AL66">
        <v>26</v>
      </c>
      <c r="AM66">
        <v>30950.399999999998</v>
      </c>
      <c r="AN66">
        <v>27</v>
      </c>
      <c r="AO66">
        <v>32140.799999999996</v>
      </c>
      <c r="AP66">
        <v>16</v>
      </c>
      <c r="AQ66">
        <v>19046.399999999998</v>
      </c>
      <c r="AR66">
        <v>7</v>
      </c>
      <c r="AS66">
        <v>8332.7999999999993</v>
      </c>
      <c r="AT66">
        <v>13</v>
      </c>
      <c r="AU66">
        <v>15475.199999999999</v>
      </c>
      <c r="AV66">
        <v>13</v>
      </c>
      <c r="AW66">
        <v>15475.199999999999</v>
      </c>
      <c r="AX66">
        <v>8</v>
      </c>
      <c r="AY66">
        <v>9523.1999999999989</v>
      </c>
      <c r="AZ66">
        <v>7</v>
      </c>
      <c r="BA66">
        <v>8332.7999999999993</v>
      </c>
      <c r="BB66">
        <v>11</v>
      </c>
      <c r="BC66">
        <v>13094.399999999998</v>
      </c>
      <c r="BD66">
        <v>6.0533850567619041</v>
      </c>
      <c r="BE66">
        <v>7205.9495715693702</v>
      </c>
      <c r="BF66">
        <v>10</v>
      </c>
      <c r="BG66">
        <v>11903.999999999998</v>
      </c>
      <c r="BH66">
        <v>14</v>
      </c>
      <c r="BI66">
        <v>16665.599999999999</v>
      </c>
      <c r="BJ66">
        <v>9</v>
      </c>
      <c r="BK66">
        <v>10713.599999999999</v>
      </c>
      <c r="BL66">
        <v>10.32429465166082</v>
      </c>
      <c r="BM66">
        <v>12290.040353337039</v>
      </c>
      <c r="BN66">
        <v>13</v>
      </c>
      <c r="BO66">
        <v>15475.199999999999</v>
      </c>
      <c r="BP66">
        <v>6</v>
      </c>
      <c r="BQ66">
        <v>7142.4</v>
      </c>
      <c r="BR66">
        <v>7</v>
      </c>
      <c r="BS66">
        <v>8332.7999999999993</v>
      </c>
      <c r="BT66">
        <v>6</v>
      </c>
      <c r="BU66">
        <v>7142.4</v>
      </c>
      <c r="BV66">
        <v>4</v>
      </c>
      <c r="BW66">
        <v>4761.5999999999995</v>
      </c>
      <c r="BX66">
        <v>3</v>
      </c>
      <c r="BY66">
        <v>3571.2</v>
      </c>
      <c r="BZ66">
        <v>5</v>
      </c>
      <c r="CA66">
        <v>5951.9999999999991</v>
      </c>
      <c r="CB66">
        <v>3</v>
      </c>
      <c r="CC66">
        <v>3571.2</v>
      </c>
      <c r="CD66">
        <v>5</v>
      </c>
      <c r="CE66">
        <v>5951.9999999999991</v>
      </c>
      <c r="CF66">
        <v>15</v>
      </c>
      <c r="CG66">
        <v>17855.999999999996</v>
      </c>
      <c r="CH66">
        <v>21</v>
      </c>
      <c r="CI66">
        <v>24998.399999999998</v>
      </c>
      <c r="CJ66">
        <v>14.068784116814946</v>
      </c>
      <c r="CK66">
        <v>16747.480612656509</v>
      </c>
      <c r="CL66">
        <v>12.185030740428608</v>
      </c>
      <c r="CM66">
        <v>14505.060593406213</v>
      </c>
      <c r="CN66">
        <v>13.693518847818199</v>
      </c>
      <c r="CO66">
        <v>16300.764836442782</v>
      </c>
      <c r="CP66">
        <v>13.300833850809726</v>
      </c>
      <c r="CQ66">
        <v>15833.312616003896</v>
      </c>
      <c r="CR66">
        <v>7.4327422705901567</v>
      </c>
      <c r="CS66">
        <v>8847.9363989105223</v>
      </c>
      <c r="CT66">
        <v>11</v>
      </c>
      <c r="CU66">
        <v>13094.399999999998</v>
      </c>
    </row>
    <row r="67" spans="2:99" x14ac:dyDescent="0.2">
      <c r="C67" s="105" t="s">
        <v>233</v>
      </c>
      <c r="D67">
        <v>15</v>
      </c>
      <c r="E67">
        <v>16848</v>
      </c>
      <c r="F67">
        <v>18</v>
      </c>
      <c r="G67">
        <v>20217.600000000002</v>
      </c>
      <c r="H67">
        <v>10</v>
      </c>
      <c r="I67">
        <v>11232</v>
      </c>
      <c r="J67">
        <v>18</v>
      </c>
      <c r="K67">
        <v>20217.600000000002</v>
      </c>
      <c r="L67">
        <v>42</v>
      </c>
      <c r="M67">
        <v>47174.400000000001</v>
      </c>
      <c r="N67">
        <v>36</v>
      </c>
      <c r="O67">
        <v>40435.200000000004</v>
      </c>
      <c r="P67">
        <v>23</v>
      </c>
      <c r="Q67">
        <v>25833.600000000002</v>
      </c>
      <c r="R67">
        <v>37</v>
      </c>
      <c r="S67">
        <v>41558.400000000001</v>
      </c>
      <c r="T67">
        <v>6</v>
      </c>
      <c r="U67">
        <v>6739.2000000000007</v>
      </c>
      <c r="V67">
        <v>5</v>
      </c>
      <c r="W67">
        <v>5616</v>
      </c>
      <c r="X67">
        <v>5</v>
      </c>
      <c r="Y67">
        <v>5616</v>
      </c>
      <c r="Z67">
        <v>3</v>
      </c>
      <c r="AA67">
        <v>3369.6000000000004</v>
      </c>
      <c r="AB67">
        <v>19</v>
      </c>
      <c r="AC67">
        <v>21340.799999999999</v>
      </c>
      <c r="AD67">
        <v>20</v>
      </c>
      <c r="AE67">
        <v>22464</v>
      </c>
      <c r="AF67">
        <v>23</v>
      </c>
      <c r="AG67">
        <v>25833.600000000002</v>
      </c>
      <c r="AH67">
        <v>21</v>
      </c>
      <c r="AI67">
        <v>23587.200000000001</v>
      </c>
      <c r="AJ67">
        <v>22</v>
      </c>
      <c r="AK67">
        <v>24710.400000000001</v>
      </c>
      <c r="AL67">
        <v>27</v>
      </c>
      <c r="AM67">
        <v>30326.400000000001</v>
      </c>
      <c r="AN67">
        <v>29</v>
      </c>
      <c r="AO67">
        <v>32572.800000000003</v>
      </c>
      <c r="AP67">
        <v>16</v>
      </c>
      <c r="AQ67">
        <v>17971.2</v>
      </c>
      <c r="AR67">
        <v>9</v>
      </c>
      <c r="AS67">
        <v>10108.800000000001</v>
      </c>
      <c r="AT67">
        <v>12</v>
      </c>
      <c r="AU67">
        <v>13478.400000000001</v>
      </c>
      <c r="AV67">
        <v>13</v>
      </c>
      <c r="AW67">
        <v>14601.6</v>
      </c>
      <c r="AX67">
        <v>9</v>
      </c>
      <c r="AY67">
        <v>10108.800000000001</v>
      </c>
      <c r="AZ67">
        <v>7</v>
      </c>
      <c r="BA67">
        <v>7862.4000000000005</v>
      </c>
      <c r="BB67">
        <v>11</v>
      </c>
      <c r="BC67">
        <v>12355.2</v>
      </c>
      <c r="BD67">
        <v>6.0533850567619041</v>
      </c>
      <c r="BE67">
        <v>6799.1620957549712</v>
      </c>
      <c r="BF67">
        <v>11</v>
      </c>
      <c r="BG67">
        <v>12355.2</v>
      </c>
      <c r="BH67">
        <v>13</v>
      </c>
      <c r="BI67">
        <v>14601.6</v>
      </c>
      <c r="BJ67">
        <v>8</v>
      </c>
      <c r="BK67">
        <v>8985.6</v>
      </c>
      <c r="BL67">
        <v>10.329283800147911</v>
      </c>
      <c r="BM67">
        <v>11601.851564326134</v>
      </c>
      <c r="BN67">
        <v>11</v>
      </c>
      <c r="BO67">
        <v>12355.2</v>
      </c>
      <c r="BP67">
        <v>6</v>
      </c>
      <c r="BQ67">
        <v>6739.2000000000007</v>
      </c>
      <c r="BR67">
        <v>7</v>
      </c>
      <c r="BS67">
        <v>7862.4000000000005</v>
      </c>
      <c r="BT67">
        <v>6</v>
      </c>
      <c r="BU67">
        <v>6739.2000000000007</v>
      </c>
      <c r="BV67">
        <v>4</v>
      </c>
      <c r="BW67">
        <v>4492.8</v>
      </c>
      <c r="BX67">
        <v>3</v>
      </c>
      <c r="BY67">
        <v>3369.6000000000004</v>
      </c>
      <c r="BZ67">
        <v>4</v>
      </c>
      <c r="CA67">
        <v>4492.8</v>
      </c>
      <c r="CB67">
        <v>3</v>
      </c>
      <c r="CC67">
        <v>3369.6000000000004</v>
      </c>
      <c r="CD67">
        <v>5</v>
      </c>
      <c r="CE67">
        <v>5616</v>
      </c>
      <c r="CF67">
        <v>14</v>
      </c>
      <c r="CG67">
        <v>15724.800000000001</v>
      </c>
      <c r="CH67">
        <v>22</v>
      </c>
      <c r="CI67">
        <v>24710.400000000001</v>
      </c>
      <c r="CJ67">
        <v>15.068784116814946</v>
      </c>
      <c r="CK67">
        <v>16925.258320006549</v>
      </c>
      <c r="CL67">
        <v>13.185030740428608</v>
      </c>
      <c r="CM67">
        <v>14809.426527649413</v>
      </c>
      <c r="CN67">
        <v>12.624395629539906</v>
      </c>
      <c r="CO67">
        <v>14179.721171099223</v>
      </c>
      <c r="CP67">
        <v>14.500962135549683</v>
      </c>
      <c r="CQ67">
        <v>16287.480670649404</v>
      </c>
      <c r="CR67">
        <v>6.4154325797665503</v>
      </c>
      <c r="CS67">
        <v>7205.81387359379</v>
      </c>
      <c r="CT67">
        <v>11</v>
      </c>
      <c r="CU67">
        <v>12355.2</v>
      </c>
    </row>
    <row r="68" spans="2:99" x14ac:dyDescent="0.2">
      <c r="C68" s="105" t="s">
        <v>234</v>
      </c>
      <c r="D68">
        <v>14</v>
      </c>
      <c r="E68">
        <v>14464.800000000001</v>
      </c>
      <c r="F68">
        <v>19</v>
      </c>
      <c r="G68">
        <v>19630.8</v>
      </c>
      <c r="H68">
        <v>10</v>
      </c>
      <c r="I68">
        <v>10332</v>
      </c>
      <c r="J68">
        <v>18</v>
      </c>
      <c r="K68">
        <v>18597.600000000002</v>
      </c>
      <c r="L68">
        <v>41</v>
      </c>
      <c r="M68">
        <v>42361.200000000004</v>
      </c>
      <c r="N68">
        <v>42</v>
      </c>
      <c r="O68">
        <v>43394.400000000001</v>
      </c>
      <c r="P68">
        <v>20</v>
      </c>
      <c r="Q68">
        <v>20664</v>
      </c>
      <c r="R68">
        <v>38</v>
      </c>
      <c r="S68">
        <v>39261.599999999999</v>
      </c>
      <c r="T68">
        <v>6</v>
      </c>
      <c r="U68">
        <v>6199.2000000000007</v>
      </c>
      <c r="V68">
        <v>5</v>
      </c>
      <c r="W68">
        <v>5166</v>
      </c>
      <c r="X68">
        <v>5</v>
      </c>
      <c r="Y68">
        <v>5166</v>
      </c>
      <c r="Z68">
        <v>3</v>
      </c>
      <c r="AA68">
        <v>3099.6000000000004</v>
      </c>
      <c r="AB68">
        <v>19</v>
      </c>
      <c r="AC68">
        <v>19630.8</v>
      </c>
      <c r="AD68">
        <v>19</v>
      </c>
      <c r="AE68">
        <v>19630.8</v>
      </c>
      <c r="AF68">
        <v>23</v>
      </c>
      <c r="AG68">
        <v>23763.600000000002</v>
      </c>
      <c r="AH68">
        <v>22</v>
      </c>
      <c r="AI68">
        <v>22730.400000000001</v>
      </c>
      <c r="AJ68">
        <v>22</v>
      </c>
      <c r="AK68">
        <v>22730.400000000001</v>
      </c>
      <c r="AL68">
        <v>32</v>
      </c>
      <c r="AM68">
        <v>33062.400000000001</v>
      </c>
      <c r="AN68">
        <v>28</v>
      </c>
      <c r="AO68">
        <v>28929.600000000002</v>
      </c>
      <c r="AP68">
        <v>17</v>
      </c>
      <c r="AQ68">
        <v>17564.400000000001</v>
      </c>
      <c r="AR68">
        <v>9</v>
      </c>
      <c r="AS68">
        <v>9298.8000000000011</v>
      </c>
      <c r="AT68">
        <v>14</v>
      </c>
      <c r="AU68">
        <v>14464.800000000001</v>
      </c>
      <c r="AV68">
        <v>14</v>
      </c>
      <c r="AW68">
        <v>14464.800000000001</v>
      </c>
      <c r="AX68">
        <v>10</v>
      </c>
      <c r="AY68">
        <v>10332</v>
      </c>
      <c r="AZ68">
        <v>7</v>
      </c>
      <c r="BA68">
        <v>7232.4000000000005</v>
      </c>
      <c r="BB68">
        <v>12</v>
      </c>
      <c r="BC68">
        <v>12398.400000000001</v>
      </c>
      <c r="BD68">
        <v>5.0533850567619041</v>
      </c>
      <c r="BE68">
        <v>5221.1574406463997</v>
      </c>
      <c r="BF68">
        <v>10</v>
      </c>
      <c r="BG68">
        <v>10332</v>
      </c>
      <c r="BH68">
        <v>13</v>
      </c>
      <c r="BI68">
        <v>13431.6</v>
      </c>
      <c r="BJ68">
        <v>9</v>
      </c>
      <c r="BK68">
        <v>9298.8000000000011</v>
      </c>
      <c r="BL68">
        <v>10.334272948635</v>
      </c>
      <c r="BM68">
        <v>10677.370810529683</v>
      </c>
      <c r="BN68">
        <v>12</v>
      </c>
      <c r="BO68">
        <v>12398.400000000001</v>
      </c>
      <c r="BP68">
        <v>6</v>
      </c>
      <c r="BQ68">
        <v>6199.2000000000007</v>
      </c>
      <c r="BR68">
        <v>7</v>
      </c>
      <c r="BS68">
        <v>7232.4000000000005</v>
      </c>
      <c r="BT68">
        <v>6</v>
      </c>
      <c r="BU68">
        <v>6199.2000000000007</v>
      </c>
      <c r="BV68">
        <v>4</v>
      </c>
      <c r="BW68">
        <v>4132.8</v>
      </c>
      <c r="BX68">
        <v>3</v>
      </c>
      <c r="BY68">
        <v>3099.6000000000004</v>
      </c>
      <c r="BZ68">
        <v>4</v>
      </c>
      <c r="CA68">
        <v>4132.8</v>
      </c>
      <c r="CB68">
        <v>3</v>
      </c>
      <c r="CC68">
        <v>3099.6000000000004</v>
      </c>
      <c r="CD68">
        <v>5</v>
      </c>
      <c r="CE68">
        <v>5166</v>
      </c>
      <c r="CF68">
        <v>13</v>
      </c>
      <c r="CG68">
        <v>13431.6</v>
      </c>
      <c r="CH68">
        <v>22</v>
      </c>
      <c r="CI68">
        <v>22730.400000000001</v>
      </c>
      <c r="CJ68">
        <v>15.068784116814946</v>
      </c>
      <c r="CK68">
        <v>15569.067749493202</v>
      </c>
      <c r="CL68">
        <v>13.185030740428608</v>
      </c>
      <c r="CM68">
        <v>13622.77376101084</v>
      </c>
      <c r="CN68">
        <v>12.728080456957347</v>
      </c>
      <c r="CO68">
        <v>13150.652728128331</v>
      </c>
      <c r="CP68">
        <v>14.434252707303031</v>
      </c>
      <c r="CQ68">
        <v>14913.469897185492</v>
      </c>
      <c r="CR68">
        <v>7.4673616522373694</v>
      </c>
      <c r="CS68">
        <v>7715.27805909165</v>
      </c>
      <c r="CT68">
        <v>12</v>
      </c>
      <c r="CU68">
        <v>12398.400000000001</v>
      </c>
    </row>
    <row r="69" spans="2:99" x14ac:dyDescent="0.2">
      <c r="C69" s="105" t="s">
        <v>235</v>
      </c>
      <c r="D69">
        <v>14</v>
      </c>
      <c r="E69">
        <v>10617.6</v>
      </c>
      <c r="F69">
        <v>18</v>
      </c>
      <c r="G69">
        <v>13651.199999999999</v>
      </c>
      <c r="H69">
        <v>10</v>
      </c>
      <c r="I69">
        <v>7584</v>
      </c>
      <c r="J69">
        <v>18</v>
      </c>
      <c r="K69">
        <v>13651.199999999999</v>
      </c>
      <c r="L69">
        <v>40</v>
      </c>
      <c r="M69">
        <v>30336</v>
      </c>
      <c r="N69">
        <v>43</v>
      </c>
      <c r="O69">
        <v>32611.200000000001</v>
      </c>
      <c r="P69">
        <v>24</v>
      </c>
      <c r="Q69">
        <v>18201.599999999999</v>
      </c>
      <c r="R69">
        <v>42</v>
      </c>
      <c r="S69">
        <v>31852.799999999999</v>
      </c>
      <c r="T69">
        <v>7</v>
      </c>
      <c r="U69">
        <v>5308.8</v>
      </c>
      <c r="V69">
        <v>5</v>
      </c>
      <c r="W69">
        <v>3792</v>
      </c>
      <c r="X69">
        <v>5</v>
      </c>
      <c r="Y69">
        <v>3792</v>
      </c>
      <c r="Z69">
        <v>4</v>
      </c>
      <c r="AA69">
        <v>3033.6</v>
      </c>
      <c r="AB69">
        <v>19</v>
      </c>
      <c r="AC69">
        <v>14409.6</v>
      </c>
      <c r="AD69">
        <v>21</v>
      </c>
      <c r="AE69">
        <v>15926.4</v>
      </c>
      <c r="AF69">
        <v>22</v>
      </c>
      <c r="AG69">
        <v>16684.8</v>
      </c>
      <c r="AH69">
        <v>22</v>
      </c>
      <c r="AI69">
        <v>16684.8</v>
      </c>
      <c r="AJ69">
        <v>23</v>
      </c>
      <c r="AK69">
        <v>17443.2</v>
      </c>
      <c r="AL69">
        <v>31</v>
      </c>
      <c r="AM69">
        <v>23510.399999999998</v>
      </c>
      <c r="AN69">
        <v>31</v>
      </c>
      <c r="AO69">
        <v>23510.399999999998</v>
      </c>
      <c r="AP69">
        <v>15</v>
      </c>
      <c r="AQ69">
        <v>11376</v>
      </c>
      <c r="AR69">
        <v>9</v>
      </c>
      <c r="AS69">
        <v>6825.5999999999995</v>
      </c>
      <c r="AT69">
        <v>15</v>
      </c>
      <c r="AU69">
        <v>11376</v>
      </c>
      <c r="AV69">
        <v>13</v>
      </c>
      <c r="AW69">
        <v>9859.1999999999989</v>
      </c>
      <c r="AX69">
        <v>10</v>
      </c>
      <c r="AY69">
        <v>7584</v>
      </c>
      <c r="AZ69">
        <v>6</v>
      </c>
      <c r="BA69">
        <v>4550.3999999999996</v>
      </c>
      <c r="BB69">
        <v>10</v>
      </c>
      <c r="BC69">
        <v>7584</v>
      </c>
      <c r="BD69">
        <v>5.0533850567619041</v>
      </c>
      <c r="BE69">
        <v>3832.4872270482279</v>
      </c>
      <c r="BF69">
        <v>10</v>
      </c>
      <c r="BG69">
        <v>7584</v>
      </c>
      <c r="BH69">
        <v>14</v>
      </c>
      <c r="BI69">
        <v>10617.6</v>
      </c>
      <c r="BJ69">
        <v>9</v>
      </c>
      <c r="BK69">
        <v>6825.5999999999995</v>
      </c>
      <c r="BL69">
        <v>10.334272948635</v>
      </c>
      <c r="BM69">
        <v>7837.5126042447837</v>
      </c>
      <c r="BN69">
        <v>13</v>
      </c>
      <c r="BO69">
        <v>9859.1999999999989</v>
      </c>
      <c r="BP69">
        <v>6</v>
      </c>
      <c r="BQ69">
        <v>4550.3999999999996</v>
      </c>
      <c r="BR69">
        <v>8</v>
      </c>
      <c r="BS69">
        <v>6067.2</v>
      </c>
      <c r="BT69">
        <v>6</v>
      </c>
      <c r="BU69">
        <v>4550.3999999999996</v>
      </c>
      <c r="BV69">
        <v>4</v>
      </c>
      <c r="BW69">
        <v>3033.6</v>
      </c>
      <c r="BX69">
        <v>4</v>
      </c>
      <c r="BY69">
        <v>3033.6</v>
      </c>
      <c r="BZ69">
        <v>4</v>
      </c>
      <c r="CA69">
        <v>3033.6</v>
      </c>
      <c r="CB69">
        <v>3</v>
      </c>
      <c r="CC69">
        <v>2275.1999999999998</v>
      </c>
      <c r="CD69">
        <v>5</v>
      </c>
      <c r="CE69">
        <v>3792</v>
      </c>
      <c r="CF69">
        <v>15</v>
      </c>
      <c r="CG69">
        <v>11376</v>
      </c>
      <c r="CH69">
        <v>24</v>
      </c>
      <c r="CI69">
        <v>18201.599999999999</v>
      </c>
      <c r="CJ69">
        <v>14.068784116814946</v>
      </c>
      <c r="CK69">
        <v>10669.765874192455</v>
      </c>
      <c r="CL69">
        <v>13.154192283690506</v>
      </c>
      <c r="CM69">
        <v>9976.1394279508786</v>
      </c>
      <c r="CN69">
        <v>13.624395629539906</v>
      </c>
      <c r="CO69">
        <v>10332.741645443064</v>
      </c>
      <c r="CP69">
        <v>13</v>
      </c>
      <c r="CQ69">
        <v>9859.1999999999989</v>
      </c>
      <c r="CR69">
        <v>8.4327422705901576</v>
      </c>
      <c r="CS69">
        <v>6395.3917380155754</v>
      </c>
      <c r="CT69">
        <v>12</v>
      </c>
      <c r="CU69">
        <v>9100.7999999999993</v>
      </c>
    </row>
    <row r="70" spans="2:99" x14ac:dyDescent="0.2">
      <c r="C70" s="105" t="s">
        <v>236</v>
      </c>
      <c r="D70">
        <v>15</v>
      </c>
      <c r="E70">
        <v>8027.9999999999991</v>
      </c>
      <c r="F70">
        <v>17</v>
      </c>
      <c r="G70">
        <v>9098.4</v>
      </c>
      <c r="H70">
        <v>10</v>
      </c>
      <c r="I70">
        <v>5351.9999999999991</v>
      </c>
      <c r="J70">
        <v>19</v>
      </c>
      <c r="K70">
        <v>10168.799999999999</v>
      </c>
      <c r="L70">
        <v>46</v>
      </c>
      <c r="M70">
        <v>24619.199999999997</v>
      </c>
      <c r="N70">
        <v>41</v>
      </c>
      <c r="O70">
        <v>21943.199999999997</v>
      </c>
      <c r="P70">
        <v>26</v>
      </c>
      <c r="Q70">
        <v>13915.199999999999</v>
      </c>
      <c r="R70">
        <v>45</v>
      </c>
      <c r="S70">
        <v>24083.999999999996</v>
      </c>
      <c r="T70">
        <v>6</v>
      </c>
      <c r="U70">
        <v>3211.2</v>
      </c>
      <c r="V70">
        <v>5</v>
      </c>
      <c r="W70">
        <v>2675.9999999999995</v>
      </c>
      <c r="X70">
        <v>5</v>
      </c>
      <c r="Y70">
        <v>2675.9999999999995</v>
      </c>
      <c r="Z70">
        <v>4</v>
      </c>
      <c r="AA70">
        <v>2140.7999999999997</v>
      </c>
      <c r="AB70">
        <v>22</v>
      </c>
      <c r="AC70">
        <v>11774.399999999998</v>
      </c>
      <c r="AD70">
        <v>22</v>
      </c>
      <c r="AE70">
        <v>11774.399999999998</v>
      </c>
      <c r="AF70">
        <v>24</v>
      </c>
      <c r="AG70">
        <v>12844.8</v>
      </c>
      <c r="AH70">
        <v>26</v>
      </c>
      <c r="AI70">
        <v>13915.199999999999</v>
      </c>
      <c r="AJ70">
        <v>25</v>
      </c>
      <c r="AK70">
        <v>13379.999999999998</v>
      </c>
      <c r="AL70">
        <v>29</v>
      </c>
      <c r="AM70">
        <v>15520.799999999997</v>
      </c>
      <c r="AN70">
        <v>33</v>
      </c>
      <c r="AO70">
        <v>17661.599999999999</v>
      </c>
      <c r="AP70">
        <v>17</v>
      </c>
      <c r="AQ70">
        <v>9098.4</v>
      </c>
      <c r="AR70">
        <v>8</v>
      </c>
      <c r="AS70">
        <v>4281.5999999999995</v>
      </c>
      <c r="AT70">
        <v>15</v>
      </c>
      <c r="AU70">
        <v>8027.9999999999991</v>
      </c>
      <c r="AV70">
        <v>14</v>
      </c>
      <c r="AW70">
        <v>7492.7999999999993</v>
      </c>
      <c r="AX70">
        <v>10</v>
      </c>
      <c r="AY70">
        <v>5351.9999999999991</v>
      </c>
      <c r="AZ70">
        <v>6</v>
      </c>
      <c r="BA70">
        <v>3211.2</v>
      </c>
      <c r="BB70">
        <v>11</v>
      </c>
      <c r="BC70">
        <v>5887.1999999999989</v>
      </c>
      <c r="BD70">
        <v>6.0587235624380948</v>
      </c>
      <c r="BE70">
        <v>3242.628850616868</v>
      </c>
      <c r="BF70">
        <v>10</v>
      </c>
      <c r="BG70">
        <v>5351.9999999999991</v>
      </c>
      <c r="BH70">
        <v>15</v>
      </c>
      <c r="BI70">
        <v>8027.9999999999991</v>
      </c>
      <c r="BJ70">
        <v>9</v>
      </c>
      <c r="BK70">
        <v>4816.7999999999993</v>
      </c>
      <c r="BL70">
        <v>11.389153581992984</v>
      </c>
      <c r="BM70">
        <v>6095.4749970826442</v>
      </c>
      <c r="BN70">
        <v>13</v>
      </c>
      <c r="BO70">
        <v>6957.5999999999995</v>
      </c>
      <c r="BP70">
        <v>6</v>
      </c>
      <c r="BQ70">
        <v>3211.2</v>
      </c>
      <c r="BR70">
        <v>7</v>
      </c>
      <c r="BS70">
        <v>3746.3999999999996</v>
      </c>
      <c r="BT70">
        <v>6</v>
      </c>
      <c r="BU70">
        <v>3211.2</v>
      </c>
      <c r="BV70">
        <v>4</v>
      </c>
      <c r="BW70">
        <v>2140.7999999999997</v>
      </c>
      <c r="BX70">
        <v>3</v>
      </c>
      <c r="BY70">
        <v>1605.6</v>
      </c>
      <c r="BZ70">
        <v>5</v>
      </c>
      <c r="CA70">
        <v>2675.9999999999995</v>
      </c>
      <c r="CB70">
        <v>3</v>
      </c>
      <c r="CC70">
        <v>1605.6</v>
      </c>
      <c r="CD70">
        <v>5</v>
      </c>
      <c r="CE70">
        <v>2675.9999999999995</v>
      </c>
      <c r="CF70">
        <v>16</v>
      </c>
      <c r="CG70">
        <v>8563.1999999999989</v>
      </c>
      <c r="CH70">
        <v>25</v>
      </c>
      <c r="CI70">
        <v>13379.999999999998</v>
      </c>
      <c r="CJ70">
        <v>14.068784116814946</v>
      </c>
      <c r="CK70">
        <v>7529.6132593193579</v>
      </c>
      <c r="CL70">
        <v>13.185030740428608</v>
      </c>
      <c r="CM70">
        <v>7056.6284522773904</v>
      </c>
      <c r="CN70">
        <v>13.866326893513934</v>
      </c>
      <c r="CO70">
        <v>7421.2581534086567</v>
      </c>
      <c r="CP70">
        <v>13.53431684967301</v>
      </c>
      <c r="CQ70">
        <v>7243.5663779449942</v>
      </c>
      <c r="CR70">
        <v>8.450051961413763</v>
      </c>
      <c r="CS70">
        <v>4522.4678097486458</v>
      </c>
      <c r="CT70">
        <v>12</v>
      </c>
      <c r="CU70">
        <v>6422.4</v>
      </c>
    </row>
    <row r="71" spans="2:99" x14ac:dyDescent="0.2">
      <c r="B71" s="105" t="s">
        <v>130</v>
      </c>
      <c r="C71" s="105" t="s">
        <v>237</v>
      </c>
      <c r="D71">
        <v>17</v>
      </c>
      <c r="E71">
        <v>9588</v>
      </c>
      <c r="F71">
        <v>10</v>
      </c>
      <c r="G71">
        <v>5640</v>
      </c>
      <c r="H71">
        <v>16</v>
      </c>
      <c r="I71">
        <v>9024</v>
      </c>
      <c r="J71">
        <v>17</v>
      </c>
      <c r="K71">
        <v>9588</v>
      </c>
      <c r="L71">
        <v>7</v>
      </c>
      <c r="M71">
        <v>3948</v>
      </c>
      <c r="N71">
        <v>14</v>
      </c>
      <c r="O71">
        <v>7896</v>
      </c>
      <c r="P71">
        <v>13</v>
      </c>
      <c r="Q71">
        <v>7332</v>
      </c>
      <c r="R71">
        <v>13</v>
      </c>
      <c r="S71">
        <v>7332</v>
      </c>
      <c r="T71">
        <v>5.6554450934231264</v>
      </c>
      <c r="U71">
        <v>3189.6710326906432</v>
      </c>
      <c r="V71">
        <v>6.7874564310998391</v>
      </c>
      <c r="W71">
        <v>3828.1254271403091</v>
      </c>
      <c r="X71">
        <v>6.5792759616112946</v>
      </c>
      <c r="Y71">
        <v>3710.7116423487701</v>
      </c>
      <c r="Z71">
        <v>6.770493294974159</v>
      </c>
      <c r="AA71">
        <v>3818.5582183654255</v>
      </c>
      <c r="AB71">
        <v>19</v>
      </c>
      <c r="AC71">
        <v>10716</v>
      </c>
      <c r="AD71">
        <v>20</v>
      </c>
      <c r="AE71">
        <v>11280</v>
      </c>
      <c r="AF71">
        <v>17</v>
      </c>
      <c r="AG71">
        <v>9588</v>
      </c>
      <c r="AH71">
        <v>27</v>
      </c>
      <c r="AI71">
        <v>15228</v>
      </c>
      <c r="AJ71">
        <v>15.423041636200843</v>
      </c>
      <c r="AK71">
        <v>8698.5954828172744</v>
      </c>
      <c r="AL71">
        <v>14.249421106268388</v>
      </c>
      <c r="AM71">
        <v>8036.6735039353707</v>
      </c>
      <c r="AN71">
        <v>15.506916596886741</v>
      </c>
      <c r="AO71">
        <v>8745.9009606441214</v>
      </c>
      <c r="AP71">
        <v>10.936439895802728</v>
      </c>
      <c r="AQ71">
        <v>6168.1521012327385</v>
      </c>
      <c r="AR71">
        <v>38.800234438484431</v>
      </c>
      <c r="AS71">
        <v>21883.33222330522</v>
      </c>
      <c r="AT71">
        <v>30</v>
      </c>
      <c r="AU71">
        <v>16920</v>
      </c>
      <c r="AV71">
        <v>38</v>
      </c>
      <c r="AW71">
        <v>21432</v>
      </c>
      <c r="AX71">
        <v>23.761016271317533</v>
      </c>
      <c r="AY71">
        <v>13401.213177023088</v>
      </c>
      <c r="AZ71">
        <v>25.516809387506385</v>
      </c>
      <c r="BA71">
        <v>14391.480494553602</v>
      </c>
      <c r="BB71">
        <v>24.446953405646312</v>
      </c>
      <c r="BC71">
        <v>13788.081720784519</v>
      </c>
      <c r="BD71">
        <v>20.440934760526812</v>
      </c>
      <c r="BE71">
        <v>11528.687204937121</v>
      </c>
      <c r="BF71">
        <v>21.514556762039668</v>
      </c>
      <c r="BG71">
        <v>12134.210013790373</v>
      </c>
      <c r="BH71">
        <v>23.096555038707709</v>
      </c>
      <c r="BI71">
        <v>13026.457041831149</v>
      </c>
      <c r="BJ71">
        <v>32.071768250944309</v>
      </c>
      <c r="BK71">
        <v>18088.477293532589</v>
      </c>
      <c r="BL71">
        <v>32.298813266100765</v>
      </c>
      <c r="BM71">
        <v>18216.530682080833</v>
      </c>
      <c r="BN71">
        <v>28</v>
      </c>
      <c r="BO71">
        <v>15792</v>
      </c>
      <c r="BP71">
        <v>16.223149279085749</v>
      </c>
      <c r="BQ71">
        <v>9149.8561934043628</v>
      </c>
      <c r="BR71">
        <v>12.839591598095129</v>
      </c>
      <c r="BS71">
        <v>7241.5296613256533</v>
      </c>
      <c r="BT71">
        <v>15.031930391498777</v>
      </c>
      <c r="BU71">
        <v>8478.0087408053096</v>
      </c>
      <c r="BV71">
        <v>13.759879256832463</v>
      </c>
      <c r="BW71">
        <v>7760.5719008535089</v>
      </c>
      <c r="BX71">
        <v>5</v>
      </c>
      <c r="BY71">
        <v>2820</v>
      </c>
      <c r="BZ71">
        <v>5.4754227953610402</v>
      </c>
      <c r="CA71">
        <v>3088.1384565836265</v>
      </c>
      <c r="CB71">
        <v>4.3476304266137973</v>
      </c>
      <c r="CC71">
        <v>2452.0635606101819</v>
      </c>
      <c r="CD71">
        <v>7.2801722141482994</v>
      </c>
      <c r="CE71">
        <v>4106.0171287796411</v>
      </c>
      <c r="CF71">
        <v>7.3807681917673262</v>
      </c>
      <c r="CG71">
        <v>4162.7532601567718</v>
      </c>
      <c r="CH71">
        <v>7.2031355776161101</v>
      </c>
      <c r="CI71">
        <v>4062.5684657754859</v>
      </c>
      <c r="CJ71">
        <v>4.285445525770716</v>
      </c>
      <c r="CK71">
        <v>2416.9912765346839</v>
      </c>
      <c r="CL71">
        <v>5.3834267337905057</v>
      </c>
      <c r="CM71">
        <v>3036.2526778578454</v>
      </c>
      <c r="CN71">
        <v>10</v>
      </c>
      <c r="CO71">
        <v>5640</v>
      </c>
      <c r="CP71">
        <v>9.5517422914482353</v>
      </c>
      <c r="CQ71">
        <v>5387.182652376805</v>
      </c>
      <c r="CR71">
        <v>10.744857030955734</v>
      </c>
      <c r="CS71">
        <v>6060.0993654590338</v>
      </c>
      <c r="CT71">
        <v>8.893585919094301</v>
      </c>
      <c r="CU71">
        <v>5015.9824583691861</v>
      </c>
    </row>
    <row r="72" spans="2:99" x14ac:dyDescent="0.2">
      <c r="C72" s="105" t="s">
        <v>238</v>
      </c>
      <c r="D72">
        <v>20</v>
      </c>
      <c r="E72">
        <v>1487.9999999999998</v>
      </c>
      <c r="F72">
        <v>11</v>
      </c>
      <c r="G72">
        <v>818.39999999999986</v>
      </c>
      <c r="H72">
        <v>17</v>
      </c>
      <c r="I72">
        <v>1264.8</v>
      </c>
      <c r="J72">
        <v>17</v>
      </c>
      <c r="K72">
        <v>1264.8</v>
      </c>
      <c r="L72">
        <v>8</v>
      </c>
      <c r="M72">
        <v>595.19999999999993</v>
      </c>
      <c r="N72">
        <v>16</v>
      </c>
      <c r="O72">
        <v>1190.3999999999999</v>
      </c>
      <c r="P72">
        <v>12</v>
      </c>
      <c r="Q72">
        <v>892.8</v>
      </c>
      <c r="R72">
        <v>14</v>
      </c>
      <c r="S72">
        <v>1041.5999999999999</v>
      </c>
      <c r="T72">
        <v>5.6554450934231264</v>
      </c>
      <c r="U72">
        <v>420.76511495068058</v>
      </c>
      <c r="V72">
        <v>6.6999612720887463</v>
      </c>
      <c r="W72">
        <v>498.47711864340266</v>
      </c>
      <c r="X72">
        <v>6.5792759616112946</v>
      </c>
      <c r="Y72">
        <v>489.49813154388028</v>
      </c>
      <c r="Z72">
        <v>7.8132984780282779</v>
      </c>
      <c r="AA72">
        <v>581.30940676530383</v>
      </c>
      <c r="AB72">
        <v>20</v>
      </c>
      <c r="AC72">
        <v>1487.9999999999998</v>
      </c>
      <c r="AD72">
        <v>22</v>
      </c>
      <c r="AE72">
        <v>1636.7999999999997</v>
      </c>
      <c r="AF72">
        <v>20</v>
      </c>
      <c r="AG72">
        <v>1487.9999999999998</v>
      </c>
      <c r="AH72">
        <v>25</v>
      </c>
      <c r="AI72">
        <v>1859.9999999999998</v>
      </c>
      <c r="AJ72">
        <v>15.578991404551619</v>
      </c>
      <c r="AK72">
        <v>1159.0769604986403</v>
      </c>
      <c r="AL72">
        <v>15.45454994461096</v>
      </c>
      <c r="AM72">
        <v>1149.8185158790552</v>
      </c>
      <c r="AN72">
        <v>16.38949452440206</v>
      </c>
      <c r="AO72">
        <v>1219.3783926155131</v>
      </c>
      <c r="AP72">
        <v>11.152541410218744</v>
      </c>
      <c r="AQ72">
        <v>829.74908092027442</v>
      </c>
      <c r="AR72">
        <v>41.876447242149609</v>
      </c>
      <c r="AS72">
        <v>3115.6076748159307</v>
      </c>
      <c r="AT72">
        <v>29</v>
      </c>
      <c r="AU72">
        <v>2157.6</v>
      </c>
      <c r="AV72">
        <v>41</v>
      </c>
      <c r="AW72">
        <v>3050.3999999999996</v>
      </c>
      <c r="AX72">
        <v>25.797255141380273</v>
      </c>
      <c r="AY72">
        <v>1919.315782518692</v>
      </c>
      <c r="AZ72">
        <v>26.563792059097871</v>
      </c>
      <c r="BA72">
        <v>1976.3461291968813</v>
      </c>
      <c r="BB72">
        <v>26</v>
      </c>
      <c r="BC72">
        <v>1934.3999999999999</v>
      </c>
      <c r="BD72">
        <v>22.5389202628661</v>
      </c>
      <c r="BE72">
        <v>1676.8956675572376</v>
      </c>
      <c r="BF72">
        <v>20.514556762039668</v>
      </c>
      <c r="BG72">
        <v>1526.2830230957511</v>
      </c>
      <c r="BH72">
        <v>24.194461738592327</v>
      </c>
      <c r="BI72">
        <v>1800.0679533512689</v>
      </c>
      <c r="BJ72">
        <v>33.993346183802039</v>
      </c>
      <c r="BK72">
        <v>2529.1049560748716</v>
      </c>
      <c r="BL72">
        <v>36.531436537641206</v>
      </c>
      <c r="BM72">
        <v>2717.9388784005055</v>
      </c>
      <c r="BN72">
        <v>32</v>
      </c>
      <c r="BO72">
        <v>2380.7999999999997</v>
      </c>
      <c r="BP72">
        <v>15.260214408755015</v>
      </c>
      <c r="BQ72">
        <v>1135.359952011373</v>
      </c>
      <c r="BR72">
        <v>12.880547285807086</v>
      </c>
      <c r="BS72">
        <v>958.31271806404709</v>
      </c>
      <c r="BT72">
        <v>15.966062494169067</v>
      </c>
      <c r="BU72">
        <v>1187.8750495661784</v>
      </c>
      <c r="BV72">
        <v>15.779876079380685</v>
      </c>
      <c r="BW72">
        <v>1174.0227803059229</v>
      </c>
      <c r="BX72">
        <v>5</v>
      </c>
      <c r="BY72">
        <v>371.99999999999994</v>
      </c>
      <c r="BZ72">
        <v>5.5229650748971446</v>
      </c>
      <c r="CA72">
        <v>410.90860157234749</v>
      </c>
      <c r="CB72">
        <v>4</v>
      </c>
      <c r="CC72">
        <v>297.59999999999997</v>
      </c>
      <c r="CD72">
        <v>7.3268675831730157</v>
      </c>
      <c r="CE72">
        <v>545.1189481880723</v>
      </c>
      <c r="CF72">
        <v>7.322188469956969</v>
      </c>
      <c r="CG72">
        <v>544.77082216479846</v>
      </c>
      <c r="CH72">
        <v>7.2285275248181238</v>
      </c>
      <c r="CI72">
        <v>537.80244784646834</v>
      </c>
      <c r="CJ72">
        <v>4.3113951190225999</v>
      </c>
      <c r="CK72">
        <v>320.7677968552814</v>
      </c>
      <c r="CL72">
        <v>5.3286514861061471</v>
      </c>
      <c r="CM72">
        <v>396.45167056629731</v>
      </c>
      <c r="CN72">
        <v>9</v>
      </c>
      <c r="CO72">
        <v>669.59999999999991</v>
      </c>
      <c r="CP72">
        <v>10.42592534889838</v>
      </c>
      <c r="CQ72">
        <v>775.68884595803934</v>
      </c>
      <c r="CR72">
        <v>10.816939969435319</v>
      </c>
      <c r="CS72">
        <v>804.7803337259877</v>
      </c>
      <c r="CT72">
        <v>9.893585919094301</v>
      </c>
      <c r="CU72">
        <v>736.08279238061596</v>
      </c>
    </row>
    <row r="73" spans="2:99" x14ac:dyDescent="0.2">
      <c r="C73" s="105" t="s">
        <v>239</v>
      </c>
      <c r="D73">
        <v>17</v>
      </c>
      <c r="E73">
        <v>9506.4</v>
      </c>
      <c r="F73">
        <v>12</v>
      </c>
      <c r="G73">
        <v>6710.4</v>
      </c>
      <c r="H73">
        <v>16</v>
      </c>
      <c r="I73">
        <v>8947.1999999999989</v>
      </c>
      <c r="J73">
        <v>18</v>
      </c>
      <c r="K73">
        <v>10065.599999999999</v>
      </c>
      <c r="L73">
        <v>8</v>
      </c>
      <c r="M73">
        <v>4473.5999999999995</v>
      </c>
      <c r="N73">
        <v>15</v>
      </c>
      <c r="O73">
        <v>8387.9999999999982</v>
      </c>
      <c r="P73">
        <v>14</v>
      </c>
      <c r="Q73">
        <v>7828.7999999999993</v>
      </c>
      <c r="R73">
        <v>12</v>
      </c>
      <c r="S73">
        <v>6710.4</v>
      </c>
      <c r="T73">
        <v>4.7373757301010171</v>
      </c>
      <c r="U73">
        <v>2649.1405082724887</v>
      </c>
      <c r="V73">
        <v>6.6999612720887463</v>
      </c>
      <c r="W73">
        <v>3746.6183433520264</v>
      </c>
      <c r="X73">
        <v>5.5378991072104879</v>
      </c>
      <c r="Y73">
        <v>3096.7931807521045</v>
      </c>
      <c r="Z73">
        <v>7.770493294974159</v>
      </c>
      <c r="AA73">
        <v>4345.2598505495489</v>
      </c>
      <c r="AB73">
        <v>18</v>
      </c>
      <c r="AC73">
        <v>10065.599999999999</v>
      </c>
      <c r="AD73">
        <v>23</v>
      </c>
      <c r="AE73">
        <v>12861.599999999999</v>
      </c>
      <c r="AF73">
        <v>20</v>
      </c>
      <c r="AG73">
        <v>11183.999999999998</v>
      </c>
      <c r="AH73">
        <v>24</v>
      </c>
      <c r="AI73">
        <v>13420.8</v>
      </c>
      <c r="AJ73">
        <v>15.325573030981605</v>
      </c>
      <c r="AK73">
        <v>8570.0604389249129</v>
      </c>
      <c r="AL73">
        <v>13.193476877629505</v>
      </c>
      <c r="AM73">
        <v>7377.7922699704186</v>
      </c>
      <c r="AN73">
        <v>14.27207245191738</v>
      </c>
      <c r="AO73">
        <v>7980.9429151121976</v>
      </c>
      <c r="AP73">
        <v>10.032485013320958</v>
      </c>
      <c r="AQ73">
        <v>5610.1656194490788</v>
      </c>
      <c r="AR73">
        <v>41</v>
      </c>
      <c r="AS73">
        <v>22927.199999999997</v>
      </c>
      <c r="AT73">
        <v>25</v>
      </c>
      <c r="AU73">
        <v>13979.999999999998</v>
      </c>
      <c r="AV73">
        <v>37</v>
      </c>
      <c r="AW73">
        <v>20690.399999999998</v>
      </c>
      <c r="AX73">
        <v>23.797255141380273</v>
      </c>
      <c r="AY73">
        <v>13307.425075059848</v>
      </c>
      <c r="AZ73">
        <v>29.516809387506385</v>
      </c>
      <c r="BA73">
        <v>16505.799809493568</v>
      </c>
      <c r="BB73">
        <v>23</v>
      </c>
      <c r="BC73">
        <v>12861.599999999999</v>
      </c>
      <c r="BD73">
        <v>23.489927511696454</v>
      </c>
      <c r="BE73">
        <v>13135.567464540656</v>
      </c>
      <c r="BF73">
        <v>21</v>
      </c>
      <c r="BG73">
        <v>11743.199999999999</v>
      </c>
      <c r="BH73">
        <v>21.135717718661557</v>
      </c>
      <c r="BI73">
        <v>11819.093348275541</v>
      </c>
      <c r="BJ73">
        <v>32.071768250944309</v>
      </c>
      <c r="BK73">
        <v>17934.532805928055</v>
      </c>
      <c r="BL73">
        <v>31.260042720844027</v>
      </c>
      <c r="BM73">
        <v>17480.615889495977</v>
      </c>
      <c r="BN73">
        <v>30</v>
      </c>
      <c r="BO73">
        <v>16775.999999999996</v>
      </c>
      <c r="BP73">
        <v>14.260214408755015</v>
      </c>
      <c r="BQ73">
        <v>7974.3118973758037</v>
      </c>
      <c r="BR73">
        <v>13.778158066527194</v>
      </c>
      <c r="BS73">
        <v>7704.7459908020055</v>
      </c>
      <c r="BT73">
        <v>14.900194596839359</v>
      </c>
      <c r="BU73">
        <v>8332.1888185525695</v>
      </c>
      <c r="BV73">
        <v>13.719885611736018</v>
      </c>
      <c r="BW73">
        <v>7672.1600340827799</v>
      </c>
      <c r="BX73">
        <v>5</v>
      </c>
      <c r="BY73">
        <v>2795.9999999999995</v>
      </c>
      <c r="BZ73">
        <v>4.5229650748971446</v>
      </c>
      <c r="CA73">
        <v>2529.2420698824831</v>
      </c>
      <c r="CB73">
        <v>4</v>
      </c>
      <c r="CC73">
        <v>2236.7999999999997</v>
      </c>
      <c r="CD73">
        <v>6.3268675831730157</v>
      </c>
      <c r="CE73">
        <v>3537.9843525103497</v>
      </c>
      <c r="CF73">
        <v>7.322188469956969</v>
      </c>
      <c r="CG73">
        <v>4094.5677923999365</v>
      </c>
      <c r="CH73">
        <v>7.2031355776161101</v>
      </c>
      <c r="CI73">
        <v>4027.9934150029285</v>
      </c>
      <c r="CJ73">
        <v>4.3113951190225999</v>
      </c>
      <c r="CK73">
        <v>2410.9321505574376</v>
      </c>
      <c r="CL73">
        <v>5.3286514861061471</v>
      </c>
      <c r="CM73">
        <v>2979.7819110305572</v>
      </c>
      <c r="CN73">
        <v>9</v>
      </c>
      <c r="CO73">
        <v>5032.7999999999993</v>
      </c>
      <c r="CP73">
        <v>9.5517422914482353</v>
      </c>
      <c r="CQ73">
        <v>5341.3342893778527</v>
      </c>
      <c r="CR73">
        <v>9.8409676155951828</v>
      </c>
      <c r="CS73">
        <v>5503.0690906408254</v>
      </c>
      <c r="CT73">
        <v>8.893585919094301</v>
      </c>
      <c r="CU73">
        <v>4973.2932459575322</v>
      </c>
    </row>
    <row r="74" spans="2:99" x14ac:dyDescent="0.2">
      <c r="C74" s="105" t="s">
        <v>240</v>
      </c>
      <c r="D74">
        <v>16</v>
      </c>
      <c r="E74">
        <v>6451.2</v>
      </c>
      <c r="F74">
        <v>11</v>
      </c>
      <c r="G74">
        <v>4435.2</v>
      </c>
      <c r="H74">
        <v>17</v>
      </c>
      <c r="I74">
        <v>6854.4</v>
      </c>
      <c r="J74">
        <v>16</v>
      </c>
      <c r="K74">
        <v>6451.2</v>
      </c>
      <c r="L74">
        <v>7</v>
      </c>
      <c r="M74">
        <v>2822.4</v>
      </c>
      <c r="N74">
        <v>13</v>
      </c>
      <c r="O74">
        <v>5241.5999999999995</v>
      </c>
      <c r="P74">
        <v>14</v>
      </c>
      <c r="Q74">
        <v>5644.8</v>
      </c>
      <c r="R74">
        <v>13</v>
      </c>
      <c r="S74">
        <v>5241.5999999999995</v>
      </c>
      <c r="T74">
        <v>5.7373757301010171</v>
      </c>
      <c r="U74">
        <v>2313.30989437673</v>
      </c>
      <c r="V74">
        <v>6.7437088515942927</v>
      </c>
      <c r="W74">
        <v>2719.0634089628188</v>
      </c>
      <c r="X74">
        <v>6.5792759616112946</v>
      </c>
      <c r="Y74">
        <v>2652.7640677216741</v>
      </c>
      <c r="Z74">
        <v>6.770493294974159</v>
      </c>
      <c r="AA74">
        <v>2729.8628965335806</v>
      </c>
      <c r="AB74">
        <v>20</v>
      </c>
      <c r="AC74">
        <v>8064</v>
      </c>
      <c r="AD74">
        <v>21</v>
      </c>
      <c r="AE74">
        <v>8467.1999999999989</v>
      </c>
      <c r="AF74">
        <v>19</v>
      </c>
      <c r="AG74">
        <v>7660.8</v>
      </c>
      <c r="AH74">
        <v>25</v>
      </c>
      <c r="AI74">
        <v>10080</v>
      </c>
      <c r="AJ74">
        <v>14.520510241420078</v>
      </c>
      <c r="AK74">
        <v>5854.669729340575</v>
      </c>
      <c r="AL74">
        <v>14.379957639759116</v>
      </c>
      <c r="AM74">
        <v>5797.9989203508758</v>
      </c>
      <c r="AN74">
        <v>13.369924178987947</v>
      </c>
      <c r="AO74">
        <v>5390.7534289679406</v>
      </c>
      <c r="AP74">
        <v>10.032485013320958</v>
      </c>
      <c r="AQ74">
        <v>4045.0979573710101</v>
      </c>
      <c r="AR74">
        <v>41</v>
      </c>
      <c r="AS74">
        <v>16531.2</v>
      </c>
      <c r="AT74">
        <v>30</v>
      </c>
      <c r="AU74">
        <v>12096</v>
      </c>
      <c r="AV74">
        <v>34</v>
      </c>
      <c r="AW74">
        <v>13708.8</v>
      </c>
      <c r="AX74">
        <v>25.724777401254794</v>
      </c>
      <c r="AY74">
        <v>10372.230248185933</v>
      </c>
      <c r="AZ74">
        <v>28.516809387506385</v>
      </c>
      <c r="BA74">
        <v>11497.977545042573</v>
      </c>
      <c r="BB74">
        <v>28.446953405646312</v>
      </c>
      <c r="BC74">
        <v>11469.811613156593</v>
      </c>
      <c r="BD74">
        <v>22.489927511696454</v>
      </c>
      <c r="BE74">
        <v>9067.9387727160101</v>
      </c>
      <c r="BF74">
        <v>23.514556762039668</v>
      </c>
      <c r="BG74">
        <v>9481.0692864543944</v>
      </c>
      <c r="BH74">
        <v>22.096555038707709</v>
      </c>
      <c r="BI74">
        <v>8909.3309916069484</v>
      </c>
      <c r="BJ74">
        <v>32.9410648057072</v>
      </c>
      <c r="BK74">
        <v>13281.837329661143</v>
      </c>
      <c r="BL74">
        <v>33.279427993472396</v>
      </c>
      <c r="BM74">
        <v>13418.265366968069</v>
      </c>
      <c r="BN74">
        <v>27</v>
      </c>
      <c r="BO74">
        <v>10886.4</v>
      </c>
      <c r="BP74">
        <v>16.297279538424281</v>
      </c>
      <c r="BQ74">
        <v>6571.0631098926697</v>
      </c>
      <c r="BR74">
        <v>11.860069441951108</v>
      </c>
      <c r="BS74">
        <v>4781.9799989946869</v>
      </c>
      <c r="BT74">
        <v>14.944106528392499</v>
      </c>
      <c r="BU74">
        <v>6025.4637522478552</v>
      </c>
      <c r="BV74">
        <v>12.759879256832463</v>
      </c>
      <c r="BW74">
        <v>5144.7833163548485</v>
      </c>
      <c r="BX74">
        <v>4</v>
      </c>
      <c r="BY74">
        <v>1612.8</v>
      </c>
      <c r="BZ74">
        <v>4.5229650748971446</v>
      </c>
      <c r="CA74">
        <v>1823.6595181985288</v>
      </c>
      <c r="CB74">
        <v>4.3476304266137973</v>
      </c>
      <c r="CC74">
        <v>1752.964588010683</v>
      </c>
      <c r="CD74">
        <v>6.2801722141482994</v>
      </c>
      <c r="CE74">
        <v>2532.1654367445944</v>
      </c>
      <c r="CF74">
        <v>8.3514783308621467</v>
      </c>
      <c r="CG74">
        <v>3367.3160630036173</v>
      </c>
      <c r="CH74">
        <v>7.1777436304140965</v>
      </c>
      <c r="CI74">
        <v>2894.0662317829638</v>
      </c>
      <c r="CJ74">
        <v>4.285445525770716</v>
      </c>
      <c r="CK74">
        <v>1727.8916359907525</v>
      </c>
      <c r="CL74">
        <v>6.3286514861061471</v>
      </c>
      <c r="CM74">
        <v>2551.7122791979987</v>
      </c>
      <c r="CN74">
        <v>9</v>
      </c>
      <c r="CO74">
        <v>3628.7999999999997</v>
      </c>
      <c r="CP74">
        <v>8.3839863680484275</v>
      </c>
      <c r="CQ74">
        <v>3380.4233035971261</v>
      </c>
      <c r="CR74">
        <v>9.7688846771155955</v>
      </c>
      <c r="CS74">
        <v>3938.8143018130081</v>
      </c>
      <c r="CT74">
        <v>8.8439422569223964</v>
      </c>
      <c r="CU74">
        <v>3565.8775179911099</v>
      </c>
    </row>
    <row r="75" spans="2:99" x14ac:dyDescent="0.2">
      <c r="C75" s="105" t="s">
        <v>241</v>
      </c>
      <c r="D75">
        <v>17</v>
      </c>
      <c r="E75">
        <v>10934.4</v>
      </c>
      <c r="F75">
        <v>11</v>
      </c>
      <c r="G75">
        <v>7075.1999999999989</v>
      </c>
      <c r="H75">
        <v>16</v>
      </c>
      <c r="I75">
        <v>10291.199999999999</v>
      </c>
      <c r="J75">
        <v>18</v>
      </c>
      <c r="K75">
        <v>11577.599999999999</v>
      </c>
      <c r="L75">
        <v>7</v>
      </c>
      <c r="M75">
        <v>4502.3999999999996</v>
      </c>
      <c r="N75">
        <v>12</v>
      </c>
      <c r="O75">
        <v>7718.4</v>
      </c>
      <c r="P75">
        <v>13</v>
      </c>
      <c r="Q75">
        <v>8361.5999999999985</v>
      </c>
      <c r="R75">
        <v>13</v>
      </c>
      <c r="S75">
        <v>8361.5999999999985</v>
      </c>
      <c r="T75">
        <v>5.7373757301010171</v>
      </c>
      <c r="U75">
        <v>3690.280069600974</v>
      </c>
      <c r="V75">
        <v>6.7437088515942927</v>
      </c>
      <c r="W75">
        <v>4337.5535333454482</v>
      </c>
      <c r="X75">
        <v>6.5792759616112946</v>
      </c>
      <c r="Y75">
        <v>4231.7902985083838</v>
      </c>
      <c r="Z75">
        <v>6.6420777458117986</v>
      </c>
      <c r="AA75">
        <v>4272.1844061061483</v>
      </c>
      <c r="AB75">
        <v>18.852863125387849</v>
      </c>
      <c r="AC75">
        <v>12126.161562249463</v>
      </c>
      <c r="AD75">
        <v>23</v>
      </c>
      <c r="AE75">
        <v>14793.599999999999</v>
      </c>
      <c r="AF75">
        <v>19</v>
      </c>
      <c r="AG75">
        <v>12220.8</v>
      </c>
      <c r="AH75">
        <v>26</v>
      </c>
      <c r="AI75">
        <v>16723.199999999997</v>
      </c>
      <c r="AJ75">
        <v>13.267091867850064</v>
      </c>
      <c r="AK75">
        <v>8533.39348940116</v>
      </c>
      <c r="AL75">
        <v>13.324013411120232</v>
      </c>
      <c r="AM75">
        <v>8570.0054260325323</v>
      </c>
      <c r="AN75">
        <v>13.27207245191738</v>
      </c>
      <c r="AO75">
        <v>8536.5970010732581</v>
      </c>
      <c r="AP75">
        <v>8.936439895802728</v>
      </c>
      <c r="AQ75">
        <v>5747.9181409803141</v>
      </c>
      <c r="AR75">
        <v>39.800234438484431</v>
      </c>
      <c r="AS75">
        <v>25599.510790833185</v>
      </c>
      <c r="AT75">
        <v>28</v>
      </c>
      <c r="AU75">
        <v>18009.599999999999</v>
      </c>
      <c r="AV75">
        <v>32</v>
      </c>
      <c r="AW75">
        <v>20582.399999999998</v>
      </c>
      <c r="AX75">
        <v>27.688538531192055</v>
      </c>
      <c r="AY75">
        <v>17809.267983262729</v>
      </c>
      <c r="AZ75">
        <v>26.516809387506385</v>
      </c>
      <c r="BA75">
        <v>17055.611798044105</v>
      </c>
      <c r="BB75">
        <v>23</v>
      </c>
      <c r="BC75">
        <v>14793.599999999999</v>
      </c>
      <c r="BD75">
        <v>20.489927511696454</v>
      </c>
      <c r="BE75">
        <v>13179.121375523158</v>
      </c>
      <c r="BF75">
        <v>20.514556762039668</v>
      </c>
      <c r="BG75">
        <v>13194.962909343913</v>
      </c>
      <c r="BH75">
        <v>22.214043078569251</v>
      </c>
      <c r="BI75">
        <v>14288.072508135741</v>
      </c>
      <c r="BJ75">
        <v>31.993346183802043</v>
      </c>
      <c r="BK75">
        <v>20578.120265421472</v>
      </c>
      <c r="BL75">
        <v>32.163116357702179</v>
      </c>
      <c r="BM75">
        <v>20687.316441274041</v>
      </c>
      <c r="BN75">
        <v>26</v>
      </c>
      <c r="BO75">
        <v>16723.199999999997</v>
      </c>
      <c r="BP75">
        <v>15.186084149416484</v>
      </c>
      <c r="BQ75">
        <v>9767.6893249046807</v>
      </c>
      <c r="BR75">
        <v>11.798635910383172</v>
      </c>
      <c r="BS75">
        <v>7588.8826175584554</v>
      </c>
      <c r="BT75">
        <v>14.922150562615929</v>
      </c>
      <c r="BU75">
        <v>9597.9272418745641</v>
      </c>
      <c r="BV75">
        <v>12.639898321543127</v>
      </c>
      <c r="BW75">
        <v>8129.9826004165379</v>
      </c>
      <c r="BX75">
        <v>5</v>
      </c>
      <c r="BY75">
        <v>3215.9999999999995</v>
      </c>
      <c r="BZ75">
        <v>4.4754227953610402</v>
      </c>
      <c r="CA75">
        <v>2878.5919419762208</v>
      </c>
      <c r="CB75">
        <v>4.3476304266137973</v>
      </c>
      <c r="CC75">
        <v>2796.3958903979942</v>
      </c>
      <c r="CD75">
        <v>6.3268675831730157</v>
      </c>
      <c r="CE75">
        <v>4069.4412294968834</v>
      </c>
      <c r="CF75">
        <v>7.3514783308621476</v>
      </c>
      <c r="CG75">
        <v>4728.4708624105333</v>
      </c>
      <c r="CH75">
        <v>7.1777436304140965</v>
      </c>
      <c r="CI75">
        <v>4616.7247030823464</v>
      </c>
      <c r="CJ75">
        <v>4.3373447122744828</v>
      </c>
      <c r="CK75">
        <v>2789.780118934947</v>
      </c>
      <c r="CL75">
        <v>5.356039109948326</v>
      </c>
      <c r="CM75">
        <v>3445.0043555187631</v>
      </c>
      <c r="CN75">
        <v>10</v>
      </c>
      <c r="CO75">
        <v>6431.9999999999991</v>
      </c>
      <c r="CP75">
        <v>9.3420473871984751</v>
      </c>
      <c r="CQ75">
        <v>6008.8048794460583</v>
      </c>
      <c r="CR75">
        <v>9.6968017386360081</v>
      </c>
      <c r="CS75">
        <v>6236.9828782906798</v>
      </c>
      <c r="CT75">
        <v>9.8191204258364433</v>
      </c>
      <c r="CU75">
        <v>6315.6582578979996</v>
      </c>
    </row>
    <row r="76" spans="2:99" x14ac:dyDescent="0.2">
      <c r="C76" s="105" t="s">
        <v>242</v>
      </c>
      <c r="D76">
        <v>18</v>
      </c>
      <c r="E76">
        <v>14018.4</v>
      </c>
      <c r="F76">
        <v>10</v>
      </c>
      <c r="G76">
        <v>7788</v>
      </c>
      <c r="H76">
        <v>17</v>
      </c>
      <c r="I76">
        <v>13239.599999999999</v>
      </c>
      <c r="J76">
        <v>17</v>
      </c>
      <c r="K76">
        <v>13239.599999999999</v>
      </c>
      <c r="L76">
        <v>7</v>
      </c>
      <c r="M76">
        <v>5451.5999999999995</v>
      </c>
      <c r="N76">
        <v>15</v>
      </c>
      <c r="O76">
        <v>11682</v>
      </c>
      <c r="P76">
        <v>13</v>
      </c>
      <c r="Q76">
        <v>10124.4</v>
      </c>
      <c r="R76">
        <v>12</v>
      </c>
      <c r="S76">
        <v>9345.5999999999985</v>
      </c>
      <c r="T76">
        <v>5.7373757301010171</v>
      </c>
      <c r="U76">
        <v>4468.2682186026723</v>
      </c>
      <c r="V76">
        <v>6.6999612720887463</v>
      </c>
      <c r="W76">
        <v>5217.9298387027156</v>
      </c>
      <c r="X76">
        <v>6.5378991072104879</v>
      </c>
      <c r="Y76">
        <v>5091.7158246955278</v>
      </c>
      <c r="Z76">
        <v>7.6848829288659184</v>
      </c>
      <c r="AA76">
        <v>5984.9868250007767</v>
      </c>
      <c r="AB76">
        <v>16</v>
      </c>
      <c r="AC76">
        <v>12460.8</v>
      </c>
      <c r="AD76">
        <v>23</v>
      </c>
      <c r="AE76">
        <v>17912.399999999998</v>
      </c>
      <c r="AF76">
        <v>19</v>
      </c>
      <c r="AG76">
        <v>14797.199999999999</v>
      </c>
      <c r="AH76">
        <v>23</v>
      </c>
      <c r="AI76">
        <v>17912.399999999998</v>
      </c>
      <c r="AJ76">
        <v>15.403547915156995</v>
      </c>
      <c r="AK76">
        <v>11996.283116324266</v>
      </c>
      <c r="AL76">
        <v>14.361309563546154</v>
      </c>
      <c r="AM76">
        <v>11184.587888089744</v>
      </c>
      <c r="AN76">
        <v>14.467775906058515</v>
      </c>
      <c r="AO76">
        <v>11267.503875638371</v>
      </c>
      <c r="AP76">
        <v>8.9604511751822855</v>
      </c>
      <c r="AQ76">
        <v>6978.3993752319639</v>
      </c>
      <c r="AR76">
        <v>36.800234438484431</v>
      </c>
      <c r="AS76">
        <v>28660.022580691671</v>
      </c>
      <c r="AT76">
        <v>28</v>
      </c>
      <c r="AU76">
        <v>21806.399999999998</v>
      </c>
      <c r="AV76">
        <v>34</v>
      </c>
      <c r="AW76">
        <v>26479.199999999997</v>
      </c>
      <c r="AX76">
        <v>24.833494011443012</v>
      </c>
      <c r="AY76">
        <v>19340.325136111816</v>
      </c>
      <c r="AZ76">
        <v>24.469826715914895</v>
      </c>
      <c r="BA76">
        <v>19057.101046354517</v>
      </c>
      <c r="BB76">
        <v>26</v>
      </c>
      <c r="BC76">
        <v>20248.8</v>
      </c>
      <c r="BD76">
        <v>22.489927511696454</v>
      </c>
      <c r="BE76">
        <v>17515.155546109196</v>
      </c>
      <c r="BF76">
        <v>20.514556762039668</v>
      </c>
      <c r="BG76">
        <v>15976.736806276493</v>
      </c>
      <c r="BH76">
        <v>24.116136378684633</v>
      </c>
      <c r="BI76">
        <v>18781.647011719589</v>
      </c>
      <c r="BJ76">
        <v>27.967205494754619</v>
      </c>
      <c r="BK76">
        <v>21780.859639314895</v>
      </c>
      <c r="BL76">
        <v>27.14373108507381</v>
      </c>
      <c r="BM76">
        <v>21139.537769055481</v>
      </c>
      <c r="BN76">
        <v>25</v>
      </c>
      <c r="BO76">
        <v>19470</v>
      </c>
      <c r="BP76">
        <v>13.260214408755015</v>
      </c>
      <c r="BQ76">
        <v>10327.054981538406</v>
      </c>
      <c r="BR76">
        <v>12.716724534959257</v>
      </c>
      <c r="BS76">
        <v>9903.7850678262676</v>
      </c>
      <c r="BT76">
        <v>15.966062494169067</v>
      </c>
      <c r="BU76">
        <v>12434.369470458869</v>
      </c>
      <c r="BV76">
        <v>13.639898321543127</v>
      </c>
      <c r="BW76">
        <v>10622.752812817787</v>
      </c>
      <c r="BX76">
        <v>4</v>
      </c>
      <c r="BY76">
        <v>3115.2</v>
      </c>
      <c r="BZ76">
        <v>5.5229650748971446</v>
      </c>
      <c r="CA76">
        <v>4301.2852003298958</v>
      </c>
      <c r="CB76">
        <v>4.3476304266137973</v>
      </c>
      <c r="CC76">
        <v>3385.9345762468251</v>
      </c>
      <c r="CD76">
        <v>6.2801722141482994</v>
      </c>
      <c r="CE76">
        <v>4890.9981203786956</v>
      </c>
      <c r="CF76">
        <v>7.322188469956969</v>
      </c>
      <c r="CG76">
        <v>5702.5203804024868</v>
      </c>
      <c r="CH76">
        <v>7.2031355776161101</v>
      </c>
      <c r="CI76">
        <v>5609.8019878474261</v>
      </c>
      <c r="CJ76">
        <v>4.285445525770716</v>
      </c>
      <c r="CK76">
        <v>3337.5049754702336</v>
      </c>
      <c r="CL76">
        <v>5.356039109948326</v>
      </c>
      <c r="CM76">
        <v>4171.2832588277561</v>
      </c>
      <c r="CN76">
        <v>10</v>
      </c>
      <c r="CO76">
        <v>7788</v>
      </c>
      <c r="CP76">
        <v>9.4678643297483323</v>
      </c>
      <c r="CQ76">
        <v>7373.5727400080004</v>
      </c>
      <c r="CR76">
        <v>10.744857030955734</v>
      </c>
      <c r="CS76">
        <v>8368.0946557083244</v>
      </c>
      <c r="CT76">
        <v>9.8687640880083478</v>
      </c>
      <c r="CU76">
        <v>7685.7934717409007</v>
      </c>
    </row>
    <row r="77" spans="2:99" x14ac:dyDescent="0.2">
      <c r="C77" s="105" t="s">
        <v>243</v>
      </c>
      <c r="D77">
        <v>19</v>
      </c>
      <c r="E77">
        <v>5289.5999999999995</v>
      </c>
      <c r="F77">
        <v>12</v>
      </c>
      <c r="G77">
        <v>3340.7999999999997</v>
      </c>
      <c r="H77">
        <v>19</v>
      </c>
      <c r="I77">
        <v>5289.5999999999995</v>
      </c>
      <c r="J77">
        <v>17</v>
      </c>
      <c r="K77">
        <v>4732.7999999999993</v>
      </c>
      <c r="L77">
        <v>7</v>
      </c>
      <c r="M77">
        <v>1948.7999999999997</v>
      </c>
      <c r="N77">
        <v>13</v>
      </c>
      <c r="O77">
        <v>3619.2</v>
      </c>
      <c r="P77">
        <v>15</v>
      </c>
      <c r="Q77">
        <v>4176</v>
      </c>
      <c r="R77">
        <v>15</v>
      </c>
      <c r="S77">
        <v>4176</v>
      </c>
      <c r="T77">
        <v>5.7373757301010171</v>
      </c>
      <c r="U77">
        <v>1597.2854032601231</v>
      </c>
      <c r="V77">
        <v>6.7874564310998391</v>
      </c>
      <c r="W77">
        <v>1889.627870418195</v>
      </c>
      <c r="X77">
        <v>7.5792759616112946</v>
      </c>
      <c r="Y77">
        <v>2110.0704277125842</v>
      </c>
      <c r="Z77">
        <v>7.6848829288659184</v>
      </c>
      <c r="AA77">
        <v>2139.4714073962714</v>
      </c>
      <c r="AB77">
        <v>18</v>
      </c>
      <c r="AC77">
        <v>5011.2</v>
      </c>
      <c r="AD77">
        <v>25</v>
      </c>
      <c r="AE77">
        <v>6959.9999999999991</v>
      </c>
      <c r="AF77">
        <v>19</v>
      </c>
      <c r="AG77">
        <v>5289.5999999999995</v>
      </c>
      <c r="AH77">
        <v>24</v>
      </c>
      <c r="AI77">
        <v>6681.5999999999995</v>
      </c>
      <c r="AJ77">
        <v>16.384054194113148</v>
      </c>
      <c r="AK77">
        <v>4561.3206876410995</v>
      </c>
      <c r="AL77">
        <v>15.47319802082392</v>
      </c>
      <c r="AM77">
        <v>4307.7383289973786</v>
      </c>
      <c r="AN77">
        <v>15.546057287714969</v>
      </c>
      <c r="AO77">
        <v>4328.0223488998472</v>
      </c>
      <c r="AP77">
        <v>11.984462454561843</v>
      </c>
      <c r="AQ77">
        <v>3336.4743473500166</v>
      </c>
      <c r="AR77">
        <v>37</v>
      </c>
      <c r="AS77">
        <v>10300.799999999999</v>
      </c>
      <c r="AT77">
        <v>28</v>
      </c>
      <c r="AU77">
        <v>7795.1999999999989</v>
      </c>
      <c r="AV77">
        <v>36</v>
      </c>
      <c r="AW77">
        <v>10022.4</v>
      </c>
      <c r="AX77">
        <v>29.797255141380273</v>
      </c>
      <c r="AY77">
        <v>8295.5558313602669</v>
      </c>
      <c r="AZ77">
        <v>26.469826715914895</v>
      </c>
      <c r="BA77">
        <v>7369.1997577107059</v>
      </c>
      <c r="BB77">
        <v>24.397291916130055</v>
      </c>
      <c r="BC77">
        <v>6792.2060694506063</v>
      </c>
      <c r="BD77">
        <v>21.489927511696454</v>
      </c>
      <c r="BE77">
        <v>5982.7958192562919</v>
      </c>
      <c r="BF77">
        <v>21.514556762039668</v>
      </c>
      <c r="BG77">
        <v>5989.6526025518433</v>
      </c>
      <c r="BH77">
        <v>24.116136378684633</v>
      </c>
      <c r="BI77">
        <v>6713.9323678258015</v>
      </c>
      <c r="BJ77">
        <v>33.993346183802039</v>
      </c>
      <c r="BK77">
        <v>9463.7475775704861</v>
      </c>
      <c r="BL77">
        <v>30.2794279934724</v>
      </c>
      <c r="BM77">
        <v>8429.7927533827151</v>
      </c>
      <c r="BN77">
        <v>31</v>
      </c>
      <c r="BO77">
        <v>8630.4</v>
      </c>
      <c r="BP77">
        <v>14.223149279085749</v>
      </c>
      <c r="BQ77">
        <v>3959.7247592974722</v>
      </c>
      <c r="BR77">
        <v>12.819113754239151</v>
      </c>
      <c r="BS77">
        <v>3568.8412691801791</v>
      </c>
      <c r="BT77">
        <v>17.031930391498776</v>
      </c>
      <c r="BU77">
        <v>4741.6894209932589</v>
      </c>
      <c r="BV77">
        <v>13.659895144091349</v>
      </c>
      <c r="BW77">
        <v>3802.9148081150315</v>
      </c>
      <c r="BX77">
        <v>5</v>
      </c>
      <c r="BY77">
        <v>1392</v>
      </c>
      <c r="BZ77">
        <v>4.5705073544332482</v>
      </c>
      <c r="CA77">
        <v>1272.4292474742163</v>
      </c>
      <c r="CB77">
        <v>4.3972919161300545</v>
      </c>
      <c r="CC77">
        <v>1224.2060694506072</v>
      </c>
      <c r="CD77">
        <v>6.3268675831730157</v>
      </c>
      <c r="CE77">
        <v>1761.3999351553675</v>
      </c>
      <c r="CF77">
        <v>7.3514783308621476</v>
      </c>
      <c r="CG77">
        <v>2046.6515673120218</v>
      </c>
      <c r="CH77">
        <v>6.1777436304140965</v>
      </c>
      <c r="CI77">
        <v>1719.8838267072842</v>
      </c>
      <c r="CJ77">
        <v>4.3113951190225999</v>
      </c>
      <c r="CK77">
        <v>1200.2924011358916</v>
      </c>
      <c r="CL77">
        <v>6.3286514861061471</v>
      </c>
      <c r="CM77">
        <v>1761.8965737319513</v>
      </c>
      <c r="CN77">
        <v>10</v>
      </c>
      <c r="CO77">
        <v>2784</v>
      </c>
      <c r="CP77">
        <v>8.5936812722981877</v>
      </c>
      <c r="CQ77">
        <v>2392.4808662078153</v>
      </c>
      <c r="CR77">
        <v>10.816939969435319</v>
      </c>
      <c r="CS77">
        <v>3011.4360874907925</v>
      </c>
      <c r="CT77">
        <v>9.9680514123521604</v>
      </c>
      <c r="CU77">
        <v>2775.1055131988414</v>
      </c>
    </row>
    <row r="78" spans="2:99" x14ac:dyDescent="0.2">
      <c r="C78" s="105" t="s">
        <v>244</v>
      </c>
      <c r="D78">
        <v>16</v>
      </c>
      <c r="E78">
        <v>8832</v>
      </c>
      <c r="F78">
        <v>12</v>
      </c>
      <c r="G78">
        <v>6624</v>
      </c>
      <c r="H78">
        <v>16</v>
      </c>
      <c r="I78">
        <v>8832</v>
      </c>
      <c r="J78">
        <v>16</v>
      </c>
      <c r="K78">
        <v>8832</v>
      </c>
      <c r="L78">
        <v>8</v>
      </c>
      <c r="M78">
        <v>4416</v>
      </c>
      <c r="N78">
        <v>13</v>
      </c>
      <c r="O78">
        <v>7176</v>
      </c>
      <c r="P78">
        <v>14</v>
      </c>
      <c r="Q78">
        <v>7728</v>
      </c>
      <c r="R78">
        <v>14</v>
      </c>
      <c r="S78">
        <v>7728</v>
      </c>
      <c r="T78">
        <v>4.6964104117620717</v>
      </c>
      <c r="U78">
        <v>2592.4185472926638</v>
      </c>
      <c r="V78">
        <v>6.6999612720887463</v>
      </c>
      <c r="W78">
        <v>3698.3786221929881</v>
      </c>
      <c r="X78">
        <v>6.5792759616112946</v>
      </c>
      <c r="Y78">
        <v>3631.7603308094344</v>
      </c>
      <c r="Z78">
        <v>6.6420777458117986</v>
      </c>
      <c r="AA78">
        <v>3666.4269156881128</v>
      </c>
      <c r="AB78">
        <v>19</v>
      </c>
      <c r="AC78">
        <v>10488</v>
      </c>
      <c r="AD78">
        <v>20</v>
      </c>
      <c r="AE78">
        <v>11040</v>
      </c>
      <c r="AF78">
        <v>21</v>
      </c>
      <c r="AG78">
        <v>11592</v>
      </c>
      <c r="AH78">
        <v>26</v>
      </c>
      <c r="AI78">
        <v>14352</v>
      </c>
      <c r="AJ78">
        <v>14.403547915156995</v>
      </c>
      <c r="AK78">
        <v>7950.7584491666612</v>
      </c>
      <c r="AL78">
        <v>12.26806918248135</v>
      </c>
      <c r="AM78">
        <v>6771.974188729705</v>
      </c>
      <c r="AN78">
        <v>13.409064869816174</v>
      </c>
      <c r="AO78">
        <v>7401.8038081385275</v>
      </c>
      <c r="AP78">
        <v>9.984462454561843</v>
      </c>
      <c r="AQ78">
        <v>5511.4232749181374</v>
      </c>
      <c r="AR78">
        <v>38.838340840317017</v>
      </c>
      <c r="AS78">
        <v>21438.764143854994</v>
      </c>
      <c r="AT78">
        <v>29</v>
      </c>
      <c r="AU78">
        <v>16008</v>
      </c>
      <c r="AV78">
        <v>37</v>
      </c>
      <c r="AW78">
        <v>20424</v>
      </c>
      <c r="AX78">
        <v>25.688538531192055</v>
      </c>
      <c r="AY78">
        <v>14180.073269218014</v>
      </c>
      <c r="AZ78">
        <v>28.516809387506385</v>
      </c>
      <c r="BA78">
        <v>15741.278781903524</v>
      </c>
      <c r="BB78">
        <v>24</v>
      </c>
      <c r="BC78">
        <v>13248</v>
      </c>
      <c r="BD78">
        <v>20.489927511696454</v>
      </c>
      <c r="BE78">
        <v>11310.439986456442</v>
      </c>
      <c r="BF78">
        <v>21.514556762039668</v>
      </c>
      <c r="BG78">
        <v>11876.035332645897</v>
      </c>
      <c r="BH78">
        <v>21.15529905863848</v>
      </c>
      <c r="BI78">
        <v>11677.725080368442</v>
      </c>
      <c r="BJ78">
        <v>32.045627561896886</v>
      </c>
      <c r="BK78">
        <v>17689.186414167081</v>
      </c>
      <c r="BL78">
        <v>30.318198538729138</v>
      </c>
      <c r="BM78">
        <v>16735.645593378486</v>
      </c>
      <c r="BN78">
        <v>29</v>
      </c>
      <c r="BO78">
        <v>16008</v>
      </c>
      <c r="BP78">
        <v>16.223149279085749</v>
      </c>
      <c r="BQ78">
        <v>8955.1784020553332</v>
      </c>
      <c r="BR78">
        <v>11.860069441951108</v>
      </c>
      <c r="BS78">
        <v>6546.7583319570113</v>
      </c>
      <c r="BT78">
        <v>16.009974425722209</v>
      </c>
      <c r="BU78">
        <v>8837.5058829986592</v>
      </c>
      <c r="BV78">
        <v>13.679891966639572</v>
      </c>
      <c r="BW78">
        <v>7551.3003655850434</v>
      </c>
      <c r="BX78">
        <v>5</v>
      </c>
      <c r="BY78">
        <v>2760</v>
      </c>
      <c r="BZ78">
        <v>4.5705073544332482</v>
      </c>
      <c r="CA78">
        <v>2522.9200596471528</v>
      </c>
      <c r="CB78">
        <v>4</v>
      </c>
      <c r="CC78">
        <v>2208</v>
      </c>
      <c r="CD78">
        <v>6.3268675831730157</v>
      </c>
      <c r="CE78">
        <v>3492.4309059115049</v>
      </c>
      <c r="CF78">
        <v>7.322188469956969</v>
      </c>
      <c r="CG78">
        <v>4041.8480354162471</v>
      </c>
      <c r="CH78">
        <v>6.1777436304140965</v>
      </c>
      <c r="CI78">
        <v>3410.1144839885815</v>
      </c>
      <c r="CJ78">
        <v>4.285445525770716</v>
      </c>
      <c r="CK78">
        <v>2365.5659302254353</v>
      </c>
      <c r="CL78">
        <v>5.356039109948326</v>
      </c>
      <c r="CM78">
        <v>2956.5335886914759</v>
      </c>
      <c r="CN78">
        <v>10</v>
      </c>
      <c r="CO78">
        <v>5520</v>
      </c>
      <c r="CP78">
        <v>8</v>
      </c>
      <c r="CQ78">
        <v>4416</v>
      </c>
      <c r="CR78">
        <v>9.72082938479587</v>
      </c>
      <c r="CS78">
        <v>5365.8978204073201</v>
      </c>
      <c r="CT78">
        <v>8.8191204258364433</v>
      </c>
      <c r="CU78">
        <v>4868.1544750617168</v>
      </c>
    </row>
    <row r="79" spans="2:99" x14ac:dyDescent="0.2">
      <c r="C79" s="105" t="s">
        <v>245</v>
      </c>
      <c r="D79">
        <v>18</v>
      </c>
      <c r="E79">
        <v>13629.599999999999</v>
      </c>
      <c r="F79">
        <v>11</v>
      </c>
      <c r="G79">
        <v>8329.1999999999989</v>
      </c>
      <c r="H79">
        <v>18</v>
      </c>
      <c r="I79">
        <v>13629.599999999999</v>
      </c>
      <c r="J79">
        <v>17</v>
      </c>
      <c r="K79">
        <v>12872.4</v>
      </c>
      <c r="L79">
        <v>7</v>
      </c>
      <c r="M79">
        <v>5300.4</v>
      </c>
      <c r="N79">
        <v>13</v>
      </c>
      <c r="O79">
        <v>9843.5999999999985</v>
      </c>
      <c r="P79">
        <v>13</v>
      </c>
      <c r="Q79">
        <v>9843.5999999999985</v>
      </c>
      <c r="R79">
        <v>14</v>
      </c>
      <c r="S79">
        <v>10600.8</v>
      </c>
      <c r="T79">
        <v>5.7373757301010171</v>
      </c>
      <c r="U79">
        <v>4344.3409028324895</v>
      </c>
      <c r="V79">
        <v>6.7874564310998391</v>
      </c>
      <c r="W79">
        <v>5139.4620096287981</v>
      </c>
      <c r="X79">
        <v>6.5378991072104879</v>
      </c>
      <c r="Y79">
        <v>4950.4972039797813</v>
      </c>
      <c r="Z79">
        <v>6.6420777458117986</v>
      </c>
      <c r="AA79">
        <v>5029.381269128693</v>
      </c>
      <c r="AB79">
        <v>19</v>
      </c>
      <c r="AC79">
        <v>14386.8</v>
      </c>
      <c r="AD79">
        <v>20</v>
      </c>
      <c r="AE79">
        <v>15143.999999999998</v>
      </c>
      <c r="AF79">
        <v>20</v>
      </c>
      <c r="AG79">
        <v>15143.999999999998</v>
      </c>
      <c r="AH79">
        <v>25</v>
      </c>
      <c r="AI79">
        <v>18930</v>
      </c>
      <c r="AJ79">
        <v>15.267091867850064</v>
      </c>
      <c r="AK79">
        <v>11560.241962336067</v>
      </c>
      <c r="AL79">
        <v>13.193476877629505</v>
      </c>
      <c r="AM79">
        <v>9990.1006917410614</v>
      </c>
      <c r="AN79">
        <v>13.448205560644402</v>
      </c>
      <c r="AO79">
        <v>10182.981250519941</v>
      </c>
      <c r="AP79">
        <v>9.9604511751822855</v>
      </c>
      <c r="AQ79">
        <v>7542.0536298480256</v>
      </c>
      <c r="AR79">
        <v>38</v>
      </c>
      <c r="AS79">
        <v>28773.599999999999</v>
      </c>
      <c r="AT79">
        <v>26</v>
      </c>
      <c r="AU79">
        <v>19687.199999999997</v>
      </c>
      <c r="AV79">
        <v>34</v>
      </c>
      <c r="AW79">
        <v>25744.799999999999</v>
      </c>
      <c r="AX79">
        <v>26.797255141380273</v>
      </c>
      <c r="AY79">
        <v>20290.881593053142</v>
      </c>
      <c r="AZ79">
        <v>23.563792059097871</v>
      </c>
      <c r="BA79">
        <v>17842.503347148908</v>
      </c>
      <c r="BB79">
        <v>22.397291916130055</v>
      </c>
      <c r="BC79">
        <v>16959.229438893675</v>
      </c>
      <c r="BD79">
        <v>19.489927511696454</v>
      </c>
      <c r="BE79">
        <v>14757.773111856553</v>
      </c>
      <c r="BF79">
        <v>21.514556762039668</v>
      </c>
      <c r="BG79">
        <v>16290.822380216436</v>
      </c>
      <c r="BH79">
        <v>22.135717718661557</v>
      </c>
      <c r="BI79">
        <v>16761.165456570528</v>
      </c>
      <c r="BJ79">
        <v>32.019486872849463</v>
      </c>
      <c r="BK79">
        <v>24245.155460121612</v>
      </c>
      <c r="BL79">
        <v>33.260042720844027</v>
      </c>
      <c r="BM79">
        <v>25184.504348223094</v>
      </c>
      <c r="BN79">
        <v>30</v>
      </c>
      <c r="BO79">
        <v>22715.999999999996</v>
      </c>
      <c r="BP79">
        <v>14.297279538424281</v>
      </c>
      <c r="BQ79">
        <v>10825.900066494865</v>
      </c>
      <c r="BR79">
        <v>12.737202378815235</v>
      </c>
      <c r="BS79">
        <v>9644.6096412388943</v>
      </c>
      <c r="BT79">
        <v>16.900194596839359</v>
      </c>
      <c r="BU79">
        <v>12796.827348726762</v>
      </c>
      <c r="BV79">
        <v>13.719885611736018</v>
      </c>
      <c r="BW79">
        <v>10388.697385206511</v>
      </c>
      <c r="BX79">
        <v>5</v>
      </c>
      <c r="BY79">
        <v>3785.9999999999995</v>
      </c>
      <c r="BZ79">
        <v>4.4754227953610402</v>
      </c>
      <c r="CA79">
        <v>3388.7901406473793</v>
      </c>
      <c r="CB79">
        <v>4.3476304266137973</v>
      </c>
      <c r="CC79">
        <v>3292.025759031967</v>
      </c>
      <c r="CD79">
        <v>6.2801722141482994</v>
      </c>
      <c r="CE79">
        <v>4755.3464005530923</v>
      </c>
      <c r="CF79">
        <v>7.3807681917673262</v>
      </c>
      <c r="CG79">
        <v>5588.7176748062193</v>
      </c>
      <c r="CH79">
        <v>7.1777436304140965</v>
      </c>
      <c r="CI79">
        <v>5434.9874769495536</v>
      </c>
      <c r="CJ79">
        <v>4.3373447122744828</v>
      </c>
      <c r="CK79">
        <v>3284.2374161342382</v>
      </c>
      <c r="CL79">
        <v>5.356039109948326</v>
      </c>
      <c r="CM79">
        <v>4055.5928140528722</v>
      </c>
      <c r="CN79">
        <v>8</v>
      </c>
      <c r="CO79">
        <v>6057.5999999999995</v>
      </c>
      <c r="CP79">
        <v>9.5517422914482353</v>
      </c>
      <c r="CQ79">
        <v>7232.5792630846036</v>
      </c>
      <c r="CR79">
        <v>10.72082938479587</v>
      </c>
      <c r="CS79">
        <v>8117.8120101674322</v>
      </c>
      <c r="CT79">
        <v>8.8439422569223964</v>
      </c>
      <c r="CU79">
        <v>6696.6330769416381</v>
      </c>
    </row>
    <row r="80" spans="2:99" x14ac:dyDescent="0.2">
      <c r="C80" s="105" t="s">
        <v>246</v>
      </c>
      <c r="D80">
        <v>18</v>
      </c>
      <c r="E80">
        <v>14493.599999999999</v>
      </c>
      <c r="F80">
        <v>11</v>
      </c>
      <c r="G80">
        <v>8857.1999999999989</v>
      </c>
      <c r="H80">
        <v>15</v>
      </c>
      <c r="I80">
        <v>12077.999999999998</v>
      </c>
      <c r="J80">
        <v>15</v>
      </c>
      <c r="K80">
        <v>12077.999999999998</v>
      </c>
      <c r="L80">
        <v>7</v>
      </c>
      <c r="M80">
        <v>5636.4</v>
      </c>
      <c r="N80">
        <v>14</v>
      </c>
      <c r="O80">
        <v>11272.8</v>
      </c>
      <c r="P80">
        <v>13</v>
      </c>
      <c r="Q80">
        <v>10467.599999999999</v>
      </c>
      <c r="R80">
        <v>14</v>
      </c>
      <c r="S80">
        <v>11272.8</v>
      </c>
      <c r="T80">
        <v>4.6554450934231264</v>
      </c>
      <c r="U80">
        <v>3748.5643892243011</v>
      </c>
      <c r="V80">
        <v>6</v>
      </c>
      <c r="W80">
        <v>4831.2</v>
      </c>
      <c r="X80">
        <v>6.4965222528096813</v>
      </c>
      <c r="Y80">
        <v>5230.9997179623551</v>
      </c>
      <c r="Z80">
        <v>6.6848829288659184</v>
      </c>
      <c r="AA80">
        <v>5382.6677343228366</v>
      </c>
      <c r="AB80">
        <v>16</v>
      </c>
      <c r="AC80">
        <v>12883.199999999999</v>
      </c>
      <c r="AD80">
        <v>21</v>
      </c>
      <c r="AE80">
        <v>16909.199999999997</v>
      </c>
      <c r="AF80">
        <v>20</v>
      </c>
      <c r="AG80">
        <v>16103.999999999998</v>
      </c>
      <c r="AH80">
        <v>25</v>
      </c>
      <c r="AI80">
        <v>20130</v>
      </c>
      <c r="AJ80">
        <v>15.267091867850064</v>
      </c>
      <c r="AK80">
        <v>12293.062371992872</v>
      </c>
      <c r="AL80">
        <v>14.230773030055428</v>
      </c>
      <c r="AM80">
        <v>11458.618443800629</v>
      </c>
      <c r="AN80">
        <v>13.252502106503266</v>
      </c>
      <c r="AO80">
        <v>10670.914696156429</v>
      </c>
      <c r="AP80">
        <v>10.080507572080071</v>
      </c>
      <c r="AQ80">
        <v>8116.8246970388727</v>
      </c>
      <c r="AR80">
        <v>34.800234438484431</v>
      </c>
      <c r="AS80">
        <v>28021.148769867661</v>
      </c>
      <c r="AT80">
        <v>29</v>
      </c>
      <c r="AU80">
        <v>23350.799999999999</v>
      </c>
      <c r="AV80">
        <v>35</v>
      </c>
      <c r="AW80">
        <v>28181.999999999996</v>
      </c>
      <c r="AX80">
        <v>25.724777401254794</v>
      </c>
      <c r="AY80">
        <v>20713.59076349036</v>
      </c>
      <c r="AZ80">
        <v>26.516809387506385</v>
      </c>
      <c r="BA80">
        <v>21351.334918820139</v>
      </c>
      <c r="BB80">
        <v>23</v>
      </c>
      <c r="BC80">
        <v>18519.599999999999</v>
      </c>
      <c r="BD80">
        <v>18.440934760526812</v>
      </c>
      <c r="BE80">
        <v>14848.640669176188</v>
      </c>
      <c r="BF80">
        <v>21.514556762039668</v>
      </c>
      <c r="BG80">
        <v>17323.521104794338</v>
      </c>
      <c r="BH80">
        <v>21.096555038707709</v>
      </c>
      <c r="BI80">
        <v>16986.946117167445</v>
      </c>
      <c r="BJ80">
        <v>25.914924116659776</v>
      </c>
      <c r="BK80">
        <v>20866.696898734452</v>
      </c>
      <c r="BL80">
        <v>28.356969083985877</v>
      </c>
      <c r="BM80">
        <v>22833.031506425425</v>
      </c>
      <c r="BN80">
        <v>26</v>
      </c>
      <c r="BO80">
        <v>20935.199999999997</v>
      </c>
      <c r="BP80">
        <v>13.186084149416484</v>
      </c>
      <c r="BQ80">
        <v>10617.434957110152</v>
      </c>
      <c r="BR80">
        <v>10.778158066527194</v>
      </c>
      <c r="BS80">
        <v>8678.5728751676961</v>
      </c>
      <c r="BT80">
        <v>16.009974425722209</v>
      </c>
      <c r="BU80">
        <v>12891.231407591522</v>
      </c>
      <c r="BV80">
        <v>13.619901498994905</v>
      </c>
      <c r="BW80">
        <v>10966.744686990696</v>
      </c>
      <c r="BX80">
        <v>5</v>
      </c>
      <c r="BY80">
        <v>4025.9999999999995</v>
      </c>
      <c r="BZ80">
        <v>5.4754227953610402</v>
      </c>
      <c r="CA80">
        <v>4408.8104348247089</v>
      </c>
      <c r="CB80">
        <v>4</v>
      </c>
      <c r="CC80">
        <v>3220.7999999999997</v>
      </c>
      <c r="CD80">
        <v>6.2801722141482994</v>
      </c>
      <c r="CE80">
        <v>5056.7946668322102</v>
      </c>
      <c r="CF80">
        <v>6.3807681917673262</v>
      </c>
      <c r="CG80">
        <v>5137.7945480110502</v>
      </c>
      <c r="CH80">
        <v>6.2031355776161101</v>
      </c>
      <c r="CI80">
        <v>4994.7647670964916</v>
      </c>
      <c r="CJ80">
        <v>4.285445525770716</v>
      </c>
      <c r="CK80">
        <v>3450.6407373505804</v>
      </c>
      <c r="CL80">
        <v>5.3834267337905057</v>
      </c>
      <c r="CM80">
        <v>4334.7352060481153</v>
      </c>
      <c r="CN80">
        <v>9</v>
      </c>
      <c r="CO80">
        <v>7246.7999999999993</v>
      </c>
      <c r="CP80">
        <v>8.5098033105982829</v>
      </c>
      <c r="CQ80">
        <v>6852.0936256937366</v>
      </c>
      <c r="CR80">
        <v>9.6968017386360081</v>
      </c>
      <c r="CS80">
        <v>7807.8647599497135</v>
      </c>
      <c r="CT80">
        <v>9.893585919094301</v>
      </c>
      <c r="CU80">
        <v>7966.3153820547304</v>
      </c>
    </row>
    <row r="81" spans="2:99" x14ac:dyDescent="0.2">
      <c r="C81" s="105" t="s">
        <v>247</v>
      </c>
      <c r="D81">
        <v>17</v>
      </c>
      <c r="E81">
        <v>12811.2</v>
      </c>
      <c r="F81">
        <v>12</v>
      </c>
      <c r="G81">
        <v>9043.2000000000007</v>
      </c>
      <c r="H81">
        <v>17</v>
      </c>
      <c r="I81">
        <v>12811.2</v>
      </c>
      <c r="J81">
        <v>17</v>
      </c>
      <c r="K81">
        <v>12811.2</v>
      </c>
      <c r="L81">
        <v>8</v>
      </c>
      <c r="M81">
        <v>6028.8</v>
      </c>
      <c r="N81">
        <v>14</v>
      </c>
      <c r="O81">
        <v>10550.4</v>
      </c>
      <c r="P81">
        <v>13</v>
      </c>
      <c r="Q81">
        <v>9796.8000000000011</v>
      </c>
      <c r="R81">
        <v>15</v>
      </c>
      <c r="S81">
        <v>11304</v>
      </c>
      <c r="T81">
        <v>4.6144797750841811</v>
      </c>
      <c r="U81">
        <v>3477.4719585034391</v>
      </c>
      <c r="V81">
        <v>6.7437088515942927</v>
      </c>
      <c r="W81">
        <v>5082.0589905614588</v>
      </c>
      <c r="X81">
        <v>6.4965222528096813</v>
      </c>
      <c r="Y81">
        <v>4895.7791697173761</v>
      </c>
      <c r="Z81">
        <v>7.6420777458117986</v>
      </c>
      <c r="AA81">
        <v>5759.069789243772</v>
      </c>
      <c r="AB81">
        <v>17</v>
      </c>
      <c r="AC81">
        <v>12811.2</v>
      </c>
      <c r="AD81">
        <v>22</v>
      </c>
      <c r="AE81">
        <v>16579.2</v>
      </c>
      <c r="AF81">
        <v>18</v>
      </c>
      <c r="AG81">
        <v>13564.800000000001</v>
      </c>
      <c r="AH81">
        <v>23</v>
      </c>
      <c r="AI81">
        <v>17332.8</v>
      </c>
      <c r="AJ81">
        <v>13.423041636200843</v>
      </c>
      <c r="AK81">
        <v>10115.604177040956</v>
      </c>
      <c r="AL81">
        <v>13.398605715972076</v>
      </c>
      <c r="AM81">
        <v>10097.189267556558</v>
      </c>
      <c r="AN81">
        <v>13.467775906058515</v>
      </c>
      <c r="AO81">
        <v>10149.315922805697</v>
      </c>
      <c r="AP81">
        <v>9.9604511751822855</v>
      </c>
      <c r="AQ81">
        <v>7506.1960056173702</v>
      </c>
      <c r="AR81">
        <v>36.800234438484431</v>
      </c>
      <c r="AS81">
        <v>27732.656672841869</v>
      </c>
      <c r="AT81">
        <v>27</v>
      </c>
      <c r="AU81">
        <v>20347.2</v>
      </c>
      <c r="AV81">
        <v>34</v>
      </c>
      <c r="AW81">
        <v>25622.400000000001</v>
      </c>
      <c r="AX81">
        <v>26.724777401254794</v>
      </c>
      <c r="AY81">
        <v>20139.792249585615</v>
      </c>
      <c r="AZ81">
        <v>27.516809387506385</v>
      </c>
      <c r="BA81">
        <v>20736.667554424814</v>
      </c>
      <c r="BB81">
        <v>24.446953405646312</v>
      </c>
      <c r="BC81">
        <v>18423.224086495062</v>
      </c>
      <c r="BD81">
        <v>20.489927511696454</v>
      </c>
      <c r="BE81">
        <v>15441.209372814448</v>
      </c>
      <c r="BF81">
        <v>18.56133464949782</v>
      </c>
      <c r="BG81">
        <v>13987.821791861557</v>
      </c>
      <c r="BH81">
        <v>23.096555038707709</v>
      </c>
      <c r="BI81">
        <v>17405.563877170131</v>
      </c>
      <c r="BJ81">
        <v>30.071768250944309</v>
      </c>
      <c r="BK81">
        <v>22662.084553911631</v>
      </c>
      <c r="BL81">
        <v>32.260042720844027</v>
      </c>
      <c r="BM81">
        <v>24311.168194428061</v>
      </c>
      <c r="BN81">
        <v>29</v>
      </c>
      <c r="BO81">
        <v>21854.400000000001</v>
      </c>
      <c r="BP81">
        <v>13.334344668093546</v>
      </c>
      <c r="BQ81">
        <v>10048.762141875297</v>
      </c>
      <c r="BR81">
        <v>12.798635910383172</v>
      </c>
      <c r="BS81">
        <v>9645.0520220647595</v>
      </c>
      <c r="BT81">
        <v>15.878238631062789</v>
      </c>
      <c r="BU81">
        <v>11965.840632368918</v>
      </c>
      <c r="BV81">
        <v>14.639898321543127</v>
      </c>
      <c r="BW81">
        <v>11032.6273751149</v>
      </c>
      <c r="BX81">
        <v>5</v>
      </c>
      <c r="BY81">
        <v>3768</v>
      </c>
      <c r="BZ81">
        <v>4.4754227953610402</v>
      </c>
      <c r="CA81">
        <v>3372.6786185840801</v>
      </c>
      <c r="CB81">
        <v>4.3972919161300545</v>
      </c>
      <c r="CC81">
        <v>3313.7991879956094</v>
      </c>
      <c r="CD81">
        <v>6.2801722141482994</v>
      </c>
      <c r="CE81">
        <v>4732.7377805821588</v>
      </c>
      <c r="CF81">
        <v>7.3514783308621476</v>
      </c>
      <c r="CG81">
        <v>5540.0740701377144</v>
      </c>
      <c r="CH81">
        <v>7.1777436304140965</v>
      </c>
      <c r="CI81">
        <v>5409.1475998800634</v>
      </c>
      <c r="CJ81">
        <v>4.3373447122744828</v>
      </c>
      <c r="CK81">
        <v>3268.6229751700503</v>
      </c>
      <c r="CL81">
        <v>5.356039109948326</v>
      </c>
      <c r="CM81">
        <v>4036.3110732570585</v>
      </c>
      <c r="CN81">
        <v>10</v>
      </c>
      <c r="CO81">
        <v>7536</v>
      </c>
      <c r="CP81">
        <v>9.4259253488983799</v>
      </c>
      <c r="CQ81">
        <v>7103.377342929819</v>
      </c>
      <c r="CR81">
        <v>9.7688846771155955</v>
      </c>
      <c r="CS81">
        <v>7361.8314926743133</v>
      </c>
      <c r="CT81">
        <v>9.7942985947504901</v>
      </c>
      <c r="CU81">
        <v>7380.9834210039699</v>
      </c>
    </row>
    <row r="82" spans="2:99" x14ac:dyDescent="0.2">
      <c r="C82" s="105" t="s">
        <v>248</v>
      </c>
      <c r="D82">
        <v>16</v>
      </c>
      <c r="E82">
        <v>8140.7999999999984</v>
      </c>
      <c r="F82">
        <v>11</v>
      </c>
      <c r="G82">
        <v>5596.7999999999993</v>
      </c>
      <c r="H82">
        <v>16</v>
      </c>
      <c r="I82">
        <v>8140.7999999999984</v>
      </c>
      <c r="J82">
        <v>16</v>
      </c>
      <c r="K82">
        <v>8140.7999999999984</v>
      </c>
      <c r="L82">
        <v>7</v>
      </c>
      <c r="M82">
        <v>3561.5999999999995</v>
      </c>
      <c r="N82">
        <v>13</v>
      </c>
      <c r="O82">
        <v>6614.3999999999987</v>
      </c>
      <c r="P82">
        <v>12</v>
      </c>
      <c r="Q82">
        <v>6105.5999999999985</v>
      </c>
      <c r="R82">
        <v>13</v>
      </c>
      <c r="S82">
        <v>6614.3999999999987</v>
      </c>
      <c r="T82">
        <v>5.6964104117620717</v>
      </c>
      <c r="U82">
        <v>2898.3336175045415</v>
      </c>
      <c r="V82">
        <v>6</v>
      </c>
      <c r="W82">
        <v>3052.7999999999993</v>
      </c>
      <c r="X82">
        <v>6.5792759616112946</v>
      </c>
      <c r="Y82">
        <v>3347.5356092678262</v>
      </c>
      <c r="Z82">
        <v>6.7276881119200382</v>
      </c>
      <c r="AA82">
        <v>3423.0477113449147</v>
      </c>
      <c r="AB82">
        <v>19</v>
      </c>
      <c r="AC82">
        <v>9667.1999999999989</v>
      </c>
      <c r="AD82">
        <v>21</v>
      </c>
      <c r="AE82">
        <v>10684.799999999997</v>
      </c>
      <c r="AF82">
        <v>21</v>
      </c>
      <c r="AG82">
        <v>10684.799999999997</v>
      </c>
      <c r="AH82">
        <v>26</v>
      </c>
      <c r="AI82">
        <v>13228.799999999997</v>
      </c>
      <c r="AJ82">
        <v>14.345066752025453</v>
      </c>
      <c r="AK82">
        <v>7298.7699634305491</v>
      </c>
      <c r="AL82">
        <v>12.342661487333192</v>
      </c>
      <c r="AM82">
        <v>6279.946164755127</v>
      </c>
      <c r="AN82">
        <v>14.506916596886741</v>
      </c>
      <c r="AO82">
        <v>7381.1191644959727</v>
      </c>
      <c r="AP82">
        <v>11.104518851459629</v>
      </c>
      <c r="AQ82">
        <v>5649.9791916226577</v>
      </c>
      <c r="AR82">
        <v>37.800234438484431</v>
      </c>
      <c r="AS82">
        <v>19232.759282300874</v>
      </c>
      <c r="AT82">
        <v>27</v>
      </c>
      <c r="AU82">
        <v>13737.599999999997</v>
      </c>
      <c r="AV82">
        <v>34</v>
      </c>
      <c r="AW82">
        <v>17299.199999999997</v>
      </c>
      <c r="AX82">
        <v>25.724777401254794</v>
      </c>
      <c r="AY82">
        <v>13088.766741758436</v>
      </c>
      <c r="AZ82">
        <v>26.516809387506385</v>
      </c>
      <c r="BA82">
        <v>13491.752616363246</v>
      </c>
      <c r="BB82">
        <v>27.446953405646312</v>
      </c>
      <c r="BC82">
        <v>13965.009892792841</v>
      </c>
      <c r="BD82">
        <v>21.489927511696454</v>
      </c>
      <c r="BE82">
        <v>10934.075117951154</v>
      </c>
      <c r="BF82">
        <v>21.56133464949782</v>
      </c>
      <c r="BG82">
        <v>10970.407069664489</v>
      </c>
      <c r="BH82">
        <v>22.096555038707709</v>
      </c>
      <c r="BI82">
        <v>11242.72720369448</v>
      </c>
      <c r="BJ82">
        <v>31.941064805707196</v>
      </c>
      <c r="BK82">
        <v>16251.613773143818</v>
      </c>
      <c r="BL82">
        <v>32.376354356614243</v>
      </c>
      <c r="BM82">
        <v>16473.089096645323</v>
      </c>
      <c r="BN82">
        <v>27</v>
      </c>
      <c r="BO82">
        <v>13737.599999999997</v>
      </c>
      <c r="BP82">
        <v>15.186084149416484</v>
      </c>
      <c r="BQ82">
        <v>7726.6796152231054</v>
      </c>
      <c r="BR82">
        <v>10.860069441951108</v>
      </c>
      <c r="BS82">
        <v>5525.603332064723</v>
      </c>
      <c r="BT82">
        <v>16.009974425722209</v>
      </c>
      <c r="BU82">
        <v>8145.8749878074586</v>
      </c>
      <c r="BV82">
        <v>13.73988243428424</v>
      </c>
      <c r="BW82">
        <v>6990.85218256382</v>
      </c>
      <c r="BX82">
        <v>4</v>
      </c>
      <c r="BY82">
        <v>2035.1999999999996</v>
      </c>
      <c r="BZ82">
        <v>5</v>
      </c>
      <c r="CA82">
        <v>2543.9999999999995</v>
      </c>
      <c r="CB82">
        <v>4</v>
      </c>
      <c r="CC82">
        <v>2035.1999999999996</v>
      </c>
      <c r="CD82">
        <v>6.3268675831730157</v>
      </c>
      <c r="CE82">
        <v>3219.1102263184298</v>
      </c>
      <c r="CF82">
        <v>7.322188469956969</v>
      </c>
      <c r="CG82">
        <v>3725.5294935141051</v>
      </c>
      <c r="CH82">
        <v>6.1777436304140965</v>
      </c>
      <c r="CI82">
        <v>3143.2359591546915</v>
      </c>
      <c r="CJ82">
        <v>4.3113951190225999</v>
      </c>
      <c r="CK82">
        <v>2193.6378365586984</v>
      </c>
      <c r="CL82">
        <v>6.3834267337905057</v>
      </c>
      <c r="CM82">
        <v>3247.8875221526087</v>
      </c>
      <c r="CN82">
        <v>10</v>
      </c>
      <c r="CO82">
        <v>5087.9999999999991</v>
      </c>
      <c r="CP82">
        <v>9.3839863680484275</v>
      </c>
      <c r="CQ82">
        <v>4774.5722640630393</v>
      </c>
      <c r="CR82">
        <v>9.8409676155951828</v>
      </c>
      <c r="CS82">
        <v>5007.0843228148278</v>
      </c>
      <c r="CT82">
        <v>8.893585919094301</v>
      </c>
      <c r="CU82">
        <v>4525.0565156351795</v>
      </c>
    </row>
    <row r="83" spans="2:99" x14ac:dyDescent="0.2">
      <c r="C83" s="105" t="s">
        <v>249</v>
      </c>
      <c r="D83">
        <v>16</v>
      </c>
      <c r="E83">
        <v>13766.4</v>
      </c>
      <c r="F83">
        <v>10</v>
      </c>
      <c r="G83">
        <v>8604</v>
      </c>
      <c r="H83">
        <v>16</v>
      </c>
      <c r="I83">
        <v>13766.4</v>
      </c>
      <c r="J83">
        <v>17</v>
      </c>
      <c r="K83">
        <v>14626.8</v>
      </c>
      <c r="L83">
        <v>8</v>
      </c>
      <c r="M83">
        <v>6883.2</v>
      </c>
      <c r="N83">
        <v>14</v>
      </c>
      <c r="O83">
        <v>12045.6</v>
      </c>
      <c r="P83">
        <v>11</v>
      </c>
      <c r="Q83">
        <v>9464.4</v>
      </c>
      <c r="R83">
        <v>12</v>
      </c>
      <c r="S83">
        <v>10324.799999999999</v>
      </c>
      <c r="T83">
        <v>4.6554450934231264</v>
      </c>
      <c r="U83">
        <v>4005.5449583812579</v>
      </c>
      <c r="V83">
        <v>6.6562136925831998</v>
      </c>
      <c r="W83">
        <v>5727.0062610985851</v>
      </c>
      <c r="X83">
        <v>6.5378991072104879</v>
      </c>
      <c r="Y83">
        <v>5625.2083918439039</v>
      </c>
      <c r="Z83">
        <v>7.7276881119200382</v>
      </c>
      <c r="AA83">
        <v>6648.9028514960009</v>
      </c>
      <c r="AB83">
        <v>16.852863125387849</v>
      </c>
      <c r="AC83">
        <v>14500.203433083705</v>
      </c>
      <c r="AD83">
        <v>22</v>
      </c>
      <c r="AE83">
        <v>18928.8</v>
      </c>
      <c r="AF83">
        <v>18</v>
      </c>
      <c r="AG83">
        <v>15487.199999999999</v>
      </c>
      <c r="AH83">
        <v>25</v>
      </c>
      <c r="AI83">
        <v>21510</v>
      </c>
      <c r="AJ83">
        <v>14.306079309937759</v>
      </c>
      <c r="AK83">
        <v>12308.950638270448</v>
      </c>
      <c r="AL83">
        <v>12.118884572777661</v>
      </c>
      <c r="AM83">
        <v>10427.0882864179</v>
      </c>
      <c r="AN83">
        <v>13.232931761089151</v>
      </c>
      <c r="AO83">
        <v>11385.614487241106</v>
      </c>
      <c r="AP83">
        <v>10.080507572080071</v>
      </c>
      <c r="AQ83">
        <v>8673.2687150176935</v>
      </c>
      <c r="AR83">
        <v>37.762128036651838</v>
      </c>
      <c r="AS83">
        <v>32490.534962735241</v>
      </c>
      <c r="AT83">
        <v>27</v>
      </c>
      <c r="AU83">
        <v>23230.799999999999</v>
      </c>
      <c r="AV83">
        <v>32</v>
      </c>
      <c r="AW83">
        <v>27532.799999999999</v>
      </c>
      <c r="AX83">
        <v>25.761016271317533</v>
      </c>
      <c r="AY83">
        <v>22164.778399841605</v>
      </c>
      <c r="AZ83">
        <v>24.469826715914895</v>
      </c>
      <c r="BA83">
        <v>21053.838906373174</v>
      </c>
      <c r="BB83">
        <v>22</v>
      </c>
      <c r="BC83">
        <v>18928.8</v>
      </c>
      <c r="BD83">
        <v>22.489927511696454</v>
      </c>
      <c r="BE83">
        <v>19350.33363106363</v>
      </c>
      <c r="BF83">
        <v>20.514556762039668</v>
      </c>
      <c r="BG83">
        <v>17650.724638058931</v>
      </c>
      <c r="BH83">
        <v>22.116136378684633</v>
      </c>
      <c r="BI83">
        <v>19028.723740220259</v>
      </c>
      <c r="BJ83">
        <v>29.967205494754619</v>
      </c>
      <c r="BK83">
        <v>25783.783607686873</v>
      </c>
      <c r="BL83">
        <v>29.240657448215657</v>
      </c>
      <c r="BM83">
        <v>25158.661668444751</v>
      </c>
      <c r="BN83">
        <v>26</v>
      </c>
      <c r="BO83">
        <v>22370.399999999998</v>
      </c>
      <c r="BP83">
        <v>14.14901901974722</v>
      </c>
      <c r="BQ83">
        <v>12173.815964590507</v>
      </c>
      <c r="BR83">
        <v>12.716724534959257</v>
      </c>
      <c r="BS83">
        <v>10941.469789878944</v>
      </c>
      <c r="BT83">
        <v>14.966062494169067</v>
      </c>
      <c r="BU83">
        <v>12876.800169983066</v>
      </c>
      <c r="BV83">
        <v>13.59990467644668</v>
      </c>
      <c r="BW83">
        <v>11701.357983614724</v>
      </c>
      <c r="BX83">
        <v>5</v>
      </c>
      <c r="BY83">
        <v>4302</v>
      </c>
      <c r="BZ83">
        <v>5.5229650748971446</v>
      </c>
      <c r="CA83">
        <v>4751.959150441503</v>
      </c>
      <c r="CB83">
        <v>4.3476304266137973</v>
      </c>
      <c r="CC83">
        <v>3740.701219058511</v>
      </c>
      <c r="CD83">
        <v>7.3268675831730157</v>
      </c>
      <c r="CE83">
        <v>6304.0368685620624</v>
      </c>
      <c r="CF83">
        <v>8.3221884699569681</v>
      </c>
      <c r="CG83">
        <v>7160.4109595509753</v>
      </c>
      <c r="CH83">
        <v>7.2031355776161101</v>
      </c>
      <c r="CI83">
        <v>6197.5778509809006</v>
      </c>
      <c r="CJ83">
        <v>4.3113951190225999</v>
      </c>
      <c r="CK83">
        <v>3709.5243604070447</v>
      </c>
      <c r="CL83">
        <v>5.3834267337905057</v>
      </c>
      <c r="CM83">
        <v>4631.9003617533508</v>
      </c>
      <c r="CN83">
        <v>9</v>
      </c>
      <c r="CO83">
        <v>7743.5999999999995</v>
      </c>
      <c r="CP83">
        <v>9.5098033105982829</v>
      </c>
      <c r="CQ83">
        <v>8182.2347684387623</v>
      </c>
      <c r="CR83">
        <v>9.6968017386360081</v>
      </c>
      <c r="CS83">
        <v>8343.1282159224211</v>
      </c>
      <c r="CT83">
        <v>9.769476763664537</v>
      </c>
      <c r="CU83">
        <v>8405.6578074569679</v>
      </c>
    </row>
    <row r="84" spans="2:99" x14ac:dyDescent="0.2">
      <c r="C84" s="105" t="s">
        <v>250</v>
      </c>
      <c r="D84">
        <v>16</v>
      </c>
      <c r="E84">
        <v>12499.199999999999</v>
      </c>
      <c r="F84">
        <v>11</v>
      </c>
      <c r="G84">
        <v>8593.1999999999989</v>
      </c>
      <c r="H84">
        <v>16</v>
      </c>
      <c r="I84">
        <v>12499.199999999999</v>
      </c>
      <c r="J84">
        <v>16</v>
      </c>
      <c r="K84">
        <v>12499.199999999999</v>
      </c>
      <c r="L84">
        <v>8</v>
      </c>
      <c r="M84">
        <v>6249.5999999999995</v>
      </c>
      <c r="N84">
        <v>14</v>
      </c>
      <c r="O84">
        <v>10936.8</v>
      </c>
      <c r="P84">
        <v>12</v>
      </c>
      <c r="Q84">
        <v>9374.4</v>
      </c>
      <c r="R84">
        <v>13</v>
      </c>
      <c r="S84">
        <v>10155.599999999999</v>
      </c>
      <c r="T84">
        <v>5.6554450934231264</v>
      </c>
      <c r="U84">
        <v>4418.0337069821462</v>
      </c>
      <c r="V84">
        <v>5.6999612720887463</v>
      </c>
      <c r="W84">
        <v>4452.8097457557278</v>
      </c>
      <c r="X84">
        <v>6.5378991072104879</v>
      </c>
      <c r="Y84">
        <v>5107.4067825528327</v>
      </c>
      <c r="Z84">
        <v>6.6420777458117986</v>
      </c>
      <c r="AA84">
        <v>5188.7911350281765</v>
      </c>
      <c r="AB84">
        <v>17</v>
      </c>
      <c r="AC84">
        <v>13280.4</v>
      </c>
      <c r="AD84">
        <v>22</v>
      </c>
      <c r="AE84">
        <v>17186.399999999998</v>
      </c>
      <c r="AF84">
        <v>20</v>
      </c>
      <c r="AG84">
        <v>15623.999999999998</v>
      </c>
      <c r="AH84">
        <v>22</v>
      </c>
      <c r="AI84">
        <v>17186.399999999998</v>
      </c>
      <c r="AJ84">
        <v>14.306079309937759</v>
      </c>
      <c r="AK84">
        <v>11175.909156923377</v>
      </c>
      <c r="AL84">
        <v>12.174828801416544</v>
      </c>
      <c r="AM84">
        <v>9510.9762596666023</v>
      </c>
      <c r="AN84">
        <v>14.232931761089151</v>
      </c>
      <c r="AO84">
        <v>11118.766291762844</v>
      </c>
      <c r="AP84">
        <v>11.0084737339414</v>
      </c>
      <c r="AQ84">
        <v>8599.8196809550209</v>
      </c>
      <c r="AR84">
        <v>39</v>
      </c>
      <c r="AS84">
        <v>30466.799999999996</v>
      </c>
      <c r="AT84">
        <v>28</v>
      </c>
      <c r="AU84">
        <v>21873.599999999999</v>
      </c>
      <c r="AV84">
        <v>36</v>
      </c>
      <c r="AW84">
        <v>28123.199999999997</v>
      </c>
      <c r="AX84">
        <v>24.724777401254794</v>
      </c>
      <c r="AY84">
        <v>19314.996105860242</v>
      </c>
      <c r="AZ84">
        <v>28.563792059097871</v>
      </c>
      <c r="BA84">
        <v>22314.034356567256</v>
      </c>
      <c r="BB84">
        <v>25.397291916130055</v>
      </c>
      <c r="BC84">
        <v>19840.364444880797</v>
      </c>
      <c r="BD84">
        <v>19.440934760526812</v>
      </c>
      <c r="BE84">
        <v>15187.258234923544</v>
      </c>
      <c r="BF84">
        <v>19.514556762039668</v>
      </c>
      <c r="BG84">
        <v>15244.771742505387</v>
      </c>
      <c r="BH84">
        <v>23.135717718661557</v>
      </c>
      <c r="BI84">
        <v>18073.622681818408</v>
      </c>
      <c r="BJ84">
        <v>26.941064805707196</v>
      </c>
      <c r="BK84">
        <v>21046.359826218461</v>
      </c>
      <c r="BL84">
        <v>28.337583811357508</v>
      </c>
      <c r="BM84">
        <v>22137.320473432483</v>
      </c>
      <c r="BN84">
        <v>26</v>
      </c>
      <c r="BO84">
        <v>20311.199999999997</v>
      </c>
      <c r="BP84">
        <v>13.111953890077954</v>
      </c>
      <c r="BQ84">
        <v>10243.058378928898</v>
      </c>
      <c r="BR84">
        <v>12.839591598095129</v>
      </c>
      <c r="BS84">
        <v>10030.288956431914</v>
      </c>
      <c r="BT84">
        <v>14.856282665286219</v>
      </c>
      <c r="BU84">
        <v>11605.728018121594</v>
      </c>
      <c r="BV84">
        <v>13.679891966639572</v>
      </c>
      <c r="BW84">
        <v>10686.731604338833</v>
      </c>
      <c r="BX84">
        <v>4</v>
      </c>
      <c r="BY84">
        <v>3124.7999999999997</v>
      </c>
      <c r="BZ84">
        <v>5.5229650748971446</v>
      </c>
      <c r="CA84">
        <v>4314.5403165096486</v>
      </c>
      <c r="CB84">
        <v>4.3476304266137973</v>
      </c>
      <c r="CC84">
        <v>3396.3688892706982</v>
      </c>
      <c r="CD84">
        <v>7.2801722141482994</v>
      </c>
      <c r="CE84">
        <v>5687.270533692651</v>
      </c>
      <c r="CF84">
        <v>7.3514783308621476</v>
      </c>
      <c r="CG84">
        <v>5742.9748720695088</v>
      </c>
      <c r="CH84">
        <v>6.1777436304140965</v>
      </c>
      <c r="CI84">
        <v>4826.0533240794921</v>
      </c>
      <c r="CJ84">
        <v>4.3113951190225999</v>
      </c>
      <c r="CK84">
        <v>3368.0618669804549</v>
      </c>
      <c r="CL84">
        <v>5.3834267337905057</v>
      </c>
      <c r="CM84">
        <v>4205.5329644371432</v>
      </c>
      <c r="CN84">
        <v>9</v>
      </c>
      <c r="CO84">
        <v>7030.7999999999993</v>
      </c>
      <c r="CP84">
        <v>8</v>
      </c>
      <c r="CQ84">
        <v>6249.5999999999995</v>
      </c>
      <c r="CR84">
        <v>10.744857030955734</v>
      </c>
      <c r="CS84">
        <v>8393.8823125826184</v>
      </c>
      <c r="CT84">
        <v>8.7942985947504901</v>
      </c>
      <c r="CU84">
        <v>6870.1060622190826</v>
      </c>
    </row>
    <row r="85" spans="2:99" x14ac:dyDescent="0.2">
      <c r="C85" s="105" t="s">
        <v>251</v>
      </c>
      <c r="D85">
        <v>18</v>
      </c>
      <c r="E85">
        <v>2700</v>
      </c>
      <c r="F85">
        <v>12</v>
      </c>
      <c r="G85">
        <v>1800</v>
      </c>
      <c r="H85">
        <v>19</v>
      </c>
      <c r="I85">
        <v>2850</v>
      </c>
      <c r="J85">
        <v>17</v>
      </c>
      <c r="K85">
        <v>2550</v>
      </c>
      <c r="L85">
        <v>7</v>
      </c>
      <c r="M85">
        <v>1050</v>
      </c>
      <c r="N85">
        <v>15</v>
      </c>
      <c r="O85">
        <v>2250</v>
      </c>
      <c r="P85">
        <v>13</v>
      </c>
      <c r="Q85">
        <v>1950</v>
      </c>
      <c r="R85">
        <v>13</v>
      </c>
      <c r="S85">
        <v>1950</v>
      </c>
      <c r="T85">
        <v>4.7373757301010171</v>
      </c>
      <c r="U85">
        <v>710.60635951515258</v>
      </c>
      <c r="V85">
        <v>6.7874564310998391</v>
      </c>
      <c r="W85">
        <v>1018.1184646649758</v>
      </c>
      <c r="X85">
        <v>6.5378991072104879</v>
      </c>
      <c r="Y85">
        <v>980.6848660815732</v>
      </c>
      <c r="Z85">
        <v>7.7276881119200382</v>
      </c>
      <c r="AA85">
        <v>1159.1532167880057</v>
      </c>
      <c r="AB85">
        <v>17</v>
      </c>
      <c r="AC85">
        <v>2550</v>
      </c>
      <c r="AD85">
        <v>22</v>
      </c>
      <c r="AE85">
        <v>3300</v>
      </c>
      <c r="AF85">
        <v>19</v>
      </c>
      <c r="AG85">
        <v>2850</v>
      </c>
      <c r="AH85">
        <v>27</v>
      </c>
      <c r="AI85">
        <v>4050</v>
      </c>
      <c r="AJ85">
        <v>14.345066752025453</v>
      </c>
      <c r="AK85">
        <v>2151.760012803818</v>
      </c>
      <c r="AL85">
        <v>14.28671725869431</v>
      </c>
      <c r="AM85">
        <v>2143.0075888041465</v>
      </c>
      <c r="AN85">
        <v>15.526486942300856</v>
      </c>
      <c r="AO85">
        <v>2328.9730413451284</v>
      </c>
      <c r="AP85">
        <v>12.0084737339414</v>
      </c>
      <c r="AQ85">
        <v>1801.2710600912101</v>
      </c>
      <c r="AR85">
        <v>38</v>
      </c>
      <c r="AS85">
        <v>5700</v>
      </c>
      <c r="AT85">
        <v>27</v>
      </c>
      <c r="AU85">
        <v>4050</v>
      </c>
      <c r="AV85">
        <v>36</v>
      </c>
      <c r="AW85">
        <v>5400</v>
      </c>
      <c r="AX85">
        <v>26.797255141380273</v>
      </c>
      <c r="AY85">
        <v>4019.5882712070411</v>
      </c>
      <c r="AZ85">
        <v>26.563792059097871</v>
      </c>
      <c r="BA85">
        <v>3984.5688088646807</v>
      </c>
      <c r="BB85">
        <v>26</v>
      </c>
      <c r="BC85">
        <v>3900</v>
      </c>
      <c r="BD85">
        <v>21.440934760526812</v>
      </c>
      <c r="BE85">
        <v>3216.1402140790219</v>
      </c>
      <c r="BF85">
        <v>24</v>
      </c>
      <c r="BG85">
        <v>3600</v>
      </c>
      <c r="BH85">
        <v>23.096555038707709</v>
      </c>
      <c r="BI85">
        <v>3464.4832558061562</v>
      </c>
      <c r="BJ85">
        <v>33.045627561896886</v>
      </c>
      <c r="BK85">
        <v>4956.8441342845326</v>
      </c>
      <c r="BL85">
        <v>36.318198538729135</v>
      </c>
      <c r="BM85">
        <v>5447.7297808093699</v>
      </c>
      <c r="BN85">
        <v>30</v>
      </c>
      <c r="BO85">
        <v>4500</v>
      </c>
      <c r="BP85">
        <v>14.408474927432076</v>
      </c>
      <c r="BQ85">
        <v>2161.2712391148116</v>
      </c>
      <c r="BR85">
        <v>13.839591598095129</v>
      </c>
      <c r="BS85">
        <v>2075.9387397142696</v>
      </c>
      <c r="BT85">
        <v>17.988018459945639</v>
      </c>
      <c r="BU85">
        <v>2698.2027689918459</v>
      </c>
      <c r="BV85">
        <v>15.73988243428424</v>
      </c>
      <c r="BW85">
        <v>2360.9823651426359</v>
      </c>
      <c r="BX85">
        <v>5</v>
      </c>
      <c r="BY85">
        <v>750</v>
      </c>
      <c r="BZ85">
        <v>5.4754227953610402</v>
      </c>
      <c r="CA85">
        <v>821.31341930415601</v>
      </c>
      <c r="CB85">
        <v>4.3476304266137973</v>
      </c>
      <c r="CC85">
        <v>652.14456399206961</v>
      </c>
      <c r="CD85">
        <v>6.3268675831730157</v>
      </c>
      <c r="CE85">
        <v>949.0301374759523</v>
      </c>
      <c r="CF85">
        <v>8.3514783308621467</v>
      </c>
      <c r="CG85">
        <v>1252.7217496293219</v>
      </c>
      <c r="CH85">
        <v>6.2285275248181238</v>
      </c>
      <c r="CI85">
        <v>934.27912872271861</v>
      </c>
      <c r="CJ85">
        <v>4.3113951190225999</v>
      </c>
      <c r="CK85">
        <v>646.70926785338997</v>
      </c>
      <c r="CL85">
        <v>6.3834267337905057</v>
      </c>
      <c r="CM85">
        <v>957.51401006857589</v>
      </c>
      <c r="CN85">
        <v>10</v>
      </c>
      <c r="CO85">
        <v>1500</v>
      </c>
      <c r="CP85">
        <v>9.4678643297483323</v>
      </c>
      <c r="CQ85">
        <v>1420.1796494622499</v>
      </c>
      <c r="CR85">
        <v>10.744857030955734</v>
      </c>
      <c r="CS85">
        <v>1611.72855464336</v>
      </c>
      <c r="CT85">
        <v>9.9184077501802541</v>
      </c>
      <c r="CU85">
        <v>1487.7611625270381</v>
      </c>
    </row>
    <row r="86" spans="2:99" x14ac:dyDescent="0.2">
      <c r="C86" s="105" t="s">
        <v>252</v>
      </c>
      <c r="D86">
        <v>16</v>
      </c>
      <c r="E86">
        <v>8640</v>
      </c>
      <c r="F86">
        <v>11</v>
      </c>
      <c r="G86">
        <v>5940</v>
      </c>
      <c r="H86">
        <v>18</v>
      </c>
      <c r="I86">
        <v>9720</v>
      </c>
      <c r="J86">
        <v>18</v>
      </c>
      <c r="K86">
        <v>9720</v>
      </c>
      <c r="L86">
        <v>7</v>
      </c>
      <c r="M86">
        <v>3780</v>
      </c>
      <c r="N86">
        <v>14</v>
      </c>
      <c r="O86">
        <v>7560</v>
      </c>
      <c r="P86">
        <v>13</v>
      </c>
      <c r="Q86">
        <v>7020</v>
      </c>
      <c r="R86">
        <v>13</v>
      </c>
      <c r="S86">
        <v>7020</v>
      </c>
      <c r="T86">
        <v>5.7373757301010171</v>
      </c>
      <c r="U86">
        <v>3098.1828942545494</v>
      </c>
      <c r="V86">
        <v>6.8312040106053864</v>
      </c>
      <c r="W86">
        <v>3688.8501657269085</v>
      </c>
      <c r="X86">
        <v>6.5792759616112946</v>
      </c>
      <c r="Y86">
        <v>3552.8090192700993</v>
      </c>
      <c r="Z86">
        <v>6.6848829288659184</v>
      </c>
      <c r="AA86">
        <v>3609.8367815875959</v>
      </c>
      <c r="AB86">
        <v>18</v>
      </c>
      <c r="AC86">
        <v>9720</v>
      </c>
      <c r="AD86">
        <v>21</v>
      </c>
      <c r="AE86">
        <v>11340</v>
      </c>
      <c r="AF86">
        <v>21</v>
      </c>
      <c r="AG86">
        <v>11340</v>
      </c>
      <c r="AH86">
        <v>27</v>
      </c>
      <c r="AI86">
        <v>14580</v>
      </c>
      <c r="AJ86">
        <v>15.44253535724469</v>
      </c>
      <c r="AK86">
        <v>8338.9690929121334</v>
      </c>
      <c r="AL86">
        <v>14.342661487333192</v>
      </c>
      <c r="AM86">
        <v>7745.0372031599236</v>
      </c>
      <c r="AN86">
        <v>15.38949452440206</v>
      </c>
      <c r="AO86">
        <v>8310.3270431771125</v>
      </c>
      <c r="AP86">
        <v>11.032485013320958</v>
      </c>
      <c r="AQ86">
        <v>5957.5419071933175</v>
      </c>
      <c r="AR86">
        <v>36.876447242149609</v>
      </c>
      <c r="AS86">
        <v>19913.281510760789</v>
      </c>
      <c r="AT86">
        <v>25</v>
      </c>
      <c r="AU86">
        <v>13500</v>
      </c>
      <c r="AV86">
        <v>35</v>
      </c>
      <c r="AW86">
        <v>18900</v>
      </c>
      <c r="AX86">
        <v>25.724777401254794</v>
      </c>
      <c r="AY86">
        <v>13891.379796677589</v>
      </c>
      <c r="AZ86">
        <v>29.469826715914895</v>
      </c>
      <c r="BA86">
        <v>15913.706426594043</v>
      </c>
      <c r="BB86">
        <v>26</v>
      </c>
      <c r="BC86">
        <v>14040</v>
      </c>
      <c r="BD86">
        <v>20.5389202628661</v>
      </c>
      <c r="BE86">
        <v>11091.016941947693</v>
      </c>
      <c r="BF86">
        <v>20.467778874581516</v>
      </c>
      <c r="BG86">
        <v>11052.600592274019</v>
      </c>
      <c r="BH86">
        <v>25.272787098500022</v>
      </c>
      <c r="BI86">
        <v>13647.305033190012</v>
      </c>
      <c r="BJ86">
        <v>27.071768250944309</v>
      </c>
      <c r="BK86">
        <v>14618.754855509927</v>
      </c>
      <c r="BL86">
        <v>34.221272175587288</v>
      </c>
      <c r="BM86">
        <v>18479.486974817137</v>
      </c>
      <c r="BN86">
        <v>28</v>
      </c>
      <c r="BO86">
        <v>15120</v>
      </c>
      <c r="BP86">
        <v>15.186084149416484</v>
      </c>
      <c r="BQ86">
        <v>8200.4854406849008</v>
      </c>
      <c r="BR86">
        <v>11.798635910383172</v>
      </c>
      <c r="BS86">
        <v>6371.2633916069135</v>
      </c>
      <c r="BT86">
        <v>16.988018459945639</v>
      </c>
      <c r="BU86">
        <v>9173.5299683706453</v>
      </c>
      <c r="BV86">
        <v>15.659895144091349</v>
      </c>
      <c r="BW86">
        <v>8456.3433778093295</v>
      </c>
      <c r="BX86">
        <v>4</v>
      </c>
      <c r="BY86">
        <v>2160</v>
      </c>
      <c r="BZ86">
        <v>4.4754227953610402</v>
      </c>
      <c r="CA86">
        <v>2416.7283094949616</v>
      </c>
      <c r="CB86">
        <v>4</v>
      </c>
      <c r="CC86">
        <v>2160</v>
      </c>
      <c r="CD86">
        <v>6.3268675831730157</v>
      </c>
      <c r="CE86">
        <v>3416.5084949134284</v>
      </c>
      <c r="CF86">
        <v>7.3807681917673262</v>
      </c>
      <c r="CG86">
        <v>3985.614823554356</v>
      </c>
      <c r="CH86">
        <v>6.2031355776161101</v>
      </c>
      <c r="CI86">
        <v>3349.6932119126996</v>
      </c>
      <c r="CJ86">
        <v>4.3373447122744828</v>
      </c>
      <c r="CK86">
        <v>2342.1661446282205</v>
      </c>
      <c r="CL86">
        <v>5.356039109948326</v>
      </c>
      <c r="CM86">
        <v>2892.2611193720959</v>
      </c>
      <c r="CN86">
        <v>10</v>
      </c>
      <c r="CO86">
        <v>5400</v>
      </c>
      <c r="CP86">
        <v>9.4678643297483323</v>
      </c>
      <c r="CQ86">
        <v>5112.6467380640997</v>
      </c>
      <c r="CR86">
        <v>10.744857030955734</v>
      </c>
      <c r="CS86">
        <v>5802.2227967160961</v>
      </c>
      <c r="CT86">
        <v>9.8439422569223964</v>
      </c>
      <c r="CU86">
        <v>5315.7288187380937</v>
      </c>
    </row>
    <row r="87" spans="2:99" x14ac:dyDescent="0.2">
      <c r="B87" s="105" t="s">
        <v>131</v>
      </c>
      <c r="C87" s="105" t="s">
        <v>253</v>
      </c>
      <c r="D87">
        <v>5</v>
      </c>
      <c r="E87">
        <v>9774</v>
      </c>
      <c r="F87">
        <v>6</v>
      </c>
      <c r="G87">
        <v>11728.8</v>
      </c>
      <c r="H87">
        <v>5</v>
      </c>
      <c r="I87">
        <v>9774</v>
      </c>
      <c r="J87">
        <v>8</v>
      </c>
      <c r="K87">
        <v>15638.4</v>
      </c>
      <c r="L87">
        <v>5</v>
      </c>
      <c r="M87">
        <v>9774</v>
      </c>
      <c r="N87">
        <v>6.296005208869552</v>
      </c>
      <c r="O87">
        <v>12307.4309822982</v>
      </c>
      <c r="P87">
        <v>7</v>
      </c>
      <c r="Q87">
        <v>13683.6</v>
      </c>
      <c r="R87">
        <v>6.3407166502607861</v>
      </c>
      <c r="S87">
        <v>12394.832907929784</v>
      </c>
      <c r="T87">
        <v>26</v>
      </c>
      <c r="U87">
        <v>50824.799999999996</v>
      </c>
      <c r="V87">
        <v>39</v>
      </c>
      <c r="W87">
        <v>76237.2</v>
      </c>
      <c r="X87">
        <v>28</v>
      </c>
      <c r="Y87">
        <v>54734.400000000001</v>
      </c>
      <c r="Z87">
        <v>26</v>
      </c>
      <c r="AA87">
        <v>50824.799999999996</v>
      </c>
      <c r="AB87">
        <v>5</v>
      </c>
      <c r="AC87">
        <v>9774</v>
      </c>
      <c r="AD87">
        <v>9</v>
      </c>
      <c r="AE87">
        <v>17593.2</v>
      </c>
      <c r="AF87">
        <v>10</v>
      </c>
      <c r="AG87">
        <v>19548</v>
      </c>
      <c r="AH87">
        <v>10</v>
      </c>
      <c r="AI87">
        <v>19548</v>
      </c>
      <c r="AJ87">
        <v>20.506836747140024</v>
      </c>
      <c r="AK87">
        <v>40086.764473309318</v>
      </c>
      <c r="AL87">
        <v>19.876459582009169</v>
      </c>
      <c r="AM87">
        <v>38854.503190911521</v>
      </c>
      <c r="AN87">
        <v>13.587110362423406</v>
      </c>
      <c r="AO87">
        <v>26560.083336465272</v>
      </c>
      <c r="AP87">
        <v>12.152541410218744</v>
      </c>
      <c r="AQ87">
        <v>23755.787948695601</v>
      </c>
      <c r="AR87">
        <v>40.647808831154059</v>
      </c>
      <c r="AS87">
        <v>79458.336703139954</v>
      </c>
      <c r="AT87">
        <v>50</v>
      </c>
      <c r="AU87">
        <v>97740</v>
      </c>
      <c r="AV87">
        <v>41</v>
      </c>
      <c r="AW87">
        <v>80146.8</v>
      </c>
      <c r="AX87">
        <v>31.543583050941095</v>
      </c>
      <c r="AY87">
        <v>61661.396147979649</v>
      </c>
      <c r="AZ87">
        <v>5.9396534318297878</v>
      </c>
      <c r="BA87">
        <v>11610.834528540869</v>
      </c>
      <c r="BB87">
        <v>5.9932297903251355</v>
      </c>
      <c r="BC87">
        <v>11715.565594127575</v>
      </c>
      <c r="BD87">
        <v>7.7348912675446835</v>
      </c>
      <c r="BE87">
        <v>15120.165449796346</v>
      </c>
      <c r="BF87">
        <v>6.8420019742467293</v>
      </c>
      <c r="BG87">
        <v>13374.745459257507</v>
      </c>
      <c r="BH87">
        <v>21.234976079723079</v>
      </c>
      <c r="BI87">
        <v>41510.131240642673</v>
      </c>
      <c r="BJ87">
        <v>19.2352662014268</v>
      </c>
      <c r="BK87">
        <v>37601.098370549109</v>
      </c>
      <c r="BL87">
        <v>17.155082181026959</v>
      </c>
      <c r="BM87">
        <v>33534.754647471498</v>
      </c>
      <c r="BN87">
        <v>19</v>
      </c>
      <c r="BO87">
        <v>37141.199999999997</v>
      </c>
      <c r="BP87">
        <v>9.5189118153697123</v>
      </c>
      <c r="BQ87">
        <v>18607.568816684714</v>
      </c>
      <c r="BR87">
        <v>7.2252562824157662</v>
      </c>
      <c r="BS87">
        <v>14123.93098086634</v>
      </c>
      <c r="BT87">
        <v>7.2415156235422673</v>
      </c>
      <c r="BU87">
        <v>14155.714740900425</v>
      </c>
      <c r="BV87">
        <v>7.2599586931268956</v>
      </c>
      <c r="BW87">
        <v>14191.767253324455</v>
      </c>
      <c r="BX87">
        <v>11.386062269346025</v>
      </c>
      <c r="BY87">
        <v>22257.47452411761</v>
      </c>
      <c r="BZ87">
        <v>11.427880515824937</v>
      </c>
      <c r="CA87">
        <v>22339.220832334584</v>
      </c>
      <c r="CB87">
        <v>5.3476304266137973</v>
      </c>
      <c r="CC87">
        <v>10453.547957944651</v>
      </c>
      <c r="CD87">
        <v>7.3735629521977328</v>
      </c>
      <c r="CE87">
        <v>14413.840858956128</v>
      </c>
      <c r="CF87">
        <v>5.2928986090517895</v>
      </c>
      <c r="CG87">
        <v>10346.558200974438</v>
      </c>
      <c r="CH87">
        <v>5.4316631024342339</v>
      </c>
      <c r="CI87">
        <v>10617.81503263844</v>
      </c>
      <c r="CJ87">
        <v>5.3113951190225999</v>
      </c>
      <c r="CK87">
        <v>10382.715178665378</v>
      </c>
      <c r="CL87">
        <v>5.2464886145796106</v>
      </c>
      <c r="CM87">
        <v>10255.835943780223</v>
      </c>
      <c r="CN87">
        <v>9</v>
      </c>
      <c r="CO87">
        <v>17593.2</v>
      </c>
      <c r="CP87">
        <v>6</v>
      </c>
      <c r="CQ87">
        <v>11728.8</v>
      </c>
      <c r="CR87">
        <v>9.177354661833256</v>
      </c>
      <c r="CS87">
        <v>17939.892892951648</v>
      </c>
      <c r="CT87">
        <v>9.1914478921257352</v>
      </c>
      <c r="CU87">
        <v>17967.442339527388</v>
      </c>
    </row>
    <row r="88" spans="2:99" x14ac:dyDescent="0.2">
      <c r="C88" s="105" t="s">
        <v>254</v>
      </c>
      <c r="D88">
        <v>5</v>
      </c>
      <c r="E88">
        <v>9462</v>
      </c>
      <c r="F88">
        <v>6</v>
      </c>
      <c r="G88">
        <v>11354.4</v>
      </c>
      <c r="H88">
        <v>5</v>
      </c>
      <c r="I88">
        <v>9462</v>
      </c>
      <c r="J88">
        <v>8</v>
      </c>
      <c r="K88">
        <v>15139.199999999999</v>
      </c>
      <c r="L88">
        <v>5</v>
      </c>
      <c r="M88">
        <v>9462</v>
      </c>
      <c r="N88">
        <v>5.296005208869552</v>
      </c>
      <c r="O88">
        <v>10022.160257264739</v>
      </c>
      <c r="P88">
        <v>7</v>
      </c>
      <c r="Q88">
        <v>13246.8</v>
      </c>
      <c r="R88">
        <v>7.3407166502607861</v>
      </c>
      <c r="S88">
        <v>13891.572188953511</v>
      </c>
      <c r="T88">
        <v>25</v>
      </c>
      <c r="U88">
        <v>47310</v>
      </c>
      <c r="V88">
        <v>36</v>
      </c>
      <c r="W88">
        <v>68126.399999999994</v>
      </c>
      <c r="X88">
        <v>27</v>
      </c>
      <c r="Y88">
        <v>51094.799999999996</v>
      </c>
      <c r="Z88">
        <v>30</v>
      </c>
      <c r="AA88">
        <v>56771.999999999993</v>
      </c>
      <c r="AB88">
        <v>6</v>
      </c>
      <c r="AC88">
        <v>11354.4</v>
      </c>
      <c r="AD88">
        <v>9</v>
      </c>
      <c r="AE88">
        <v>17031.599999999999</v>
      </c>
      <c r="AF88">
        <v>11</v>
      </c>
      <c r="AG88">
        <v>20816.399999999998</v>
      </c>
      <c r="AH88">
        <v>12</v>
      </c>
      <c r="AI88">
        <v>22708.799999999999</v>
      </c>
      <c r="AJ88">
        <v>21.545824189227719</v>
      </c>
      <c r="AK88">
        <v>40773.317695694532</v>
      </c>
      <c r="AL88">
        <v>18.801867277157324</v>
      </c>
      <c r="AM88">
        <v>35580.653635292518</v>
      </c>
      <c r="AN88">
        <v>14.606680707837519</v>
      </c>
      <c r="AO88">
        <v>27641.682571511719</v>
      </c>
      <c r="AP88">
        <v>10.960451175182286</v>
      </c>
      <c r="AQ88">
        <v>20741.557803914955</v>
      </c>
      <c r="AR88">
        <v>41.685915232986652</v>
      </c>
      <c r="AS88">
        <v>78886.425986903938</v>
      </c>
      <c r="AT88">
        <v>55</v>
      </c>
      <c r="AU88">
        <v>104081.99999999999</v>
      </c>
      <c r="AV88">
        <v>48</v>
      </c>
      <c r="AW88">
        <v>90835.199999999997</v>
      </c>
      <c r="AX88">
        <v>29</v>
      </c>
      <c r="AY88">
        <v>54879.6</v>
      </c>
      <c r="AZ88">
        <v>6</v>
      </c>
      <c r="BA88">
        <v>11354.4</v>
      </c>
      <c r="BB88">
        <v>6.9435683008088791</v>
      </c>
      <c r="BC88">
        <v>13140.008652450722</v>
      </c>
      <c r="BD88">
        <v>7.7838840187143292</v>
      </c>
      <c r="BE88">
        <v>14730.222117014995</v>
      </c>
      <c r="BF88">
        <v>7.7952240867885774</v>
      </c>
      <c r="BG88">
        <v>14751.682061838703</v>
      </c>
      <c r="BH88">
        <v>20.215394739746156</v>
      </c>
      <c r="BI88">
        <v>38255.613005495623</v>
      </c>
      <c r="BJ88">
        <v>20.26140689047422</v>
      </c>
      <c r="BK88">
        <v>38342.686399533413</v>
      </c>
      <c r="BL88">
        <v>19.155082181026959</v>
      </c>
      <c r="BM88">
        <v>36249.077519375416</v>
      </c>
      <c r="BN88">
        <v>23</v>
      </c>
      <c r="BO88">
        <v>43525.2</v>
      </c>
      <c r="BP88">
        <v>8.5189118153697123</v>
      </c>
      <c r="BQ88">
        <v>16121.188719405642</v>
      </c>
      <c r="BR88">
        <v>7.2252562824157662</v>
      </c>
      <c r="BS88">
        <v>13673.074988843595</v>
      </c>
      <c r="BT88">
        <v>7.2854275550954064</v>
      </c>
      <c r="BU88">
        <v>13786.943105262546</v>
      </c>
      <c r="BV88">
        <v>7.2999523382233402</v>
      </c>
      <c r="BW88">
        <v>13814.429804853848</v>
      </c>
      <c r="BX88">
        <v>10.337804485677772</v>
      </c>
      <c r="BY88">
        <v>19563.261208696615</v>
      </c>
      <c r="BZ88">
        <v>11.522965074897144</v>
      </c>
      <c r="CA88">
        <v>21806.059107735353</v>
      </c>
      <c r="CB88">
        <v>6.3476304266137973</v>
      </c>
      <c r="CC88">
        <v>12012.255819323949</v>
      </c>
      <c r="CD88">
        <v>7.3735629521977328</v>
      </c>
      <c r="CE88">
        <v>13953.730530738989</v>
      </c>
      <c r="CF88">
        <v>5.2636087481466109</v>
      </c>
      <c r="CG88">
        <v>9960.8531949926455</v>
      </c>
      <c r="CH88">
        <v>5.4062711552322202</v>
      </c>
      <c r="CI88">
        <v>10230.827534161454</v>
      </c>
      <c r="CJ88">
        <v>5.3632943055263667</v>
      </c>
      <c r="CK88">
        <v>10149.498143778095</v>
      </c>
      <c r="CL88">
        <v>5.2738762384217894</v>
      </c>
      <c r="CM88">
        <v>9980.2833935893941</v>
      </c>
      <c r="CN88">
        <v>8</v>
      </c>
      <c r="CO88">
        <v>15139.199999999999</v>
      </c>
      <c r="CP88">
        <v>6</v>
      </c>
      <c r="CQ88">
        <v>11354.4</v>
      </c>
      <c r="CR88">
        <v>8.3455481849522926</v>
      </c>
      <c r="CS88">
        <v>15793.115385203717</v>
      </c>
      <c r="CT88">
        <v>9.1914478921257352</v>
      </c>
      <c r="CU88">
        <v>17393.89599105874</v>
      </c>
    </row>
    <row r="89" spans="2:99" x14ac:dyDescent="0.2">
      <c r="C89" s="105" t="s">
        <v>255</v>
      </c>
      <c r="D89">
        <v>5</v>
      </c>
      <c r="E89">
        <v>11988</v>
      </c>
      <c r="F89">
        <v>6</v>
      </c>
      <c r="G89">
        <v>14385.599999999999</v>
      </c>
      <c r="H89">
        <v>5</v>
      </c>
      <c r="I89">
        <v>11988</v>
      </c>
      <c r="J89">
        <v>7</v>
      </c>
      <c r="K89">
        <v>16783.2</v>
      </c>
      <c r="L89">
        <v>5</v>
      </c>
      <c r="M89">
        <v>11988</v>
      </c>
      <c r="N89">
        <v>5.296005208869552</v>
      </c>
      <c r="O89">
        <v>12697.702088785638</v>
      </c>
      <c r="P89">
        <v>7</v>
      </c>
      <c r="Q89">
        <v>16783.2</v>
      </c>
      <c r="R89">
        <v>6.3407166502607861</v>
      </c>
      <c r="S89">
        <v>15202.502240665261</v>
      </c>
      <c r="T89">
        <v>20</v>
      </c>
      <c r="U89">
        <v>47952</v>
      </c>
      <c r="V89">
        <v>34</v>
      </c>
      <c r="W89">
        <v>81518.399999999994</v>
      </c>
      <c r="X89">
        <v>27</v>
      </c>
      <c r="Y89">
        <v>64735.199999999997</v>
      </c>
      <c r="Z89">
        <v>24</v>
      </c>
      <c r="AA89">
        <v>57542.399999999994</v>
      </c>
      <c r="AB89">
        <v>5</v>
      </c>
      <c r="AC89">
        <v>11988</v>
      </c>
      <c r="AD89">
        <v>8</v>
      </c>
      <c r="AE89">
        <v>19180.8</v>
      </c>
      <c r="AF89">
        <v>9</v>
      </c>
      <c r="AG89">
        <v>21578.399999999998</v>
      </c>
      <c r="AH89">
        <v>10</v>
      </c>
      <c r="AI89">
        <v>23976</v>
      </c>
      <c r="AJ89">
        <v>20.48734302609618</v>
      </c>
      <c r="AK89">
        <v>49120.453639368199</v>
      </c>
      <c r="AL89">
        <v>19.783219200944362</v>
      </c>
      <c r="AM89">
        <v>47432.246356184201</v>
      </c>
      <c r="AN89">
        <v>13.606680707837519</v>
      </c>
      <c r="AO89">
        <v>32623.377665111235</v>
      </c>
      <c r="AP89">
        <v>10.984462454561843</v>
      </c>
      <c r="AQ89">
        <v>26336.347181057474</v>
      </c>
      <c r="AR89">
        <v>35.609702429321466</v>
      </c>
      <c r="AS89">
        <v>85377.822544541137</v>
      </c>
      <c r="AT89">
        <v>45</v>
      </c>
      <c r="AU89">
        <v>107892</v>
      </c>
      <c r="AV89">
        <v>44</v>
      </c>
      <c r="AW89">
        <v>105494.39999999999</v>
      </c>
      <c r="AX89">
        <v>29</v>
      </c>
      <c r="AY89">
        <v>69530.399999999994</v>
      </c>
      <c r="AZ89">
        <v>5.8926707602382979</v>
      </c>
      <c r="BA89">
        <v>14128.267414747343</v>
      </c>
      <c r="BB89">
        <v>5.8939068112926218</v>
      </c>
      <c r="BC89">
        <v>14131.23097075519</v>
      </c>
      <c r="BD89">
        <v>7.7838840187143292</v>
      </c>
      <c r="BE89">
        <v>18662.640323269476</v>
      </c>
      <c r="BF89">
        <v>6.8887798617048812</v>
      </c>
      <c r="BG89">
        <v>16516.538596423623</v>
      </c>
      <c r="BH89">
        <v>21.215394739746156</v>
      </c>
      <c r="BI89">
        <v>50866.03042801538</v>
      </c>
      <c r="BJ89">
        <v>19.2352662014268</v>
      </c>
      <c r="BK89">
        <v>46118.474244540892</v>
      </c>
      <c r="BL89">
        <v>17.135696908398586</v>
      </c>
      <c r="BM89">
        <v>41084.546907576449</v>
      </c>
      <c r="BN89">
        <v>19</v>
      </c>
      <c r="BO89">
        <v>45554.400000000001</v>
      </c>
      <c r="BP89">
        <v>7.4818466857004466</v>
      </c>
      <c r="BQ89">
        <v>17938.47561363539</v>
      </c>
      <c r="BR89">
        <v>7.2252562824157662</v>
      </c>
      <c r="BS89">
        <v>17323.274462720041</v>
      </c>
      <c r="BT89">
        <v>7.2415156235422673</v>
      </c>
      <c r="BU89">
        <v>17362.257859004938</v>
      </c>
      <c r="BV89">
        <v>6.2799555156751179</v>
      </c>
      <c r="BW89">
        <v>15056.821344382663</v>
      </c>
      <c r="BX89">
        <v>10.386062269346025</v>
      </c>
      <c r="BY89">
        <v>24901.62289698403</v>
      </c>
      <c r="BZ89">
        <v>10.475422795361041</v>
      </c>
      <c r="CA89">
        <v>25115.873694157632</v>
      </c>
      <c r="CB89">
        <v>5.3476304266137973</v>
      </c>
      <c r="CC89">
        <v>12821.47871084924</v>
      </c>
      <c r="CD89">
        <v>7.3268675831730157</v>
      </c>
      <c r="CE89">
        <v>17566.897717415621</v>
      </c>
      <c r="CF89">
        <v>5.2928986090517895</v>
      </c>
      <c r="CG89">
        <v>12690.253705062571</v>
      </c>
      <c r="CH89">
        <v>5.4062711552322202</v>
      </c>
      <c r="CI89">
        <v>12962.075721784771</v>
      </c>
      <c r="CJ89">
        <v>4.3373447122744828</v>
      </c>
      <c r="CK89">
        <v>10399.217682149299</v>
      </c>
      <c r="CL89">
        <v>6.2191009907374317</v>
      </c>
      <c r="CM89">
        <v>14910.916535392065</v>
      </c>
      <c r="CN89">
        <v>8</v>
      </c>
      <c r="CO89">
        <v>19180.8</v>
      </c>
      <c r="CP89">
        <v>6</v>
      </c>
      <c r="CQ89">
        <v>14385.599999999999</v>
      </c>
      <c r="CR89">
        <v>9.2974928926325671</v>
      </c>
      <c r="CS89">
        <v>22291.668959375842</v>
      </c>
      <c r="CT89">
        <v>9.1914478921257352</v>
      </c>
      <c r="CU89">
        <v>22037.415466160663</v>
      </c>
    </row>
    <row r="90" spans="2:99" x14ac:dyDescent="0.2">
      <c r="C90" s="105" t="s">
        <v>256</v>
      </c>
      <c r="D90">
        <v>6</v>
      </c>
      <c r="E90">
        <v>13183.199999999999</v>
      </c>
      <c r="F90">
        <v>6</v>
      </c>
      <c r="G90">
        <v>13183.199999999999</v>
      </c>
      <c r="H90">
        <v>5</v>
      </c>
      <c r="I90">
        <v>10986</v>
      </c>
      <c r="J90">
        <v>7</v>
      </c>
      <c r="K90">
        <v>15380.399999999998</v>
      </c>
      <c r="L90">
        <v>5</v>
      </c>
      <c r="M90">
        <v>10986</v>
      </c>
      <c r="N90">
        <v>6.296005208869552</v>
      </c>
      <c r="O90">
        <v>13833.582644928178</v>
      </c>
      <c r="P90">
        <v>7</v>
      </c>
      <c r="Q90">
        <v>15380.399999999998</v>
      </c>
      <c r="R90">
        <v>7.3407166502607861</v>
      </c>
      <c r="S90">
        <v>16129.022623952998</v>
      </c>
      <c r="T90">
        <v>23</v>
      </c>
      <c r="U90">
        <v>50535.6</v>
      </c>
      <c r="V90">
        <v>38</v>
      </c>
      <c r="W90">
        <v>83493.599999999991</v>
      </c>
      <c r="X90">
        <v>28</v>
      </c>
      <c r="Y90">
        <v>61521.599999999991</v>
      </c>
      <c r="Z90">
        <v>27</v>
      </c>
      <c r="AA90">
        <v>59324.399999999994</v>
      </c>
      <c r="AB90">
        <v>6</v>
      </c>
      <c r="AC90">
        <v>13183.199999999999</v>
      </c>
      <c r="AD90">
        <v>8</v>
      </c>
      <c r="AE90">
        <v>17577.599999999999</v>
      </c>
      <c r="AF90">
        <v>10</v>
      </c>
      <c r="AG90">
        <v>21972</v>
      </c>
      <c r="AH90">
        <v>11</v>
      </c>
      <c r="AI90">
        <v>24169.199999999997</v>
      </c>
      <c r="AJ90">
        <v>21.526330468183872</v>
      </c>
      <c r="AK90">
        <v>47297.653304693602</v>
      </c>
      <c r="AL90">
        <v>18.820515353370286</v>
      </c>
      <c r="AM90">
        <v>41352.436334425191</v>
      </c>
      <c r="AN90">
        <v>13.626251053251632</v>
      </c>
      <c r="AO90">
        <v>29939.598814204484</v>
      </c>
      <c r="AP90">
        <v>11.056496292700514</v>
      </c>
      <c r="AQ90">
        <v>24293.333654321566</v>
      </c>
      <c r="AR90">
        <v>39.609702429321466</v>
      </c>
      <c r="AS90">
        <v>87030.438177705117</v>
      </c>
      <c r="AT90">
        <v>53</v>
      </c>
      <c r="AU90">
        <v>116451.59999999999</v>
      </c>
      <c r="AV90">
        <v>42</v>
      </c>
      <c r="AW90">
        <v>92282.4</v>
      </c>
      <c r="AX90">
        <v>26.507344180878356</v>
      </c>
      <c r="AY90">
        <v>58241.936634225916</v>
      </c>
      <c r="AZ90">
        <v>6.8456880886468081</v>
      </c>
      <c r="BA90">
        <v>15041.345868374765</v>
      </c>
      <c r="BB90">
        <v>5.8939068112926218</v>
      </c>
      <c r="BC90">
        <v>12950.092045772148</v>
      </c>
      <c r="BD90">
        <v>6.6858985163750377</v>
      </c>
      <c r="BE90">
        <v>14690.256220179232</v>
      </c>
      <c r="BF90">
        <v>6.8887798617048812</v>
      </c>
      <c r="BG90">
        <v>15136.027112137965</v>
      </c>
      <c r="BH90">
        <v>20.195813399769236</v>
      </c>
      <c r="BI90">
        <v>44374.24120197296</v>
      </c>
      <c r="BJ90">
        <v>17.2352662014268</v>
      </c>
      <c r="BK90">
        <v>37869.326897774961</v>
      </c>
      <c r="BL90">
        <v>19.135696908398586</v>
      </c>
      <c r="BM90">
        <v>42044.953247133366</v>
      </c>
      <c r="BN90">
        <v>20</v>
      </c>
      <c r="BO90">
        <v>43944</v>
      </c>
      <c r="BP90">
        <v>8.4818466857004466</v>
      </c>
      <c r="BQ90">
        <v>18636.313537821021</v>
      </c>
      <c r="BR90">
        <v>7.2047784385597877</v>
      </c>
      <c r="BS90">
        <v>15830.339185203564</v>
      </c>
      <c r="BT90">
        <v>7.2415156235422673</v>
      </c>
      <c r="BU90">
        <v>15911.058128047069</v>
      </c>
      <c r="BV90">
        <v>6.2599586931268956</v>
      </c>
      <c r="BW90">
        <v>13754.381240538414</v>
      </c>
      <c r="BX90">
        <v>10.337804485677772</v>
      </c>
      <c r="BY90">
        <v>22714.224015931199</v>
      </c>
      <c r="BZ90">
        <v>10.475422795361041</v>
      </c>
      <c r="CA90">
        <v>23016.598965967278</v>
      </c>
      <c r="CB90">
        <v>6.3476304266137973</v>
      </c>
      <c r="CC90">
        <v>13947.013573355835</v>
      </c>
      <c r="CD90">
        <v>7.4202583212224491</v>
      </c>
      <c r="CE90">
        <v>16303.791583389964</v>
      </c>
      <c r="CF90">
        <v>4.2636087481466109</v>
      </c>
      <c r="CG90">
        <v>9368.0011414277324</v>
      </c>
      <c r="CH90">
        <v>5.3554872608281929</v>
      </c>
      <c r="CI90">
        <v>11767.076609491705</v>
      </c>
      <c r="CJ90">
        <v>5.3113951190225999</v>
      </c>
      <c r="CK90">
        <v>11670.197355516455</v>
      </c>
      <c r="CL90">
        <v>5.2464886145796106</v>
      </c>
      <c r="CM90">
        <v>11527.58478395432</v>
      </c>
      <c r="CN90">
        <v>9</v>
      </c>
      <c r="CO90">
        <v>19774.8</v>
      </c>
      <c r="CP90">
        <v>5</v>
      </c>
      <c r="CQ90">
        <v>10986</v>
      </c>
      <c r="CR90">
        <v>9.3215205387924289</v>
      </c>
      <c r="CS90">
        <v>20481.244927834723</v>
      </c>
      <c r="CT90">
        <v>9.3155570475554992</v>
      </c>
      <c r="CU90">
        <v>20468.141944888943</v>
      </c>
    </row>
    <row r="91" spans="2:99" x14ac:dyDescent="0.2">
      <c r="C91" s="105" t="s">
        <v>257</v>
      </c>
      <c r="D91">
        <v>5</v>
      </c>
      <c r="E91">
        <v>11483.999999999998</v>
      </c>
      <c r="F91">
        <v>6</v>
      </c>
      <c r="G91">
        <v>13780.8</v>
      </c>
      <c r="H91">
        <v>5</v>
      </c>
      <c r="I91">
        <v>11483.999999999998</v>
      </c>
      <c r="J91">
        <v>7</v>
      </c>
      <c r="K91">
        <v>16077.599999999999</v>
      </c>
      <c r="L91">
        <v>5</v>
      </c>
      <c r="M91">
        <v>11483.999999999998</v>
      </c>
      <c r="N91">
        <v>6.296005208869552</v>
      </c>
      <c r="O91">
        <v>14460.664763731585</v>
      </c>
      <c r="P91">
        <v>7</v>
      </c>
      <c r="Q91">
        <v>16077.599999999999</v>
      </c>
      <c r="R91">
        <v>7.2920428430806741</v>
      </c>
      <c r="S91">
        <v>16748.364001987691</v>
      </c>
      <c r="T91">
        <v>21</v>
      </c>
      <c r="U91">
        <v>48232.799999999996</v>
      </c>
      <c r="V91">
        <v>33</v>
      </c>
      <c r="W91">
        <v>75794.399999999994</v>
      </c>
      <c r="X91">
        <v>30</v>
      </c>
      <c r="Y91">
        <v>68903.999999999985</v>
      </c>
      <c r="Z91">
        <v>24</v>
      </c>
      <c r="AA91">
        <v>55123.199999999997</v>
      </c>
      <c r="AB91">
        <v>5</v>
      </c>
      <c r="AC91">
        <v>11483.999999999998</v>
      </c>
      <c r="AD91">
        <v>8</v>
      </c>
      <c r="AE91">
        <v>18374.399999999998</v>
      </c>
      <c r="AF91">
        <v>10</v>
      </c>
      <c r="AG91">
        <v>22967.999999999996</v>
      </c>
      <c r="AH91">
        <v>10</v>
      </c>
      <c r="AI91">
        <v>22967.999999999996</v>
      </c>
      <c r="AJ91">
        <v>19.526330468183872</v>
      </c>
      <c r="AK91">
        <v>44848.075819324709</v>
      </c>
      <c r="AL91">
        <v>18.820515353370286</v>
      </c>
      <c r="AM91">
        <v>43226.959663620866</v>
      </c>
      <c r="AN91">
        <v>11.626251053251632</v>
      </c>
      <c r="AO91">
        <v>26703.173419108345</v>
      </c>
      <c r="AP91">
        <v>10.960451175182286</v>
      </c>
      <c r="AQ91">
        <v>25173.964259158671</v>
      </c>
      <c r="AR91">
        <v>36.609702429321466</v>
      </c>
      <c r="AS91">
        <v>84085.164539665537</v>
      </c>
      <c r="AT91">
        <v>48</v>
      </c>
      <c r="AU91">
        <v>110246.39999999999</v>
      </c>
      <c r="AV91">
        <v>44</v>
      </c>
      <c r="AW91">
        <v>101059.19999999998</v>
      </c>
      <c r="AX91">
        <v>28</v>
      </c>
      <c r="AY91">
        <v>64310.399999999994</v>
      </c>
      <c r="AZ91">
        <v>6.8456880886468081</v>
      </c>
      <c r="BA91">
        <v>15723.176402003986</v>
      </c>
      <c r="BB91">
        <v>5.8442453217763646</v>
      </c>
      <c r="BC91">
        <v>13423.062655055952</v>
      </c>
      <c r="BD91">
        <v>6.6858985163750377</v>
      </c>
      <c r="BE91">
        <v>15356.171712410185</v>
      </c>
      <c r="BF91">
        <v>6.8887798617048812</v>
      </c>
      <c r="BG91">
        <v>15822.14958636377</v>
      </c>
      <c r="BH91">
        <v>19.234976079723079</v>
      </c>
      <c r="BI91">
        <v>44178.893059907961</v>
      </c>
      <c r="BJ91">
        <v>19.2352662014268</v>
      </c>
      <c r="BK91">
        <v>44179.559411437069</v>
      </c>
      <c r="BL91">
        <v>17.155082181026959</v>
      </c>
      <c r="BM91">
        <v>39401.792753382717</v>
      </c>
      <c r="BN91">
        <v>20</v>
      </c>
      <c r="BO91">
        <v>45935.999999999993</v>
      </c>
      <c r="BP91">
        <v>8.4818466857004466</v>
      </c>
      <c r="BQ91">
        <v>19481.105467716785</v>
      </c>
      <c r="BR91">
        <v>7.2047784385597877</v>
      </c>
      <c r="BS91">
        <v>16547.935117684119</v>
      </c>
      <c r="BT91">
        <v>7.2634715893188364</v>
      </c>
      <c r="BU91">
        <v>16682.741546347501</v>
      </c>
      <c r="BV91">
        <v>6.2599586931268956</v>
      </c>
      <c r="BW91">
        <v>14377.873126373852</v>
      </c>
      <c r="BX91">
        <v>10.386062269346025</v>
      </c>
      <c r="BY91">
        <v>23854.707820233947</v>
      </c>
      <c r="BZ91">
        <v>10.475422795361041</v>
      </c>
      <c r="CA91">
        <v>24059.951076385238</v>
      </c>
      <c r="CB91">
        <v>6.2979689370975409</v>
      </c>
      <c r="CC91">
        <v>14465.175054725631</v>
      </c>
      <c r="CD91">
        <v>6.3735629521977328</v>
      </c>
      <c r="CE91">
        <v>14638.799388607751</v>
      </c>
      <c r="CF91">
        <v>4.2928986090517895</v>
      </c>
      <c r="CG91">
        <v>9859.9295252701486</v>
      </c>
      <c r="CH91">
        <v>6.3808792080302066</v>
      </c>
      <c r="CI91">
        <v>14655.603365003777</v>
      </c>
      <c r="CJ91">
        <v>4.3632943055263667</v>
      </c>
      <c r="CK91">
        <v>10021.614360932957</v>
      </c>
      <c r="CL91">
        <v>6.2464886145796106</v>
      </c>
      <c r="CM91">
        <v>14346.935049966447</v>
      </c>
      <c r="CN91">
        <v>8</v>
      </c>
      <c r="CO91">
        <v>18374.399999999998</v>
      </c>
      <c r="CP91">
        <v>5</v>
      </c>
      <c r="CQ91">
        <v>11483.999999999998</v>
      </c>
      <c r="CR91">
        <v>9.3215205387924289</v>
      </c>
      <c r="CS91">
        <v>21409.668373498447</v>
      </c>
      <c r="CT91">
        <v>8.290735216469546</v>
      </c>
      <c r="CU91">
        <v>19042.16064518725</v>
      </c>
    </row>
    <row r="92" spans="2:99" x14ac:dyDescent="0.2">
      <c r="C92" s="105" t="s">
        <v>258</v>
      </c>
      <c r="D92">
        <v>5</v>
      </c>
      <c r="E92">
        <v>7104</v>
      </c>
      <c r="F92">
        <v>7</v>
      </c>
      <c r="G92">
        <v>9945.6</v>
      </c>
      <c r="H92">
        <v>5</v>
      </c>
      <c r="I92">
        <v>7104</v>
      </c>
      <c r="J92">
        <v>8</v>
      </c>
      <c r="K92">
        <v>11366.4</v>
      </c>
      <c r="L92">
        <v>5</v>
      </c>
      <c r="M92">
        <v>7104</v>
      </c>
      <c r="N92">
        <v>6.296005208869552</v>
      </c>
      <c r="O92">
        <v>8945.3642007618582</v>
      </c>
      <c r="P92">
        <v>8</v>
      </c>
      <c r="Q92">
        <v>11366.4</v>
      </c>
      <c r="R92">
        <v>7.3407166502607861</v>
      </c>
      <c r="S92">
        <v>10429.690216690524</v>
      </c>
      <c r="T92">
        <v>24</v>
      </c>
      <c r="U92">
        <v>34099.199999999997</v>
      </c>
      <c r="V92">
        <v>44</v>
      </c>
      <c r="W92">
        <v>62515.199999999997</v>
      </c>
      <c r="X92">
        <v>35</v>
      </c>
      <c r="Y92">
        <v>49728</v>
      </c>
      <c r="Z92">
        <v>27</v>
      </c>
      <c r="AA92">
        <v>38361.599999999999</v>
      </c>
      <c r="AB92">
        <v>6</v>
      </c>
      <c r="AC92">
        <v>8524.7999999999993</v>
      </c>
      <c r="AD92">
        <v>8</v>
      </c>
      <c r="AE92">
        <v>11366.4</v>
      </c>
      <c r="AF92">
        <v>11</v>
      </c>
      <c r="AG92">
        <v>15628.8</v>
      </c>
      <c r="AH92">
        <v>10</v>
      </c>
      <c r="AI92">
        <v>14208</v>
      </c>
      <c r="AJ92">
        <v>22.565317910271567</v>
      </c>
      <c r="AK92">
        <v>32060.803686913841</v>
      </c>
      <c r="AL92">
        <v>20.988348039286933</v>
      </c>
      <c r="AM92">
        <v>29820.244894218875</v>
      </c>
      <c r="AN92">
        <v>14.743673125736315</v>
      </c>
      <c r="AO92">
        <v>20947.810777046154</v>
      </c>
      <c r="AP92">
        <v>14.200563968977857</v>
      </c>
      <c r="AQ92">
        <v>20176.161287123738</v>
      </c>
      <c r="AR92">
        <v>48.647808831154059</v>
      </c>
      <c r="AS92">
        <v>69118.806787303678</v>
      </c>
      <c r="AT92">
        <v>54</v>
      </c>
      <c r="AU92">
        <v>76723.199999999997</v>
      </c>
      <c r="AV92">
        <v>49</v>
      </c>
      <c r="AW92">
        <v>69619.199999999997</v>
      </c>
      <c r="AX92">
        <v>31</v>
      </c>
      <c r="AY92">
        <v>44044.799999999996</v>
      </c>
      <c r="AZ92">
        <v>6.9866361034212767</v>
      </c>
      <c r="BA92">
        <v>9926.61257574095</v>
      </c>
      <c r="BB92">
        <v>6.9932297903251355</v>
      </c>
      <c r="BC92">
        <v>9935.980886093952</v>
      </c>
      <c r="BD92">
        <v>7.8328767698839741</v>
      </c>
      <c r="BE92">
        <v>11128.951314651151</v>
      </c>
      <c r="BF92">
        <v>7.8420019742467293</v>
      </c>
      <c r="BG92">
        <v>11141.916405009753</v>
      </c>
      <c r="BH92">
        <v>20.234976079723079</v>
      </c>
      <c r="BI92">
        <v>28749.854014070552</v>
      </c>
      <c r="BJ92">
        <v>21.26140689047422</v>
      </c>
      <c r="BK92">
        <v>30208.206909985769</v>
      </c>
      <c r="BL92">
        <v>22.174467453655328</v>
      </c>
      <c r="BM92">
        <v>31505.483358153491</v>
      </c>
      <c r="BN92">
        <v>23</v>
      </c>
      <c r="BO92">
        <v>32678.399999999998</v>
      </c>
      <c r="BP92">
        <v>9.4818466857004466</v>
      </c>
      <c r="BQ92">
        <v>13471.807771043193</v>
      </c>
      <c r="BR92">
        <v>8.2252562824157671</v>
      </c>
      <c r="BS92">
        <v>11686.444126056322</v>
      </c>
      <c r="BT92">
        <v>7.2415156235422673</v>
      </c>
      <c r="BU92">
        <v>10288.745397928853</v>
      </c>
      <c r="BV92">
        <v>7.2799555156751179</v>
      </c>
      <c r="BW92">
        <v>10343.360796671208</v>
      </c>
      <c r="BX92">
        <v>11.337804485677772</v>
      </c>
      <c r="BY92">
        <v>16108.752613250977</v>
      </c>
      <c r="BZ92">
        <v>11</v>
      </c>
      <c r="CA92">
        <v>15628.8</v>
      </c>
      <c r="CB92">
        <v>6.3476304266137973</v>
      </c>
      <c r="CC92">
        <v>9018.7133101328836</v>
      </c>
      <c r="CD92">
        <v>7.3735629521977328</v>
      </c>
      <c r="CE92">
        <v>10476.358242482538</v>
      </c>
      <c r="CF92">
        <v>5.322188469956969</v>
      </c>
      <c r="CG92">
        <v>7561.7653781148611</v>
      </c>
      <c r="CH92">
        <v>6.3808792080302066</v>
      </c>
      <c r="CI92">
        <v>9065.9531787693177</v>
      </c>
      <c r="CJ92">
        <v>5.3632943055263667</v>
      </c>
      <c r="CK92">
        <v>7620.1685492918614</v>
      </c>
      <c r="CL92">
        <v>5.2738762384217894</v>
      </c>
      <c r="CM92">
        <v>7493.1233595496778</v>
      </c>
      <c r="CN92">
        <v>9</v>
      </c>
      <c r="CO92">
        <v>12787.199999999999</v>
      </c>
      <c r="CP92">
        <v>6</v>
      </c>
      <c r="CQ92">
        <v>8524.7999999999993</v>
      </c>
      <c r="CR92">
        <v>9.4656864157516036</v>
      </c>
      <c r="CS92">
        <v>13448.847259499878</v>
      </c>
      <c r="CT92">
        <v>10.41484437189931</v>
      </c>
      <c r="CU92">
        <v>14797.410883594539</v>
      </c>
    </row>
    <row r="93" spans="2:99" x14ac:dyDescent="0.2">
      <c r="C93" s="105" t="s">
        <v>259</v>
      </c>
      <c r="D93">
        <v>6</v>
      </c>
      <c r="E93">
        <v>10634.4</v>
      </c>
      <c r="F93">
        <v>6</v>
      </c>
      <c r="G93">
        <v>10634.4</v>
      </c>
      <c r="H93">
        <v>4</v>
      </c>
      <c r="I93">
        <v>7089.5999999999995</v>
      </c>
      <c r="J93">
        <v>7</v>
      </c>
      <c r="K93">
        <v>12406.8</v>
      </c>
      <c r="L93">
        <v>5</v>
      </c>
      <c r="M93">
        <v>8862</v>
      </c>
      <c r="N93">
        <v>6.296005208869552</v>
      </c>
      <c r="O93">
        <v>11159.039632200393</v>
      </c>
      <c r="P93">
        <v>7</v>
      </c>
      <c r="Q93">
        <v>12406.8</v>
      </c>
      <c r="R93">
        <v>7.3407166502607861</v>
      </c>
      <c r="S93">
        <v>13010.686190922217</v>
      </c>
      <c r="T93">
        <v>25</v>
      </c>
      <c r="U93">
        <v>44310</v>
      </c>
      <c r="V93">
        <v>37</v>
      </c>
      <c r="W93">
        <v>65578.799999999988</v>
      </c>
      <c r="X93">
        <v>33</v>
      </c>
      <c r="Y93">
        <v>58489.2</v>
      </c>
      <c r="Z93">
        <v>31</v>
      </c>
      <c r="AA93">
        <v>54944.399999999994</v>
      </c>
      <c r="AB93">
        <v>6</v>
      </c>
      <c r="AC93">
        <v>10634.4</v>
      </c>
      <c r="AD93">
        <v>8</v>
      </c>
      <c r="AE93">
        <v>14179.199999999999</v>
      </c>
      <c r="AF93">
        <v>10</v>
      </c>
      <c r="AG93">
        <v>17724</v>
      </c>
      <c r="AH93">
        <v>10</v>
      </c>
      <c r="AI93">
        <v>17724</v>
      </c>
      <c r="AJ93">
        <v>20.584811631315414</v>
      </c>
      <c r="AK93">
        <v>36484.520135343439</v>
      </c>
      <c r="AL93">
        <v>19.820515353370286</v>
      </c>
      <c r="AM93">
        <v>35129.881412313494</v>
      </c>
      <c r="AN93">
        <v>12.66539174407986</v>
      </c>
      <c r="AO93">
        <v>22448.140327207144</v>
      </c>
      <c r="AP93">
        <v>13.104518851459629</v>
      </c>
      <c r="AQ93">
        <v>23226.449212327043</v>
      </c>
      <c r="AR93">
        <v>40.685915232986652</v>
      </c>
      <c r="AS93">
        <v>72111.716158945535</v>
      </c>
      <c r="AT93">
        <v>49</v>
      </c>
      <c r="AU93">
        <v>86847.599999999991</v>
      </c>
      <c r="AV93">
        <v>45</v>
      </c>
      <c r="AW93">
        <v>79758</v>
      </c>
      <c r="AX93">
        <v>28.543583050941095</v>
      </c>
      <c r="AY93">
        <v>50590.646599487991</v>
      </c>
      <c r="AZ93">
        <v>7.0336187750127657</v>
      </c>
      <c r="BA93">
        <v>12466.385916832625</v>
      </c>
      <c r="BB93">
        <v>5.8939068112926218</v>
      </c>
      <c r="BC93">
        <v>10446.360432335043</v>
      </c>
      <c r="BD93">
        <v>7.6858985163750377</v>
      </c>
      <c r="BE93">
        <v>13622.486530423115</v>
      </c>
      <c r="BF93">
        <v>6.8420019742467293</v>
      </c>
      <c r="BG93">
        <v>12126.764299154902</v>
      </c>
      <c r="BH93">
        <v>21.215394739746156</v>
      </c>
      <c r="BI93">
        <v>37602.16563672608</v>
      </c>
      <c r="BJ93">
        <v>21.2352662014268</v>
      </c>
      <c r="BK93">
        <v>37637.385815408859</v>
      </c>
      <c r="BL93">
        <v>20.155082181026959</v>
      </c>
      <c r="BM93">
        <v>35722.867657652176</v>
      </c>
      <c r="BN93">
        <v>23</v>
      </c>
      <c r="BO93">
        <v>40765.199999999997</v>
      </c>
      <c r="BP93">
        <v>8.5189118153697123</v>
      </c>
      <c r="BQ93">
        <v>15098.919301561276</v>
      </c>
      <c r="BR93">
        <v>8.2252562824157671</v>
      </c>
      <c r="BS93">
        <v>14578.444234953704</v>
      </c>
      <c r="BT93">
        <v>6.2854275550954064</v>
      </c>
      <c r="BU93">
        <v>11140.291798651098</v>
      </c>
      <c r="BV93">
        <v>6.2599586931268956</v>
      </c>
      <c r="BW93">
        <v>11095.150787698109</v>
      </c>
      <c r="BX93">
        <v>12.337804485677772</v>
      </c>
      <c r="BY93">
        <v>21867.524670415281</v>
      </c>
      <c r="BZ93">
        <v>11</v>
      </c>
      <c r="CA93">
        <v>19496.399999999998</v>
      </c>
      <c r="CB93">
        <v>6.2979689370975409</v>
      </c>
      <c r="CC93">
        <v>11162.520144111681</v>
      </c>
      <c r="CD93">
        <v>6.3735629521977328</v>
      </c>
      <c r="CE93">
        <v>11296.502976475262</v>
      </c>
      <c r="CF93">
        <v>5.2636087481466109</v>
      </c>
      <c r="CG93">
        <v>9329.220145215053</v>
      </c>
      <c r="CH93">
        <v>5.4062711552322202</v>
      </c>
      <c r="CI93">
        <v>9582.0749955335868</v>
      </c>
      <c r="CJ93">
        <v>5.3632943055263667</v>
      </c>
      <c r="CK93">
        <v>9505.9028271149309</v>
      </c>
      <c r="CL93">
        <v>5.2738762384217894</v>
      </c>
      <c r="CM93">
        <v>9347.4182449787786</v>
      </c>
      <c r="CN93">
        <v>10</v>
      </c>
      <c r="CO93">
        <v>17724</v>
      </c>
      <c r="CP93">
        <v>5</v>
      </c>
      <c r="CQ93">
        <v>8862</v>
      </c>
      <c r="CR93">
        <v>9.2494376003128416</v>
      </c>
      <c r="CS93">
        <v>16393.703202794481</v>
      </c>
      <c r="CT93">
        <v>8.3900225408133569</v>
      </c>
      <c r="CU93">
        <v>14870.475951337592</v>
      </c>
    </row>
    <row r="94" spans="2:99" x14ac:dyDescent="0.2">
      <c r="C94" s="105" t="s">
        <v>260</v>
      </c>
      <c r="D94">
        <v>5</v>
      </c>
      <c r="E94">
        <v>11976</v>
      </c>
      <c r="F94">
        <v>6</v>
      </c>
      <c r="G94">
        <v>14371.199999999999</v>
      </c>
      <c r="H94">
        <v>5</v>
      </c>
      <c r="I94">
        <v>11976</v>
      </c>
      <c r="J94">
        <v>7</v>
      </c>
      <c r="K94">
        <v>16766.399999999998</v>
      </c>
      <c r="L94">
        <v>5</v>
      </c>
      <c r="M94">
        <v>11976</v>
      </c>
      <c r="N94">
        <v>6.296005208869552</v>
      </c>
      <c r="O94">
        <v>15080.19167628435</v>
      </c>
      <c r="P94">
        <v>8</v>
      </c>
      <c r="Q94">
        <v>19161.599999999999</v>
      </c>
      <c r="R94">
        <v>6.3407166502607861</v>
      </c>
      <c r="S94">
        <v>15187.284520704634</v>
      </c>
      <c r="T94">
        <v>24</v>
      </c>
      <c r="U94">
        <v>57484.799999999996</v>
      </c>
      <c r="V94">
        <v>37</v>
      </c>
      <c r="W94">
        <v>88622.399999999994</v>
      </c>
      <c r="X94">
        <v>28</v>
      </c>
      <c r="Y94">
        <v>67065.599999999991</v>
      </c>
      <c r="Z94">
        <v>27</v>
      </c>
      <c r="AA94">
        <v>64670.399999999994</v>
      </c>
      <c r="AB94">
        <v>6</v>
      </c>
      <c r="AC94">
        <v>14371.199999999999</v>
      </c>
      <c r="AD94">
        <v>7</v>
      </c>
      <c r="AE94">
        <v>16766.399999999998</v>
      </c>
      <c r="AF94">
        <v>10</v>
      </c>
      <c r="AG94">
        <v>23952</v>
      </c>
      <c r="AH94">
        <v>11</v>
      </c>
      <c r="AI94">
        <v>26347.199999999997</v>
      </c>
      <c r="AJ94">
        <v>20.506836747140024</v>
      </c>
      <c r="AK94">
        <v>49117.975376749782</v>
      </c>
      <c r="AL94">
        <v>17.801867277157324</v>
      </c>
      <c r="AM94">
        <v>42639.032502247217</v>
      </c>
      <c r="AN94">
        <v>13.587110362423406</v>
      </c>
      <c r="AO94">
        <v>32543.84674007654</v>
      </c>
      <c r="AP94">
        <v>12.032485013320958</v>
      </c>
      <c r="AQ94">
        <v>28820.208103906356</v>
      </c>
      <c r="AR94">
        <v>40.647808831154059</v>
      </c>
      <c r="AS94">
        <v>97359.6317123802</v>
      </c>
      <c r="AT94">
        <v>50</v>
      </c>
      <c r="AU94">
        <v>119759.99999999999</v>
      </c>
      <c r="AV94">
        <v>38</v>
      </c>
      <c r="AW94">
        <v>91017.599999999991</v>
      </c>
      <c r="AX94">
        <v>29</v>
      </c>
      <c r="AY94">
        <v>69460.799999999988</v>
      </c>
      <c r="AZ94">
        <v>5</v>
      </c>
      <c r="BA94">
        <v>11976</v>
      </c>
      <c r="BB94">
        <v>5.8442453217763646</v>
      </c>
      <c r="BC94">
        <v>13998.136394718747</v>
      </c>
      <c r="BD94">
        <v>6.7838840187143292</v>
      </c>
      <c r="BE94">
        <v>16248.759001624559</v>
      </c>
      <c r="BF94">
        <v>6.8887798617048812</v>
      </c>
      <c r="BG94">
        <v>16500.005524755532</v>
      </c>
      <c r="BH94">
        <v>21.215394739746156</v>
      </c>
      <c r="BI94">
        <v>50815.113480639986</v>
      </c>
      <c r="BJ94">
        <v>20.26140689047422</v>
      </c>
      <c r="BK94">
        <v>48530.121784063849</v>
      </c>
      <c r="BL94">
        <v>18.155082181026959</v>
      </c>
      <c r="BM94">
        <v>43485.052839995769</v>
      </c>
      <c r="BN94">
        <v>19</v>
      </c>
      <c r="BO94">
        <v>45508.799999999996</v>
      </c>
      <c r="BP94">
        <v>8.4077164263619171</v>
      </c>
      <c r="BQ94">
        <v>20138.162384422063</v>
      </c>
      <c r="BR94">
        <v>6.2047784385597877</v>
      </c>
      <c r="BS94">
        <v>14861.685316038402</v>
      </c>
      <c r="BT94">
        <v>7.2195596577656973</v>
      </c>
      <c r="BU94">
        <v>17292.289292280399</v>
      </c>
      <c r="BV94">
        <v>6.2599586931268956</v>
      </c>
      <c r="BW94">
        <v>14993.85306177754</v>
      </c>
      <c r="BX94">
        <v>10.337804485677772</v>
      </c>
      <c r="BY94">
        <v>24761.109304095397</v>
      </c>
      <c r="BZ94">
        <v>11.427880515824937</v>
      </c>
      <c r="CA94">
        <v>27372.059411503888</v>
      </c>
      <c r="CB94">
        <v>5.3476304266137973</v>
      </c>
      <c r="CC94">
        <v>12808.644397825366</v>
      </c>
      <c r="CD94">
        <v>7.4202583212224491</v>
      </c>
      <c r="CE94">
        <v>17773.002730992008</v>
      </c>
      <c r="CF94">
        <v>4.2928986090517895</v>
      </c>
      <c r="CG94">
        <v>10282.350748400846</v>
      </c>
      <c r="CH94">
        <v>5.4316631024342339</v>
      </c>
      <c r="CI94">
        <v>13009.919462950476</v>
      </c>
      <c r="CJ94">
        <v>5.3113951190225999</v>
      </c>
      <c r="CK94">
        <v>12721.85358908293</v>
      </c>
      <c r="CL94">
        <v>5.2464886145796106</v>
      </c>
      <c r="CM94">
        <v>12566.389529641083</v>
      </c>
      <c r="CN94">
        <v>9</v>
      </c>
      <c r="CO94">
        <v>21556.799999999999</v>
      </c>
      <c r="CP94">
        <v>6</v>
      </c>
      <c r="CQ94">
        <v>14371.199999999999</v>
      </c>
      <c r="CR94">
        <v>8.081244077193805</v>
      </c>
      <c r="CS94">
        <v>19356.195813694601</v>
      </c>
      <c r="CT94">
        <v>8.290735216469546</v>
      </c>
      <c r="CU94">
        <v>19857.968990487854</v>
      </c>
    </row>
    <row r="95" spans="2:99" x14ac:dyDescent="0.2">
      <c r="B95" s="105" t="s">
        <v>132</v>
      </c>
      <c r="C95" s="105" t="s">
        <v>261</v>
      </c>
      <c r="D95">
        <v>11</v>
      </c>
      <c r="E95">
        <v>19060.8</v>
      </c>
      <c r="F95">
        <v>11</v>
      </c>
      <c r="G95">
        <v>19060.8</v>
      </c>
      <c r="H95">
        <v>11</v>
      </c>
      <c r="I95">
        <v>19060.8</v>
      </c>
      <c r="J95">
        <v>10</v>
      </c>
      <c r="K95">
        <v>17328</v>
      </c>
      <c r="L95">
        <v>51.182364166854349</v>
      </c>
      <c r="M95">
        <v>88688.800628325218</v>
      </c>
      <c r="N95">
        <v>42.542676216260844</v>
      </c>
      <c r="O95">
        <v>73717.949347536793</v>
      </c>
      <c r="P95">
        <v>36.538243737891449</v>
      </c>
      <c r="Q95">
        <v>63313.468749018299</v>
      </c>
      <c r="R95">
        <v>33.438064264621012</v>
      </c>
      <c r="S95">
        <v>57941.477757735287</v>
      </c>
      <c r="T95">
        <v>8.2867572283726183</v>
      </c>
      <c r="U95">
        <v>14359.292925324073</v>
      </c>
      <c r="V95">
        <v>10.349980636044373</v>
      </c>
      <c r="W95">
        <v>17934.446446137688</v>
      </c>
      <c r="X95">
        <v>8.4965222528096813</v>
      </c>
      <c r="Y95">
        <v>14722.773759668615</v>
      </c>
      <c r="Z95">
        <v>8.5136621966494381</v>
      </c>
      <c r="AA95">
        <v>14752.473854354146</v>
      </c>
      <c r="AB95">
        <v>12.229616995296729</v>
      </c>
      <c r="AC95">
        <v>21191.480329450173</v>
      </c>
      <c r="AD95">
        <v>15.408475139646765</v>
      </c>
      <c r="AE95">
        <v>26699.805721979912</v>
      </c>
      <c r="AF95">
        <v>13.306917937556339</v>
      </c>
      <c r="AG95">
        <v>23058.227402197623</v>
      </c>
      <c r="AH95">
        <v>10.353583402823796</v>
      </c>
      <c r="AI95">
        <v>17940.689320413072</v>
      </c>
      <c r="AJ95">
        <v>11.311899536701555</v>
      </c>
      <c r="AK95">
        <v>19601.259517196453</v>
      </c>
      <c r="AL95">
        <v>9.2051288383425707</v>
      </c>
      <c r="AM95">
        <v>15950.647251080007</v>
      </c>
      <c r="AN95">
        <v>7.1761331087270221</v>
      </c>
      <c r="AO95">
        <v>12434.803450802183</v>
      </c>
      <c r="AP95">
        <v>7.3601691906933571</v>
      </c>
      <c r="AQ95">
        <v>12753.701173633448</v>
      </c>
      <c r="AR95">
        <v>18.419170420158508</v>
      </c>
      <c r="AS95">
        <v>31916.738504050663</v>
      </c>
      <c r="AT95">
        <v>22</v>
      </c>
      <c r="AU95">
        <v>38121.599999999999</v>
      </c>
      <c r="AV95">
        <v>20.799996397545755</v>
      </c>
      <c r="AW95">
        <v>36042.23375766728</v>
      </c>
      <c r="AX95">
        <v>29.652299661129312</v>
      </c>
      <c r="AY95">
        <v>51381.504852804872</v>
      </c>
      <c r="AZ95">
        <v>22.375861372731915</v>
      </c>
      <c r="BA95">
        <v>38772.892586669863</v>
      </c>
      <c r="BB95">
        <v>27.29796893709754</v>
      </c>
      <c r="BC95">
        <v>47301.920574202617</v>
      </c>
      <c r="BD95">
        <v>32.440934760526808</v>
      </c>
      <c r="BE95">
        <v>56213.651753040853</v>
      </c>
      <c r="BF95">
        <v>32.421000987123364</v>
      </c>
      <c r="BG95">
        <v>56179.110510487364</v>
      </c>
      <c r="BH95">
        <v>8.7832535990769358</v>
      </c>
      <c r="BI95">
        <v>15219.621836480514</v>
      </c>
      <c r="BJ95">
        <v>13.548954469995865</v>
      </c>
      <c r="BK95">
        <v>23477.628305608832</v>
      </c>
      <c r="BL95">
        <v>8.445861270452502</v>
      </c>
      <c r="BM95">
        <v>14634.988409440095</v>
      </c>
      <c r="BN95">
        <v>9</v>
      </c>
      <c r="BO95">
        <v>15595.199999999999</v>
      </c>
      <c r="BP95">
        <v>29</v>
      </c>
      <c r="BQ95">
        <v>50251.199999999997</v>
      </c>
      <c r="BR95">
        <v>41</v>
      </c>
      <c r="BS95">
        <v>71044.800000000003</v>
      </c>
      <c r="BT95">
        <v>21</v>
      </c>
      <c r="BU95">
        <v>36388.799999999996</v>
      </c>
      <c r="BV95">
        <v>29</v>
      </c>
      <c r="BW95">
        <v>50251.199999999997</v>
      </c>
      <c r="BX95">
        <v>9.9651556733650644</v>
      </c>
      <c r="BY95">
        <v>17267.621750806982</v>
      </c>
      <c r="BZ95">
        <v>6.6655919135054562</v>
      </c>
      <c r="CA95">
        <v>11550.137667722254</v>
      </c>
      <c r="CB95">
        <v>7.7449223427438518</v>
      </c>
      <c r="CC95">
        <v>13420.401435506546</v>
      </c>
      <c r="CD95">
        <v>7.1206888565931976</v>
      </c>
      <c r="CE95">
        <v>12338.729650704692</v>
      </c>
      <c r="CF95">
        <v>69</v>
      </c>
      <c r="CG95">
        <v>119563.2</v>
      </c>
      <c r="CH95">
        <v>48</v>
      </c>
      <c r="CI95">
        <v>83174.399999999994</v>
      </c>
      <c r="CJ95">
        <v>37</v>
      </c>
      <c r="CK95">
        <v>64113.599999999999</v>
      </c>
      <c r="CL95">
        <v>62.834970797425989</v>
      </c>
      <c r="CM95">
        <v>108880.43739777975</v>
      </c>
      <c r="CN95">
        <v>50</v>
      </c>
      <c r="CO95">
        <v>86640</v>
      </c>
      <c r="CP95">
        <v>64</v>
      </c>
      <c r="CQ95">
        <v>110899.2</v>
      </c>
      <c r="CR95">
        <v>59.288331753918349</v>
      </c>
      <c r="CS95">
        <v>102734.82126318972</v>
      </c>
      <c r="CT95">
        <v>61.198574648687625</v>
      </c>
      <c r="CU95">
        <v>106044.89015124591</v>
      </c>
    </row>
    <row r="96" spans="2:99" x14ac:dyDescent="0.2">
      <c r="C96" s="105" t="s">
        <v>262</v>
      </c>
      <c r="D96">
        <v>13</v>
      </c>
      <c r="E96">
        <v>10701.599999999999</v>
      </c>
      <c r="F96">
        <v>11</v>
      </c>
      <c r="G96">
        <v>9055.1999999999989</v>
      </c>
      <c r="H96">
        <v>11</v>
      </c>
      <c r="I96">
        <v>9055.1999999999989</v>
      </c>
      <c r="J96">
        <v>11</v>
      </c>
      <c r="K96">
        <v>9055.1999999999989</v>
      </c>
      <c r="L96">
        <v>53</v>
      </c>
      <c r="M96">
        <v>43629.599999999999</v>
      </c>
      <c r="N96">
        <v>41.542676216260844</v>
      </c>
      <c r="O96">
        <v>34197.931061225921</v>
      </c>
      <c r="P96">
        <v>40.538243737891449</v>
      </c>
      <c r="Q96">
        <v>33371.082245032238</v>
      </c>
      <c r="R96">
        <v>38.535411878981236</v>
      </c>
      <c r="S96">
        <v>31722.351058777353</v>
      </c>
      <c r="T96">
        <v>8.2867572283726183</v>
      </c>
      <c r="U96">
        <v>6821.6585503963388</v>
      </c>
      <c r="V96">
        <v>10.437475795055466</v>
      </c>
      <c r="W96">
        <v>8592.130074489658</v>
      </c>
      <c r="X96">
        <v>9.4965222528096813</v>
      </c>
      <c r="Y96">
        <v>7817.5371185129288</v>
      </c>
      <c r="Z96">
        <v>9.5564673797035589</v>
      </c>
      <c r="AA96">
        <v>7866.8839469719687</v>
      </c>
      <c r="AB96">
        <v>13.262419423196262</v>
      </c>
      <c r="AC96">
        <v>10917.623669175162</v>
      </c>
      <c r="AD96">
        <v>15.408475139646765</v>
      </c>
      <c r="AE96">
        <v>12684.256734957216</v>
      </c>
      <c r="AF96">
        <v>16.306917937556339</v>
      </c>
      <c r="AG96">
        <v>13423.854846196376</v>
      </c>
      <c r="AH96">
        <v>10.388941743106177</v>
      </c>
      <c r="AI96">
        <v>8552.1768429250042</v>
      </c>
      <c r="AJ96">
        <v>11.331393257745402</v>
      </c>
      <c r="AK96">
        <v>9328.0029297760138</v>
      </c>
      <c r="AL96">
        <v>12.205128838342571</v>
      </c>
      <c r="AM96">
        <v>10047.262059723604</v>
      </c>
      <c r="AN96">
        <v>7.2152737995552485</v>
      </c>
      <c r="AO96">
        <v>5939.6133917938805</v>
      </c>
      <c r="AP96">
        <v>6.3601691906933571</v>
      </c>
      <c r="AQ96">
        <v>5235.6912777787711</v>
      </c>
      <c r="AR96">
        <v>22.533489625656287</v>
      </c>
      <c r="AS96">
        <v>18549.568659840254</v>
      </c>
      <c r="AT96">
        <v>22</v>
      </c>
      <c r="AU96">
        <v>18110.399999999998</v>
      </c>
      <c r="AV96">
        <v>24.949995722085582</v>
      </c>
      <c r="AW96">
        <v>20538.83647842085</v>
      </c>
      <c r="AX96">
        <v>34.688538531192052</v>
      </c>
      <c r="AY96">
        <v>28555.604918877296</v>
      </c>
      <c r="AZ96">
        <v>24.375861372731915</v>
      </c>
      <c r="BA96">
        <v>20066.20908203291</v>
      </c>
      <c r="BB96">
        <v>32.297968937097544</v>
      </c>
      <c r="BC96">
        <v>26587.688029018696</v>
      </c>
      <c r="BD96">
        <v>33.440934760526808</v>
      </c>
      <c r="BE96">
        <v>27528.577494865665</v>
      </c>
      <c r="BF96">
        <v>35.421000987123364</v>
      </c>
      <c r="BG96">
        <v>29158.56801259995</v>
      </c>
      <c r="BH96">
        <v>9.822416279030783</v>
      </c>
      <c r="BI96">
        <v>8085.8130808981396</v>
      </c>
      <c r="BJ96">
        <v>13.60123584809071</v>
      </c>
      <c r="BK96">
        <v>11196.537350148272</v>
      </c>
      <c r="BL96">
        <v>8.5040170883376121</v>
      </c>
      <c r="BM96">
        <v>7000.5068671195213</v>
      </c>
      <c r="BN96">
        <v>9</v>
      </c>
      <c r="BO96">
        <v>7408.7999999999993</v>
      </c>
      <c r="BP96">
        <v>31</v>
      </c>
      <c r="BQ96">
        <v>25519.199999999997</v>
      </c>
      <c r="BR96">
        <v>46</v>
      </c>
      <c r="BS96">
        <v>37867.199999999997</v>
      </c>
      <c r="BT96">
        <v>26</v>
      </c>
      <c r="BU96">
        <v>21403.199999999997</v>
      </c>
      <c r="BV96">
        <v>28</v>
      </c>
      <c r="BW96">
        <v>23049.599999999999</v>
      </c>
      <c r="BX96">
        <v>10.061671240701571</v>
      </c>
      <c r="BY96">
        <v>8282.7677653455321</v>
      </c>
      <c r="BZ96">
        <v>6.7606764725776642</v>
      </c>
      <c r="CA96">
        <v>5565.3888722259326</v>
      </c>
      <c r="CB96">
        <v>7.8939068112926218</v>
      </c>
      <c r="CC96">
        <v>6498.2640870560854</v>
      </c>
      <c r="CD96">
        <v>8.1206888565931976</v>
      </c>
      <c r="CE96">
        <v>6684.9510667475197</v>
      </c>
      <c r="CF96">
        <v>77</v>
      </c>
      <c r="CG96">
        <v>63386.399999999994</v>
      </c>
      <c r="CH96">
        <v>56</v>
      </c>
      <c r="CI96">
        <v>46099.199999999997</v>
      </c>
      <c r="CJ96">
        <v>44</v>
      </c>
      <c r="CK96">
        <v>36220.799999999996</v>
      </c>
      <c r="CL96">
        <v>60</v>
      </c>
      <c r="CM96">
        <v>49391.999999999993</v>
      </c>
      <c r="CN96">
        <v>58</v>
      </c>
      <c r="CO96">
        <v>47745.599999999999</v>
      </c>
      <c r="CP96">
        <v>69</v>
      </c>
      <c r="CQ96">
        <v>56800.799999999996</v>
      </c>
      <c r="CR96">
        <v>76.312359400078208</v>
      </c>
      <c r="CS96">
        <v>62820.334258144372</v>
      </c>
      <c r="CT96">
        <v>68.248218310859528</v>
      </c>
      <c r="CU96">
        <v>56181.933313499561</v>
      </c>
    </row>
    <row r="97" spans="2:99" x14ac:dyDescent="0.2">
      <c r="C97" s="105" t="s">
        <v>263</v>
      </c>
      <c r="D97">
        <v>12</v>
      </c>
      <c r="E97">
        <v>21945.599999999999</v>
      </c>
      <c r="F97">
        <v>10</v>
      </c>
      <c r="G97">
        <v>18288</v>
      </c>
      <c r="H97">
        <v>12</v>
      </c>
      <c r="I97">
        <v>21945.599999999999</v>
      </c>
      <c r="J97">
        <v>10</v>
      </c>
      <c r="K97">
        <v>18288</v>
      </c>
      <c r="L97">
        <v>51</v>
      </c>
      <c r="M97">
        <v>93268.800000000003</v>
      </c>
      <c r="N97">
        <v>36.493342014782584</v>
      </c>
      <c r="O97">
        <v>66739.023876634383</v>
      </c>
      <c r="P97">
        <v>35.538243737891449</v>
      </c>
      <c r="Q97">
        <v>64992.340147855881</v>
      </c>
      <c r="R97">
        <v>33.438064264621012</v>
      </c>
      <c r="S97">
        <v>61151.531927138902</v>
      </c>
      <c r="T97">
        <v>6.2457919100336721</v>
      </c>
      <c r="U97">
        <v>11422.304245069579</v>
      </c>
      <c r="V97">
        <v>9.3937282155499204</v>
      </c>
      <c r="W97">
        <v>17179.250160597694</v>
      </c>
      <c r="X97">
        <v>9.4551453984088738</v>
      </c>
      <c r="Y97">
        <v>17291.569904610147</v>
      </c>
      <c r="Z97">
        <v>8.4708570135953192</v>
      </c>
      <c r="AA97">
        <v>15491.503306463119</v>
      </c>
      <c r="AB97">
        <v>11.295221851095794</v>
      </c>
      <c r="AC97">
        <v>20656.701721283989</v>
      </c>
      <c r="AD97">
        <v>15.374435544676201</v>
      </c>
      <c r="AE97">
        <v>28116.767724103836</v>
      </c>
      <c r="AF97">
        <v>14.306917937556339</v>
      </c>
      <c r="AG97">
        <v>26164.491524203033</v>
      </c>
      <c r="AH97">
        <v>9.3889417431061766</v>
      </c>
      <c r="AI97">
        <v>17170.496659792574</v>
      </c>
      <c r="AJ97">
        <v>10.311899536701555</v>
      </c>
      <c r="AK97">
        <v>18858.401872719802</v>
      </c>
      <c r="AL97">
        <v>11.186480762129611</v>
      </c>
      <c r="AM97">
        <v>20457.836017782633</v>
      </c>
      <c r="AN97">
        <v>7.2152737995552485</v>
      </c>
      <c r="AO97">
        <v>13195.292724626639</v>
      </c>
      <c r="AP97">
        <v>6.312146631934243</v>
      </c>
      <c r="AQ97">
        <v>11543.653760481344</v>
      </c>
      <c r="AR97">
        <v>17.457276821991101</v>
      </c>
      <c r="AS97">
        <v>31925.867852057327</v>
      </c>
      <c r="AT97">
        <v>19</v>
      </c>
      <c r="AU97">
        <v>34747.199999999997</v>
      </c>
      <c r="AV97">
        <v>19.799996397545755</v>
      </c>
      <c r="AW97">
        <v>36210.233411831672</v>
      </c>
      <c r="AX97">
        <v>28.652299661129312</v>
      </c>
      <c r="AY97">
        <v>52399.325620273288</v>
      </c>
      <c r="AZ97">
        <v>24.375861372731915</v>
      </c>
      <c r="BA97">
        <v>44578.575278452125</v>
      </c>
      <c r="BB97">
        <v>26.248307447581283</v>
      </c>
      <c r="BC97">
        <v>48002.90466013665</v>
      </c>
      <c r="BD97">
        <v>33.391942009357166</v>
      </c>
      <c r="BE97">
        <v>61067.183546712382</v>
      </c>
      <c r="BF97">
        <v>31.421000987123364</v>
      </c>
      <c r="BG97">
        <v>57462.726605251206</v>
      </c>
      <c r="BH97">
        <v>8.6657655592153962</v>
      </c>
      <c r="BI97">
        <v>15847.952054693116</v>
      </c>
      <c r="BJ97">
        <v>12.522813780948443</v>
      </c>
      <c r="BK97">
        <v>22901.721842598512</v>
      </c>
      <c r="BL97">
        <v>7.4070907251957632</v>
      </c>
      <c r="BM97">
        <v>13546.087518238011</v>
      </c>
      <c r="BN97">
        <v>10</v>
      </c>
      <c r="BO97">
        <v>18288</v>
      </c>
      <c r="BP97">
        <v>28</v>
      </c>
      <c r="BQ97">
        <v>51206.400000000001</v>
      </c>
      <c r="BR97">
        <v>38</v>
      </c>
      <c r="BS97">
        <v>69494.399999999994</v>
      </c>
      <c r="BT97">
        <v>25</v>
      </c>
      <c r="BU97">
        <v>45720</v>
      </c>
      <c r="BV97">
        <v>25</v>
      </c>
      <c r="BW97">
        <v>45720</v>
      </c>
      <c r="BX97">
        <v>9.916897889696811</v>
      </c>
      <c r="BY97">
        <v>18136.022860677527</v>
      </c>
      <c r="BZ97">
        <v>5.7606764725776642</v>
      </c>
      <c r="CA97">
        <v>10535.125133050033</v>
      </c>
      <c r="CB97">
        <v>6.7449223427438518</v>
      </c>
      <c r="CC97">
        <v>12335.113980409957</v>
      </c>
      <c r="CD97">
        <v>7.214079594642631</v>
      </c>
      <c r="CE97">
        <v>13193.108762682443</v>
      </c>
      <c r="CF97">
        <v>72</v>
      </c>
      <c r="CG97">
        <v>131673.60000000001</v>
      </c>
      <c r="CH97">
        <v>45</v>
      </c>
      <c r="CI97">
        <v>82296</v>
      </c>
      <c r="CJ97">
        <v>38</v>
      </c>
      <c r="CK97">
        <v>69494.399999999994</v>
      </c>
      <c r="CL97">
        <v>58.752807925899454</v>
      </c>
      <c r="CM97">
        <v>107447.13513488491</v>
      </c>
      <c r="CN97">
        <v>52</v>
      </c>
      <c r="CO97">
        <v>95097.599999999991</v>
      </c>
      <c r="CP97">
        <v>57</v>
      </c>
      <c r="CQ97">
        <v>104241.59999999999</v>
      </c>
      <c r="CR97">
        <v>65.288331753918342</v>
      </c>
      <c r="CS97">
        <v>119399.30111156586</v>
      </c>
      <c r="CT97">
        <v>59.223396479773577</v>
      </c>
      <c r="CU97">
        <v>108307.74748220992</v>
      </c>
    </row>
    <row r="98" spans="2:99" x14ac:dyDescent="0.2">
      <c r="C98" s="105" t="s">
        <v>264</v>
      </c>
      <c r="D98">
        <v>12</v>
      </c>
      <c r="E98">
        <v>15163.199999999999</v>
      </c>
      <c r="F98">
        <v>11</v>
      </c>
      <c r="G98">
        <v>13899.599999999999</v>
      </c>
      <c r="H98">
        <v>11</v>
      </c>
      <c r="I98">
        <v>13899.599999999999</v>
      </c>
      <c r="J98">
        <v>12</v>
      </c>
      <c r="K98">
        <v>15163.199999999999</v>
      </c>
      <c r="L98">
        <v>53</v>
      </c>
      <c r="M98">
        <v>66970.799999999988</v>
      </c>
      <c r="N98">
        <v>44.493342014782584</v>
      </c>
      <c r="O98">
        <v>56221.786969879271</v>
      </c>
      <c r="P98">
        <v>36.489312488992226</v>
      </c>
      <c r="Q98">
        <v>46107.895261090576</v>
      </c>
      <c r="R98">
        <v>31.438064264621012</v>
      </c>
      <c r="S98">
        <v>39725.138004775108</v>
      </c>
      <c r="T98">
        <v>7.2867572283726174</v>
      </c>
      <c r="U98">
        <v>9207.5464337716385</v>
      </c>
      <c r="V98">
        <v>9.437475795055466</v>
      </c>
      <c r="W98">
        <v>11925.194414632086</v>
      </c>
      <c r="X98">
        <v>9.4965222528096813</v>
      </c>
      <c r="Y98">
        <v>11999.805518650312</v>
      </c>
      <c r="Z98">
        <v>9.4280518305411984</v>
      </c>
      <c r="AA98">
        <v>11913.286293071858</v>
      </c>
      <c r="AB98">
        <v>11.262419423196262</v>
      </c>
      <c r="AC98">
        <v>14231.193183150795</v>
      </c>
      <c r="AD98">
        <v>15.408475139646765</v>
      </c>
      <c r="AE98">
        <v>19470.149186457649</v>
      </c>
      <c r="AF98">
        <v>15.341019930618154</v>
      </c>
      <c r="AG98">
        <v>19384.912784329099</v>
      </c>
      <c r="AH98">
        <v>10.388941743106177</v>
      </c>
      <c r="AI98">
        <v>13127.466786588964</v>
      </c>
      <c r="AJ98">
        <v>12.331393257745402</v>
      </c>
      <c r="AK98">
        <v>15581.948520487089</v>
      </c>
      <c r="AL98">
        <v>11.186480762129611</v>
      </c>
      <c r="AM98">
        <v>14135.237091026975</v>
      </c>
      <c r="AN98">
        <v>7.1957034541411353</v>
      </c>
      <c r="AO98">
        <v>9092.4908846527378</v>
      </c>
      <c r="AP98">
        <v>7.3601691906933571</v>
      </c>
      <c r="AQ98">
        <v>9300.3097893601262</v>
      </c>
      <c r="AR98">
        <v>19.457276821991101</v>
      </c>
      <c r="AS98">
        <v>24586.214992267953</v>
      </c>
      <c r="AT98">
        <v>22</v>
      </c>
      <c r="AU98">
        <v>27799.199999999997</v>
      </c>
      <c r="AV98">
        <v>20.89999594723897</v>
      </c>
      <c r="AW98">
        <v>26409.234878931162</v>
      </c>
      <c r="AX98">
        <v>33.652299661129312</v>
      </c>
      <c r="AY98">
        <v>42523.045851802999</v>
      </c>
      <c r="AZ98">
        <v>27.328878701140425</v>
      </c>
      <c r="BA98">
        <v>34532.771126761036</v>
      </c>
      <c r="BB98">
        <v>29.248307447581283</v>
      </c>
      <c r="BC98">
        <v>36958.161290763703</v>
      </c>
      <c r="BD98">
        <v>35.440934760526808</v>
      </c>
      <c r="BE98">
        <v>44783.165163401674</v>
      </c>
      <c r="BF98">
        <v>28.421000987123364</v>
      </c>
      <c r="BG98">
        <v>35912.776847329078</v>
      </c>
      <c r="BH98">
        <v>9.7832535990769358</v>
      </c>
      <c r="BI98">
        <v>12362.119247793615</v>
      </c>
      <c r="BJ98">
        <v>12.522813780948443</v>
      </c>
      <c r="BK98">
        <v>15823.827493606452</v>
      </c>
      <c r="BL98">
        <v>8.4652465430808714</v>
      </c>
      <c r="BM98">
        <v>10696.685531836989</v>
      </c>
      <c r="BN98">
        <v>9</v>
      </c>
      <c r="BO98">
        <v>11372.4</v>
      </c>
      <c r="BP98">
        <v>32</v>
      </c>
      <c r="BQ98">
        <v>40435.199999999997</v>
      </c>
      <c r="BR98">
        <v>43</v>
      </c>
      <c r="BS98">
        <v>54334.799999999996</v>
      </c>
      <c r="BT98">
        <v>22</v>
      </c>
      <c r="BU98">
        <v>27799.199999999997</v>
      </c>
      <c r="BV98">
        <v>28</v>
      </c>
      <c r="BW98">
        <v>35380.799999999996</v>
      </c>
      <c r="BX98">
        <v>10.013413457033318</v>
      </c>
      <c r="BY98">
        <v>12652.9492443073</v>
      </c>
      <c r="BZ98">
        <v>6.7131341930415607</v>
      </c>
      <c r="CA98">
        <v>8482.716366327315</v>
      </c>
      <c r="CB98">
        <v>6.8442453217763646</v>
      </c>
      <c r="CC98">
        <v>8648.3883885966134</v>
      </c>
      <c r="CD98">
        <v>7.3074703326920645</v>
      </c>
      <c r="CE98">
        <v>9233.7195123896927</v>
      </c>
      <c r="CF98">
        <v>76</v>
      </c>
      <c r="CG98">
        <v>96033.599999999991</v>
      </c>
      <c r="CH98">
        <v>52</v>
      </c>
      <c r="CI98">
        <v>65707.199999999997</v>
      </c>
      <c r="CJ98">
        <v>44</v>
      </c>
      <c r="CK98">
        <v>55598.399999999994</v>
      </c>
      <c r="CL98">
        <v>58</v>
      </c>
      <c r="CM98">
        <v>73288.799999999988</v>
      </c>
      <c r="CN98">
        <v>50</v>
      </c>
      <c r="CO98">
        <v>63179.999999999993</v>
      </c>
      <c r="CP98">
        <v>64</v>
      </c>
      <c r="CQ98">
        <v>80870.399999999994</v>
      </c>
      <c r="CR98">
        <v>72.360414692397939</v>
      </c>
      <c r="CS98">
        <v>91434.620005314035</v>
      </c>
      <c r="CT98">
        <v>65.223396479773569</v>
      </c>
      <c r="CU98">
        <v>82416.283791841881</v>
      </c>
    </row>
    <row r="99" spans="2:99" x14ac:dyDescent="0.2">
      <c r="C99" s="105" t="s">
        <v>265</v>
      </c>
      <c r="D99">
        <v>9</v>
      </c>
      <c r="E99">
        <v>49334.399999999994</v>
      </c>
      <c r="F99">
        <v>8</v>
      </c>
      <c r="G99">
        <v>43852.799999999996</v>
      </c>
      <c r="H99">
        <v>8</v>
      </c>
      <c r="I99">
        <v>43852.799999999996</v>
      </c>
      <c r="J99">
        <v>8</v>
      </c>
      <c r="K99">
        <v>43852.799999999996</v>
      </c>
      <c r="L99">
        <v>31</v>
      </c>
      <c r="M99">
        <v>169929.59999999998</v>
      </c>
      <c r="N99">
        <v>24.394673611826068</v>
      </c>
      <c r="O99">
        <v>133721.84287058577</v>
      </c>
      <c r="P99">
        <v>23.391449991193781</v>
      </c>
      <c r="Q99">
        <v>128222.57227172781</v>
      </c>
      <c r="R99">
        <v>18.3893904574409</v>
      </c>
      <c r="S99">
        <v>100803.28273150802</v>
      </c>
      <c r="T99">
        <v>5.2048265916947267</v>
      </c>
      <c r="U99">
        <v>28530.777445033811</v>
      </c>
      <c r="V99">
        <v>7.3062330565388267</v>
      </c>
      <c r="W99">
        <v>40049.847122723229</v>
      </c>
      <c r="X99">
        <v>6.4137685440080681</v>
      </c>
      <c r="Y99">
        <v>35157.713650834623</v>
      </c>
      <c r="Z99">
        <v>6.3424414644329596</v>
      </c>
      <c r="AA99">
        <v>34766.727131435706</v>
      </c>
      <c r="AB99">
        <v>8.2296169952967286</v>
      </c>
      <c r="AC99">
        <v>45111.468521418545</v>
      </c>
      <c r="AD99">
        <v>10.306356354735073</v>
      </c>
      <c r="AE99">
        <v>56495.32299411577</v>
      </c>
      <c r="AF99">
        <v>10.238713951432707</v>
      </c>
      <c r="AG99">
        <v>56124.534396173527</v>
      </c>
      <c r="AH99">
        <v>7.2828667222590369</v>
      </c>
      <c r="AI99">
        <v>39921.762224735132</v>
      </c>
      <c r="AJ99">
        <v>9.2339246525261665</v>
      </c>
      <c r="AK99">
        <v>50616.68137528743</v>
      </c>
      <c r="AL99">
        <v>8.1305365334907265</v>
      </c>
      <c r="AM99">
        <v>44568.349061982764</v>
      </c>
      <c r="AN99">
        <v>5.1565627633129081</v>
      </c>
      <c r="AO99">
        <v>28266.214443376033</v>
      </c>
      <c r="AP99">
        <v>5.2401127937955714</v>
      </c>
      <c r="AQ99">
        <v>28724.202290469802</v>
      </c>
      <c r="AR99">
        <v>13.381064018325919</v>
      </c>
      <c r="AS99">
        <v>73349.640522855349</v>
      </c>
      <c r="AT99">
        <v>14</v>
      </c>
      <c r="AU99">
        <v>76742.399999999994</v>
      </c>
      <c r="AV99">
        <v>14.699996847852534</v>
      </c>
      <c r="AW99">
        <v>80579.502721188444</v>
      </c>
      <c r="AX99">
        <v>18.434866440752877</v>
      </c>
      <c r="AY99">
        <v>101052.56388163097</v>
      </c>
      <c r="AZ99">
        <v>16.281896029548935</v>
      </c>
      <c r="BA99">
        <v>89250.84127557544</v>
      </c>
      <c r="BB99">
        <v>20.198645958065025</v>
      </c>
      <c r="BC99">
        <v>110720.89768372923</v>
      </c>
      <c r="BD99">
        <v>20.34294925818752</v>
      </c>
      <c r="BE99">
        <v>111511.91065368069</v>
      </c>
      <c r="BF99">
        <v>19.374223099665212</v>
      </c>
      <c r="BG99">
        <v>106201.74134312481</v>
      </c>
      <c r="BH99">
        <v>6.4699521594461613</v>
      </c>
      <c r="BI99">
        <v>35465.689757220076</v>
      </c>
      <c r="BJ99">
        <v>9.3659696466639097</v>
      </c>
      <c r="BK99">
        <v>51340.499215152886</v>
      </c>
      <c r="BL99">
        <v>5.2907790894255449</v>
      </c>
      <c r="BM99">
        <v>29001.934656595065</v>
      </c>
      <c r="BN99">
        <v>7</v>
      </c>
      <c r="BO99">
        <v>38371.199999999997</v>
      </c>
      <c r="BP99">
        <v>18</v>
      </c>
      <c r="BQ99">
        <v>98668.799999999988</v>
      </c>
      <c r="BR99">
        <v>23</v>
      </c>
      <c r="BS99">
        <v>126076.79999999999</v>
      </c>
      <c r="BT99">
        <v>16.570855110190813</v>
      </c>
      <c r="BU99">
        <v>90834.799372021953</v>
      </c>
      <c r="BV99">
        <v>17</v>
      </c>
      <c r="BW99">
        <v>93187.199999999997</v>
      </c>
      <c r="BX99">
        <v>6.579093404019039</v>
      </c>
      <c r="BY99">
        <v>36063.958403470759</v>
      </c>
      <c r="BZ99">
        <v>5.4754227953610402</v>
      </c>
      <c r="CA99">
        <v>30014.077595051076</v>
      </c>
      <c r="CB99">
        <v>5.5959378741950809</v>
      </c>
      <c r="CC99">
        <v>30674.693051187751</v>
      </c>
      <c r="CD99">
        <v>5.7938212734201819</v>
      </c>
      <c r="CE99">
        <v>31759.410692380065</v>
      </c>
      <c r="CF99">
        <v>38.995855270776083</v>
      </c>
      <c r="CG99">
        <v>213759.68025228617</v>
      </c>
      <c r="CH99">
        <v>26.142637624090622</v>
      </c>
      <c r="CI99">
        <v>143303.48240021514</v>
      </c>
      <c r="CJ99">
        <v>25</v>
      </c>
      <c r="CK99">
        <v>137040</v>
      </c>
      <c r="CL99">
        <v>33.0407297060028</v>
      </c>
      <c r="CM99">
        <v>181116.06395642494</v>
      </c>
      <c r="CN99">
        <v>31</v>
      </c>
      <c r="CO99">
        <v>169929.59999999998</v>
      </c>
      <c r="CP99">
        <v>32</v>
      </c>
      <c r="CQ99">
        <v>175411.19999999998</v>
      </c>
      <c r="CR99">
        <v>36.240276461598626</v>
      </c>
      <c r="CS99">
        <v>198654.69945189901</v>
      </c>
      <c r="CT99">
        <v>35.148930986515715</v>
      </c>
      <c r="CU99">
        <v>192672.38009568452</v>
      </c>
    </row>
    <row r="100" spans="2:99" x14ac:dyDescent="0.2">
      <c r="C100" s="105" t="s">
        <v>266</v>
      </c>
      <c r="D100">
        <v>11</v>
      </c>
      <c r="E100">
        <v>17846.399999999998</v>
      </c>
      <c r="F100">
        <v>11</v>
      </c>
      <c r="G100">
        <v>17846.399999999998</v>
      </c>
      <c r="H100">
        <v>13</v>
      </c>
      <c r="I100">
        <v>21091.199999999997</v>
      </c>
      <c r="J100">
        <v>11</v>
      </c>
      <c r="K100">
        <v>17846.399999999998</v>
      </c>
      <c r="L100">
        <v>51.182364166854349</v>
      </c>
      <c r="M100">
        <v>83038.267624304484</v>
      </c>
      <c r="N100">
        <v>38.542676216260844</v>
      </c>
      <c r="O100">
        <v>62531.637893261592</v>
      </c>
      <c r="P100">
        <v>33.489312488992226</v>
      </c>
      <c r="Q100">
        <v>54333.060582140984</v>
      </c>
      <c r="R100">
        <v>34.48673807180112</v>
      </c>
      <c r="S100">
        <v>55951.283847690131</v>
      </c>
      <c r="T100">
        <v>7.2867572283726174</v>
      </c>
      <c r="U100">
        <v>11822.034927311734</v>
      </c>
      <c r="V100">
        <v>10.39372821554992</v>
      </c>
      <c r="W100">
        <v>16862.784656908188</v>
      </c>
      <c r="X100">
        <v>8.4965222528096813</v>
      </c>
      <c r="Y100">
        <v>13784.757702958426</v>
      </c>
      <c r="Z100">
        <v>8.4280518305411984</v>
      </c>
      <c r="AA100">
        <v>13673.671289870039</v>
      </c>
      <c r="AB100">
        <v>12.262419423196262</v>
      </c>
      <c r="AC100">
        <v>19894.549272193613</v>
      </c>
      <c r="AD100">
        <v>15.408475139646765</v>
      </c>
      <c r="AE100">
        <v>24998.710066562908</v>
      </c>
      <c r="AF100">
        <v>14.272815944494523</v>
      </c>
      <c r="AG100">
        <v>23156.216588347914</v>
      </c>
      <c r="AH100">
        <v>11.388941743106177</v>
      </c>
      <c r="AI100">
        <v>18477.419084015459</v>
      </c>
      <c r="AJ100">
        <v>10.27291209461386</v>
      </c>
      <c r="AK100">
        <v>16666.772582301524</v>
      </c>
      <c r="AL100">
        <v>10.205128838342571</v>
      </c>
      <c r="AM100">
        <v>16556.801027326987</v>
      </c>
      <c r="AN100">
        <v>6.1957034541411353</v>
      </c>
      <c r="AO100">
        <v>10051.909283998577</v>
      </c>
      <c r="AP100">
        <v>6.312146631934243</v>
      </c>
      <c r="AQ100">
        <v>10240.826695650116</v>
      </c>
      <c r="AR100">
        <v>18.457276821991101</v>
      </c>
      <c r="AS100">
        <v>29945.085915998359</v>
      </c>
      <c r="AT100">
        <v>22</v>
      </c>
      <c r="AU100">
        <v>35692.799999999996</v>
      </c>
      <c r="AV100">
        <v>21.799996397545755</v>
      </c>
      <c r="AW100">
        <v>35368.314155378226</v>
      </c>
      <c r="AX100">
        <v>28.724777401254794</v>
      </c>
      <c r="AY100">
        <v>46603.078855795771</v>
      </c>
      <c r="AZ100">
        <v>22.375861372731915</v>
      </c>
      <c r="BA100">
        <v>36302.597491120257</v>
      </c>
      <c r="BB100">
        <v>27.248307447581283</v>
      </c>
      <c r="BC100">
        <v>44207.654002955867</v>
      </c>
      <c r="BD100">
        <v>32.440934760526808</v>
      </c>
      <c r="BE100">
        <v>52632.17255547869</v>
      </c>
      <c r="BF100">
        <v>33.374223099665215</v>
      </c>
      <c r="BG100">
        <v>54146.339556896841</v>
      </c>
      <c r="BH100">
        <v>8.7832535990769358</v>
      </c>
      <c r="BI100">
        <v>14249.95063914242</v>
      </c>
      <c r="BJ100">
        <v>12.575095159043286</v>
      </c>
      <c r="BK100">
        <v>20401.834386031827</v>
      </c>
      <c r="BL100">
        <v>8.445861270452502</v>
      </c>
      <c r="BM100">
        <v>13702.565325182139</v>
      </c>
      <c r="BN100">
        <v>9</v>
      </c>
      <c r="BO100">
        <v>14601.599999999999</v>
      </c>
      <c r="BP100">
        <v>29</v>
      </c>
      <c r="BQ100">
        <v>47049.599999999999</v>
      </c>
      <c r="BR100">
        <v>40</v>
      </c>
      <c r="BS100">
        <v>64895.999999999993</v>
      </c>
      <c r="BT100">
        <v>24</v>
      </c>
      <c r="BU100">
        <v>38937.599999999999</v>
      </c>
      <c r="BV100">
        <v>28</v>
      </c>
      <c r="BW100">
        <v>45427.199999999997</v>
      </c>
      <c r="BX100">
        <v>9.9651556733650644</v>
      </c>
      <c r="BY100">
        <v>16167.468564467479</v>
      </c>
      <c r="BZ100">
        <v>6.7131341930415607</v>
      </c>
      <c r="CA100">
        <v>10891.388914790627</v>
      </c>
      <c r="CB100">
        <v>6.7945838322601082</v>
      </c>
      <c r="CC100">
        <v>11023.532809458799</v>
      </c>
      <c r="CD100">
        <v>7.2607749636673473</v>
      </c>
      <c r="CE100">
        <v>11779.881301053903</v>
      </c>
      <c r="CF100">
        <v>75</v>
      </c>
      <c r="CG100">
        <v>121679.99999999999</v>
      </c>
      <c r="CH100">
        <v>44</v>
      </c>
      <c r="CI100">
        <v>71385.599999999991</v>
      </c>
      <c r="CJ100">
        <v>43</v>
      </c>
      <c r="CK100">
        <v>69763.199999999997</v>
      </c>
      <c r="CL100">
        <v>63.917133668952523</v>
      </c>
      <c r="CM100">
        <v>103699.15766450856</v>
      </c>
      <c r="CN100">
        <v>50</v>
      </c>
      <c r="CO100">
        <v>81120</v>
      </c>
      <c r="CP100">
        <v>67</v>
      </c>
      <c r="CQ100">
        <v>108700.79999999999</v>
      </c>
      <c r="CR100">
        <v>65.288331753918342</v>
      </c>
      <c r="CS100">
        <v>105923.7894375571</v>
      </c>
      <c r="CT100">
        <v>59.223396479773577</v>
      </c>
      <c r="CU100">
        <v>96084.038448784646</v>
      </c>
    </row>
    <row r="101" spans="2:99" x14ac:dyDescent="0.2">
      <c r="C101" s="105" t="s">
        <v>267</v>
      </c>
      <c r="D101">
        <v>11</v>
      </c>
      <c r="E101">
        <v>13094.399999999998</v>
      </c>
      <c r="F101">
        <v>12</v>
      </c>
      <c r="G101">
        <v>14284.8</v>
      </c>
      <c r="H101">
        <v>12</v>
      </c>
      <c r="I101">
        <v>14284.8</v>
      </c>
      <c r="J101">
        <v>12</v>
      </c>
      <c r="K101">
        <v>14284.8</v>
      </c>
      <c r="L101">
        <v>52</v>
      </c>
      <c r="M101">
        <v>61900.799999999996</v>
      </c>
      <c r="N101">
        <v>38.592010417739104</v>
      </c>
      <c r="O101">
        <v>45939.929201276624</v>
      </c>
      <c r="P101">
        <v>34.538243737891449</v>
      </c>
      <c r="Q101">
        <v>41114.325345585974</v>
      </c>
      <c r="R101">
        <v>35.48673807180112</v>
      </c>
      <c r="S101">
        <v>42243.413000672052</v>
      </c>
      <c r="T101">
        <v>7.3277225467115628</v>
      </c>
      <c r="U101">
        <v>8722.9209196054435</v>
      </c>
      <c r="V101">
        <v>10.349980636044373</v>
      </c>
      <c r="W101">
        <v>12320.616949147221</v>
      </c>
      <c r="X101">
        <v>8.4551453984088738</v>
      </c>
      <c r="Y101">
        <v>10065.005082265921</v>
      </c>
      <c r="Z101">
        <v>8.4280518305411984</v>
      </c>
      <c r="AA101">
        <v>10032.752899076242</v>
      </c>
      <c r="AB101">
        <v>11.262419423196262</v>
      </c>
      <c r="AC101">
        <v>13406.784081372829</v>
      </c>
      <c r="AD101">
        <v>14.374435544676201</v>
      </c>
      <c r="AE101">
        <v>17111.328072382548</v>
      </c>
      <c r="AF101">
        <v>16.306917937556339</v>
      </c>
      <c r="AG101">
        <v>19411.755112867064</v>
      </c>
      <c r="AH101">
        <v>9.3889417431061766</v>
      </c>
      <c r="AI101">
        <v>11176.596250993591</v>
      </c>
      <c r="AJ101">
        <v>10.311899536701555</v>
      </c>
      <c r="AK101">
        <v>12275.285208489529</v>
      </c>
      <c r="AL101">
        <v>11.205128838342571</v>
      </c>
      <c r="AM101">
        <v>13338.585369162995</v>
      </c>
      <c r="AN101">
        <v>7.2152737995552485</v>
      </c>
      <c r="AO101">
        <v>8589.0619309905669</v>
      </c>
      <c r="AP101">
        <v>6.3601691906933571</v>
      </c>
      <c r="AQ101">
        <v>7571.1454046013714</v>
      </c>
      <c r="AR101">
        <v>18.533489625656287</v>
      </c>
      <c r="AS101">
        <v>22062.26605038124</v>
      </c>
      <c r="AT101">
        <v>20</v>
      </c>
      <c r="AU101">
        <v>23807.999999999996</v>
      </c>
      <c r="AV101">
        <v>23.99999549693219</v>
      </c>
      <c r="AW101">
        <v>28569.594639548075</v>
      </c>
      <c r="AX101">
        <v>28.652299661129312</v>
      </c>
      <c r="AY101">
        <v>34107.697516608328</v>
      </c>
      <c r="AZ101">
        <v>27.375861372731915</v>
      </c>
      <c r="BA101">
        <v>32588.225378100069</v>
      </c>
      <c r="BB101">
        <v>28.29796893709754</v>
      </c>
      <c r="BC101">
        <v>33685.902222720906</v>
      </c>
      <c r="BD101">
        <v>36.391942009357166</v>
      </c>
      <c r="BE101">
        <v>43320.967767938768</v>
      </c>
      <c r="BF101">
        <v>31.421000987123364</v>
      </c>
      <c r="BG101">
        <v>37403.559575071646</v>
      </c>
      <c r="BH101">
        <v>9.8419976190077065</v>
      </c>
      <c r="BI101">
        <v>11715.913965666772</v>
      </c>
      <c r="BJ101">
        <v>14.60123584809071</v>
      </c>
      <c r="BK101">
        <v>17381.311153567178</v>
      </c>
      <c r="BL101">
        <v>8.4652465430808714</v>
      </c>
      <c r="BM101">
        <v>10077.029484883467</v>
      </c>
      <c r="BN101">
        <v>10</v>
      </c>
      <c r="BO101">
        <v>11903.999999999998</v>
      </c>
      <c r="BP101">
        <v>28</v>
      </c>
      <c r="BQ101">
        <v>33331.199999999997</v>
      </c>
      <c r="BR101">
        <v>41</v>
      </c>
      <c r="BS101">
        <v>48806.399999999994</v>
      </c>
      <c r="BT101">
        <v>26</v>
      </c>
      <c r="BU101">
        <v>30950.399999999998</v>
      </c>
      <c r="BV101">
        <v>28</v>
      </c>
      <c r="BW101">
        <v>33331.199999999997</v>
      </c>
      <c r="BX101">
        <v>10.868640106028558</v>
      </c>
      <c r="BY101">
        <v>12938.029182216393</v>
      </c>
      <c r="BZ101">
        <v>6.7606764725776642</v>
      </c>
      <c r="CA101">
        <v>8047.9092729564509</v>
      </c>
      <c r="CB101">
        <v>6.7945838322601082</v>
      </c>
      <c r="CC101">
        <v>8088.272593922432</v>
      </c>
      <c r="CD101">
        <v>8.2607749636673482</v>
      </c>
      <c r="CE101">
        <v>9833.6265167496094</v>
      </c>
      <c r="CF101">
        <v>76</v>
      </c>
      <c r="CG101">
        <v>90470.399999999994</v>
      </c>
      <c r="CH101">
        <v>47</v>
      </c>
      <c r="CI101">
        <v>55948.799999999996</v>
      </c>
      <c r="CJ101">
        <v>48</v>
      </c>
      <c r="CK101">
        <v>57139.199999999997</v>
      </c>
      <c r="CL101">
        <v>61</v>
      </c>
      <c r="CM101">
        <v>72614.399999999994</v>
      </c>
      <c r="CN101">
        <v>49</v>
      </c>
      <c r="CO101">
        <v>58329.599999999991</v>
      </c>
      <c r="CP101">
        <v>65</v>
      </c>
      <c r="CQ101">
        <v>77375.999999999985</v>
      </c>
      <c r="CR101">
        <v>68.312359400078208</v>
      </c>
      <c r="CS101">
        <v>81319.032629853085</v>
      </c>
      <c r="CT101">
        <v>64.248218310859528</v>
      </c>
      <c r="CU101">
        <v>76481.079077247166</v>
      </c>
    </row>
    <row r="102" spans="2:99" x14ac:dyDescent="0.2">
      <c r="C102" s="105" t="s">
        <v>268</v>
      </c>
      <c r="D102">
        <v>11</v>
      </c>
      <c r="E102">
        <v>21331.199999999997</v>
      </c>
      <c r="F102">
        <v>10</v>
      </c>
      <c r="G102">
        <v>19392</v>
      </c>
      <c r="H102">
        <v>12</v>
      </c>
      <c r="I102">
        <v>23270.399999999998</v>
      </c>
      <c r="J102">
        <v>12</v>
      </c>
      <c r="K102">
        <v>23270.399999999998</v>
      </c>
      <c r="L102">
        <v>46</v>
      </c>
      <c r="M102">
        <v>89203.199999999997</v>
      </c>
      <c r="N102">
        <v>36.542676216260844</v>
      </c>
      <c r="O102">
        <v>70863.557718573022</v>
      </c>
      <c r="P102">
        <v>34.538243737891449</v>
      </c>
      <c r="Q102">
        <v>66976.562256519086</v>
      </c>
      <c r="R102">
        <v>29.486738071801124</v>
      </c>
      <c r="S102">
        <v>57180.682468836734</v>
      </c>
      <c r="T102">
        <v>7.2867572283726174</v>
      </c>
      <c r="U102">
        <v>14130.479617260178</v>
      </c>
      <c r="V102">
        <v>10.39372821554992</v>
      </c>
      <c r="W102">
        <v>20155.517755594403</v>
      </c>
      <c r="X102">
        <v>8.4551453984088738</v>
      </c>
      <c r="Y102">
        <v>16396.217956594486</v>
      </c>
      <c r="Z102">
        <v>7.4708570135953192</v>
      </c>
      <c r="AA102">
        <v>14487.485920764042</v>
      </c>
      <c r="AB102">
        <v>11.229616995296729</v>
      </c>
      <c r="AC102">
        <v>21776.473277279416</v>
      </c>
      <c r="AD102">
        <v>13.374435544676201</v>
      </c>
      <c r="AE102">
        <v>25935.705408236088</v>
      </c>
      <c r="AF102">
        <v>14.272815944494523</v>
      </c>
      <c r="AG102">
        <v>27677.844679563776</v>
      </c>
      <c r="AH102">
        <v>10.388941743106177</v>
      </c>
      <c r="AI102">
        <v>20146.235828231496</v>
      </c>
      <c r="AJ102">
        <v>11.311899536701555</v>
      </c>
      <c r="AK102">
        <v>21936.035581571654</v>
      </c>
      <c r="AL102">
        <v>10.186480762129611</v>
      </c>
      <c r="AM102">
        <v>19753.623493921739</v>
      </c>
      <c r="AN102">
        <v>7.1957034541411353</v>
      </c>
      <c r="AO102">
        <v>13953.908138270488</v>
      </c>
      <c r="AP102">
        <v>5.3601691906933571</v>
      </c>
      <c r="AQ102">
        <v>10394.440094592557</v>
      </c>
      <c r="AR102">
        <v>18.419170420158508</v>
      </c>
      <c r="AS102">
        <v>35718.455278771376</v>
      </c>
      <c r="AT102">
        <v>20</v>
      </c>
      <c r="AU102">
        <v>38784</v>
      </c>
      <c r="AV102">
        <v>18.799996397545755</v>
      </c>
      <c r="AW102">
        <v>36456.953014120721</v>
      </c>
      <c r="AX102">
        <v>26.616060791066573</v>
      </c>
      <c r="AY102">
        <v>51613.86508603629</v>
      </c>
      <c r="AZ102">
        <v>25.328878701140425</v>
      </c>
      <c r="BA102">
        <v>49117.761577251506</v>
      </c>
      <c r="BB102">
        <v>25.248307447581283</v>
      </c>
      <c r="BC102">
        <v>48961.517802349619</v>
      </c>
      <c r="BD102">
        <v>32.391942009357166</v>
      </c>
      <c r="BE102">
        <v>62814.453944545414</v>
      </c>
      <c r="BF102">
        <v>28.421000987123364</v>
      </c>
      <c r="BG102">
        <v>55114.005114229622</v>
      </c>
      <c r="BH102">
        <v>8.7440909191230887</v>
      </c>
      <c r="BI102">
        <v>16956.541110363491</v>
      </c>
      <c r="BJ102">
        <v>13.522813780948443</v>
      </c>
      <c r="BK102">
        <v>26223.440484015216</v>
      </c>
      <c r="BL102">
        <v>7.4652465430808723</v>
      </c>
      <c r="BM102">
        <v>14476.606096342426</v>
      </c>
      <c r="BN102">
        <v>9</v>
      </c>
      <c r="BO102">
        <v>17452.8</v>
      </c>
      <c r="BP102">
        <v>26</v>
      </c>
      <c r="BQ102">
        <v>50419.199999999997</v>
      </c>
      <c r="BR102">
        <v>36</v>
      </c>
      <c r="BS102">
        <v>69811.199999999997</v>
      </c>
      <c r="BT102">
        <v>23</v>
      </c>
      <c r="BU102">
        <v>44601.599999999999</v>
      </c>
      <c r="BV102">
        <v>26</v>
      </c>
      <c r="BW102">
        <v>50419.199999999997</v>
      </c>
      <c r="BX102">
        <v>8.8203823223603042</v>
      </c>
      <c r="BY102">
        <v>17104.485399521101</v>
      </c>
      <c r="BZ102">
        <v>6.7606764725776642</v>
      </c>
      <c r="CA102">
        <v>13110.303815622605</v>
      </c>
      <c r="CB102">
        <v>6.7449223427438518</v>
      </c>
      <c r="CC102">
        <v>13079.753407048876</v>
      </c>
      <c r="CD102">
        <v>7.0739934875684813</v>
      </c>
      <c r="CE102">
        <v>13717.888171092798</v>
      </c>
      <c r="CF102">
        <v>64</v>
      </c>
      <c r="CG102">
        <v>124108.79999999999</v>
      </c>
      <c r="CH102">
        <v>43</v>
      </c>
      <c r="CI102">
        <v>83385.599999999991</v>
      </c>
      <c r="CJ102">
        <v>39</v>
      </c>
      <c r="CK102">
        <v>75628.799999999988</v>
      </c>
      <c r="CL102">
        <v>50</v>
      </c>
      <c r="CM102">
        <v>96959.999999999985</v>
      </c>
      <c r="CN102">
        <v>52</v>
      </c>
      <c r="CO102">
        <v>100838.39999999999</v>
      </c>
      <c r="CP102">
        <v>54</v>
      </c>
      <c r="CQ102">
        <v>104716.79999999999</v>
      </c>
      <c r="CR102">
        <v>59.312359400078208</v>
      </c>
      <c r="CS102">
        <v>115018.52734863164</v>
      </c>
      <c r="CT102">
        <v>63.198574648687625</v>
      </c>
      <c r="CU102">
        <v>122554.67595873502</v>
      </c>
    </row>
    <row r="103" spans="2:99" x14ac:dyDescent="0.2">
      <c r="C103" s="105" t="s">
        <v>269</v>
      </c>
      <c r="D103">
        <v>10</v>
      </c>
      <c r="E103">
        <v>20280</v>
      </c>
      <c r="F103">
        <v>10</v>
      </c>
      <c r="G103">
        <v>20280</v>
      </c>
      <c r="H103">
        <v>11</v>
      </c>
      <c r="I103">
        <v>22308</v>
      </c>
      <c r="J103">
        <v>11</v>
      </c>
      <c r="K103">
        <v>22308</v>
      </c>
      <c r="L103">
        <v>46</v>
      </c>
      <c r="M103">
        <v>93288</v>
      </c>
      <c r="N103">
        <v>33.542676216260844</v>
      </c>
      <c r="O103">
        <v>68024.547366576997</v>
      </c>
      <c r="P103">
        <v>29.538243737891452</v>
      </c>
      <c r="Q103">
        <v>59903.558300443867</v>
      </c>
      <c r="R103">
        <v>33.535411878981236</v>
      </c>
      <c r="S103">
        <v>68009.815290573941</v>
      </c>
      <c r="T103">
        <v>7.2867572283726174</v>
      </c>
      <c r="U103">
        <v>14777.543659139668</v>
      </c>
      <c r="V103">
        <v>9.3937282155499204</v>
      </c>
      <c r="W103">
        <v>19050.480821135239</v>
      </c>
      <c r="X103">
        <v>8.4551453984088738</v>
      </c>
      <c r="Y103">
        <v>17147.034867973198</v>
      </c>
      <c r="Z103">
        <v>8.5136621966494381</v>
      </c>
      <c r="AA103">
        <v>17265.706934805061</v>
      </c>
      <c r="AB103">
        <v>10.262419423196262</v>
      </c>
      <c r="AC103">
        <v>20812.186590242018</v>
      </c>
      <c r="AD103">
        <v>14.374435544676201</v>
      </c>
      <c r="AE103">
        <v>29151.355284603334</v>
      </c>
      <c r="AF103">
        <v>14.306917937556339</v>
      </c>
      <c r="AG103">
        <v>29014.429577364255</v>
      </c>
      <c r="AH103">
        <v>9.3535834028237961</v>
      </c>
      <c r="AI103">
        <v>18969.067140926658</v>
      </c>
      <c r="AJ103">
        <v>11.311899536701555</v>
      </c>
      <c r="AK103">
        <v>22940.532260430751</v>
      </c>
      <c r="AL103">
        <v>9.1678326859166486</v>
      </c>
      <c r="AM103">
        <v>18592.364687038964</v>
      </c>
      <c r="AN103">
        <v>7.1957034541411353</v>
      </c>
      <c r="AO103">
        <v>14592.886604998223</v>
      </c>
      <c r="AP103">
        <v>6.3361579113138005</v>
      </c>
      <c r="AQ103">
        <v>12849.728244144388</v>
      </c>
      <c r="AR103">
        <v>16.495383223823694</v>
      </c>
      <c r="AS103">
        <v>33452.637177914454</v>
      </c>
      <c r="AT103">
        <v>20</v>
      </c>
      <c r="AU103">
        <v>40560</v>
      </c>
      <c r="AV103">
        <v>21.89999594723897</v>
      </c>
      <c r="AW103">
        <v>44413.191781000634</v>
      </c>
      <c r="AX103">
        <v>30.616060791066573</v>
      </c>
      <c r="AY103">
        <v>62089.371284283014</v>
      </c>
      <c r="AZ103">
        <v>21.375861372731915</v>
      </c>
      <c r="BA103">
        <v>43350.246863900327</v>
      </c>
      <c r="BB103">
        <v>24.248307447581283</v>
      </c>
      <c r="BC103">
        <v>49175.567503694838</v>
      </c>
      <c r="BD103">
        <v>32.342949258187517</v>
      </c>
      <c r="BE103">
        <v>65591.501095604282</v>
      </c>
      <c r="BF103">
        <v>27.421000987123364</v>
      </c>
      <c r="BG103">
        <v>55609.790001886184</v>
      </c>
      <c r="BH103">
        <v>9.7245095791461651</v>
      </c>
      <c r="BI103">
        <v>19721.305426508421</v>
      </c>
      <c r="BJ103">
        <v>11.470532402853598</v>
      </c>
      <c r="BK103">
        <v>23262.239712987095</v>
      </c>
      <c r="BL103">
        <v>8.4070907251957632</v>
      </c>
      <c r="BM103">
        <v>17049.579990697006</v>
      </c>
      <c r="BN103">
        <v>9</v>
      </c>
      <c r="BO103">
        <v>18252</v>
      </c>
      <c r="BP103">
        <v>29</v>
      </c>
      <c r="BQ103">
        <v>58812</v>
      </c>
      <c r="BR103">
        <v>34</v>
      </c>
      <c r="BS103">
        <v>68952</v>
      </c>
      <c r="BT103">
        <v>22</v>
      </c>
      <c r="BU103">
        <v>44616</v>
      </c>
      <c r="BV103">
        <v>25</v>
      </c>
      <c r="BW103">
        <v>50700</v>
      </c>
      <c r="BX103">
        <v>9.916897889696811</v>
      </c>
      <c r="BY103">
        <v>20111.468920305131</v>
      </c>
      <c r="BZ103">
        <v>6.7131341930415607</v>
      </c>
      <c r="CA103">
        <v>13614.236143488284</v>
      </c>
      <c r="CB103">
        <v>7.7945838322601082</v>
      </c>
      <c r="CC103">
        <v>15807.4160118235</v>
      </c>
      <c r="CD103">
        <v>7.1673842256179139</v>
      </c>
      <c r="CE103">
        <v>14535.455209553129</v>
      </c>
      <c r="CF103">
        <v>74</v>
      </c>
      <c r="CG103">
        <v>150072</v>
      </c>
      <c r="CH103">
        <v>44</v>
      </c>
      <c r="CI103">
        <v>89232</v>
      </c>
      <c r="CJ103">
        <v>39</v>
      </c>
      <c r="CK103">
        <v>79092</v>
      </c>
      <c r="CL103">
        <v>55</v>
      </c>
      <c r="CM103">
        <v>111540</v>
      </c>
      <c r="CN103">
        <v>49</v>
      </c>
      <c r="CO103">
        <v>99372</v>
      </c>
      <c r="CP103">
        <v>59</v>
      </c>
      <c r="CQ103">
        <v>119652</v>
      </c>
      <c r="CR103">
        <v>59.336387046238073</v>
      </c>
      <c r="CS103">
        <v>120334.19292977081</v>
      </c>
      <c r="CT103">
        <v>58.223396479773577</v>
      </c>
      <c r="CU103">
        <v>118077.04806098081</v>
      </c>
    </row>
    <row r="104" spans="2:99" x14ac:dyDescent="0.2">
      <c r="C104" s="105" t="s">
        <v>270</v>
      </c>
      <c r="D104">
        <v>11</v>
      </c>
      <c r="E104">
        <v>22796.400000000001</v>
      </c>
      <c r="F104">
        <v>10</v>
      </c>
      <c r="G104">
        <v>20724</v>
      </c>
      <c r="H104">
        <v>12</v>
      </c>
      <c r="I104">
        <v>24868.800000000003</v>
      </c>
      <c r="J104">
        <v>10</v>
      </c>
      <c r="K104">
        <v>20724</v>
      </c>
      <c r="L104">
        <v>43</v>
      </c>
      <c r="M104">
        <v>89113.2</v>
      </c>
      <c r="N104">
        <v>38.493342014782584</v>
      </c>
      <c r="O104">
        <v>79773.601991435426</v>
      </c>
      <c r="P104">
        <v>33.489312488992226</v>
      </c>
      <c r="Q104">
        <v>69403.251202187486</v>
      </c>
      <c r="R104">
        <v>27.486738071801124</v>
      </c>
      <c r="S104">
        <v>56963.515980000651</v>
      </c>
      <c r="T104">
        <v>7.2457919100336721</v>
      </c>
      <c r="U104">
        <v>15016.179154353782</v>
      </c>
      <c r="V104">
        <v>9.437475795055466</v>
      </c>
      <c r="W104">
        <v>19558.224837672948</v>
      </c>
      <c r="X104">
        <v>8.4965222528096813</v>
      </c>
      <c r="Y104">
        <v>17608.192716722784</v>
      </c>
      <c r="Z104">
        <v>7.4708570135953192</v>
      </c>
      <c r="AA104">
        <v>15482.604074974941</v>
      </c>
      <c r="AB104">
        <v>12.262419423196262</v>
      </c>
      <c r="AC104">
        <v>25412.638012631935</v>
      </c>
      <c r="AD104">
        <v>13.408475139646765</v>
      </c>
      <c r="AE104">
        <v>27787.723879403955</v>
      </c>
      <c r="AF104">
        <v>13.306917937556339</v>
      </c>
      <c r="AG104">
        <v>27577.256733791757</v>
      </c>
      <c r="AH104">
        <v>10.388941743106177</v>
      </c>
      <c r="AI104">
        <v>21530.042868413242</v>
      </c>
      <c r="AJ104">
        <v>9.2924058156577072</v>
      </c>
      <c r="AK104">
        <v>19257.581812369033</v>
      </c>
      <c r="AL104">
        <v>10.167832685916649</v>
      </c>
      <c r="AM104">
        <v>21071.816458293662</v>
      </c>
      <c r="AN104">
        <v>7.1761331087270221</v>
      </c>
      <c r="AO104">
        <v>14871.818254525881</v>
      </c>
      <c r="AP104">
        <v>6.312146631934243</v>
      </c>
      <c r="AQ104">
        <v>13081.292680020526</v>
      </c>
      <c r="AR104">
        <v>17.457276821991101</v>
      </c>
      <c r="AS104">
        <v>36178.460485894357</v>
      </c>
      <c r="AT104">
        <v>19</v>
      </c>
      <c r="AU104">
        <v>39375.599999999999</v>
      </c>
      <c r="AV104">
        <v>22.799996397545755</v>
      </c>
      <c r="AW104">
        <v>47250.712534273822</v>
      </c>
      <c r="AX104">
        <v>28.688538531192055</v>
      </c>
      <c r="AY104">
        <v>59454.127252042417</v>
      </c>
      <c r="AZ104">
        <v>24.328878701140425</v>
      </c>
      <c r="BA104">
        <v>50419.168220243417</v>
      </c>
      <c r="BB104">
        <v>27.248307447581283</v>
      </c>
      <c r="BC104">
        <v>56469.392354367454</v>
      </c>
      <c r="BD104">
        <v>31.34294925818752</v>
      </c>
      <c r="BE104">
        <v>64955.12804266782</v>
      </c>
      <c r="BF104">
        <v>27.421000987123364</v>
      </c>
      <c r="BG104">
        <v>56827.28244571446</v>
      </c>
      <c r="BH104">
        <v>8.7636722591000122</v>
      </c>
      <c r="BI104">
        <v>18161.834389758867</v>
      </c>
      <c r="BJ104">
        <v>11.496673091901021</v>
      </c>
      <c r="BK104">
        <v>23825.705315655679</v>
      </c>
      <c r="BL104">
        <v>7.4652465430808723</v>
      </c>
      <c r="BM104">
        <v>15470.976935880801</v>
      </c>
      <c r="BN104">
        <v>9</v>
      </c>
      <c r="BO104">
        <v>18651.600000000002</v>
      </c>
      <c r="BP104">
        <v>26</v>
      </c>
      <c r="BQ104">
        <v>53882.400000000001</v>
      </c>
      <c r="BR104">
        <v>40</v>
      </c>
      <c r="BS104">
        <v>82896</v>
      </c>
      <c r="BT104">
        <v>22.768458802179939</v>
      </c>
      <c r="BU104">
        <v>47185.354021637708</v>
      </c>
      <c r="BV104">
        <v>24</v>
      </c>
      <c r="BW104">
        <v>49737.600000000006</v>
      </c>
      <c r="BX104">
        <v>9.8203823223603042</v>
      </c>
      <c r="BY104">
        <v>20351.760324859497</v>
      </c>
      <c r="BZ104">
        <v>6.6655919135054562</v>
      </c>
      <c r="CA104">
        <v>13813.772681548708</v>
      </c>
      <c r="CB104">
        <v>7.7449223427438518</v>
      </c>
      <c r="CC104">
        <v>16050.577063102359</v>
      </c>
      <c r="CD104">
        <v>7.214079594642631</v>
      </c>
      <c r="CE104">
        <v>14950.458551937389</v>
      </c>
      <c r="CF104">
        <v>74</v>
      </c>
      <c r="CG104">
        <v>153357.6</v>
      </c>
      <c r="CH104">
        <v>40</v>
      </c>
      <c r="CI104">
        <v>82896</v>
      </c>
      <c r="CJ104">
        <v>35</v>
      </c>
      <c r="CK104">
        <v>72534</v>
      </c>
      <c r="CL104">
        <v>59.643257430530738</v>
      </c>
      <c r="CM104">
        <v>123604.68669903191</v>
      </c>
      <c r="CN104">
        <v>46</v>
      </c>
      <c r="CO104">
        <v>95330.400000000009</v>
      </c>
      <c r="CP104">
        <v>53</v>
      </c>
      <c r="CQ104">
        <v>109837.20000000001</v>
      </c>
      <c r="CR104">
        <v>56.336387046238073</v>
      </c>
      <c r="CS104">
        <v>116751.52851462379</v>
      </c>
      <c r="CT104">
        <v>63.223396479773577</v>
      </c>
      <c r="CU104">
        <v>131024.16686468276</v>
      </c>
    </row>
    <row r="105" spans="2:99" x14ac:dyDescent="0.2">
      <c r="C105" s="105" t="s">
        <v>271</v>
      </c>
      <c r="D105">
        <v>12</v>
      </c>
      <c r="E105">
        <v>23976</v>
      </c>
      <c r="F105">
        <v>10</v>
      </c>
      <c r="G105">
        <v>19980</v>
      </c>
      <c r="H105">
        <v>11</v>
      </c>
      <c r="I105">
        <v>21978</v>
      </c>
      <c r="J105">
        <v>11</v>
      </c>
      <c r="K105">
        <v>21978</v>
      </c>
      <c r="L105">
        <v>49</v>
      </c>
      <c r="M105">
        <v>97902</v>
      </c>
      <c r="N105">
        <v>40.592010417739104</v>
      </c>
      <c r="O105">
        <v>81102.836814642724</v>
      </c>
      <c r="P105">
        <v>31.48931248899223</v>
      </c>
      <c r="Q105">
        <v>62915.646353006472</v>
      </c>
      <c r="R105">
        <v>30.438064264621012</v>
      </c>
      <c r="S105">
        <v>60815.252400712779</v>
      </c>
      <c r="T105">
        <v>6.2867572283726174</v>
      </c>
      <c r="U105">
        <v>12560.940942288489</v>
      </c>
      <c r="V105">
        <v>10.39372821554992</v>
      </c>
      <c r="W105">
        <v>20766.668974668741</v>
      </c>
      <c r="X105">
        <v>8.4137685440080681</v>
      </c>
      <c r="Y105">
        <v>16810.709550928121</v>
      </c>
      <c r="Z105">
        <v>8.4708570135953192</v>
      </c>
      <c r="AA105">
        <v>16924.772313163448</v>
      </c>
      <c r="AB105">
        <v>11.295221851095794</v>
      </c>
      <c r="AC105">
        <v>22567.853258489398</v>
      </c>
      <c r="AD105">
        <v>12.408475139646765</v>
      </c>
      <c r="AE105">
        <v>24792.133329014236</v>
      </c>
      <c r="AF105">
        <v>14.272815944494523</v>
      </c>
      <c r="AG105">
        <v>28517.086257100058</v>
      </c>
      <c r="AH105">
        <v>10.353583402823796</v>
      </c>
      <c r="AI105">
        <v>20686.459638841945</v>
      </c>
      <c r="AJ105">
        <v>10.311899536701555</v>
      </c>
      <c r="AK105">
        <v>20603.175274329707</v>
      </c>
      <c r="AL105">
        <v>10.167832685916649</v>
      </c>
      <c r="AM105">
        <v>20315.329706461464</v>
      </c>
      <c r="AN105">
        <v>6.1957034541411353</v>
      </c>
      <c r="AO105">
        <v>12379.015501373988</v>
      </c>
      <c r="AP105">
        <v>5.3601691906933571</v>
      </c>
      <c r="AQ105">
        <v>10709.618043005328</v>
      </c>
      <c r="AR105">
        <v>19.457276821991101</v>
      </c>
      <c r="AS105">
        <v>38875.63909033822</v>
      </c>
      <c r="AT105">
        <v>20</v>
      </c>
      <c r="AU105">
        <v>39960</v>
      </c>
      <c r="AV105">
        <v>19.849996172392363</v>
      </c>
      <c r="AW105">
        <v>39660.292352439938</v>
      </c>
      <c r="AX105">
        <v>30.616060791066573</v>
      </c>
      <c r="AY105">
        <v>61170.889460551014</v>
      </c>
      <c r="AZ105">
        <v>23.375861372731915</v>
      </c>
      <c r="BA105">
        <v>46704.971022718368</v>
      </c>
      <c r="BB105">
        <v>24.248307447581283</v>
      </c>
      <c r="BC105">
        <v>48448.118280267401</v>
      </c>
      <c r="BD105">
        <v>33.440934760526808</v>
      </c>
      <c r="BE105">
        <v>66814.98765153256</v>
      </c>
      <c r="BF105">
        <v>28.467778874581516</v>
      </c>
      <c r="BG105">
        <v>56878.622191413866</v>
      </c>
      <c r="BH105">
        <v>8.6657655592153962</v>
      </c>
      <c r="BI105">
        <v>17314.199587312363</v>
      </c>
      <c r="BJ105">
        <v>12.575095159043286</v>
      </c>
      <c r="BK105">
        <v>25125.040127768487</v>
      </c>
      <c r="BL105">
        <v>7.445861270452502</v>
      </c>
      <c r="BM105">
        <v>14876.830818364098</v>
      </c>
      <c r="BN105">
        <v>9</v>
      </c>
      <c r="BO105">
        <v>17982</v>
      </c>
      <c r="BP105">
        <v>26</v>
      </c>
      <c r="BQ105">
        <v>51948</v>
      </c>
      <c r="BR105">
        <v>35</v>
      </c>
      <c r="BS105">
        <v>69930</v>
      </c>
      <c r="BT105">
        <v>23</v>
      </c>
      <c r="BU105">
        <v>45954</v>
      </c>
      <c r="BV105">
        <v>25</v>
      </c>
      <c r="BW105">
        <v>49950</v>
      </c>
      <c r="BX105">
        <v>8.916897889696811</v>
      </c>
      <c r="BY105">
        <v>17815.96198361423</v>
      </c>
      <c r="BZ105">
        <v>5.7606764725776642</v>
      </c>
      <c r="CA105">
        <v>11509.831592210174</v>
      </c>
      <c r="CB105">
        <v>6.8442453217763646</v>
      </c>
      <c r="CC105">
        <v>13674.802152909177</v>
      </c>
      <c r="CD105">
        <v>7.0739934875684813</v>
      </c>
      <c r="CE105">
        <v>14133.838988161826</v>
      </c>
      <c r="CF105">
        <v>74</v>
      </c>
      <c r="CG105">
        <v>147852</v>
      </c>
      <c r="CH105">
        <v>47</v>
      </c>
      <c r="CI105">
        <v>93906</v>
      </c>
      <c r="CJ105">
        <v>42</v>
      </c>
      <c r="CK105">
        <v>83916</v>
      </c>
      <c r="CL105">
        <v>57.944521292794704</v>
      </c>
      <c r="CM105">
        <v>115773.15354300382</v>
      </c>
      <c r="CN105">
        <v>47</v>
      </c>
      <c r="CO105">
        <v>93906</v>
      </c>
      <c r="CP105">
        <v>59</v>
      </c>
      <c r="CQ105">
        <v>117882</v>
      </c>
      <c r="CR105">
        <v>55.312359400078208</v>
      </c>
      <c r="CS105">
        <v>110514.09408135626</v>
      </c>
      <c r="CT105">
        <v>63.198574648687625</v>
      </c>
      <c r="CU105">
        <v>126270.75214807788</v>
      </c>
    </row>
    <row r="107" spans="2:99" x14ac:dyDescent="0.2">
      <c r="B107" s="108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>
        <f>SUM(D$6:D$19)+SUM(F$6:F$19)+SUM(H$6:H$19)+SUM(J$6:J$19)</f>
        <v>1522</v>
      </c>
      <c r="E109">
        <f>SUM(L$6:L$19)+SUM(N$6:N$19)+SUM(P$6:P$19)+SUM(R$6:R$19)</f>
        <v>308</v>
      </c>
      <c r="F109">
        <f>SUM(T$6:T$19)+SUM(V$6:V$19)+SUM(X$6:X$19)+SUM(Z$6:Z$19)</f>
        <v>1090</v>
      </c>
      <c r="G109">
        <f>SUM(AB$6:AB$19)+SUM(AD$6:AD$19)+SUM(AF$6:AF$19)+SUM(AH$6:AH$19)</f>
        <v>834</v>
      </c>
      <c r="H109">
        <f>SUM(AJ$6:AJ$19)+SUM(AL$6:AL$19)+SUM(AN$6:AN$19)+SUM(AP$6:AP$19)</f>
        <v>589</v>
      </c>
      <c r="I109">
        <f>SUM(AR$6:AR$19)+SUM(AT$6:AT$19)+SUM(AV$6:AV$19)+SUM(AX$6:AX$19)</f>
        <v>1284</v>
      </c>
      <c r="J109">
        <f>SUM(AZ$6:AZ$19)+SUM(BB$6:BB$19)+SUM(BD$6:BD$19)+SUM(BF$6:BF$19)</f>
        <v>946</v>
      </c>
      <c r="K109">
        <f>SUM(BH$6:BH$19)+SUM(BJ$6:BJ$19)+SUM(BL$6:BL$19)+SUM(BN$6:BN$19)</f>
        <v>1169.5736416426575</v>
      </c>
      <c r="L109">
        <f>SUM(BP$6:BP$19)+SUM(BR$6:BR$19)+SUM(BT$6:BT$19)+SUM(BV$6:BV$19)</f>
        <v>364</v>
      </c>
      <c r="M109">
        <f>SUM(BX$6:BX$19)+SUM(BZ$6:BZ$19)+SUM(CB$6:CB$19)+SUM(CD$6:CD$19)</f>
        <v>2213</v>
      </c>
      <c r="N109">
        <f>SUM(CF$6:CF$19)+SUM(CH$6:CH$19)+SUM(CJ$6:CJ$19)+SUM(CL$6:CL$19)</f>
        <v>423.79933358588903</v>
      </c>
      <c r="O109">
        <f>SUM(CN$6:CN$19)+SUM(CP$6:CP$19)+SUM(CR$6:CR$19)+SUM(CT$6:CT$19)</f>
        <v>406.73346973038281</v>
      </c>
    </row>
    <row r="110" spans="2:99" x14ac:dyDescent="0.2">
      <c r="C110" s="105" t="s">
        <v>127</v>
      </c>
      <c r="D110">
        <f>SUM(D$20:D$36)+SUM(F$20:F$36)+SUM(H$20:H$36)+SUM(J$20:J$36)</f>
        <v>1089</v>
      </c>
      <c r="E110">
        <f>SUM(L$20:L$36)+SUM(N$20:N$36)+SUM(P$20:P$36)+SUM(R$20:R$36)</f>
        <v>3168</v>
      </c>
      <c r="F110">
        <f>SUM(T$20:T$36)+SUM(V$20:V$36)+SUM(X$20:X$36)+SUM(Z$20:Z$36)</f>
        <v>641</v>
      </c>
      <c r="G110">
        <f>SUM(AB$20:AB$36)+SUM(AD$20:AD$36)+SUM(AF$20:AF$36)+SUM(AH$20:AH$36)</f>
        <v>1855</v>
      </c>
      <c r="H110">
        <f>SUM(AJ$20:AJ$36)+SUM(AL$20:AL$36)+SUM(AN$20:AN$36)+SUM(AP$20:AP$36)</f>
        <v>573</v>
      </c>
      <c r="I110">
        <f>SUM(AR$20:AR$36)+SUM(AT$20:AT$36)+SUM(AV$20:AV$36)+SUM(AX$20:AX$36)</f>
        <v>7807</v>
      </c>
      <c r="J110">
        <f>SUM(AZ$20:AZ$36)+SUM(BB$20:BB$36)+SUM(BD$20:BD$36)+SUM(BF$20:BF$36)</f>
        <v>6119.7929992287236</v>
      </c>
      <c r="K110">
        <f>SUM(BH$20:BH$36)+SUM(BJ$20:BJ$36)+SUM(BL$20:BL$36)+SUM(BN$20:BN$36)</f>
        <v>8030.8826299369885</v>
      </c>
      <c r="L110">
        <f>SUM(BP$20:BP$36)+SUM(BR$20:BR$36)+SUM(BT$20:BT$36)+SUM(BV$20:BV$36)</f>
        <v>5281</v>
      </c>
      <c r="M110">
        <f>SUM(BX$20:BX$36)+SUM(BZ$20:BZ$36)+SUM(CB$20:CB$36)+SUM(CD$20:CD$36)</f>
        <v>777</v>
      </c>
      <c r="N110">
        <f>SUM(CF$20:CF$36)+SUM(CH$20:CH$36)+SUM(CJ$20:CJ$36)+SUM(CL$20:CL$36)</f>
        <v>1443</v>
      </c>
      <c r="O110">
        <f>SUM(CN$20:CN$36)+SUM(CP$20:CP$36)+SUM(CR$20:CR$36)+SUM(CT$20:CT$36)</f>
        <v>2353.2864092204782</v>
      </c>
    </row>
    <row r="111" spans="2:99" x14ac:dyDescent="0.2">
      <c r="C111" s="105" t="s">
        <v>128</v>
      </c>
      <c r="D111">
        <f>SUM(D$37:D$48)+SUM(F$37:F$48)+SUM(H$37:H$48)+SUM(J$37:J$48)</f>
        <v>652</v>
      </c>
      <c r="E111">
        <f>SUM(L$37:L$48)+SUM(N$37:N$48)+SUM(P$37:P$48)+SUM(R$37:R$48)</f>
        <v>241</v>
      </c>
      <c r="F111">
        <f>SUM(T$37:T$48)+SUM(V$37:V$48)+SUM(X$37:X$48)+SUM(Z$37:Z$48)</f>
        <v>668</v>
      </c>
      <c r="G111">
        <f>SUM(AB$37:AB$48)+SUM(AD$37:AD$48)+SUM(AF$37:AF$48)+SUM(AH$37:AH$48)</f>
        <v>422</v>
      </c>
      <c r="H111">
        <f>SUM(AJ$37:AJ$48)+SUM(AL$37:AL$48)+SUM(AN$37:AN$48)+SUM(AP$37:AP$48)</f>
        <v>588</v>
      </c>
      <c r="I111">
        <f>SUM(AR$37:AR$48)+SUM(AT$37:AT$48)+SUM(AV$37:AV$48)+SUM(AX$37:AX$48)</f>
        <v>491</v>
      </c>
      <c r="J111">
        <f>SUM(AZ$37:AZ$48)+SUM(BB$37:BB$48)+SUM(BD$37:BD$48)+SUM(BF$37:BF$48)</f>
        <v>1769.7206982662856</v>
      </c>
      <c r="K111">
        <f>SUM(BH$37:BH$48)+SUM(BJ$37:BJ$48)+SUM(BL$37:BL$48)+SUM(BN$37:BN$48)</f>
        <v>886.72048316627729</v>
      </c>
      <c r="L111">
        <f>SUM(BP$37:BP$48)+SUM(BR$37:BR$48)+SUM(BT$37:BT$48)+SUM(BV$37:BV$48)</f>
        <v>2316</v>
      </c>
      <c r="M111">
        <f>SUM(BX$37:BX$48)+SUM(BZ$37:BZ$48)+SUM(CB$37:CB$48)+SUM(CD$37:CD$48)</f>
        <v>319</v>
      </c>
      <c r="N111">
        <f>SUM(CF$37:CF$48)+SUM(CH$37:CH$48)+SUM(CJ$37:CJ$48)+SUM(CL$37:CL$48)</f>
        <v>1310.6258885917402</v>
      </c>
      <c r="O111">
        <f>SUM(CN$37:CN$48)+SUM(CP$37:CP$48)+SUM(CR$37:CR$48)+SUM(CT$37:CT$48)</f>
        <v>2296.6913984433277</v>
      </c>
    </row>
    <row r="112" spans="2:99" x14ac:dyDescent="0.2">
      <c r="C112" s="105" t="s">
        <v>129</v>
      </c>
      <c r="D112">
        <f>SUM(D$49:D$70)+SUM(F$49:F$70)+SUM(H$49:H$70)+SUM(J$49:J$70)</f>
        <v>1349</v>
      </c>
      <c r="E112">
        <f>SUM(L$49:L$70)+SUM(N$49:N$70)+SUM(P$49:P$70)+SUM(R$49:R$70)</f>
        <v>3258.2024561181206</v>
      </c>
      <c r="F112">
        <f>SUM(T$49:T$70)+SUM(V$49:V$70)+SUM(X$49:X$70)+SUM(Z$49:Z$70)</f>
        <v>433.91317343384173</v>
      </c>
      <c r="G112">
        <f>SUM(AB$49:AB$70)+SUM(AD$49:AD$70)+SUM(AF$49:AF$70)+SUM(AH$49:AH$70)</f>
        <v>1943.6708651448694</v>
      </c>
      <c r="H112">
        <f>SUM(AJ$49:AJ$70)+SUM(AL$49:AL$70)+SUM(AN$49:AN$70)+SUM(AP$49:AP$70)</f>
        <v>2188.4343694902427</v>
      </c>
      <c r="I112">
        <f>SUM(AR$49:AR$70)+SUM(AT$49:AT$70)+SUM(AV$49:AV$70)+SUM(AX$49:AX$70)</f>
        <v>977.79100088613177</v>
      </c>
      <c r="J112">
        <f>SUM(AZ$49:AZ$70)+SUM(BB$49:BB$70)+SUM(BD$49:BD$70)+SUM(BF$49:BF$70)</f>
        <v>728.64784322539685</v>
      </c>
      <c r="K112">
        <f>SUM(BH$49:BH$70)+SUM(BJ$49:BJ$70)+SUM(BL$49:BL$70)+SUM(BN$49:BN$70)</f>
        <v>1010.1339467221514</v>
      </c>
      <c r="L112">
        <f>SUM(BP$49:BP$70)+SUM(BR$49:BR$70)+SUM(BT$49:BT$70)+SUM(BV$49:BV$70)</f>
        <v>521.88593074733217</v>
      </c>
      <c r="M112">
        <f>SUM(BX$49:BX$70)+SUM(BZ$49:BZ$70)+SUM(CB$49:CB$70)+SUM(CD$49:CD$70)</f>
        <v>348.95831026024479</v>
      </c>
      <c r="N112">
        <f>SUM(CF$49:CF$70)+SUM(CH$49:CH$70)+SUM(CJ$49:CJ$70)+SUM(CL$49:CL$70)</f>
        <v>1431.7048517979774</v>
      </c>
      <c r="O112">
        <f>SUM(CN$49:CN$70)+SUM(CP$49:CP$70)+SUM(CR$49:CR$70)+SUM(CT$49:CT$70)</f>
        <v>1043.278788595569</v>
      </c>
    </row>
    <row r="113" spans="2:15" x14ac:dyDescent="0.2">
      <c r="C113" s="105" t="s">
        <v>130</v>
      </c>
      <c r="D113">
        <f>SUM(D$71:D$86)+SUM(F$71:F$86)+SUM(H$71:H$86)+SUM(J$71:J$86)</f>
        <v>991</v>
      </c>
      <c r="E113">
        <f>SUM(L$71:L$86)+SUM(N$71:N$86)+SUM(P$71:P$86)+SUM(R$71:R$86)</f>
        <v>761</v>
      </c>
      <c r="F113">
        <f>SUM(T$71:T$86)+SUM(V$71:V$86)+SUM(X$71:X$86)+SUM(Z$71:Z$86)</f>
        <v>409.66411823435283</v>
      </c>
      <c r="G113">
        <f>SUM(AB$71:AB$86)+SUM(AD$71:AD$86)+SUM(AF$71:AF$86)+SUM(AH$71:AH$86)</f>
        <v>1347.7057262507756</v>
      </c>
      <c r="H113">
        <f>SUM(AJ$71:AJ$86)+SUM(AL$71:AL$86)+SUM(AN$71:AN$86)+SUM(AP$71:AP$86)</f>
        <v>852.34727560259057</v>
      </c>
      <c r="I113">
        <f>SUM(AR$71:AR$86)+SUM(AT$71:AT$86)+SUM(AV$71:AV$86)+SUM(AX$71:AX$86)</f>
        <v>2037.2223137230671</v>
      </c>
      <c r="J113">
        <f>SUM(AZ$71:AZ$86)+SUM(BB$71:BB$86)+SUM(BD$71:BD$86)+SUM(BF$71:BF$86)</f>
        <v>1501.2400668118953</v>
      </c>
      <c r="K113">
        <f>SUM(BH$71:BH$86)+SUM(BJ$71:BJ$86)+SUM(BL$71:BL$86)+SUM(BN$71:BN$86)</f>
        <v>1815.8671819229157</v>
      </c>
      <c r="L113">
        <f>SUM(BP$71:BP$86)+SUM(BR$71:BR$86)+SUM(BT$71:BT$86)+SUM(BV$71:BV$86)</f>
        <v>911.12172080672792</v>
      </c>
      <c r="M113">
        <f>SUM(BX$71:BX$86)+SUM(BZ$71:BZ$86)+SUM(CB$71:CB$86)+SUM(CD$71:CD$86)</f>
        <v>327.08540571854235</v>
      </c>
      <c r="N113">
        <f>SUM(CF$71:CF$86)+SUM(CH$71:CH$86)+SUM(CJ$71:CJ$86)+SUM(CL$71:CL$86)</f>
        <v>386.37066444859698</v>
      </c>
      <c r="O113">
        <f>SUM(CN$71:CN$86)+SUM(CP$71:CP$86)+SUM(CR$71:CR$86)+SUM(CT$71:CT$86)</f>
        <v>613.49520666436501</v>
      </c>
    </row>
    <row r="114" spans="2:15" x14ac:dyDescent="0.2">
      <c r="C114" s="105" t="s">
        <v>131</v>
      </c>
      <c r="D114">
        <f>SUM(D$87:D$94)+SUM(F$87:F$94)+SUM(H$87:H$94)+SUM(J$87:J$94)</f>
        <v>189</v>
      </c>
      <c r="E114">
        <f>SUM(L$87:L$94)+SUM(N$87:N$94)+SUM(P$87:P$94)+SUM(R$87:R$94)</f>
        <v>202.04510106586258</v>
      </c>
      <c r="F114">
        <f>SUM(T$87:T$94)+SUM(V$87:V$94)+SUM(X$87:X$94)+SUM(Z$87:Z$94)</f>
        <v>938</v>
      </c>
      <c r="G114">
        <f>SUM(AB$87:AB$94)+SUM(AD$87:AD$94)+SUM(AF$87:AF$94)+SUM(AH$87:AH$94)</f>
        <v>275</v>
      </c>
      <c r="H114">
        <f>SUM(AJ$87:AJ$94)+SUM(AL$87:AL$94)+SUM(AN$87:AN$94)+SUM(AP$87:AP$94)</f>
        <v>525.46405808267014</v>
      </c>
      <c r="I114">
        <f>SUM(AR$87:AR$94)+SUM(AT$87:AT$94)+SUM(AV$87:AV$94)+SUM(AX$87:AX$94)</f>
        <v>1311.7388745301605</v>
      </c>
      <c r="J114">
        <f>SUM(AZ$87:AZ$94)+SUM(BB$87:BB$94)+SUM(BD$87:BD$94)+SUM(BF$87:BF$94)</f>
        <v>215.69765930573055</v>
      </c>
      <c r="K114">
        <f>SUM(BH$87:BH$94)+SUM(BJ$87:BJ$94)+SUM(BL$87:BL$94)+SUM(BN$87:BN$94)</f>
        <v>638.94414445206701</v>
      </c>
      <c r="L114">
        <f>SUM(BP$87:BP$94)+SUM(BR$87:BR$94)+SUM(BT$87:BT$94)+SUM(BV$87:BV$94)</f>
        <v>237.81206102968355</v>
      </c>
      <c r="M114">
        <f>SUM(BX$87:BX$94)+SUM(BZ$87:BZ$94)+SUM(CB$87:CB$94)+SUM(CD$87:CD$94)</f>
        <v>279.36912314954151</v>
      </c>
      <c r="N114">
        <f>SUM(CF$87:CF$94)+SUM(CH$87:CH$94)+SUM(CJ$87:CJ$94)+SUM(CL$87:CL$94)</f>
        <v>169.23538595382669</v>
      </c>
      <c r="O114">
        <f>SUM(CN$87:CN$94)+SUM(CP$87:CP$94)+SUM(CR$87:CR$94)+SUM(CT$87:CT$94)</f>
        <v>259.53604297984566</v>
      </c>
    </row>
    <row r="115" spans="2:15" x14ac:dyDescent="0.2">
      <c r="C115" s="105" t="s">
        <v>132</v>
      </c>
      <c r="D115">
        <f>SUM(D$95:D$105)+SUM(F$95:F$105)+SUM(H$95:H$105)+SUM(J$95:J$105)</f>
        <v>479</v>
      </c>
      <c r="E115">
        <f>SUM(L$95:L$105)+SUM(N$95:N$105)+SUM(P$95:P$105)+SUM(R$95:R$105)</f>
        <v>1657.8744158422683</v>
      </c>
      <c r="F115">
        <f>SUM(T$95:T$105)+SUM(V$95:V$105)+SUM(X$95:X$105)+SUM(Z$95:Z$105)</f>
        <v>370.54324307776585</v>
      </c>
      <c r="G115">
        <f>SUM(AB$95:AB$105)+SUM(AD$95:AD$105)+SUM(AF$95:AF$105)+SUM(AH$95:AH$105)</f>
        <v>545.41465907192594</v>
      </c>
      <c r="H115">
        <f>SUM(AJ$95:AJ$105)+SUM(AL$95:AL$105)+SUM(AN$95:AN$105)+SUM(AP$95:AP$105)</f>
        <v>374.15431192470828</v>
      </c>
      <c r="I115">
        <f>SUM(AR$95:AR$105)+SUM(AT$95:AT$105)+SUM(AV$95:AV$105)+SUM(AX$95:AX$105)</f>
        <v>969.36221148731283</v>
      </c>
      <c r="J115">
        <f>SUM(AZ$95:AZ$105)+SUM(BB$95:BB$105)+SUM(BD$95:BD$105)+SUM(BF$95:BF$105)</f>
        <v>1227.7238472206873</v>
      </c>
      <c r="K115">
        <f>SUM(BH$95:BH$105)+SUM(BJ$95:BJ$105)+SUM(BL$95:BL$105)+SUM(BN$95:BN$105)</f>
        <v>420.65871131087891</v>
      </c>
      <c r="L115">
        <f>SUM(BP$95:BP$105)+SUM(BR$95:BR$105)+SUM(BT$95:BT$105)+SUM(BV$95:BV$105)</f>
        <v>1253.3393139123707</v>
      </c>
      <c r="M115">
        <f>SUM(BX$95:BX$105)+SUM(BZ$95:BZ$105)+SUM(CB$95:CB$105)+SUM(CD$95:CD$105)</f>
        <v>332.74350526617826</v>
      </c>
      <c r="N115">
        <f>SUM(CF$95:CF$105)+SUM(CH$95:CH$105)+SUM(CJ$95:CJ$105)+SUM(CL$95:CL$105)</f>
        <v>2316.2719137164727</v>
      </c>
      <c r="O115">
        <f>SUM(CN$95:CN$105)+SUM(CP$95:CP$105)+SUM(CR$95:CR$105)+SUM(CT$95:CT$105)</f>
        <v>2510.7459720617062</v>
      </c>
    </row>
    <row r="116" spans="2:15" x14ac:dyDescent="0.2">
      <c r="C116" s="105" t="s">
        <v>278</v>
      </c>
      <c r="D116">
        <f t="shared" ref="D116:O116" si="0">SUM(D$109:D$115)</f>
        <v>6271</v>
      </c>
      <c r="E116">
        <f t="shared" si="0"/>
        <v>9596.121973026251</v>
      </c>
      <c r="F116">
        <f t="shared" si="0"/>
        <v>4551.12053474596</v>
      </c>
      <c r="G116">
        <f t="shared" si="0"/>
        <v>7222.7912504675705</v>
      </c>
      <c r="H116">
        <f t="shared" si="0"/>
        <v>5690.400015100211</v>
      </c>
      <c r="I116">
        <f t="shared" si="0"/>
        <v>14878.114400626671</v>
      </c>
      <c r="J116">
        <f t="shared" si="0"/>
        <v>12508.82311405872</v>
      </c>
      <c r="K116">
        <f t="shared" si="0"/>
        <v>13972.780739153934</v>
      </c>
      <c r="L116">
        <f t="shared" si="0"/>
        <v>10885.159026496114</v>
      </c>
      <c r="M116">
        <f t="shared" si="0"/>
        <v>4597.156344394507</v>
      </c>
      <c r="N116">
        <f t="shared" si="0"/>
        <v>7481.0080380945037</v>
      </c>
      <c r="O116">
        <f t="shared" si="0"/>
        <v>9483.7672876956749</v>
      </c>
    </row>
    <row r="118" spans="2:15" x14ac:dyDescent="0.2">
      <c r="B118" s="107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>
        <f>D109*pricing!D24*2000</f>
        <v>4961405.7499136413</v>
      </c>
      <c r="E120">
        <f>E109*pricing!E24*2000</f>
        <v>2137537.0347803566</v>
      </c>
      <c r="F120">
        <f>F109*pricing!F24*2000</f>
        <v>4352455.881822546</v>
      </c>
      <c r="G120">
        <f>G109*pricing!G24*2000</f>
        <v>3914338.6505496898</v>
      </c>
      <c r="H120">
        <f>H109*pricing!H24*2000</f>
        <v>3188037.7176099285</v>
      </c>
      <c r="I120">
        <f>I109*pricing!I24*2000</f>
        <v>4681345.2592346752</v>
      </c>
      <c r="J120">
        <f>J109*pricing!J24*2000</f>
        <v>4180297.1732645966</v>
      </c>
      <c r="K120">
        <f>K109*pricing!K24*2000</f>
        <v>4805265.696739641</v>
      </c>
      <c r="L120">
        <f>L109*pricing!L24*2000</f>
        <v>2568940.6042067567</v>
      </c>
      <c r="M120">
        <f>M109*pricing!M24*2000</f>
        <v>7358788.8840113506</v>
      </c>
      <c r="N120">
        <f>N109*pricing!N24*2000</f>
        <v>2886458.3022519518</v>
      </c>
      <c r="O120">
        <f>O109*pricing!O24*2000</f>
        <v>2876051.9240022339</v>
      </c>
    </row>
    <row r="121" spans="2:15" x14ac:dyDescent="0.2">
      <c r="C121" s="105" t="s">
        <v>127</v>
      </c>
      <c r="D121">
        <f>D110*pricing!D25*2000</f>
        <v>6072438.8277225923</v>
      </c>
      <c r="E121">
        <f>E110*pricing!E25*2000</f>
        <v>10754278.855377495</v>
      </c>
      <c r="F121">
        <f>F110*pricing!F25*2000</f>
        <v>4594059.6995451367</v>
      </c>
      <c r="G121">
        <f>G110*pricing!G25*2000</f>
        <v>8518274.4693702534</v>
      </c>
      <c r="H121">
        <f>H110*pricing!H25*2000</f>
        <v>3994293.0116144009</v>
      </c>
      <c r="I121">
        <f>I110*pricing!I25*2000</f>
        <v>18447130.010094211</v>
      </c>
      <c r="J121">
        <f>J110*pricing!J25*2000</f>
        <v>17110429.892710466</v>
      </c>
      <c r="K121">
        <f>K110*pricing!K25*2000</f>
        <v>19074898.777236912</v>
      </c>
      <c r="L121">
        <f>L110*pricing!L25*2000</f>
        <v>15462621.723385891</v>
      </c>
      <c r="M121">
        <f>M110*pricing!M25*2000</f>
        <v>4978835.2870640503</v>
      </c>
      <c r="N121">
        <f>N110*pricing!N25*2000</f>
        <v>7875350.4512303639</v>
      </c>
      <c r="O121">
        <f>O110*pricing!O25*2000</f>
        <v>9539683.8313999623</v>
      </c>
    </row>
    <row r="122" spans="2:15" x14ac:dyDescent="0.2">
      <c r="C122" s="105" t="s">
        <v>128</v>
      </c>
      <c r="D122">
        <f>D111*pricing!D26*2000</f>
        <v>2889460.7672789353</v>
      </c>
      <c r="E122">
        <f>E111*pricing!E26*2000</f>
        <v>1731563.7604832067</v>
      </c>
      <c r="F122">
        <f>F111*pricing!F26*2000</f>
        <v>2977828.5234120442</v>
      </c>
      <c r="G122">
        <f>G111*pricing!G26*2000</f>
        <v>2487018.3350902558</v>
      </c>
      <c r="H122">
        <f>H111*pricing!H26*2000</f>
        <v>2932484.5349653149</v>
      </c>
      <c r="I122">
        <f>I111*pricing!I26*2000</f>
        <v>2864011.0766431931</v>
      </c>
      <c r="J122">
        <f>J111*pricing!J26*2000</f>
        <v>5634457.4324597726</v>
      </c>
      <c r="K122">
        <f>K111*pricing!K26*2000</f>
        <v>3791853.7863239637</v>
      </c>
      <c r="L122">
        <f>L111*pricing!L26*2000</f>
        <v>6501529.4497316359</v>
      </c>
      <c r="M122">
        <f>M111*pricing!M26*2000</f>
        <v>2041979.5806534856</v>
      </c>
      <c r="N122">
        <f>N111*pricing!N26*2000</f>
        <v>4243768.9016953483</v>
      </c>
      <c r="O122">
        <f>O111*pricing!O26*2000</f>
        <v>6024065.3829927854</v>
      </c>
    </row>
    <row r="123" spans="2:15" x14ac:dyDescent="0.2">
      <c r="C123" s="105" t="s">
        <v>129</v>
      </c>
      <c r="D123">
        <f>D112*pricing!D27*2000</f>
        <v>5427324.3663388425</v>
      </c>
      <c r="E123">
        <f>E112*pricing!E27*2000</f>
        <v>8809143.8343845531</v>
      </c>
      <c r="F123">
        <f>F112*pricing!F27*2000</f>
        <v>2806321.7994787339</v>
      </c>
      <c r="G123">
        <f>G112*pricing!G27*2000</f>
        <v>6499427.8225972448</v>
      </c>
      <c r="H123">
        <f>H112*pricing!H27*2000</f>
        <v>6926700.4001565631</v>
      </c>
      <c r="I123">
        <f>I112*pricing!I27*2000</f>
        <v>4593505.9718941906</v>
      </c>
      <c r="J123">
        <f>J112*pricing!J27*2000</f>
        <v>3812707.9905973882</v>
      </c>
      <c r="K123">
        <f>K112*pricing!K27*2000</f>
        <v>4649017.1076658294</v>
      </c>
      <c r="L123">
        <f>L112*pricing!L27*2000</f>
        <v>3187718.6518084072</v>
      </c>
      <c r="M123">
        <f>M112*pricing!M27*2000</f>
        <v>2408490.948505627</v>
      </c>
      <c r="N123">
        <f>N112*pricing!N27*2000</f>
        <v>5220855.7104532318</v>
      </c>
      <c r="O123">
        <f>O112*pricing!O27*2000</f>
        <v>4974898.7401533406</v>
      </c>
    </row>
    <row r="124" spans="2:15" x14ac:dyDescent="0.2">
      <c r="C124" s="105" t="s">
        <v>130</v>
      </c>
      <c r="D124">
        <f>D113*pricing!D28*2000</f>
        <v>3661469.427882548</v>
      </c>
      <c r="E124">
        <f>E113*pricing!E28*2000</f>
        <v>3348988.1521469597</v>
      </c>
      <c r="F124">
        <f>F113*pricing!F28*2000</f>
        <v>2361948.2441410879</v>
      </c>
      <c r="G124">
        <f>G113*pricing!G28*2000</f>
        <v>4368616.9961203784</v>
      </c>
      <c r="H124">
        <f>H113*pricing!H28*2000</f>
        <v>3533484.5268309726</v>
      </c>
      <c r="I124">
        <f>I113*pricing!I28*2000</f>
        <v>5321820.2658203915</v>
      </c>
      <c r="J124">
        <f>J113*pricing!J28*2000</f>
        <v>4641533.9744033907</v>
      </c>
      <c r="K124">
        <f>K113*pricing!K28*2000</f>
        <v>5279106.4401185568</v>
      </c>
      <c r="L124">
        <f>L113*pricing!L28*2000</f>
        <v>3957072.2646550178</v>
      </c>
      <c r="M124">
        <f>M113*pricing!M28*2000</f>
        <v>2092660.0685907165</v>
      </c>
      <c r="N124">
        <f>N113*pricing!N28*2000</f>
        <v>2324556.6690355605</v>
      </c>
      <c r="O124">
        <f>O113*pricing!O28*2000</f>
        <v>3316683.058571557</v>
      </c>
    </row>
    <row r="125" spans="2:15" x14ac:dyDescent="0.2">
      <c r="C125" s="105" t="s">
        <v>131</v>
      </c>
      <c r="D125">
        <f>D114*pricing!D29*2000</f>
        <v>1056164.7990038493</v>
      </c>
      <c r="E125">
        <f>E114*pricing!E29*2000</f>
        <v>1042891.3510082141</v>
      </c>
      <c r="F125">
        <f>F114*pricing!F29*2000</f>
        <v>2553025.1493395958</v>
      </c>
      <c r="G125">
        <f>G114*pricing!G29*2000</f>
        <v>1337713.3182174803</v>
      </c>
      <c r="H125">
        <f>H114*pricing!H29*2000</f>
        <v>1884910.221722025</v>
      </c>
      <c r="I125">
        <f>I114*pricing!I29*2000</f>
        <v>3076452.1654681526</v>
      </c>
      <c r="J125">
        <f>J114*pricing!J29*2000</f>
        <v>1230116.4737689835</v>
      </c>
      <c r="K125">
        <f>K114*pricing!K29*2000</f>
        <v>2159969.3766231332</v>
      </c>
      <c r="L125">
        <f>L114*pricing!L29*2000</f>
        <v>1374057.22122087</v>
      </c>
      <c r="M125">
        <f>M114*pricing!M29*2000</f>
        <v>1452343.1635786821</v>
      </c>
      <c r="N125">
        <f>N114*pricing!N29*2000</f>
        <v>1013078.0462704158</v>
      </c>
      <c r="O125">
        <f>O114*pricing!O29*2000</f>
        <v>1366692.7804324948</v>
      </c>
    </row>
    <row r="126" spans="2:15" x14ac:dyDescent="0.2">
      <c r="C126" s="105" t="s">
        <v>132</v>
      </c>
      <c r="D126">
        <f>D115*pricing!D30*2000</f>
        <v>2811772.4106442779</v>
      </c>
      <c r="E126">
        <f>E115*pricing!E30*2000</f>
        <v>4785791.9695048966</v>
      </c>
      <c r="F126">
        <f>F115*pricing!F30*2000</f>
        <v>2155770.9946965701</v>
      </c>
      <c r="G126">
        <f>G115*pricing!G30*2000</f>
        <v>2967111.8456442254</v>
      </c>
      <c r="H126">
        <f>H115*pricing!H30*2000</f>
        <v>2236041.6101405374</v>
      </c>
      <c r="I126">
        <f>I115*pricing!I30*2000</f>
        <v>3839451.7637951677</v>
      </c>
      <c r="J126">
        <f>J115*pricing!J30*2000</f>
        <v>4505125.5150443781</v>
      </c>
      <c r="K126">
        <f>K115*pricing!K30*2000</f>
        <v>2432158.2827811879</v>
      </c>
      <c r="L126">
        <f>L115*pricing!L30*2000</f>
        <v>4376274.8981736293</v>
      </c>
      <c r="M126">
        <f>M115*pricing!M30*2000</f>
        <v>2073943.8959165381</v>
      </c>
      <c r="N126">
        <f>N115*pricing!N30*2000</f>
        <v>5879049.4031233415</v>
      </c>
      <c r="O126">
        <f>O115*pricing!O30*2000</f>
        <v>6258004.8982371558</v>
      </c>
    </row>
    <row r="127" spans="2:15" x14ac:dyDescent="0.2">
      <c r="C127" s="105" t="s">
        <v>278</v>
      </c>
      <c r="D127">
        <f t="shared" ref="D127:O127" si="1">SUM(D$120:D$126)</f>
        <v>26880036.348784689</v>
      </c>
      <c r="E127">
        <f t="shared" si="1"/>
        <v>32610194.957685683</v>
      </c>
      <c r="F127">
        <f t="shared" si="1"/>
        <v>21801410.292435717</v>
      </c>
      <c r="G127">
        <f t="shared" si="1"/>
        <v>30092501.437589522</v>
      </c>
      <c r="H127">
        <f t="shared" si="1"/>
        <v>24695952.023039743</v>
      </c>
      <c r="I127">
        <f t="shared" si="1"/>
        <v>42823716.512949973</v>
      </c>
      <c r="J127">
        <f t="shared" si="1"/>
        <v>41114668.452248976</v>
      </c>
      <c r="K127">
        <f t="shared" si="1"/>
        <v>42192269.467489228</v>
      </c>
      <c r="L127">
        <f t="shared" si="1"/>
        <v>37428214.813182205</v>
      </c>
      <c r="M127">
        <f t="shared" si="1"/>
        <v>22407041.828320444</v>
      </c>
      <c r="N127">
        <f t="shared" si="1"/>
        <v>29443117.484060213</v>
      </c>
      <c r="O127">
        <f t="shared" si="1"/>
        <v>34356080.615789533</v>
      </c>
    </row>
    <row r="129" spans="2:15" x14ac:dyDescent="0.2">
      <c r="B129" s="107" t="s">
        <v>280</v>
      </c>
    </row>
    <row r="130" spans="2:15" x14ac:dyDescent="0.2">
      <c r="C130" s="109" t="s">
        <v>277</v>
      </c>
      <c r="D130" s="109" t="s">
        <v>92</v>
      </c>
      <c r="E130" s="109" t="s">
        <v>93</v>
      </c>
      <c r="F130" s="109" t="s">
        <v>94</v>
      </c>
      <c r="G130" s="109" t="s">
        <v>95</v>
      </c>
      <c r="H130" s="109" t="s">
        <v>96</v>
      </c>
      <c r="I130" s="109" t="s">
        <v>97</v>
      </c>
      <c r="J130" s="109" t="s">
        <v>98</v>
      </c>
      <c r="K130" s="109" t="s">
        <v>99</v>
      </c>
      <c r="L130" s="109" t="s">
        <v>100</v>
      </c>
      <c r="M130" s="109" t="s">
        <v>101</v>
      </c>
      <c r="N130" s="109" t="s">
        <v>102</v>
      </c>
      <c r="O130" s="109" t="s">
        <v>103</v>
      </c>
    </row>
    <row r="131" spans="2:15" x14ac:dyDescent="0.2">
      <c r="C131" s="109" t="s">
        <v>126</v>
      </c>
      <c r="D131" s="110">
        <f>SUM(E$6:E$19)+SUM(G$6:G$19)+SUM(I$6:I$19)+SUM(K$6:K$19)</f>
        <v>765380.4</v>
      </c>
      <c r="E131" s="110">
        <f>SUM(M$6:M$19)+SUM(O$6:O$19)+SUM(Q$6:Q$19)+SUM(S$6:S$19)</f>
        <v>155827.20000000001</v>
      </c>
      <c r="F131" s="110">
        <f>SUM(U$6:U$19)+SUM(W$6:W$19)+SUM(Y$6:Y$19)+SUM(AA$6:AA$19)</f>
        <v>548636.39999999991</v>
      </c>
      <c r="G131" s="110">
        <f>SUM(AC$6:AC$19)+SUM(AE$6:AE$19)+SUM(AG$6:AG$19)+SUM(AI$6:AI$19)</f>
        <v>422665.19999999995</v>
      </c>
      <c r="H131" s="110">
        <f>SUM(AK$6:AK$19)+SUM(AM$6:AM$19)+SUM(AO$6:AO$19)+SUM(AQ$6:AQ$19)</f>
        <v>296988</v>
      </c>
      <c r="I131" s="110">
        <f>SUM(AS$6:AS$19)+SUM(AU$6:AU$19)+SUM(AW$6:AW$19)+SUM(AY$6:AY$19)</f>
        <v>645303.6</v>
      </c>
      <c r="J131" s="110">
        <f>SUM(BA$6:BA$19)+SUM(BC$6:BC$19)+SUM(BE$6:BE$19)+SUM(BG$6:BG$19)</f>
        <v>477008.39999999997</v>
      </c>
      <c r="K131" s="110">
        <f>SUM(BI$6:BI$19)+SUM(BK$6:BK$19)+SUM(BM$6:BM$19)+SUM(BO$6:BO$19)</f>
        <v>588864.47237866279</v>
      </c>
      <c r="L131" s="110">
        <f>SUM(BQ$6:BQ$19)+SUM(BS$6:BS$19)+SUM(BU$6:BU$19)+SUM(BW$6:BW$19)</f>
        <v>183838.8</v>
      </c>
      <c r="M131" s="110">
        <f>SUM(BY$6:BY$19)+SUM(CA$6:CA$19)+SUM(CC$6:CC$19)+SUM(CE$6:CE$19)</f>
        <v>1114969.2</v>
      </c>
      <c r="N131" s="110">
        <f>SUM(CG$6:CG$19)+SUM(CI$6:CI$19)+SUM(CK$6:CK$19)+SUM(CM$6:CM$19)</f>
        <v>214795.87167388329</v>
      </c>
      <c r="O131" s="110">
        <f>SUM(CO$6:CO$19)+SUM(CQ$6:CQ$19)+SUM(CS$6:CS$19)+SUM(CU$6:CU$19)</f>
        <v>204479.44148379943</v>
      </c>
    </row>
    <row r="132" spans="2:15" x14ac:dyDescent="0.2">
      <c r="C132" s="109" t="s">
        <v>127</v>
      </c>
      <c r="D132" s="110">
        <f>SUM(E$20:E$36)+SUM(G$20:G$36)+SUM(I$20:I$36)+SUM(K$20:K$36)</f>
        <v>467269.20000000007</v>
      </c>
      <c r="E132" s="110">
        <f>SUM(M$20:M$36)+SUM(O$20:O$36)+SUM(Q$20:Q$36)+SUM(S$20:S$36)</f>
        <v>1343730</v>
      </c>
      <c r="F132" s="110">
        <f>SUM(U$20:U$36)+SUM(W$20:W$36)+SUM(Y$20:Y$36)+SUM(AA$20:AA$36)</f>
        <v>275596.80000000005</v>
      </c>
      <c r="G132" s="110">
        <f>SUM(AC$20:AC$36)+SUM(AE$20:AE$36)+SUM(AG$20:AG$36)+SUM(AI$20:AI$36)</f>
        <v>792810</v>
      </c>
      <c r="H132" s="110">
        <f>SUM(AK$20:AK$36)+SUM(AM$20:AM$36)+SUM(AO$20:AO$36)+SUM(AQ$20:AQ$36)</f>
        <v>245065.2</v>
      </c>
      <c r="I132" s="110">
        <f>SUM(AS$20:AS$36)+SUM(AU$20:AU$36)+SUM(AW$20:AW$36)+SUM(AY$20:AY$36)</f>
        <v>3297838.8</v>
      </c>
      <c r="J132" s="110">
        <f>SUM(BA$20:BA$36)+SUM(BC$20:BC$36)+SUM(BE$20:BE$36)+SUM(BG$20:BG$36)</f>
        <v>2584878.2520281123</v>
      </c>
      <c r="K132" s="110">
        <f>SUM(BI$20:BI$36)+SUM(BK$20:BK$36)+SUM(BM$20:BM$36)+SUM(BO$20:BO$36)</f>
        <v>3402281.1537136589</v>
      </c>
      <c r="L132" s="110">
        <f>SUM(BQ$20:BQ$36)+SUM(BS$20:BS$36)+SUM(BU$20:BU$36)+SUM(BW$20:BW$36)</f>
        <v>2245171.2000000002</v>
      </c>
      <c r="M132" s="110">
        <f>SUM(BY$20:BY$36)+SUM(CA$20:CA$36)+SUM(CC$20:CC$36)+SUM(CE$20:CE$36)</f>
        <v>332254.8</v>
      </c>
      <c r="N132" s="110">
        <f>SUM(CG$20:CG$36)+SUM(CI$20:CI$36)+SUM(CK$20:CK$36)+SUM(CM$20:CM$36)</f>
        <v>614317.19999999995</v>
      </c>
      <c r="O132" s="110">
        <f>SUM(CO$20:CO$36)+SUM(CQ$20:CQ$36)+SUM(CS$20:CS$36)+SUM(CU$20:CU$36)</f>
        <v>998744.84664238617</v>
      </c>
    </row>
    <row r="133" spans="2:15" x14ac:dyDescent="0.2">
      <c r="C133" s="109" t="s">
        <v>128</v>
      </c>
      <c r="D133" s="110">
        <f>SUM(E$37:E$48)+SUM(G$37:G$48)+SUM(I$37:I$48)+SUM(K$37:K$48)</f>
        <v>682623.60000000009</v>
      </c>
      <c r="E133" s="110">
        <f>SUM(M$37:M$48)+SUM(O$37:O$48)+SUM(Q$37:Q$48)+SUM(S$37:S$48)</f>
        <v>253130.4</v>
      </c>
      <c r="F133" s="110">
        <f>SUM(U$37:U$48)+SUM(W$37:W$48)+SUM(Y$37:Y$48)+SUM(AA$37:AA$48)</f>
        <v>702472.8</v>
      </c>
      <c r="G133" s="110">
        <f>SUM(AC$37:AC$48)+SUM(AE$37:AE$48)+SUM(AG$37:AG$48)+SUM(AI$37:AI$48)</f>
        <v>443332.80000000005</v>
      </c>
      <c r="H133" s="110">
        <f>SUM(AK$37:AK$48)+SUM(AM$37:AM$48)+SUM(AO$37:AO$48)+SUM(AQ$37:AQ$48)</f>
        <v>615217.19999999995</v>
      </c>
      <c r="I133" s="110">
        <f>SUM(AS$37:AS$48)+SUM(AU$37:AU$48)+SUM(AW$37:AW$48)+SUM(AY$37:AY$48)</f>
        <v>516062.4</v>
      </c>
      <c r="J133" s="110">
        <f>SUM(BA$37:BA$48)+SUM(BC$37:BC$48)+SUM(BE$37:BE$48)+SUM(BG$37:BG$48)</f>
        <v>1858064.945648504</v>
      </c>
      <c r="K133" s="110">
        <f>SUM(BI$37:BI$48)+SUM(BK$37:BK$48)+SUM(BM$37:BM$48)+SUM(BO$37:BO$48)</f>
        <v>930124.3546311066</v>
      </c>
      <c r="L133" s="110">
        <f>SUM(BQ$37:BQ$48)+SUM(BS$37:BS$48)+SUM(BU$37:BU$48)+SUM(BW$37:BW$48)</f>
        <v>2408578.7999999998</v>
      </c>
      <c r="M133" s="110">
        <f>SUM(BY$37:BY$48)+SUM(CA$37:CA$48)+SUM(CC$37:CC$48)+SUM(CE$37:CE$48)</f>
        <v>335536.80000000005</v>
      </c>
      <c r="N133" s="110">
        <f>SUM(CG$37:CG$48)+SUM(CI$37:CI$48)+SUM(CK$37:CK$48)+SUM(CM$37:CM$48)</f>
        <v>1371092.3661792206</v>
      </c>
      <c r="O133" s="110">
        <f>SUM(CO$37:CO$48)+SUM(CQ$37:CQ$48)+SUM(CS$37:CS$48)+SUM(CU$37:CU$48)</f>
        <v>2398085.7495552641</v>
      </c>
    </row>
    <row r="134" spans="2:15" x14ac:dyDescent="0.2">
      <c r="C134" s="109" t="s">
        <v>129</v>
      </c>
      <c r="D134" s="110">
        <f>SUM(E$49:E$70)+SUM(G$49:G$70)+SUM(I$49:I$70)+SUM(K$49:K$70)</f>
        <v>1136288.3999999999</v>
      </c>
      <c r="E134" s="110">
        <f>SUM(M$49:M$70)+SUM(O$49:O$70)+SUM(Q$49:Q$70)+SUM(S$49:S$70)</f>
        <v>2720387.2243056772</v>
      </c>
      <c r="F134" s="110">
        <f>SUM(U$49:U$70)+SUM(W$49:W$70)+SUM(Y$49:Y$70)+SUM(AA$49:AA$70)</f>
        <v>370100.50715328573</v>
      </c>
      <c r="G134" s="110">
        <f>SUM(AC$49:AC$70)+SUM(AE$49:AE$70)+SUM(AG$49:AG$70)+SUM(AI$49:AI$70)</f>
        <v>1633503.5664967299</v>
      </c>
      <c r="H134" s="110">
        <f>SUM(AK$49:AK$70)+SUM(AM$49:AM$70)+SUM(AO$49:AO$70)+SUM(AQ$49:AQ$70)</f>
        <v>1843728.7203979888</v>
      </c>
      <c r="I134" s="110">
        <f>SUM(AS$49:AS$70)+SUM(AU$49:AU$70)+SUM(AW$49:AW$70)+SUM(AY$49:AY$70)</f>
        <v>827365.90282145538</v>
      </c>
      <c r="J134" s="110">
        <f>SUM(BA$49:BA$70)+SUM(BC$49:BC$70)+SUM(BE$49:BE$70)+SUM(BG$49:BG$70)</f>
        <v>618472.22550570255</v>
      </c>
      <c r="K134" s="110">
        <f>SUM(BI$49:BI$70)+SUM(BK$49:BK$70)+SUM(BM$49:BM$70)+SUM(BO$49:BO$70)</f>
        <v>855639.56912724266</v>
      </c>
      <c r="L134" s="110">
        <f>SUM(BQ$49:BQ$70)+SUM(BS$49:BS$70)+SUM(BU$49:BU$70)+SUM(BW$49:BW$70)</f>
        <v>446032.98866033007</v>
      </c>
      <c r="M134" s="110">
        <f>SUM(BY$49:BY$70)+SUM(CA$49:CA$70)+SUM(CC$49:CC$70)+SUM(CE$49:CE$70)</f>
        <v>296852.54840074189</v>
      </c>
      <c r="N134" s="110">
        <f>SUM(CG$49:CG$70)+SUM(CI$49:CI$70)+SUM(CK$49:CK$70)+SUM(CM$49:CM$70)</f>
        <v>1208624.1291178665</v>
      </c>
      <c r="O134" s="110">
        <f>SUM(CO$49:CO$70)+SUM(CQ$49:CQ$70)+SUM(CS$49:CS$70)+SUM(CU$49:CU$70)</f>
        <v>877405.56700344977</v>
      </c>
    </row>
    <row r="135" spans="2:15" x14ac:dyDescent="0.2">
      <c r="C135" s="109" t="s">
        <v>130</v>
      </c>
      <c r="D135" s="110">
        <f>SUM(E$71:E$86)+SUM(G$71:G$86)+SUM(I$71:I$86)+SUM(K$71:K$86)</f>
        <v>552272.4</v>
      </c>
      <c r="E135" s="110">
        <f>SUM(M$71:M$86)+SUM(O$71:O$86)+SUM(Q$71:Q$86)+SUM(S$71:S$86)</f>
        <v>425923.19999999995</v>
      </c>
      <c r="F135" s="110">
        <f>SUM(U$71:U$86)+SUM(W$71:W$86)+SUM(Y$71:Y$86)+SUM(AA$71:AA$86)</f>
        <v>228995.23245655248</v>
      </c>
      <c r="G135" s="110">
        <f>SUM(AC$71:AC$86)+SUM(AE$71:AE$86)+SUM(AG$71:AG$86)+SUM(AI$71:AI$86)</f>
        <v>753067.96499533323</v>
      </c>
      <c r="H135" s="110">
        <f>SUM(AK$71:AK$86)+SUM(AM$71:AM$86)+SUM(AO$71:AO$86)+SUM(AQ$71:AQ$86)</f>
        <v>471889.22809114354</v>
      </c>
      <c r="I135" s="110">
        <f>SUM(AS$71:AS$86)+SUM(AU$71:AU$86)+SUM(AW$71:AW$86)+SUM(AY$71:AY$86)</f>
        <v>1136780.3990362217</v>
      </c>
      <c r="J135" s="110">
        <f>SUM(BA$71:BA$86)+SUM(BC$71:BC$86)+SUM(BE$71:BE$86)+SUM(BG$71:BG$86)</f>
        <v>836261.79798835202</v>
      </c>
      <c r="K135" s="110">
        <f>SUM(BI$71:BI$86)+SUM(BK$71:BK$86)+SUM(BM$71:BM$86)+SUM(BO$71:BO$86)</f>
        <v>1002466.2584772955</v>
      </c>
      <c r="L135" s="110">
        <f>SUM(BQ$71:BQ$86)+SUM(BS$71:BS$86)+SUM(BU$71:BU$86)+SUM(BW$71:BW$86)</f>
        <v>507277.17008715105</v>
      </c>
      <c r="M135" s="110">
        <f>SUM(BY$71:BY$86)+SUM(CA$71:CA$86)+SUM(CC$71:CC$86)+SUM(CE$71:CE$86)</f>
        <v>184103.39095563116</v>
      </c>
      <c r="N135" s="110">
        <f>SUM(CG$71:CG$86)+SUM(CI$71:CI$86)+SUM(CK$71:CK$86)+SUM(CM$71:CM$86)</f>
        <v>216485.41013270157</v>
      </c>
      <c r="O135" s="110">
        <f>SUM(CO$71:CO$86)+SUM(CQ$71:CQ$86)+SUM(CS$71:CS$86)+SUM(CU$71:CU$86)</f>
        <v>343419.69020688935</v>
      </c>
    </row>
    <row r="136" spans="2:15" x14ac:dyDescent="0.2">
      <c r="C136" s="109" t="s">
        <v>131</v>
      </c>
      <c r="D136" s="110">
        <f>SUM(E$87:E$94)+SUM(G$87:G$94)+SUM(I$87:I$94)+SUM(K$87:K$94)</f>
        <v>384411.59999999992</v>
      </c>
      <c r="E136" s="110">
        <f>SUM(M$87:M$94)+SUM(O$87:O$94)+SUM(Q$87:Q$94)+SUM(S$87:S$94)</f>
        <v>411242.49113806157</v>
      </c>
      <c r="F136" s="110">
        <f>SUM(U$87:U$94)+SUM(W$87:W$94)+SUM(Y$87:Y$94)+SUM(AA$87:AA$94)</f>
        <v>1896471.5999999999</v>
      </c>
      <c r="G136" s="110">
        <f>SUM(AC$87:AC$94)+SUM(AE$87:AE$94)+SUM(AG$87:AG$94)+SUM(AI$87:AI$94)</f>
        <v>559220.39999999991</v>
      </c>
      <c r="H136" s="110">
        <f>SUM(AK$87:AK$94)+SUM(AM$87:AM$94)+SUM(AO$87:AO$94)+SUM(AQ$87:AQ$94)</f>
        <v>1065757.0452218475</v>
      </c>
      <c r="I136" s="110">
        <f>SUM(AS$87:AS$94)+SUM(AU$87:AU$94)+SUM(AW$87:AW$94)+SUM(AY$87:AY$94)</f>
        <v>2656103.9219922787</v>
      </c>
      <c r="J136" s="110">
        <f>SUM(BA$87:BA$94)+SUM(BC$87:BC$94)+SUM(BE$87:BE$94)+SUM(BG$87:BG$94)</f>
        <v>436896.94205186068</v>
      </c>
      <c r="K136" s="110">
        <f>SUM(BI$87:BI$94)+SUM(BK$87:BK$94)+SUM(BM$87:BM$94)+SUM(BO$87:BO$94)</f>
        <v>1294920.6308315061</v>
      </c>
      <c r="L136" s="110">
        <f>SUM(BQ$87:BQ$94)+SUM(BS$87:BS$94)+SUM(BU$87:BU$94)+SUM(BW$87:BW$94)</f>
        <v>482366.34930869908</v>
      </c>
      <c r="M136" s="110">
        <f>SUM(BY$87:BY$94)+SUM(CA$87:CA$94)+SUM(CC$87:CC$94)+SUM(CE$87:CE$94)</f>
        <v>567975.91313913651</v>
      </c>
      <c r="N136" s="110">
        <f>SUM(CG$87:CG$94)+SUM(CI$87:CI$94)+SUM(CK$87:CK$94)+SUM(CM$87:CM$94)</f>
        <v>344189.93246717571</v>
      </c>
      <c r="O136" s="110">
        <f>SUM(CO$87:CO$94)+SUM(CQ$87:CQ$94)+SUM(CS$87:CS$94)+SUM(CU$87:CU$94)</f>
        <v>527376.44902709627</v>
      </c>
    </row>
    <row r="137" spans="2:15" x14ac:dyDescent="0.2">
      <c r="C137" s="109" t="s">
        <v>132</v>
      </c>
      <c r="D137" s="110">
        <f>SUM(E$95:E$105)+SUM(G$95:G$105)+SUM(I$95:I$105)+SUM(K$95:K$105)</f>
        <v>911907.6</v>
      </c>
      <c r="E137" s="110">
        <f>SUM(M$95:M$105)+SUM(O$95:O$105)+SUM(Q$95:Q$105)+SUM(S$95:S$105)</f>
        <v>3072929.2205472877</v>
      </c>
      <c r="F137" s="110">
        <f>SUM(U$95:U$105)+SUM(W$95:W$105)+SUM(Y$95:Y$105)+SUM(AA$95:AA$105)</f>
        <v>703226.02682793187</v>
      </c>
      <c r="G137" s="110">
        <f>SUM(AC$95:AC$105)+SUM(AE$95:AE$105)+SUM(AG$95:AG$105)+SUM(AI$95:AI$105)</f>
        <v>1030431.2328665168</v>
      </c>
      <c r="H137" s="110">
        <f>SUM(AK$95:AK$105)+SUM(AM$95:AM$105)+SUM(AO$95:AO$105)+SUM(AQ$95:AQ$105)</f>
        <v>718225.15322190779</v>
      </c>
      <c r="I137" s="110">
        <f>SUM(AS$95:AS$105)+SUM(AU$95:AU$105)+SUM(AW$95:AW$105)+SUM(AY$95:AY$105)</f>
        <v>1812711.9488358763</v>
      </c>
      <c r="J137" s="110">
        <f>SUM(BA$95:BA$105)+SUM(BC$95:BC$105)+SUM(BE$95:BE$105)+SUM(BG$95:BG$105)</f>
        <v>2294332.2061805064</v>
      </c>
      <c r="K137" s="110">
        <f>SUM(BI$95:BI$105)+SUM(BK$95:BK$105)+SUM(BM$95:BM$105)+SUM(BO$95:BO$105)</f>
        <v>796474.11811755784</v>
      </c>
      <c r="L137" s="110">
        <f>SUM(BQ$95:BQ$105)+SUM(BS$95:BS$105)+SUM(BU$95:BU$105)+SUM(BW$95:BW$105)</f>
        <v>2327177.7533936594</v>
      </c>
      <c r="M137" s="110">
        <f>SUM(BY$95:BY$105)+SUM(CA$95:CA$105)+SUM(CC$95:CC$105)+SUM(CE$95:CE$105)</f>
        <v>635489.66585906048</v>
      </c>
      <c r="N137" s="110">
        <f>SUM(CG$95:CG$105)+SUM(CI$95:CI$105)+SUM(CK$95:CK$105)+SUM(CM$95:CM$105)</f>
        <v>4254147.7970481347</v>
      </c>
      <c r="O137" s="110">
        <f>SUM(CO$95:CO$105)+SUM(CQ$95:CQ$105)+SUM(CS$95:CS$105)+SUM(CU$95:CU$105)</f>
        <v>4598897.1364248963</v>
      </c>
    </row>
    <row r="138" spans="2:15" x14ac:dyDescent="0.2">
      <c r="C138" s="109" t="s">
        <v>278</v>
      </c>
      <c r="D138">
        <f t="shared" ref="D138:O138" si="2">SUM(D$131:D$137)</f>
        <v>4900153.2</v>
      </c>
      <c r="E138">
        <f t="shared" si="2"/>
        <v>8383169.7359910263</v>
      </c>
      <c r="F138">
        <f t="shared" si="2"/>
        <v>4725499.3664377704</v>
      </c>
      <c r="G138">
        <f t="shared" si="2"/>
        <v>5635031.1643585786</v>
      </c>
      <c r="H138">
        <f t="shared" si="2"/>
        <v>5256870.5469328882</v>
      </c>
      <c r="I138">
        <f t="shared" si="2"/>
        <v>10892166.972685833</v>
      </c>
      <c r="J138">
        <f t="shared" si="2"/>
        <v>9105914.7694030367</v>
      </c>
      <c r="K138">
        <f t="shared" si="2"/>
        <v>8870770.5572770312</v>
      </c>
      <c r="L138">
        <f t="shared" si="2"/>
        <v>8600443.0614498407</v>
      </c>
      <c r="M138">
        <f t="shared" si="2"/>
        <v>3467182.3183545698</v>
      </c>
      <c r="N138">
        <f t="shared" si="2"/>
        <v>8223652.7066189824</v>
      </c>
      <c r="O138">
        <f t="shared" si="2"/>
        <v>9948408.8803437799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sheetData>
    <row r="1" spans="1:99" x14ac:dyDescent="0.2">
      <c r="A1" s="106"/>
    </row>
    <row r="2" spans="1:99" x14ac:dyDescent="0.2">
      <c r="B2" s="1" t="s">
        <v>272</v>
      </c>
    </row>
    <row r="3" spans="1:99" x14ac:dyDescent="0.2">
      <c r="B3" s="107" t="s">
        <v>273</v>
      </c>
    </row>
    <row r="4" spans="1:99" x14ac:dyDescent="0.2">
      <c r="A4" s="106"/>
      <c r="B4" s="106"/>
      <c r="C4" s="105" t="s">
        <v>274</v>
      </c>
      <c r="D4" s="105" t="s">
        <v>92</v>
      </c>
      <c r="E4" s="106"/>
      <c r="F4" s="106"/>
      <c r="G4" s="106"/>
      <c r="H4" s="106"/>
      <c r="I4" s="106"/>
      <c r="J4" s="106"/>
      <c r="K4" s="106"/>
      <c r="L4" s="105" t="s">
        <v>93</v>
      </c>
      <c r="M4" s="106"/>
      <c r="N4" s="106"/>
      <c r="O4" s="106"/>
      <c r="P4" s="106"/>
      <c r="Q4" s="106"/>
      <c r="R4" s="106"/>
      <c r="S4" s="106"/>
      <c r="T4" s="105" t="s">
        <v>94</v>
      </c>
      <c r="U4" s="106"/>
      <c r="V4" s="106"/>
      <c r="W4" s="106"/>
      <c r="X4" s="106"/>
      <c r="Y4" s="106"/>
      <c r="Z4" s="106"/>
      <c r="AA4" s="106"/>
      <c r="AB4" s="105" t="s">
        <v>95</v>
      </c>
      <c r="AC4" s="106"/>
      <c r="AD4" s="106"/>
      <c r="AE4" s="106"/>
      <c r="AF4" s="106"/>
      <c r="AG4" s="106"/>
      <c r="AH4" s="106"/>
      <c r="AI4" s="106"/>
      <c r="AJ4" s="105" t="s">
        <v>96</v>
      </c>
      <c r="AK4" s="106"/>
      <c r="AL4" s="106"/>
      <c r="AM4" s="106"/>
      <c r="AN4" s="106"/>
      <c r="AO4" s="106"/>
      <c r="AP4" s="106"/>
      <c r="AQ4" s="106"/>
      <c r="AR4" s="105" t="s">
        <v>97</v>
      </c>
      <c r="AS4" s="106"/>
      <c r="AT4" s="106"/>
      <c r="AU4" s="106"/>
      <c r="AV4" s="106"/>
      <c r="AW4" s="106"/>
      <c r="AX4" s="106"/>
      <c r="AY4" s="106"/>
      <c r="AZ4" s="105" t="s">
        <v>98</v>
      </c>
      <c r="BA4" s="106"/>
      <c r="BB4" s="106"/>
      <c r="BC4" s="106"/>
      <c r="BD4" s="106"/>
      <c r="BE4" s="106"/>
      <c r="BF4" s="106"/>
      <c r="BG4" s="106"/>
      <c r="BH4" s="105" t="s">
        <v>99</v>
      </c>
      <c r="BI4" s="106"/>
      <c r="BJ4" s="106"/>
      <c r="BK4" s="106"/>
      <c r="BL4" s="106"/>
      <c r="BM4" s="106"/>
      <c r="BN4" s="106"/>
      <c r="BO4" s="106"/>
      <c r="BP4" s="105" t="s">
        <v>100</v>
      </c>
      <c r="BQ4" s="106"/>
      <c r="BR4" s="106"/>
      <c r="BS4" s="106"/>
      <c r="BT4" s="106"/>
      <c r="BU4" s="106"/>
      <c r="BV4" s="106"/>
      <c r="BW4" s="106"/>
      <c r="BX4" s="105" t="s">
        <v>101</v>
      </c>
      <c r="BY4" s="106"/>
      <c r="BZ4" s="106"/>
      <c r="CA4" s="106"/>
      <c r="CB4" s="106"/>
      <c r="CC4" s="106"/>
      <c r="CD4" s="106"/>
      <c r="CE4" s="106"/>
      <c r="CF4" s="105" t="s">
        <v>102</v>
      </c>
      <c r="CG4" s="106"/>
      <c r="CH4" s="106"/>
      <c r="CI4" s="106"/>
      <c r="CJ4" s="106"/>
      <c r="CK4" s="106"/>
      <c r="CL4" s="106"/>
      <c r="CM4" s="106"/>
      <c r="CN4" s="105" t="s">
        <v>103</v>
      </c>
      <c r="CO4" s="106"/>
      <c r="CP4" s="106"/>
      <c r="CQ4" s="106"/>
      <c r="CR4" s="106"/>
      <c r="CS4" s="106"/>
      <c r="CT4" s="106"/>
      <c r="CU4" s="106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>
        <v>4</v>
      </c>
      <c r="E6">
        <v>2313.6</v>
      </c>
      <c r="F6">
        <v>6</v>
      </c>
      <c r="G6">
        <v>3470.3999999999996</v>
      </c>
      <c r="H6">
        <v>6</v>
      </c>
      <c r="I6">
        <v>3470.3999999999996</v>
      </c>
      <c r="J6">
        <v>5</v>
      </c>
      <c r="K6">
        <v>2892</v>
      </c>
      <c r="L6">
        <v>4</v>
      </c>
      <c r="M6">
        <v>2313.6</v>
      </c>
      <c r="N6">
        <v>6</v>
      </c>
      <c r="O6">
        <v>3470.3999999999996</v>
      </c>
      <c r="P6">
        <v>5</v>
      </c>
      <c r="Q6">
        <v>2892</v>
      </c>
      <c r="R6">
        <v>5</v>
      </c>
      <c r="S6">
        <v>2892</v>
      </c>
      <c r="T6">
        <v>79</v>
      </c>
      <c r="U6">
        <v>45693.599999999999</v>
      </c>
      <c r="V6">
        <v>50</v>
      </c>
      <c r="W6">
        <v>28920</v>
      </c>
      <c r="X6">
        <v>65</v>
      </c>
      <c r="Y6">
        <v>37596</v>
      </c>
      <c r="Z6">
        <v>49</v>
      </c>
      <c r="AA6">
        <v>28341.599999999999</v>
      </c>
      <c r="AB6">
        <v>8</v>
      </c>
      <c r="AC6">
        <v>4627.2</v>
      </c>
      <c r="AD6">
        <v>5</v>
      </c>
      <c r="AE6">
        <v>2892</v>
      </c>
      <c r="AF6">
        <v>5</v>
      </c>
      <c r="AG6">
        <v>2892</v>
      </c>
      <c r="AH6">
        <v>7</v>
      </c>
      <c r="AI6">
        <v>4048.7999999999997</v>
      </c>
      <c r="AJ6">
        <v>7</v>
      </c>
      <c r="AK6">
        <v>4048.7999999999997</v>
      </c>
      <c r="AL6">
        <v>4</v>
      </c>
      <c r="AM6">
        <v>2313.6</v>
      </c>
      <c r="AN6">
        <v>5</v>
      </c>
      <c r="AO6">
        <v>2892</v>
      </c>
      <c r="AP6">
        <v>6</v>
      </c>
      <c r="AQ6">
        <v>3470.3999999999996</v>
      </c>
      <c r="AR6">
        <v>4</v>
      </c>
      <c r="AS6">
        <v>2313.6</v>
      </c>
      <c r="AT6">
        <v>7</v>
      </c>
      <c r="AU6">
        <v>4048.7999999999997</v>
      </c>
      <c r="AV6">
        <v>5</v>
      </c>
      <c r="AW6">
        <v>2892</v>
      </c>
      <c r="AX6">
        <v>5</v>
      </c>
      <c r="AY6">
        <v>2892</v>
      </c>
      <c r="AZ6">
        <v>17</v>
      </c>
      <c r="BA6">
        <v>9832.7999999999993</v>
      </c>
      <c r="BB6">
        <v>21</v>
      </c>
      <c r="BC6">
        <v>12146.4</v>
      </c>
      <c r="BD6">
        <v>24</v>
      </c>
      <c r="BE6">
        <v>13881.599999999999</v>
      </c>
      <c r="BF6">
        <v>22</v>
      </c>
      <c r="BG6">
        <v>12724.8</v>
      </c>
      <c r="BH6">
        <v>12</v>
      </c>
      <c r="BI6">
        <v>6940.7999999999993</v>
      </c>
      <c r="BJ6">
        <v>18.462717559926741</v>
      </c>
      <c r="BK6">
        <v>10678.835836661627</v>
      </c>
      <c r="BL6">
        <v>25.049891484870894</v>
      </c>
      <c r="BM6">
        <v>14488.857234849325</v>
      </c>
      <c r="BN6">
        <v>18.227091433996314</v>
      </c>
      <c r="BO6">
        <v>10542.549685423468</v>
      </c>
      <c r="BP6">
        <v>30</v>
      </c>
      <c r="BQ6">
        <v>17352</v>
      </c>
      <c r="BR6">
        <v>23</v>
      </c>
      <c r="BS6">
        <v>13303.199999999999</v>
      </c>
      <c r="BT6">
        <v>20</v>
      </c>
      <c r="BU6">
        <v>11568</v>
      </c>
      <c r="BV6">
        <v>27</v>
      </c>
      <c r="BW6">
        <v>15616.8</v>
      </c>
      <c r="BX6">
        <v>65</v>
      </c>
      <c r="BY6">
        <v>37596</v>
      </c>
      <c r="BZ6">
        <v>50</v>
      </c>
      <c r="CA6">
        <v>28920</v>
      </c>
      <c r="CB6">
        <v>42</v>
      </c>
      <c r="CC6">
        <v>24292.799999999999</v>
      </c>
      <c r="CD6">
        <v>54</v>
      </c>
      <c r="CE6">
        <v>31233.599999999999</v>
      </c>
      <c r="CF6">
        <v>10</v>
      </c>
      <c r="CG6">
        <v>5784</v>
      </c>
      <c r="CH6">
        <v>11</v>
      </c>
      <c r="CI6">
        <v>6362.4</v>
      </c>
      <c r="CJ6">
        <v>7.1375682336298905</v>
      </c>
      <c r="CK6">
        <v>4128.3694663315282</v>
      </c>
      <c r="CL6">
        <v>8.2775461106429109</v>
      </c>
      <c r="CM6">
        <v>4787.7326703958597</v>
      </c>
      <c r="CN6">
        <v>19</v>
      </c>
      <c r="CO6">
        <v>10989.6</v>
      </c>
      <c r="CP6">
        <v>24</v>
      </c>
      <c r="CQ6">
        <v>13881.599999999999</v>
      </c>
      <c r="CR6">
        <v>23.484671343060977</v>
      </c>
      <c r="CS6">
        <v>13583.533904826469</v>
      </c>
      <c r="CT6">
        <v>18</v>
      </c>
      <c r="CU6">
        <v>10411.199999999999</v>
      </c>
    </row>
    <row r="7" spans="1:99" x14ac:dyDescent="0.2">
      <c r="C7" s="105" t="s">
        <v>173</v>
      </c>
      <c r="D7">
        <v>5</v>
      </c>
      <c r="E7">
        <v>3942</v>
      </c>
      <c r="F7">
        <v>6</v>
      </c>
      <c r="G7">
        <v>4730.3999999999996</v>
      </c>
      <c r="H7">
        <v>6</v>
      </c>
      <c r="I7">
        <v>4730.3999999999996</v>
      </c>
      <c r="J7">
        <v>5</v>
      </c>
      <c r="K7">
        <v>3942</v>
      </c>
      <c r="L7">
        <v>4</v>
      </c>
      <c r="M7">
        <v>3153.6</v>
      </c>
      <c r="N7">
        <v>5</v>
      </c>
      <c r="O7">
        <v>3942</v>
      </c>
      <c r="P7">
        <v>5</v>
      </c>
      <c r="Q7">
        <v>3942</v>
      </c>
      <c r="R7">
        <v>5</v>
      </c>
      <c r="S7">
        <v>3942</v>
      </c>
      <c r="T7">
        <v>88</v>
      </c>
      <c r="U7">
        <v>69379.199999999997</v>
      </c>
      <c r="V7">
        <v>50</v>
      </c>
      <c r="W7">
        <v>39420</v>
      </c>
      <c r="X7">
        <v>65</v>
      </c>
      <c r="Y7">
        <v>51246</v>
      </c>
      <c r="Z7">
        <v>43</v>
      </c>
      <c r="AA7">
        <v>33901.199999999997</v>
      </c>
      <c r="AB7">
        <v>8</v>
      </c>
      <c r="AC7">
        <v>6307.2</v>
      </c>
      <c r="AD7">
        <v>4</v>
      </c>
      <c r="AE7">
        <v>3153.6</v>
      </c>
      <c r="AF7">
        <v>4</v>
      </c>
      <c r="AG7">
        <v>3153.6</v>
      </c>
      <c r="AH7">
        <v>9</v>
      </c>
      <c r="AI7">
        <v>7095.5999999999995</v>
      </c>
      <c r="AJ7">
        <v>7</v>
      </c>
      <c r="AK7">
        <v>5518.8</v>
      </c>
      <c r="AL7">
        <v>5</v>
      </c>
      <c r="AM7">
        <v>3942</v>
      </c>
      <c r="AN7">
        <v>5</v>
      </c>
      <c r="AO7">
        <v>3942</v>
      </c>
      <c r="AP7">
        <v>6</v>
      </c>
      <c r="AQ7">
        <v>4730.3999999999996</v>
      </c>
      <c r="AR7">
        <v>4</v>
      </c>
      <c r="AS7">
        <v>3153.6</v>
      </c>
      <c r="AT7">
        <v>6</v>
      </c>
      <c r="AU7">
        <v>4730.3999999999996</v>
      </c>
      <c r="AV7">
        <v>5</v>
      </c>
      <c r="AW7">
        <v>3942</v>
      </c>
      <c r="AX7">
        <v>5</v>
      </c>
      <c r="AY7">
        <v>3942</v>
      </c>
      <c r="AZ7">
        <v>20</v>
      </c>
      <c r="BA7">
        <v>15768</v>
      </c>
      <c r="BB7">
        <v>22</v>
      </c>
      <c r="BC7">
        <v>17344.8</v>
      </c>
      <c r="BD7">
        <v>22</v>
      </c>
      <c r="BE7">
        <v>17344.8</v>
      </c>
      <c r="BF7">
        <v>22</v>
      </c>
      <c r="BG7">
        <v>17344.8</v>
      </c>
      <c r="BH7">
        <v>14</v>
      </c>
      <c r="BI7">
        <v>11037.6</v>
      </c>
      <c r="BJ7">
        <v>17.396615051365778</v>
      </c>
      <c r="BK7">
        <v>13715.491306496779</v>
      </c>
      <c r="BL7">
        <v>25.049891484870894</v>
      </c>
      <c r="BM7">
        <v>19749.334446672212</v>
      </c>
      <c r="BN7">
        <v>17.277556197106609</v>
      </c>
      <c r="BO7">
        <v>13621.625305798851</v>
      </c>
      <c r="BP7">
        <v>25</v>
      </c>
      <c r="BQ7">
        <v>19710</v>
      </c>
      <c r="BR7">
        <v>19</v>
      </c>
      <c r="BS7">
        <v>14979.6</v>
      </c>
      <c r="BT7">
        <v>20</v>
      </c>
      <c r="BU7">
        <v>15768</v>
      </c>
      <c r="BV7">
        <v>29</v>
      </c>
      <c r="BW7">
        <v>22863.599999999999</v>
      </c>
      <c r="BX7">
        <v>64</v>
      </c>
      <c r="BY7">
        <v>50457.599999999999</v>
      </c>
      <c r="BZ7">
        <v>48</v>
      </c>
      <c r="CA7">
        <v>37843.199999999997</v>
      </c>
      <c r="CB7">
        <v>47</v>
      </c>
      <c r="CC7">
        <v>37054.799999999996</v>
      </c>
      <c r="CD7">
        <v>45</v>
      </c>
      <c r="CE7">
        <v>35478</v>
      </c>
      <c r="CF7">
        <v>9</v>
      </c>
      <c r="CG7">
        <v>7095.5999999999995</v>
      </c>
      <c r="CH7">
        <v>12</v>
      </c>
      <c r="CI7">
        <v>9460.7999999999993</v>
      </c>
      <c r="CJ7">
        <v>7.1490322530990484</v>
      </c>
      <c r="CK7">
        <v>5636.2970283432896</v>
      </c>
      <c r="CL7">
        <v>8.2775461106429109</v>
      </c>
      <c r="CM7">
        <v>6526.0173536308712</v>
      </c>
      <c r="CN7">
        <v>20</v>
      </c>
      <c r="CO7">
        <v>15768</v>
      </c>
      <c r="CP7">
        <v>20</v>
      </c>
      <c r="CQ7">
        <v>15768</v>
      </c>
      <c r="CR7">
        <v>21.458706806825568</v>
      </c>
      <c r="CS7">
        <v>16918.044446501277</v>
      </c>
      <c r="CT7">
        <v>18</v>
      </c>
      <c r="CU7">
        <v>14191.199999999999</v>
      </c>
    </row>
    <row r="8" spans="1:99" x14ac:dyDescent="0.2">
      <c r="C8" s="105" t="s">
        <v>174</v>
      </c>
      <c r="D8">
        <v>4</v>
      </c>
      <c r="E8">
        <v>1238.3999999999999</v>
      </c>
      <c r="F8">
        <v>7</v>
      </c>
      <c r="G8">
        <v>2167.1999999999998</v>
      </c>
      <c r="H8">
        <v>6</v>
      </c>
      <c r="I8">
        <v>1857.6</v>
      </c>
      <c r="J8">
        <v>5</v>
      </c>
      <c r="K8">
        <v>1547.9999999999998</v>
      </c>
      <c r="L8">
        <v>4</v>
      </c>
      <c r="M8">
        <v>1238.3999999999999</v>
      </c>
      <c r="N8">
        <v>6</v>
      </c>
      <c r="O8">
        <v>1857.6</v>
      </c>
      <c r="P8">
        <v>5</v>
      </c>
      <c r="Q8">
        <v>1547.9999999999998</v>
      </c>
      <c r="R8">
        <v>5</v>
      </c>
      <c r="S8">
        <v>1547.9999999999998</v>
      </c>
      <c r="T8">
        <v>96</v>
      </c>
      <c r="U8">
        <v>29721.599999999999</v>
      </c>
      <c r="V8">
        <v>59</v>
      </c>
      <c r="W8">
        <v>18266.399999999998</v>
      </c>
      <c r="X8">
        <v>81</v>
      </c>
      <c r="Y8">
        <v>25077.599999999999</v>
      </c>
      <c r="Z8">
        <v>54</v>
      </c>
      <c r="AA8">
        <v>16718.399999999998</v>
      </c>
      <c r="AB8">
        <v>8</v>
      </c>
      <c r="AC8">
        <v>2476.7999999999997</v>
      </c>
      <c r="AD8">
        <v>5</v>
      </c>
      <c r="AE8">
        <v>1547.9999999999998</v>
      </c>
      <c r="AF8">
        <v>5</v>
      </c>
      <c r="AG8">
        <v>1547.9999999999998</v>
      </c>
      <c r="AH8">
        <v>8</v>
      </c>
      <c r="AI8">
        <v>2476.7999999999997</v>
      </c>
      <c r="AJ8">
        <v>6</v>
      </c>
      <c r="AK8">
        <v>1857.6</v>
      </c>
      <c r="AL8">
        <v>5</v>
      </c>
      <c r="AM8">
        <v>1547.9999999999998</v>
      </c>
      <c r="AN8">
        <v>5</v>
      </c>
      <c r="AO8">
        <v>1547.9999999999998</v>
      </c>
      <c r="AP8">
        <v>6</v>
      </c>
      <c r="AQ8">
        <v>1857.6</v>
      </c>
      <c r="AR8">
        <v>4</v>
      </c>
      <c r="AS8">
        <v>1238.3999999999999</v>
      </c>
      <c r="AT8">
        <v>7</v>
      </c>
      <c r="AU8">
        <v>2167.1999999999998</v>
      </c>
      <c r="AV8">
        <v>5</v>
      </c>
      <c r="AW8">
        <v>1547.9999999999998</v>
      </c>
      <c r="AX8">
        <v>5</v>
      </c>
      <c r="AY8">
        <v>1547.9999999999998</v>
      </c>
      <c r="AZ8">
        <v>21</v>
      </c>
      <c r="BA8">
        <v>6501.5999999999995</v>
      </c>
      <c r="BB8">
        <v>25</v>
      </c>
      <c r="BC8">
        <v>7739.9999999999991</v>
      </c>
      <c r="BD8">
        <v>25</v>
      </c>
      <c r="BE8">
        <v>7739.9999999999991</v>
      </c>
      <c r="BF8">
        <v>23</v>
      </c>
      <c r="BG8">
        <v>7120.7999999999993</v>
      </c>
      <c r="BH8">
        <v>14</v>
      </c>
      <c r="BI8">
        <v>4334.3999999999996</v>
      </c>
      <c r="BJ8">
        <v>16.495768814207224</v>
      </c>
      <c r="BK8">
        <v>5107.0900248785565</v>
      </c>
      <c r="BL8">
        <v>25.054880633357985</v>
      </c>
      <c r="BM8">
        <v>7756.9910440876311</v>
      </c>
      <c r="BN8">
        <v>19.252323815551463</v>
      </c>
      <c r="BO8">
        <v>5960.5194532947326</v>
      </c>
      <c r="BP8">
        <v>30</v>
      </c>
      <c r="BQ8">
        <v>9287.9999999999982</v>
      </c>
      <c r="BR8">
        <v>21</v>
      </c>
      <c r="BS8">
        <v>6501.5999999999995</v>
      </c>
      <c r="BT8">
        <v>21</v>
      </c>
      <c r="BU8">
        <v>6501.5999999999995</v>
      </c>
      <c r="BV8">
        <v>29</v>
      </c>
      <c r="BW8">
        <v>8978.4</v>
      </c>
      <c r="BX8">
        <v>73</v>
      </c>
      <c r="BY8">
        <v>22600.799999999999</v>
      </c>
      <c r="BZ8">
        <v>49</v>
      </c>
      <c r="CA8">
        <v>15170.399999999998</v>
      </c>
      <c r="CB8">
        <v>51</v>
      </c>
      <c r="CC8">
        <v>15789.599999999999</v>
      </c>
      <c r="CD8">
        <v>55</v>
      </c>
      <c r="CE8">
        <v>17027.999999999996</v>
      </c>
      <c r="CF8">
        <v>9</v>
      </c>
      <c r="CG8">
        <v>2786.3999999999996</v>
      </c>
      <c r="CH8">
        <v>12</v>
      </c>
      <c r="CI8">
        <v>3715.2</v>
      </c>
      <c r="CJ8">
        <v>7.1375682336298905</v>
      </c>
      <c r="CK8">
        <v>2209.7911251318137</v>
      </c>
      <c r="CL8">
        <v>8.2467076539048101</v>
      </c>
      <c r="CM8">
        <v>2553.1806896489288</v>
      </c>
      <c r="CN8">
        <v>21</v>
      </c>
      <c r="CO8">
        <v>6501.5999999999995</v>
      </c>
      <c r="CP8">
        <v>21</v>
      </c>
      <c r="CQ8">
        <v>6501.5999999999995</v>
      </c>
      <c r="CR8">
        <v>22.545255260943598</v>
      </c>
      <c r="CS8">
        <v>6980.0110287881371</v>
      </c>
      <c r="CT8">
        <v>21</v>
      </c>
      <c r="CU8">
        <v>6501.5999999999995</v>
      </c>
    </row>
    <row r="9" spans="1:99" x14ac:dyDescent="0.2">
      <c r="C9" s="105" t="s">
        <v>175</v>
      </c>
      <c r="D9">
        <v>4</v>
      </c>
      <c r="E9">
        <v>2808</v>
      </c>
      <c r="F9">
        <v>7</v>
      </c>
      <c r="G9">
        <v>4914</v>
      </c>
      <c r="H9">
        <v>6</v>
      </c>
      <c r="I9">
        <v>4212</v>
      </c>
      <c r="J9">
        <v>5</v>
      </c>
      <c r="K9">
        <v>3510</v>
      </c>
      <c r="L9">
        <v>4</v>
      </c>
      <c r="M9">
        <v>2808</v>
      </c>
      <c r="N9">
        <v>6</v>
      </c>
      <c r="O9">
        <v>4212</v>
      </c>
      <c r="P9">
        <v>5</v>
      </c>
      <c r="Q9">
        <v>3510</v>
      </c>
      <c r="R9">
        <v>5</v>
      </c>
      <c r="S9">
        <v>3510</v>
      </c>
      <c r="T9">
        <v>78</v>
      </c>
      <c r="U9">
        <v>54756</v>
      </c>
      <c r="V9">
        <v>53</v>
      </c>
      <c r="W9">
        <v>37206</v>
      </c>
      <c r="X9">
        <v>69</v>
      </c>
      <c r="Y9">
        <v>48438</v>
      </c>
      <c r="Z9">
        <v>48</v>
      </c>
      <c r="AA9">
        <v>33696</v>
      </c>
      <c r="AB9">
        <v>8</v>
      </c>
      <c r="AC9">
        <v>5616</v>
      </c>
      <c r="AD9">
        <v>4</v>
      </c>
      <c r="AE9">
        <v>2808</v>
      </c>
      <c r="AF9">
        <v>5</v>
      </c>
      <c r="AG9">
        <v>3510</v>
      </c>
      <c r="AH9">
        <v>8</v>
      </c>
      <c r="AI9">
        <v>5616</v>
      </c>
      <c r="AJ9">
        <v>6</v>
      </c>
      <c r="AK9">
        <v>4212</v>
      </c>
      <c r="AL9">
        <v>4</v>
      </c>
      <c r="AM9">
        <v>2808</v>
      </c>
      <c r="AN9">
        <v>5</v>
      </c>
      <c r="AO9">
        <v>3510</v>
      </c>
      <c r="AP9">
        <v>6</v>
      </c>
      <c r="AQ9">
        <v>4212</v>
      </c>
      <c r="AR9">
        <v>4</v>
      </c>
      <c r="AS9">
        <v>2808</v>
      </c>
      <c r="AT9">
        <v>6</v>
      </c>
      <c r="AU9">
        <v>4212</v>
      </c>
      <c r="AV9">
        <v>5</v>
      </c>
      <c r="AW9">
        <v>3510</v>
      </c>
      <c r="AX9">
        <v>5</v>
      </c>
      <c r="AY9">
        <v>3510</v>
      </c>
      <c r="AZ9">
        <v>18</v>
      </c>
      <c r="BA9">
        <v>12636</v>
      </c>
      <c r="BB9">
        <v>21</v>
      </c>
      <c r="BC9">
        <v>14742</v>
      </c>
      <c r="BD9">
        <v>23</v>
      </c>
      <c r="BE9">
        <v>16146</v>
      </c>
      <c r="BF9">
        <v>20</v>
      </c>
      <c r="BG9">
        <v>14040</v>
      </c>
      <c r="BH9">
        <v>13</v>
      </c>
      <c r="BI9">
        <v>9126</v>
      </c>
      <c r="BJ9">
        <v>18.429666305646261</v>
      </c>
      <c r="BK9">
        <v>12937.625746563675</v>
      </c>
      <c r="BL9">
        <v>23.044902336383807</v>
      </c>
      <c r="BM9">
        <v>16177.521440141432</v>
      </c>
      <c r="BN9">
        <v>20.252323815551463</v>
      </c>
      <c r="BO9">
        <v>14217.131318517128</v>
      </c>
      <c r="BP9">
        <v>27</v>
      </c>
      <c r="BQ9">
        <v>18954</v>
      </c>
      <c r="BR9">
        <v>20</v>
      </c>
      <c r="BS9">
        <v>14040</v>
      </c>
      <c r="BT9">
        <v>22</v>
      </c>
      <c r="BU9">
        <v>15444</v>
      </c>
      <c r="BV9">
        <v>29</v>
      </c>
      <c r="BW9">
        <v>20358</v>
      </c>
      <c r="BX9">
        <v>65</v>
      </c>
      <c r="BY9">
        <v>45630</v>
      </c>
      <c r="BZ9">
        <v>48</v>
      </c>
      <c r="CA9">
        <v>33696</v>
      </c>
      <c r="CB9">
        <v>48</v>
      </c>
      <c r="CC9">
        <v>33696</v>
      </c>
      <c r="CD9">
        <v>48</v>
      </c>
      <c r="CE9">
        <v>33696</v>
      </c>
      <c r="CF9">
        <v>8</v>
      </c>
      <c r="CG9">
        <v>5616</v>
      </c>
      <c r="CH9">
        <v>11</v>
      </c>
      <c r="CI9">
        <v>7722</v>
      </c>
      <c r="CJ9">
        <v>7.1375682336298905</v>
      </c>
      <c r="CK9">
        <v>5010.5729000081828</v>
      </c>
      <c r="CL9">
        <v>8.2467076539048101</v>
      </c>
      <c r="CM9">
        <v>5789.1887730411763</v>
      </c>
      <c r="CN9">
        <v>20</v>
      </c>
      <c r="CO9">
        <v>14040</v>
      </c>
      <c r="CP9">
        <v>23</v>
      </c>
      <c r="CQ9">
        <v>16146</v>
      </c>
      <c r="CR9">
        <v>21.476016497649173</v>
      </c>
      <c r="CS9">
        <v>15076.16358134972</v>
      </c>
      <c r="CT9">
        <v>19</v>
      </c>
      <c r="CU9">
        <v>13338</v>
      </c>
    </row>
    <row r="10" spans="1:99" x14ac:dyDescent="0.2">
      <c r="C10" s="105" t="s">
        <v>176</v>
      </c>
      <c r="D10">
        <v>4</v>
      </c>
      <c r="E10">
        <v>2179.1999999999998</v>
      </c>
      <c r="F10">
        <v>6</v>
      </c>
      <c r="G10">
        <v>3268.7999999999997</v>
      </c>
      <c r="H10">
        <v>6</v>
      </c>
      <c r="I10">
        <v>3268.7999999999997</v>
      </c>
      <c r="J10">
        <v>5</v>
      </c>
      <c r="K10">
        <v>2724</v>
      </c>
      <c r="L10">
        <v>4</v>
      </c>
      <c r="M10">
        <v>2179.1999999999998</v>
      </c>
      <c r="N10">
        <v>5</v>
      </c>
      <c r="O10">
        <v>2724</v>
      </c>
      <c r="P10">
        <v>5</v>
      </c>
      <c r="Q10">
        <v>2724</v>
      </c>
      <c r="R10">
        <v>5</v>
      </c>
      <c r="S10">
        <v>2724</v>
      </c>
      <c r="T10">
        <v>84</v>
      </c>
      <c r="U10">
        <v>45763.199999999997</v>
      </c>
      <c r="V10">
        <v>60</v>
      </c>
      <c r="W10">
        <v>32687.999999999996</v>
      </c>
      <c r="X10">
        <v>74</v>
      </c>
      <c r="Y10">
        <v>40315.199999999997</v>
      </c>
      <c r="Z10">
        <v>47</v>
      </c>
      <c r="AA10">
        <v>25605.599999999999</v>
      </c>
      <c r="AB10">
        <v>8</v>
      </c>
      <c r="AC10">
        <v>4358.3999999999996</v>
      </c>
      <c r="AD10">
        <v>5</v>
      </c>
      <c r="AE10">
        <v>2724</v>
      </c>
      <c r="AF10">
        <v>5</v>
      </c>
      <c r="AG10">
        <v>2724</v>
      </c>
      <c r="AH10">
        <v>9</v>
      </c>
      <c r="AI10">
        <v>4903.2</v>
      </c>
      <c r="AJ10">
        <v>7</v>
      </c>
      <c r="AK10">
        <v>3813.5999999999995</v>
      </c>
      <c r="AL10">
        <v>5</v>
      </c>
      <c r="AM10">
        <v>2724</v>
      </c>
      <c r="AN10">
        <v>5</v>
      </c>
      <c r="AO10">
        <v>2724</v>
      </c>
      <c r="AP10">
        <v>6</v>
      </c>
      <c r="AQ10">
        <v>3268.7999999999997</v>
      </c>
      <c r="AR10">
        <v>4</v>
      </c>
      <c r="AS10">
        <v>2179.1999999999998</v>
      </c>
      <c r="AT10">
        <v>6</v>
      </c>
      <c r="AU10">
        <v>3268.7999999999997</v>
      </c>
      <c r="AV10">
        <v>5</v>
      </c>
      <c r="AW10">
        <v>2724</v>
      </c>
      <c r="AX10">
        <v>5</v>
      </c>
      <c r="AY10">
        <v>2724</v>
      </c>
      <c r="AZ10">
        <v>19</v>
      </c>
      <c r="BA10">
        <v>10351.199999999999</v>
      </c>
      <c r="BB10">
        <v>22</v>
      </c>
      <c r="BC10">
        <v>11985.599999999999</v>
      </c>
      <c r="BD10">
        <v>26</v>
      </c>
      <c r="BE10">
        <v>14164.8</v>
      </c>
      <c r="BF10">
        <v>24</v>
      </c>
      <c r="BG10">
        <v>13075.199999999999</v>
      </c>
      <c r="BH10">
        <v>13</v>
      </c>
      <c r="BI10">
        <v>7082.4</v>
      </c>
      <c r="BJ10">
        <v>18.429666305646261</v>
      </c>
      <c r="BK10">
        <v>10040.482203316082</v>
      </c>
      <c r="BL10">
        <v>22.044902336383807</v>
      </c>
      <c r="BM10">
        <v>12010.062792861896</v>
      </c>
      <c r="BN10">
        <v>17.227091433996314</v>
      </c>
      <c r="BO10">
        <v>9385.3194132411918</v>
      </c>
      <c r="BP10">
        <v>29</v>
      </c>
      <c r="BQ10">
        <v>15799.199999999999</v>
      </c>
      <c r="BR10">
        <v>22</v>
      </c>
      <c r="BS10">
        <v>11985.599999999999</v>
      </c>
      <c r="BT10">
        <v>22</v>
      </c>
      <c r="BU10">
        <v>11985.599999999999</v>
      </c>
      <c r="BV10">
        <v>28</v>
      </c>
      <c r="BW10">
        <v>15254.399999999998</v>
      </c>
      <c r="BX10">
        <v>67</v>
      </c>
      <c r="BY10">
        <v>36501.599999999999</v>
      </c>
      <c r="BZ10">
        <v>49</v>
      </c>
      <c r="CA10">
        <v>26695.199999999997</v>
      </c>
      <c r="CB10">
        <v>43</v>
      </c>
      <c r="CC10">
        <v>23426.399999999998</v>
      </c>
      <c r="CD10">
        <v>53</v>
      </c>
      <c r="CE10">
        <v>28874.399999999998</v>
      </c>
      <c r="CF10">
        <v>8</v>
      </c>
      <c r="CG10">
        <v>4358.3999999999996</v>
      </c>
      <c r="CH10">
        <v>12</v>
      </c>
      <c r="CI10">
        <v>6537.5999999999995</v>
      </c>
      <c r="CJ10">
        <v>7.1375682336298905</v>
      </c>
      <c r="CK10">
        <v>3888.5471736815639</v>
      </c>
      <c r="CL10">
        <v>7.2775461106429109</v>
      </c>
      <c r="CM10">
        <v>3964.8071210782578</v>
      </c>
      <c r="CN10">
        <v>20</v>
      </c>
      <c r="CO10">
        <v>10896</v>
      </c>
      <c r="CP10">
        <v>21</v>
      </c>
      <c r="CQ10">
        <v>11440.8</v>
      </c>
      <c r="CR10">
        <v>21.493326188472778</v>
      </c>
      <c r="CS10">
        <v>11709.56410747997</v>
      </c>
      <c r="CT10">
        <v>21</v>
      </c>
      <c r="CU10">
        <v>11440.8</v>
      </c>
    </row>
    <row r="11" spans="1:99" x14ac:dyDescent="0.2">
      <c r="C11" s="105" t="s">
        <v>177</v>
      </c>
      <c r="D11">
        <v>4</v>
      </c>
      <c r="E11">
        <v>2131.1999999999998</v>
      </c>
      <c r="F11">
        <v>6</v>
      </c>
      <c r="G11">
        <v>3196.7999999999997</v>
      </c>
      <c r="H11">
        <v>6</v>
      </c>
      <c r="I11">
        <v>3196.7999999999997</v>
      </c>
      <c r="J11">
        <v>5</v>
      </c>
      <c r="K11">
        <v>2664</v>
      </c>
      <c r="L11">
        <v>4</v>
      </c>
      <c r="M11">
        <v>2131.1999999999998</v>
      </c>
      <c r="N11">
        <v>5</v>
      </c>
      <c r="O11">
        <v>2664</v>
      </c>
      <c r="P11">
        <v>5</v>
      </c>
      <c r="Q11">
        <v>2664</v>
      </c>
      <c r="R11">
        <v>5</v>
      </c>
      <c r="S11">
        <v>2664</v>
      </c>
      <c r="T11">
        <v>94</v>
      </c>
      <c r="U11">
        <v>50083.199999999997</v>
      </c>
      <c r="V11">
        <v>57</v>
      </c>
      <c r="W11">
        <v>30369.599999999999</v>
      </c>
      <c r="X11">
        <v>73</v>
      </c>
      <c r="Y11">
        <v>38894.399999999994</v>
      </c>
      <c r="Z11">
        <v>45</v>
      </c>
      <c r="AA11">
        <v>23975.999999999996</v>
      </c>
      <c r="AB11">
        <v>8</v>
      </c>
      <c r="AC11">
        <v>4262.3999999999996</v>
      </c>
      <c r="AD11">
        <v>5</v>
      </c>
      <c r="AE11">
        <v>2664</v>
      </c>
      <c r="AF11">
        <v>4</v>
      </c>
      <c r="AG11">
        <v>2131.1999999999998</v>
      </c>
      <c r="AH11">
        <v>8</v>
      </c>
      <c r="AI11">
        <v>4262.3999999999996</v>
      </c>
      <c r="AJ11">
        <v>7</v>
      </c>
      <c r="AK11">
        <v>3729.5999999999995</v>
      </c>
      <c r="AL11">
        <v>5</v>
      </c>
      <c r="AM11">
        <v>2664</v>
      </c>
      <c r="AN11">
        <v>6</v>
      </c>
      <c r="AO11">
        <v>3196.7999999999997</v>
      </c>
      <c r="AP11">
        <v>6</v>
      </c>
      <c r="AQ11">
        <v>3196.7999999999997</v>
      </c>
      <c r="AR11">
        <v>4</v>
      </c>
      <c r="AS11">
        <v>2131.1999999999998</v>
      </c>
      <c r="AT11">
        <v>7</v>
      </c>
      <c r="AU11">
        <v>3729.5999999999995</v>
      </c>
      <c r="AV11">
        <v>5</v>
      </c>
      <c r="AW11">
        <v>2664</v>
      </c>
      <c r="AX11">
        <v>5</v>
      </c>
      <c r="AY11">
        <v>2664</v>
      </c>
      <c r="AZ11">
        <v>18</v>
      </c>
      <c r="BA11">
        <v>9590.4</v>
      </c>
      <c r="BB11">
        <v>23</v>
      </c>
      <c r="BC11">
        <v>12254.4</v>
      </c>
      <c r="BD11">
        <v>26</v>
      </c>
      <c r="BE11">
        <v>13852.8</v>
      </c>
      <c r="BF11">
        <v>21</v>
      </c>
      <c r="BG11">
        <v>11188.8</v>
      </c>
      <c r="BH11">
        <v>12</v>
      </c>
      <c r="BI11">
        <v>6393.5999999999995</v>
      </c>
      <c r="BJ11">
        <v>18.462717559926741</v>
      </c>
      <c r="BK11">
        <v>9836.935915928967</v>
      </c>
      <c r="BL11">
        <v>23.049891484870894</v>
      </c>
      <c r="BM11">
        <v>12280.982183139211</v>
      </c>
      <c r="BN11">
        <v>18.252323815551463</v>
      </c>
      <c r="BO11">
        <v>9724.8381289258195</v>
      </c>
      <c r="BP11">
        <v>29</v>
      </c>
      <c r="BQ11">
        <v>15451.199999999999</v>
      </c>
      <c r="BR11">
        <v>23</v>
      </c>
      <c r="BS11">
        <v>12254.4</v>
      </c>
      <c r="BT11">
        <v>23</v>
      </c>
      <c r="BU11">
        <v>12254.4</v>
      </c>
      <c r="BV11">
        <v>28</v>
      </c>
      <c r="BW11">
        <v>14918.399999999998</v>
      </c>
      <c r="BX11">
        <v>59</v>
      </c>
      <c r="BY11">
        <v>31435.199999999997</v>
      </c>
      <c r="BZ11">
        <v>54</v>
      </c>
      <c r="CA11">
        <v>28771.199999999997</v>
      </c>
      <c r="CB11">
        <v>50</v>
      </c>
      <c r="CC11">
        <v>26639.999999999996</v>
      </c>
      <c r="CD11">
        <v>47</v>
      </c>
      <c r="CE11">
        <v>25041.599999999999</v>
      </c>
      <c r="CF11">
        <v>9</v>
      </c>
      <c r="CG11">
        <v>4795.2</v>
      </c>
      <c r="CH11">
        <v>12</v>
      </c>
      <c r="CI11">
        <v>6393.5999999999995</v>
      </c>
      <c r="CJ11">
        <v>7.1375682336298905</v>
      </c>
      <c r="CK11">
        <v>3802.8963548780052</v>
      </c>
      <c r="CL11">
        <v>7.2467076539048101</v>
      </c>
      <c r="CM11">
        <v>3861.0458380004825</v>
      </c>
      <c r="CN11">
        <v>21</v>
      </c>
      <c r="CO11">
        <v>11188.8</v>
      </c>
      <c r="CP11">
        <v>22</v>
      </c>
      <c r="CQ11">
        <v>11721.599999999999</v>
      </c>
      <c r="CR11">
        <v>23.450051961413763</v>
      </c>
      <c r="CS11">
        <v>12494.187685041252</v>
      </c>
      <c r="CT11">
        <v>21</v>
      </c>
      <c r="CU11">
        <v>11188.8</v>
      </c>
    </row>
    <row r="12" spans="1:99" x14ac:dyDescent="0.2">
      <c r="C12" s="105" t="s">
        <v>178</v>
      </c>
      <c r="D12">
        <v>4</v>
      </c>
      <c r="E12">
        <v>2251.1999999999998</v>
      </c>
      <c r="F12">
        <v>6</v>
      </c>
      <c r="G12">
        <v>3376.7999999999997</v>
      </c>
      <c r="H12">
        <v>6</v>
      </c>
      <c r="I12">
        <v>3376.7999999999997</v>
      </c>
      <c r="J12">
        <v>5</v>
      </c>
      <c r="K12">
        <v>2814</v>
      </c>
      <c r="L12">
        <v>4</v>
      </c>
      <c r="M12">
        <v>2251.1999999999998</v>
      </c>
      <c r="N12">
        <v>6</v>
      </c>
      <c r="O12">
        <v>3376.7999999999997</v>
      </c>
      <c r="P12">
        <v>5</v>
      </c>
      <c r="Q12">
        <v>2814</v>
      </c>
      <c r="R12">
        <v>5</v>
      </c>
      <c r="S12">
        <v>2814</v>
      </c>
      <c r="T12">
        <v>86</v>
      </c>
      <c r="U12">
        <v>48400.799999999996</v>
      </c>
      <c r="V12">
        <v>53</v>
      </c>
      <c r="W12">
        <v>29828.399999999998</v>
      </c>
      <c r="X12">
        <v>72</v>
      </c>
      <c r="Y12">
        <v>40521.599999999999</v>
      </c>
      <c r="Z12">
        <v>48</v>
      </c>
      <c r="AA12">
        <v>27014.399999999998</v>
      </c>
      <c r="AB12">
        <v>9</v>
      </c>
      <c r="AC12">
        <v>5065.2</v>
      </c>
      <c r="AD12">
        <v>5</v>
      </c>
      <c r="AE12">
        <v>2814</v>
      </c>
      <c r="AF12">
        <v>5</v>
      </c>
      <c r="AG12">
        <v>2814</v>
      </c>
      <c r="AH12">
        <v>8</v>
      </c>
      <c r="AI12">
        <v>4502.3999999999996</v>
      </c>
      <c r="AJ12">
        <v>7</v>
      </c>
      <c r="AK12">
        <v>3939.5999999999995</v>
      </c>
      <c r="AL12">
        <v>5</v>
      </c>
      <c r="AM12">
        <v>2814</v>
      </c>
      <c r="AN12">
        <v>5</v>
      </c>
      <c r="AO12">
        <v>2814</v>
      </c>
      <c r="AP12">
        <v>7</v>
      </c>
      <c r="AQ12">
        <v>3939.5999999999995</v>
      </c>
      <c r="AR12">
        <v>4</v>
      </c>
      <c r="AS12">
        <v>2251.1999999999998</v>
      </c>
      <c r="AT12">
        <v>6</v>
      </c>
      <c r="AU12">
        <v>3376.7999999999997</v>
      </c>
      <c r="AV12">
        <v>5</v>
      </c>
      <c r="AW12">
        <v>2814</v>
      </c>
      <c r="AX12">
        <v>5</v>
      </c>
      <c r="AY12">
        <v>2814</v>
      </c>
      <c r="AZ12">
        <v>17</v>
      </c>
      <c r="BA12">
        <v>9567.5999999999985</v>
      </c>
      <c r="BB12">
        <v>22</v>
      </c>
      <c r="BC12">
        <v>12381.599999999999</v>
      </c>
      <c r="BD12">
        <v>24</v>
      </c>
      <c r="BE12">
        <v>13507.199999999999</v>
      </c>
      <c r="BF12">
        <v>24</v>
      </c>
      <c r="BG12">
        <v>13507.199999999999</v>
      </c>
      <c r="BH12">
        <v>12</v>
      </c>
      <c r="BI12">
        <v>6753.5999999999995</v>
      </c>
      <c r="BJ12">
        <v>18.462717559926741</v>
      </c>
      <c r="BK12">
        <v>10390.81744272677</v>
      </c>
      <c r="BL12">
        <v>25.049891484870894</v>
      </c>
      <c r="BM12">
        <v>14098.078927685337</v>
      </c>
      <c r="BN12">
        <v>18.252323815551463</v>
      </c>
      <c r="BO12">
        <v>10272.407843392362</v>
      </c>
      <c r="BP12">
        <v>28</v>
      </c>
      <c r="BQ12">
        <v>15758.399999999998</v>
      </c>
      <c r="BR12">
        <v>22</v>
      </c>
      <c r="BS12">
        <v>12381.599999999999</v>
      </c>
      <c r="BT12">
        <v>22</v>
      </c>
      <c r="BU12">
        <v>12381.599999999999</v>
      </c>
      <c r="BV12">
        <v>29</v>
      </c>
      <c r="BW12">
        <v>16321.199999999999</v>
      </c>
      <c r="BX12">
        <v>60</v>
      </c>
      <c r="BY12">
        <v>33768</v>
      </c>
      <c r="BZ12">
        <v>55</v>
      </c>
      <c r="CA12">
        <v>30953.999999999996</v>
      </c>
      <c r="CB12">
        <v>43</v>
      </c>
      <c r="CC12">
        <v>24200.399999999998</v>
      </c>
      <c r="CD12">
        <v>55</v>
      </c>
      <c r="CE12">
        <v>30953.999999999996</v>
      </c>
      <c r="CF12">
        <v>10</v>
      </c>
      <c r="CG12">
        <v>5628</v>
      </c>
      <c r="CH12">
        <v>12</v>
      </c>
      <c r="CI12">
        <v>6753.5999999999995</v>
      </c>
      <c r="CJ12">
        <v>7.1490322530990484</v>
      </c>
      <c r="CK12">
        <v>4023.4753520441441</v>
      </c>
      <c r="CL12">
        <v>7.2775461106429109</v>
      </c>
      <c r="CM12">
        <v>4095.8029510698298</v>
      </c>
      <c r="CN12">
        <v>19</v>
      </c>
      <c r="CO12">
        <v>10693.199999999999</v>
      </c>
      <c r="CP12">
        <v>20</v>
      </c>
      <c r="CQ12">
        <v>11256</v>
      </c>
      <c r="CR12">
        <v>21.476016497649173</v>
      </c>
      <c r="CS12">
        <v>12086.702084876953</v>
      </c>
      <c r="CT12">
        <v>20</v>
      </c>
      <c r="CU12">
        <v>11256</v>
      </c>
    </row>
    <row r="13" spans="1:99" x14ac:dyDescent="0.2">
      <c r="C13" s="105" t="s">
        <v>179</v>
      </c>
      <c r="D13">
        <v>5</v>
      </c>
      <c r="E13">
        <v>426</v>
      </c>
      <c r="F13">
        <v>7</v>
      </c>
      <c r="G13">
        <v>596.4</v>
      </c>
      <c r="H13">
        <v>6</v>
      </c>
      <c r="I13">
        <v>511.20000000000005</v>
      </c>
      <c r="J13">
        <v>5</v>
      </c>
      <c r="K13">
        <v>426</v>
      </c>
      <c r="L13">
        <v>4</v>
      </c>
      <c r="M13">
        <v>340.8</v>
      </c>
      <c r="N13">
        <v>6</v>
      </c>
      <c r="O13">
        <v>511.20000000000005</v>
      </c>
      <c r="P13">
        <v>6</v>
      </c>
      <c r="Q13">
        <v>511.20000000000005</v>
      </c>
      <c r="R13">
        <v>5</v>
      </c>
      <c r="S13">
        <v>426</v>
      </c>
      <c r="T13">
        <v>99</v>
      </c>
      <c r="U13">
        <v>8434.8000000000011</v>
      </c>
      <c r="V13">
        <v>65</v>
      </c>
      <c r="W13">
        <v>5538</v>
      </c>
      <c r="X13">
        <v>71</v>
      </c>
      <c r="Y13">
        <v>6049.2</v>
      </c>
      <c r="Z13">
        <v>57</v>
      </c>
      <c r="AA13">
        <v>4856.4000000000005</v>
      </c>
      <c r="AB13">
        <v>8</v>
      </c>
      <c r="AC13">
        <v>681.6</v>
      </c>
      <c r="AD13">
        <v>5</v>
      </c>
      <c r="AE13">
        <v>426</v>
      </c>
      <c r="AF13">
        <v>5</v>
      </c>
      <c r="AG13">
        <v>426</v>
      </c>
      <c r="AH13">
        <v>8</v>
      </c>
      <c r="AI13">
        <v>681.6</v>
      </c>
      <c r="AJ13">
        <v>7</v>
      </c>
      <c r="AK13">
        <v>596.4</v>
      </c>
      <c r="AL13">
        <v>5</v>
      </c>
      <c r="AM13">
        <v>426</v>
      </c>
      <c r="AN13">
        <v>5</v>
      </c>
      <c r="AO13">
        <v>426</v>
      </c>
      <c r="AP13">
        <v>6</v>
      </c>
      <c r="AQ13">
        <v>511.20000000000005</v>
      </c>
      <c r="AR13">
        <v>5</v>
      </c>
      <c r="AS13">
        <v>426</v>
      </c>
      <c r="AT13">
        <v>7</v>
      </c>
      <c r="AU13">
        <v>596.4</v>
      </c>
      <c r="AV13">
        <v>6</v>
      </c>
      <c r="AW13">
        <v>511.20000000000005</v>
      </c>
      <c r="AX13">
        <v>5</v>
      </c>
      <c r="AY13">
        <v>426</v>
      </c>
      <c r="AZ13">
        <v>19</v>
      </c>
      <c r="BA13">
        <v>1618.8</v>
      </c>
      <c r="BB13">
        <v>25</v>
      </c>
      <c r="BC13">
        <v>2130</v>
      </c>
      <c r="BD13">
        <v>24</v>
      </c>
      <c r="BE13">
        <v>2044.8000000000002</v>
      </c>
      <c r="BF13">
        <v>21</v>
      </c>
      <c r="BG13">
        <v>1789.2</v>
      </c>
      <c r="BH13">
        <v>14</v>
      </c>
      <c r="BI13">
        <v>1192.8</v>
      </c>
      <c r="BJ13">
        <v>17.429666305646261</v>
      </c>
      <c r="BK13">
        <v>1485.0075692410614</v>
      </c>
      <c r="BL13">
        <v>25.049891484870894</v>
      </c>
      <c r="BM13">
        <v>2134.2507545110002</v>
      </c>
      <c r="BN13">
        <v>19.277556197106609</v>
      </c>
      <c r="BO13">
        <v>1642.4477879934832</v>
      </c>
      <c r="BP13">
        <v>33</v>
      </c>
      <c r="BQ13">
        <v>2811.6</v>
      </c>
      <c r="BR13">
        <v>20</v>
      </c>
      <c r="BS13">
        <v>1704</v>
      </c>
      <c r="BT13">
        <v>24</v>
      </c>
      <c r="BU13">
        <v>2044.8000000000002</v>
      </c>
      <c r="BV13">
        <v>27</v>
      </c>
      <c r="BW13">
        <v>2300.4</v>
      </c>
      <c r="BX13">
        <v>65</v>
      </c>
      <c r="BY13">
        <v>5538</v>
      </c>
      <c r="BZ13">
        <v>55</v>
      </c>
      <c r="CA13">
        <v>4686</v>
      </c>
      <c r="CB13">
        <v>48</v>
      </c>
      <c r="CC13">
        <v>4089.6000000000004</v>
      </c>
      <c r="CD13">
        <v>56</v>
      </c>
      <c r="CE13">
        <v>4771.2</v>
      </c>
      <c r="CF13">
        <v>9</v>
      </c>
      <c r="CG13">
        <v>766.80000000000007</v>
      </c>
      <c r="CH13">
        <v>13</v>
      </c>
      <c r="CI13">
        <v>1107.6000000000001</v>
      </c>
      <c r="CJ13">
        <v>7.1490322530990484</v>
      </c>
      <c r="CK13">
        <v>609.09754796403899</v>
      </c>
      <c r="CL13">
        <v>8.2775461106429109</v>
      </c>
      <c r="CM13">
        <v>705.24692862677603</v>
      </c>
      <c r="CN13">
        <v>19</v>
      </c>
      <c r="CO13">
        <v>1618.8</v>
      </c>
      <c r="CP13">
        <v>21</v>
      </c>
      <c r="CQ13">
        <v>1789.2</v>
      </c>
      <c r="CR13">
        <v>21.536600415531794</v>
      </c>
      <c r="CS13">
        <v>1834.9183554033089</v>
      </c>
      <c r="CT13">
        <v>20</v>
      </c>
      <c r="CU13">
        <v>1704</v>
      </c>
    </row>
    <row r="14" spans="1:99" x14ac:dyDescent="0.2">
      <c r="C14" s="105" t="s">
        <v>180</v>
      </c>
      <c r="D14">
        <v>5</v>
      </c>
      <c r="E14">
        <v>2442</v>
      </c>
      <c r="F14">
        <v>6</v>
      </c>
      <c r="G14">
        <v>2930.3999999999996</v>
      </c>
      <c r="H14">
        <v>5</v>
      </c>
      <c r="I14">
        <v>2442</v>
      </c>
      <c r="J14">
        <v>4</v>
      </c>
      <c r="K14">
        <v>1953.6</v>
      </c>
      <c r="L14">
        <v>5</v>
      </c>
      <c r="M14">
        <v>2442</v>
      </c>
      <c r="N14">
        <v>6</v>
      </c>
      <c r="O14">
        <v>2930.3999999999996</v>
      </c>
      <c r="P14">
        <v>5</v>
      </c>
      <c r="Q14">
        <v>2442</v>
      </c>
      <c r="R14">
        <v>5</v>
      </c>
      <c r="S14">
        <v>2442</v>
      </c>
      <c r="T14">
        <v>82</v>
      </c>
      <c r="U14">
        <v>40048.799999999996</v>
      </c>
      <c r="V14">
        <v>58</v>
      </c>
      <c r="W14">
        <v>28327.199999999997</v>
      </c>
      <c r="X14">
        <v>67</v>
      </c>
      <c r="Y14">
        <v>32722.799999999999</v>
      </c>
      <c r="Z14">
        <v>49</v>
      </c>
      <c r="AA14">
        <v>23931.599999999999</v>
      </c>
      <c r="AB14">
        <v>8</v>
      </c>
      <c r="AC14">
        <v>3907.2</v>
      </c>
      <c r="AD14">
        <v>5</v>
      </c>
      <c r="AE14">
        <v>2442</v>
      </c>
      <c r="AF14">
        <v>5</v>
      </c>
      <c r="AG14">
        <v>2442</v>
      </c>
      <c r="AH14">
        <v>8</v>
      </c>
      <c r="AI14">
        <v>3907.2</v>
      </c>
      <c r="AJ14">
        <v>7</v>
      </c>
      <c r="AK14">
        <v>3418.7999999999997</v>
      </c>
      <c r="AL14">
        <v>5</v>
      </c>
      <c r="AM14">
        <v>2442</v>
      </c>
      <c r="AN14">
        <v>5</v>
      </c>
      <c r="AO14">
        <v>2442</v>
      </c>
      <c r="AP14">
        <v>6</v>
      </c>
      <c r="AQ14">
        <v>2930.3999999999996</v>
      </c>
      <c r="AR14">
        <v>4</v>
      </c>
      <c r="AS14">
        <v>1953.6</v>
      </c>
      <c r="AT14">
        <v>6</v>
      </c>
      <c r="AU14">
        <v>2930.3999999999996</v>
      </c>
      <c r="AV14">
        <v>6</v>
      </c>
      <c r="AW14">
        <v>2930.3999999999996</v>
      </c>
      <c r="AX14">
        <v>5</v>
      </c>
      <c r="AY14">
        <v>2442</v>
      </c>
      <c r="AZ14">
        <v>18</v>
      </c>
      <c r="BA14">
        <v>8791.1999999999989</v>
      </c>
      <c r="BB14">
        <v>22</v>
      </c>
      <c r="BC14">
        <v>10744.8</v>
      </c>
      <c r="BD14">
        <v>24</v>
      </c>
      <c r="BE14">
        <v>11721.599999999999</v>
      </c>
      <c r="BF14">
        <v>21</v>
      </c>
      <c r="BG14">
        <v>10256.4</v>
      </c>
      <c r="BH14">
        <v>14</v>
      </c>
      <c r="BI14">
        <v>6837.5999999999995</v>
      </c>
      <c r="BJ14">
        <v>17.429666305646261</v>
      </c>
      <c r="BK14">
        <v>8512.6490236776335</v>
      </c>
      <c r="BL14">
        <v>25.049891484870894</v>
      </c>
      <c r="BM14">
        <v>12234.367001210943</v>
      </c>
      <c r="BN14">
        <v>20.277556197106609</v>
      </c>
      <c r="BO14">
        <v>9903.5584466668679</v>
      </c>
      <c r="BP14">
        <v>29</v>
      </c>
      <c r="BQ14">
        <v>14163.599999999999</v>
      </c>
      <c r="BR14">
        <v>21</v>
      </c>
      <c r="BS14">
        <v>10256.4</v>
      </c>
      <c r="BT14">
        <v>22</v>
      </c>
      <c r="BU14">
        <v>10744.8</v>
      </c>
      <c r="BV14">
        <v>27</v>
      </c>
      <c r="BW14">
        <v>13186.8</v>
      </c>
      <c r="BX14">
        <v>66</v>
      </c>
      <c r="BY14">
        <v>32234.399999999998</v>
      </c>
      <c r="BZ14">
        <v>55</v>
      </c>
      <c r="CA14">
        <v>26862</v>
      </c>
      <c r="CB14">
        <v>46</v>
      </c>
      <c r="CC14">
        <v>22466.399999999998</v>
      </c>
      <c r="CD14">
        <v>53</v>
      </c>
      <c r="CE14">
        <v>25885.199999999997</v>
      </c>
      <c r="CF14">
        <v>9</v>
      </c>
      <c r="CG14">
        <v>4395.5999999999995</v>
      </c>
      <c r="CH14">
        <v>11</v>
      </c>
      <c r="CI14">
        <v>5372.4</v>
      </c>
      <c r="CJ14">
        <v>8.1375682336298905</v>
      </c>
      <c r="CK14">
        <v>3974.3883253048384</v>
      </c>
      <c r="CL14">
        <v>8.2775461106429109</v>
      </c>
      <c r="CM14">
        <v>4042.7535204379974</v>
      </c>
      <c r="CN14">
        <v>19</v>
      </c>
      <c r="CO14">
        <v>9279.6</v>
      </c>
      <c r="CP14">
        <v>20</v>
      </c>
      <c r="CQ14">
        <v>9768</v>
      </c>
      <c r="CR14">
        <v>22.450051961413763</v>
      </c>
      <c r="CS14">
        <v>10964.605377954482</v>
      </c>
      <c r="CT14">
        <v>19</v>
      </c>
      <c r="CU14">
        <v>9279.6</v>
      </c>
    </row>
    <row r="15" spans="1:99" x14ac:dyDescent="0.2">
      <c r="C15" s="105" t="s">
        <v>181</v>
      </c>
      <c r="D15">
        <v>4</v>
      </c>
      <c r="E15">
        <v>3052.7999999999997</v>
      </c>
      <c r="F15">
        <v>6</v>
      </c>
      <c r="G15">
        <v>4579.2</v>
      </c>
      <c r="H15">
        <v>6</v>
      </c>
      <c r="I15">
        <v>4579.2</v>
      </c>
      <c r="J15">
        <v>5</v>
      </c>
      <c r="K15">
        <v>3815.9999999999995</v>
      </c>
      <c r="L15">
        <v>4</v>
      </c>
      <c r="M15">
        <v>3052.7999999999997</v>
      </c>
      <c r="N15">
        <v>6</v>
      </c>
      <c r="O15">
        <v>4579.2</v>
      </c>
      <c r="P15">
        <v>5</v>
      </c>
      <c r="Q15">
        <v>3815.9999999999995</v>
      </c>
      <c r="R15">
        <v>5</v>
      </c>
      <c r="S15">
        <v>3815.9999999999995</v>
      </c>
      <c r="T15">
        <v>83</v>
      </c>
      <c r="U15">
        <v>63345.599999999991</v>
      </c>
      <c r="V15">
        <v>47</v>
      </c>
      <c r="W15">
        <v>35870.399999999994</v>
      </c>
      <c r="X15">
        <v>61</v>
      </c>
      <c r="Y15">
        <v>46555.199999999997</v>
      </c>
      <c r="Z15">
        <v>42</v>
      </c>
      <c r="AA15">
        <v>32054.399999999998</v>
      </c>
      <c r="AB15">
        <v>8</v>
      </c>
      <c r="AC15">
        <v>6105.5999999999995</v>
      </c>
      <c r="AD15">
        <v>5</v>
      </c>
      <c r="AE15">
        <v>3815.9999999999995</v>
      </c>
      <c r="AF15">
        <v>4</v>
      </c>
      <c r="AG15">
        <v>3052.7999999999997</v>
      </c>
      <c r="AH15">
        <v>8</v>
      </c>
      <c r="AI15">
        <v>6105.5999999999995</v>
      </c>
      <c r="AJ15">
        <v>7</v>
      </c>
      <c r="AK15">
        <v>5342.4</v>
      </c>
      <c r="AL15">
        <v>4</v>
      </c>
      <c r="AM15">
        <v>3052.7999999999997</v>
      </c>
      <c r="AN15">
        <v>5</v>
      </c>
      <c r="AO15">
        <v>3815.9999999999995</v>
      </c>
      <c r="AP15">
        <v>6</v>
      </c>
      <c r="AQ15">
        <v>4579.2</v>
      </c>
      <c r="AR15">
        <v>4</v>
      </c>
      <c r="AS15">
        <v>3052.7999999999997</v>
      </c>
      <c r="AT15">
        <v>6</v>
      </c>
      <c r="AU15">
        <v>4579.2</v>
      </c>
      <c r="AV15">
        <v>5</v>
      </c>
      <c r="AW15">
        <v>3815.9999999999995</v>
      </c>
      <c r="AX15">
        <v>5</v>
      </c>
      <c r="AY15">
        <v>3815.9999999999995</v>
      </c>
      <c r="AZ15">
        <v>18</v>
      </c>
      <c r="BA15">
        <v>13737.599999999999</v>
      </c>
      <c r="BB15">
        <v>22</v>
      </c>
      <c r="BC15">
        <v>16790.399999999998</v>
      </c>
      <c r="BD15">
        <v>21</v>
      </c>
      <c r="BE15">
        <v>16027.199999999999</v>
      </c>
      <c r="BF15">
        <v>23</v>
      </c>
      <c r="BG15">
        <v>17553.599999999999</v>
      </c>
      <c r="BH15">
        <v>13</v>
      </c>
      <c r="BI15">
        <v>9921.5999999999985</v>
      </c>
      <c r="BJ15">
        <v>15.462717559926743</v>
      </c>
      <c r="BK15">
        <v>11801.146041736089</v>
      </c>
      <c r="BL15">
        <v>25.049891484870894</v>
      </c>
      <c r="BM15">
        <v>19118.077181253466</v>
      </c>
      <c r="BN15">
        <v>17.277556197106609</v>
      </c>
      <c r="BO15">
        <v>13186.230889631763</v>
      </c>
      <c r="BP15">
        <v>30</v>
      </c>
      <c r="BQ15">
        <v>22895.999999999996</v>
      </c>
      <c r="BR15">
        <v>21</v>
      </c>
      <c r="BS15">
        <v>16027.199999999999</v>
      </c>
      <c r="BT15">
        <v>22</v>
      </c>
      <c r="BU15">
        <v>16790.399999999998</v>
      </c>
      <c r="BV15">
        <v>25</v>
      </c>
      <c r="BW15">
        <v>19080</v>
      </c>
      <c r="BX15">
        <v>65</v>
      </c>
      <c r="BY15">
        <v>49607.999999999993</v>
      </c>
      <c r="BZ15">
        <v>47</v>
      </c>
      <c r="CA15">
        <v>35870.399999999994</v>
      </c>
      <c r="CB15">
        <v>42</v>
      </c>
      <c r="CC15">
        <v>32054.399999999998</v>
      </c>
      <c r="CD15">
        <v>51</v>
      </c>
      <c r="CE15">
        <v>38923.199999999997</v>
      </c>
      <c r="CF15">
        <v>9</v>
      </c>
      <c r="CG15">
        <v>6868.7999999999993</v>
      </c>
      <c r="CH15">
        <v>10</v>
      </c>
      <c r="CI15">
        <v>7631.9999999999991</v>
      </c>
      <c r="CJ15">
        <v>7.1490322530990484</v>
      </c>
      <c r="CK15">
        <v>5456.1414155651937</v>
      </c>
      <c r="CL15">
        <v>8.2467076539048101</v>
      </c>
      <c r="CM15">
        <v>6293.8872814601509</v>
      </c>
      <c r="CN15">
        <v>19</v>
      </c>
      <c r="CO15">
        <v>14500.8</v>
      </c>
      <c r="CP15">
        <v>22</v>
      </c>
      <c r="CQ15">
        <v>16790.399999999998</v>
      </c>
      <c r="CR15">
        <v>23.424087425178353</v>
      </c>
      <c r="CS15">
        <v>17877.263522896119</v>
      </c>
      <c r="CT15">
        <v>18</v>
      </c>
      <c r="CU15">
        <v>13737.599999999999</v>
      </c>
    </row>
    <row r="16" spans="1:99" x14ac:dyDescent="0.2">
      <c r="C16" s="105" t="s">
        <v>182</v>
      </c>
      <c r="D16">
        <v>5</v>
      </c>
      <c r="E16">
        <v>1704</v>
      </c>
      <c r="F16">
        <v>7</v>
      </c>
      <c r="G16">
        <v>2385.6</v>
      </c>
      <c r="H16">
        <v>6</v>
      </c>
      <c r="I16">
        <v>2044.8000000000002</v>
      </c>
      <c r="J16">
        <v>5</v>
      </c>
      <c r="K16">
        <v>1704</v>
      </c>
      <c r="L16">
        <v>5</v>
      </c>
      <c r="M16">
        <v>1704</v>
      </c>
      <c r="N16">
        <v>6</v>
      </c>
      <c r="O16">
        <v>2044.8000000000002</v>
      </c>
      <c r="P16">
        <v>5</v>
      </c>
      <c r="Q16">
        <v>1704</v>
      </c>
      <c r="R16">
        <v>5</v>
      </c>
      <c r="S16">
        <v>1704</v>
      </c>
      <c r="T16">
        <v>93</v>
      </c>
      <c r="U16">
        <v>31694.400000000001</v>
      </c>
      <c r="V16">
        <v>54</v>
      </c>
      <c r="W16">
        <v>18403.2</v>
      </c>
      <c r="X16">
        <v>73</v>
      </c>
      <c r="Y16">
        <v>24878.400000000001</v>
      </c>
      <c r="Z16">
        <v>49</v>
      </c>
      <c r="AA16">
        <v>16699.2</v>
      </c>
      <c r="AB16">
        <v>9</v>
      </c>
      <c r="AC16">
        <v>3067.2000000000003</v>
      </c>
      <c r="AD16">
        <v>5</v>
      </c>
      <c r="AE16">
        <v>1704</v>
      </c>
      <c r="AF16">
        <v>5</v>
      </c>
      <c r="AG16">
        <v>1704</v>
      </c>
      <c r="AH16">
        <v>8</v>
      </c>
      <c r="AI16">
        <v>2726.4</v>
      </c>
      <c r="AJ16">
        <v>7</v>
      </c>
      <c r="AK16">
        <v>2385.6</v>
      </c>
      <c r="AL16">
        <v>5</v>
      </c>
      <c r="AM16">
        <v>1704</v>
      </c>
      <c r="AN16">
        <v>5</v>
      </c>
      <c r="AO16">
        <v>1704</v>
      </c>
      <c r="AP16">
        <v>6</v>
      </c>
      <c r="AQ16">
        <v>2044.8000000000002</v>
      </c>
      <c r="AR16">
        <v>4</v>
      </c>
      <c r="AS16">
        <v>1363.2</v>
      </c>
      <c r="AT16">
        <v>7</v>
      </c>
      <c r="AU16">
        <v>2385.6</v>
      </c>
      <c r="AV16">
        <v>5</v>
      </c>
      <c r="AW16">
        <v>1704</v>
      </c>
      <c r="AX16">
        <v>5</v>
      </c>
      <c r="AY16">
        <v>1704</v>
      </c>
      <c r="AZ16">
        <v>21</v>
      </c>
      <c r="BA16">
        <v>7156.8</v>
      </c>
      <c r="BB16">
        <v>22</v>
      </c>
      <c r="BC16">
        <v>7497.6</v>
      </c>
      <c r="BD16">
        <v>26</v>
      </c>
      <c r="BE16">
        <v>8860.8000000000011</v>
      </c>
      <c r="BF16">
        <v>21</v>
      </c>
      <c r="BG16">
        <v>7156.8</v>
      </c>
      <c r="BH16">
        <v>14</v>
      </c>
      <c r="BI16">
        <v>4771.2</v>
      </c>
      <c r="BJ16">
        <v>19.396615051365778</v>
      </c>
      <c r="BK16">
        <v>6610.3664095054573</v>
      </c>
      <c r="BL16">
        <v>26.049891484870894</v>
      </c>
      <c r="BM16">
        <v>8877.8030180440019</v>
      </c>
      <c r="BN16">
        <v>19.252323815551463</v>
      </c>
      <c r="BO16">
        <v>6561.1919563399388</v>
      </c>
      <c r="BP16">
        <v>28</v>
      </c>
      <c r="BQ16">
        <v>9542.4</v>
      </c>
      <c r="BR16">
        <v>23</v>
      </c>
      <c r="BS16">
        <v>7838.4000000000005</v>
      </c>
      <c r="BT16">
        <v>21</v>
      </c>
      <c r="BU16">
        <v>7156.8</v>
      </c>
      <c r="BV16">
        <v>29</v>
      </c>
      <c r="BW16">
        <v>9883.2000000000007</v>
      </c>
      <c r="BX16">
        <v>65</v>
      </c>
      <c r="BY16">
        <v>22152</v>
      </c>
      <c r="BZ16">
        <v>49</v>
      </c>
      <c r="CA16">
        <v>16699.2</v>
      </c>
      <c r="CB16">
        <v>44</v>
      </c>
      <c r="CC16">
        <v>14995.2</v>
      </c>
      <c r="CD16">
        <v>48</v>
      </c>
      <c r="CE16">
        <v>16358.400000000001</v>
      </c>
      <c r="CF16">
        <v>10</v>
      </c>
      <c r="CG16">
        <v>3408</v>
      </c>
      <c r="CH16">
        <v>11</v>
      </c>
      <c r="CI16">
        <v>3748.8</v>
      </c>
      <c r="CJ16">
        <v>7.1490322530990484</v>
      </c>
      <c r="CK16">
        <v>2436.390191856156</v>
      </c>
      <c r="CL16">
        <v>8.3083845673810117</v>
      </c>
      <c r="CM16">
        <v>2831.4974605634488</v>
      </c>
      <c r="CN16">
        <v>18</v>
      </c>
      <c r="CO16">
        <v>6134.4000000000005</v>
      </c>
      <c r="CP16">
        <v>23</v>
      </c>
      <c r="CQ16">
        <v>7838.4000000000005</v>
      </c>
      <c r="CR16">
        <v>21.501981033884583</v>
      </c>
      <c r="CS16">
        <v>7327.8751363478659</v>
      </c>
      <c r="CT16">
        <v>21</v>
      </c>
      <c r="CU16">
        <v>7156.8</v>
      </c>
    </row>
    <row r="17" spans="2:99" x14ac:dyDescent="0.2">
      <c r="C17" s="105" t="s">
        <v>183</v>
      </c>
      <c r="D17">
        <v>4</v>
      </c>
      <c r="E17">
        <v>1689.6</v>
      </c>
      <c r="F17">
        <v>7</v>
      </c>
      <c r="G17">
        <v>2956.7999999999997</v>
      </c>
      <c r="H17">
        <v>6</v>
      </c>
      <c r="I17">
        <v>2534.3999999999996</v>
      </c>
      <c r="J17">
        <v>5</v>
      </c>
      <c r="K17">
        <v>2112</v>
      </c>
      <c r="L17">
        <v>4</v>
      </c>
      <c r="M17">
        <v>1689.6</v>
      </c>
      <c r="N17">
        <v>6</v>
      </c>
      <c r="O17">
        <v>2534.3999999999996</v>
      </c>
      <c r="P17">
        <v>5</v>
      </c>
      <c r="Q17">
        <v>2112</v>
      </c>
      <c r="R17">
        <v>5</v>
      </c>
      <c r="S17">
        <v>2112</v>
      </c>
      <c r="T17">
        <v>90</v>
      </c>
      <c r="U17">
        <v>38016</v>
      </c>
      <c r="V17">
        <v>53</v>
      </c>
      <c r="W17">
        <v>22387.199999999997</v>
      </c>
      <c r="X17">
        <v>74</v>
      </c>
      <c r="Y17">
        <v>31257.599999999999</v>
      </c>
      <c r="Z17">
        <v>48</v>
      </c>
      <c r="AA17">
        <v>20275.199999999997</v>
      </c>
      <c r="AB17">
        <v>9</v>
      </c>
      <c r="AC17">
        <v>3801.6</v>
      </c>
      <c r="AD17">
        <v>5</v>
      </c>
      <c r="AE17">
        <v>2112</v>
      </c>
      <c r="AF17">
        <v>4</v>
      </c>
      <c r="AG17">
        <v>1689.6</v>
      </c>
      <c r="AH17">
        <v>9</v>
      </c>
      <c r="AI17">
        <v>3801.6</v>
      </c>
      <c r="AJ17">
        <v>7</v>
      </c>
      <c r="AK17">
        <v>2956.7999999999997</v>
      </c>
      <c r="AL17">
        <v>5</v>
      </c>
      <c r="AM17">
        <v>2112</v>
      </c>
      <c r="AN17">
        <v>5</v>
      </c>
      <c r="AO17">
        <v>2112</v>
      </c>
      <c r="AP17">
        <v>6</v>
      </c>
      <c r="AQ17">
        <v>2534.3999999999996</v>
      </c>
      <c r="AR17">
        <v>4</v>
      </c>
      <c r="AS17">
        <v>1689.6</v>
      </c>
      <c r="AT17">
        <v>7</v>
      </c>
      <c r="AU17">
        <v>2956.7999999999997</v>
      </c>
      <c r="AV17">
        <v>5</v>
      </c>
      <c r="AW17">
        <v>2112</v>
      </c>
      <c r="AX17">
        <v>5</v>
      </c>
      <c r="AY17">
        <v>2112</v>
      </c>
      <c r="AZ17">
        <v>20</v>
      </c>
      <c r="BA17">
        <v>8448</v>
      </c>
      <c r="BB17">
        <v>22</v>
      </c>
      <c r="BC17">
        <v>9292.7999999999993</v>
      </c>
      <c r="BD17">
        <v>26</v>
      </c>
      <c r="BE17">
        <v>10982.4</v>
      </c>
      <c r="BF17">
        <v>25</v>
      </c>
      <c r="BG17">
        <v>10560</v>
      </c>
      <c r="BH17">
        <v>12</v>
      </c>
      <c r="BI17">
        <v>5068.7999999999993</v>
      </c>
      <c r="BJ17">
        <v>16.429666305646261</v>
      </c>
      <c r="BK17">
        <v>6939.8910475049806</v>
      </c>
      <c r="BL17">
        <v>22.054880633357985</v>
      </c>
      <c r="BM17">
        <v>9315.981579530413</v>
      </c>
      <c r="BN17">
        <v>18.252323815551463</v>
      </c>
      <c r="BO17">
        <v>7709.7815796889381</v>
      </c>
      <c r="BP17">
        <v>27</v>
      </c>
      <c r="BQ17">
        <v>11404.8</v>
      </c>
      <c r="BR17">
        <v>20</v>
      </c>
      <c r="BS17">
        <v>8448</v>
      </c>
      <c r="BT17">
        <v>24</v>
      </c>
      <c r="BU17">
        <v>10137.599999999999</v>
      </c>
      <c r="BV17">
        <v>28</v>
      </c>
      <c r="BW17">
        <v>11827.199999999999</v>
      </c>
      <c r="BX17">
        <v>68</v>
      </c>
      <c r="BY17">
        <v>28723.199999999997</v>
      </c>
      <c r="BZ17">
        <v>55</v>
      </c>
      <c r="CA17">
        <v>23232</v>
      </c>
      <c r="CB17">
        <v>47</v>
      </c>
      <c r="CC17">
        <v>19852.8</v>
      </c>
      <c r="CD17">
        <v>56</v>
      </c>
      <c r="CE17">
        <v>23654.399999999998</v>
      </c>
      <c r="CF17">
        <v>9</v>
      </c>
      <c r="CG17">
        <v>3801.6</v>
      </c>
      <c r="CH17">
        <v>12</v>
      </c>
      <c r="CI17">
        <v>5068.7999999999993</v>
      </c>
      <c r="CJ17">
        <v>8.1490322530990476</v>
      </c>
      <c r="CK17">
        <v>3442.1512237090374</v>
      </c>
      <c r="CL17">
        <v>8.2775461106429109</v>
      </c>
      <c r="CM17">
        <v>3496.4354771355652</v>
      </c>
      <c r="CN17">
        <v>21</v>
      </c>
      <c r="CO17">
        <v>8870.4</v>
      </c>
      <c r="CP17">
        <v>23</v>
      </c>
      <c r="CQ17">
        <v>9715.1999999999989</v>
      </c>
      <c r="CR17">
        <v>21.501981033884583</v>
      </c>
      <c r="CS17">
        <v>9082.4367887128465</v>
      </c>
      <c r="CT17">
        <v>18</v>
      </c>
      <c r="CU17">
        <v>7603.2</v>
      </c>
    </row>
    <row r="18" spans="2:99" x14ac:dyDescent="0.2">
      <c r="C18" s="105" t="s">
        <v>184</v>
      </c>
      <c r="D18">
        <v>4</v>
      </c>
      <c r="E18">
        <v>2611.1999999999998</v>
      </c>
      <c r="F18">
        <v>6</v>
      </c>
      <c r="G18">
        <v>3916.7999999999997</v>
      </c>
      <c r="H18">
        <v>6</v>
      </c>
      <c r="I18">
        <v>3916.7999999999997</v>
      </c>
      <c r="J18">
        <v>5</v>
      </c>
      <c r="K18">
        <v>3264</v>
      </c>
      <c r="L18">
        <v>4</v>
      </c>
      <c r="M18">
        <v>2611.1999999999998</v>
      </c>
      <c r="N18">
        <v>6</v>
      </c>
      <c r="O18">
        <v>3916.7999999999997</v>
      </c>
      <c r="P18">
        <v>5</v>
      </c>
      <c r="Q18">
        <v>3264</v>
      </c>
      <c r="R18">
        <v>4</v>
      </c>
      <c r="S18">
        <v>2611.1999999999998</v>
      </c>
      <c r="T18">
        <v>91</v>
      </c>
      <c r="U18">
        <v>59404.799999999996</v>
      </c>
      <c r="V18">
        <v>48</v>
      </c>
      <c r="W18">
        <v>31334.399999999998</v>
      </c>
      <c r="X18">
        <v>66</v>
      </c>
      <c r="Y18">
        <v>43084.799999999996</v>
      </c>
      <c r="Z18">
        <v>50</v>
      </c>
      <c r="AA18">
        <v>32639.999999999996</v>
      </c>
      <c r="AB18">
        <v>8</v>
      </c>
      <c r="AC18">
        <v>5222.3999999999996</v>
      </c>
      <c r="AD18">
        <v>5</v>
      </c>
      <c r="AE18">
        <v>3264</v>
      </c>
      <c r="AF18">
        <v>5</v>
      </c>
      <c r="AG18">
        <v>3264</v>
      </c>
      <c r="AH18">
        <v>8</v>
      </c>
      <c r="AI18">
        <v>5222.3999999999996</v>
      </c>
      <c r="AJ18">
        <v>6</v>
      </c>
      <c r="AK18">
        <v>3916.7999999999997</v>
      </c>
      <c r="AL18">
        <v>5</v>
      </c>
      <c r="AM18">
        <v>3264</v>
      </c>
      <c r="AN18">
        <v>5</v>
      </c>
      <c r="AO18">
        <v>3264</v>
      </c>
      <c r="AP18">
        <v>6</v>
      </c>
      <c r="AQ18">
        <v>3916.7999999999997</v>
      </c>
      <c r="AR18">
        <v>4</v>
      </c>
      <c r="AS18">
        <v>2611.1999999999998</v>
      </c>
      <c r="AT18">
        <v>6</v>
      </c>
      <c r="AU18">
        <v>3916.7999999999997</v>
      </c>
      <c r="AV18">
        <v>5</v>
      </c>
      <c r="AW18">
        <v>3264</v>
      </c>
      <c r="AX18">
        <v>5</v>
      </c>
      <c r="AY18">
        <v>3264</v>
      </c>
      <c r="AZ18">
        <v>18</v>
      </c>
      <c r="BA18">
        <v>11750.4</v>
      </c>
      <c r="BB18">
        <v>21</v>
      </c>
      <c r="BC18">
        <v>13708.8</v>
      </c>
      <c r="BD18">
        <v>22</v>
      </c>
      <c r="BE18">
        <v>14361.599999999999</v>
      </c>
      <c r="BF18">
        <v>24</v>
      </c>
      <c r="BG18">
        <v>15667.199999999999</v>
      </c>
      <c r="BH18">
        <v>12</v>
      </c>
      <c r="BI18">
        <v>7833.5999999999995</v>
      </c>
      <c r="BJ18">
        <v>17.462717559926741</v>
      </c>
      <c r="BK18">
        <v>11399.662023120176</v>
      </c>
      <c r="BL18">
        <v>23.044902336383807</v>
      </c>
      <c r="BM18">
        <v>15043.712245191347</v>
      </c>
      <c r="BN18">
        <v>19.277556197106609</v>
      </c>
      <c r="BO18">
        <v>12584.388685471193</v>
      </c>
      <c r="BP18">
        <v>26</v>
      </c>
      <c r="BQ18">
        <v>16972.8</v>
      </c>
      <c r="BR18">
        <v>22</v>
      </c>
      <c r="BS18">
        <v>14361.599999999999</v>
      </c>
      <c r="BT18">
        <v>22</v>
      </c>
      <c r="BU18">
        <v>14361.599999999999</v>
      </c>
      <c r="BV18">
        <v>29</v>
      </c>
      <c r="BW18">
        <v>18931.199999999997</v>
      </c>
      <c r="BX18">
        <v>68</v>
      </c>
      <c r="BY18">
        <v>44390.399999999994</v>
      </c>
      <c r="BZ18">
        <v>47</v>
      </c>
      <c r="CA18">
        <v>30681.599999999999</v>
      </c>
      <c r="CB18">
        <v>42</v>
      </c>
      <c r="CC18">
        <v>27417.599999999999</v>
      </c>
      <c r="CD18">
        <v>50</v>
      </c>
      <c r="CE18">
        <v>32639.999999999996</v>
      </c>
      <c r="CF18">
        <v>10</v>
      </c>
      <c r="CG18">
        <v>6528</v>
      </c>
      <c r="CH18">
        <v>12</v>
      </c>
      <c r="CI18">
        <v>7833.5999999999995</v>
      </c>
      <c r="CJ18">
        <v>8.1375682336298905</v>
      </c>
      <c r="CK18">
        <v>5312.2045429135924</v>
      </c>
      <c r="CL18">
        <v>7.2775461106429109</v>
      </c>
      <c r="CM18">
        <v>4750.7821010276921</v>
      </c>
      <c r="CN18">
        <v>18</v>
      </c>
      <c r="CO18">
        <v>11750.4</v>
      </c>
      <c r="CP18">
        <v>23</v>
      </c>
      <c r="CQ18">
        <v>15014.4</v>
      </c>
      <c r="CR18">
        <v>21.450051961413763</v>
      </c>
      <c r="CS18">
        <v>14002.593920410904</v>
      </c>
      <c r="CT18">
        <v>18</v>
      </c>
      <c r="CU18">
        <v>11750.4</v>
      </c>
    </row>
    <row r="19" spans="2:99" x14ac:dyDescent="0.2">
      <c r="C19" s="105" t="s">
        <v>185</v>
      </c>
      <c r="D19">
        <v>4</v>
      </c>
      <c r="E19">
        <v>1320</v>
      </c>
      <c r="F19">
        <v>7</v>
      </c>
      <c r="G19">
        <v>2310</v>
      </c>
      <c r="H19">
        <v>6</v>
      </c>
      <c r="I19">
        <v>1980</v>
      </c>
      <c r="J19">
        <v>5</v>
      </c>
      <c r="K19">
        <v>1650</v>
      </c>
      <c r="L19">
        <v>4</v>
      </c>
      <c r="M19">
        <v>1320</v>
      </c>
      <c r="N19">
        <v>6</v>
      </c>
      <c r="O19">
        <v>1980</v>
      </c>
      <c r="P19">
        <v>5</v>
      </c>
      <c r="Q19">
        <v>1650</v>
      </c>
      <c r="R19">
        <v>5</v>
      </c>
      <c r="S19">
        <v>1650</v>
      </c>
      <c r="T19">
        <v>99</v>
      </c>
      <c r="U19">
        <v>32670</v>
      </c>
      <c r="V19">
        <v>56</v>
      </c>
      <c r="W19">
        <v>18480</v>
      </c>
      <c r="X19">
        <v>76</v>
      </c>
      <c r="Y19">
        <v>25080</v>
      </c>
      <c r="Z19">
        <v>48</v>
      </c>
      <c r="AA19">
        <v>15840</v>
      </c>
      <c r="AB19">
        <v>8</v>
      </c>
      <c r="AC19">
        <v>2640</v>
      </c>
      <c r="AD19">
        <v>5</v>
      </c>
      <c r="AE19">
        <v>1650</v>
      </c>
      <c r="AF19">
        <v>5</v>
      </c>
      <c r="AG19">
        <v>1650</v>
      </c>
      <c r="AH19">
        <v>9</v>
      </c>
      <c r="AI19">
        <v>2970</v>
      </c>
      <c r="AJ19">
        <v>6</v>
      </c>
      <c r="AK19">
        <v>1980</v>
      </c>
      <c r="AL19">
        <v>4</v>
      </c>
      <c r="AM19">
        <v>1320</v>
      </c>
      <c r="AN19">
        <v>5</v>
      </c>
      <c r="AO19">
        <v>1650</v>
      </c>
      <c r="AP19">
        <v>7</v>
      </c>
      <c r="AQ19">
        <v>2310</v>
      </c>
      <c r="AR19">
        <v>4</v>
      </c>
      <c r="AS19">
        <v>1320</v>
      </c>
      <c r="AT19">
        <v>6</v>
      </c>
      <c r="AU19">
        <v>1980</v>
      </c>
      <c r="AV19">
        <v>5</v>
      </c>
      <c r="AW19">
        <v>1650</v>
      </c>
      <c r="AX19">
        <v>5</v>
      </c>
      <c r="AY19">
        <v>1650</v>
      </c>
      <c r="AZ19">
        <v>18</v>
      </c>
      <c r="BA19">
        <v>5940</v>
      </c>
      <c r="BB19">
        <v>23</v>
      </c>
      <c r="BC19">
        <v>7590</v>
      </c>
      <c r="BD19">
        <v>27</v>
      </c>
      <c r="BE19">
        <v>8910</v>
      </c>
      <c r="BF19">
        <v>23</v>
      </c>
      <c r="BG19">
        <v>7590</v>
      </c>
      <c r="BH19">
        <v>14</v>
      </c>
      <c r="BI19">
        <v>4620</v>
      </c>
      <c r="BJ19">
        <v>16.495768814207224</v>
      </c>
      <c r="BK19">
        <v>5443.6037086883844</v>
      </c>
      <c r="BL19">
        <v>25.049891484870894</v>
      </c>
      <c r="BM19">
        <v>8266.4641900073948</v>
      </c>
      <c r="BN19">
        <v>21.277556197106609</v>
      </c>
      <c r="BO19">
        <v>7021.5935450451807</v>
      </c>
      <c r="BP19">
        <v>31</v>
      </c>
      <c r="BQ19">
        <v>10230</v>
      </c>
      <c r="BR19">
        <v>23</v>
      </c>
      <c r="BS19">
        <v>7590</v>
      </c>
      <c r="BT19">
        <v>21</v>
      </c>
      <c r="BU19">
        <v>6930</v>
      </c>
      <c r="BV19">
        <v>26</v>
      </c>
      <c r="BW19">
        <v>8580</v>
      </c>
      <c r="BX19">
        <v>72</v>
      </c>
      <c r="BY19">
        <v>23760</v>
      </c>
      <c r="BZ19">
        <v>56</v>
      </c>
      <c r="CA19">
        <v>18480</v>
      </c>
      <c r="CB19">
        <v>47</v>
      </c>
      <c r="CC19">
        <v>15510</v>
      </c>
      <c r="CD19">
        <v>58</v>
      </c>
      <c r="CE19">
        <v>19140</v>
      </c>
      <c r="CF19">
        <v>9</v>
      </c>
      <c r="CG19">
        <v>2970</v>
      </c>
      <c r="CH19">
        <v>11</v>
      </c>
      <c r="CI19">
        <v>3630</v>
      </c>
      <c r="CJ19">
        <v>7.1490322530990484</v>
      </c>
      <c r="CK19">
        <v>2359.1806435226858</v>
      </c>
      <c r="CL19">
        <v>8.2775461106429109</v>
      </c>
      <c r="CM19">
        <v>2731.5902165121606</v>
      </c>
      <c r="CN19">
        <v>20</v>
      </c>
      <c r="CO19">
        <v>6600</v>
      </c>
      <c r="CP19">
        <v>24</v>
      </c>
      <c r="CQ19">
        <v>7920</v>
      </c>
      <c r="CR19">
        <v>23.484671343060977</v>
      </c>
      <c r="CS19">
        <v>7749.9415432101223</v>
      </c>
      <c r="CT19">
        <v>18</v>
      </c>
      <c r="CU19">
        <v>5940</v>
      </c>
    </row>
    <row r="20" spans="2:99" x14ac:dyDescent="0.2">
      <c r="B20" s="105" t="s">
        <v>127</v>
      </c>
      <c r="C20" s="105" t="s">
        <v>186</v>
      </c>
      <c r="D20">
        <v>74</v>
      </c>
      <c r="E20">
        <v>21223.200000000001</v>
      </c>
      <c r="F20">
        <v>73</v>
      </c>
      <c r="G20">
        <v>20936.400000000001</v>
      </c>
      <c r="H20">
        <v>56</v>
      </c>
      <c r="I20">
        <v>16060.800000000001</v>
      </c>
      <c r="J20">
        <v>82</v>
      </c>
      <c r="K20">
        <v>23517.600000000002</v>
      </c>
      <c r="L20">
        <v>16</v>
      </c>
      <c r="M20">
        <v>4588.8</v>
      </c>
      <c r="N20">
        <v>10</v>
      </c>
      <c r="O20">
        <v>2868</v>
      </c>
      <c r="P20">
        <v>11</v>
      </c>
      <c r="Q20">
        <v>3154.8</v>
      </c>
      <c r="R20">
        <v>11</v>
      </c>
      <c r="S20">
        <v>3154.8</v>
      </c>
      <c r="T20">
        <v>25</v>
      </c>
      <c r="U20">
        <v>7170</v>
      </c>
      <c r="V20">
        <v>23</v>
      </c>
      <c r="W20">
        <v>6596.4000000000005</v>
      </c>
      <c r="X20">
        <v>33</v>
      </c>
      <c r="Y20">
        <v>9464.4</v>
      </c>
      <c r="Z20">
        <v>29</v>
      </c>
      <c r="AA20">
        <v>8317.2000000000007</v>
      </c>
      <c r="AB20">
        <v>11</v>
      </c>
      <c r="AC20">
        <v>3154.8</v>
      </c>
      <c r="AD20">
        <v>11</v>
      </c>
      <c r="AE20">
        <v>3154.8</v>
      </c>
      <c r="AF20">
        <v>9</v>
      </c>
      <c r="AG20">
        <v>2581.2000000000003</v>
      </c>
      <c r="AH20">
        <v>9</v>
      </c>
      <c r="AI20">
        <v>2581.2000000000003</v>
      </c>
      <c r="AJ20">
        <v>12</v>
      </c>
      <c r="AK20">
        <v>3441.6000000000004</v>
      </c>
      <c r="AL20">
        <v>10</v>
      </c>
      <c r="AM20">
        <v>2868</v>
      </c>
      <c r="AN20">
        <v>15</v>
      </c>
      <c r="AO20">
        <v>4302</v>
      </c>
      <c r="AP20">
        <v>15</v>
      </c>
      <c r="AQ20">
        <v>4302</v>
      </c>
      <c r="AR20">
        <v>4</v>
      </c>
      <c r="AS20">
        <v>1147.2</v>
      </c>
      <c r="AT20">
        <v>6</v>
      </c>
      <c r="AU20">
        <v>1720.8000000000002</v>
      </c>
      <c r="AV20">
        <v>4</v>
      </c>
      <c r="AW20">
        <v>1147.2</v>
      </c>
      <c r="AX20">
        <v>5</v>
      </c>
      <c r="AY20">
        <v>1434</v>
      </c>
      <c r="AZ20">
        <v>4</v>
      </c>
      <c r="BA20">
        <v>1147.2</v>
      </c>
      <c r="BB20">
        <v>4</v>
      </c>
      <c r="BC20">
        <v>1147.2</v>
      </c>
      <c r="BD20">
        <v>6.8861919422476134</v>
      </c>
      <c r="BE20">
        <v>1974.9598490366157</v>
      </c>
      <c r="BF20">
        <v>4</v>
      </c>
      <c r="BG20">
        <v>1147.2</v>
      </c>
      <c r="BH20">
        <v>9</v>
      </c>
      <c r="BI20">
        <v>2581.2000000000003</v>
      </c>
      <c r="BJ20">
        <v>8</v>
      </c>
      <c r="BK20">
        <v>2294.4</v>
      </c>
      <c r="BL20">
        <v>7.8581335397794021</v>
      </c>
      <c r="BM20">
        <v>2253.7126992087328</v>
      </c>
      <c r="BN20">
        <v>7</v>
      </c>
      <c r="BO20">
        <v>2007.6000000000001</v>
      </c>
      <c r="BP20">
        <v>7</v>
      </c>
      <c r="BQ20">
        <v>2007.6000000000001</v>
      </c>
      <c r="BR20">
        <v>7</v>
      </c>
      <c r="BS20">
        <v>2007.6000000000001</v>
      </c>
      <c r="BT20">
        <v>8</v>
      </c>
      <c r="BU20">
        <v>2294.4</v>
      </c>
      <c r="BV20">
        <v>7</v>
      </c>
      <c r="BW20">
        <v>2007.6000000000001</v>
      </c>
      <c r="BX20">
        <v>8</v>
      </c>
      <c r="BY20">
        <v>2294.4</v>
      </c>
      <c r="BZ20">
        <v>7</v>
      </c>
      <c r="CA20">
        <v>2007.6000000000001</v>
      </c>
      <c r="CB20">
        <v>7</v>
      </c>
      <c r="CC20">
        <v>2007.6000000000001</v>
      </c>
      <c r="CD20">
        <v>6</v>
      </c>
      <c r="CE20">
        <v>1720.8000000000002</v>
      </c>
      <c r="CF20">
        <v>49</v>
      </c>
      <c r="CG20">
        <v>14053.2</v>
      </c>
      <c r="CH20">
        <v>78</v>
      </c>
      <c r="CI20">
        <v>22370.400000000001</v>
      </c>
      <c r="CJ20">
        <v>41</v>
      </c>
      <c r="CK20">
        <v>11758.800000000001</v>
      </c>
      <c r="CL20">
        <v>47</v>
      </c>
      <c r="CM20">
        <v>13479.6</v>
      </c>
      <c r="CN20">
        <v>15.552985746226351</v>
      </c>
      <c r="CO20">
        <v>4460.5963120177175</v>
      </c>
      <c r="CP20">
        <v>12.833867853083158</v>
      </c>
      <c r="CQ20">
        <v>3680.7533002642499</v>
      </c>
      <c r="CR20">
        <v>16.173096908236062</v>
      </c>
      <c r="CS20">
        <v>4638.4441932821028</v>
      </c>
      <c r="CT20">
        <v>16.962305286529279</v>
      </c>
      <c r="CU20">
        <v>4864.7891561765973</v>
      </c>
    </row>
    <row r="21" spans="2:99" x14ac:dyDescent="0.2">
      <c r="C21" s="105" t="s">
        <v>187</v>
      </c>
      <c r="D21">
        <v>67</v>
      </c>
      <c r="E21">
        <v>4180.8</v>
      </c>
      <c r="F21">
        <v>89</v>
      </c>
      <c r="G21">
        <v>5553.5999999999995</v>
      </c>
      <c r="H21">
        <v>53</v>
      </c>
      <c r="I21">
        <v>3307.2</v>
      </c>
      <c r="J21">
        <v>79</v>
      </c>
      <c r="K21">
        <v>4929.5999999999995</v>
      </c>
      <c r="L21">
        <v>15</v>
      </c>
      <c r="M21">
        <v>936</v>
      </c>
      <c r="N21">
        <v>10</v>
      </c>
      <c r="O21">
        <v>624</v>
      </c>
      <c r="P21">
        <v>11</v>
      </c>
      <c r="Q21">
        <v>686.4</v>
      </c>
      <c r="R21">
        <v>11</v>
      </c>
      <c r="S21">
        <v>686.4</v>
      </c>
      <c r="T21">
        <v>23</v>
      </c>
      <c r="U21">
        <v>1435.2</v>
      </c>
      <c r="V21">
        <v>24</v>
      </c>
      <c r="W21">
        <v>1497.6</v>
      </c>
      <c r="X21">
        <v>35</v>
      </c>
      <c r="Y21">
        <v>2184</v>
      </c>
      <c r="Z21">
        <v>30</v>
      </c>
      <c r="AA21">
        <v>1872</v>
      </c>
      <c r="AB21">
        <v>12</v>
      </c>
      <c r="AC21">
        <v>748.8</v>
      </c>
      <c r="AD21">
        <v>9</v>
      </c>
      <c r="AE21">
        <v>561.6</v>
      </c>
      <c r="AF21">
        <v>9</v>
      </c>
      <c r="AG21">
        <v>561.6</v>
      </c>
      <c r="AH21">
        <v>9</v>
      </c>
      <c r="AI21">
        <v>561.6</v>
      </c>
      <c r="AJ21">
        <v>12</v>
      </c>
      <c r="AK21">
        <v>748.8</v>
      </c>
      <c r="AL21">
        <v>10</v>
      </c>
      <c r="AM21">
        <v>624</v>
      </c>
      <c r="AN21">
        <v>18</v>
      </c>
      <c r="AO21">
        <v>1123.2</v>
      </c>
      <c r="AP21">
        <v>15</v>
      </c>
      <c r="AQ21">
        <v>936</v>
      </c>
      <c r="AR21">
        <v>4</v>
      </c>
      <c r="AS21">
        <v>249.6</v>
      </c>
      <c r="AT21">
        <v>6</v>
      </c>
      <c r="AU21">
        <v>374.4</v>
      </c>
      <c r="AV21">
        <v>4</v>
      </c>
      <c r="AW21">
        <v>249.6</v>
      </c>
      <c r="AX21">
        <v>6</v>
      </c>
      <c r="AY21">
        <v>374.4</v>
      </c>
      <c r="AZ21">
        <v>4</v>
      </c>
      <c r="BA21">
        <v>249.6</v>
      </c>
      <c r="BB21">
        <v>3</v>
      </c>
      <c r="BC21">
        <v>187.2</v>
      </c>
      <c r="BD21">
        <v>6.9395769990095175</v>
      </c>
      <c r="BE21">
        <v>433.02960473819388</v>
      </c>
      <c r="BF21">
        <v>4</v>
      </c>
      <c r="BG21">
        <v>249.6</v>
      </c>
      <c r="BH21">
        <v>9</v>
      </c>
      <c r="BI21">
        <v>561.6</v>
      </c>
      <c r="BJ21">
        <v>8</v>
      </c>
      <c r="BK21">
        <v>499.2</v>
      </c>
      <c r="BL21">
        <v>7.8930575791890289</v>
      </c>
      <c r="BM21">
        <v>492.5267929413954</v>
      </c>
      <c r="BN21">
        <v>7</v>
      </c>
      <c r="BO21">
        <v>436.8</v>
      </c>
      <c r="BP21">
        <v>6</v>
      </c>
      <c r="BQ21">
        <v>374.4</v>
      </c>
      <c r="BR21">
        <v>7</v>
      </c>
      <c r="BS21">
        <v>436.8</v>
      </c>
      <c r="BT21">
        <v>9</v>
      </c>
      <c r="BU21">
        <v>561.6</v>
      </c>
      <c r="BV21">
        <v>6</v>
      </c>
      <c r="BW21">
        <v>374.4</v>
      </c>
      <c r="BX21">
        <v>6</v>
      </c>
      <c r="BY21">
        <v>374.4</v>
      </c>
      <c r="BZ21">
        <v>6</v>
      </c>
      <c r="CA21">
        <v>374.4</v>
      </c>
      <c r="CB21">
        <v>8</v>
      </c>
      <c r="CC21">
        <v>499.2</v>
      </c>
      <c r="CD21">
        <v>6</v>
      </c>
      <c r="CE21">
        <v>374.4</v>
      </c>
      <c r="CF21">
        <v>62</v>
      </c>
      <c r="CG21">
        <v>3868.7999999999997</v>
      </c>
      <c r="CH21">
        <v>75</v>
      </c>
      <c r="CI21">
        <v>4680</v>
      </c>
      <c r="CJ21">
        <v>44</v>
      </c>
      <c r="CK21">
        <v>2745.6</v>
      </c>
      <c r="CL21">
        <v>45</v>
      </c>
      <c r="CM21">
        <v>2808</v>
      </c>
      <c r="CN21">
        <v>16.65667057364379</v>
      </c>
      <c r="CO21">
        <v>1039.3762437953726</v>
      </c>
      <c r="CP21">
        <v>14.967286709576463</v>
      </c>
      <c r="CQ21">
        <v>933.95869067757133</v>
      </c>
      <c r="CR21">
        <v>15.173096908236063</v>
      </c>
      <c r="CS21">
        <v>946.80124707393031</v>
      </c>
      <c r="CT21">
        <v>16.962305286529279</v>
      </c>
      <c r="CU21">
        <v>1058.4478498794269</v>
      </c>
    </row>
    <row r="22" spans="2:99" x14ac:dyDescent="0.2">
      <c r="C22" s="105" t="s">
        <v>188</v>
      </c>
      <c r="D22">
        <v>69</v>
      </c>
      <c r="E22">
        <v>12916.8</v>
      </c>
      <c r="F22">
        <v>83</v>
      </c>
      <c r="G22">
        <v>15537.599999999999</v>
      </c>
      <c r="H22">
        <v>58</v>
      </c>
      <c r="I22">
        <v>10857.599999999999</v>
      </c>
      <c r="J22">
        <v>89</v>
      </c>
      <c r="K22">
        <v>16660.8</v>
      </c>
      <c r="L22">
        <v>14</v>
      </c>
      <c r="M22">
        <v>2620.7999999999997</v>
      </c>
      <c r="N22">
        <v>11</v>
      </c>
      <c r="O22">
        <v>2059.1999999999998</v>
      </c>
      <c r="P22">
        <v>11</v>
      </c>
      <c r="Q22">
        <v>2059.1999999999998</v>
      </c>
      <c r="R22">
        <v>10</v>
      </c>
      <c r="S22">
        <v>1872</v>
      </c>
      <c r="T22">
        <v>23</v>
      </c>
      <c r="U22">
        <v>4305.5999999999995</v>
      </c>
      <c r="V22">
        <v>26</v>
      </c>
      <c r="W22">
        <v>4867.2</v>
      </c>
      <c r="X22">
        <v>34</v>
      </c>
      <c r="Y22">
        <v>6364.7999999999993</v>
      </c>
      <c r="Z22">
        <v>26</v>
      </c>
      <c r="AA22">
        <v>4867.2</v>
      </c>
      <c r="AB22">
        <v>12</v>
      </c>
      <c r="AC22">
        <v>2246.3999999999996</v>
      </c>
      <c r="AD22">
        <v>11</v>
      </c>
      <c r="AE22">
        <v>2059.1999999999998</v>
      </c>
      <c r="AF22">
        <v>9</v>
      </c>
      <c r="AG22">
        <v>1684.8</v>
      </c>
      <c r="AH22">
        <v>9</v>
      </c>
      <c r="AI22">
        <v>1684.8</v>
      </c>
      <c r="AJ22">
        <v>13</v>
      </c>
      <c r="AK22">
        <v>2433.6</v>
      </c>
      <c r="AL22">
        <v>10</v>
      </c>
      <c r="AM22">
        <v>1872</v>
      </c>
      <c r="AN22">
        <v>17</v>
      </c>
      <c r="AO22">
        <v>3182.3999999999996</v>
      </c>
      <c r="AP22">
        <v>14</v>
      </c>
      <c r="AQ22">
        <v>2620.7999999999997</v>
      </c>
      <c r="AR22">
        <v>4</v>
      </c>
      <c r="AS22">
        <v>748.8</v>
      </c>
      <c r="AT22">
        <v>6</v>
      </c>
      <c r="AU22">
        <v>1123.1999999999998</v>
      </c>
      <c r="AV22">
        <v>4</v>
      </c>
      <c r="AW22">
        <v>748.8</v>
      </c>
      <c r="AX22">
        <v>5</v>
      </c>
      <c r="AY22">
        <v>936</v>
      </c>
      <c r="AZ22">
        <v>4</v>
      </c>
      <c r="BA22">
        <v>748.8</v>
      </c>
      <c r="BB22">
        <v>3</v>
      </c>
      <c r="BC22">
        <v>561.59999999999991</v>
      </c>
      <c r="BD22">
        <v>6.9876235500952317</v>
      </c>
      <c r="BE22">
        <v>1308.0831285778272</v>
      </c>
      <c r="BF22">
        <v>5</v>
      </c>
      <c r="BG22">
        <v>936</v>
      </c>
      <c r="BH22">
        <v>8</v>
      </c>
      <c r="BI22">
        <v>1497.6</v>
      </c>
      <c r="BJ22">
        <v>8</v>
      </c>
      <c r="BK22">
        <v>1497.6</v>
      </c>
      <c r="BL22">
        <v>6.9579165095211923</v>
      </c>
      <c r="BM22">
        <v>1302.5219705823672</v>
      </c>
      <c r="BN22">
        <v>7</v>
      </c>
      <c r="BO22">
        <v>1310.3999999999999</v>
      </c>
      <c r="BP22">
        <v>7</v>
      </c>
      <c r="BQ22">
        <v>1310.3999999999999</v>
      </c>
      <c r="BR22">
        <v>8</v>
      </c>
      <c r="BS22">
        <v>1497.6</v>
      </c>
      <c r="BT22">
        <v>9</v>
      </c>
      <c r="BU22">
        <v>1684.8</v>
      </c>
      <c r="BV22">
        <v>7</v>
      </c>
      <c r="BW22">
        <v>1310.3999999999999</v>
      </c>
      <c r="BX22">
        <v>7</v>
      </c>
      <c r="BY22">
        <v>1310.3999999999999</v>
      </c>
      <c r="BZ22">
        <v>7</v>
      </c>
      <c r="CA22">
        <v>1310.3999999999999</v>
      </c>
      <c r="CB22">
        <v>8</v>
      </c>
      <c r="CC22">
        <v>1497.6</v>
      </c>
      <c r="CD22">
        <v>6</v>
      </c>
      <c r="CE22">
        <v>1123.1999999999998</v>
      </c>
      <c r="CF22">
        <v>52</v>
      </c>
      <c r="CG22">
        <v>9734.4</v>
      </c>
      <c r="CH22">
        <v>67</v>
      </c>
      <c r="CI22">
        <v>12542.4</v>
      </c>
      <c r="CJ22">
        <v>42</v>
      </c>
      <c r="CK22">
        <v>7862.4</v>
      </c>
      <c r="CL22">
        <v>46</v>
      </c>
      <c r="CM22">
        <v>8611.1999999999989</v>
      </c>
      <c r="CN22">
        <v>17.65667057364379</v>
      </c>
      <c r="CO22">
        <v>3305.3287313861174</v>
      </c>
      <c r="CP22">
        <v>12.833867853083158</v>
      </c>
      <c r="CQ22">
        <v>2402.5000620971668</v>
      </c>
      <c r="CR22">
        <v>14.164442062824259</v>
      </c>
      <c r="CS22">
        <v>2651.5835541607012</v>
      </c>
      <c r="CT22">
        <v>17.008129347792579</v>
      </c>
      <c r="CU22">
        <v>3183.9218139067707</v>
      </c>
    </row>
    <row r="23" spans="2:99" x14ac:dyDescent="0.2">
      <c r="C23" s="105" t="s">
        <v>189</v>
      </c>
      <c r="D23">
        <v>70</v>
      </c>
      <c r="E23">
        <v>20580</v>
      </c>
      <c r="F23">
        <v>79</v>
      </c>
      <c r="G23">
        <v>23226</v>
      </c>
      <c r="H23">
        <v>57</v>
      </c>
      <c r="I23">
        <v>16758</v>
      </c>
      <c r="J23">
        <v>86</v>
      </c>
      <c r="K23">
        <v>25284</v>
      </c>
      <c r="L23">
        <v>15</v>
      </c>
      <c r="M23">
        <v>4410</v>
      </c>
      <c r="N23">
        <v>11</v>
      </c>
      <c r="O23">
        <v>3234</v>
      </c>
      <c r="P23">
        <v>10</v>
      </c>
      <c r="Q23">
        <v>2940</v>
      </c>
      <c r="R23">
        <v>10</v>
      </c>
      <c r="S23">
        <v>2940</v>
      </c>
      <c r="T23">
        <v>23</v>
      </c>
      <c r="U23">
        <v>6762</v>
      </c>
      <c r="V23">
        <v>23</v>
      </c>
      <c r="W23">
        <v>6762</v>
      </c>
      <c r="X23">
        <v>30</v>
      </c>
      <c r="Y23">
        <v>8820</v>
      </c>
      <c r="Z23">
        <v>26</v>
      </c>
      <c r="AA23">
        <v>7644</v>
      </c>
      <c r="AB23">
        <v>11</v>
      </c>
      <c r="AC23">
        <v>3234</v>
      </c>
      <c r="AD23">
        <v>11</v>
      </c>
      <c r="AE23">
        <v>3234</v>
      </c>
      <c r="AF23">
        <v>9</v>
      </c>
      <c r="AG23">
        <v>2646</v>
      </c>
      <c r="AH23">
        <v>10</v>
      </c>
      <c r="AI23">
        <v>2940</v>
      </c>
      <c r="AJ23">
        <v>12</v>
      </c>
      <c r="AK23">
        <v>3528</v>
      </c>
      <c r="AL23">
        <v>10</v>
      </c>
      <c r="AM23">
        <v>2940</v>
      </c>
      <c r="AN23">
        <v>15</v>
      </c>
      <c r="AO23">
        <v>4410</v>
      </c>
      <c r="AP23">
        <v>15</v>
      </c>
      <c r="AQ23">
        <v>4410</v>
      </c>
      <c r="AR23">
        <v>4</v>
      </c>
      <c r="AS23">
        <v>1176</v>
      </c>
      <c r="AT23">
        <v>5</v>
      </c>
      <c r="AU23">
        <v>1470</v>
      </c>
      <c r="AV23">
        <v>4</v>
      </c>
      <c r="AW23">
        <v>1176</v>
      </c>
      <c r="AX23">
        <v>5</v>
      </c>
      <c r="AY23">
        <v>1470</v>
      </c>
      <c r="AZ23">
        <v>4</v>
      </c>
      <c r="BA23">
        <v>1176</v>
      </c>
      <c r="BB23">
        <v>4</v>
      </c>
      <c r="BC23">
        <v>1176</v>
      </c>
      <c r="BD23">
        <v>5.8328068854857085</v>
      </c>
      <c r="BE23">
        <v>1714.8452243327984</v>
      </c>
      <c r="BF23">
        <v>5</v>
      </c>
      <c r="BG23">
        <v>1470</v>
      </c>
      <c r="BH23">
        <v>8</v>
      </c>
      <c r="BI23">
        <v>2352</v>
      </c>
      <c r="BJ23">
        <v>8</v>
      </c>
      <c r="BK23">
        <v>2352</v>
      </c>
      <c r="BL23">
        <v>6.9928405489308192</v>
      </c>
      <c r="BM23">
        <v>2055.8951213856608</v>
      </c>
      <c r="BN23">
        <v>7</v>
      </c>
      <c r="BO23">
        <v>2058</v>
      </c>
      <c r="BP23">
        <v>7</v>
      </c>
      <c r="BQ23">
        <v>2058</v>
      </c>
      <c r="BR23">
        <v>8</v>
      </c>
      <c r="BS23">
        <v>2352</v>
      </c>
      <c r="BT23">
        <v>9</v>
      </c>
      <c r="BU23">
        <v>2646</v>
      </c>
      <c r="BV23">
        <v>6</v>
      </c>
      <c r="BW23">
        <v>1764</v>
      </c>
      <c r="BX23">
        <v>7</v>
      </c>
      <c r="BY23">
        <v>2058</v>
      </c>
      <c r="BZ23">
        <v>6</v>
      </c>
      <c r="CA23">
        <v>1764</v>
      </c>
      <c r="CB23">
        <v>7</v>
      </c>
      <c r="CC23">
        <v>2058</v>
      </c>
      <c r="CD23">
        <v>6</v>
      </c>
      <c r="CE23">
        <v>1764</v>
      </c>
      <c r="CF23">
        <v>52</v>
      </c>
      <c r="CG23">
        <v>15288</v>
      </c>
      <c r="CH23">
        <v>72</v>
      </c>
      <c r="CI23">
        <v>21168</v>
      </c>
      <c r="CJ23">
        <v>43</v>
      </c>
      <c r="CK23">
        <v>12642</v>
      </c>
      <c r="CL23">
        <v>49</v>
      </c>
      <c r="CM23">
        <v>14406</v>
      </c>
      <c r="CN23">
        <v>15.622108964504644</v>
      </c>
      <c r="CO23">
        <v>4592.9000355643657</v>
      </c>
      <c r="CP23">
        <v>14.00064142369979</v>
      </c>
      <c r="CQ23">
        <v>4116.1885785677387</v>
      </c>
      <c r="CR23">
        <v>15.190406599059669</v>
      </c>
      <c r="CS23">
        <v>4465.9795401235424</v>
      </c>
      <c r="CT23">
        <v>15</v>
      </c>
      <c r="CU23">
        <v>4410</v>
      </c>
    </row>
    <row r="24" spans="2:99" x14ac:dyDescent="0.2">
      <c r="C24" s="105" t="s">
        <v>190</v>
      </c>
      <c r="D24">
        <v>68</v>
      </c>
      <c r="E24">
        <v>24969.599999999999</v>
      </c>
      <c r="F24">
        <v>80</v>
      </c>
      <c r="G24">
        <v>29376</v>
      </c>
      <c r="H24">
        <v>51</v>
      </c>
      <c r="I24">
        <v>18727.2</v>
      </c>
      <c r="J24">
        <v>78</v>
      </c>
      <c r="K24">
        <v>28641.599999999999</v>
      </c>
      <c r="L24">
        <v>15</v>
      </c>
      <c r="M24">
        <v>5508</v>
      </c>
      <c r="N24">
        <v>10</v>
      </c>
      <c r="O24">
        <v>3672</v>
      </c>
      <c r="P24">
        <v>9</v>
      </c>
      <c r="Q24">
        <v>3304.7999999999997</v>
      </c>
      <c r="R24">
        <v>11</v>
      </c>
      <c r="S24">
        <v>4039.2</v>
      </c>
      <c r="T24">
        <v>24</v>
      </c>
      <c r="U24">
        <v>8812.7999999999993</v>
      </c>
      <c r="V24">
        <v>23</v>
      </c>
      <c r="W24">
        <v>8445.6</v>
      </c>
      <c r="X24">
        <v>35</v>
      </c>
      <c r="Y24">
        <v>12852</v>
      </c>
      <c r="Z24">
        <v>28</v>
      </c>
      <c r="AA24">
        <v>10281.6</v>
      </c>
      <c r="AB24">
        <v>13</v>
      </c>
      <c r="AC24">
        <v>4773.5999999999995</v>
      </c>
      <c r="AD24">
        <v>10</v>
      </c>
      <c r="AE24">
        <v>3672</v>
      </c>
      <c r="AF24">
        <v>10</v>
      </c>
      <c r="AG24">
        <v>3672</v>
      </c>
      <c r="AH24">
        <v>9</v>
      </c>
      <c r="AI24">
        <v>3304.7999999999997</v>
      </c>
      <c r="AJ24">
        <v>12</v>
      </c>
      <c r="AK24">
        <v>4406.3999999999996</v>
      </c>
      <c r="AL24">
        <v>10</v>
      </c>
      <c r="AM24">
        <v>3672</v>
      </c>
      <c r="AN24">
        <v>16</v>
      </c>
      <c r="AO24">
        <v>5875.2</v>
      </c>
      <c r="AP24">
        <v>13</v>
      </c>
      <c r="AQ24">
        <v>4773.5999999999995</v>
      </c>
      <c r="AR24">
        <v>4</v>
      </c>
      <c r="AS24">
        <v>1468.8</v>
      </c>
      <c r="AT24">
        <v>6</v>
      </c>
      <c r="AU24">
        <v>2203.1999999999998</v>
      </c>
      <c r="AV24">
        <v>4</v>
      </c>
      <c r="AW24">
        <v>1468.8</v>
      </c>
      <c r="AX24">
        <v>6</v>
      </c>
      <c r="AY24">
        <v>2203.1999999999998</v>
      </c>
      <c r="AZ24">
        <v>4</v>
      </c>
      <c r="BA24">
        <v>1468.8</v>
      </c>
      <c r="BB24">
        <v>3</v>
      </c>
      <c r="BC24">
        <v>1101.5999999999999</v>
      </c>
      <c r="BD24">
        <v>5.8488224025142799</v>
      </c>
      <c r="BE24">
        <v>2147.6875862032434</v>
      </c>
      <c r="BF24">
        <v>4</v>
      </c>
      <c r="BG24">
        <v>1468.8</v>
      </c>
      <c r="BH24">
        <v>8</v>
      </c>
      <c r="BI24">
        <v>2937.6</v>
      </c>
      <c r="BJ24">
        <v>8</v>
      </c>
      <c r="BK24">
        <v>2937.6</v>
      </c>
      <c r="BL24">
        <v>6.8032529064214167</v>
      </c>
      <c r="BM24">
        <v>2498.1544672379441</v>
      </c>
      <c r="BN24">
        <v>6</v>
      </c>
      <c r="BO24">
        <v>2203.1999999999998</v>
      </c>
      <c r="BP24">
        <v>8</v>
      </c>
      <c r="BQ24">
        <v>2937.6</v>
      </c>
      <c r="BR24">
        <v>7</v>
      </c>
      <c r="BS24">
        <v>2570.4</v>
      </c>
      <c r="BT24">
        <v>8</v>
      </c>
      <c r="BU24">
        <v>2937.6</v>
      </c>
      <c r="BV24">
        <v>6</v>
      </c>
      <c r="BW24">
        <v>2203.1999999999998</v>
      </c>
      <c r="BX24">
        <v>7</v>
      </c>
      <c r="BY24">
        <v>2570.4</v>
      </c>
      <c r="BZ24">
        <v>7</v>
      </c>
      <c r="CA24">
        <v>2570.4</v>
      </c>
      <c r="CB24">
        <v>8</v>
      </c>
      <c r="CC24">
        <v>2937.6</v>
      </c>
      <c r="CD24">
        <v>6</v>
      </c>
      <c r="CE24">
        <v>2203.1999999999998</v>
      </c>
      <c r="CF24">
        <v>56</v>
      </c>
      <c r="CG24">
        <v>20563.2</v>
      </c>
      <c r="CH24">
        <v>76</v>
      </c>
      <c r="CI24">
        <v>27907.200000000001</v>
      </c>
      <c r="CJ24">
        <v>42</v>
      </c>
      <c r="CK24">
        <v>15422.4</v>
      </c>
      <c r="CL24">
        <v>43</v>
      </c>
      <c r="CM24">
        <v>15789.6</v>
      </c>
      <c r="CN24">
        <v>15.622108964504644</v>
      </c>
      <c r="CO24">
        <v>5736.4384117661048</v>
      </c>
      <c r="CP24">
        <v>13.867222567206484</v>
      </c>
      <c r="CQ24">
        <v>5092.0441266782209</v>
      </c>
      <c r="CR24">
        <v>16.173096908236062</v>
      </c>
      <c r="CS24">
        <v>5938.7611847042817</v>
      </c>
      <c r="CT24">
        <v>16</v>
      </c>
      <c r="CU24">
        <v>5875.2</v>
      </c>
    </row>
    <row r="25" spans="2:99" x14ac:dyDescent="0.2">
      <c r="C25" s="105" t="s">
        <v>191</v>
      </c>
      <c r="D25">
        <v>62</v>
      </c>
      <c r="E25">
        <v>32884.799999999996</v>
      </c>
      <c r="F25">
        <v>75</v>
      </c>
      <c r="G25">
        <v>39780</v>
      </c>
      <c r="H25">
        <v>49</v>
      </c>
      <c r="I25">
        <v>25989.599999999999</v>
      </c>
      <c r="J25">
        <v>75</v>
      </c>
      <c r="K25">
        <v>39780</v>
      </c>
      <c r="L25">
        <v>13</v>
      </c>
      <c r="M25">
        <v>6895.2</v>
      </c>
      <c r="N25">
        <v>11</v>
      </c>
      <c r="O25">
        <v>5834.4</v>
      </c>
      <c r="P25">
        <v>10</v>
      </c>
      <c r="Q25">
        <v>5304</v>
      </c>
      <c r="R25">
        <v>11</v>
      </c>
      <c r="S25">
        <v>5834.4</v>
      </c>
      <c r="T25">
        <v>22</v>
      </c>
      <c r="U25">
        <v>11668.8</v>
      </c>
      <c r="V25">
        <v>23</v>
      </c>
      <c r="W25">
        <v>12199.199999999999</v>
      </c>
      <c r="X25">
        <v>33</v>
      </c>
      <c r="Y25">
        <v>17503.2</v>
      </c>
      <c r="Z25">
        <v>26</v>
      </c>
      <c r="AA25">
        <v>13790.4</v>
      </c>
      <c r="AB25">
        <v>11</v>
      </c>
      <c r="AC25">
        <v>5834.4</v>
      </c>
      <c r="AD25">
        <v>10</v>
      </c>
      <c r="AE25">
        <v>5304</v>
      </c>
      <c r="AF25">
        <v>9</v>
      </c>
      <c r="AG25">
        <v>4773.5999999999995</v>
      </c>
      <c r="AH25">
        <v>8</v>
      </c>
      <c r="AI25">
        <v>4243.2</v>
      </c>
      <c r="AJ25">
        <v>11</v>
      </c>
      <c r="AK25">
        <v>5834.4</v>
      </c>
      <c r="AL25">
        <v>10</v>
      </c>
      <c r="AM25">
        <v>5304</v>
      </c>
      <c r="AN25">
        <v>16</v>
      </c>
      <c r="AO25">
        <v>8486.4</v>
      </c>
      <c r="AP25">
        <v>13</v>
      </c>
      <c r="AQ25">
        <v>6895.2</v>
      </c>
      <c r="AR25">
        <v>4</v>
      </c>
      <c r="AS25">
        <v>2121.6</v>
      </c>
      <c r="AT25">
        <v>6</v>
      </c>
      <c r="AU25">
        <v>3182.3999999999996</v>
      </c>
      <c r="AV25">
        <v>4</v>
      </c>
      <c r="AW25">
        <v>2121.6</v>
      </c>
      <c r="AX25">
        <v>6</v>
      </c>
      <c r="AY25">
        <v>3182.3999999999996</v>
      </c>
      <c r="AZ25">
        <v>4</v>
      </c>
      <c r="BA25">
        <v>2121.6</v>
      </c>
      <c r="BB25">
        <v>3</v>
      </c>
      <c r="BC25">
        <v>1591.1999999999998</v>
      </c>
      <c r="BD25">
        <v>5.8114528627809472</v>
      </c>
      <c r="BE25">
        <v>3082.3945984190141</v>
      </c>
      <c r="BF25">
        <v>5</v>
      </c>
      <c r="BG25">
        <v>2652</v>
      </c>
      <c r="BH25">
        <v>8</v>
      </c>
      <c r="BI25">
        <v>4243.2</v>
      </c>
      <c r="BJ25">
        <v>7</v>
      </c>
      <c r="BK25">
        <v>3712.7999999999997</v>
      </c>
      <c r="BL25">
        <v>7.8581335397794021</v>
      </c>
      <c r="BM25">
        <v>4167.9540294989947</v>
      </c>
      <c r="BN25">
        <v>6</v>
      </c>
      <c r="BO25">
        <v>3182.3999999999996</v>
      </c>
      <c r="BP25">
        <v>7</v>
      </c>
      <c r="BQ25">
        <v>3712.7999999999997</v>
      </c>
      <c r="BR25">
        <v>8</v>
      </c>
      <c r="BS25">
        <v>4243.2</v>
      </c>
      <c r="BT25">
        <v>9</v>
      </c>
      <c r="BU25">
        <v>4773.5999999999995</v>
      </c>
      <c r="BV25">
        <v>7</v>
      </c>
      <c r="BW25">
        <v>3712.7999999999997</v>
      </c>
      <c r="BX25">
        <v>7</v>
      </c>
      <c r="BY25">
        <v>3712.7999999999997</v>
      </c>
      <c r="BZ25">
        <v>6</v>
      </c>
      <c r="CA25">
        <v>3182.3999999999996</v>
      </c>
      <c r="CB25">
        <v>7</v>
      </c>
      <c r="CC25">
        <v>3712.7999999999997</v>
      </c>
      <c r="CD25">
        <v>6</v>
      </c>
      <c r="CE25">
        <v>3182.3999999999996</v>
      </c>
      <c r="CF25">
        <v>47</v>
      </c>
      <c r="CG25">
        <v>24928.799999999999</v>
      </c>
      <c r="CH25">
        <v>69</v>
      </c>
      <c r="CI25">
        <v>36597.599999999999</v>
      </c>
      <c r="CJ25">
        <v>41</v>
      </c>
      <c r="CK25">
        <v>21746.399999999998</v>
      </c>
      <c r="CL25">
        <v>47</v>
      </c>
      <c r="CM25">
        <v>24928.799999999999</v>
      </c>
      <c r="CN25">
        <v>16.552985746226351</v>
      </c>
      <c r="CO25">
        <v>8779.7036397984557</v>
      </c>
      <c r="CP25">
        <v>13.833867853083158</v>
      </c>
      <c r="CQ25">
        <v>7337.4835092753065</v>
      </c>
      <c r="CR25">
        <v>14.181751753647866</v>
      </c>
      <c r="CS25">
        <v>7522.0011301348277</v>
      </c>
      <c r="CT25">
        <v>14.962305286529281</v>
      </c>
      <c r="CU25">
        <v>7936.0067239751306</v>
      </c>
    </row>
    <row r="26" spans="2:99" x14ac:dyDescent="0.2">
      <c r="C26" s="105" t="s">
        <v>192</v>
      </c>
      <c r="D26">
        <v>63</v>
      </c>
      <c r="E26">
        <v>30618</v>
      </c>
      <c r="F26">
        <v>69</v>
      </c>
      <c r="G26">
        <v>33534</v>
      </c>
      <c r="H26">
        <v>53</v>
      </c>
      <c r="I26">
        <v>25758</v>
      </c>
      <c r="J26">
        <v>82</v>
      </c>
      <c r="K26">
        <v>39852</v>
      </c>
      <c r="L26">
        <v>14</v>
      </c>
      <c r="M26">
        <v>6804</v>
      </c>
      <c r="N26">
        <v>9</v>
      </c>
      <c r="O26">
        <v>4374</v>
      </c>
      <c r="P26">
        <v>9</v>
      </c>
      <c r="Q26">
        <v>4374</v>
      </c>
      <c r="R26">
        <v>10</v>
      </c>
      <c r="S26">
        <v>4860</v>
      </c>
      <c r="T26">
        <v>26</v>
      </c>
      <c r="U26">
        <v>12636</v>
      </c>
      <c r="V26">
        <v>23</v>
      </c>
      <c r="W26">
        <v>11178</v>
      </c>
      <c r="X26">
        <v>33</v>
      </c>
      <c r="Y26">
        <v>16038</v>
      </c>
      <c r="Z26">
        <v>27</v>
      </c>
      <c r="AA26">
        <v>13122</v>
      </c>
      <c r="AB26">
        <v>12</v>
      </c>
      <c r="AC26">
        <v>5832</v>
      </c>
      <c r="AD26">
        <v>10</v>
      </c>
      <c r="AE26">
        <v>4860</v>
      </c>
      <c r="AF26">
        <v>9</v>
      </c>
      <c r="AG26">
        <v>4374</v>
      </c>
      <c r="AH26">
        <v>8</v>
      </c>
      <c r="AI26">
        <v>3888</v>
      </c>
      <c r="AJ26">
        <v>12</v>
      </c>
      <c r="AK26">
        <v>5832</v>
      </c>
      <c r="AL26">
        <v>9</v>
      </c>
      <c r="AM26">
        <v>4374</v>
      </c>
      <c r="AN26">
        <v>15</v>
      </c>
      <c r="AO26">
        <v>7290</v>
      </c>
      <c r="AP26">
        <v>13</v>
      </c>
      <c r="AQ26">
        <v>6318</v>
      </c>
      <c r="AR26">
        <v>4</v>
      </c>
      <c r="AS26">
        <v>1944</v>
      </c>
      <c r="AT26">
        <v>6</v>
      </c>
      <c r="AU26">
        <v>2916</v>
      </c>
      <c r="AV26">
        <v>4</v>
      </c>
      <c r="AW26">
        <v>1944</v>
      </c>
      <c r="AX26">
        <v>6</v>
      </c>
      <c r="AY26">
        <v>2916</v>
      </c>
      <c r="AZ26">
        <v>4</v>
      </c>
      <c r="BA26">
        <v>1944</v>
      </c>
      <c r="BB26">
        <v>4</v>
      </c>
      <c r="BC26">
        <v>1944</v>
      </c>
      <c r="BD26">
        <v>5.9235614819809461</v>
      </c>
      <c r="BE26">
        <v>2878.85088024274</v>
      </c>
      <c r="BF26">
        <v>4</v>
      </c>
      <c r="BG26">
        <v>1944</v>
      </c>
      <c r="BH26">
        <v>8</v>
      </c>
      <c r="BI26">
        <v>3888</v>
      </c>
      <c r="BJ26">
        <v>8</v>
      </c>
      <c r="BK26">
        <v>3888</v>
      </c>
      <c r="BL26">
        <v>6.8032529064214167</v>
      </c>
      <c r="BM26">
        <v>3306.3809125208086</v>
      </c>
      <c r="BN26">
        <v>6</v>
      </c>
      <c r="BO26">
        <v>2916</v>
      </c>
      <c r="BP26">
        <v>8</v>
      </c>
      <c r="BQ26">
        <v>3888</v>
      </c>
      <c r="BR26">
        <v>7</v>
      </c>
      <c r="BS26">
        <v>3402</v>
      </c>
      <c r="BT26">
        <v>8</v>
      </c>
      <c r="BU26">
        <v>3888</v>
      </c>
      <c r="BV26">
        <v>7</v>
      </c>
      <c r="BW26">
        <v>3402</v>
      </c>
      <c r="BX26">
        <v>7</v>
      </c>
      <c r="BY26">
        <v>3402</v>
      </c>
      <c r="BZ26">
        <v>6</v>
      </c>
      <c r="CA26">
        <v>2916</v>
      </c>
      <c r="CB26">
        <v>8</v>
      </c>
      <c r="CC26">
        <v>3888</v>
      </c>
      <c r="CD26">
        <v>6</v>
      </c>
      <c r="CE26">
        <v>2916</v>
      </c>
      <c r="CF26">
        <v>56</v>
      </c>
      <c r="CG26">
        <v>27216</v>
      </c>
      <c r="CH26">
        <v>66</v>
      </c>
      <c r="CI26">
        <v>32076</v>
      </c>
      <c r="CJ26">
        <v>37</v>
      </c>
      <c r="CK26">
        <v>17982</v>
      </c>
      <c r="CL26">
        <v>45</v>
      </c>
      <c r="CM26">
        <v>21870</v>
      </c>
      <c r="CN26">
        <v>15.622108964504644</v>
      </c>
      <c r="CO26">
        <v>7592.3449567492571</v>
      </c>
      <c r="CP26">
        <v>14.933931995453136</v>
      </c>
      <c r="CQ26">
        <v>7257.8909497902241</v>
      </c>
      <c r="CR26">
        <v>16.181751753647866</v>
      </c>
      <c r="CS26">
        <v>7864.3313522728631</v>
      </c>
      <c r="CT26">
        <v>15.870657164002683</v>
      </c>
      <c r="CU26">
        <v>7713.139381705304</v>
      </c>
    </row>
    <row r="27" spans="2:99" x14ac:dyDescent="0.2">
      <c r="C27" s="105" t="s">
        <v>193</v>
      </c>
      <c r="D27">
        <v>63</v>
      </c>
      <c r="E27">
        <v>26913.599999999999</v>
      </c>
      <c r="F27">
        <v>74</v>
      </c>
      <c r="G27">
        <v>31612.799999999999</v>
      </c>
      <c r="H27">
        <v>53</v>
      </c>
      <c r="I27">
        <v>22641.599999999999</v>
      </c>
      <c r="J27">
        <v>77</v>
      </c>
      <c r="K27">
        <v>32894.400000000001</v>
      </c>
      <c r="L27">
        <v>16</v>
      </c>
      <c r="M27">
        <v>6835.2</v>
      </c>
      <c r="N27">
        <v>11</v>
      </c>
      <c r="O27">
        <v>4699.2</v>
      </c>
      <c r="P27">
        <v>10</v>
      </c>
      <c r="Q27">
        <v>4272</v>
      </c>
      <c r="R27">
        <v>10</v>
      </c>
      <c r="S27">
        <v>4272</v>
      </c>
      <c r="T27">
        <v>22</v>
      </c>
      <c r="U27">
        <v>9398.4</v>
      </c>
      <c r="V27">
        <v>22</v>
      </c>
      <c r="W27">
        <v>9398.4</v>
      </c>
      <c r="X27">
        <v>28</v>
      </c>
      <c r="Y27">
        <v>11961.6</v>
      </c>
      <c r="Z27">
        <v>27</v>
      </c>
      <c r="AA27">
        <v>11534.4</v>
      </c>
      <c r="AB27">
        <v>11</v>
      </c>
      <c r="AC27">
        <v>4699.2</v>
      </c>
      <c r="AD27">
        <v>11</v>
      </c>
      <c r="AE27">
        <v>4699.2</v>
      </c>
      <c r="AF27">
        <v>9</v>
      </c>
      <c r="AG27">
        <v>3844.7999999999997</v>
      </c>
      <c r="AH27">
        <v>9</v>
      </c>
      <c r="AI27">
        <v>3844.7999999999997</v>
      </c>
      <c r="AJ27">
        <v>13</v>
      </c>
      <c r="AK27">
        <v>5553.5999999999995</v>
      </c>
      <c r="AL27">
        <v>10</v>
      </c>
      <c r="AM27">
        <v>4272</v>
      </c>
      <c r="AN27">
        <v>15</v>
      </c>
      <c r="AO27">
        <v>6408</v>
      </c>
      <c r="AP27">
        <v>15</v>
      </c>
      <c r="AQ27">
        <v>6408</v>
      </c>
      <c r="AR27">
        <v>4</v>
      </c>
      <c r="AS27">
        <v>1708.8</v>
      </c>
      <c r="AT27">
        <v>6</v>
      </c>
      <c r="AU27">
        <v>2563.1999999999998</v>
      </c>
      <c r="AV27">
        <v>4</v>
      </c>
      <c r="AW27">
        <v>1708.8</v>
      </c>
      <c r="AX27">
        <v>6</v>
      </c>
      <c r="AY27">
        <v>2563.1999999999998</v>
      </c>
      <c r="AZ27">
        <v>4</v>
      </c>
      <c r="BA27">
        <v>1708.8</v>
      </c>
      <c r="BB27">
        <v>4</v>
      </c>
      <c r="BC27">
        <v>1708.8</v>
      </c>
      <c r="BD27">
        <v>6.9022074592761848</v>
      </c>
      <c r="BE27">
        <v>2948.623026602786</v>
      </c>
      <c r="BF27">
        <v>4</v>
      </c>
      <c r="BG27">
        <v>1708.8</v>
      </c>
      <c r="BH27">
        <v>8</v>
      </c>
      <c r="BI27">
        <v>3417.6</v>
      </c>
      <c r="BJ27">
        <v>7</v>
      </c>
      <c r="BK27">
        <v>2990.4</v>
      </c>
      <c r="BL27">
        <v>6.7982637579343272</v>
      </c>
      <c r="BM27">
        <v>2904.2182773895447</v>
      </c>
      <c r="BN27">
        <v>6</v>
      </c>
      <c r="BO27">
        <v>2563.1999999999998</v>
      </c>
      <c r="BP27">
        <v>8</v>
      </c>
      <c r="BQ27">
        <v>3417.6</v>
      </c>
      <c r="BR27">
        <v>7</v>
      </c>
      <c r="BS27">
        <v>2990.4</v>
      </c>
      <c r="BT27">
        <v>8</v>
      </c>
      <c r="BU27">
        <v>3417.6</v>
      </c>
      <c r="BV27">
        <v>6</v>
      </c>
      <c r="BW27">
        <v>2563.1999999999998</v>
      </c>
      <c r="BX27">
        <v>6</v>
      </c>
      <c r="BY27">
        <v>2563.1999999999998</v>
      </c>
      <c r="BZ27">
        <v>6</v>
      </c>
      <c r="CA27">
        <v>2563.1999999999998</v>
      </c>
      <c r="CB27">
        <v>8</v>
      </c>
      <c r="CC27">
        <v>3417.6</v>
      </c>
      <c r="CD27">
        <v>6</v>
      </c>
      <c r="CE27">
        <v>2563.1999999999998</v>
      </c>
      <c r="CF27">
        <v>52</v>
      </c>
      <c r="CG27">
        <v>22214.399999999998</v>
      </c>
      <c r="CH27">
        <v>68</v>
      </c>
      <c r="CI27">
        <v>29049.599999999999</v>
      </c>
      <c r="CJ27">
        <v>38</v>
      </c>
      <c r="CK27">
        <v>16233.6</v>
      </c>
      <c r="CL27">
        <v>47</v>
      </c>
      <c r="CM27">
        <v>20078.399999999998</v>
      </c>
      <c r="CN27">
        <v>15.552985746226351</v>
      </c>
      <c r="CO27">
        <v>6644.2355107878975</v>
      </c>
      <c r="CP27">
        <v>13.867222567206484</v>
      </c>
      <c r="CQ27">
        <v>5924.07748071061</v>
      </c>
      <c r="CR27">
        <v>14.164442062824259</v>
      </c>
      <c r="CS27">
        <v>6051.0496492385237</v>
      </c>
      <c r="CT27">
        <v>14.916481225265981</v>
      </c>
      <c r="CU27">
        <v>6372.3207794336267</v>
      </c>
    </row>
    <row r="28" spans="2:99" x14ac:dyDescent="0.2">
      <c r="C28" s="105" t="s">
        <v>194</v>
      </c>
      <c r="D28">
        <v>68</v>
      </c>
      <c r="E28">
        <v>50184</v>
      </c>
      <c r="F28">
        <v>73</v>
      </c>
      <c r="G28">
        <v>53874</v>
      </c>
      <c r="H28">
        <v>47</v>
      </c>
      <c r="I28">
        <v>34686</v>
      </c>
      <c r="J28">
        <v>77</v>
      </c>
      <c r="K28">
        <v>56826</v>
      </c>
      <c r="L28">
        <v>16</v>
      </c>
      <c r="M28">
        <v>11808</v>
      </c>
      <c r="N28">
        <v>10</v>
      </c>
      <c r="O28">
        <v>7380</v>
      </c>
      <c r="P28">
        <v>9</v>
      </c>
      <c r="Q28">
        <v>6642</v>
      </c>
      <c r="R28">
        <v>11</v>
      </c>
      <c r="S28">
        <v>8118</v>
      </c>
      <c r="T28">
        <v>25</v>
      </c>
      <c r="U28">
        <v>18450</v>
      </c>
      <c r="V28">
        <v>21</v>
      </c>
      <c r="W28">
        <v>15498</v>
      </c>
      <c r="X28">
        <v>27</v>
      </c>
      <c r="Y28">
        <v>19926</v>
      </c>
      <c r="Z28">
        <v>25</v>
      </c>
      <c r="AA28">
        <v>18450</v>
      </c>
      <c r="AB28">
        <v>11</v>
      </c>
      <c r="AC28">
        <v>8118</v>
      </c>
      <c r="AD28">
        <v>10</v>
      </c>
      <c r="AE28">
        <v>7380</v>
      </c>
      <c r="AF28">
        <v>10</v>
      </c>
      <c r="AG28">
        <v>7380</v>
      </c>
      <c r="AH28">
        <v>8</v>
      </c>
      <c r="AI28">
        <v>5904</v>
      </c>
      <c r="AJ28">
        <v>12</v>
      </c>
      <c r="AK28">
        <v>8856</v>
      </c>
      <c r="AL28">
        <v>10</v>
      </c>
      <c r="AM28">
        <v>7380</v>
      </c>
      <c r="AN28">
        <v>15</v>
      </c>
      <c r="AO28">
        <v>11070</v>
      </c>
      <c r="AP28">
        <v>14</v>
      </c>
      <c r="AQ28">
        <v>10332</v>
      </c>
      <c r="AR28">
        <v>4</v>
      </c>
      <c r="AS28">
        <v>2952</v>
      </c>
      <c r="AT28">
        <v>5</v>
      </c>
      <c r="AU28">
        <v>3690</v>
      </c>
      <c r="AV28">
        <v>4</v>
      </c>
      <c r="AW28">
        <v>2952</v>
      </c>
      <c r="AX28">
        <v>5</v>
      </c>
      <c r="AY28">
        <v>3690</v>
      </c>
      <c r="AZ28">
        <v>4</v>
      </c>
      <c r="BA28">
        <v>2952</v>
      </c>
      <c r="BB28">
        <v>3</v>
      </c>
      <c r="BC28">
        <v>2214</v>
      </c>
      <c r="BD28">
        <v>5.8167913684571371</v>
      </c>
      <c r="BE28">
        <v>4292.7920299213674</v>
      </c>
      <c r="BF28">
        <v>4</v>
      </c>
      <c r="BG28">
        <v>2952</v>
      </c>
      <c r="BH28">
        <v>8</v>
      </c>
      <c r="BI28">
        <v>5904</v>
      </c>
      <c r="BJ28">
        <v>7</v>
      </c>
      <c r="BK28">
        <v>5166</v>
      </c>
      <c r="BL28">
        <v>6.8830792822148492</v>
      </c>
      <c r="BM28">
        <v>5079.7125102745586</v>
      </c>
      <c r="BN28">
        <v>6</v>
      </c>
      <c r="BO28">
        <v>4428</v>
      </c>
      <c r="BP28">
        <v>6</v>
      </c>
      <c r="BQ28">
        <v>4428</v>
      </c>
      <c r="BR28">
        <v>7</v>
      </c>
      <c r="BS28">
        <v>5166</v>
      </c>
      <c r="BT28">
        <v>8</v>
      </c>
      <c r="BU28">
        <v>5904</v>
      </c>
      <c r="BV28">
        <v>7</v>
      </c>
      <c r="BW28">
        <v>5166</v>
      </c>
      <c r="BX28">
        <v>7</v>
      </c>
      <c r="BY28">
        <v>5166</v>
      </c>
      <c r="BZ28">
        <v>7</v>
      </c>
      <c r="CA28">
        <v>5166</v>
      </c>
      <c r="CB28">
        <v>8</v>
      </c>
      <c r="CC28">
        <v>5904</v>
      </c>
      <c r="CD28">
        <v>6</v>
      </c>
      <c r="CE28">
        <v>4428</v>
      </c>
      <c r="CF28">
        <v>53</v>
      </c>
      <c r="CG28">
        <v>39114</v>
      </c>
      <c r="CH28">
        <v>66</v>
      </c>
      <c r="CI28">
        <v>48708</v>
      </c>
      <c r="CJ28">
        <v>37</v>
      </c>
      <c r="CK28">
        <v>27306</v>
      </c>
      <c r="CL28">
        <v>43</v>
      </c>
      <c r="CM28">
        <v>31734</v>
      </c>
      <c r="CN28">
        <v>16.552985746226351</v>
      </c>
      <c r="CO28">
        <v>12216.103480715048</v>
      </c>
      <c r="CP28">
        <v>13.800513138959831</v>
      </c>
      <c r="CQ28">
        <v>10184.778696552356</v>
      </c>
      <c r="CR28">
        <v>13.181751753647866</v>
      </c>
      <c r="CS28">
        <v>9728.1327941921245</v>
      </c>
      <c r="CT28">
        <v>15.916481225265981</v>
      </c>
      <c r="CU28">
        <v>11746.363144246294</v>
      </c>
    </row>
    <row r="29" spans="2:99" x14ac:dyDescent="0.2">
      <c r="C29" s="105" t="s">
        <v>195</v>
      </c>
      <c r="D29">
        <v>65</v>
      </c>
      <c r="E29">
        <v>21996</v>
      </c>
      <c r="F29">
        <v>74</v>
      </c>
      <c r="G29">
        <v>25041.599999999999</v>
      </c>
      <c r="H29">
        <v>56</v>
      </c>
      <c r="I29">
        <v>18950.399999999998</v>
      </c>
      <c r="J29">
        <v>80</v>
      </c>
      <c r="K29">
        <v>27072</v>
      </c>
      <c r="L29">
        <v>16</v>
      </c>
      <c r="M29">
        <v>5414.4</v>
      </c>
      <c r="N29">
        <v>10</v>
      </c>
      <c r="O29">
        <v>3384</v>
      </c>
      <c r="P29">
        <v>10</v>
      </c>
      <c r="Q29">
        <v>3384</v>
      </c>
      <c r="R29">
        <v>11</v>
      </c>
      <c r="S29">
        <v>3722.3999999999996</v>
      </c>
      <c r="T29">
        <v>26</v>
      </c>
      <c r="U29">
        <v>8798.4</v>
      </c>
      <c r="V29">
        <v>24</v>
      </c>
      <c r="W29">
        <v>8121.5999999999995</v>
      </c>
      <c r="X29">
        <v>31</v>
      </c>
      <c r="Y29">
        <v>10490.4</v>
      </c>
      <c r="Z29">
        <v>29</v>
      </c>
      <c r="AA29">
        <v>9813.5999999999985</v>
      </c>
      <c r="AB29">
        <v>13</v>
      </c>
      <c r="AC29">
        <v>4399.2</v>
      </c>
      <c r="AD29">
        <v>11</v>
      </c>
      <c r="AE29">
        <v>3722.3999999999996</v>
      </c>
      <c r="AF29">
        <v>10</v>
      </c>
      <c r="AG29">
        <v>3384</v>
      </c>
      <c r="AH29">
        <v>9</v>
      </c>
      <c r="AI29">
        <v>3045.6</v>
      </c>
      <c r="AJ29">
        <v>13</v>
      </c>
      <c r="AK29">
        <v>4399.2</v>
      </c>
      <c r="AL29">
        <v>10</v>
      </c>
      <c r="AM29">
        <v>3384</v>
      </c>
      <c r="AN29">
        <v>17</v>
      </c>
      <c r="AO29">
        <v>5752.7999999999993</v>
      </c>
      <c r="AP29">
        <v>13</v>
      </c>
      <c r="AQ29">
        <v>4399.2</v>
      </c>
      <c r="AR29">
        <v>4</v>
      </c>
      <c r="AS29">
        <v>1353.6</v>
      </c>
      <c r="AT29">
        <v>6</v>
      </c>
      <c r="AU29">
        <v>2030.3999999999999</v>
      </c>
      <c r="AV29">
        <v>4</v>
      </c>
      <c r="AW29">
        <v>1353.6</v>
      </c>
      <c r="AX29">
        <v>6</v>
      </c>
      <c r="AY29">
        <v>2030.3999999999999</v>
      </c>
      <c r="AZ29">
        <v>4</v>
      </c>
      <c r="BA29">
        <v>1353.6</v>
      </c>
      <c r="BB29">
        <v>3</v>
      </c>
      <c r="BC29">
        <v>1015.1999999999999</v>
      </c>
      <c r="BD29">
        <v>5.9235614819809461</v>
      </c>
      <c r="BE29">
        <v>2004.5332055023521</v>
      </c>
      <c r="BF29">
        <v>5</v>
      </c>
      <c r="BG29">
        <v>1692</v>
      </c>
      <c r="BH29">
        <v>8</v>
      </c>
      <c r="BI29">
        <v>2707.2</v>
      </c>
      <c r="BJ29">
        <v>8</v>
      </c>
      <c r="BK29">
        <v>2707.2</v>
      </c>
      <c r="BL29">
        <v>6.8581335397794021</v>
      </c>
      <c r="BM29">
        <v>2320.7923898613494</v>
      </c>
      <c r="BN29">
        <v>7</v>
      </c>
      <c r="BO29">
        <v>2368.7999999999997</v>
      </c>
      <c r="BP29">
        <v>7</v>
      </c>
      <c r="BQ29">
        <v>2368.7999999999997</v>
      </c>
      <c r="BR29">
        <v>7</v>
      </c>
      <c r="BS29">
        <v>2368.7999999999997</v>
      </c>
      <c r="BT29">
        <v>8</v>
      </c>
      <c r="BU29">
        <v>2707.2</v>
      </c>
      <c r="BV29">
        <v>6</v>
      </c>
      <c r="BW29">
        <v>2030.3999999999999</v>
      </c>
      <c r="BX29">
        <v>7</v>
      </c>
      <c r="BY29">
        <v>2368.7999999999997</v>
      </c>
      <c r="BZ29">
        <v>7</v>
      </c>
      <c r="CA29">
        <v>2368.7999999999997</v>
      </c>
      <c r="CB29">
        <v>8</v>
      </c>
      <c r="CC29">
        <v>2707.2</v>
      </c>
      <c r="CD29">
        <v>6</v>
      </c>
      <c r="CE29">
        <v>2030.3999999999999</v>
      </c>
      <c r="CF29">
        <v>59</v>
      </c>
      <c r="CG29">
        <v>19965.599999999999</v>
      </c>
      <c r="CH29">
        <v>75</v>
      </c>
      <c r="CI29">
        <v>25380</v>
      </c>
      <c r="CJ29">
        <v>43</v>
      </c>
      <c r="CK29">
        <v>14551.199999999999</v>
      </c>
      <c r="CL29">
        <v>45</v>
      </c>
      <c r="CM29">
        <v>15227.999999999998</v>
      </c>
      <c r="CN29">
        <v>17.622108964504644</v>
      </c>
      <c r="CO29">
        <v>5963.3216735883707</v>
      </c>
      <c r="CP29">
        <v>12.833867853083158</v>
      </c>
      <c r="CQ29">
        <v>4342.9808814833405</v>
      </c>
      <c r="CR29">
        <v>14.164442062824259</v>
      </c>
      <c r="CS29">
        <v>4793.2471940597288</v>
      </c>
      <c r="CT29">
        <v>17.916481225265983</v>
      </c>
      <c r="CU29">
        <v>6062.9372466300083</v>
      </c>
    </row>
    <row r="30" spans="2:99" x14ac:dyDescent="0.2">
      <c r="C30" s="105" t="s">
        <v>196</v>
      </c>
      <c r="D30">
        <v>74</v>
      </c>
      <c r="E30">
        <v>10300.799999999999</v>
      </c>
      <c r="F30">
        <v>85</v>
      </c>
      <c r="G30">
        <v>11831.999999999998</v>
      </c>
      <c r="H30">
        <v>52</v>
      </c>
      <c r="I30">
        <v>7238.4</v>
      </c>
      <c r="J30">
        <v>82</v>
      </c>
      <c r="K30">
        <v>11414.4</v>
      </c>
      <c r="L30">
        <v>16</v>
      </c>
      <c r="M30">
        <v>2227.1999999999998</v>
      </c>
      <c r="N30">
        <v>11</v>
      </c>
      <c r="O30">
        <v>1531.1999999999998</v>
      </c>
      <c r="P30">
        <v>10</v>
      </c>
      <c r="Q30">
        <v>1392</v>
      </c>
      <c r="R30">
        <v>12</v>
      </c>
      <c r="S30">
        <v>1670.3999999999999</v>
      </c>
      <c r="T30">
        <v>24</v>
      </c>
      <c r="U30">
        <v>3340.7999999999997</v>
      </c>
      <c r="V30">
        <v>25</v>
      </c>
      <c r="W30">
        <v>3479.9999999999995</v>
      </c>
      <c r="X30">
        <v>36</v>
      </c>
      <c r="Y30">
        <v>5011.2</v>
      </c>
      <c r="Z30">
        <v>28</v>
      </c>
      <c r="AA30">
        <v>3897.5999999999995</v>
      </c>
      <c r="AB30">
        <v>11</v>
      </c>
      <c r="AC30">
        <v>1531.1999999999998</v>
      </c>
      <c r="AD30">
        <v>10</v>
      </c>
      <c r="AE30">
        <v>1392</v>
      </c>
      <c r="AF30">
        <v>10</v>
      </c>
      <c r="AG30">
        <v>1392</v>
      </c>
      <c r="AH30">
        <v>9</v>
      </c>
      <c r="AI30">
        <v>1252.8</v>
      </c>
      <c r="AJ30">
        <v>13</v>
      </c>
      <c r="AK30">
        <v>1809.6</v>
      </c>
      <c r="AL30">
        <v>9</v>
      </c>
      <c r="AM30">
        <v>1252.8</v>
      </c>
      <c r="AN30">
        <v>16</v>
      </c>
      <c r="AO30">
        <v>2227.1999999999998</v>
      </c>
      <c r="AP30">
        <v>13</v>
      </c>
      <c r="AQ30">
        <v>1809.6</v>
      </c>
      <c r="AR30">
        <v>4</v>
      </c>
      <c r="AS30">
        <v>556.79999999999995</v>
      </c>
      <c r="AT30">
        <v>6</v>
      </c>
      <c r="AU30">
        <v>835.19999999999993</v>
      </c>
      <c r="AV30">
        <v>4</v>
      </c>
      <c r="AW30">
        <v>556.79999999999995</v>
      </c>
      <c r="AX30">
        <v>6</v>
      </c>
      <c r="AY30">
        <v>835.19999999999993</v>
      </c>
      <c r="AZ30">
        <v>4</v>
      </c>
      <c r="BA30">
        <v>556.79999999999995</v>
      </c>
      <c r="BB30">
        <v>4</v>
      </c>
      <c r="BC30">
        <v>556.79999999999995</v>
      </c>
      <c r="BD30">
        <v>6.982285044419041</v>
      </c>
      <c r="BE30">
        <v>971.9340781831304</v>
      </c>
      <c r="BF30">
        <v>5</v>
      </c>
      <c r="BG30">
        <v>696</v>
      </c>
      <c r="BH30">
        <v>9</v>
      </c>
      <c r="BI30">
        <v>1252.8</v>
      </c>
      <c r="BJ30">
        <v>8</v>
      </c>
      <c r="BK30">
        <v>1113.5999999999999</v>
      </c>
      <c r="BL30">
        <v>6.8780901337277598</v>
      </c>
      <c r="BM30">
        <v>957.43014661490406</v>
      </c>
      <c r="BN30">
        <v>6</v>
      </c>
      <c r="BO30">
        <v>835.19999999999993</v>
      </c>
      <c r="BP30">
        <v>7</v>
      </c>
      <c r="BQ30">
        <v>974.39999999999986</v>
      </c>
      <c r="BR30">
        <v>8</v>
      </c>
      <c r="BS30">
        <v>1113.5999999999999</v>
      </c>
      <c r="BT30">
        <v>9</v>
      </c>
      <c r="BU30">
        <v>1252.8</v>
      </c>
      <c r="BV30">
        <v>7</v>
      </c>
      <c r="BW30">
        <v>974.39999999999986</v>
      </c>
      <c r="BX30">
        <v>7</v>
      </c>
      <c r="BY30">
        <v>974.39999999999986</v>
      </c>
      <c r="BZ30">
        <v>7</v>
      </c>
      <c r="CA30">
        <v>974.39999999999986</v>
      </c>
      <c r="CB30">
        <v>8</v>
      </c>
      <c r="CC30">
        <v>1113.5999999999999</v>
      </c>
      <c r="CD30">
        <v>6</v>
      </c>
      <c r="CE30">
        <v>835.19999999999993</v>
      </c>
      <c r="CF30">
        <v>53</v>
      </c>
      <c r="CG30">
        <v>7377.5999999999995</v>
      </c>
      <c r="CH30">
        <v>74</v>
      </c>
      <c r="CI30">
        <v>10300.799999999999</v>
      </c>
      <c r="CJ30">
        <v>45</v>
      </c>
      <c r="CK30">
        <v>6263.9999999999991</v>
      </c>
      <c r="CL30">
        <v>43</v>
      </c>
      <c r="CM30">
        <v>5985.5999999999995</v>
      </c>
      <c r="CN30">
        <v>15.587547355365498</v>
      </c>
      <c r="CO30">
        <v>2169.7865918668772</v>
      </c>
      <c r="CP30">
        <v>13.900577281329809</v>
      </c>
      <c r="CQ30">
        <v>1934.9603575611093</v>
      </c>
      <c r="CR30">
        <v>16.164442062824261</v>
      </c>
      <c r="CS30">
        <v>2250.090335145137</v>
      </c>
      <c r="CT30">
        <v>16.916481225265983</v>
      </c>
      <c r="CU30">
        <v>2354.7741865570247</v>
      </c>
    </row>
    <row r="31" spans="2:99" x14ac:dyDescent="0.2">
      <c r="C31" s="105" t="s">
        <v>197</v>
      </c>
      <c r="D31">
        <v>74</v>
      </c>
      <c r="E31">
        <v>25219.200000000001</v>
      </c>
      <c r="F31">
        <v>74</v>
      </c>
      <c r="G31">
        <v>25219.200000000001</v>
      </c>
      <c r="H31">
        <v>50</v>
      </c>
      <c r="I31">
        <v>17040</v>
      </c>
      <c r="J31">
        <v>82</v>
      </c>
      <c r="K31">
        <v>27945.600000000002</v>
      </c>
      <c r="L31">
        <v>15</v>
      </c>
      <c r="M31">
        <v>5112</v>
      </c>
      <c r="N31">
        <v>11</v>
      </c>
      <c r="O31">
        <v>3748.8</v>
      </c>
      <c r="P31">
        <v>11</v>
      </c>
      <c r="Q31">
        <v>3748.8</v>
      </c>
      <c r="R31">
        <v>11</v>
      </c>
      <c r="S31">
        <v>3748.8</v>
      </c>
      <c r="T31">
        <v>25</v>
      </c>
      <c r="U31">
        <v>8520</v>
      </c>
      <c r="V31">
        <v>24</v>
      </c>
      <c r="W31">
        <v>8179.2000000000007</v>
      </c>
      <c r="X31">
        <v>31</v>
      </c>
      <c r="Y31">
        <v>10564.800000000001</v>
      </c>
      <c r="Z31">
        <v>25</v>
      </c>
      <c r="AA31">
        <v>8520</v>
      </c>
      <c r="AB31">
        <v>12</v>
      </c>
      <c r="AC31">
        <v>4089.6000000000004</v>
      </c>
      <c r="AD31">
        <v>10</v>
      </c>
      <c r="AE31">
        <v>3408</v>
      </c>
      <c r="AF31">
        <v>9</v>
      </c>
      <c r="AG31">
        <v>3067.2000000000003</v>
      </c>
      <c r="AH31">
        <v>10</v>
      </c>
      <c r="AI31">
        <v>3408</v>
      </c>
      <c r="AJ31">
        <v>11</v>
      </c>
      <c r="AK31">
        <v>3748.8</v>
      </c>
      <c r="AL31">
        <v>11</v>
      </c>
      <c r="AM31">
        <v>3748.8</v>
      </c>
      <c r="AN31">
        <v>16</v>
      </c>
      <c r="AO31">
        <v>5452.8</v>
      </c>
      <c r="AP31">
        <v>14</v>
      </c>
      <c r="AQ31">
        <v>4771.2</v>
      </c>
      <c r="AR31">
        <v>4</v>
      </c>
      <c r="AS31">
        <v>1363.2</v>
      </c>
      <c r="AT31">
        <v>5</v>
      </c>
      <c r="AU31">
        <v>1704</v>
      </c>
      <c r="AV31">
        <v>4</v>
      </c>
      <c r="AW31">
        <v>1363.2</v>
      </c>
      <c r="AX31">
        <v>6</v>
      </c>
      <c r="AY31">
        <v>2044.8000000000002</v>
      </c>
      <c r="AZ31">
        <v>4</v>
      </c>
      <c r="BA31">
        <v>1363.2</v>
      </c>
      <c r="BB31">
        <v>4</v>
      </c>
      <c r="BC31">
        <v>1363.2</v>
      </c>
      <c r="BD31">
        <v>6.8594994138666614</v>
      </c>
      <c r="BE31">
        <v>2337.7174002457582</v>
      </c>
      <c r="BF31">
        <v>4</v>
      </c>
      <c r="BG31">
        <v>1363.2</v>
      </c>
      <c r="BH31">
        <v>9</v>
      </c>
      <c r="BI31">
        <v>3067.2000000000003</v>
      </c>
      <c r="BJ31">
        <v>7</v>
      </c>
      <c r="BK31">
        <v>2385.6</v>
      </c>
      <c r="BL31">
        <v>7.9180033216244761</v>
      </c>
      <c r="BM31">
        <v>2698.4555320096215</v>
      </c>
      <c r="BN31">
        <v>7</v>
      </c>
      <c r="BO31">
        <v>2385.6</v>
      </c>
      <c r="BP31">
        <v>6</v>
      </c>
      <c r="BQ31">
        <v>2044.8000000000002</v>
      </c>
      <c r="BR31">
        <v>8</v>
      </c>
      <c r="BS31">
        <v>2726.4</v>
      </c>
      <c r="BT31">
        <v>9</v>
      </c>
      <c r="BU31">
        <v>3067.2000000000003</v>
      </c>
      <c r="BV31">
        <v>7</v>
      </c>
      <c r="BW31">
        <v>2385.6</v>
      </c>
      <c r="BX31">
        <v>6</v>
      </c>
      <c r="BY31">
        <v>2044.8000000000002</v>
      </c>
      <c r="BZ31">
        <v>6</v>
      </c>
      <c r="CA31">
        <v>2044.8000000000002</v>
      </c>
      <c r="CB31">
        <v>9</v>
      </c>
      <c r="CC31">
        <v>3067.2000000000003</v>
      </c>
      <c r="CD31">
        <v>7</v>
      </c>
      <c r="CE31">
        <v>2385.6</v>
      </c>
      <c r="CF31">
        <v>58</v>
      </c>
      <c r="CG31">
        <v>19766.400000000001</v>
      </c>
      <c r="CH31">
        <v>77</v>
      </c>
      <c r="CI31">
        <v>26241.600000000002</v>
      </c>
      <c r="CJ31">
        <v>43</v>
      </c>
      <c r="CK31">
        <v>14654.4</v>
      </c>
      <c r="CL31">
        <v>44</v>
      </c>
      <c r="CM31">
        <v>14995.2</v>
      </c>
      <c r="CN31">
        <v>14.552985746226351</v>
      </c>
      <c r="CO31">
        <v>4959.6575423139411</v>
      </c>
      <c r="CP31">
        <v>13.900577281329809</v>
      </c>
      <c r="CQ31">
        <v>4737.3167374771992</v>
      </c>
      <c r="CR31">
        <v>13.164442062824259</v>
      </c>
      <c r="CS31">
        <v>4486.4418550105074</v>
      </c>
      <c r="CT31">
        <v>16.053953409055879</v>
      </c>
      <c r="CU31">
        <v>5471.1873218062437</v>
      </c>
    </row>
    <row r="32" spans="2:99" x14ac:dyDescent="0.2">
      <c r="C32" s="105" t="s">
        <v>198</v>
      </c>
      <c r="D32">
        <v>65</v>
      </c>
      <c r="E32">
        <v>54600</v>
      </c>
      <c r="F32">
        <v>70</v>
      </c>
      <c r="G32">
        <v>58800</v>
      </c>
      <c r="H32">
        <v>46</v>
      </c>
      <c r="I32">
        <v>38640</v>
      </c>
      <c r="J32">
        <v>72</v>
      </c>
      <c r="K32">
        <v>60480</v>
      </c>
      <c r="L32">
        <v>14</v>
      </c>
      <c r="M32">
        <v>11760</v>
      </c>
      <c r="N32">
        <v>9</v>
      </c>
      <c r="O32">
        <v>7560</v>
      </c>
      <c r="P32">
        <v>10</v>
      </c>
      <c r="Q32">
        <v>8400</v>
      </c>
      <c r="R32">
        <v>10</v>
      </c>
      <c r="S32">
        <v>8400</v>
      </c>
      <c r="T32">
        <v>24</v>
      </c>
      <c r="U32">
        <v>20160</v>
      </c>
      <c r="V32">
        <v>20</v>
      </c>
      <c r="W32">
        <v>16800</v>
      </c>
      <c r="X32">
        <v>27</v>
      </c>
      <c r="Y32">
        <v>22680</v>
      </c>
      <c r="Z32">
        <v>25</v>
      </c>
      <c r="AA32">
        <v>21000</v>
      </c>
      <c r="AB32">
        <v>12</v>
      </c>
      <c r="AC32">
        <v>10080</v>
      </c>
      <c r="AD32">
        <v>9</v>
      </c>
      <c r="AE32">
        <v>7560</v>
      </c>
      <c r="AF32">
        <v>9</v>
      </c>
      <c r="AG32">
        <v>7560</v>
      </c>
      <c r="AH32">
        <v>8</v>
      </c>
      <c r="AI32">
        <v>6720</v>
      </c>
      <c r="AJ32">
        <v>10</v>
      </c>
      <c r="AK32">
        <v>8400</v>
      </c>
      <c r="AL32">
        <v>10</v>
      </c>
      <c r="AM32">
        <v>8400</v>
      </c>
      <c r="AN32">
        <v>17</v>
      </c>
      <c r="AO32">
        <v>14280</v>
      </c>
      <c r="AP32">
        <v>13</v>
      </c>
      <c r="AQ32">
        <v>10920</v>
      </c>
      <c r="AR32">
        <v>4</v>
      </c>
      <c r="AS32">
        <v>3360</v>
      </c>
      <c r="AT32">
        <v>5</v>
      </c>
      <c r="AU32">
        <v>4200</v>
      </c>
      <c r="AV32">
        <v>4</v>
      </c>
      <c r="AW32">
        <v>3360</v>
      </c>
      <c r="AX32">
        <v>6</v>
      </c>
      <c r="AY32">
        <v>5040</v>
      </c>
      <c r="AZ32">
        <v>4</v>
      </c>
      <c r="BA32">
        <v>3360</v>
      </c>
      <c r="BB32">
        <v>3</v>
      </c>
      <c r="BC32">
        <v>2520</v>
      </c>
      <c r="BD32">
        <v>6.7847603343999943</v>
      </c>
      <c r="BE32">
        <v>5699.1986808959955</v>
      </c>
      <c r="BF32">
        <v>5</v>
      </c>
      <c r="BG32">
        <v>4200</v>
      </c>
      <c r="BH32">
        <v>8</v>
      </c>
      <c r="BI32">
        <v>6720</v>
      </c>
      <c r="BJ32">
        <v>8</v>
      </c>
      <c r="BK32">
        <v>6720</v>
      </c>
      <c r="BL32">
        <v>6.8880684307019386</v>
      </c>
      <c r="BM32">
        <v>5785.9774817896287</v>
      </c>
      <c r="BN32">
        <v>6</v>
      </c>
      <c r="BO32">
        <v>5040</v>
      </c>
      <c r="BP32">
        <v>7</v>
      </c>
      <c r="BQ32">
        <v>5880</v>
      </c>
      <c r="BR32">
        <v>8</v>
      </c>
      <c r="BS32">
        <v>6720</v>
      </c>
      <c r="BT32">
        <v>8</v>
      </c>
      <c r="BU32">
        <v>6720</v>
      </c>
      <c r="BV32">
        <v>7</v>
      </c>
      <c r="BW32">
        <v>5880</v>
      </c>
      <c r="BX32">
        <v>6</v>
      </c>
      <c r="BY32">
        <v>5040</v>
      </c>
      <c r="BZ32">
        <v>6</v>
      </c>
      <c r="CA32">
        <v>5040</v>
      </c>
      <c r="CB32">
        <v>8</v>
      </c>
      <c r="CC32">
        <v>6720</v>
      </c>
      <c r="CD32">
        <v>6</v>
      </c>
      <c r="CE32">
        <v>5040</v>
      </c>
      <c r="CF32">
        <v>45</v>
      </c>
      <c r="CG32">
        <v>37800</v>
      </c>
      <c r="CH32">
        <v>65</v>
      </c>
      <c r="CI32">
        <v>54600</v>
      </c>
      <c r="CJ32">
        <v>39</v>
      </c>
      <c r="CK32">
        <v>32760</v>
      </c>
      <c r="CL32">
        <v>37</v>
      </c>
      <c r="CM32">
        <v>31080</v>
      </c>
      <c r="CN32">
        <v>15.622108964504644</v>
      </c>
      <c r="CO32">
        <v>13122.571530183901</v>
      </c>
      <c r="CP32">
        <v>13.867222567206484</v>
      </c>
      <c r="CQ32">
        <v>11648.466956453447</v>
      </c>
      <c r="CR32">
        <v>14.181751753647866</v>
      </c>
      <c r="CS32">
        <v>11912.671473064207</v>
      </c>
      <c r="CT32">
        <v>16.916481225265983</v>
      </c>
      <c r="CU32">
        <v>14209.844229223425</v>
      </c>
    </row>
    <row r="33" spans="2:99" x14ac:dyDescent="0.2">
      <c r="C33" s="105" t="s">
        <v>199</v>
      </c>
      <c r="D33">
        <v>63</v>
      </c>
      <c r="E33">
        <v>29862</v>
      </c>
      <c r="F33">
        <v>79</v>
      </c>
      <c r="G33">
        <v>37446</v>
      </c>
      <c r="H33">
        <v>54</v>
      </c>
      <c r="I33">
        <v>25596</v>
      </c>
      <c r="J33">
        <v>77</v>
      </c>
      <c r="K33">
        <v>36498</v>
      </c>
      <c r="L33">
        <v>14</v>
      </c>
      <c r="M33">
        <v>6636</v>
      </c>
      <c r="N33">
        <v>11</v>
      </c>
      <c r="O33">
        <v>5214</v>
      </c>
      <c r="P33">
        <v>11</v>
      </c>
      <c r="Q33">
        <v>5214</v>
      </c>
      <c r="R33">
        <v>10</v>
      </c>
      <c r="S33">
        <v>4740</v>
      </c>
      <c r="T33">
        <v>25</v>
      </c>
      <c r="U33">
        <v>11850</v>
      </c>
      <c r="V33">
        <v>21</v>
      </c>
      <c r="W33">
        <v>9954</v>
      </c>
      <c r="X33">
        <v>33</v>
      </c>
      <c r="Y33">
        <v>15642</v>
      </c>
      <c r="Z33">
        <v>25</v>
      </c>
      <c r="AA33">
        <v>11850</v>
      </c>
      <c r="AB33">
        <v>12</v>
      </c>
      <c r="AC33">
        <v>5688</v>
      </c>
      <c r="AD33">
        <v>10</v>
      </c>
      <c r="AE33">
        <v>4740</v>
      </c>
      <c r="AF33">
        <v>9</v>
      </c>
      <c r="AG33">
        <v>4266</v>
      </c>
      <c r="AH33">
        <v>8</v>
      </c>
      <c r="AI33">
        <v>3792</v>
      </c>
      <c r="AJ33">
        <v>11</v>
      </c>
      <c r="AK33">
        <v>5214</v>
      </c>
      <c r="AL33">
        <v>9</v>
      </c>
      <c r="AM33">
        <v>4266</v>
      </c>
      <c r="AN33">
        <v>18</v>
      </c>
      <c r="AO33">
        <v>8532</v>
      </c>
      <c r="AP33">
        <v>13</v>
      </c>
      <c r="AQ33">
        <v>6162</v>
      </c>
      <c r="AR33">
        <v>4</v>
      </c>
      <c r="AS33">
        <v>1896</v>
      </c>
      <c r="AT33">
        <v>6</v>
      </c>
      <c r="AU33">
        <v>2844</v>
      </c>
      <c r="AV33">
        <v>4</v>
      </c>
      <c r="AW33">
        <v>1896</v>
      </c>
      <c r="AX33">
        <v>5</v>
      </c>
      <c r="AY33">
        <v>2370</v>
      </c>
      <c r="AZ33">
        <v>4</v>
      </c>
      <c r="BA33">
        <v>1896</v>
      </c>
      <c r="BB33">
        <v>4</v>
      </c>
      <c r="BC33">
        <v>1896</v>
      </c>
      <c r="BD33">
        <v>6.8594994138666614</v>
      </c>
      <c r="BE33">
        <v>3251.4027221727974</v>
      </c>
      <c r="BF33">
        <v>5</v>
      </c>
      <c r="BG33">
        <v>2370</v>
      </c>
      <c r="BH33">
        <v>8</v>
      </c>
      <c r="BI33">
        <v>3792</v>
      </c>
      <c r="BJ33">
        <v>7</v>
      </c>
      <c r="BK33">
        <v>3318</v>
      </c>
      <c r="BL33">
        <v>6.8681118367535809</v>
      </c>
      <c r="BM33">
        <v>3255.4850106211975</v>
      </c>
      <c r="BN33">
        <v>6</v>
      </c>
      <c r="BO33">
        <v>2844</v>
      </c>
      <c r="BP33">
        <v>7</v>
      </c>
      <c r="BQ33">
        <v>3318</v>
      </c>
      <c r="BR33">
        <v>8</v>
      </c>
      <c r="BS33">
        <v>3792</v>
      </c>
      <c r="BT33">
        <v>8</v>
      </c>
      <c r="BU33">
        <v>3792</v>
      </c>
      <c r="BV33">
        <v>7</v>
      </c>
      <c r="BW33">
        <v>3318</v>
      </c>
      <c r="BX33">
        <v>7</v>
      </c>
      <c r="BY33">
        <v>3318</v>
      </c>
      <c r="BZ33">
        <v>7</v>
      </c>
      <c r="CA33">
        <v>3318</v>
      </c>
      <c r="CB33">
        <v>7</v>
      </c>
      <c r="CC33">
        <v>3318</v>
      </c>
      <c r="CD33">
        <v>6</v>
      </c>
      <c r="CE33">
        <v>2844</v>
      </c>
      <c r="CF33">
        <v>50</v>
      </c>
      <c r="CG33">
        <v>23700</v>
      </c>
      <c r="CH33">
        <v>67</v>
      </c>
      <c r="CI33">
        <v>31758</v>
      </c>
      <c r="CJ33">
        <v>37</v>
      </c>
      <c r="CK33">
        <v>17538</v>
      </c>
      <c r="CL33">
        <v>44</v>
      </c>
      <c r="CM33">
        <v>20856</v>
      </c>
      <c r="CN33">
        <v>14.552985746226351</v>
      </c>
      <c r="CO33">
        <v>6898.1152437112905</v>
      </c>
      <c r="CP33">
        <v>13.933931995453136</v>
      </c>
      <c r="CQ33">
        <v>6604.6837658447866</v>
      </c>
      <c r="CR33">
        <v>13.164442062824259</v>
      </c>
      <c r="CS33">
        <v>6239.945537778699</v>
      </c>
      <c r="CT33">
        <v>15.962305286529281</v>
      </c>
      <c r="CU33">
        <v>7566.132705814879</v>
      </c>
    </row>
    <row r="34" spans="2:99" x14ac:dyDescent="0.2">
      <c r="C34" s="105" t="s">
        <v>200</v>
      </c>
      <c r="D34">
        <v>64</v>
      </c>
      <c r="E34">
        <v>35097.599999999999</v>
      </c>
      <c r="F34">
        <v>80</v>
      </c>
      <c r="G34">
        <v>43872</v>
      </c>
      <c r="H34">
        <v>53</v>
      </c>
      <c r="I34">
        <v>29065.199999999997</v>
      </c>
      <c r="J34">
        <v>83</v>
      </c>
      <c r="K34">
        <v>45517.2</v>
      </c>
      <c r="L34">
        <v>14</v>
      </c>
      <c r="M34">
        <v>7677.5999999999995</v>
      </c>
      <c r="N34">
        <v>10</v>
      </c>
      <c r="O34">
        <v>5484</v>
      </c>
      <c r="P34">
        <v>11</v>
      </c>
      <c r="Q34">
        <v>6032.4</v>
      </c>
      <c r="R34">
        <v>10</v>
      </c>
      <c r="S34">
        <v>5484</v>
      </c>
      <c r="T34">
        <v>25</v>
      </c>
      <c r="U34">
        <v>13710</v>
      </c>
      <c r="V34">
        <v>22</v>
      </c>
      <c r="W34">
        <v>12064.8</v>
      </c>
      <c r="X34">
        <v>29</v>
      </c>
      <c r="Y34">
        <v>15903.599999999999</v>
      </c>
      <c r="Z34">
        <v>25</v>
      </c>
      <c r="AA34">
        <v>13710</v>
      </c>
      <c r="AB34">
        <v>12</v>
      </c>
      <c r="AC34">
        <v>6580.7999999999993</v>
      </c>
      <c r="AD34">
        <v>9</v>
      </c>
      <c r="AE34">
        <v>4935.5999999999995</v>
      </c>
      <c r="AF34">
        <v>9</v>
      </c>
      <c r="AG34">
        <v>4935.5999999999995</v>
      </c>
      <c r="AH34">
        <v>9</v>
      </c>
      <c r="AI34">
        <v>4935.5999999999995</v>
      </c>
      <c r="AJ34">
        <v>12</v>
      </c>
      <c r="AK34">
        <v>6580.7999999999993</v>
      </c>
      <c r="AL34">
        <v>10</v>
      </c>
      <c r="AM34">
        <v>5484</v>
      </c>
      <c r="AN34">
        <v>16</v>
      </c>
      <c r="AO34">
        <v>8774.4</v>
      </c>
      <c r="AP34">
        <v>14</v>
      </c>
      <c r="AQ34">
        <v>7677.5999999999995</v>
      </c>
      <c r="AR34">
        <v>4</v>
      </c>
      <c r="AS34">
        <v>2193.6</v>
      </c>
      <c r="AT34">
        <v>5</v>
      </c>
      <c r="AU34">
        <v>2742</v>
      </c>
      <c r="AV34">
        <v>4</v>
      </c>
      <c r="AW34">
        <v>2193.6</v>
      </c>
      <c r="AX34">
        <v>6</v>
      </c>
      <c r="AY34">
        <v>3290.3999999999996</v>
      </c>
      <c r="AZ34">
        <v>4</v>
      </c>
      <c r="BA34">
        <v>2193.6</v>
      </c>
      <c r="BB34">
        <v>3</v>
      </c>
      <c r="BC34">
        <v>1645.1999999999998</v>
      </c>
      <c r="BD34">
        <v>6.8167913684571371</v>
      </c>
      <c r="BE34">
        <v>3738.3283864618938</v>
      </c>
      <c r="BF34">
        <v>4</v>
      </c>
      <c r="BG34">
        <v>2193.6</v>
      </c>
      <c r="BH34">
        <v>8</v>
      </c>
      <c r="BI34">
        <v>4387.2</v>
      </c>
      <c r="BJ34">
        <v>7</v>
      </c>
      <c r="BK34">
        <v>3838.7999999999997</v>
      </c>
      <c r="BL34">
        <v>7.9130141731373866</v>
      </c>
      <c r="BM34">
        <v>4339.4969725485425</v>
      </c>
      <c r="BN34">
        <v>7</v>
      </c>
      <c r="BO34">
        <v>3838.7999999999997</v>
      </c>
      <c r="BP34">
        <v>7</v>
      </c>
      <c r="BQ34">
        <v>3838.7999999999997</v>
      </c>
      <c r="BR34">
        <v>7</v>
      </c>
      <c r="BS34">
        <v>3838.7999999999997</v>
      </c>
      <c r="BT34">
        <v>7</v>
      </c>
      <c r="BU34">
        <v>3838.7999999999997</v>
      </c>
      <c r="BV34">
        <v>7</v>
      </c>
      <c r="BW34">
        <v>3838.7999999999997</v>
      </c>
      <c r="BX34">
        <v>6</v>
      </c>
      <c r="BY34">
        <v>3290.3999999999996</v>
      </c>
      <c r="BZ34">
        <v>7</v>
      </c>
      <c r="CA34">
        <v>3838.7999999999997</v>
      </c>
      <c r="CB34">
        <v>8</v>
      </c>
      <c r="CC34">
        <v>4387.2</v>
      </c>
      <c r="CD34">
        <v>6</v>
      </c>
      <c r="CE34">
        <v>3290.3999999999996</v>
      </c>
      <c r="CF34">
        <v>52</v>
      </c>
      <c r="CG34">
        <v>28516.799999999999</v>
      </c>
      <c r="CH34">
        <v>74</v>
      </c>
      <c r="CI34">
        <v>40581.599999999999</v>
      </c>
      <c r="CJ34">
        <v>38</v>
      </c>
      <c r="CK34">
        <v>20839.2</v>
      </c>
      <c r="CL34">
        <v>40</v>
      </c>
      <c r="CM34">
        <v>21936</v>
      </c>
      <c r="CN34">
        <v>16.587547355365498</v>
      </c>
      <c r="CO34">
        <v>9096.6109696824387</v>
      </c>
      <c r="CP34">
        <v>13.00064142369979</v>
      </c>
      <c r="CQ34">
        <v>7129.5517567569641</v>
      </c>
      <c r="CR34">
        <v>16.155787217412456</v>
      </c>
      <c r="CS34">
        <v>8859.83371002899</v>
      </c>
      <c r="CT34">
        <v>15.962305286529281</v>
      </c>
      <c r="CU34">
        <v>8753.7282191326576</v>
      </c>
    </row>
    <row r="35" spans="2:99" x14ac:dyDescent="0.2">
      <c r="C35" s="105" t="s">
        <v>201</v>
      </c>
      <c r="D35">
        <v>69</v>
      </c>
      <c r="E35">
        <v>34693.19999999999</v>
      </c>
      <c r="F35">
        <v>75</v>
      </c>
      <c r="G35">
        <v>37709.999999999993</v>
      </c>
      <c r="H35">
        <v>53</v>
      </c>
      <c r="I35">
        <v>26648.399999999994</v>
      </c>
      <c r="J35">
        <v>72</v>
      </c>
      <c r="K35">
        <v>36201.599999999991</v>
      </c>
      <c r="L35">
        <v>14</v>
      </c>
      <c r="M35">
        <v>7039.1999999999989</v>
      </c>
      <c r="N35">
        <v>11</v>
      </c>
      <c r="O35">
        <v>5530.7999999999993</v>
      </c>
      <c r="P35">
        <v>11</v>
      </c>
      <c r="Q35">
        <v>5530.7999999999993</v>
      </c>
      <c r="R35">
        <v>10</v>
      </c>
      <c r="S35">
        <v>5027.9999999999991</v>
      </c>
      <c r="T35">
        <v>22</v>
      </c>
      <c r="U35">
        <v>11061.599999999999</v>
      </c>
      <c r="V35">
        <v>24</v>
      </c>
      <c r="W35">
        <v>12067.199999999997</v>
      </c>
      <c r="X35">
        <v>32</v>
      </c>
      <c r="Y35">
        <v>16089.599999999997</v>
      </c>
      <c r="Z35">
        <v>24</v>
      </c>
      <c r="AA35">
        <v>12067.199999999997</v>
      </c>
      <c r="AB35">
        <v>11</v>
      </c>
      <c r="AC35">
        <v>5530.7999999999993</v>
      </c>
      <c r="AD35">
        <v>9</v>
      </c>
      <c r="AE35">
        <v>4525.1999999999989</v>
      </c>
      <c r="AF35">
        <v>9</v>
      </c>
      <c r="AG35">
        <v>4525.1999999999989</v>
      </c>
      <c r="AH35">
        <v>8</v>
      </c>
      <c r="AI35">
        <v>4022.3999999999992</v>
      </c>
      <c r="AJ35">
        <v>13</v>
      </c>
      <c r="AK35">
        <v>6536.3999999999987</v>
      </c>
      <c r="AL35">
        <v>10</v>
      </c>
      <c r="AM35">
        <v>5027.9999999999991</v>
      </c>
      <c r="AN35">
        <v>15</v>
      </c>
      <c r="AO35">
        <v>7541.9999999999982</v>
      </c>
      <c r="AP35">
        <v>14</v>
      </c>
      <c r="AQ35">
        <v>7039.1999999999989</v>
      </c>
      <c r="AR35">
        <v>4</v>
      </c>
      <c r="AS35">
        <v>2011.1999999999996</v>
      </c>
      <c r="AT35">
        <v>6</v>
      </c>
      <c r="AU35">
        <v>3016.7999999999993</v>
      </c>
      <c r="AV35">
        <v>4</v>
      </c>
      <c r="AW35">
        <v>2011.1999999999996</v>
      </c>
      <c r="AX35">
        <v>5</v>
      </c>
      <c r="AY35">
        <v>2513.9999999999995</v>
      </c>
      <c r="AZ35">
        <v>4</v>
      </c>
      <c r="BA35">
        <v>2011.1999999999996</v>
      </c>
      <c r="BB35">
        <v>3</v>
      </c>
      <c r="BC35">
        <v>1508.3999999999996</v>
      </c>
      <c r="BD35">
        <v>6.8541609081904706</v>
      </c>
      <c r="BE35">
        <v>3446.272104638168</v>
      </c>
      <c r="BF35">
        <v>5</v>
      </c>
      <c r="BG35">
        <v>2513.9999999999995</v>
      </c>
      <c r="BH35">
        <v>8</v>
      </c>
      <c r="BI35">
        <v>4022.3999999999992</v>
      </c>
      <c r="BJ35">
        <v>8</v>
      </c>
      <c r="BK35">
        <v>4022.3999999999992</v>
      </c>
      <c r="BL35">
        <v>6.8182203518826849</v>
      </c>
      <c r="BM35">
        <v>3428.2011929266132</v>
      </c>
      <c r="BN35">
        <v>6</v>
      </c>
      <c r="BO35">
        <v>3016.7999999999993</v>
      </c>
      <c r="BP35">
        <v>7</v>
      </c>
      <c r="BQ35">
        <v>3519.5999999999995</v>
      </c>
      <c r="BR35">
        <v>7</v>
      </c>
      <c r="BS35">
        <v>3519.5999999999995</v>
      </c>
      <c r="BT35">
        <v>8</v>
      </c>
      <c r="BU35">
        <v>4022.3999999999992</v>
      </c>
      <c r="BV35">
        <v>6</v>
      </c>
      <c r="BW35">
        <v>3016.7999999999993</v>
      </c>
      <c r="BX35">
        <v>7</v>
      </c>
      <c r="BY35">
        <v>3519.5999999999995</v>
      </c>
      <c r="BZ35">
        <v>7</v>
      </c>
      <c r="CA35">
        <v>3519.5999999999995</v>
      </c>
      <c r="CB35">
        <v>8</v>
      </c>
      <c r="CC35">
        <v>4022.3999999999992</v>
      </c>
      <c r="CD35">
        <v>5</v>
      </c>
      <c r="CE35">
        <v>2513.9999999999995</v>
      </c>
      <c r="CF35">
        <v>52</v>
      </c>
      <c r="CG35">
        <v>26145.599999999995</v>
      </c>
      <c r="CH35">
        <v>68</v>
      </c>
      <c r="CI35">
        <v>34190.399999999994</v>
      </c>
      <c r="CJ35">
        <v>37</v>
      </c>
      <c r="CK35">
        <v>18603.599999999995</v>
      </c>
      <c r="CL35">
        <v>40</v>
      </c>
      <c r="CM35">
        <v>20111.999999999996</v>
      </c>
      <c r="CN35">
        <v>16.552985746226351</v>
      </c>
      <c r="CO35">
        <v>8322.8412332026073</v>
      </c>
      <c r="CP35">
        <v>13.967286709576463</v>
      </c>
      <c r="CQ35">
        <v>7022.7517575750444</v>
      </c>
      <c r="CR35">
        <v>15.164442062824259</v>
      </c>
      <c r="CS35">
        <v>7624.6814691880354</v>
      </c>
      <c r="CT35">
        <v>16.870657164002683</v>
      </c>
      <c r="CU35">
        <v>8482.5664220605468</v>
      </c>
    </row>
    <row r="36" spans="2:99" x14ac:dyDescent="0.2">
      <c r="C36" s="105" t="s">
        <v>202</v>
      </c>
      <c r="D36">
        <v>59</v>
      </c>
      <c r="E36">
        <v>44887.199999999997</v>
      </c>
      <c r="F36">
        <v>73</v>
      </c>
      <c r="G36">
        <v>55538.399999999994</v>
      </c>
      <c r="H36">
        <v>45</v>
      </c>
      <c r="I36">
        <v>34236</v>
      </c>
      <c r="J36">
        <v>77</v>
      </c>
      <c r="K36">
        <v>58581.599999999999</v>
      </c>
      <c r="L36">
        <v>15</v>
      </c>
      <c r="M36">
        <v>11412</v>
      </c>
      <c r="N36">
        <v>11</v>
      </c>
      <c r="O36">
        <v>8368.7999999999993</v>
      </c>
      <c r="P36">
        <v>10</v>
      </c>
      <c r="Q36">
        <v>7608</v>
      </c>
      <c r="R36">
        <v>11</v>
      </c>
      <c r="S36">
        <v>8368.7999999999993</v>
      </c>
      <c r="T36">
        <v>24</v>
      </c>
      <c r="U36">
        <v>18259.199999999997</v>
      </c>
      <c r="V36">
        <v>19</v>
      </c>
      <c r="W36">
        <v>14455.199999999999</v>
      </c>
      <c r="X36">
        <v>27</v>
      </c>
      <c r="Y36">
        <v>20541.599999999999</v>
      </c>
      <c r="Z36">
        <v>26</v>
      </c>
      <c r="AA36">
        <v>19780.8</v>
      </c>
      <c r="AB36">
        <v>12</v>
      </c>
      <c r="AC36">
        <v>9129.5999999999985</v>
      </c>
      <c r="AD36">
        <v>9</v>
      </c>
      <c r="AE36">
        <v>6847.2</v>
      </c>
      <c r="AF36">
        <v>8</v>
      </c>
      <c r="AG36">
        <v>6086.4</v>
      </c>
      <c r="AH36">
        <v>9</v>
      </c>
      <c r="AI36">
        <v>6847.2</v>
      </c>
      <c r="AJ36">
        <v>11</v>
      </c>
      <c r="AK36">
        <v>8368.7999999999993</v>
      </c>
      <c r="AL36">
        <v>9</v>
      </c>
      <c r="AM36">
        <v>6847.2</v>
      </c>
      <c r="AN36">
        <v>16</v>
      </c>
      <c r="AO36">
        <v>12172.8</v>
      </c>
      <c r="AP36">
        <v>12</v>
      </c>
      <c r="AQ36">
        <v>9129.5999999999985</v>
      </c>
      <c r="AR36">
        <v>3</v>
      </c>
      <c r="AS36">
        <v>2282.3999999999996</v>
      </c>
      <c r="AT36">
        <v>5</v>
      </c>
      <c r="AU36">
        <v>3804</v>
      </c>
      <c r="AV36">
        <v>4</v>
      </c>
      <c r="AW36">
        <v>3043.2</v>
      </c>
      <c r="AX36">
        <v>5</v>
      </c>
      <c r="AY36">
        <v>3804</v>
      </c>
      <c r="AZ36">
        <v>4</v>
      </c>
      <c r="BA36">
        <v>3043.2</v>
      </c>
      <c r="BB36">
        <v>3</v>
      </c>
      <c r="BC36">
        <v>2282.3999999999996</v>
      </c>
      <c r="BD36">
        <v>6.763406311695233</v>
      </c>
      <c r="BE36">
        <v>5145.5995219377328</v>
      </c>
      <c r="BF36">
        <v>4</v>
      </c>
      <c r="BG36">
        <v>3043.2</v>
      </c>
      <c r="BH36">
        <v>8</v>
      </c>
      <c r="BI36">
        <v>6086.4</v>
      </c>
      <c r="BJ36">
        <v>8</v>
      </c>
      <c r="BK36">
        <v>6086.4</v>
      </c>
      <c r="BL36">
        <v>6.8930575791890289</v>
      </c>
      <c r="BM36">
        <v>5244.2382062470133</v>
      </c>
      <c r="BN36">
        <v>6</v>
      </c>
      <c r="BO36">
        <v>4564.7999999999993</v>
      </c>
      <c r="BP36">
        <v>7</v>
      </c>
      <c r="BQ36">
        <v>5325.5999999999995</v>
      </c>
      <c r="BR36">
        <v>8</v>
      </c>
      <c r="BS36">
        <v>6086.4</v>
      </c>
      <c r="BT36">
        <v>7</v>
      </c>
      <c r="BU36">
        <v>5325.5999999999995</v>
      </c>
      <c r="BV36">
        <v>6</v>
      </c>
      <c r="BW36">
        <v>4564.7999999999993</v>
      </c>
      <c r="BX36">
        <v>7</v>
      </c>
      <c r="BY36">
        <v>5325.5999999999995</v>
      </c>
      <c r="BZ36">
        <v>6</v>
      </c>
      <c r="CA36">
        <v>4564.7999999999993</v>
      </c>
      <c r="CB36">
        <v>8</v>
      </c>
      <c r="CC36">
        <v>6086.4</v>
      </c>
      <c r="CD36">
        <v>6</v>
      </c>
      <c r="CE36">
        <v>4564.7999999999993</v>
      </c>
      <c r="CF36">
        <v>54</v>
      </c>
      <c r="CG36">
        <v>41083.199999999997</v>
      </c>
      <c r="CH36">
        <v>64</v>
      </c>
      <c r="CI36">
        <v>48691.199999999997</v>
      </c>
      <c r="CJ36">
        <v>39</v>
      </c>
      <c r="CK36">
        <v>29671.199999999997</v>
      </c>
      <c r="CL36">
        <v>42</v>
      </c>
      <c r="CM36">
        <v>31953.599999999999</v>
      </c>
      <c r="CN36">
        <v>15.622108964504644</v>
      </c>
      <c r="CO36">
        <v>11885.300500195133</v>
      </c>
      <c r="CP36">
        <v>12.867222567206484</v>
      </c>
      <c r="CQ36">
        <v>9789.382929130692</v>
      </c>
      <c r="CR36">
        <v>15.173096908236063</v>
      </c>
      <c r="CS36">
        <v>11543.692127785996</v>
      </c>
      <c r="CT36">
        <v>14.870657164002683</v>
      </c>
      <c r="CU36">
        <v>11313.595970373241</v>
      </c>
    </row>
    <row r="37" spans="2:99" x14ac:dyDescent="0.2">
      <c r="B37" s="105" t="s">
        <v>128</v>
      </c>
      <c r="C37" s="105" t="s">
        <v>203</v>
      </c>
      <c r="D37">
        <v>21</v>
      </c>
      <c r="E37">
        <v>18068.399999999998</v>
      </c>
      <c r="F37">
        <v>23</v>
      </c>
      <c r="G37">
        <v>19789.2</v>
      </c>
      <c r="H37">
        <v>16</v>
      </c>
      <c r="I37">
        <v>13766.4</v>
      </c>
      <c r="J37">
        <v>14</v>
      </c>
      <c r="K37">
        <v>12045.6</v>
      </c>
      <c r="L37">
        <v>5</v>
      </c>
      <c r="M37">
        <v>4302</v>
      </c>
      <c r="N37">
        <v>9</v>
      </c>
      <c r="O37">
        <v>7743.5999999999995</v>
      </c>
      <c r="P37">
        <v>5</v>
      </c>
      <c r="Q37">
        <v>4302</v>
      </c>
      <c r="R37">
        <v>4</v>
      </c>
      <c r="S37">
        <v>3441.6</v>
      </c>
      <c r="T37">
        <v>8</v>
      </c>
      <c r="U37">
        <v>6883.2</v>
      </c>
      <c r="V37">
        <v>11</v>
      </c>
      <c r="W37">
        <v>9464.4</v>
      </c>
      <c r="X37">
        <v>9</v>
      </c>
      <c r="Y37">
        <v>7743.5999999999995</v>
      </c>
      <c r="Z37">
        <v>9</v>
      </c>
      <c r="AA37">
        <v>7743.5999999999995</v>
      </c>
      <c r="AB37">
        <v>19</v>
      </c>
      <c r="AC37">
        <v>16347.6</v>
      </c>
      <c r="AD37">
        <v>20</v>
      </c>
      <c r="AE37">
        <v>17208</v>
      </c>
      <c r="AF37">
        <v>16</v>
      </c>
      <c r="AG37">
        <v>13766.4</v>
      </c>
      <c r="AH37">
        <v>29</v>
      </c>
      <c r="AI37">
        <v>24951.599999999999</v>
      </c>
      <c r="AJ37">
        <v>24</v>
      </c>
      <c r="AK37">
        <v>20649.599999999999</v>
      </c>
      <c r="AL37">
        <v>20</v>
      </c>
      <c r="AM37">
        <v>17208</v>
      </c>
      <c r="AN37">
        <v>18</v>
      </c>
      <c r="AO37">
        <v>15487.199999999999</v>
      </c>
      <c r="AP37">
        <v>20</v>
      </c>
      <c r="AQ37">
        <v>17208</v>
      </c>
      <c r="AR37">
        <v>86</v>
      </c>
      <c r="AS37">
        <v>73994.399999999994</v>
      </c>
      <c r="AT37">
        <v>80</v>
      </c>
      <c r="AU37">
        <v>68832</v>
      </c>
      <c r="AV37">
        <v>58</v>
      </c>
      <c r="AW37">
        <v>49903.199999999997</v>
      </c>
      <c r="AX37">
        <v>65</v>
      </c>
      <c r="AY37">
        <v>55926</v>
      </c>
      <c r="AZ37">
        <v>117</v>
      </c>
      <c r="BA37">
        <v>100666.8</v>
      </c>
      <c r="BB37">
        <v>98</v>
      </c>
      <c r="BC37">
        <v>84319.2</v>
      </c>
      <c r="BD37">
        <v>79.05872356243809</v>
      </c>
      <c r="BE37">
        <v>68022.125753121727</v>
      </c>
      <c r="BF37">
        <v>73</v>
      </c>
      <c r="BG37">
        <v>62809.2</v>
      </c>
      <c r="BH37">
        <v>9</v>
      </c>
      <c r="BI37">
        <v>7743.5999999999995</v>
      </c>
      <c r="BJ37">
        <v>10.363563797085298</v>
      </c>
      <c r="BK37">
        <v>8916.8102910121906</v>
      </c>
      <c r="BL37">
        <v>7.0498914848708951</v>
      </c>
      <c r="BM37">
        <v>6065.7266335829181</v>
      </c>
      <c r="BN37">
        <v>7</v>
      </c>
      <c r="BO37">
        <v>6022.8</v>
      </c>
      <c r="BP37">
        <v>11</v>
      </c>
      <c r="BQ37">
        <v>9464.4</v>
      </c>
      <c r="BR37">
        <v>10</v>
      </c>
      <c r="BS37">
        <v>8604</v>
      </c>
      <c r="BT37">
        <v>13</v>
      </c>
      <c r="BU37">
        <v>11185.199999999999</v>
      </c>
      <c r="BV37">
        <v>14</v>
      </c>
      <c r="BW37">
        <v>12045.6</v>
      </c>
      <c r="BX37">
        <v>18</v>
      </c>
      <c r="BY37">
        <v>15487.199999999999</v>
      </c>
      <c r="BZ37">
        <v>12</v>
      </c>
      <c r="CA37">
        <v>10324.799999999999</v>
      </c>
      <c r="CB37">
        <v>17</v>
      </c>
      <c r="CC37">
        <v>14626.8</v>
      </c>
      <c r="CD37">
        <v>17</v>
      </c>
      <c r="CE37">
        <v>14626.8</v>
      </c>
      <c r="CF37">
        <v>56</v>
      </c>
      <c r="CG37">
        <v>48182.400000000001</v>
      </c>
      <c r="CH37">
        <v>54</v>
      </c>
      <c r="CI37">
        <v>46461.599999999999</v>
      </c>
      <c r="CJ37">
        <v>65.091712155753257</v>
      </c>
      <c r="CK37">
        <v>56004.909138810101</v>
      </c>
      <c r="CL37">
        <v>57.400899937595319</v>
      </c>
      <c r="CM37">
        <v>49387.734306307015</v>
      </c>
      <c r="CN37">
        <v>10.79720367523564</v>
      </c>
      <c r="CO37">
        <v>9289.9140421727443</v>
      </c>
      <c r="CP37">
        <v>10.667735706166315</v>
      </c>
      <c r="CQ37">
        <v>9178.5198015854967</v>
      </c>
      <c r="CR37">
        <v>8.2769550531776996</v>
      </c>
      <c r="CS37">
        <v>7121.4921277540925</v>
      </c>
      <c r="CT37">
        <v>11.749443675797945</v>
      </c>
      <c r="CU37">
        <v>10109.221338656551</v>
      </c>
    </row>
    <row r="38" spans="2:99" x14ac:dyDescent="0.2">
      <c r="C38" s="105" t="s">
        <v>204</v>
      </c>
      <c r="D38">
        <v>20</v>
      </c>
      <c r="E38">
        <v>24840</v>
      </c>
      <c r="F38">
        <v>20</v>
      </c>
      <c r="G38">
        <v>24840</v>
      </c>
      <c r="H38">
        <v>14</v>
      </c>
      <c r="I38">
        <v>17388</v>
      </c>
      <c r="J38">
        <v>15</v>
      </c>
      <c r="K38">
        <v>18630</v>
      </c>
      <c r="L38">
        <v>4</v>
      </c>
      <c r="M38">
        <v>4968</v>
      </c>
      <c r="N38">
        <v>7</v>
      </c>
      <c r="O38">
        <v>8694</v>
      </c>
      <c r="P38">
        <v>5</v>
      </c>
      <c r="Q38">
        <v>6210</v>
      </c>
      <c r="R38">
        <v>5</v>
      </c>
      <c r="S38">
        <v>6210</v>
      </c>
      <c r="T38">
        <v>9</v>
      </c>
      <c r="U38">
        <v>11178</v>
      </c>
      <c r="V38">
        <v>11</v>
      </c>
      <c r="W38">
        <v>13662</v>
      </c>
      <c r="X38">
        <v>9</v>
      </c>
      <c r="Y38">
        <v>11178</v>
      </c>
      <c r="Z38">
        <v>8</v>
      </c>
      <c r="AA38">
        <v>9936</v>
      </c>
      <c r="AB38">
        <v>19</v>
      </c>
      <c r="AC38">
        <v>23598</v>
      </c>
      <c r="AD38">
        <v>20</v>
      </c>
      <c r="AE38">
        <v>24840</v>
      </c>
      <c r="AF38">
        <v>16</v>
      </c>
      <c r="AG38">
        <v>19872</v>
      </c>
      <c r="AH38">
        <v>27</v>
      </c>
      <c r="AI38">
        <v>33534</v>
      </c>
      <c r="AJ38">
        <v>22</v>
      </c>
      <c r="AK38">
        <v>27324</v>
      </c>
      <c r="AL38">
        <v>19</v>
      </c>
      <c r="AM38">
        <v>23598</v>
      </c>
      <c r="AN38">
        <v>17</v>
      </c>
      <c r="AO38">
        <v>21114</v>
      </c>
      <c r="AP38">
        <v>21</v>
      </c>
      <c r="AQ38">
        <v>26082</v>
      </c>
      <c r="AR38">
        <v>81</v>
      </c>
      <c r="AS38">
        <v>100602</v>
      </c>
      <c r="AT38">
        <v>84</v>
      </c>
      <c r="AU38">
        <v>104328</v>
      </c>
      <c r="AV38">
        <v>53</v>
      </c>
      <c r="AW38">
        <v>65826</v>
      </c>
      <c r="AX38">
        <v>59</v>
      </c>
      <c r="AY38">
        <v>73278</v>
      </c>
      <c r="AZ38">
        <v>95</v>
      </c>
      <c r="BA38">
        <v>117990</v>
      </c>
      <c r="BB38">
        <v>93</v>
      </c>
      <c r="BC38">
        <v>115506</v>
      </c>
      <c r="BD38">
        <v>64.05872356243809</v>
      </c>
      <c r="BE38">
        <v>79560.934664548113</v>
      </c>
      <c r="BF38">
        <v>67</v>
      </c>
      <c r="BG38">
        <v>83214</v>
      </c>
      <c r="BH38">
        <v>9</v>
      </c>
      <c r="BI38">
        <v>11178</v>
      </c>
      <c r="BJ38">
        <v>9.3635637970852983</v>
      </c>
      <c r="BK38">
        <v>11629.54623597994</v>
      </c>
      <c r="BL38">
        <v>7.0449023363838057</v>
      </c>
      <c r="BM38">
        <v>8749.7687017886874</v>
      </c>
      <c r="BN38">
        <v>6</v>
      </c>
      <c r="BO38">
        <v>7452</v>
      </c>
      <c r="BP38">
        <v>10</v>
      </c>
      <c r="BQ38">
        <v>12420</v>
      </c>
      <c r="BR38">
        <v>10</v>
      </c>
      <c r="BS38">
        <v>12420</v>
      </c>
      <c r="BT38">
        <v>12</v>
      </c>
      <c r="BU38">
        <v>14904</v>
      </c>
      <c r="BV38">
        <v>12</v>
      </c>
      <c r="BW38">
        <v>14904</v>
      </c>
      <c r="BX38">
        <v>14</v>
      </c>
      <c r="BY38">
        <v>17388</v>
      </c>
      <c r="BZ38">
        <v>12</v>
      </c>
      <c r="CA38">
        <v>14904</v>
      </c>
      <c r="CB38">
        <v>15</v>
      </c>
      <c r="CC38">
        <v>18630</v>
      </c>
      <c r="CD38">
        <v>14</v>
      </c>
      <c r="CE38">
        <v>17388</v>
      </c>
      <c r="CF38">
        <v>47</v>
      </c>
      <c r="CG38">
        <v>58374</v>
      </c>
      <c r="CH38">
        <v>53</v>
      </c>
      <c r="CI38">
        <v>65826</v>
      </c>
      <c r="CJ38">
        <v>61.091712155753264</v>
      </c>
      <c r="CK38">
        <v>75875.906497445554</v>
      </c>
      <c r="CL38">
        <v>57.400899937595319</v>
      </c>
      <c r="CM38">
        <v>71291.917722493381</v>
      </c>
      <c r="CN38">
        <v>8.5898340204007582</v>
      </c>
      <c r="CO38">
        <v>10668.573853337741</v>
      </c>
      <c r="CP38">
        <v>11.601026277919662</v>
      </c>
      <c r="CQ38">
        <v>14408.474637176219</v>
      </c>
      <c r="CR38">
        <v>9.3202292802367168</v>
      </c>
      <c r="CS38">
        <v>11575.724766054002</v>
      </c>
      <c r="CT38">
        <v>11.520323369481449</v>
      </c>
      <c r="CU38">
        <v>14308.24162489596</v>
      </c>
    </row>
    <row r="39" spans="2:99" x14ac:dyDescent="0.2">
      <c r="C39" s="105" t="s">
        <v>205</v>
      </c>
      <c r="D39">
        <v>20</v>
      </c>
      <c r="E39">
        <v>28464</v>
      </c>
      <c r="F39">
        <v>23</v>
      </c>
      <c r="G39">
        <v>32733.600000000002</v>
      </c>
      <c r="H39">
        <v>15</v>
      </c>
      <c r="I39">
        <v>21348</v>
      </c>
      <c r="J39">
        <v>13</v>
      </c>
      <c r="K39">
        <v>18501.600000000002</v>
      </c>
      <c r="L39">
        <v>4</v>
      </c>
      <c r="M39">
        <v>5692.8</v>
      </c>
      <c r="N39">
        <v>9</v>
      </c>
      <c r="O39">
        <v>12808.800000000001</v>
      </c>
      <c r="P39">
        <v>4</v>
      </c>
      <c r="Q39">
        <v>5692.8</v>
      </c>
      <c r="R39">
        <v>5</v>
      </c>
      <c r="S39">
        <v>7116</v>
      </c>
      <c r="T39">
        <v>9</v>
      </c>
      <c r="U39">
        <v>12808.800000000001</v>
      </c>
      <c r="V39">
        <v>10</v>
      </c>
      <c r="W39">
        <v>14232</v>
      </c>
      <c r="X39">
        <v>8</v>
      </c>
      <c r="Y39">
        <v>11385.6</v>
      </c>
      <c r="Z39">
        <v>9</v>
      </c>
      <c r="AA39">
        <v>12808.800000000001</v>
      </c>
      <c r="AB39">
        <v>17</v>
      </c>
      <c r="AC39">
        <v>24194.400000000001</v>
      </c>
      <c r="AD39">
        <v>19</v>
      </c>
      <c r="AE39">
        <v>27040.799999999999</v>
      </c>
      <c r="AF39">
        <v>15</v>
      </c>
      <c r="AG39">
        <v>21348</v>
      </c>
      <c r="AH39">
        <v>28</v>
      </c>
      <c r="AI39">
        <v>39849.599999999999</v>
      </c>
      <c r="AJ39">
        <v>21</v>
      </c>
      <c r="AK39">
        <v>29887.200000000001</v>
      </c>
      <c r="AL39">
        <v>17</v>
      </c>
      <c r="AM39">
        <v>24194.400000000001</v>
      </c>
      <c r="AN39">
        <v>17</v>
      </c>
      <c r="AO39">
        <v>24194.400000000001</v>
      </c>
      <c r="AP39">
        <v>20</v>
      </c>
      <c r="AQ39">
        <v>28464</v>
      </c>
      <c r="AR39">
        <v>89</v>
      </c>
      <c r="AS39">
        <v>126664.8</v>
      </c>
      <c r="AT39">
        <v>85</v>
      </c>
      <c r="AU39">
        <v>120972</v>
      </c>
      <c r="AV39">
        <v>56</v>
      </c>
      <c r="AW39">
        <v>79699.199999999997</v>
      </c>
      <c r="AX39">
        <v>57</v>
      </c>
      <c r="AY39">
        <v>81122.400000000009</v>
      </c>
      <c r="AZ39">
        <v>94</v>
      </c>
      <c r="BA39">
        <v>133780.80000000002</v>
      </c>
      <c r="BB39">
        <v>81</v>
      </c>
      <c r="BC39">
        <v>115279.2</v>
      </c>
      <c r="BD39">
        <v>62.058723562438097</v>
      </c>
      <c r="BE39">
        <v>88321.975374061905</v>
      </c>
      <c r="BF39">
        <v>68</v>
      </c>
      <c r="BG39">
        <v>96777.600000000006</v>
      </c>
      <c r="BH39">
        <v>8</v>
      </c>
      <c r="BI39">
        <v>11385.6</v>
      </c>
      <c r="BJ39">
        <v>10</v>
      </c>
      <c r="BK39">
        <v>14232</v>
      </c>
      <c r="BL39">
        <v>6.0548806333579854</v>
      </c>
      <c r="BM39">
        <v>8617.3061173950846</v>
      </c>
      <c r="BN39">
        <v>6</v>
      </c>
      <c r="BO39">
        <v>8539.2000000000007</v>
      </c>
      <c r="BP39">
        <v>11</v>
      </c>
      <c r="BQ39">
        <v>15655.2</v>
      </c>
      <c r="BR39">
        <v>10</v>
      </c>
      <c r="BS39">
        <v>14232</v>
      </c>
      <c r="BT39">
        <v>11</v>
      </c>
      <c r="BU39">
        <v>15655.2</v>
      </c>
      <c r="BV39">
        <v>13</v>
      </c>
      <c r="BW39">
        <v>18501.600000000002</v>
      </c>
      <c r="BX39">
        <v>16</v>
      </c>
      <c r="BY39">
        <v>22771.200000000001</v>
      </c>
      <c r="BZ39">
        <v>13</v>
      </c>
      <c r="CA39">
        <v>18501.600000000002</v>
      </c>
      <c r="CB39">
        <v>17</v>
      </c>
      <c r="CC39">
        <v>24194.400000000001</v>
      </c>
      <c r="CD39">
        <v>15</v>
      </c>
      <c r="CE39">
        <v>21348</v>
      </c>
      <c r="CF39">
        <v>52</v>
      </c>
      <c r="CG39">
        <v>74006.400000000009</v>
      </c>
      <c r="CH39">
        <v>52</v>
      </c>
      <c r="CI39">
        <v>74006.400000000009</v>
      </c>
      <c r="CJ39">
        <v>58.080248136284105</v>
      </c>
      <c r="CK39">
        <v>82659.809147559543</v>
      </c>
      <c r="CL39">
        <v>47.339223024119114</v>
      </c>
      <c r="CM39">
        <v>67373.182207926322</v>
      </c>
      <c r="CN39">
        <v>8.7280804569573469</v>
      </c>
      <c r="CO39">
        <v>12421.804106341697</v>
      </c>
      <c r="CP39">
        <v>10.434252707303031</v>
      </c>
      <c r="CQ39">
        <v>14850.028453033674</v>
      </c>
      <c r="CR39">
        <v>9.2942647440013069</v>
      </c>
      <c r="CS39">
        <v>13227.59758366266</v>
      </c>
      <c r="CT39">
        <v>10.520323369481449</v>
      </c>
      <c r="CU39">
        <v>14972.524219445999</v>
      </c>
    </row>
    <row r="40" spans="2:99" x14ac:dyDescent="0.2">
      <c r="C40" s="105" t="s">
        <v>206</v>
      </c>
      <c r="D40">
        <v>23</v>
      </c>
      <c r="E40">
        <v>16670.399999999998</v>
      </c>
      <c r="F40">
        <v>24</v>
      </c>
      <c r="G40">
        <v>17395.199999999997</v>
      </c>
      <c r="H40">
        <v>16</v>
      </c>
      <c r="I40">
        <v>11596.8</v>
      </c>
      <c r="J40">
        <v>16</v>
      </c>
      <c r="K40">
        <v>11596.8</v>
      </c>
      <c r="L40">
        <v>4</v>
      </c>
      <c r="M40">
        <v>2899.2</v>
      </c>
      <c r="N40">
        <v>8</v>
      </c>
      <c r="O40">
        <v>5798.4</v>
      </c>
      <c r="P40">
        <v>5</v>
      </c>
      <c r="Q40">
        <v>3624</v>
      </c>
      <c r="R40">
        <v>4</v>
      </c>
      <c r="S40">
        <v>2899.2</v>
      </c>
      <c r="T40">
        <v>10</v>
      </c>
      <c r="U40">
        <v>7248</v>
      </c>
      <c r="V40">
        <v>11</v>
      </c>
      <c r="W40">
        <v>7972.7999999999993</v>
      </c>
      <c r="X40">
        <v>10</v>
      </c>
      <c r="Y40">
        <v>7248</v>
      </c>
      <c r="Z40">
        <v>8</v>
      </c>
      <c r="AA40">
        <v>5798.4</v>
      </c>
      <c r="AB40">
        <v>21</v>
      </c>
      <c r="AC40">
        <v>15220.8</v>
      </c>
      <c r="AD40">
        <v>20</v>
      </c>
      <c r="AE40">
        <v>14496</v>
      </c>
      <c r="AF40">
        <v>17</v>
      </c>
      <c r="AG40">
        <v>12321.599999999999</v>
      </c>
      <c r="AH40">
        <v>29</v>
      </c>
      <c r="AI40">
        <v>21019.199999999997</v>
      </c>
      <c r="AJ40">
        <v>25</v>
      </c>
      <c r="AK40">
        <v>18120</v>
      </c>
      <c r="AL40">
        <v>19</v>
      </c>
      <c r="AM40">
        <v>13771.199999999999</v>
      </c>
      <c r="AN40">
        <v>17</v>
      </c>
      <c r="AO40">
        <v>12321.599999999999</v>
      </c>
      <c r="AP40">
        <v>20</v>
      </c>
      <c r="AQ40">
        <v>14496</v>
      </c>
      <c r="AR40">
        <v>96</v>
      </c>
      <c r="AS40">
        <v>69580.799999999988</v>
      </c>
      <c r="AT40">
        <v>82</v>
      </c>
      <c r="AU40">
        <v>59433.599999999999</v>
      </c>
      <c r="AV40">
        <v>55</v>
      </c>
      <c r="AW40">
        <v>39864</v>
      </c>
      <c r="AX40">
        <v>68</v>
      </c>
      <c r="AY40">
        <v>49286.399999999994</v>
      </c>
      <c r="AZ40">
        <v>116</v>
      </c>
      <c r="BA40">
        <v>84076.799999999988</v>
      </c>
      <c r="BB40">
        <v>103</v>
      </c>
      <c r="BC40">
        <v>74654.399999999994</v>
      </c>
      <c r="BD40">
        <v>78.069400573790475</v>
      </c>
      <c r="BE40">
        <v>56584.701535883331</v>
      </c>
      <c r="BF40">
        <v>71</v>
      </c>
      <c r="BG40">
        <v>51460.799999999996</v>
      </c>
      <c r="BH40">
        <v>10</v>
      </c>
      <c r="BI40">
        <v>7248</v>
      </c>
      <c r="BJ40">
        <v>9.3305125428048168</v>
      </c>
      <c r="BK40">
        <v>6762.755491024931</v>
      </c>
      <c r="BL40">
        <v>7.0498914848708951</v>
      </c>
      <c r="BM40">
        <v>5109.7613482344241</v>
      </c>
      <c r="BN40">
        <v>7</v>
      </c>
      <c r="BO40">
        <v>5073.5999999999995</v>
      </c>
      <c r="BP40">
        <v>11</v>
      </c>
      <c r="BQ40">
        <v>7972.7999999999993</v>
      </c>
      <c r="BR40">
        <v>10</v>
      </c>
      <c r="BS40">
        <v>7248</v>
      </c>
      <c r="BT40">
        <v>12</v>
      </c>
      <c r="BU40">
        <v>8697.5999999999985</v>
      </c>
      <c r="BV40">
        <v>14</v>
      </c>
      <c r="BW40">
        <v>10147.199999999999</v>
      </c>
      <c r="BX40">
        <v>17</v>
      </c>
      <c r="BY40">
        <v>12321.599999999999</v>
      </c>
      <c r="BZ40">
        <v>13</v>
      </c>
      <c r="CA40">
        <v>9422.4</v>
      </c>
      <c r="CB40">
        <v>16</v>
      </c>
      <c r="CC40">
        <v>11596.8</v>
      </c>
      <c r="CD40">
        <v>16</v>
      </c>
      <c r="CE40">
        <v>11596.8</v>
      </c>
      <c r="CF40">
        <v>54</v>
      </c>
      <c r="CG40">
        <v>39139.199999999997</v>
      </c>
      <c r="CH40">
        <v>55</v>
      </c>
      <c r="CI40">
        <v>39864</v>
      </c>
      <c r="CJ40">
        <v>70.091712155753257</v>
      </c>
      <c r="CK40">
        <v>50802.472970489958</v>
      </c>
      <c r="CL40">
        <v>55.370061480857217</v>
      </c>
      <c r="CM40">
        <v>40132.22056132531</v>
      </c>
      <c r="CN40">
        <v>9.6243956295399062</v>
      </c>
      <c r="CO40">
        <v>6975.7619522905234</v>
      </c>
      <c r="CP40">
        <v>11.667735706166315</v>
      </c>
      <c r="CQ40">
        <v>8456.7748398293443</v>
      </c>
      <c r="CR40">
        <v>9.3375389710603223</v>
      </c>
      <c r="CS40">
        <v>6767.8482462245211</v>
      </c>
      <c r="CT40">
        <v>10.382851185691553</v>
      </c>
      <c r="CU40">
        <v>7525.4905393892377</v>
      </c>
    </row>
    <row r="41" spans="2:99" x14ac:dyDescent="0.2">
      <c r="C41" s="105" t="s">
        <v>207</v>
      </c>
      <c r="D41">
        <v>25</v>
      </c>
      <c r="E41">
        <v>16500</v>
      </c>
      <c r="F41">
        <v>21</v>
      </c>
      <c r="G41">
        <v>13860</v>
      </c>
      <c r="H41">
        <v>15</v>
      </c>
      <c r="I41">
        <v>9900</v>
      </c>
      <c r="J41">
        <v>16</v>
      </c>
      <c r="K41">
        <v>10560</v>
      </c>
      <c r="L41">
        <v>5</v>
      </c>
      <c r="M41">
        <v>3300</v>
      </c>
      <c r="N41">
        <v>7</v>
      </c>
      <c r="O41">
        <v>4620</v>
      </c>
      <c r="P41">
        <v>5</v>
      </c>
      <c r="Q41">
        <v>3300</v>
      </c>
      <c r="R41">
        <v>4</v>
      </c>
      <c r="S41">
        <v>2640</v>
      </c>
      <c r="T41">
        <v>9</v>
      </c>
      <c r="U41">
        <v>5940</v>
      </c>
      <c r="V41">
        <v>11</v>
      </c>
      <c r="W41">
        <v>7260</v>
      </c>
      <c r="X41">
        <v>10</v>
      </c>
      <c r="Y41">
        <v>6600</v>
      </c>
      <c r="Z41">
        <v>8</v>
      </c>
      <c r="AA41">
        <v>5280</v>
      </c>
      <c r="AB41">
        <v>19</v>
      </c>
      <c r="AC41">
        <v>12540</v>
      </c>
      <c r="AD41">
        <v>21</v>
      </c>
      <c r="AE41">
        <v>13860</v>
      </c>
      <c r="AF41">
        <v>17</v>
      </c>
      <c r="AG41">
        <v>11220</v>
      </c>
      <c r="AH41">
        <v>29</v>
      </c>
      <c r="AI41">
        <v>19140</v>
      </c>
      <c r="AJ41">
        <v>24</v>
      </c>
      <c r="AK41">
        <v>15840</v>
      </c>
      <c r="AL41">
        <v>21</v>
      </c>
      <c r="AM41">
        <v>13860</v>
      </c>
      <c r="AN41">
        <v>19</v>
      </c>
      <c r="AO41">
        <v>12540</v>
      </c>
      <c r="AP41">
        <v>22</v>
      </c>
      <c r="AQ41">
        <v>14520</v>
      </c>
      <c r="AR41">
        <v>102</v>
      </c>
      <c r="AS41">
        <v>67320</v>
      </c>
      <c r="AT41">
        <v>96</v>
      </c>
      <c r="AU41">
        <v>63360</v>
      </c>
      <c r="AV41">
        <v>63</v>
      </c>
      <c r="AW41">
        <v>41580</v>
      </c>
      <c r="AX41">
        <v>59</v>
      </c>
      <c r="AY41">
        <v>38940</v>
      </c>
      <c r="AZ41">
        <v>118</v>
      </c>
      <c r="BA41">
        <v>77880</v>
      </c>
      <c r="BB41">
        <v>97</v>
      </c>
      <c r="BC41">
        <v>64020</v>
      </c>
      <c r="BD41">
        <v>78.05872356243809</v>
      </c>
      <c r="BE41">
        <v>51518.757551209143</v>
      </c>
      <c r="BF41">
        <v>86</v>
      </c>
      <c r="BG41">
        <v>56760</v>
      </c>
      <c r="BH41">
        <v>9</v>
      </c>
      <c r="BI41">
        <v>5940</v>
      </c>
      <c r="BJ41">
        <v>9.3635637970852983</v>
      </c>
      <c r="BK41">
        <v>6179.9521060762972</v>
      </c>
      <c r="BL41">
        <v>7.0548806333579854</v>
      </c>
      <c r="BM41">
        <v>4656.2212180162705</v>
      </c>
      <c r="BN41">
        <v>7</v>
      </c>
      <c r="BO41">
        <v>4620</v>
      </c>
      <c r="BP41">
        <v>11</v>
      </c>
      <c r="BQ41">
        <v>7260</v>
      </c>
      <c r="BR41">
        <v>10</v>
      </c>
      <c r="BS41">
        <v>6600</v>
      </c>
      <c r="BT41">
        <v>12</v>
      </c>
      <c r="BU41">
        <v>7920</v>
      </c>
      <c r="BV41">
        <v>13</v>
      </c>
      <c r="BW41">
        <v>8580</v>
      </c>
      <c r="BX41">
        <v>17</v>
      </c>
      <c r="BY41">
        <v>11220</v>
      </c>
      <c r="BZ41">
        <v>14</v>
      </c>
      <c r="CA41">
        <v>9240</v>
      </c>
      <c r="CB41">
        <v>16</v>
      </c>
      <c r="CC41">
        <v>10560</v>
      </c>
      <c r="CD41">
        <v>15</v>
      </c>
      <c r="CE41">
        <v>9900</v>
      </c>
      <c r="CF41">
        <v>54</v>
      </c>
      <c r="CG41">
        <v>35640</v>
      </c>
      <c r="CH41">
        <v>53</v>
      </c>
      <c r="CI41">
        <v>34980</v>
      </c>
      <c r="CJ41">
        <v>68.091712155753257</v>
      </c>
      <c r="CK41">
        <v>44940.530022797153</v>
      </c>
      <c r="CL41">
        <v>56.370061480857217</v>
      </c>
      <c r="CM41">
        <v>37204.240577365767</v>
      </c>
      <c r="CN41">
        <v>10.79720367523564</v>
      </c>
      <c r="CO41">
        <v>7126.1544256555217</v>
      </c>
      <c r="CP41">
        <v>12.801154562659621</v>
      </c>
      <c r="CQ41">
        <v>8448.7620113553494</v>
      </c>
      <c r="CR41">
        <v>9.3288841256485195</v>
      </c>
      <c r="CS41">
        <v>6157.0635229280233</v>
      </c>
      <c r="CT41">
        <v>10.337027124428253</v>
      </c>
      <c r="CU41">
        <v>6822.4379021226468</v>
      </c>
    </row>
    <row r="42" spans="2:99" x14ac:dyDescent="0.2">
      <c r="C42" s="105" t="s">
        <v>208</v>
      </c>
      <c r="D42">
        <v>21</v>
      </c>
      <c r="E42">
        <v>17766</v>
      </c>
      <c r="F42">
        <v>22</v>
      </c>
      <c r="G42">
        <v>18612</v>
      </c>
      <c r="H42">
        <v>14</v>
      </c>
      <c r="I42">
        <v>11844</v>
      </c>
      <c r="J42">
        <v>15</v>
      </c>
      <c r="K42">
        <v>12690</v>
      </c>
      <c r="L42">
        <v>4</v>
      </c>
      <c r="M42">
        <v>3384</v>
      </c>
      <c r="N42">
        <v>8</v>
      </c>
      <c r="O42">
        <v>6768</v>
      </c>
      <c r="P42">
        <v>4</v>
      </c>
      <c r="Q42">
        <v>3384</v>
      </c>
      <c r="R42">
        <v>4</v>
      </c>
      <c r="S42">
        <v>3384</v>
      </c>
      <c r="T42">
        <v>9</v>
      </c>
      <c r="U42">
        <v>7614</v>
      </c>
      <c r="V42">
        <v>11</v>
      </c>
      <c r="W42">
        <v>9306</v>
      </c>
      <c r="X42">
        <v>10</v>
      </c>
      <c r="Y42">
        <v>8460</v>
      </c>
      <c r="Z42">
        <v>9</v>
      </c>
      <c r="AA42">
        <v>7614</v>
      </c>
      <c r="AB42">
        <v>18</v>
      </c>
      <c r="AC42">
        <v>15228</v>
      </c>
      <c r="AD42">
        <v>20</v>
      </c>
      <c r="AE42">
        <v>16920</v>
      </c>
      <c r="AF42">
        <v>15</v>
      </c>
      <c r="AG42">
        <v>12690</v>
      </c>
      <c r="AH42">
        <v>30</v>
      </c>
      <c r="AI42">
        <v>25380</v>
      </c>
      <c r="AJ42">
        <v>23</v>
      </c>
      <c r="AK42">
        <v>19458</v>
      </c>
      <c r="AL42">
        <v>20</v>
      </c>
      <c r="AM42">
        <v>16920</v>
      </c>
      <c r="AN42">
        <v>19</v>
      </c>
      <c r="AO42">
        <v>16074</v>
      </c>
      <c r="AP42">
        <v>21</v>
      </c>
      <c r="AQ42">
        <v>17766</v>
      </c>
      <c r="AR42">
        <v>94</v>
      </c>
      <c r="AS42">
        <v>79524</v>
      </c>
      <c r="AT42">
        <v>92</v>
      </c>
      <c r="AU42">
        <v>77832</v>
      </c>
      <c r="AV42">
        <v>61</v>
      </c>
      <c r="AW42">
        <v>51606</v>
      </c>
      <c r="AX42">
        <v>57</v>
      </c>
      <c r="AY42">
        <v>48222</v>
      </c>
      <c r="AZ42">
        <v>112</v>
      </c>
      <c r="BA42">
        <v>94752</v>
      </c>
      <c r="BB42">
        <v>88</v>
      </c>
      <c r="BC42">
        <v>74448</v>
      </c>
      <c r="BD42">
        <v>73.053385056761911</v>
      </c>
      <c r="BE42">
        <v>61803.163758020579</v>
      </c>
      <c r="BF42">
        <v>72</v>
      </c>
      <c r="BG42">
        <v>60912</v>
      </c>
      <c r="BH42">
        <v>10</v>
      </c>
      <c r="BI42">
        <v>8460</v>
      </c>
      <c r="BJ42">
        <v>9</v>
      </c>
      <c r="BK42">
        <v>7614</v>
      </c>
      <c r="BL42">
        <v>8.0548806333579854</v>
      </c>
      <c r="BM42">
        <v>6814.429015820856</v>
      </c>
      <c r="BN42">
        <v>6</v>
      </c>
      <c r="BO42">
        <v>5076</v>
      </c>
      <c r="BP42">
        <v>11</v>
      </c>
      <c r="BQ42">
        <v>9306</v>
      </c>
      <c r="BR42">
        <v>9</v>
      </c>
      <c r="BS42">
        <v>7614</v>
      </c>
      <c r="BT42">
        <v>14</v>
      </c>
      <c r="BU42">
        <v>11844</v>
      </c>
      <c r="BV42">
        <v>14</v>
      </c>
      <c r="BW42">
        <v>11844</v>
      </c>
      <c r="BX42">
        <v>17</v>
      </c>
      <c r="BY42">
        <v>14382</v>
      </c>
      <c r="BZ42">
        <v>12</v>
      </c>
      <c r="CA42">
        <v>10152</v>
      </c>
      <c r="CB42">
        <v>15</v>
      </c>
      <c r="CC42">
        <v>12690</v>
      </c>
      <c r="CD42">
        <v>15</v>
      </c>
      <c r="CE42">
        <v>12690</v>
      </c>
      <c r="CF42">
        <v>55</v>
      </c>
      <c r="CG42">
        <v>46530</v>
      </c>
      <c r="CH42">
        <v>50</v>
      </c>
      <c r="CI42">
        <v>42300</v>
      </c>
      <c r="CJ42">
        <v>63.091712155753264</v>
      </c>
      <c r="CK42">
        <v>53375.588483767264</v>
      </c>
      <c r="CL42">
        <v>51.370061480857217</v>
      </c>
      <c r="CM42">
        <v>43459.072012805205</v>
      </c>
      <c r="CN42">
        <v>9.5552724112616119</v>
      </c>
      <c r="CO42">
        <v>8083.7604599273236</v>
      </c>
      <c r="CP42">
        <v>10.634380992042988</v>
      </c>
      <c r="CQ42">
        <v>8996.6863192683686</v>
      </c>
      <c r="CR42">
        <v>9.3029195894131096</v>
      </c>
      <c r="CS42">
        <v>7870.2699726434903</v>
      </c>
      <c r="CT42">
        <v>10.611971492008049</v>
      </c>
      <c r="CU42">
        <v>8977.7278822388089</v>
      </c>
    </row>
    <row r="43" spans="2:99" x14ac:dyDescent="0.2">
      <c r="C43" s="105" t="s">
        <v>209</v>
      </c>
      <c r="D43">
        <v>23</v>
      </c>
      <c r="E43">
        <v>23515.200000000001</v>
      </c>
      <c r="F43">
        <v>22</v>
      </c>
      <c r="G43">
        <v>22492.799999999999</v>
      </c>
      <c r="H43">
        <v>15</v>
      </c>
      <c r="I43">
        <v>15336</v>
      </c>
      <c r="J43">
        <v>16</v>
      </c>
      <c r="K43">
        <v>16358.4</v>
      </c>
      <c r="L43">
        <v>4</v>
      </c>
      <c r="M43">
        <v>4089.6</v>
      </c>
      <c r="N43">
        <v>8</v>
      </c>
      <c r="O43">
        <v>8179.2</v>
      </c>
      <c r="P43">
        <v>5</v>
      </c>
      <c r="Q43">
        <v>5112</v>
      </c>
      <c r="R43">
        <v>4</v>
      </c>
      <c r="S43">
        <v>4089.6</v>
      </c>
      <c r="T43">
        <v>9</v>
      </c>
      <c r="U43">
        <v>9201.6</v>
      </c>
      <c r="V43">
        <v>10</v>
      </c>
      <c r="W43">
        <v>10224</v>
      </c>
      <c r="X43">
        <v>10</v>
      </c>
      <c r="Y43">
        <v>10224</v>
      </c>
      <c r="Z43">
        <v>8</v>
      </c>
      <c r="AA43">
        <v>8179.2</v>
      </c>
      <c r="AB43">
        <v>19</v>
      </c>
      <c r="AC43">
        <v>19425.599999999999</v>
      </c>
      <c r="AD43">
        <v>21</v>
      </c>
      <c r="AE43">
        <v>21470.399999999998</v>
      </c>
      <c r="AF43">
        <v>16</v>
      </c>
      <c r="AG43">
        <v>16358.4</v>
      </c>
      <c r="AH43">
        <v>28</v>
      </c>
      <c r="AI43">
        <v>28627.200000000001</v>
      </c>
      <c r="AJ43">
        <v>24</v>
      </c>
      <c r="AK43">
        <v>24537.599999999999</v>
      </c>
      <c r="AL43">
        <v>20</v>
      </c>
      <c r="AM43">
        <v>20448</v>
      </c>
      <c r="AN43">
        <v>17</v>
      </c>
      <c r="AO43">
        <v>17380.8</v>
      </c>
      <c r="AP43">
        <v>19</v>
      </c>
      <c r="AQ43">
        <v>19425.599999999999</v>
      </c>
      <c r="AR43">
        <v>84</v>
      </c>
      <c r="AS43">
        <v>85881.599999999991</v>
      </c>
      <c r="AT43">
        <v>78</v>
      </c>
      <c r="AU43">
        <v>79747.199999999997</v>
      </c>
      <c r="AV43">
        <v>60</v>
      </c>
      <c r="AW43">
        <v>61344</v>
      </c>
      <c r="AX43">
        <v>65</v>
      </c>
      <c r="AY43">
        <v>66456</v>
      </c>
      <c r="AZ43">
        <v>113</v>
      </c>
      <c r="BA43">
        <v>115531.2</v>
      </c>
      <c r="BB43">
        <v>95</v>
      </c>
      <c r="BC43">
        <v>97128</v>
      </c>
      <c r="BD43">
        <v>72.05872356243809</v>
      </c>
      <c r="BE43">
        <v>73672.838970236699</v>
      </c>
      <c r="BF43">
        <v>70</v>
      </c>
      <c r="BG43">
        <v>71568</v>
      </c>
      <c r="BH43">
        <v>9</v>
      </c>
      <c r="BI43">
        <v>9201.6</v>
      </c>
      <c r="BJ43">
        <v>9.3305125428048168</v>
      </c>
      <c r="BK43">
        <v>9539.5160237636446</v>
      </c>
      <c r="BL43">
        <v>6.0498914848708951</v>
      </c>
      <c r="BM43">
        <v>6185.4090541320029</v>
      </c>
      <c r="BN43">
        <v>6</v>
      </c>
      <c r="BO43">
        <v>6134.4</v>
      </c>
      <c r="BP43">
        <v>9</v>
      </c>
      <c r="BQ43">
        <v>9201.6</v>
      </c>
      <c r="BR43">
        <v>9</v>
      </c>
      <c r="BS43">
        <v>9201.6</v>
      </c>
      <c r="BT43">
        <v>13</v>
      </c>
      <c r="BU43">
        <v>13291.199999999999</v>
      </c>
      <c r="BV43">
        <v>13</v>
      </c>
      <c r="BW43">
        <v>13291.199999999999</v>
      </c>
      <c r="BX43">
        <v>15</v>
      </c>
      <c r="BY43">
        <v>15336</v>
      </c>
      <c r="BZ43">
        <v>12</v>
      </c>
      <c r="CA43">
        <v>12268.8</v>
      </c>
      <c r="CB43">
        <v>15</v>
      </c>
      <c r="CC43">
        <v>15336</v>
      </c>
      <c r="CD43">
        <v>14</v>
      </c>
      <c r="CE43">
        <v>14313.6</v>
      </c>
      <c r="CF43">
        <v>55</v>
      </c>
      <c r="CG43">
        <v>56232</v>
      </c>
      <c r="CH43">
        <v>51</v>
      </c>
      <c r="CI43">
        <v>52142.400000000001</v>
      </c>
      <c r="CJ43">
        <v>59.091712155753264</v>
      </c>
      <c r="CK43">
        <v>60415.366508042134</v>
      </c>
      <c r="CL43">
        <v>49.400899937595319</v>
      </c>
      <c r="CM43">
        <v>50507.480096197454</v>
      </c>
      <c r="CN43">
        <v>10.79720367523564</v>
      </c>
      <c r="CO43">
        <v>11039.061037560918</v>
      </c>
      <c r="CP43">
        <v>11.701090420289642</v>
      </c>
      <c r="CQ43">
        <v>11963.194845704129</v>
      </c>
      <c r="CR43">
        <v>9.3029195894131096</v>
      </c>
      <c r="CS43">
        <v>9511.304988215963</v>
      </c>
      <c r="CT43">
        <v>10.474499308218151</v>
      </c>
      <c r="CU43">
        <v>10709.128092722238</v>
      </c>
    </row>
    <row r="44" spans="2:99" x14ac:dyDescent="0.2">
      <c r="C44" s="105" t="s">
        <v>210</v>
      </c>
      <c r="D44">
        <v>21</v>
      </c>
      <c r="E44">
        <v>21470.399999999998</v>
      </c>
      <c r="F44">
        <v>23</v>
      </c>
      <c r="G44">
        <v>23515.200000000001</v>
      </c>
      <c r="H44">
        <v>15</v>
      </c>
      <c r="I44">
        <v>15336</v>
      </c>
      <c r="J44">
        <v>14</v>
      </c>
      <c r="K44">
        <v>14313.6</v>
      </c>
      <c r="L44">
        <v>4</v>
      </c>
      <c r="M44">
        <v>4089.6</v>
      </c>
      <c r="N44">
        <v>8</v>
      </c>
      <c r="O44">
        <v>8179.2</v>
      </c>
      <c r="P44">
        <v>4</v>
      </c>
      <c r="Q44">
        <v>4089.6</v>
      </c>
      <c r="R44">
        <v>4</v>
      </c>
      <c r="S44">
        <v>4089.6</v>
      </c>
      <c r="T44">
        <v>9</v>
      </c>
      <c r="U44">
        <v>9201.6</v>
      </c>
      <c r="V44">
        <v>10</v>
      </c>
      <c r="W44">
        <v>10224</v>
      </c>
      <c r="X44">
        <v>10</v>
      </c>
      <c r="Y44">
        <v>10224</v>
      </c>
      <c r="Z44">
        <v>9</v>
      </c>
      <c r="AA44">
        <v>9201.6</v>
      </c>
      <c r="AB44">
        <v>21</v>
      </c>
      <c r="AC44">
        <v>21470.399999999998</v>
      </c>
      <c r="AD44">
        <v>22</v>
      </c>
      <c r="AE44">
        <v>22492.799999999999</v>
      </c>
      <c r="AF44">
        <v>17</v>
      </c>
      <c r="AG44">
        <v>17380.8</v>
      </c>
      <c r="AH44">
        <v>26</v>
      </c>
      <c r="AI44">
        <v>26582.399999999998</v>
      </c>
      <c r="AJ44">
        <v>22</v>
      </c>
      <c r="AK44">
        <v>22492.799999999999</v>
      </c>
      <c r="AL44">
        <v>19</v>
      </c>
      <c r="AM44">
        <v>19425.599999999999</v>
      </c>
      <c r="AN44">
        <v>17</v>
      </c>
      <c r="AO44">
        <v>17380.8</v>
      </c>
      <c r="AP44">
        <v>22</v>
      </c>
      <c r="AQ44">
        <v>22492.799999999999</v>
      </c>
      <c r="AR44">
        <v>87</v>
      </c>
      <c r="AS44">
        <v>88948.800000000003</v>
      </c>
      <c r="AT44">
        <v>80</v>
      </c>
      <c r="AU44">
        <v>81792</v>
      </c>
      <c r="AV44">
        <v>55</v>
      </c>
      <c r="AW44">
        <v>56232</v>
      </c>
      <c r="AX44">
        <v>58</v>
      </c>
      <c r="AY44">
        <v>59299.199999999997</v>
      </c>
      <c r="AZ44">
        <v>94</v>
      </c>
      <c r="BA44">
        <v>96105.599999999991</v>
      </c>
      <c r="BB44">
        <v>93</v>
      </c>
      <c r="BC44">
        <v>95083.199999999997</v>
      </c>
      <c r="BD44">
        <v>63.058723562438097</v>
      </c>
      <c r="BE44">
        <v>64471.238970236707</v>
      </c>
      <c r="BF44">
        <v>74</v>
      </c>
      <c r="BG44">
        <v>75657.599999999991</v>
      </c>
      <c r="BH44">
        <v>9</v>
      </c>
      <c r="BI44">
        <v>9201.6</v>
      </c>
      <c r="BJ44">
        <v>9</v>
      </c>
      <c r="BK44">
        <v>9201.6</v>
      </c>
      <c r="BL44">
        <v>8.0449023363838066</v>
      </c>
      <c r="BM44">
        <v>8225.1081487188039</v>
      </c>
      <c r="BN44">
        <v>6</v>
      </c>
      <c r="BO44">
        <v>6134.4</v>
      </c>
      <c r="BP44">
        <v>11</v>
      </c>
      <c r="BQ44">
        <v>11246.4</v>
      </c>
      <c r="BR44">
        <v>9</v>
      </c>
      <c r="BS44">
        <v>9201.6</v>
      </c>
      <c r="BT44">
        <v>12</v>
      </c>
      <c r="BU44">
        <v>12268.8</v>
      </c>
      <c r="BV44">
        <v>14</v>
      </c>
      <c r="BW44">
        <v>14313.6</v>
      </c>
      <c r="BX44">
        <v>15</v>
      </c>
      <c r="BY44">
        <v>15336</v>
      </c>
      <c r="BZ44">
        <v>14</v>
      </c>
      <c r="CA44">
        <v>14313.6</v>
      </c>
      <c r="CB44">
        <v>15</v>
      </c>
      <c r="CC44">
        <v>15336</v>
      </c>
      <c r="CD44">
        <v>16</v>
      </c>
      <c r="CE44">
        <v>16358.4</v>
      </c>
      <c r="CF44">
        <v>50</v>
      </c>
      <c r="CG44">
        <v>51120</v>
      </c>
      <c r="CH44">
        <v>54</v>
      </c>
      <c r="CI44">
        <v>55209.599999999999</v>
      </c>
      <c r="CJ44">
        <v>66.103176175222416</v>
      </c>
      <c r="CK44">
        <v>67583.887321547401</v>
      </c>
      <c r="CL44">
        <v>50.400899937595319</v>
      </c>
      <c r="CM44">
        <v>51529.880096197456</v>
      </c>
      <c r="CN44">
        <v>9.8663268935139339</v>
      </c>
      <c r="CO44">
        <v>10087.332615928646</v>
      </c>
      <c r="CP44">
        <v>10.467607421426358</v>
      </c>
      <c r="CQ44">
        <v>10702.081827666309</v>
      </c>
      <c r="CR44">
        <v>9.2856098985895041</v>
      </c>
      <c r="CS44">
        <v>9493.6075603179088</v>
      </c>
      <c r="CT44">
        <v>11.657795553271347</v>
      </c>
      <c r="CU44">
        <v>11918.930173664625</v>
      </c>
    </row>
    <row r="45" spans="2:99" x14ac:dyDescent="0.2">
      <c r="C45" s="105" t="s">
        <v>211</v>
      </c>
      <c r="D45">
        <v>22</v>
      </c>
      <c r="E45">
        <v>27482.400000000001</v>
      </c>
      <c r="F45">
        <v>21</v>
      </c>
      <c r="G45">
        <v>26233.200000000001</v>
      </c>
      <c r="H45">
        <v>13</v>
      </c>
      <c r="I45">
        <v>16239.6</v>
      </c>
      <c r="J45">
        <v>13</v>
      </c>
      <c r="K45">
        <v>16239.6</v>
      </c>
      <c r="L45">
        <v>4</v>
      </c>
      <c r="M45">
        <v>4996.8</v>
      </c>
      <c r="N45">
        <v>8</v>
      </c>
      <c r="O45">
        <v>9993.6</v>
      </c>
      <c r="P45">
        <v>4</v>
      </c>
      <c r="Q45">
        <v>4996.8</v>
      </c>
      <c r="R45">
        <v>4</v>
      </c>
      <c r="S45">
        <v>4996.8</v>
      </c>
      <c r="T45">
        <v>8</v>
      </c>
      <c r="U45">
        <v>9993.6</v>
      </c>
      <c r="V45">
        <v>11</v>
      </c>
      <c r="W45">
        <v>13741.2</v>
      </c>
      <c r="X45">
        <v>10</v>
      </c>
      <c r="Y45">
        <v>12492</v>
      </c>
      <c r="Z45">
        <v>7</v>
      </c>
      <c r="AA45">
        <v>8744.4</v>
      </c>
      <c r="AB45">
        <v>17</v>
      </c>
      <c r="AC45">
        <v>21236.400000000001</v>
      </c>
      <c r="AD45">
        <v>20</v>
      </c>
      <c r="AE45">
        <v>24984</v>
      </c>
      <c r="AF45">
        <v>15</v>
      </c>
      <c r="AG45">
        <v>18738</v>
      </c>
      <c r="AH45">
        <v>26</v>
      </c>
      <c r="AI45">
        <v>32479.200000000001</v>
      </c>
      <c r="AJ45">
        <v>20</v>
      </c>
      <c r="AK45">
        <v>24984</v>
      </c>
      <c r="AL45">
        <v>18</v>
      </c>
      <c r="AM45">
        <v>22485.600000000002</v>
      </c>
      <c r="AN45">
        <v>16</v>
      </c>
      <c r="AO45">
        <v>19987.2</v>
      </c>
      <c r="AP45">
        <v>20</v>
      </c>
      <c r="AQ45">
        <v>24984</v>
      </c>
      <c r="AR45">
        <v>81</v>
      </c>
      <c r="AS45">
        <v>101185.2</v>
      </c>
      <c r="AT45">
        <v>84</v>
      </c>
      <c r="AU45">
        <v>104932.8</v>
      </c>
      <c r="AV45">
        <v>59</v>
      </c>
      <c r="AW45">
        <v>73702.8</v>
      </c>
      <c r="AX45">
        <v>60</v>
      </c>
      <c r="AY45">
        <v>74952</v>
      </c>
      <c r="AZ45">
        <v>96</v>
      </c>
      <c r="BA45">
        <v>119923.20000000001</v>
      </c>
      <c r="BB45">
        <v>83</v>
      </c>
      <c r="BC45">
        <v>103683.6</v>
      </c>
      <c r="BD45">
        <v>65.064062068114282</v>
      </c>
      <c r="BE45">
        <v>81278.026335488365</v>
      </c>
      <c r="BF45">
        <v>76</v>
      </c>
      <c r="BG45">
        <v>94939.199999999997</v>
      </c>
      <c r="BH45">
        <v>8</v>
      </c>
      <c r="BI45">
        <v>9993.6</v>
      </c>
      <c r="BJ45">
        <v>10.330512542804817</v>
      </c>
      <c r="BK45">
        <v>12904.876268471777</v>
      </c>
      <c r="BL45">
        <v>7.0548806333579854</v>
      </c>
      <c r="BM45">
        <v>8812.9568871907959</v>
      </c>
      <c r="BN45">
        <v>6</v>
      </c>
      <c r="BO45">
        <v>7495.2000000000007</v>
      </c>
      <c r="BP45">
        <v>11</v>
      </c>
      <c r="BQ45">
        <v>13741.2</v>
      </c>
      <c r="BR45">
        <v>10</v>
      </c>
      <c r="BS45">
        <v>12492</v>
      </c>
      <c r="BT45">
        <v>13</v>
      </c>
      <c r="BU45">
        <v>16239.6</v>
      </c>
      <c r="BV45">
        <v>12</v>
      </c>
      <c r="BW45">
        <v>14990.400000000001</v>
      </c>
      <c r="BX45">
        <v>15</v>
      </c>
      <c r="BY45">
        <v>18738</v>
      </c>
      <c r="BZ45">
        <v>13</v>
      </c>
      <c r="CA45">
        <v>16239.6</v>
      </c>
      <c r="CB45">
        <v>17</v>
      </c>
      <c r="CC45">
        <v>21236.400000000001</v>
      </c>
      <c r="CD45">
        <v>14</v>
      </c>
      <c r="CE45">
        <v>17488.8</v>
      </c>
      <c r="CF45">
        <v>53</v>
      </c>
      <c r="CG45">
        <v>66207.600000000006</v>
      </c>
      <c r="CH45">
        <v>54</v>
      </c>
      <c r="CI45">
        <v>67456.800000000003</v>
      </c>
      <c r="CJ45">
        <v>59.103176175222416</v>
      </c>
      <c r="CK45">
        <v>73831.687678087837</v>
      </c>
      <c r="CL45">
        <v>53.339223024119114</v>
      </c>
      <c r="CM45">
        <v>66631.357401729605</v>
      </c>
      <c r="CN45">
        <v>8.4861491929833175</v>
      </c>
      <c r="CO45">
        <v>10600.897571874761</v>
      </c>
      <c r="CP45">
        <v>11.601026277919662</v>
      </c>
      <c r="CQ45">
        <v>14492.002026377242</v>
      </c>
      <c r="CR45">
        <v>8.2856098985895041</v>
      </c>
      <c r="CS45">
        <v>10350.38388531801</v>
      </c>
      <c r="CT45">
        <v>10.153730879375058</v>
      </c>
      <c r="CU45">
        <v>12684.040614515323</v>
      </c>
    </row>
    <row r="46" spans="2:99" x14ac:dyDescent="0.2">
      <c r="C46" s="105" t="s">
        <v>212</v>
      </c>
      <c r="D46">
        <v>20</v>
      </c>
      <c r="E46">
        <v>24240</v>
      </c>
      <c r="F46">
        <v>23</v>
      </c>
      <c r="G46">
        <v>27876</v>
      </c>
      <c r="H46">
        <v>16</v>
      </c>
      <c r="I46">
        <v>19392</v>
      </c>
      <c r="J46">
        <v>16</v>
      </c>
      <c r="K46">
        <v>19392</v>
      </c>
      <c r="L46">
        <v>4</v>
      </c>
      <c r="M46">
        <v>4848</v>
      </c>
      <c r="N46">
        <v>7</v>
      </c>
      <c r="O46">
        <v>8484</v>
      </c>
      <c r="P46">
        <v>5</v>
      </c>
      <c r="Q46">
        <v>6060</v>
      </c>
      <c r="R46">
        <v>5</v>
      </c>
      <c r="S46">
        <v>6060</v>
      </c>
      <c r="T46">
        <v>9</v>
      </c>
      <c r="U46">
        <v>10908</v>
      </c>
      <c r="V46">
        <v>10</v>
      </c>
      <c r="W46">
        <v>12120</v>
      </c>
      <c r="X46">
        <v>10</v>
      </c>
      <c r="Y46">
        <v>12120</v>
      </c>
      <c r="Z46">
        <v>7</v>
      </c>
      <c r="AA46">
        <v>8484</v>
      </c>
      <c r="AB46">
        <v>20</v>
      </c>
      <c r="AC46">
        <v>24240</v>
      </c>
      <c r="AD46">
        <v>21</v>
      </c>
      <c r="AE46">
        <v>25452</v>
      </c>
      <c r="AF46">
        <v>14</v>
      </c>
      <c r="AG46">
        <v>16968</v>
      </c>
      <c r="AH46">
        <v>29</v>
      </c>
      <c r="AI46">
        <v>35148</v>
      </c>
      <c r="AJ46">
        <v>23</v>
      </c>
      <c r="AK46">
        <v>27876</v>
      </c>
      <c r="AL46">
        <v>20</v>
      </c>
      <c r="AM46">
        <v>24240</v>
      </c>
      <c r="AN46">
        <v>17</v>
      </c>
      <c r="AO46">
        <v>20604</v>
      </c>
      <c r="AP46">
        <v>21</v>
      </c>
      <c r="AQ46">
        <v>25452</v>
      </c>
      <c r="AR46">
        <v>79</v>
      </c>
      <c r="AS46">
        <v>95748</v>
      </c>
      <c r="AT46">
        <v>73</v>
      </c>
      <c r="AU46">
        <v>88476</v>
      </c>
      <c r="AV46">
        <v>53</v>
      </c>
      <c r="AW46">
        <v>64236</v>
      </c>
      <c r="AX46">
        <v>60</v>
      </c>
      <c r="AY46">
        <v>72720</v>
      </c>
      <c r="AZ46">
        <v>94</v>
      </c>
      <c r="BA46">
        <v>113928</v>
      </c>
      <c r="BB46">
        <v>90</v>
      </c>
      <c r="BC46">
        <v>109080</v>
      </c>
      <c r="BD46">
        <v>70.05872356243809</v>
      </c>
      <c r="BE46">
        <v>84911.172957674964</v>
      </c>
      <c r="BF46">
        <v>67</v>
      </c>
      <c r="BG46">
        <v>81204</v>
      </c>
      <c r="BH46">
        <v>9</v>
      </c>
      <c r="BI46">
        <v>10908</v>
      </c>
      <c r="BJ46">
        <v>9.3305125428048168</v>
      </c>
      <c r="BK46">
        <v>11308.581201879439</v>
      </c>
      <c r="BL46">
        <v>7.0498914848708951</v>
      </c>
      <c r="BM46">
        <v>8544.4684796635247</v>
      </c>
      <c r="BN46">
        <v>6</v>
      </c>
      <c r="BO46">
        <v>7272</v>
      </c>
      <c r="BP46">
        <v>9</v>
      </c>
      <c r="BQ46">
        <v>10908</v>
      </c>
      <c r="BR46">
        <v>10</v>
      </c>
      <c r="BS46">
        <v>12120</v>
      </c>
      <c r="BT46">
        <v>11</v>
      </c>
      <c r="BU46">
        <v>13332</v>
      </c>
      <c r="BV46">
        <v>12</v>
      </c>
      <c r="BW46">
        <v>14544</v>
      </c>
      <c r="BX46">
        <v>16</v>
      </c>
      <c r="BY46">
        <v>19392</v>
      </c>
      <c r="BZ46">
        <v>13</v>
      </c>
      <c r="CA46">
        <v>15756</v>
      </c>
      <c r="CB46">
        <v>14</v>
      </c>
      <c r="CC46">
        <v>16968</v>
      </c>
      <c r="CD46">
        <v>16</v>
      </c>
      <c r="CE46">
        <v>19392</v>
      </c>
      <c r="CF46">
        <v>52</v>
      </c>
      <c r="CG46">
        <v>63024</v>
      </c>
      <c r="CH46">
        <v>47</v>
      </c>
      <c r="CI46">
        <v>56964</v>
      </c>
      <c r="CJ46">
        <v>60.091712155753264</v>
      </c>
      <c r="CK46">
        <v>72831.155132772954</v>
      </c>
      <c r="CL46">
        <v>57.400899937595319</v>
      </c>
      <c r="CM46">
        <v>69569.890724365527</v>
      </c>
      <c r="CN46">
        <v>8.6589572386790525</v>
      </c>
      <c r="CO46">
        <v>10494.656173279012</v>
      </c>
      <c r="CP46">
        <v>11.467607421426358</v>
      </c>
      <c r="CQ46">
        <v>13898.740194768745</v>
      </c>
      <c r="CR46">
        <v>8.3115744348249123</v>
      </c>
      <c r="CS46">
        <v>10073.628215007793</v>
      </c>
      <c r="CT46">
        <v>10.428675246954851</v>
      </c>
      <c r="CU46">
        <v>12639.55439930928</v>
      </c>
    </row>
    <row r="47" spans="2:99" x14ac:dyDescent="0.2">
      <c r="C47" s="105" t="s">
        <v>213</v>
      </c>
      <c r="D47">
        <v>22</v>
      </c>
      <c r="E47">
        <v>33607.199999999997</v>
      </c>
      <c r="F47">
        <v>22</v>
      </c>
      <c r="G47">
        <v>33607.199999999997</v>
      </c>
      <c r="H47">
        <v>14</v>
      </c>
      <c r="I47">
        <v>21386.399999999998</v>
      </c>
      <c r="J47">
        <v>14</v>
      </c>
      <c r="K47">
        <v>21386.399999999998</v>
      </c>
      <c r="L47">
        <v>4</v>
      </c>
      <c r="M47">
        <v>6110.4</v>
      </c>
      <c r="N47">
        <v>8</v>
      </c>
      <c r="O47">
        <v>12220.8</v>
      </c>
      <c r="P47">
        <v>5</v>
      </c>
      <c r="Q47">
        <v>7638</v>
      </c>
      <c r="R47">
        <v>4</v>
      </c>
      <c r="S47">
        <v>6110.4</v>
      </c>
      <c r="T47">
        <v>8</v>
      </c>
      <c r="U47">
        <v>12220.8</v>
      </c>
      <c r="V47">
        <v>11</v>
      </c>
      <c r="W47">
        <v>16803.599999999999</v>
      </c>
      <c r="X47">
        <v>10</v>
      </c>
      <c r="Y47">
        <v>15276</v>
      </c>
      <c r="Z47">
        <v>8</v>
      </c>
      <c r="AA47">
        <v>12220.8</v>
      </c>
      <c r="AB47">
        <v>19</v>
      </c>
      <c r="AC47">
        <v>29024.399999999998</v>
      </c>
      <c r="AD47">
        <v>21</v>
      </c>
      <c r="AE47">
        <v>32079.599999999999</v>
      </c>
      <c r="AF47">
        <v>15</v>
      </c>
      <c r="AG47">
        <v>22914</v>
      </c>
      <c r="AH47">
        <v>24</v>
      </c>
      <c r="AI47">
        <v>36662.399999999994</v>
      </c>
      <c r="AJ47">
        <v>19</v>
      </c>
      <c r="AK47">
        <v>29024.399999999998</v>
      </c>
      <c r="AL47">
        <v>18</v>
      </c>
      <c r="AM47">
        <v>27496.799999999999</v>
      </c>
      <c r="AN47">
        <v>17</v>
      </c>
      <c r="AO47">
        <v>25969.199999999997</v>
      </c>
      <c r="AP47">
        <v>19</v>
      </c>
      <c r="AQ47">
        <v>29024.399999999998</v>
      </c>
      <c r="AR47">
        <v>76</v>
      </c>
      <c r="AS47">
        <v>116097.59999999999</v>
      </c>
      <c r="AT47">
        <v>76</v>
      </c>
      <c r="AU47">
        <v>116097.59999999999</v>
      </c>
      <c r="AV47">
        <v>48</v>
      </c>
      <c r="AW47">
        <v>73324.799999999988</v>
      </c>
      <c r="AX47">
        <v>55</v>
      </c>
      <c r="AY47">
        <v>84018</v>
      </c>
      <c r="AZ47">
        <v>87</v>
      </c>
      <c r="BA47">
        <v>132901.19999999998</v>
      </c>
      <c r="BB47">
        <v>77</v>
      </c>
      <c r="BC47">
        <v>117625.2</v>
      </c>
      <c r="BD47">
        <v>57.064062068114282</v>
      </c>
      <c r="BE47">
        <v>87171.061215251379</v>
      </c>
      <c r="BF47">
        <v>64</v>
      </c>
      <c r="BG47">
        <v>97766.399999999994</v>
      </c>
      <c r="BH47">
        <v>9</v>
      </c>
      <c r="BI47">
        <v>13748.4</v>
      </c>
      <c r="BJ47">
        <v>9.3635637970852983</v>
      </c>
      <c r="BK47">
        <v>14303.7800564275</v>
      </c>
      <c r="BL47">
        <v>7.0498914848708951</v>
      </c>
      <c r="BM47">
        <v>10769.414232288778</v>
      </c>
      <c r="BN47">
        <v>7</v>
      </c>
      <c r="BO47">
        <v>10693.199999999999</v>
      </c>
      <c r="BP47">
        <v>10</v>
      </c>
      <c r="BQ47">
        <v>15276</v>
      </c>
      <c r="BR47">
        <v>9</v>
      </c>
      <c r="BS47">
        <v>13748.4</v>
      </c>
      <c r="BT47">
        <v>11</v>
      </c>
      <c r="BU47">
        <v>16803.599999999999</v>
      </c>
      <c r="BV47">
        <v>12</v>
      </c>
      <c r="BW47">
        <v>18331.199999999997</v>
      </c>
      <c r="BX47">
        <v>15</v>
      </c>
      <c r="BY47">
        <v>22914</v>
      </c>
      <c r="BZ47">
        <v>12</v>
      </c>
      <c r="CA47">
        <v>18331.199999999997</v>
      </c>
      <c r="CB47">
        <v>16</v>
      </c>
      <c r="CC47">
        <v>24441.599999999999</v>
      </c>
      <c r="CD47">
        <v>16</v>
      </c>
      <c r="CE47">
        <v>24441.599999999999</v>
      </c>
      <c r="CF47">
        <v>44</v>
      </c>
      <c r="CG47">
        <v>67214.399999999994</v>
      </c>
      <c r="CH47">
        <v>51</v>
      </c>
      <c r="CI47">
        <v>77907.599999999991</v>
      </c>
      <c r="CJ47">
        <v>52.091712155753264</v>
      </c>
      <c r="CK47">
        <v>79575.29948912868</v>
      </c>
      <c r="CL47">
        <v>46.339223024119114</v>
      </c>
      <c r="CM47">
        <v>70787.797091644359</v>
      </c>
      <c r="CN47">
        <v>8.6935188478181988</v>
      </c>
      <c r="CO47">
        <v>13280.219391927079</v>
      </c>
      <c r="CP47">
        <v>11.434252707303031</v>
      </c>
      <c r="CQ47">
        <v>17466.964435676109</v>
      </c>
      <c r="CR47">
        <v>8.2942647440013069</v>
      </c>
      <c r="CS47">
        <v>12670.318822936395</v>
      </c>
      <c r="CT47">
        <v>10.291203063164954</v>
      </c>
      <c r="CU47">
        <v>15720.841799290782</v>
      </c>
    </row>
    <row r="48" spans="2:99" x14ac:dyDescent="0.2">
      <c r="C48" s="105" t="s">
        <v>214</v>
      </c>
      <c r="D48">
        <v>24</v>
      </c>
      <c r="E48">
        <v>20822.400000000001</v>
      </c>
      <c r="F48">
        <v>24</v>
      </c>
      <c r="G48">
        <v>20822.400000000001</v>
      </c>
      <c r="H48">
        <v>16</v>
      </c>
      <c r="I48">
        <v>13881.6</v>
      </c>
      <c r="J48">
        <v>16</v>
      </c>
      <c r="K48">
        <v>13881.6</v>
      </c>
      <c r="L48">
        <v>4</v>
      </c>
      <c r="M48">
        <v>3470.4</v>
      </c>
      <c r="N48">
        <v>7</v>
      </c>
      <c r="O48">
        <v>6073.2</v>
      </c>
      <c r="P48">
        <v>5</v>
      </c>
      <c r="Q48">
        <v>4338</v>
      </c>
      <c r="R48">
        <v>4</v>
      </c>
      <c r="S48">
        <v>3470.4</v>
      </c>
      <c r="T48">
        <v>9</v>
      </c>
      <c r="U48">
        <v>7808.4000000000005</v>
      </c>
      <c r="V48">
        <v>10</v>
      </c>
      <c r="W48">
        <v>8676</v>
      </c>
      <c r="X48">
        <v>10</v>
      </c>
      <c r="Y48">
        <v>8676</v>
      </c>
      <c r="Z48">
        <v>7</v>
      </c>
      <c r="AA48">
        <v>6073.2</v>
      </c>
      <c r="AB48">
        <v>20</v>
      </c>
      <c r="AC48">
        <v>17352</v>
      </c>
      <c r="AD48">
        <v>21</v>
      </c>
      <c r="AE48">
        <v>18219.600000000002</v>
      </c>
      <c r="AF48">
        <v>16</v>
      </c>
      <c r="AG48">
        <v>13881.6</v>
      </c>
      <c r="AH48">
        <v>27</v>
      </c>
      <c r="AI48">
        <v>23425.200000000001</v>
      </c>
      <c r="AJ48">
        <v>22</v>
      </c>
      <c r="AK48">
        <v>19087.2</v>
      </c>
      <c r="AL48">
        <v>19</v>
      </c>
      <c r="AM48">
        <v>16484.400000000001</v>
      </c>
      <c r="AN48">
        <v>19</v>
      </c>
      <c r="AO48">
        <v>16484.400000000001</v>
      </c>
      <c r="AP48">
        <v>21</v>
      </c>
      <c r="AQ48">
        <v>18219.600000000002</v>
      </c>
      <c r="AR48">
        <v>83</v>
      </c>
      <c r="AS48">
        <v>72010.8</v>
      </c>
      <c r="AT48">
        <v>92</v>
      </c>
      <c r="AU48">
        <v>79819.199999999997</v>
      </c>
      <c r="AV48">
        <v>59</v>
      </c>
      <c r="AW48">
        <v>51188.4</v>
      </c>
      <c r="AX48">
        <v>67</v>
      </c>
      <c r="AY48">
        <v>58129.200000000004</v>
      </c>
      <c r="AZ48">
        <v>110</v>
      </c>
      <c r="BA48">
        <v>95436</v>
      </c>
      <c r="BB48">
        <v>96</v>
      </c>
      <c r="BC48">
        <v>83289.600000000006</v>
      </c>
      <c r="BD48">
        <v>70.05872356243809</v>
      </c>
      <c r="BE48">
        <v>60782.948562771286</v>
      </c>
      <c r="BF48">
        <v>70</v>
      </c>
      <c r="BG48">
        <v>60732</v>
      </c>
      <c r="BH48">
        <v>9</v>
      </c>
      <c r="BI48">
        <v>7808.4000000000005</v>
      </c>
      <c r="BJ48">
        <v>9.3305125428048168</v>
      </c>
      <c r="BK48">
        <v>8095.1526821374591</v>
      </c>
      <c r="BL48">
        <v>7.0548806333579854</v>
      </c>
      <c r="BM48">
        <v>6120.8144375013881</v>
      </c>
      <c r="BN48">
        <v>7</v>
      </c>
      <c r="BO48">
        <v>6073.2</v>
      </c>
      <c r="BP48">
        <v>11</v>
      </c>
      <c r="BQ48">
        <v>9543.6</v>
      </c>
      <c r="BR48">
        <v>10</v>
      </c>
      <c r="BS48">
        <v>8676</v>
      </c>
      <c r="BT48">
        <v>13</v>
      </c>
      <c r="BU48">
        <v>11278.800000000001</v>
      </c>
      <c r="BV48">
        <v>14</v>
      </c>
      <c r="BW48">
        <v>12146.4</v>
      </c>
      <c r="BX48">
        <v>16</v>
      </c>
      <c r="BY48">
        <v>13881.6</v>
      </c>
      <c r="BZ48">
        <v>14</v>
      </c>
      <c r="CA48">
        <v>12146.4</v>
      </c>
      <c r="CB48">
        <v>15</v>
      </c>
      <c r="CC48">
        <v>13014</v>
      </c>
      <c r="CD48">
        <v>16</v>
      </c>
      <c r="CE48">
        <v>13881.6</v>
      </c>
      <c r="CF48">
        <v>50</v>
      </c>
      <c r="CG48">
        <v>43380</v>
      </c>
      <c r="CH48">
        <v>54</v>
      </c>
      <c r="CI48">
        <v>46850.400000000001</v>
      </c>
      <c r="CJ48">
        <v>67.103176175222416</v>
      </c>
      <c r="CK48">
        <v>58218.715649622973</v>
      </c>
      <c r="CL48">
        <v>51.370061480857217</v>
      </c>
      <c r="CM48">
        <v>44568.665340791726</v>
      </c>
      <c r="CN48">
        <v>9.7626420660964932</v>
      </c>
      <c r="CO48">
        <v>8470.0682565453171</v>
      </c>
      <c r="CP48">
        <v>10.667735706166315</v>
      </c>
      <c r="CQ48">
        <v>9255.3274986698962</v>
      </c>
      <c r="CR48">
        <v>10.337538971060322</v>
      </c>
      <c r="CS48">
        <v>8968.8488112919367</v>
      </c>
      <c r="CT48">
        <v>10.382851185691553</v>
      </c>
      <c r="CU48">
        <v>9008.1616887059918</v>
      </c>
    </row>
    <row r="49" spans="2:99" x14ac:dyDescent="0.2">
      <c r="B49" s="105" t="s">
        <v>129</v>
      </c>
      <c r="C49" s="105" t="s">
        <v>215</v>
      </c>
      <c r="D49">
        <v>11</v>
      </c>
      <c r="E49">
        <v>10837.199999999999</v>
      </c>
      <c r="F49">
        <v>11</v>
      </c>
      <c r="G49">
        <v>10837.199999999999</v>
      </c>
      <c r="H49">
        <v>7</v>
      </c>
      <c r="I49">
        <v>6896.4</v>
      </c>
      <c r="J49">
        <v>8</v>
      </c>
      <c r="K49">
        <v>7881.5999999999995</v>
      </c>
      <c r="L49">
        <v>12.182364166854351</v>
      </c>
      <c r="M49">
        <v>12002.065177184906</v>
      </c>
      <c r="N49">
        <v>17.592010417739104</v>
      </c>
      <c r="O49">
        <v>17331.648663556563</v>
      </c>
      <c r="P49">
        <v>10.538243737891451</v>
      </c>
      <c r="Q49">
        <v>10382.277730570657</v>
      </c>
      <c r="R49">
        <v>11.486738071801124</v>
      </c>
      <c r="S49">
        <v>11316.734348338467</v>
      </c>
      <c r="T49">
        <v>5.2867572283726174</v>
      </c>
      <c r="U49">
        <v>5208.5132213927027</v>
      </c>
      <c r="V49">
        <v>5.4812233745610133</v>
      </c>
      <c r="W49">
        <v>5400.10126861751</v>
      </c>
      <c r="X49">
        <v>6.4137685440080681</v>
      </c>
      <c r="Y49">
        <v>6318.8447695567484</v>
      </c>
      <c r="Z49">
        <v>4.4708570135953192</v>
      </c>
      <c r="AA49">
        <v>4404.6883297941085</v>
      </c>
      <c r="AB49">
        <v>7.3280242789953265</v>
      </c>
      <c r="AC49">
        <v>7219.5695196661954</v>
      </c>
      <c r="AD49">
        <v>10.374435544676201</v>
      </c>
      <c r="AE49">
        <v>10220.893898614993</v>
      </c>
      <c r="AF49">
        <v>8.2387139514327075</v>
      </c>
      <c r="AG49">
        <v>8116.7809849515024</v>
      </c>
      <c r="AH49">
        <v>7.2475083819766573</v>
      </c>
      <c r="AI49">
        <v>7140.2452579234023</v>
      </c>
      <c r="AJ49">
        <v>15.370380699833095</v>
      </c>
      <c r="AK49">
        <v>15142.899065475565</v>
      </c>
      <c r="AL49">
        <v>16.428905752898103</v>
      </c>
      <c r="AM49">
        <v>16185.75794775521</v>
      </c>
      <c r="AN49">
        <v>11.332695872039929</v>
      </c>
      <c r="AO49">
        <v>11164.971973133737</v>
      </c>
      <c r="AP49">
        <v>15.384180470072915</v>
      </c>
      <c r="AQ49">
        <v>15156.494599115835</v>
      </c>
      <c r="AR49">
        <v>39.647808831154059</v>
      </c>
      <c r="AS49">
        <v>39061.021260452973</v>
      </c>
      <c r="AT49">
        <v>50</v>
      </c>
      <c r="AU49">
        <v>49260</v>
      </c>
      <c r="AV49">
        <v>54</v>
      </c>
      <c r="AW49">
        <v>53200.799999999996</v>
      </c>
      <c r="AX49">
        <v>38</v>
      </c>
      <c r="AY49">
        <v>37437.599999999999</v>
      </c>
      <c r="AZ49">
        <v>18.563792059097871</v>
      </c>
      <c r="BA49">
        <v>18289.047936623221</v>
      </c>
      <c r="BB49">
        <v>23</v>
      </c>
      <c r="BC49">
        <v>22659.599999999999</v>
      </c>
      <c r="BD49">
        <v>13</v>
      </c>
      <c r="BE49">
        <v>12807.599999999999</v>
      </c>
      <c r="BF49">
        <v>21</v>
      </c>
      <c r="BG49">
        <v>20689.199999999997</v>
      </c>
      <c r="BH49">
        <v>26.939904318892324</v>
      </c>
      <c r="BI49">
        <v>26541.193734972716</v>
      </c>
      <c r="BJ49">
        <v>22.699144788082439</v>
      </c>
      <c r="BK49">
        <v>22363.197445218819</v>
      </c>
      <c r="BL49">
        <v>27.201886902958918</v>
      </c>
      <c r="BM49">
        <v>26799.298976795126</v>
      </c>
      <c r="BN49">
        <v>23.581413522781908</v>
      </c>
      <c r="BO49">
        <v>23232.408602644733</v>
      </c>
      <c r="BP49">
        <v>5</v>
      </c>
      <c r="BQ49">
        <v>4926</v>
      </c>
      <c r="BR49">
        <v>3.6962466911032781</v>
      </c>
      <c r="BS49">
        <v>3641.5422400749494</v>
      </c>
      <c r="BT49">
        <v>4.9441065283924983</v>
      </c>
      <c r="BU49">
        <v>4870.9337517722888</v>
      </c>
      <c r="BV49">
        <v>4.6199014989949037</v>
      </c>
      <c r="BW49">
        <v>4551.5269568097783</v>
      </c>
      <c r="BX49">
        <v>25</v>
      </c>
      <c r="BY49">
        <v>24630</v>
      </c>
      <c r="BZ49">
        <v>23.380338236288832</v>
      </c>
      <c r="CA49">
        <v>23034.309230391755</v>
      </c>
      <c r="CB49">
        <v>15</v>
      </c>
      <c r="CC49">
        <v>14777.999999999998</v>
      </c>
      <c r="CD49">
        <v>19.326867583173016</v>
      </c>
      <c r="CE49">
        <v>19040.829942942055</v>
      </c>
      <c r="CF49">
        <v>54.175739165431075</v>
      </c>
      <c r="CG49">
        <v>53373.938225782695</v>
      </c>
      <c r="CH49">
        <v>58.177743630414099</v>
      </c>
      <c r="CI49">
        <v>57316.713024683966</v>
      </c>
      <c r="CJ49">
        <v>46.155697559511303</v>
      </c>
      <c r="CK49">
        <v>45472.593235630535</v>
      </c>
      <c r="CL49">
        <v>36.164325743053077</v>
      </c>
      <c r="CM49">
        <v>35629.093722055892</v>
      </c>
      <c r="CN49">
        <v>39</v>
      </c>
      <c r="CO49">
        <v>38422.799999999996</v>
      </c>
      <c r="CP49">
        <v>67</v>
      </c>
      <c r="CQ49">
        <v>66008.399999999994</v>
      </c>
      <c r="CR49">
        <v>66.22540995415298</v>
      </c>
      <c r="CS49">
        <v>65245.273886831514</v>
      </c>
      <c r="CT49">
        <v>37.042516905610015</v>
      </c>
      <c r="CU49">
        <v>36494.287655406981</v>
      </c>
    </row>
    <row r="50" spans="2:99" x14ac:dyDescent="0.2">
      <c r="C50" s="105" t="s">
        <v>216</v>
      </c>
      <c r="D50">
        <v>12</v>
      </c>
      <c r="E50">
        <v>3384</v>
      </c>
      <c r="F50">
        <v>12</v>
      </c>
      <c r="G50">
        <v>3384</v>
      </c>
      <c r="H50">
        <v>8</v>
      </c>
      <c r="I50">
        <v>2256</v>
      </c>
      <c r="J50">
        <v>9</v>
      </c>
      <c r="K50">
        <v>2538</v>
      </c>
      <c r="L50">
        <v>12</v>
      </c>
      <c r="M50">
        <v>3384</v>
      </c>
      <c r="N50">
        <v>17</v>
      </c>
      <c r="O50">
        <v>4794</v>
      </c>
      <c r="P50">
        <v>11</v>
      </c>
      <c r="Q50">
        <v>3102</v>
      </c>
      <c r="R50">
        <v>11</v>
      </c>
      <c r="S50">
        <v>3102</v>
      </c>
      <c r="T50">
        <v>6</v>
      </c>
      <c r="U50">
        <v>1692</v>
      </c>
      <c r="V50">
        <v>5</v>
      </c>
      <c r="W50">
        <v>1410</v>
      </c>
      <c r="X50">
        <v>5</v>
      </c>
      <c r="Y50">
        <v>1410</v>
      </c>
      <c r="Z50">
        <v>4</v>
      </c>
      <c r="AA50">
        <v>1128</v>
      </c>
      <c r="AB50">
        <v>9</v>
      </c>
      <c r="AC50">
        <v>2538</v>
      </c>
      <c r="AD50">
        <v>10</v>
      </c>
      <c r="AE50">
        <v>2820</v>
      </c>
      <c r="AF50">
        <v>7</v>
      </c>
      <c r="AG50">
        <v>1974</v>
      </c>
      <c r="AH50">
        <v>8</v>
      </c>
      <c r="AI50">
        <v>2256</v>
      </c>
      <c r="AJ50">
        <v>15</v>
      </c>
      <c r="AK50">
        <v>4230</v>
      </c>
      <c r="AL50">
        <v>18</v>
      </c>
      <c r="AM50">
        <v>5076</v>
      </c>
      <c r="AN50">
        <v>12</v>
      </c>
      <c r="AO50">
        <v>3384</v>
      </c>
      <c r="AP50">
        <v>17</v>
      </c>
      <c r="AQ50">
        <v>4794</v>
      </c>
      <c r="AR50">
        <v>46</v>
      </c>
      <c r="AS50">
        <v>12972</v>
      </c>
      <c r="AT50">
        <v>53</v>
      </c>
      <c r="AU50">
        <v>14946</v>
      </c>
      <c r="AV50">
        <v>59</v>
      </c>
      <c r="AW50">
        <v>16638</v>
      </c>
      <c r="AX50">
        <v>49</v>
      </c>
      <c r="AY50">
        <v>13818</v>
      </c>
      <c r="AZ50">
        <v>19</v>
      </c>
      <c r="BA50">
        <v>5358</v>
      </c>
      <c r="BB50">
        <v>23</v>
      </c>
      <c r="BC50">
        <v>6486</v>
      </c>
      <c r="BD50">
        <v>15.058723562438095</v>
      </c>
      <c r="BE50">
        <v>4246.5600446075423</v>
      </c>
      <c r="BF50">
        <v>22</v>
      </c>
      <c r="BG50">
        <v>6204</v>
      </c>
      <c r="BH50">
        <v>31</v>
      </c>
      <c r="BI50">
        <v>8742</v>
      </c>
      <c r="BJ50">
        <v>25</v>
      </c>
      <c r="BK50">
        <v>7050</v>
      </c>
      <c r="BL50">
        <v>30.344251245609179</v>
      </c>
      <c r="BM50">
        <v>8557.0788512617892</v>
      </c>
      <c r="BN50">
        <v>28</v>
      </c>
      <c r="BO50">
        <v>7896</v>
      </c>
      <c r="BP50">
        <v>5</v>
      </c>
      <c r="BQ50">
        <v>1410</v>
      </c>
      <c r="BR50">
        <v>3</v>
      </c>
      <c r="BS50">
        <v>846</v>
      </c>
      <c r="BT50">
        <v>5</v>
      </c>
      <c r="BU50">
        <v>1410</v>
      </c>
      <c r="BV50">
        <v>4</v>
      </c>
      <c r="BW50">
        <v>1128</v>
      </c>
      <c r="BX50">
        <v>25</v>
      </c>
      <c r="BY50">
        <v>7050</v>
      </c>
      <c r="BZ50">
        <v>25</v>
      </c>
      <c r="CA50">
        <v>7050</v>
      </c>
      <c r="CB50">
        <v>17</v>
      </c>
      <c r="CC50">
        <v>4794</v>
      </c>
      <c r="CD50">
        <v>25</v>
      </c>
      <c r="CE50">
        <v>7050</v>
      </c>
      <c r="CF50">
        <v>57</v>
      </c>
      <c r="CG50">
        <v>16074</v>
      </c>
      <c r="CH50">
        <v>60</v>
      </c>
      <c r="CI50">
        <v>16920</v>
      </c>
      <c r="CJ50">
        <v>48.080248136284105</v>
      </c>
      <c r="CK50">
        <v>13558.629974432117</v>
      </c>
      <c r="CL50">
        <v>41.185030740428608</v>
      </c>
      <c r="CM50">
        <v>11614.178668800867</v>
      </c>
      <c r="CN50">
        <v>43.866326893513936</v>
      </c>
      <c r="CO50">
        <v>12370.304183970929</v>
      </c>
      <c r="CP50">
        <v>77.534316849673004</v>
      </c>
      <c r="CQ50">
        <v>21864.677351607788</v>
      </c>
      <c r="CR50">
        <v>70.501981033884576</v>
      </c>
      <c r="CS50">
        <v>19881.55865155545</v>
      </c>
      <c r="CT50">
        <v>47</v>
      </c>
      <c r="CU50">
        <v>13254</v>
      </c>
    </row>
    <row r="51" spans="2:99" x14ac:dyDescent="0.2">
      <c r="C51" s="105" t="s">
        <v>217</v>
      </c>
      <c r="D51">
        <v>13</v>
      </c>
      <c r="E51">
        <v>11107.199999999999</v>
      </c>
      <c r="F51">
        <v>12</v>
      </c>
      <c r="G51">
        <v>10252.799999999999</v>
      </c>
      <c r="H51">
        <v>7</v>
      </c>
      <c r="I51">
        <v>5980.8</v>
      </c>
      <c r="J51">
        <v>10</v>
      </c>
      <c r="K51">
        <v>8544</v>
      </c>
      <c r="L51">
        <v>10</v>
      </c>
      <c r="M51">
        <v>8544</v>
      </c>
      <c r="N51">
        <v>18</v>
      </c>
      <c r="O51">
        <v>15379.199999999999</v>
      </c>
      <c r="P51">
        <v>9</v>
      </c>
      <c r="Q51">
        <v>7689.5999999999995</v>
      </c>
      <c r="R51">
        <v>11</v>
      </c>
      <c r="S51">
        <v>9398.4</v>
      </c>
      <c r="T51">
        <v>6</v>
      </c>
      <c r="U51">
        <v>5126.3999999999996</v>
      </c>
      <c r="V51">
        <v>5</v>
      </c>
      <c r="W51">
        <v>4272</v>
      </c>
      <c r="X51">
        <v>6</v>
      </c>
      <c r="Y51">
        <v>5126.3999999999996</v>
      </c>
      <c r="Z51">
        <v>3</v>
      </c>
      <c r="AA51">
        <v>2563.1999999999998</v>
      </c>
      <c r="AB51">
        <v>8</v>
      </c>
      <c r="AC51">
        <v>6835.2</v>
      </c>
      <c r="AD51">
        <v>9</v>
      </c>
      <c r="AE51">
        <v>7689.5999999999995</v>
      </c>
      <c r="AF51">
        <v>8</v>
      </c>
      <c r="AG51">
        <v>6835.2</v>
      </c>
      <c r="AH51">
        <v>7</v>
      </c>
      <c r="AI51">
        <v>5980.8</v>
      </c>
      <c r="AJ51">
        <v>16</v>
      </c>
      <c r="AK51">
        <v>13670.4</v>
      </c>
      <c r="AL51">
        <v>19</v>
      </c>
      <c r="AM51">
        <v>16233.6</v>
      </c>
      <c r="AN51">
        <v>11</v>
      </c>
      <c r="AO51">
        <v>9398.4</v>
      </c>
      <c r="AP51">
        <v>15</v>
      </c>
      <c r="AQ51">
        <v>12816</v>
      </c>
      <c r="AR51">
        <v>46</v>
      </c>
      <c r="AS51">
        <v>39302.400000000001</v>
      </c>
      <c r="AT51">
        <v>49</v>
      </c>
      <c r="AU51">
        <v>41865.599999999999</v>
      </c>
      <c r="AV51">
        <v>49</v>
      </c>
      <c r="AW51">
        <v>41865.599999999999</v>
      </c>
      <c r="AX51">
        <v>37</v>
      </c>
      <c r="AY51">
        <v>31612.799999999999</v>
      </c>
      <c r="AZ51">
        <v>19</v>
      </c>
      <c r="BA51">
        <v>16233.6</v>
      </c>
      <c r="BB51">
        <v>21</v>
      </c>
      <c r="BC51">
        <v>17942.399999999998</v>
      </c>
      <c r="BD51">
        <v>13.053385056761904</v>
      </c>
      <c r="BE51">
        <v>11152.812192497371</v>
      </c>
      <c r="BF51">
        <v>20</v>
      </c>
      <c r="BG51">
        <v>17088</v>
      </c>
      <c r="BH51">
        <v>29</v>
      </c>
      <c r="BI51">
        <v>24777.599999999999</v>
      </c>
      <c r="BJ51">
        <v>21</v>
      </c>
      <c r="BK51">
        <v>17942.399999999998</v>
      </c>
      <c r="BL51">
        <v>28.324294651660821</v>
      </c>
      <c r="BM51">
        <v>24200.277350379005</v>
      </c>
      <c r="BN51">
        <v>22</v>
      </c>
      <c r="BO51">
        <v>18796.8</v>
      </c>
      <c r="BP51">
        <v>5</v>
      </c>
      <c r="BQ51">
        <v>4272</v>
      </c>
      <c r="BR51">
        <v>3</v>
      </c>
      <c r="BS51">
        <v>2563.1999999999998</v>
      </c>
      <c r="BT51">
        <v>4</v>
      </c>
      <c r="BU51">
        <v>3417.6</v>
      </c>
      <c r="BV51">
        <v>4</v>
      </c>
      <c r="BW51">
        <v>3417.6</v>
      </c>
      <c r="BX51">
        <v>24</v>
      </c>
      <c r="BY51">
        <v>20505.599999999999</v>
      </c>
      <c r="BZ51">
        <v>26</v>
      </c>
      <c r="CA51">
        <v>22214.399999999998</v>
      </c>
      <c r="CB51">
        <v>16</v>
      </c>
      <c r="CC51">
        <v>13670.4</v>
      </c>
      <c r="CD51">
        <v>23</v>
      </c>
      <c r="CE51">
        <v>19651.2</v>
      </c>
      <c r="CF51">
        <v>51</v>
      </c>
      <c r="CG51">
        <v>43574.400000000001</v>
      </c>
      <c r="CH51">
        <v>51</v>
      </c>
      <c r="CI51">
        <v>43574.400000000001</v>
      </c>
      <c r="CJ51">
        <v>42.068784116814946</v>
      </c>
      <c r="CK51">
        <v>35943.569149406692</v>
      </c>
      <c r="CL51">
        <v>38.154192283690506</v>
      </c>
      <c r="CM51">
        <v>32598.941887185167</v>
      </c>
      <c r="CN51">
        <v>38.831765284374789</v>
      </c>
      <c r="CO51">
        <v>33177.86025896982</v>
      </c>
      <c r="CP51">
        <v>73</v>
      </c>
      <c r="CQ51">
        <v>62371.199999999997</v>
      </c>
      <c r="CR51">
        <v>64.450051961413763</v>
      </c>
      <c r="CS51">
        <v>55066.124395831917</v>
      </c>
      <c r="CT51">
        <v>42</v>
      </c>
      <c r="CU51">
        <v>35884.799999999996</v>
      </c>
    </row>
    <row r="52" spans="2:99" x14ac:dyDescent="0.2">
      <c r="C52" s="105" t="s">
        <v>218</v>
      </c>
      <c r="D52">
        <v>13</v>
      </c>
      <c r="E52">
        <v>7020</v>
      </c>
      <c r="F52">
        <v>11</v>
      </c>
      <c r="G52">
        <v>5940</v>
      </c>
      <c r="H52">
        <v>7</v>
      </c>
      <c r="I52">
        <v>3780</v>
      </c>
      <c r="J52">
        <v>9</v>
      </c>
      <c r="K52">
        <v>4860</v>
      </c>
      <c r="L52">
        <v>11</v>
      </c>
      <c r="M52">
        <v>5940</v>
      </c>
      <c r="N52">
        <v>18</v>
      </c>
      <c r="O52">
        <v>9720</v>
      </c>
      <c r="P52">
        <v>11</v>
      </c>
      <c r="Q52">
        <v>5940</v>
      </c>
      <c r="R52">
        <v>12</v>
      </c>
      <c r="S52">
        <v>6480</v>
      </c>
      <c r="T52">
        <v>6</v>
      </c>
      <c r="U52">
        <v>3240</v>
      </c>
      <c r="V52">
        <v>5</v>
      </c>
      <c r="W52">
        <v>2700</v>
      </c>
      <c r="X52">
        <v>6</v>
      </c>
      <c r="Y52">
        <v>3240</v>
      </c>
      <c r="Z52">
        <v>3</v>
      </c>
      <c r="AA52">
        <v>1620</v>
      </c>
      <c r="AB52">
        <v>8</v>
      </c>
      <c r="AC52">
        <v>4320</v>
      </c>
      <c r="AD52">
        <v>10</v>
      </c>
      <c r="AE52">
        <v>5400</v>
      </c>
      <c r="AF52">
        <v>8</v>
      </c>
      <c r="AG52">
        <v>4320</v>
      </c>
      <c r="AH52">
        <v>6</v>
      </c>
      <c r="AI52">
        <v>3240</v>
      </c>
      <c r="AJ52">
        <v>16</v>
      </c>
      <c r="AK52">
        <v>8640</v>
      </c>
      <c r="AL52">
        <v>17</v>
      </c>
      <c r="AM52">
        <v>9180</v>
      </c>
      <c r="AN52">
        <v>12</v>
      </c>
      <c r="AO52">
        <v>6480</v>
      </c>
      <c r="AP52">
        <v>16</v>
      </c>
      <c r="AQ52">
        <v>8640</v>
      </c>
      <c r="AR52">
        <v>41</v>
      </c>
      <c r="AS52">
        <v>22140</v>
      </c>
      <c r="AT52">
        <v>48</v>
      </c>
      <c r="AU52">
        <v>25920</v>
      </c>
      <c r="AV52">
        <v>56</v>
      </c>
      <c r="AW52">
        <v>30240</v>
      </c>
      <c r="AX52">
        <v>45</v>
      </c>
      <c r="AY52">
        <v>24300</v>
      </c>
      <c r="AZ52">
        <v>18</v>
      </c>
      <c r="BA52">
        <v>9720</v>
      </c>
      <c r="BB52">
        <v>21</v>
      </c>
      <c r="BC52">
        <v>11340</v>
      </c>
      <c r="BD52">
        <v>13.053385056761904</v>
      </c>
      <c r="BE52">
        <v>7048.8279306514278</v>
      </c>
      <c r="BF52">
        <v>19</v>
      </c>
      <c r="BG52">
        <v>10260</v>
      </c>
      <c r="BH52">
        <v>26</v>
      </c>
      <c r="BI52">
        <v>14040</v>
      </c>
      <c r="BJ52">
        <v>23</v>
      </c>
      <c r="BK52">
        <v>12420</v>
      </c>
      <c r="BL52">
        <v>30.334272948635</v>
      </c>
      <c r="BM52">
        <v>16380.5073922629</v>
      </c>
      <c r="BN52">
        <v>28</v>
      </c>
      <c r="BO52">
        <v>15120</v>
      </c>
      <c r="BP52">
        <v>5</v>
      </c>
      <c r="BQ52">
        <v>2700</v>
      </c>
      <c r="BR52">
        <v>3</v>
      </c>
      <c r="BS52">
        <v>1620</v>
      </c>
      <c r="BT52">
        <v>4</v>
      </c>
      <c r="BU52">
        <v>2160</v>
      </c>
      <c r="BV52">
        <v>4</v>
      </c>
      <c r="BW52">
        <v>2160</v>
      </c>
      <c r="BX52">
        <v>28</v>
      </c>
      <c r="BY52">
        <v>15120</v>
      </c>
      <c r="BZ52">
        <v>27</v>
      </c>
      <c r="CA52">
        <v>14580</v>
      </c>
      <c r="CB52">
        <v>17</v>
      </c>
      <c r="CC52">
        <v>9180</v>
      </c>
      <c r="CD52">
        <v>23</v>
      </c>
      <c r="CE52">
        <v>12420</v>
      </c>
      <c r="CF52">
        <v>51</v>
      </c>
      <c r="CG52">
        <v>27540</v>
      </c>
      <c r="CH52">
        <v>57</v>
      </c>
      <c r="CI52">
        <v>30780</v>
      </c>
      <c r="CJ52">
        <v>50.068784116814946</v>
      </c>
      <c r="CK52">
        <v>27037.14342308007</v>
      </c>
      <c r="CL52">
        <v>39.185030740428608</v>
      </c>
      <c r="CM52">
        <v>21159.916599831449</v>
      </c>
      <c r="CN52">
        <v>47.039134939209667</v>
      </c>
      <c r="CO52">
        <v>25401.132867173219</v>
      </c>
      <c r="CP52">
        <v>82.434252707303031</v>
      </c>
      <c r="CQ52">
        <v>44514.496461943636</v>
      </c>
      <c r="CR52">
        <v>62.484671343060974</v>
      </c>
      <c r="CS52">
        <v>33741.722525252924</v>
      </c>
      <c r="CT52">
        <v>41</v>
      </c>
      <c r="CU52">
        <v>22140</v>
      </c>
    </row>
    <row r="53" spans="2:99" x14ac:dyDescent="0.2">
      <c r="C53" s="105" t="s">
        <v>219</v>
      </c>
      <c r="D53">
        <v>11</v>
      </c>
      <c r="E53">
        <v>4474.8</v>
      </c>
      <c r="F53">
        <v>12</v>
      </c>
      <c r="G53">
        <v>4881.6000000000004</v>
      </c>
      <c r="H53">
        <v>6</v>
      </c>
      <c r="I53">
        <v>2440.8000000000002</v>
      </c>
      <c r="J53">
        <v>9</v>
      </c>
      <c r="K53">
        <v>3661.2000000000003</v>
      </c>
      <c r="L53">
        <v>11</v>
      </c>
      <c r="M53">
        <v>4474.8</v>
      </c>
      <c r="N53">
        <v>17</v>
      </c>
      <c r="O53">
        <v>6915.6</v>
      </c>
      <c r="P53">
        <v>10</v>
      </c>
      <c r="Q53">
        <v>4068</v>
      </c>
      <c r="R53">
        <v>10</v>
      </c>
      <c r="S53">
        <v>4068</v>
      </c>
      <c r="T53">
        <v>6</v>
      </c>
      <c r="U53">
        <v>2440.8000000000002</v>
      </c>
      <c r="V53">
        <v>5</v>
      </c>
      <c r="W53">
        <v>2034</v>
      </c>
      <c r="X53">
        <v>6</v>
      </c>
      <c r="Y53">
        <v>2440.8000000000002</v>
      </c>
      <c r="Z53">
        <v>4</v>
      </c>
      <c r="AA53">
        <v>1627.2</v>
      </c>
      <c r="AB53">
        <v>9</v>
      </c>
      <c r="AC53">
        <v>3661.2000000000003</v>
      </c>
      <c r="AD53">
        <v>10</v>
      </c>
      <c r="AE53">
        <v>4068</v>
      </c>
      <c r="AF53">
        <v>8</v>
      </c>
      <c r="AG53">
        <v>3254.4</v>
      </c>
      <c r="AH53">
        <v>7</v>
      </c>
      <c r="AI53">
        <v>2847.6</v>
      </c>
      <c r="AJ53">
        <v>17</v>
      </c>
      <c r="AK53">
        <v>6915.6</v>
      </c>
      <c r="AL53">
        <v>17</v>
      </c>
      <c r="AM53">
        <v>6915.6</v>
      </c>
      <c r="AN53">
        <v>12</v>
      </c>
      <c r="AO53">
        <v>4881.6000000000004</v>
      </c>
      <c r="AP53">
        <v>16</v>
      </c>
      <c r="AQ53">
        <v>6508.8</v>
      </c>
      <c r="AR53">
        <v>46</v>
      </c>
      <c r="AS53">
        <v>18712.8</v>
      </c>
      <c r="AT53">
        <v>52</v>
      </c>
      <c r="AU53">
        <v>21153.600000000002</v>
      </c>
      <c r="AV53">
        <v>53</v>
      </c>
      <c r="AW53">
        <v>21560.400000000001</v>
      </c>
      <c r="AX53">
        <v>46</v>
      </c>
      <c r="AY53">
        <v>18712.8</v>
      </c>
      <c r="AZ53">
        <v>17</v>
      </c>
      <c r="BA53">
        <v>6915.6</v>
      </c>
      <c r="BB53">
        <v>21</v>
      </c>
      <c r="BC53">
        <v>8542.8000000000011</v>
      </c>
      <c r="BD53">
        <v>15.058723562438095</v>
      </c>
      <c r="BE53">
        <v>6125.8887451998171</v>
      </c>
      <c r="BF53">
        <v>20</v>
      </c>
      <c r="BG53">
        <v>8136</v>
      </c>
      <c r="BH53">
        <v>31</v>
      </c>
      <c r="BI53">
        <v>12610.800000000001</v>
      </c>
      <c r="BJ53">
        <v>22</v>
      </c>
      <c r="BK53">
        <v>8949.6</v>
      </c>
      <c r="BL53">
        <v>28.349240394096267</v>
      </c>
      <c r="BM53">
        <v>11532.470992318362</v>
      </c>
      <c r="BN53">
        <v>29</v>
      </c>
      <c r="BO53">
        <v>11797.2</v>
      </c>
      <c r="BP53">
        <v>6</v>
      </c>
      <c r="BQ53">
        <v>2440.8000000000002</v>
      </c>
      <c r="BR53">
        <v>3</v>
      </c>
      <c r="BS53">
        <v>1220.4000000000001</v>
      </c>
      <c r="BT53">
        <v>4</v>
      </c>
      <c r="BU53">
        <v>1627.2</v>
      </c>
      <c r="BV53">
        <v>4</v>
      </c>
      <c r="BW53">
        <v>1627.2</v>
      </c>
      <c r="BX53">
        <v>24</v>
      </c>
      <c r="BY53">
        <v>9763.2000000000007</v>
      </c>
      <c r="BZ53">
        <v>29</v>
      </c>
      <c r="CA53">
        <v>11797.2</v>
      </c>
      <c r="CB53">
        <v>19</v>
      </c>
      <c r="CC53">
        <v>7729.2</v>
      </c>
      <c r="CD53">
        <v>21</v>
      </c>
      <c r="CE53">
        <v>8542.8000000000011</v>
      </c>
      <c r="CF53">
        <v>57</v>
      </c>
      <c r="CG53">
        <v>23187.600000000002</v>
      </c>
      <c r="CH53">
        <v>58</v>
      </c>
      <c r="CI53">
        <v>23594.400000000001</v>
      </c>
      <c r="CJ53">
        <v>47.080248136284105</v>
      </c>
      <c r="CK53">
        <v>19152.244941840374</v>
      </c>
      <c r="CL53">
        <v>39.185030740428608</v>
      </c>
      <c r="CM53">
        <v>15940.470505206358</v>
      </c>
      <c r="CN53">
        <v>44.831765284374789</v>
      </c>
      <c r="CO53">
        <v>18237.562117683665</v>
      </c>
      <c r="CP53">
        <v>80.601026277919658</v>
      </c>
      <c r="CQ53">
        <v>32788.49748985772</v>
      </c>
      <c r="CR53">
        <v>74.519290724708185</v>
      </c>
      <c r="CS53">
        <v>30314.447466811289</v>
      </c>
      <c r="CT53">
        <v>45</v>
      </c>
      <c r="CU53">
        <v>18306</v>
      </c>
    </row>
    <row r="54" spans="2:99" x14ac:dyDescent="0.2">
      <c r="C54" s="105" t="s">
        <v>220</v>
      </c>
      <c r="D54">
        <v>12</v>
      </c>
      <c r="E54">
        <v>4017.6000000000004</v>
      </c>
      <c r="F54">
        <v>13</v>
      </c>
      <c r="G54">
        <v>4352.4000000000005</v>
      </c>
      <c r="H54">
        <v>7</v>
      </c>
      <c r="I54">
        <v>2343.6</v>
      </c>
      <c r="J54">
        <v>10</v>
      </c>
      <c r="K54">
        <v>3348</v>
      </c>
      <c r="L54">
        <v>12</v>
      </c>
      <c r="M54">
        <v>4017.6000000000004</v>
      </c>
      <c r="N54">
        <v>19</v>
      </c>
      <c r="O54">
        <v>6361.2</v>
      </c>
      <c r="P54">
        <v>10</v>
      </c>
      <c r="Q54">
        <v>3348</v>
      </c>
      <c r="R54">
        <v>12</v>
      </c>
      <c r="S54">
        <v>4017.6000000000004</v>
      </c>
      <c r="T54">
        <v>6</v>
      </c>
      <c r="U54">
        <v>2008.8000000000002</v>
      </c>
      <c r="V54">
        <v>5</v>
      </c>
      <c r="W54">
        <v>1674</v>
      </c>
      <c r="X54">
        <v>6</v>
      </c>
      <c r="Y54">
        <v>2008.8000000000002</v>
      </c>
      <c r="Z54">
        <v>4</v>
      </c>
      <c r="AA54">
        <v>1339.2</v>
      </c>
      <c r="AB54">
        <v>9</v>
      </c>
      <c r="AC54">
        <v>3013.2000000000003</v>
      </c>
      <c r="AD54">
        <v>9</v>
      </c>
      <c r="AE54">
        <v>3013.2000000000003</v>
      </c>
      <c r="AF54">
        <v>8</v>
      </c>
      <c r="AG54">
        <v>2678.4</v>
      </c>
      <c r="AH54">
        <v>7</v>
      </c>
      <c r="AI54">
        <v>2343.6</v>
      </c>
      <c r="AJ54">
        <v>15</v>
      </c>
      <c r="AK54">
        <v>5022</v>
      </c>
      <c r="AL54">
        <v>18</v>
      </c>
      <c r="AM54">
        <v>6026.4000000000005</v>
      </c>
      <c r="AN54">
        <v>13</v>
      </c>
      <c r="AO54">
        <v>4352.4000000000005</v>
      </c>
      <c r="AP54">
        <v>17</v>
      </c>
      <c r="AQ54">
        <v>5691.6</v>
      </c>
      <c r="AR54">
        <v>51</v>
      </c>
      <c r="AS54">
        <v>17074.8</v>
      </c>
      <c r="AT54">
        <v>54</v>
      </c>
      <c r="AU54">
        <v>18079.2</v>
      </c>
      <c r="AV54">
        <v>57</v>
      </c>
      <c r="AW54">
        <v>19083.600000000002</v>
      </c>
      <c r="AX54">
        <v>40</v>
      </c>
      <c r="AY54">
        <v>13392</v>
      </c>
      <c r="AZ54">
        <v>19</v>
      </c>
      <c r="BA54">
        <v>6361.2</v>
      </c>
      <c r="BB54">
        <v>24</v>
      </c>
      <c r="BC54">
        <v>8035.2000000000007</v>
      </c>
      <c r="BD54">
        <v>14.058723562438095</v>
      </c>
      <c r="BE54">
        <v>4706.8606487042744</v>
      </c>
      <c r="BF54">
        <v>23</v>
      </c>
      <c r="BG54">
        <v>7700.4000000000005</v>
      </c>
      <c r="BH54">
        <v>31</v>
      </c>
      <c r="BI54">
        <v>10378.800000000001</v>
      </c>
      <c r="BJ54">
        <v>25</v>
      </c>
      <c r="BK54">
        <v>8370</v>
      </c>
      <c r="BL54">
        <v>28.339262097122088</v>
      </c>
      <c r="BM54">
        <v>9487.9849501164754</v>
      </c>
      <c r="BN54">
        <v>28</v>
      </c>
      <c r="BO54">
        <v>9374.4</v>
      </c>
      <c r="BP54">
        <v>5</v>
      </c>
      <c r="BQ54">
        <v>1674</v>
      </c>
      <c r="BR54">
        <v>4</v>
      </c>
      <c r="BS54">
        <v>1339.2</v>
      </c>
      <c r="BT54">
        <v>4</v>
      </c>
      <c r="BU54">
        <v>1339.2</v>
      </c>
      <c r="BV54">
        <v>4</v>
      </c>
      <c r="BW54">
        <v>1339.2</v>
      </c>
      <c r="BX54">
        <v>24</v>
      </c>
      <c r="BY54">
        <v>8035.2000000000007</v>
      </c>
      <c r="BZ54">
        <v>27</v>
      </c>
      <c r="CA54">
        <v>9039.6</v>
      </c>
      <c r="CB54">
        <v>17</v>
      </c>
      <c r="CC54">
        <v>5691.6</v>
      </c>
      <c r="CD54">
        <v>21</v>
      </c>
      <c r="CE54">
        <v>7030.8</v>
      </c>
      <c r="CF54">
        <v>59</v>
      </c>
      <c r="CG54">
        <v>19753.2</v>
      </c>
      <c r="CH54">
        <v>61</v>
      </c>
      <c r="CI54">
        <v>20422.8</v>
      </c>
      <c r="CJ54">
        <v>48.068784116814946</v>
      </c>
      <c r="CK54">
        <v>16093.428922309644</v>
      </c>
      <c r="CL54">
        <v>45.154192283690506</v>
      </c>
      <c r="CM54">
        <v>15117.623576579583</v>
      </c>
      <c r="CN54">
        <v>48.76264206609649</v>
      </c>
      <c r="CO54">
        <v>16325.732563729105</v>
      </c>
      <c r="CP54">
        <v>78.667735706166312</v>
      </c>
      <c r="CQ54">
        <v>26337.957914424482</v>
      </c>
      <c r="CR54">
        <v>68.501981033884576</v>
      </c>
      <c r="CS54">
        <v>22934.463250144556</v>
      </c>
      <c r="CT54">
        <v>47.016258695585158</v>
      </c>
      <c r="CU54">
        <v>15741.043411281911</v>
      </c>
    </row>
    <row r="55" spans="2:99" x14ac:dyDescent="0.2">
      <c r="C55" s="105" t="s">
        <v>221</v>
      </c>
      <c r="D55">
        <v>12</v>
      </c>
      <c r="E55">
        <v>7963.2000000000007</v>
      </c>
      <c r="F55">
        <v>11</v>
      </c>
      <c r="G55">
        <v>7299.6</v>
      </c>
      <c r="H55">
        <v>7</v>
      </c>
      <c r="I55">
        <v>4645.2</v>
      </c>
      <c r="J55">
        <v>10</v>
      </c>
      <c r="K55">
        <v>6636</v>
      </c>
      <c r="L55">
        <v>11</v>
      </c>
      <c r="M55">
        <v>7299.6</v>
      </c>
      <c r="N55">
        <v>16</v>
      </c>
      <c r="O55">
        <v>10617.6</v>
      </c>
      <c r="P55">
        <v>11</v>
      </c>
      <c r="Q55">
        <v>7299.6</v>
      </c>
      <c r="R55">
        <v>12</v>
      </c>
      <c r="S55">
        <v>7963.2000000000007</v>
      </c>
      <c r="T55">
        <v>6</v>
      </c>
      <c r="U55">
        <v>3981.6000000000004</v>
      </c>
      <c r="V55">
        <v>5</v>
      </c>
      <c r="W55">
        <v>3318</v>
      </c>
      <c r="X55">
        <v>6</v>
      </c>
      <c r="Y55">
        <v>3981.6000000000004</v>
      </c>
      <c r="Z55">
        <v>3</v>
      </c>
      <c r="AA55">
        <v>1990.8000000000002</v>
      </c>
      <c r="AB55">
        <v>8</v>
      </c>
      <c r="AC55">
        <v>5308.8</v>
      </c>
      <c r="AD55">
        <v>10</v>
      </c>
      <c r="AE55">
        <v>6636</v>
      </c>
      <c r="AF55">
        <v>7</v>
      </c>
      <c r="AG55">
        <v>4645.2</v>
      </c>
      <c r="AH55">
        <v>7</v>
      </c>
      <c r="AI55">
        <v>4645.2</v>
      </c>
      <c r="AJ55">
        <v>16</v>
      </c>
      <c r="AK55">
        <v>10617.6</v>
      </c>
      <c r="AL55">
        <v>18</v>
      </c>
      <c r="AM55">
        <v>11944.800000000001</v>
      </c>
      <c r="AN55">
        <v>13</v>
      </c>
      <c r="AO55">
        <v>8626.8000000000011</v>
      </c>
      <c r="AP55">
        <v>14</v>
      </c>
      <c r="AQ55">
        <v>9290.4</v>
      </c>
      <c r="AR55">
        <v>48</v>
      </c>
      <c r="AS55">
        <v>31852.800000000003</v>
      </c>
      <c r="AT55">
        <v>49</v>
      </c>
      <c r="AU55">
        <v>32516.400000000001</v>
      </c>
      <c r="AV55">
        <v>58</v>
      </c>
      <c r="AW55">
        <v>38488.800000000003</v>
      </c>
      <c r="AX55">
        <v>38</v>
      </c>
      <c r="AY55">
        <v>25216.799999999999</v>
      </c>
      <c r="AZ55">
        <v>18</v>
      </c>
      <c r="BA55">
        <v>11944.800000000001</v>
      </c>
      <c r="BB55">
        <v>22</v>
      </c>
      <c r="BC55">
        <v>14599.2</v>
      </c>
      <c r="BD55">
        <v>14.053385056761904</v>
      </c>
      <c r="BE55">
        <v>9325.8263236671992</v>
      </c>
      <c r="BF55">
        <v>20</v>
      </c>
      <c r="BG55">
        <v>13272</v>
      </c>
      <c r="BH55">
        <v>28</v>
      </c>
      <c r="BI55">
        <v>18580.8</v>
      </c>
      <c r="BJ55">
        <v>23</v>
      </c>
      <c r="BK55">
        <v>15262.800000000001</v>
      </c>
      <c r="BL55">
        <v>26.354229542583358</v>
      </c>
      <c r="BM55">
        <v>17488.666724458319</v>
      </c>
      <c r="BN55">
        <v>27</v>
      </c>
      <c r="BO55">
        <v>17917.2</v>
      </c>
      <c r="BP55">
        <v>5</v>
      </c>
      <c r="BQ55">
        <v>3318</v>
      </c>
      <c r="BR55">
        <v>3</v>
      </c>
      <c r="BS55">
        <v>1990.8000000000002</v>
      </c>
      <c r="BT55">
        <v>4</v>
      </c>
      <c r="BU55">
        <v>2654.4</v>
      </c>
      <c r="BV55">
        <v>4</v>
      </c>
      <c r="BW55">
        <v>2654.4</v>
      </c>
      <c r="BX55">
        <v>24</v>
      </c>
      <c r="BY55">
        <v>15926.400000000001</v>
      </c>
      <c r="BZ55">
        <v>28</v>
      </c>
      <c r="CA55">
        <v>18580.8</v>
      </c>
      <c r="CB55">
        <v>16</v>
      </c>
      <c r="CC55">
        <v>10617.6</v>
      </c>
      <c r="CD55">
        <v>21</v>
      </c>
      <c r="CE55">
        <v>13935.6</v>
      </c>
      <c r="CF55">
        <v>50</v>
      </c>
      <c r="CG55">
        <v>33180</v>
      </c>
      <c r="CH55">
        <v>63</v>
      </c>
      <c r="CI55">
        <v>41806.800000000003</v>
      </c>
      <c r="CJ55">
        <v>47.068784116814946</v>
      </c>
      <c r="CK55">
        <v>31234.845139918398</v>
      </c>
      <c r="CL55">
        <v>42.185030740428608</v>
      </c>
      <c r="CM55">
        <v>27993.986399348425</v>
      </c>
      <c r="CN55">
        <v>43.797203675235643</v>
      </c>
      <c r="CO55">
        <v>29063.824358886373</v>
      </c>
      <c r="CP55">
        <v>67.634380992042992</v>
      </c>
      <c r="CQ55">
        <v>44882.175226319734</v>
      </c>
      <c r="CR55">
        <v>72.510635879296387</v>
      </c>
      <c r="CS55">
        <v>48118.057969501082</v>
      </c>
      <c r="CT55">
        <v>40</v>
      </c>
      <c r="CU55">
        <v>26544</v>
      </c>
    </row>
    <row r="56" spans="2:99" x14ac:dyDescent="0.2">
      <c r="C56" s="105" t="s">
        <v>222</v>
      </c>
      <c r="D56">
        <v>13</v>
      </c>
      <c r="E56">
        <v>14960.4</v>
      </c>
      <c r="F56">
        <v>10</v>
      </c>
      <c r="G56">
        <v>11508</v>
      </c>
      <c r="H56">
        <v>7</v>
      </c>
      <c r="I56">
        <v>8055.5999999999995</v>
      </c>
      <c r="J56">
        <v>9</v>
      </c>
      <c r="K56">
        <v>10357.199999999999</v>
      </c>
      <c r="L56">
        <v>11.182364166854351</v>
      </c>
      <c r="M56">
        <v>12868.664683215986</v>
      </c>
      <c r="N56">
        <v>17.542676216260844</v>
      </c>
      <c r="O56">
        <v>20188.111789672977</v>
      </c>
      <c r="P56">
        <v>9.5382437378914506</v>
      </c>
      <c r="Q56">
        <v>10976.610893565481</v>
      </c>
      <c r="R56">
        <v>10.389390457440898</v>
      </c>
      <c r="S56">
        <v>11956.110538422985</v>
      </c>
      <c r="T56">
        <v>6.3277225467115628</v>
      </c>
      <c r="U56">
        <v>7281.9431067556661</v>
      </c>
      <c r="V56">
        <v>5.4812233745610133</v>
      </c>
      <c r="W56">
        <v>6307.7918594448138</v>
      </c>
      <c r="X56">
        <v>5.4137685440080681</v>
      </c>
      <c r="Y56">
        <v>6230.1648404444841</v>
      </c>
      <c r="Z56">
        <v>3.4280518305411993</v>
      </c>
      <c r="AA56">
        <v>3945.002046586812</v>
      </c>
      <c r="AB56">
        <v>8.2952218510957945</v>
      </c>
      <c r="AC56">
        <v>9546.1413062410393</v>
      </c>
      <c r="AD56">
        <v>10.374435544676201</v>
      </c>
      <c r="AE56">
        <v>11938.900424813372</v>
      </c>
      <c r="AF56">
        <v>8.2728159444945231</v>
      </c>
      <c r="AG56">
        <v>9520.3565889242964</v>
      </c>
      <c r="AH56">
        <v>6.2828667222590369</v>
      </c>
      <c r="AI56">
        <v>7230.3230239756995</v>
      </c>
      <c r="AJ56">
        <v>15.311899536701555</v>
      </c>
      <c r="AK56">
        <v>17620.933986836149</v>
      </c>
      <c r="AL56">
        <v>16.428905752898103</v>
      </c>
      <c r="AM56">
        <v>18906.384740435136</v>
      </c>
      <c r="AN56">
        <v>12.371836562868157</v>
      </c>
      <c r="AO56">
        <v>14237.509516548675</v>
      </c>
      <c r="AP56">
        <v>14.384180470072915</v>
      </c>
      <c r="AQ56">
        <v>16553.314884959909</v>
      </c>
      <c r="AR56">
        <v>43.533489625656287</v>
      </c>
      <c r="AS56">
        <v>50098.339861205255</v>
      </c>
      <c r="AT56">
        <v>51</v>
      </c>
      <c r="AU56">
        <v>58690.799999999996</v>
      </c>
      <c r="AV56">
        <v>50</v>
      </c>
      <c r="AW56">
        <v>57540</v>
      </c>
      <c r="AX56">
        <v>41</v>
      </c>
      <c r="AY56">
        <v>47182.799999999996</v>
      </c>
      <c r="AZ56">
        <v>18.563792059097871</v>
      </c>
      <c r="BA56">
        <v>21363.21190160983</v>
      </c>
      <c r="BB56">
        <v>20</v>
      </c>
      <c r="BC56">
        <v>23016</v>
      </c>
      <c r="BD56">
        <v>12</v>
      </c>
      <c r="BE56">
        <v>13809.599999999999</v>
      </c>
      <c r="BF56">
        <v>21</v>
      </c>
      <c r="BG56">
        <v>24166.799999999999</v>
      </c>
      <c r="BH56">
        <v>26.783253599076936</v>
      </c>
      <c r="BI56">
        <v>30822.168241817737</v>
      </c>
      <c r="BJ56">
        <v>22.673004099035019</v>
      </c>
      <c r="BK56">
        <v>26092.093117169497</v>
      </c>
      <c r="BL56">
        <v>25.376354356614247</v>
      </c>
      <c r="BM56">
        <v>29203.108593591674</v>
      </c>
      <c r="BN56">
        <v>22.674436079597989</v>
      </c>
      <c r="BO56">
        <v>26093.741040401364</v>
      </c>
      <c r="BP56">
        <v>6.0378236307394246</v>
      </c>
      <c r="BQ56">
        <v>6948.3274342549294</v>
      </c>
      <c r="BR56">
        <v>3.6552910033913202</v>
      </c>
      <c r="BS56">
        <v>4206.5088867027307</v>
      </c>
      <c r="BT56">
        <v>4.9441065283924983</v>
      </c>
      <c r="BU56">
        <v>5689.6777928740867</v>
      </c>
      <c r="BV56">
        <v>4.5199173862537902</v>
      </c>
      <c r="BW56">
        <v>5201.520928100862</v>
      </c>
      <c r="BX56">
        <v>23</v>
      </c>
      <c r="BY56">
        <v>26468.399999999998</v>
      </c>
      <c r="BZ56">
        <v>24.380338236288832</v>
      </c>
      <c r="CA56">
        <v>28056.893242321188</v>
      </c>
      <c r="CB56">
        <v>18</v>
      </c>
      <c r="CC56">
        <v>20714.399999999998</v>
      </c>
      <c r="CD56">
        <v>21.326867583173016</v>
      </c>
      <c r="CE56">
        <v>24542.959214715505</v>
      </c>
      <c r="CF56">
        <v>47.175739165431075</v>
      </c>
      <c r="CG56">
        <v>54289.840631578081</v>
      </c>
      <c r="CH56">
        <v>55.203135577616109</v>
      </c>
      <c r="CI56">
        <v>63527.768422720619</v>
      </c>
      <c r="CJ56">
        <v>41.181647152763183</v>
      </c>
      <c r="CK56">
        <v>47391.839543399867</v>
      </c>
      <c r="CL56">
        <v>41.164325743053077</v>
      </c>
      <c r="CM56">
        <v>47371.906065105475</v>
      </c>
      <c r="CN56">
        <v>37</v>
      </c>
      <c r="CO56">
        <v>42579.6</v>
      </c>
      <c r="CP56">
        <v>64</v>
      </c>
      <c r="CQ56">
        <v>73651.199999999997</v>
      </c>
      <c r="CR56">
        <v>63.22540995415298</v>
      </c>
      <c r="CS56">
        <v>72759.801775239248</v>
      </c>
      <c r="CT56">
        <v>36.992873243438112</v>
      </c>
      <c r="CU56">
        <v>42571.398528548576</v>
      </c>
    </row>
    <row r="57" spans="2:99" x14ac:dyDescent="0.2">
      <c r="C57" s="105" t="s">
        <v>223</v>
      </c>
      <c r="D57">
        <v>10</v>
      </c>
      <c r="E57">
        <v>14112</v>
      </c>
      <c r="F57">
        <v>11</v>
      </c>
      <c r="G57">
        <v>15523.2</v>
      </c>
      <c r="H57">
        <v>6</v>
      </c>
      <c r="I57">
        <v>8467.2000000000007</v>
      </c>
      <c r="J57">
        <v>9</v>
      </c>
      <c r="K57">
        <v>12700.800000000001</v>
      </c>
      <c r="L57">
        <v>12</v>
      </c>
      <c r="M57">
        <v>16934.400000000001</v>
      </c>
      <c r="N57">
        <v>16</v>
      </c>
      <c r="O57">
        <v>22579.200000000001</v>
      </c>
      <c r="P57">
        <v>9</v>
      </c>
      <c r="Q57">
        <v>12700.800000000001</v>
      </c>
      <c r="R57">
        <v>10</v>
      </c>
      <c r="S57">
        <v>14112</v>
      </c>
      <c r="T57">
        <v>5</v>
      </c>
      <c r="U57">
        <v>7056</v>
      </c>
      <c r="V57">
        <v>5</v>
      </c>
      <c r="W57">
        <v>7056</v>
      </c>
      <c r="X57">
        <v>6</v>
      </c>
      <c r="Y57">
        <v>8467.2000000000007</v>
      </c>
      <c r="Z57">
        <v>3</v>
      </c>
      <c r="AA57">
        <v>4233.6000000000004</v>
      </c>
      <c r="AB57">
        <v>8</v>
      </c>
      <c r="AC57">
        <v>11289.6</v>
      </c>
      <c r="AD57">
        <v>8</v>
      </c>
      <c r="AE57">
        <v>11289.6</v>
      </c>
      <c r="AF57">
        <v>7</v>
      </c>
      <c r="AG57">
        <v>9878.4</v>
      </c>
      <c r="AH57">
        <v>7</v>
      </c>
      <c r="AI57">
        <v>9878.4</v>
      </c>
      <c r="AJ57">
        <v>15</v>
      </c>
      <c r="AK57">
        <v>21168</v>
      </c>
      <c r="AL57">
        <v>16</v>
      </c>
      <c r="AM57">
        <v>22579.200000000001</v>
      </c>
      <c r="AN57">
        <v>10</v>
      </c>
      <c r="AO57">
        <v>14112</v>
      </c>
      <c r="AP57">
        <v>15</v>
      </c>
      <c r="AQ57">
        <v>21168</v>
      </c>
      <c r="AR57">
        <v>39</v>
      </c>
      <c r="AS57">
        <v>55036.800000000003</v>
      </c>
      <c r="AT57">
        <v>46</v>
      </c>
      <c r="AU57">
        <v>64915.200000000004</v>
      </c>
      <c r="AV57">
        <v>43</v>
      </c>
      <c r="AW57">
        <v>60681.599999999999</v>
      </c>
      <c r="AX57">
        <v>34</v>
      </c>
      <c r="AY57">
        <v>47980.800000000003</v>
      </c>
      <c r="AZ57">
        <v>18</v>
      </c>
      <c r="BA57">
        <v>25401.600000000002</v>
      </c>
      <c r="BB57">
        <v>23</v>
      </c>
      <c r="BC57">
        <v>32457.600000000002</v>
      </c>
      <c r="BD57">
        <v>12.048046551085713</v>
      </c>
      <c r="BE57">
        <v>17002.203292892158</v>
      </c>
      <c r="BF57">
        <v>17</v>
      </c>
      <c r="BG57">
        <v>23990.400000000001</v>
      </c>
      <c r="BH57">
        <v>26</v>
      </c>
      <c r="BI57">
        <v>36691.200000000004</v>
      </c>
      <c r="BJ57">
        <v>20</v>
      </c>
      <c r="BK57">
        <v>28224</v>
      </c>
      <c r="BL57">
        <v>25.334272948635</v>
      </c>
      <c r="BM57">
        <v>35751.725985113713</v>
      </c>
      <c r="BN57">
        <v>22</v>
      </c>
      <c r="BO57">
        <v>31046.400000000001</v>
      </c>
      <c r="BP57">
        <v>5</v>
      </c>
      <c r="BQ57">
        <v>7056</v>
      </c>
      <c r="BR57">
        <v>3</v>
      </c>
      <c r="BS57">
        <v>4233.6000000000004</v>
      </c>
      <c r="BT57">
        <v>4</v>
      </c>
      <c r="BU57">
        <v>5644.8</v>
      </c>
      <c r="BV57">
        <v>4</v>
      </c>
      <c r="BW57">
        <v>5644.8</v>
      </c>
      <c r="BX57">
        <v>24</v>
      </c>
      <c r="BY57">
        <v>33868.800000000003</v>
      </c>
      <c r="BZ57">
        <v>22</v>
      </c>
      <c r="CA57">
        <v>31046.400000000001</v>
      </c>
      <c r="CB57">
        <v>14</v>
      </c>
      <c r="CC57">
        <v>19756.8</v>
      </c>
      <c r="CD57">
        <v>18</v>
      </c>
      <c r="CE57">
        <v>25401.600000000002</v>
      </c>
      <c r="CF57">
        <v>47</v>
      </c>
      <c r="CG57">
        <v>66326.400000000009</v>
      </c>
      <c r="CH57">
        <v>46</v>
      </c>
      <c r="CI57">
        <v>64915.200000000004</v>
      </c>
      <c r="CJ57">
        <v>39.068784116814946</v>
      </c>
      <c r="CK57">
        <v>55133.868145649256</v>
      </c>
      <c r="CL57">
        <v>38.185030740428608</v>
      </c>
      <c r="CM57">
        <v>53886.715380892856</v>
      </c>
      <c r="CN57">
        <v>34.520710802122466</v>
      </c>
      <c r="CO57">
        <v>48715.627083955223</v>
      </c>
      <c r="CP57">
        <v>64.400897993179711</v>
      </c>
      <c r="CQ57">
        <v>90882.547247975206</v>
      </c>
      <c r="CR57">
        <v>62.441397116001959</v>
      </c>
      <c r="CS57">
        <v>88117.299610101967</v>
      </c>
      <c r="CT57">
        <v>38</v>
      </c>
      <c r="CU57">
        <v>53625.599999999999</v>
      </c>
    </row>
    <row r="58" spans="2:99" x14ac:dyDescent="0.2">
      <c r="C58" s="105" t="s">
        <v>224</v>
      </c>
      <c r="D58">
        <v>13</v>
      </c>
      <c r="E58">
        <v>15303.6</v>
      </c>
      <c r="F58">
        <v>12</v>
      </c>
      <c r="G58">
        <v>14126.400000000001</v>
      </c>
      <c r="H58">
        <v>6</v>
      </c>
      <c r="I58">
        <v>7063.2000000000007</v>
      </c>
      <c r="J58">
        <v>9</v>
      </c>
      <c r="K58">
        <v>10594.800000000001</v>
      </c>
      <c r="L58">
        <v>12.182364166854351</v>
      </c>
      <c r="M58">
        <v>14341.079097220942</v>
      </c>
      <c r="N58">
        <v>16.592010417739104</v>
      </c>
      <c r="O58">
        <v>19532.114663762473</v>
      </c>
      <c r="P58">
        <v>9.489312488992228</v>
      </c>
      <c r="Q58">
        <v>11170.818662041651</v>
      </c>
      <c r="R58">
        <v>10.486738071801124</v>
      </c>
      <c r="S58">
        <v>12344.988058124283</v>
      </c>
      <c r="T58">
        <v>5.2867572283726174</v>
      </c>
      <c r="U58">
        <v>6223.5706092402452</v>
      </c>
      <c r="V58">
        <v>4.4812233745610133</v>
      </c>
      <c r="W58">
        <v>5275.2961565332253</v>
      </c>
      <c r="X58">
        <v>6.4137685440080681</v>
      </c>
      <c r="Y58">
        <v>7550.2883300062977</v>
      </c>
      <c r="Z58">
        <v>4.4280518305411993</v>
      </c>
      <c r="AA58">
        <v>5212.7026149130998</v>
      </c>
      <c r="AB58">
        <v>8.3608267068948585</v>
      </c>
      <c r="AC58">
        <v>9842.3651993566273</v>
      </c>
      <c r="AD58">
        <v>8.3744355446762011</v>
      </c>
      <c r="AE58">
        <v>9858.3855231928246</v>
      </c>
      <c r="AF58">
        <v>8.2387139514327075</v>
      </c>
      <c r="AG58">
        <v>9698.6140636265827</v>
      </c>
      <c r="AH58">
        <v>7.2828667222590369</v>
      </c>
      <c r="AI58">
        <v>8573.3907054433384</v>
      </c>
      <c r="AJ58">
        <v>14.292405815657707</v>
      </c>
      <c r="AK58">
        <v>16825.020126192252</v>
      </c>
      <c r="AL58">
        <v>18.372961524259221</v>
      </c>
      <c r="AM58">
        <v>21628.650306357955</v>
      </c>
      <c r="AN58">
        <v>11.371836562868157</v>
      </c>
      <c r="AO58">
        <v>13386.926001808395</v>
      </c>
      <c r="AP58">
        <v>13.384180470072915</v>
      </c>
      <c r="AQ58">
        <v>15755.857249369836</v>
      </c>
      <c r="AR58">
        <v>38.609702429321466</v>
      </c>
      <c r="AS58">
        <v>45451.341699797231</v>
      </c>
      <c r="AT58">
        <v>45</v>
      </c>
      <c r="AU58">
        <v>52974</v>
      </c>
      <c r="AV58">
        <v>45</v>
      </c>
      <c r="AW58">
        <v>52974</v>
      </c>
      <c r="AX58">
        <v>41</v>
      </c>
      <c r="AY58">
        <v>48265.200000000004</v>
      </c>
      <c r="AZ58">
        <v>16</v>
      </c>
      <c r="BA58">
        <v>18835.2</v>
      </c>
      <c r="BB58">
        <v>20</v>
      </c>
      <c r="BC58">
        <v>23544</v>
      </c>
      <c r="BD58">
        <v>13.489927511696456</v>
      </c>
      <c r="BE58">
        <v>15880.342666769067</v>
      </c>
      <c r="BF58">
        <v>18</v>
      </c>
      <c r="BG58">
        <v>21189.600000000002</v>
      </c>
      <c r="BH58">
        <v>25.841997619007707</v>
      </c>
      <c r="BI58">
        <v>30421.199597095874</v>
      </c>
      <c r="BJ58">
        <v>24.829848233319549</v>
      </c>
      <c r="BK58">
        <v>29229.697340263774</v>
      </c>
      <c r="BL58">
        <v>27.337583811357508</v>
      </c>
      <c r="BM58">
        <v>32181.803662730061</v>
      </c>
      <c r="BN58">
        <v>21.767458636414069</v>
      </c>
      <c r="BO58">
        <v>25624.652306786644</v>
      </c>
      <c r="BP58">
        <v>6</v>
      </c>
      <c r="BQ58">
        <v>7063.2000000000007</v>
      </c>
      <c r="BR58">
        <v>3.6552910033913202</v>
      </c>
      <c r="BS58">
        <v>4303.0085691922623</v>
      </c>
      <c r="BT58">
        <v>4.8782386310627892</v>
      </c>
      <c r="BU58">
        <v>5742.6625164871157</v>
      </c>
      <c r="BV58">
        <v>4.5999046764466813</v>
      </c>
      <c r="BW58">
        <v>5415.0077851130336</v>
      </c>
      <c r="BX58">
        <v>24.434320053014279</v>
      </c>
      <c r="BY58">
        <v>28764.081566408411</v>
      </c>
      <c r="BZ58">
        <v>26.380338236288832</v>
      </c>
      <c r="CA58">
        <v>31054.934171759214</v>
      </c>
      <c r="CB58">
        <v>15</v>
      </c>
      <c r="CC58">
        <v>17658</v>
      </c>
      <c r="CD58">
        <v>19.373562952197734</v>
      </c>
      <c r="CE58">
        <v>22806.558307327174</v>
      </c>
      <c r="CF58">
        <v>47.175739165431075</v>
      </c>
      <c r="CG58">
        <v>55535.280145545461</v>
      </c>
      <c r="CH58">
        <v>52.177743630414099</v>
      </c>
      <c r="CI58">
        <v>61423.639801723482</v>
      </c>
      <c r="CJ58">
        <v>46.155697559511303</v>
      </c>
      <c r="CK58">
        <v>54334.487167056708</v>
      </c>
      <c r="CL58">
        <v>39.136938119210896</v>
      </c>
      <c r="CM58">
        <v>46072.003553935072</v>
      </c>
      <c r="CN58">
        <v>35</v>
      </c>
      <c r="CO58">
        <v>41202</v>
      </c>
      <c r="CP58">
        <v>62</v>
      </c>
      <c r="CQ58">
        <v>72986.400000000009</v>
      </c>
      <c r="CR58">
        <v>56.321520538792427</v>
      </c>
      <c r="CS58">
        <v>66301.693978266441</v>
      </c>
      <c r="CT58">
        <v>36.918407750180251</v>
      </c>
      <c r="CU58">
        <v>43460.349603512193</v>
      </c>
    </row>
    <row r="59" spans="2:99" x14ac:dyDescent="0.2">
      <c r="C59" s="105" t="s">
        <v>225</v>
      </c>
      <c r="D59">
        <v>12</v>
      </c>
      <c r="E59">
        <v>3643.2</v>
      </c>
      <c r="F59">
        <v>13</v>
      </c>
      <c r="G59">
        <v>3946.7999999999997</v>
      </c>
      <c r="H59">
        <v>7</v>
      </c>
      <c r="I59">
        <v>2125.1999999999998</v>
      </c>
      <c r="J59">
        <v>8</v>
      </c>
      <c r="K59">
        <v>2428.7999999999997</v>
      </c>
      <c r="L59">
        <v>11</v>
      </c>
      <c r="M59">
        <v>3339.5999999999995</v>
      </c>
      <c r="N59">
        <v>19</v>
      </c>
      <c r="O59">
        <v>5768.4</v>
      </c>
      <c r="P59">
        <v>10</v>
      </c>
      <c r="Q59">
        <v>3035.9999999999995</v>
      </c>
      <c r="R59">
        <v>10</v>
      </c>
      <c r="S59">
        <v>3035.9999999999995</v>
      </c>
      <c r="T59">
        <v>6</v>
      </c>
      <c r="U59">
        <v>1821.6</v>
      </c>
      <c r="V59">
        <v>6</v>
      </c>
      <c r="W59">
        <v>1821.6</v>
      </c>
      <c r="X59">
        <v>6</v>
      </c>
      <c r="Y59">
        <v>1821.6</v>
      </c>
      <c r="Z59">
        <v>3</v>
      </c>
      <c r="AA59">
        <v>910.8</v>
      </c>
      <c r="AB59">
        <v>8</v>
      </c>
      <c r="AC59">
        <v>2428.7999999999997</v>
      </c>
      <c r="AD59">
        <v>10</v>
      </c>
      <c r="AE59">
        <v>3035.9999999999995</v>
      </c>
      <c r="AF59">
        <v>7</v>
      </c>
      <c r="AG59">
        <v>2125.1999999999998</v>
      </c>
      <c r="AH59">
        <v>7</v>
      </c>
      <c r="AI59">
        <v>2125.1999999999998</v>
      </c>
      <c r="AJ59">
        <v>15</v>
      </c>
      <c r="AK59">
        <v>4553.9999999999991</v>
      </c>
      <c r="AL59">
        <v>20</v>
      </c>
      <c r="AM59">
        <v>6071.9999999999991</v>
      </c>
      <c r="AN59">
        <v>14</v>
      </c>
      <c r="AO59">
        <v>4250.3999999999996</v>
      </c>
      <c r="AP59">
        <v>16</v>
      </c>
      <c r="AQ59">
        <v>4857.5999999999995</v>
      </c>
      <c r="AR59">
        <v>46</v>
      </c>
      <c r="AS59">
        <v>13965.599999999999</v>
      </c>
      <c r="AT59">
        <v>54</v>
      </c>
      <c r="AU59">
        <v>16394.399999999998</v>
      </c>
      <c r="AV59">
        <v>63</v>
      </c>
      <c r="AW59">
        <v>19126.8</v>
      </c>
      <c r="AX59">
        <v>40</v>
      </c>
      <c r="AY59">
        <v>12143.999999999998</v>
      </c>
      <c r="AZ59">
        <v>17</v>
      </c>
      <c r="BA59">
        <v>5161.2</v>
      </c>
      <c r="BB59">
        <v>25</v>
      </c>
      <c r="BC59">
        <v>7589.9999999999991</v>
      </c>
      <c r="BD59">
        <v>15.058723562438095</v>
      </c>
      <c r="BE59">
        <v>4571.8284735562047</v>
      </c>
      <c r="BF59">
        <v>20</v>
      </c>
      <c r="BG59">
        <v>6071.9999999999991</v>
      </c>
      <c r="BH59">
        <v>26</v>
      </c>
      <c r="BI59">
        <v>7893.5999999999995</v>
      </c>
      <c r="BJ59">
        <v>23</v>
      </c>
      <c r="BK59">
        <v>6982.7999999999993</v>
      </c>
      <c r="BL59">
        <v>27.379175285018807</v>
      </c>
      <c r="BM59">
        <v>8312.3176165317091</v>
      </c>
      <c r="BN59">
        <v>25</v>
      </c>
      <c r="BO59">
        <v>7589.9999999999991</v>
      </c>
      <c r="BP59">
        <v>5</v>
      </c>
      <c r="BQ59">
        <v>1517.9999999999998</v>
      </c>
      <c r="BR59">
        <v>3</v>
      </c>
      <c r="BS59">
        <v>910.8</v>
      </c>
      <c r="BT59">
        <v>4</v>
      </c>
      <c r="BU59">
        <v>1214.3999999999999</v>
      </c>
      <c r="BV59">
        <v>4</v>
      </c>
      <c r="BW59">
        <v>1214.3999999999999</v>
      </c>
      <c r="BX59">
        <v>27</v>
      </c>
      <c r="BY59">
        <v>8197.1999999999989</v>
      </c>
      <c r="BZ59">
        <v>27</v>
      </c>
      <c r="CA59">
        <v>8197.1999999999989</v>
      </c>
      <c r="CB59">
        <v>17</v>
      </c>
      <c r="CC59">
        <v>5161.2</v>
      </c>
      <c r="CD59">
        <v>22</v>
      </c>
      <c r="CE59">
        <v>6679.1999999999989</v>
      </c>
      <c r="CF59">
        <v>55</v>
      </c>
      <c r="CG59">
        <v>16697.999999999996</v>
      </c>
      <c r="CH59">
        <v>58</v>
      </c>
      <c r="CI59">
        <v>17608.8</v>
      </c>
      <c r="CJ59">
        <v>46.068784116814946</v>
      </c>
      <c r="CK59">
        <v>13986.482857865016</v>
      </c>
      <c r="CL59">
        <v>48.185030740428608</v>
      </c>
      <c r="CM59">
        <v>14628.975332794123</v>
      </c>
      <c r="CN59">
        <v>48.10825815748796</v>
      </c>
      <c r="CO59">
        <v>14605.667176613342</v>
      </c>
      <c r="CP59">
        <v>73</v>
      </c>
      <c r="CQ59">
        <v>22162.799999999999</v>
      </c>
      <c r="CR59">
        <v>67.553910106355403</v>
      </c>
      <c r="CS59">
        <v>20509.367108289498</v>
      </c>
      <c r="CT59">
        <v>45</v>
      </c>
      <c r="CU59">
        <v>13661.999999999998</v>
      </c>
    </row>
    <row r="60" spans="2:99" x14ac:dyDescent="0.2">
      <c r="C60" s="105" t="s">
        <v>226</v>
      </c>
      <c r="D60">
        <v>11</v>
      </c>
      <c r="E60">
        <v>7167.6</v>
      </c>
      <c r="F60">
        <v>13</v>
      </c>
      <c r="G60">
        <v>8470.8000000000011</v>
      </c>
      <c r="H60">
        <v>6</v>
      </c>
      <c r="I60">
        <v>3909.6000000000004</v>
      </c>
      <c r="J60">
        <v>9</v>
      </c>
      <c r="K60">
        <v>5864.4000000000005</v>
      </c>
      <c r="L60">
        <v>11</v>
      </c>
      <c r="M60">
        <v>7167.6</v>
      </c>
      <c r="N60">
        <v>16</v>
      </c>
      <c r="O60">
        <v>10425.6</v>
      </c>
      <c r="P60">
        <v>11</v>
      </c>
      <c r="Q60">
        <v>7167.6</v>
      </c>
      <c r="R60">
        <v>12</v>
      </c>
      <c r="S60">
        <v>7819.2000000000007</v>
      </c>
      <c r="T60">
        <v>6</v>
      </c>
      <c r="U60">
        <v>3909.6000000000004</v>
      </c>
      <c r="V60">
        <v>5</v>
      </c>
      <c r="W60">
        <v>3258</v>
      </c>
      <c r="X60">
        <v>5</v>
      </c>
      <c r="Y60">
        <v>3258</v>
      </c>
      <c r="Z60">
        <v>3</v>
      </c>
      <c r="AA60">
        <v>1954.8000000000002</v>
      </c>
      <c r="AB60">
        <v>8</v>
      </c>
      <c r="AC60">
        <v>5212.8</v>
      </c>
      <c r="AD60">
        <v>9</v>
      </c>
      <c r="AE60">
        <v>5864.4000000000005</v>
      </c>
      <c r="AF60">
        <v>7</v>
      </c>
      <c r="AG60">
        <v>4561.2</v>
      </c>
      <c r="AH60">
        <v>7</v>
      </c>
      <c r="AI60">
        <v>4561.2</v>
      </c>
      <c r="AJ60">
        <v>14</v>
      </c>
      <c r="AK60">
        <v>9122.4</v>
      </c>
      <c r="AL60">
        <v>18</v>
      </c>
      <c r="AM60">
        <v>11728.800000000001</v>
      </c>
      <c r="AN60">
        <v>11</v>
      </c>
      <c r="AO60">
        <v>7167.6</v>
      </c>
      <c r="AP60">
        <v>15</v>
      </c>
      <c r="AQ60">
        <v>9774</v>
      </c>
      <c r="AR60">
        <v>43</v>
      </c>
      <c r="AS60">
        <v>28018.799999999999</v>
      </c>
      <c r="AT60">
        <v>48</v>
      </c>
      <c r="AU60">
        <v>31276.800000000003</v>
      </c>
      <c r="AV60">
        <v>54</v>
      </c>
      <c r="AW60">
        <v>35186.400000000001</v>
      </c>
      <c r="AX60">
        <v>38</v>
      </c>
      <c r="AY60">
        <v>24760.799999999999</v>
      </c>
      <c r="AZ60">
        <v>16</v>
      </c>
      <c r="BA60">
        <v>10425.6</v>
      </c>
      <c r="BB60">
        <v>21</v>
      </c>
      <c r="BC60">
        <v>13683.6</v>
      </c>
      <c r="BD60">
        <v>14.048046551085713</v>
      </c>
      <c r="BE60">
        <v>9153.7071326874502</v>
      </c>
      <c r="BF60">
        <v>20</v>
      </c>
      <c r="BG60">
        <v>13032</v>
      </c>
      <c r="BH60">
        <v>25</v>
      </c>
      <c r="BI60">
        <v>16290</v>
      </c>
      <c r="BJ60">
        <v>23</v>
      </c>
      <c r="BK60">
        <v>14986.800000000001</v>
      </c>
      <c r="BL60">
        <v>27.344251245609179</v>
      </c>
      <c r="BM60">
        <v>17817.514111638942</v>
      </c>
      <c r="BN60">
        <v>27</v>
      </c>
      <c r="BO60">
        <v>17593.2</v>
      </c>
      <c r="BP60">
        <v>5</v>
      </c>
      <c r="BQ60">
        <v>3258</v>
      </c>
      <c r="BR60">
        <v>3</v>
      </c>
      <c r="BS60">
        <v>1954.8000000000002</v>
      </c>
      <c r="BT60">
        <v>4</v>
      </c>
      <c r="BU60">
        <v>2606.4</v>
      </c>
      <c r="BV60">
        <v>4</v>
      </c>
      <c r="BW60">
        <v>2606.4</v>
      </c>
      <c r="BX60">
        <v>26</v>
      </c>
      <c r="BY60">
        <v>16941.600000000002</v>
      </c>
      <c r="BZ60">
        <v>27</v>
      </c>
      <c r="CA60">
        <v>17593.2</v>
      </c>
      <c r="CB60">
        <v>19</v>
      </c>
      <c r="CC60">
        <v>12380.4</v>
      </c>
      <c r="CD60">
        <v>22</v>
      </c>
      <c r="CE60">
        <v>14335.2</v>
      </c>
      <c r="CF60">
        <v>56</v>
      </c>
      <c r="CG60">
        <v>36489.599999999999</v>
      </c>
      <c r="CH60">
        <v>55</v>
      </c>
      <c r="CI60">
        <v>35838</v>
      </c>
      <c r="CJ60">
        <v>50.080248136284105</v>
      </c>
      <c r="CK60">
        <v>32632.289685602726</v>
      </c>
      <c r="CL60">
        <v>39.154192283690506</v>
      </c>
      <c r="CM60">
        <v>25512.871692052733</v>
      </c>
      <c r="CN60">
        <v>44.866326893513936</v>
      </c>
      <c r="CO60">
        <v>29234.898603813683</v>
      </c>
      <c r="CP60">
        <v>79</v>
      </c>
      <c r="CQ60">
        <v>51476.4</v>
      </c>
      <c r="CR60">
        <v>68.501981033884576</v>
      </c>
      <c r="CS60">
        <v>44635.890841679189</v>
      </c>
      <c r="CT60">
        <v>42</v>
      </c>
      <c r="CU60">
        <v>27367.200000000001</v>
      </c>
    </row>
    <row r="61" spans="2:99" x14ac:dyDescent="0.2">
      <c r="C61" s="105" t="s">
        <v>227</v>
      </c>
      <c r="D61">
        <v>13</v>
      </c>
      <c r="E61">
        <v>12370.8</v>
      </c>
      <c r="F61">
        <v>10</v>
      </c>
      <c r="G61">
        <v>9516</v>
      </c>
      <c r="H61">
        <v>6</v>
      </c>
      <c r="I61">
        <v>5709.5999999999995</v>
      </c>
      <c r="J61">
        <v>9</v>
      </c>
      <c r="K61">
        <v>8564.4</v>
      </c>
      <c r="L61">
        <v>12</v>
      </c>
      <c r="M61">
        <v>11419.199999999999</v>
      </c>
      <c r="N61">
        <v>17</v>
      </c>
      <c r="O61">
        <v>16177.199999999999</v>
      </c>
      <c r="P61">
        <v>10</v>
      </c>
      <c r="Q61">
        <v>9516</v>
      </c>
      <c r="R61">
        <v>10</v>
      </c>
      <c r="S61">
        <v>9516</v>
      </c>
      <c r="T61">
        <v>5</v>
      </c>
      <c r="U61">
        <v>4758</v>
      </c>
      <c r="V61">
        <v>5</v>
      </c>
      <c r="W61">
        <v>4758</v>
      </c>
      <c r="X61">
        <v>6</v>
      </c>
      <c r="Y61">
        <v>5709.5999999999995</v>
      </c>
      <c r="Z61">
        <v>4</v>
      </c>
      <c r="AA61">
        <v>3806.3999999999996</v>
      </c>
      <c r="AB61">
        <v>8</v>
      </c>
      <c r="AC61">
        <v>7612.7999999999993</v>
      </c>
      <c r="AD61">
        <v>9</v>
      </c>
      <c r="AE61">
        <v>8564.4</v>
      </c>
      <c r="AF61">
        <v>8</v>
      </c>
      <c r="AG61">
        <v>7612.7999999999993</v>
      </c>
      <c r="AH61">
        <v>7</v>
      </c>
      <c r="AI61">
        <v>6661.1999999999989</v>
      </c>
      <c r="AJ61">
        <v>13</v>
      </c>
      <c r="AK61">
        <v>12370.8</v>
      </c>
      <c r="AL61">
        <v>17</v>
      </c>
      <c r="AM61">
        <v>16177.199999999999</v>
      </c>
      <c r="AN61">
        <v>10</v>
      </c>
      <c r="AO61">
        <v>9516</v>
      </c>
      <c r="AP61">
        <v>13</v>
      </c>
      <c r="AQ61">
        <v>12370.8</v>
      </c>
      <c r="AR61">
        <v>43</v>
      </c>
      <c r="AS61">
        <v>40918.799999999996</v>
      </c>
      <c r="AT61">
        <v>49</v>
      </c>
      <c r="AU61">
        <v>46628.399999999994</v>
      </c>
      <c r="AV61">
        <v>54</v>
      </c>
      <c r="AW61">
        <v>51386.399999999994</v>
      </c>
      <c r="AX61">
        <v>42</v>
      </c>
      <c r="AY61">
        <v>39967.199999999997</v>
      </c>
      <c r="AZ61">
        <v>17</v>
      </c>
      <c r="BA61">
        <v>16177.199999999999</v>
      </c>
      <c r="BB61">
        <v>20</v>
      </c>
      <c r="BC61">
        <v>19032</v>
      </c>
      <c r="BD61">
        <v>12.048046551085713</v>
      </c>
      <c r="BE61">
        <v>11464.921098013163</v>
      </c>
      <c r="BF61">
        <v>20</v>
      </c>
      <c r="BG61">
        <v>19032</v>
      </c>
      <c r="BH61">
        <v>24</v>
      </c>
      <c r="BI61">
        <v>22838.399999999998</v>
      </c>
      <c r="BJ61">
        <v>21</v>
      </c>
      <c r="BK61">
        <v>19983.599999999999</v>
      </c>
      <c r="BL61">
        <v>28.354229542583358</v>
      </c>
      <c r="BM61">
        <v>26981.88483272232</v>
      </c>
      <c r="BN61">
        <v>26</v>
      </c>
      <c r="BO61">
        <v>24741.599999999999</v>
      </c>
      <c r="BP61">
        <v>5</v>
      </c>
      <c r="BQ61">
        <v>4758</v>
      </c>
      <c r="BR61">
        <v>3</v>
      </c>
      <c r="BS61">
        <v>2854.7999999999997</v>
      </c>
      <c r="BT61">
        <v>4</v>
      </c>
      <c r="BU61">
        <v>3806.3999999999996</v>
      </c>
      <c r="BV61">
        <v>4</v>
      </c>
      <c r="BW61">
        <v>3806.3999999999996</v>
      </c>
      <c r="BX61">
        <v>24</v>
      </c>
      <c r="BY61">
        <v>22838.399999999998</v>
      </c>
      <c r="BZ61">
        <v>24</v>
      </c>
      <c r="CA61">
        <v>22838.399999999998</v>
      </c>
      <c r="CB61">
        <v>17</v>
      </c>
      <c r="CC61">
        <v>16177.199999999999</v>
      </c>
      <c r="CD61">
        <v>21</v>
      </c>
      <c r="CE61">
        <v>19983.599999999999</v>
      </c>
      <c r="CF61">
        <v>48</v>
      </c>
      <c r="CG61">
        <v>45676.799999999996</v>
      </c>
      <c r="CH61">
        <v>59</v>
      </c>
      <c r="CI61">
        <v>56144.399999999994</v>
      </c>
      <c r="CJ61">
        <v>47.068784116814946</v>
      </c>
      <c r="CK61">
        <v>44790.654965561102</v>
      </c>
      <c r="CL61">
        <v>38.185030740428608</v>
      </c>
      <c r="CM61">
        <v>36336.875252591861</v>
      </c>
      <c r="CN61">
        <v>41.589834020400758</v>
      </c>
      <c r="CO61">
        <v>39576.886053813359</v>
      </c>
      <c r="CP61">
        <v>71.500962135549685</v>
      </c>
      <c r="CQ61">
        <v>68040.315568189078</v>
      </c>
      <c r="CR61">
        <v>68.441397116001966</v>
      </c>
      <c r="CS61">
        <v>65128.833495587467</v>
      </c>
      <c r="CT61">
        <v>38.741314328005366</v>
      </c>
      <c r="CU61">
        <v>36866.234714529906</v>
      </c>
    </row>
    <row r="62" spans="2:99" x14ac:dyDescent="0.2">
      <c r="C62" s="105" t="s">
        <v>228</v>
      </c>
      <c r="D62">
        <v>11</v>
      </c>
      <c r="E62">
        <v>18757.2</v>
      </c>
      <c r="F62">
        <v>11</v>
      </c>
      <c r="G62">
        <v>18757.2</v>
      </c>
      <c r="H62">
        <v>6</v>
      </c>
      <c r="I62">
        <v>10231.200000000001</v>
      </c>
      <c r="J62">
        <v>8</v>
      </c>
      <c r="K62">
        <v>13641.6</v>
      </c>
      <c r="L62">
        <v>9</v>
      </c>
      <c r="M62">
        <v>15346.800000000001</v>
      </c>
      <c r="N62">
        <v>16</v>
      </c>
      <c r="O62">
        <v>27283.200000000001</v>
      </c>
      <c r="P62">
        <v>10</v>
      </c>
      <c r="Q62">
        <v>17052</v>
      </c>
      <c r="R62">
        <v>9</v>
      </c>
      <c r="S62">
        <v>15346.800000000001</v>
      </c>
      <c r="T62">
        <v>5</v>
      </c>
      <c r="U62">
        <v>8526</v>
      </c>
      <c r="V62">
        <v>5</v>
      </c>
      <c r="W62">
        <v>8526</v>
      </c>
      <c r="X62">
        <v>5</v>
      </c>
      <c r="Y62">
        <v>8526</v>
      </c>
      <c r="Z62">
        <v>3</v>
      </c>
      <c r="AA62">
        <v>5115.6000000000004</v>
      </c>
      <c r="AB62">
        <v>7</v>
      </c>
      <c r="AC62">
        <v>11936.4</v>
      </c>
      <c r="AD62">
        <v>8</v>
      </c>
      <c r="AE62">
        <v>13641.6</v>
      </c>
      <c r="AF62">
        <v>8</v>
      </c>
      <c r="AG62">
        <v>13641.6</v>
      </c>
      <c r="AH62">
        <v>6</v>
      </c>
      <c r="AI62">
        <v>10231.200000000001</v>
      </c>
      <c r="AJ62">
        <v>13</v>
      </c>
      <c r="AK62">
        <v>22167.600000000002</v>
      </c>
      <c r="AL62">
        <v>15</v>
      </c>
      <c r="AM62">
        <v>25578</v>
      </c>
      <c r="AN62">
        <v>11</v>
      </c>
      <c r="AO62">
        <v>18757.2</v>
      </c>
      <c r="AP62">
        <v>13</v>
      </c>
      <c r="AQ62">
        <v>22167.600000000002</v>
      </c>
      <c r="AR62">
        <v>35</v>
      </c>
      <c r="AS62">
        <v>59682</v>
      </c>
      <c r="AT62">
        <v>46</v>
      </c>
      <c r="AU62">
        <v>78439.199999999997</v>
      </c>
      <c r="AV62">
        <v>48</v>
      </c>
      <c r="AW62">
        <v>81849.600000000006</v>
      </c>
      <c r="AX62">
        <v>34</v>
      </c>
      <c r="AY62">
        <v>57976.800000000003</v>
      </c>
      <c r="AZ62">
        <v>15</v>
      </c>
      <c r="BA62">
        <v>25578</v>
      </c>
      <c r="BB62">
        <v>22</v>
      </c>
      <c r="BC62">
        <v>37514.400000000001</v>
      </c>
      <c r="BD62">
        <v>11.053385056761904</v>
      </c>
      <c r="BE62">
        <v>18848.2321987904</v>
      </c>
      <c r="BF62">
        <v>17</v>
      </c>
      <c r="BG62">
        <v>28988.400000000001</v>
      </c>
      <c r="BH62">
        <v>25</v>
      </c>
      <c r="BI62">
        <v>42630</v>
      </c>
      <c r="BJ62">
        <v>21</v>
      </c>
      <c r="BK62">
        <v>35809.200000000004</v>
      </c>
      <c r="BL62">
        <v>25.274403166789924</v>
      </c>
      <c r="BM62">
        <v>43097.912280010176</v>
      </c>
      <c r="BN62">
        <v>24</v>
      </c>
      <c r="BO62">
        <v>40924.800000000003</v>
      </c>
      <c r="BP62">
        <v>5</v>
      </c>
      <c r="BQ62">
        <v>8526</v>
      </c>
      <c r="BR62">
        <v>3</v>
      </c>
      <c r="BS62">
        <v>5115.6000000000004</v>
      </c>
      <c r="BT62">
        <v>4</v>
      </c>
      <c r="BU62">
        <v>6820.8</v>
      </c>
      <c r="BV62">
        <v>4</v>
      </c>
      <c r="BW62">
        <v>6820.8</v>
      </c>
      <c r="BX62">
        <v>21</v>
      </c>
      <c r="BY62">
        <v>35809.200000000004</v>
      </c>
      <c r="BZ62">
        <v>21</v>
      </c>
      <c r="CA62">
        <v>35809.200000000004</v>
      </c>
      <c r="CB62">
        <v>16</v>
      </c>
      <c r="CC62">
        <v>27283.200000000001</v>
      </c>
      <c r="CD62">
        <v>18</v>
      </c>
      <c r="CE62">
        <v>30693.600000000002</v>
      </c>
      <c r="CF62">
        <v>48</v>
      </c>
      <c r="CG62">
        <v>81849.600000000006</v>
      </c>
      <c r="CH62">
        <v>46</v>
      </c>
      <c r="CI62">
        <v>78439.199999999997</v>
      </c>
      <c r="CJ62">
        <v>40.057320097345787</v>
      </c>
      <c r="CK62">
        <v>68305.742229994037</v>
      </c>
      <c r="CL62">
        <v>36.185030740428608</v>
      </c>
      <c r="CM62">
        <v>61702.714418578864</v>
      </c>
      <c r="CN62">
        <v>36.624395629539904</v>
      </c>
      <c r="CO62">
        <v>62451.919427491448</v>
      </c>
      <c r="CP62">
        <v>60</v>
      </c>
      <c r="CQ62">
        <v>102312</v>
      </c>
      <c r="CR62">
        <v>55.380813198119341</v>
      </c>
      <c r="CS62">
        <v>94435.362665433102</v>
      </c>
      <c r="CT62">
        <v>34</v>
      </c>
      <c r="CU62">
        <v>57976.800000000003</v>
      </c>
    </row>
    <row r="63" spans="2:99" x14ac:dyDescent="0.2">
      <c r="C63" s="105" t="s">
        <v>229</v>
      </c>
      <c r="D63">
        <v>12</v>
      </c>
      <c r="E63">
        <v>9547.2000000000007</v>
      </c>
      <c r="F63">
        <v>12</v>
      </c>
      <c r="G63">
        <v>9547.2000000000007</v>
      </c>
      <c r="H63">
        <v>6</v>
      </c>
      <c r="I63">
        <v>4773.6000000000004</v>
      </c>
      <c r="J63">
        <v>9</v>
      </c>
      <c r="K63">
        <v>7160.4000000000005</v>
      </c>
      <c r="L63">
        <v>12</v>
      </c>
      <c r="M63">
        <v>9547.2000000000007</v>
      </c>
      <c r="N63">
        <v>17</v>
      </c>
      <c r="O63">
        <v>13525.2</v>
      </c>
      <c r="P63">
        <v>9</v>
      </c>
      <c r="Q63">
        <v>7160.4000000000005</v>
      </c>
      <c r="R63">
        <v>11</v>
      </c>
      <c r="S63">
        <v>8751.6</v>
      </c>
      <c r="T63">
        <v>6</v>
      </c>
      <c r="U63">
        <v>4773.6000000000004</v>
      </c>
      <c r="V63">
        <v>5</v>
      </c>
      <c r="W63">
        <v>3978</v>
      </c>
      <c r="X63">
        <v>5</v>
      </c>
      <c r="Y63">
        <v>3978</v>
      </c>
      <c r="Z63">
        <v>4</v>
      </c>
      <c r="AA63">
        <v>3182.4</v>
      </c>
      <c r="AB63">
        <v>7</v>
      </c>
      <c r="AC63">
        <v>5569.2</v>
      </c>
      <c r="AD63">
        <v>9</v>
      </c>
      <c r="AE63">
        <v>7160.4000000000005</v>
      </c>
      <c r="AF63">
        <v>7</v>
      </c>
      <c r="AG63">
        <v>5569.2</v>
      </c>
      <c r="AH63">
        <v>6</v>
      </c>
      <c r="AI63">
        <v>4773.6000000000004</v>
      </c>
      <c r="AJ63">
        <v>16</v>
      </c>
      <c r="AK63">
        <v>12729.6</v>
      </c>
      <c r="AL63">
        <v>16</v>
      </c>
      <c r="AM63">
        <v>12729.6</v>
      </c>
      <c r="AN63">
        <v>13</v>
      </c>
      <c r="AO63">
        <v>10342.800000000001</v>
      </c>
      <c r="AP63">
        <v>15</v>
      </c>
      <c r="AQ63">
        <v>11934</v>
      </c>
      <c r="AR63">
        <v>43</v>
      </c>
      <c r="AS63">
        <v>34210.800000000003</v>
      </c>
      <c r="AT63">
        <v>45</v>
      </c>
      <c r="AU63">
        <v>35802</v>
      </c>
      <c r="AV63">
        <v>48</v>
      </c>
      <c r="AW63">
        <v>38188.800000000003</v>
      </c>
      <c r="AX63">
        <v>37</v>
      </c>
      <c r="AY63">
        <v>29437.200000000001</v>
      </c>
      <c r="AZ63">
        <v>16</v>
      </c>
      <c r="BA63">
        <v>12729.6</v>
      </c>
      <c r="BB63">
        <v>24</v>
      </c>
      <c r="BC63">
        <v>19094.400000000001</v>
      </c>
      <c r="BD63">
        <v>14.058723562438095</v>
      </c>
      <c r="BE63">
        <v>11185.120466275748</v>
      </c>
      <c r="BF63">
        <v>19</v>
      </c>
      <c r="BG63">
        <v>15116.4</v>
      </c>
      <c r="BH63">
        <v>25</v>
      </c>
      <c r="BI63">
        <v>19890</v>
      </c>
      <c r="BJ63">
        <v>22</v>
      </c>
      <c r="BK63">
        <v>17503.2</v>
      </c>
      <c r="BL63">
        <v>26.364207839557537</v>
      </c>
      <c r="BM63">
        <v>20975.363757151976</v>
      </c>
      <c r="BN63">
        <v>25</v>
      </c>
      <c r="BO63">
        <v>19890</v>
      </c>
      <c r="BP63">
        <v>5</v>
      </c>
      <c r="BQ63">
        <v>3978</v>
      </c>
      <c r="BR63">
        <v>3</v>
      </c>
      <c r="BS63">
        <v>2386.8000000000002</v>
      </c>
      <c r="BT63">
        <v>4</v>
      </c>
      <c r="BU63">
        <v>3182.4</v>
      </c>
      <c r="BV63">
        <v>4</v>
      </c>
      <c r="BW63">
        <v>3182.4</v>
      </c>
      <c r="BX63">
        <v>27</v>
      </c>
      <c r="BY63">
        <v>21481.200000000001</v>
      </c>
      <c r="BZ63">
        <v>24</v>
      </c>
      <c r="CA63">
        <v>19094.400000000001</v>
      </c>
      <c r="CB63">
        <v>16</v>
      </c>
      <c r="CC63">
        <v>12729.6</v>
      </c>
      <c r="CD63">
        <v>23</v>
      </c>
      <c r="CE63">
        <v>18298.8</v>
      </c>
      <c r="CF63">
        <v>56</v>
      </c>
      <c r="CG63">
        <v>44553.599999999999</v>
      </c>
      <c r="CH63">
        <v>58</v>
      </c>
      <c r="CI63">
        <v>46144.800000000003</v>
      </c>
      <c r="CJ63">
        <v>50.068784116814946</v>
      </c>
      <c r="CK63">
        <v>39834.72464333797</v>
      </c>
      <c r="CL63">
        <v>41.154192283690506</v>
      </c>
      <c r="CM63">
        <v>32742.275380904168</v>
      </c>
      <c r="CN63">
        <v>45.728080456957343</v>
      </c>
      <c r="CO63">
        <v>36381.260811555265</v>
      </c>
      <c r="CP63">
        <v>78.367543279056378</v>
      </c>
      <c r="CQ63">
        <v>62349.217432817255</v>
      </c>
      <c r="CR63">
        <v>64.45870680682556</v>
      </c>
      <c r="CS63">
        <v>51283.347135510419</v>
      </c>
      <c r="CT63">
        <v>36</v>
      </c>
      <c r="CU63">
        <v>28641.600000000002</v>
      </c>
    </row>
    <row r="64" spans="2:99" x14ac:dyDescent="0.2">
      <c r="C64" s="105" t="s">
        <v>230</v>
      </c>
      <c r="D64">
        <v>12</v>
      </c>
      <c r="E64">
        <v>12110.399999999998</v>
      </c>
      <c r="F64">
        <v>10</v>
      </c>
      <c r="G64">
        <v>10091.999999999998</v>
      </c>
      <c r="H64">
        <v>7</v>
      </c>
      <c r="I64">
        <v>7064.3999999999987</v>
      </c>
      <c r="J64">
        <v>8</v>
      </c>
      <c r="K64">
        <v>8073.5999999999985</v>
      </c>
      <c r="L64">
        <v>12</v>
      </c>
      <c r="M64">
        <v>12110.399999999998</v>
      </c>
      <c r="N64">
        <v>17</v>
      </c>
      <c r="O64">
        <v>17156.399999999998</v>
      </c>
      <c r="P64">
        <v>9</v>
      </c>
      <c r="Q64">
        <v>9082.7999999999993</v>
      </c>
      <c r="R64">
        <v>11</v>
      </c>
      <c r="S64">
        <v>11101.199999999997</v>
      </c>
      <c r="T64">
        <v>5</v>
      </c>
      <c r="U64">
        <v>5045.9999999999991</v>
      </c>
      <c r="V64">
        <v>5</v>
      </c>
      <c r="W64">
        <v>5045.9999999999991</v>
      </c>
      <c r="X64">
        <v>5</v>
      </c>
      <c r="Y64">
        <v>5045.9999999999991</v>
      </c>
      <c r="Z64">
        <v>4</v>
      </c>
      <c r="AA64">
        <v>4036.7999999999993</v>
      </c>
      <c r="AB64">
        <v>8</v>
      </c>
      <c r="AC64">
        <v>8073.5999999999985</v>
      </c>
      <c r="AD64">
        <v>10</v>
      </c>
      <c r="AE64">
        <v>10091.999999999998</v>
      </c>
      <c r="AF64">
        <v>8</v>
      </c>
      <c r="AG64">
        <v>8073.5999999999985</v>
      </c>
      <c r="AH64">
        <v>7</v>
      </c>
      <c r="AI64">
        <v>7064.3999999999987</v>
      </c>
      <c r="AJ64">
        <v>14</v>
      </c>
      <c r="AK64">
        <v>14128.799999999997</v>
      </c>
      <c r="AL64">
        <v>15</v>
      </c>
      <c r="AM64">
        <v>15137.999999999996</v>
      </c>
      <c r="AN64">
        <v>12</v>
      </c>
      <c r="AO64">
        <v>12110.399999999998</v>
      </c>
      <c r="AP64">
        <v>14</v>
      </c>
      <c r="AQ64">
        <v>14128.799999999997</v>
      </c>
      <c r="AR64">
        <v>38</v>
      </c>
      <c r="AS64">
        <v>38349.599999999991</v>
      </c>
      <c r="AT64">
        <v>46</v>
      </c>
      <c r="AU64">
        <v>46423.19999999999</v>
      </c>
      <c r="AV64">
        <v>49</v>
      </c>
      <c r="AW64">
        <v>49450.799999999988</v>
      </c>
      <c r="AX64">
        <v>35</v>
      </c>
      <c r="AY64">
        <v>35321.999999999993</v>
      </c>
      <c r="AZ64">
        <v>17</v>
      </c>
      <c r="BA64">
        <v>17156.399999999998</v>
      </c>
      <c r="BB64">
        <v>19</v>
      </c>
      <c r="BC64">
        <v>19174.799999999996</v>
      </c>
      <c r="BD64">
        <v>12.053385056761904</v>
      </c>
      <c r="BE64">
        <v>12164.276199284111</v>
      </c>
      <c r="BF64">
        <v>21</v>
      </c>
      <c r="BG64">
        <v>21193.199999999997</v>
      </c>
      <c r="BH64">
        <v>28</v>
      </c>
      <c r="BI64">
        <v>28257.599999999995</v>
      </c>
      <c r="BJ64">
        <v>21</v>
      </c>
      <c r="BK64">
        <v>21193.199999999997</v>
      </c>
      <c r="BL64">
        <v>25.314316354686643</v>
      </c>
      <c r="BM64">
        <v>25547.208065149756</v>
      </c>
      <c r="BN64">
        <v>22</v>
      </c>
      <c r="BO64">
        <v>22202.399999999994</v>
      </c>
      <c r="BP64">
        <v>5</v>
      </c>
      <c r="BQ64">
        <v>5045.9999999999991</v>
      </c>
      <c r="BR64">
        <v>3</v>
      </c>
      <c r="BS64">
        <v>3027.5999999999995</v>
      </c>
      <c r="BT64">
        <v>4</v>
      </c>
      <c r="BU64">
        <v>4036.7999999999993</v>
      </c>
      <c r="BV64">
        <v>4</v>
      </c>
      <c r="BW64">
        <v>4036.7999999999993</v>
      </c>
      <c r="BX64">
        <v>22</v>
      </c>
      <c r="BY64">
        <v>22202.399999999994</v>
      </c>
      <c r="BZ64">
        <v>23</v>
      </c>
      <c r="CA64">
        <v>23211.599999999995</v>
      </c>
      <c r="CB64">
        <v>16</v>
      </c>
      <c r="CC64">
        <v>16147.199999999997</v>
      </c>
      <c r="CD64">
        <v>22</v>
      </c>
      <c r="CE64">
        <v>22202.399999999994</v>
      </c>
      <c r="CF64">
        <v>48</v>
      </c>
      <c r="CG64">
        <v>48441.599999999991</v>
      </c>
      <c r="CH64">
        <v>57</v>
      </c>
      <c r="CI64">
        <v>57524.399999999987</v>
      </c>
      <c r="CJ64">
        <v>48.068784116814946</v>
      </c>
      <c r="CK64">
        <v>48511.016930689635</v>
      </c>
      <c r="CL64">
        <v>40.154192283690506</v>
      </c>
      <c r="CM64">
        <v>40523.610852700454</v>
      </c>
      <c r="CN64">
        <v>36.555272411261612</v>
      </c>
      <c r="CO64">
        <v>36891.580917445215</v>
      </c>
      <c r="CP64">
        <v>74.534316849673004</v>
      </c>
      <c r="CQ64">
        <v>75220.032564689987</v>
      </c>
      <c r="CR64">
        <v>58.458706806825568</v>
      </c>
      <c r="CS64">
        <v>58996.526909448352</v>
      </c>
      <c r="CT64">
        <v>41</v>
      </c>
      <c r="CU64">
        <v>41377.19999999999</v>
      </c>
    </row>
    <row r="65" spans="2:99" x14ac:dyDescent="0.2">
      <c r="C65" s="105" t="s">
        <v>231</v>
      </c>
      <c r="D65">
        <v>11</v>
      </c>
      <c r="E65">
        <v>11286</v>
      </c>
      <c r="F65">
        <v>11</v>
      </c>
      <c r="G65">
        <v>11286</v>
      </c>
      <c r="H65">
        <v>7</v>
      </c>
      <c r="I65">
        <v>7182</v>
      </c>
      <c r="J65">
        <v>9</v>
      </c>
      <c r="K65">
        <v>9234</v>
      </c>
      <c r="L65">
        <v>12</v>
      </c>
      <c r="M65">
        <v>12312</v>
      </c>
      <c r="N65">
        <v>17</v>
      </c>
      <c r="O65">
        <v>17442</v>
      </c>
      <c r="P65">
        <v>10</v>
      </c>
      <c r="Q65">
        <v>10260</v>
      </c>
      <c r="R65">
        <v>10</v>
      </c>
      <c r="S65">
        <v>10260</v>
      </c>
      <c r="T65">
        <v>6</v>
      </c>
      <c r="U65">
        <v>6156</v>
      </c>
      <c r="V65">
        <v>5</v>
      </c>
      <c r="W65">
        <v>5130</v>
      </c>
      <c r="X65">
        <v>5</v>
      </c>
      <c r="Y65">
        <v>5130</v>
      </c>
      <c r="Z65">
        <v>3</v>
      </c>
      <c r="AA65">
        <v>3078</v>
      </c>
      <c r="AB65">
        <v>8</v>
      </c>
      <c r="AC65">
        <v>8208</v>
      </c>
      <c r="AD65">
        <v>9</v>
      </c>
      <c r="AE65">
        <v>9234</v>
      </c>
      <c r="AF65">
        <v>8</v>
      </c>
      <c r="AG65">
        <v>8208</v>
      </c>
      <c r="AH65">
        <v>6</v>
      </c>
      <c r="AI65">
        <v>6156</v>
      </c>
      <c r="AJ65">
        <v>13</v>
      </c>
      <c r="AK65">
        <v>13338</v>
      </c>
      <c r="AL65">
        <v>18</v>
      </c>
      <c r="AM65">
        <v>18468</v>
      </c>
      <c r="AN65">
        <v>12</v>
      </c>
      <c r="AO65">
        <v>12312</v>
      </c>
      <c r="AP65">
        <v>15</v>
      </c>
      <c r="AQ65">
        <v>15390</v>
      </c>
      <c r="AR65">
        <v>39</v>
      </c>
      <c r="AS65">
        <v>40014</v>
      </c>
      <c r="AT65">
        <v>48</v>
      </c>
      <c r="AU65">
        <v>49248</v>
      </c>
      <c r="AV65">
        <v>50</v>
      </c>
      <c r="AW65">
        <v>51300</v>
      </c>
      <c r="AX65">
        <v>39</v>
      </c>
      <c r="AY65">
        <v>40014</v>
      </c>
      <c r="AZ65">
        <v>18</v>
      </c>
      <c r="BA65">
        <v>18468</v>
      </c>
      <c r="BB65">
        <v>22</v>
      </c>
      <c r="BC65">
        <v>22572</v>
      </c>
      <c r="BD65">
        <v>13.053385056761904</v>
      </c>
      <c r="BE65">
        <v>13392.773068237713</v>
      </c>
      <c r="BF65">
        <v>18</v>
      </c>
      <c r="BG65">
        <v>18468</v>
      </c>
      <c r="BH65">
        <v>28</v>
      </c>
      <c r="BI65">
        <v>28728</v>
      </c>
      <c r="BJ65">
        <v>21</v>
      </c>
      <c r="BK65">
        <v>21546</v>
      </c>
      <c r="BL65">
        <v>26.329283800147909</v>
      </c>
      <c r="BM65">
        <v>27013.845178951753</v>
      </c>
      <c r="BN65">
        <v>23</v>
      </c>
      <c r="BO65">
        <v>23598</v>
      </c>
      <c r="BP65">
        <v>5</v>
      </c>
      <c r="BQ65">
        <v>5130</v>
      </c>
      <c r="BR65">
        <v>4</v>
      </c>
      <c r="BS65">
        <v>4104</v>
      </c>
      <c r="BT65">
        <v>4</v>
      </c>
      <c r="BU65">
        <v>4104</v>
      </c>
      <c r="BV65">
        <v>4</v>
      </c>
      <c r="BW65">
        <v>4104</v>
      </c>
      <c r="BX65">
        <v>25</v>
      </c>
      <c r="BY65">
        <v>25650</v>
      </c>
      <c r="BZ65">
        <v>25</v>
      </c>
      <c r="CA65">
        <v>25650</v>
      </c>
      <c r="CB65">
        <v>17</v>
      </c>
      <c r="CC65">
        <v>17442</v>
      </c>
      <c r="CD65">
        <v>22</v>
      </c>
      <c r="CE65">
        <v>22572</v>
      </c>
      <c r="CF65">
        <v>50</v>
      </c>
      <c r="CG65">
        <v>51300</v>
      </c>
      <c r="CH65">
        <v>57</v>
      </c>
      <c r="CI65">
        <v>58482</v>
      </c>
      <c r="CJ65">
        <v>47.068784116814946</v>
      </c>
      <c r="CK65">
        <v>48292.572503852134</v>
      </c>
      <c r="CL65">
        <v>36.185030740428608</v>
      </c>
      <c r="CM65">
        <v>37125.84153967975</v>
      </c>
      <c r="CN65">
        <v>39.728080456957343</v>
      </c>
      <c r="CO65">
        <v>40761.010548838232</v>
      </c>
      <c r="CP65">
        <v>71.367543279056378</v>
      </c>
      <c r="CQ65">
        <v>73223.099404311841</v>
      </c>
      <c r="CR65">
        <v>62.450051961413763</v>
      </c>
      <c r="CS65">
        <v>64073.753312410518</v>
      </c>
      <c r="CT65">
        <v>41.741314328005366</v>
      </c>
      <c r="CU65">
        <v>42826.588500533508</v>
      </c>
    </row>
    <row r="66" spans="2:99" x14ac:dyDescent="0.2">
      <c r="C66" s="105" t="s">
        <v>232</v>
      </c>
      <c r="D66">
        <v>13</v>
      </c>
      <c r="E66">
        <v>15475.199999999999</v>
      </c>
      <c r="F66">
        <v>11</v>
      </c>
      <c r="G66">
        <v>13094.399999999998</v>
      </c>
      <c r="H66">
        <v>6</v>
      </c>
      <c r="I66">
        <v>7142.4</v>
      </c>
      <c r="J66">
        <v>9</v>
      </c>
      <c r="K66">
        <v>10713.599999999999</v>
      </c>
      <c r="L66">
        <v>12</v>
      </c>
      <c r="M66">
        <v>14284.8</v>
      </c>
      <c r="N66">
        <v>16</v>
      </c>
      <c r="O66">
        <v>19046.399999999998</v>
      </c>
      <c r="P66">
        <v>10</v>
      </c>
      <c r="Q66">
        <v>11903.999999999998</v>
      </c>
      <c r="R66">
        <v>9</v>
      </c>
      <c r="S66">
        <v>10713.599999999999</v>
      </c>
      <c r="T66">
        <v>6</v>
      </c>
      <c r="U66">
        <v>7142.4</v>
      </c>
      <c r="V66">
        <v>5</v>
      </c>
      <c r="W66">
        <v>5951.9999999999991</v>
      </c>
      <c r="X66">
        <v>5</v>
      </c>
      <c r="Y66">
        <v>5951.9999999999991</v>
      </c>
      <c r="Z66">
        <v>3</v>
      </c>
      <c r="AA66">
        <v>3571.2</v>
      </c>
      <c r="AB66">
        <v>8</v>
      </c>
      <c r="AC66">
        <v>9523.1999999999989</v>
      </c>
      <c r="AD66">
        <v>9</v>
      </c>
      <c r="AE66">
        <v>10713.599999999999</v>
      </c>
      <c r="AF66">
        <v>7</v>
      </c>
      <c r="AG66">
        <v>8332.7999999999993</v>
      </c>
      <c r="AH66">
        <v>6</v>
      </c>
      <c r="AI66">
        <v>7142.4</v>
      </c>
      <c r="AJ66">
        <v>15</v>
      </c>
      <c r="AK66">
        <v>17855.999999999996</v>
      </c>
      <c r="AL66">
        <v>16</v>
      </c>
      <c r="AM66">
        <v>19046.399999999998</v>
      </c>
      <c r="AN66">
        <v>12</v>
      </c>
      <c r="AO66">
        <v>14284.8</v>
      </c>
      <c r="AP66">
        <v>13</v>
      </c>
      <c r="AQ66">
        <v>15475.199999999999</v>
      </c>
      <c r="AR66">
        <v>43</v>
      </c>
      <c r="AS66">
        <v>51187.199999999997</v>
      </c>
      <c r="AT66">
        <v>49</v>
      </c>
      <c r="AU66">
        <v>58329.599999999991</v>
      </c>
      <c r="AV66">
        <v>46</v>
      </c>
      <c r="AW66">
        <v>54758.399999999994</v>
      </c>
      <c r="AX66">
        <v>39</v>
      </c>
      <c r="AY66">
        <v>46425.599999999991</v>
      </c>
      <c r="AZ66">
        <v>18</v>
      </c>
      <c r="BA66">
        <v>21427.199999999997</v>
      </c>
      <c r="BB66">
        <v>20</v>
      </c>
      <c r="BC66">
        <v>23807.999999999996</v>
      </c>
      <c r="BD66">
        <v>12.053385056761904</v>
      </c>
      <c r="BE66">
        <v>14348.34957156937</v>
      </c>
      <c r="BF66">
        <v>20</v>
      </c>
      <c r="BG66">
        <v>23807.999999999996</v>
      </c>
      <c r="BH66">
        <v>28</v>
      </c>
      <c r="BI66">
        <v>33331.199999999997</v>
      </c>
      <c r="BJ66">
        <v>19</v>
      </c>
      <c r="BK66">
        <v>22617.599999999999</v>
      </c>
      <c r="BL66">
        <v>24.324294651660821</v>
      </c>
      <c r="BM66">
        <v>28955.640353337039</v>
      </c>
      <c r="BN66">
        <v>22</v>
      </c>
      <c r="BO66">
        <v>26188.799999999996</v>
      </c>
      <c r="BP66">
        <v>5</v>
      </c>
      <c r="BQ66">
        <v>5951.9999999999991</v>
      </c>
      <c r="BR66">
        <v>3</v>
      </c>
      <c r="BS66">
        <v>3571.2</v>
      </c>
      <c r="BT66">
        <v>4</v>
      </c>
      <c r="BU66">
        <v>4761.5999999999995</v>
      </c>
      <c r="BV66">
        <v>4</v>
      </c>
      <c r="BW66">
        <v>4761.5999999999995</v>
      </c>
      <c r="BX66">
        <v>22</v>
      </c>
      <c r="BY66">
        <v>26188.799999999996</v>
      </c>
      <c r="BZ66">
        <v>25</v>
      </c>
      <c r="CA66">
        <v>29759.999999999996</v>
      </c>
      <c r="CB66">
        <v>17</v>
      </c>
      <c r="CC66">
        <v>20236.8</v>
      </c>
      <c r="CD66">
        <v>20</v>
      </c>
      <c r="CE66">
        <v>23807.999999999996</v>
      </c>
      <c r="CF66">
        <v>48</v>
      </c>
      <c r="CG66">
        <v>57139.199999999997</v>
      </c>
      <c r="CH66">
        <v>48</v>
      </c>
      <c r="CI66">
        <v>57139.199999999997</v>
      </c>
      <c r="CJ66">
        <v>43.068784116814946</v>
      </c>
      <c r="CK66">
        <v>51269.080612656508</v>
      </c>
      <c r="CL66">
        <v>40.185030740428608</v>
      </c>
      <c r="CM66">
        <v>47836.260593406208</v>
      </c>
      <c r="CN66">
        <v>42.693518847818197</v>
      </c>
      <c r="CO66">
        <v>50822.364836442779</v>
      </c>
      <c r="CP66">
        <v>69.300833850809724</v>
      </c>
      <c r="CQ66">
        <v>82495.71261600389</v>
      </c>
      <c r="CR66">
        <v>66.432742270590154</v>
      </c>
      <c r="CS66">
        <v>79081.53639891051</v>
      </c>
      <c r="CT66">
        <v>39</v>
      </c>
      <c r="CU66">
        <v>46425.599999999991</v>
      </c>
    </row>
    <row r="67" spans="2:99" x14ac:dyDescent="0.2">
      <c r="C67" s="105" t="s">
        <v>233</v>
      </c>
      <c r="D67">
        <v>11</v>
      </c>
      <c r="E67">
        <v>12355.2</v>
      </c>
      <c r="F67">
        <v>10</v>
      </c>
      <c r="G67">
        <v>11232</v>
      </c>
      <c r="H67">
        <v>7</v>
      </c>
      <c r="I67">
        <v>7862.4000000000005</v>
      </c>
      <c r="J67">
        <v>9</v>
      </c>
      <c r="K67">
        <v>10108.800000000001</v>
      </c>
      <c r="L67">
        <v>11</v>
      </c>
      <c r="M67">
        <v>12355.2</v>
      </c>
      <c r="N67">
        <v>18</v>
      </c>
      <c r="O67">
        <v>20217.600000000002</v>
      </c>
      <c r="P67">
        <v>9</v>
      </c>
      <c r="Q67">
        <v>10108.800000000001</v>
      </c>
      <c r="R67">
        <v>10</v>
      </c>
      <c r="S67">
        <v>11232</v>
      </c>
      <c r="T67">
        <v>5</v>
      </c>
      <c r="U67">
        <v>5616</v>
      </c>
      <c r="V67">
        <v>5</v>
      </c>
      <c r="W67">
        <v>5616</v>
      </c>
      <c r="X67">
        <v>5</v>
      </c>
      <c r="Y67">
        <v>5616</v>
      </c>
      <c r="Z67">
        <v>4</v>
      </c>
      <c r="AA67">
        <v>4492.8</v>
      </c>
      <c r="AB67">
        <v>8</v>
      </c>
      <c r="AC67">
        <v>8985.6</v>
      </c>
      <c r="AD67">
        <v>8</v>
      </c>
      <c r="AE67">
        <v>8985.6</v>
      </c>
      <c r="AF67">
        <v>8</v>
      </c>
      <c r="AG67">
        <v>8985.6</v>
      </c>
      <c r="AH67">
        <v>6</v>
      </c>
      <c r="AI67">
        <v>6739.2000000000007</v>
      </c>
      <c r="AJ67">
        <v>16</v>
      </c>
      <c r="AK67">
        <v>17971.2</v>
      </c>
      <c r="AL67">
        <v>16</v>
      </c>
      <c r="AM67">
        <v>17971.2</v>
      </c>
      <c r="AN67">
        <v>12</v>
      </c>
      <c r="AO67">
        <v>13478.400000000001</v>
      </c>
      <c r="AP67">
        <v>15</v>
      </c>
      <c r="AQ67">
        <v>16848</v>
      </c>
      <c r="AR67">
        <v>38</v>
      </c>
      <c r="AS67">
        <v>42681.599999999999</v>
      </c>
      <c r="AT67">
        <v>45</v>
      </c>
      <c r="AU67">
        <v>50544</v>
      </c>
      <c r="AV67">
        <v>49</v>
      </c>
      <c r="AW67">
        <v>55036.800000000003</v>
      </c>
      <c r="AX67">
        <v>38</v>
      </c>
      <c r="AY67">
        <v>42681.599999999999</v>
      </c>
      <c r="AZ67">
        <v>17</v>
      </c>
      <c r="BA67">
        <v>19094.400000000001</v>
      </c>
      <c r="BB67">
        <v>19</v>
      </c>
      <c r="BC67">
        <v>21340.799999999999</v>
      </c>
      <c r="BD67">
        <v>13.053385056761904</v>
      </c>
      <c r="BE67">
        <v>14661.562095754971</v>
      </c>
      <c r="BF67">
        <v>21</v>
      </c>
      <c r="BG67">
        <v>23587.200000000001</v>
      </c>
      <c r="BH67">
        <v>26</v>
      </c>
      <c r="BI67">
        <v>29203.200000000001</v>
      </c>
      <c r="BJ67">
        <v>21</v>
      </c>
      <c r="BK67">
        <v>23587.200000000001</v>
      </c>
      <c r="BL67">
        <v>23.329283800147909</v>
      </c>
      <c r="BM67">
        <v>26203.451564326133</v>
      </c>
      <c r="BN67">
        <v>26</v>
      </c>
      <c r="BO67">
        <v>29203.200000000001</v>
      </c>
      <c r="BP67">
        <v>5</v>
      </c>
      <c r="BQ67">
        <v>5616</v>
      </c>
      <c r="BR67">
        <v>4</v>
      </c>
      <c r="BS67">
        <v>4492.8</v>
      </c>
      <c r="BT67">
        <v>4</v>
      </c>
      <c r="BU67">
        <v>4492.8</v>
      </c>
      <c r="BV67">
        <v>4</v>
      </c>
      <c r="BW67">
        <v>4492.8</v>
      </c>
      <c r="BX67">
        <v>22</v>
      </c>
      <c r="BY67">
        <v>24710.400000000001</v>
      </c>
      <c r="BZ67">
        <v>26</v>
      </c>
      <c r="CA67">
        <v>29203.200000000001</v>
      </c>
      <c r="CB67">
        <v>16</v>
      </c>
      <c r="CC67">
        <v>17971.2</v>
      </c>
      <c r="CD67">
        <v>18</v>
      </c>
      <c r="CE67">
        <v>20217.600000000002</v>
      </c>
      <c r="CF67">
        <v>45</v>
      </c>
      <c r="CG67">
        <v>50544</v>
      </c>
      <c r="CH67">
        <v>50</v>
      </c>
      <c r="CI67">
        <v>56160</v>
      </c>
      <c r="CJ67">
        <v>40.068784116814946</v>
      </c>
      <c r="CK67">
        <v>45005.258320006549</v>
      </c>
      <c r="CL67">
        <v>35.185030740428608</v>
      </c>
      <c r="CM67">
        <v>39519.826527649413</v>
      </c>
      <c r="CN67">
        <v>39.624395629539904</v>
      </c>
      <c r="CO67">
        <v>44506.121171099221</v>
      </c>
      <c r="CP67">
        <v>62.500962135549685</v>
      </c>
      <c r="CQ67">
        <v>70201.080670649404</v>
      </c>
      <c r="CR67">
        <v>63.415432579766552</v>
      </c>
      <c r="CS67">
        <v>71228.213873593792</v>
      </c>
      <c r="CT67">
        <v>37</v>
      </c>
      <c r="CU67">
        <v>41558.400000000001</v>
      </c>
    </row>
    <row r="68" spans="2:99" x14ac:dyDescent="0.2">
      <c r="C68" s="105" t="s">
        <v>234</v>
      </c>
      <c r="D68">
        <v>12</v>
      </c>
      <c r="E68">
        <v>12398.400000000001</v>
      </c>
      <c r="F68">
        <v>12</v>
      </c>
      <c r="G68">
        <v>12398.400000000001</v>
      </c>
      <c r="H68">
        <v>7</v>
      </c>
      <c r="I68">
        <v>7232.4000000000005</v>
      </c>
      <c r="J68">
        <v>8</v>
      </c>
      <c r="K68">
        <v>8265.6</v>
      </c>
      <c r="L68">
        <v>11</v>
      </c>
      <c r="M68">
        <v>11365.2</v>
      </c>
      <c r="N68">
        <v>15</v>
      </c>
      <c r="O68">
        <v>15498</v>
      </c>
      <c r="P68">
        <v>11</v>
      </c>
      <c r="Q68">
        <v>11365.2</v>
      </c>
      <c r="R68">
        <v>9</v>
      </c>
      <c r="S68">
        <v>9298.8000000000011</v>
      </c>
      <c r="T68">
        <v>5</v>
      </c>
      <c r="U68">
        <v>5166</v>
      </c>
      <c r="V68">
        <v>5</v>
      </c>
      <c r="W68">
        <v>5166</v>
      </c>
      <c r="X68">
        <v>6</v>
      </c>
      <c r="Y68">
        <v>6199.2000000000007</v>
      </c>
      <c r="Z68">
        <v>3</v>
      </c>
      <c r="AA68">
        <v>3099.6000000000004</v>
      </c>
      <c r="AB68">
        <v>8</v>
      </c>
      <c r="AC68">
        <v>8265.6</v>
      </c>
      <c r="AD68">
        <v>9</v>
      </c>
      <c r="AE68">
        <v>9298.8000000000011</v>
      </c>
      <c r="AF68">
        <v>7</v>
      </c>
      <c r="AG68">
        <v>7232.4000000000005</v>
      </c>
      <c r="AH68">
        <v>6</v>
      </c>
      <c r="AI68">
        <v>6199.2000000000007</v>
      </c>
      <c r="AJ68">
        <v>14</v>
      </c>
      <c r="AK68">
        <v>14464.800000000001</v>
      </c>
      <c r="AL68">
        <v>16</v>
      </c>
      <c r="AM68">
        <v>16531.2</v>
      </c>
      <c r="AN68">
        <v>10</v>
      </c>
      <c r="AO68">
        <v>10332</v>
      </c>
      <c r="AP68">
        <v>15</v>
      </c>
      <c r="AQ68">
        <v>15498</v>
      </c>
      <c r="AR68">
        <v>39</v>
      </c>
      <c r="AS68">
        <v>40294.800000000003</v>
      </c>
      <c r="AT68">
        <v>44</v>
      </c>
      <c r="AU68">
        <v>45460.800000000003</v>
      </c>
      <c r="AV68">
        <v>51</v>
      </c>
      <c r="AW68">
        <v>52693.200000000004</v>
      </c>
      <c r="AX68">
        <v>36</v>
      </c>
      <c r="AY68">
        <v>37195.200000000004</v>
      </c>
      <c r="AZ68">
        <v>17</v>
      </c>
      <c r="BA68">
        <v>17564.400000000001</v>
      </c>
      <c r="BB68">
        <v>23</v>
      </c>
      <c r="BC68">
        <v>23763.600000000002</v>
      </c>
      <c r="BD68">
        <v>14.053385056761904</v>
      </c>
      <c r="BE68">
        <v>14519.9574406464</v>
      </c>
      <c r="BF68">
        <v>21</v>
      </c>
      <c r="BG68">
        <v>21697.200000000001</v>
      </c>
      <c r="BH68">
        <v>26</v>
      </c>
      <c r="BI68">
        <v>26863.200000000001</v>
      </c>
      <c r="BJ68">
        <v>21</v>
      </c>
      <c r="BK68">
        <v>21697.200000000001</v>
      </c>
      <c r="BL68">
        <v>27.334272948635</v>
      </c>
      <c r="BM68">
        <v>28241.770810529684</v>
      </c>
      <c r="BN68">
        <v>25</v>
      </c>
      <c r="BO68">
        <v>25830</v>
      </c>
      <c r="BP68">
        <v>5</v>
      </c>
      <c r="BQ68">
        <v>5166</v>
      </c>
      <c r="BR68">
        <v>3</v>
      </c>
      <c r="BS68">
        <v>3099.6000000000004</v>
      </c>
      <c r="BT68">
        <v>4</v>
      </c>
      <c r="BU68">
        <v>4132.8</v>
      </c>
      <c r="BV68">
        <v>4</v>
      </c>
      <c r="BW68">
        <v>4132.8</v>
      </c>
      <c r="BX68">
        <v>25</v>
      </c>
      <c r="BY68">
        <v>25830</v>
      </c>
      <c r="BZ68">
        <v>23</v>
      </c>
      <c r="CA68">
        <v>23763.600000000002</v>
      </c>
      <c r="CB68">
        <v>15</v>
      </c>
      <c r="CC68">
        <v>15498</v>
      </c>
      <c r="CD68">
        <v>19</v>
      </c>
      <c r="CE68">
        <v>19630.8</v>
      </c>
      <c r="CF68">
        <v>55</v>
      </c>
      <c r="CG68">
        <v>56826</v>
      </c>
      <c r="CH68">
        <v>49</v>
      </c>
      <c r="CI68">
        <v>50626.8</v>
      </c>
      <c r="CJ68">
        <v>46.068784116814946</v>
      </c>
      <c r="CK68">
        <v>47598.267749493207</v>
      </c>
      <c r="CL68">
        <v>38.185030740428608</v>
      </c>
      <c r="CM68">
        <v>39452.773761010838</v>
      </c>
      <c r="CN68">
        <v>43.728080456957343</v>
      </c>
      <c r="CO68">
        <v>45179.852728128331</v>
      </c>
      <c r="CP68">
        <v>73.434252707303031</v>
      </c>
      <c r="CQ68">
        <v>75872.269897185499</v>
      </c>
      <c r="CR68">
        <v>65.467361652237372</v>
      </c>
      <c r="CS68">
        <v>67640.878059091658</v>
      </c>
      <c r="CT68">
        <v>38</v>
      </c>
      <c r="CU68">
        <v>39261.599999999999</v>
      </c>
    </row>
    <row r="69" spans="2:99" x14ac:dyDescent="0.2">
      <c r="C69" s="105" t="s">
        <v>235</v>
      </c>
      <c r="D69">
        <v>13</v>
      </c>
      <c r="E69">
        <v>9859.1999999999989</v>
      </c>
      <c r="F69">
        <v>12</v>
      </c>
      <c r="G69">
        <v>9100.7999999999993</v>
      </c>
      <c r="H69">
        <v>7</v>
      </c>
      <c r="I69">
        <v>5308.8</v>
      </c>
      <c r="J69">
        <v>9</v>
      </c>
      <c r="K69">
        <v>6825.5999999999995</v>
      </c>
      <c r="L69">
        <v>12</v>
      </c>
      <c r="M69">
        <v>9100.7999999999993</v>
      </c>
      <c r="N69">
        <v>18</v>
      </c>
      <c r="O69">
        <v>13651.199999999999</v>
      </c>
      <c r="P69">
        <v>10</v>
      </c>
      <c r="Q69">
        <v>7584</v>
      </c>
      <c r="R69">
        <v>10</v>
      </c>
      <c r="S69">
        <v>7584</v>
      </c>
      <c r="T69">
        <v>6</v>
      </c>
      <c r="U69">
        <v>4550.3999999999996</v>
      </c>
      <c r="V69">
        <v>5</v>
      </c>
      <c r="W69">
        <v>3792</v>
      </c>
      <c r="X69">
        <v>5</v>
      </c>
      <c r="Y69">
        <v>3792</v>
      </c>
      <c r="Z69">
        <v>4</v>
      </c>
      <c r="AA69">
        <v>3033.6</v>
      </c>
      <c r="AB69">
        <v>7</v>
      </c>
      <c r="AC69">
        <v>5308.8</v>
      </c>
      <c r="AD69">
        <v>10</v>
      </c>
      <c r="AE69">
        <v>7584</v>
      </c>
      <c r="AF69">
        <v>7</v>
      </c>
      <c r="AG69">
        <v>5308.8</v>
      </c>
      <c r="AH69">
        <v>7</v>
      </c>
      <c r="AI69">
        <v>5308.8</v>
      </c>
      <c r="AJ69">
        <v>14</v>
      </c>
      <c r="AK69">
        <v>10617.6</v>
      </c>
      <c r="AL69">
        <v>16</v>
      </c>
      <c r="AM69">
        <v>12134.4</v>
      </c>
      <c r="AN69">
        <v>12</v>
      </c>
      <c r="AO69">
        <v>9100.7999999999993</v>
      </c>
      <c r="AP69">
        <v>14</v>
      </c>
      <c r="AQ69">
        <v>10617.6</v>
      </c>
      <c r="AR69">
        <v>46</v>
      </c>
      <c r="AS69">
        <v>34886.400000000001</v>
      </c>
      <c r="AT69">
        <v>51</v>
      </c>
      <c r="AU69">
        <v>38678.400000000001</v>
      </c>
      <c r="AV69">
        <v>50</v>
      </c>
      <c r="AW69">
        <v>37920</v>
      </c>
      <c r="AX69">
        <v>44</v>
      </c>
      <c r="AY69">
        <v>33369.599999999999</v>
      </c>
      <c r="AZ69">
        <v>19</v>
      </c>
      <c r="BA69">
        <v>14409.6</v>
      </c>
      <c r="BB69">
        <v>23</v>
      </c>
      <c r="BC69">
        <v>17443.2</v>
      </c>
      <c r="BD69">
        <v>14.053385056761904</v>
      </c>
      <c r="BE69">
        <v>10658.087227048227</v>
      </c>
      <c r="BF69">
        <v>20</v>
      </c>
      <c r="BG69">
        <v>15168</v>
      </c>
      <c r="BH69">
        <v>26</v>
      </c>
      <c r="BI69">
        <v>19718.399999999998</v>
      </c>
      <c r="BJ69">
        <v>21</v>
      </c>
      <c r="BK69">
        <v>15926.4</v>
      </c>
      <c r="BL69">
        <v>25.334272948635</v>
      </c>
      <c r="BM69">
        <v>19213.512604244785</v>
      </c>
      <c r="BN69">
        <v>26</v>
      </c>
      <c r="BO69">
        <v>19718.399999999998</v>
      </c>
      <c r="BP69">
        <v>5</v>
      </c>
      <c r="BQ69">
        <v>3792</v>
      </c>
      <c r="BR69">
        <v>3</v>
      </c>
      <c r="BS69">
        <v>2275.1999999999998</v>
      </c>
      <c r="BT69">
        <v>4</v>
      </c>
      <c r="BU69">
        <v>3033.6</v>
      </c>
      <c r="BV69">
        <v>4</v>
      </c>
      <c r="BW69">
        <v>3033.6</v>
      </c>
      <c r="BX69">
        <v>23</v>
      </c>
      <c r="BY69">
        <v>17443.2</v>
      </c>
      <c r="BZ69">
        <v>26</v>
      </c>
      <c r="CA69">
        <v>19718.399999999998</v>
      </c>
      <c r="CB69">
        <v>16</v>
      </c>
      <c r="CC69">
        <v>12134.4</v>
      </c>
      <c r="CD69">
        <v>20</v>
      </c>
      <c r="CE69">
        <v>15168</v>
      </c>
      <c r="CF69">
        <v>53</v>
      </c>
      <c r="CG69">
        <v>40195.199999999997</v>
      </c>
      <c r="CH69">
        <v>62</v>
      </c>
      <c r="CI69">
        <v>47020.799999999996</v>
      </c>
      <c r="CJ69">
        <v>42.068784116814946</v>
      </c>
      <c r="CK69">
        <v>31904.965874192454</v>
      </c>
      <c r="CL69">
        <v>38.154192283690506</v>
      </c>
      <c r="CM69">
        <v>28936.139427950879</v>
      </c>
      <c r="CN69">
        <v>42.624395629539904</v>
      </c>
      <c r="CO69">
        <v>32326.341645443063</v>
      </c>
      <c r="CP69">
        <v>76</v>
      </c>
      <c r="CQ69">
        <v>57638.400000000001</v>
      </c>
      <c r="CR69">
        <v>71.432742270590154</v>
      </c>
      <c r="CS69">
        <v>54174.591738015573</v>
      </c>
      <c r="CT69">
        <v>44</v>
      </c>
      <c r="CU69">
        <v>33369.599999999999</v>
      </c>
    </row>
    <row r="70" spans="2:99" x14ac:dyDescent="0.2">
      <c r="C70" s="105" t="s">
        <v>236</v>
      </c>
      <c r="D70">
        <v>12</v>
      </c>
      <c r="E70">
        <v>6422.4</v>
      </c>
      <c r="F70">
        <v>12</v>
      </c>
      <c r="G70">
        <v>6422.4</v>
      </c>
      <c r="H70">
        <v>7</v>
      </c>
      <c r="I70">
        <v>3746.3999999999996</v>
      </c>
      <c r="J70">
        <v>8</v>
      </c>
      <c r="K70">
        <v>4281.5999999999995</v>
      </c>
      <c r="L70">
        <v>11</v>
      </c>
      <c r="M70">
        <v>5887.1999999999989</v>
      </c>
      <c r="N70">
        <v>19</v>
      </c>
      <c r="O70">
        <v>10168.799999999999</v>
      </c>
      <c r="P70">
        <v>9</v>
      </c>
      <c r="Q70">
        <v>4816.7999999999993</v>
      </c>
      <c r="R70">
        <v>11</v>
      </c>
      <c r="S70">
        <v>5887.1999999999989</v>
      </c>
      <c r="T70">
        <v>5</v>
      </c>
      <c r="U70">
        <v>2675.9999999999995</v>
      </c>
      <c r="V70">
        <v>5</v>
      </c>
      <c r="W70">
        <v>2675.9999999999995</v>
      </c>
      <c r="X70">
        <v>6</v>
      </c>
      <c r="Y70">
        <v>3211.2</v>
      </c>
      <c r="Z70">
        <v>4</v>
      </c>
      <c r="AA70">
        <v>2140.7999999999997</v>
      </c>
      <c r="AB70">
        <v>8</v>
      </c>
      <c r="AC70">
        <v>4281.5999999999995</v>
      </c>
      <c r="AD70">
        <v>9</v>
      </c>
      <c r="AE70">
        <v>4816.7999999999993</v>
      </c>
      <c r="AF70">
        <v>8</v>
      </c>
      <c r="AG70">
        <v>4281.5999999999995</v>
      </c>
      <c r="AH70">
        <v>8</v>
      </c>
      <c r="AI70">
        <v>4281.5999999999995</v>
      </c>
      <c r="AJ70">
        <v>16</v>
      </c>
      <c r="AK70">
        <v>8563.1999999999989</v>
      </c>
      <c r="AL70">
        <v>17</v>
      </c>
      <c r="AM70">
        <v>9098.4</v>
      </c>
      <c r="AN70">
        <v>11</v>
      </c>
      <c r="AO70">
        <v>5887.1999999999989</v>
      </c>
      <c r="AP70">
        <v>14</v>
      </c>
      <c r="AQ70">
        <v>7492.7999999999993</v>
      </c>
      <c r="AR70">
        <v>48</v>
      </c>
      <c r="AS70">
        <v>25689.599999999999</v>
      </c>
      <c r="AT70">
        <v>56</v>
      </c>
      <c r="AU70">
        <v>29971.199999999997</v>
      </c>
      <c r="AV70">
        <v>50</v>
      </c>
      <c r="AW70">
        <v>26759.999999999996</v>
      </c>
      <c r="AX70">
        <v>46</v>
      </c>
      <c r="AY70">
        <v>24619.199999999997</v>
      </c>
      <c r="AZ70">
        <v>19</v>
      </c>
      <c r="BA70">
        <v>10168.799999999999</v>
      </c>
      <c r="BB70">
        <v>21</v>
      </c>
      <c r="BC70">
        <v>11239.199999999999</v>
      </c>
      <c r="BD70">
        <v>14.058723562438095</v>
      </c>
      <c r="BE70">
        <v>7524.228850616867</v>
      </c>
      <c r="BF70">
        <v>19</v>
      </c>
      <c r="BG70">
        <v>10168.799999999999</v>
      </c>
      <c r="BH70">
        <v>29</v>
      </c>
      <c r="BI70">
        <v>15520.799999999997</v>
      </c>
      <c r="BJ70">
        <v>22</v>
      </c>
      <c r="BK70">
        <v>11774.399999999998</v>
      </c>
      <c r="BL70">
        <v>25.389153581992986</v>
      </c>
      <c r="BM70">
        <v>13588.274997082644</v>
      </c>
      <c r="BN70">
        <v>26</v>
      </c>
      <c r="BO70">
        <v>13915.199999999999</v>
      </c>
      <c r="BP70">
        <v>5</v>
      </c>
      <c r="BQ70">
        <v>2675.9999999999995</v>
      </c>
      <c r="BR70">
        <v>3</v>
      </c>
      <c r="BS70">
        <v>1605.6</v>
      </c>
      <c r="BT70">
        <v>4</v>
      </c>
      <c r="BU70">
        <v>2140.7999999999997</v>
      </c>
      <c r="BV70">
        <v>4</v>
      </c>
      <c r="BW70">
        <v>2140.7999999999997</v>
      </c>
      <c r="BX70">
        <v>24</v>
      </c>
      <c r="BY70">
        <v>12844.8</v>
      </c>
      <c r="BZ70">
        <v>27</v>
      </c>
      <c r="CA70">
        <v>14450.399999999998</v>
      </c>
      <c r="CB70">
        <v>16</v>
      </c>
      <c r="CC70">
        <v>8563.1999999999989</v>
      </c>
      <c r="CD70">
        <v>24</v>
      </c>
      <c r="CE70">
        <v>12844.8</v>
      </c>
      <c r="CF70">
        <v>56</v>
      </c>
      <c r="CG70">
        <v>29971.199999999997</v>
      </c>
      <c r="CH70">
        <v>65</v>
      </c>
      <c r="CI70">
        <v>34787.999999999993</v>
      </c>
      <c r="CJ70">
        <v>48.068784116814946</v>
      </c>
      <c r="CK70">
        <v>25726.413259319357</v>
      </c>
      <c r="CL70">
        <v>47.185030740428608</v>
      </c>
      <c r="CM70">
        <v>25253.428452277389</v>
      </c>
      <c r="CN70">
        <v>47.866326893513936</v>
      </c>
      <c r="CO70">
        <v>25618.058153408656</v>
      </c>
      <c r="CP70">
        <v>78.534316849673004</v>
      </c>
      <c r="CQ70">
        <v>42031.56637794499</v>
      </c>
      <c r="CR70">
        <v>69.450051961413763</v>
      </c>
      <c r="CS70">
        <v>37169.667809748644</v>
      </c>
      <c r="CT70">
        <v>44</v>
      </c>
      <c r="CU70">
        <v>23548.799999999996</v>
      </c>
    </row>
    <row r="71" spans="2:99" x14ac:dyDescent="0.2">
      <c r="B71" s="105" t="s">
        <v>130</v>
      </c>
      <c r="C71" s="105" t="s">
        <v>237</v>
      </c>
      <c r="D71">
        <v>6</v>
      </c>
      <c r="E71">
        <v>3384</v>
      </c>
      <c r="F71">
        <v>6</v>
      </c>
      <c r="G71">
        <v>3384</v>
      </c>
      <c r="H71">
        <v>5</v>
      </c>
      <c r="I71">
        <v>2820</v>
      </c>
      <c r="J71">
        <v>4</v>
      </c>
      <c r="K71">
        <v>2256</v>
      </c>
      <c r="L71">
        <v>6</v>
      </c>
      <c r="M71">
        <v>3384</v>
      </c>
      <c r="N71">
        <v>6</v>
      </c>
      <c r="O71">
        <v>3384</v>
      </c>
      <c r="P71">
        <v>8</v>
      </c>
      <c r="Q71">
        <v>4512</v>
      </c>
      <c r="R71">
        <v>7</v>
      </c>
      <c r="S71">
        <v>3948</v>
      </c>
      <c r="T71">
        <v>31.655445093423126</v>
      </c>
      <c r="U71">
        <v>17853.671032690643</v>
      </c>
      <c r="V71">
        <v>23.787456431099841</v>
      </c>
      <c r="W71">
        <v>13416.12542714031</v>
      </c>
      <c r="X71">
        <v>23.579275961611295</v>
      </c>
      <c r="Y71">
        <v>13298.71164234877</v>
      </c>
      <c r="Z71">
        <v>25.770493294974159</v>
      </c>
      <c r="AA71">
        <v>14534.558218365426</v>
      </c>
      <c r="AB71">
        <v>15</v>
      </c>
      <c r="AC71">
        <v>8460</v>
      </c>
      <c r="AD71">
        <v>19</v>
      </c>
      <c r="AE71">
        <v>10716</v>
      </c>
      <c r="AF71">
        <v>9</v>
      </c>
      <c r="AG71">
        <v>5076</v>
      </c>
      <c r="AH71">
        <v>10</v>
      </c>
      <c r="AI71">
        <v>5640</v>
      </c>
      <c r="AJ71">
        <v>6.4230416362008418</v>
      </c>
      <c r="AK71">
        <v>3622.5954828172748</v>
      </c>
      <c r="AL71">
        <v>7.2494211062683878</v>
      </c>
      <c r="AM71">
        <v>4088.6735039353707</v>
      </c>
      <c r="AN71">
        <v>5.5069165968867413</v>
      </c>
      <c r="AO71">
        <v>3105.9009606441223</v>
      </c>
      <c r="AP71">
        <v>5.9364398958027289</v>
      </c>
      <c r="AQ71">
        <v>3348.1521012327389</v>
      </c>
      <c r="AR71">
        <v>5.800234438484428</v>
      </c>
      <c r="AS71">
        <v>3271.3322233052172</v>
      </c>
      <c r="AT71">
        <v>4</v>
      </c>
      <c r="AU71">
        <v>2256</v>
      </c>
      <c r="AV71">
        <v>5</v>
      </c>
      <c r="AW71">
        <v>2820</v>
      </c>
      <c r="AX71">
        <v>3.7610162713175326</v>
      </c>
      <c r="AY71">
        <v>2121.2131770230885</v>
      </c>
      <c r="AZ71">
        <v>7.5168093875063828</v>
      </c>
      <c r="BA71">
        <v>4239.4804945535998</v>
      </c>
      <c r="BB71">
        <v>9.4469534056463118</v>
      </c>
      <c r="BC71">
        <v>5328.0817207845203</v>
      </c>
      <c r="BD71">
        <v>10.44093476052681</v>
      </c>
      <c r="BE71">
        <v>5888.6872049371204</v>
      </c>
      <c r="BF71">
        <v>6.5145567620396676</v>
      </c>
      <c r="BG71">
        <v>3674.2100137903726</v>
      </c>
      <c r="BH71">
        <v>36.096555038707713</v>
      </c>
      <c r="BI71">
        <v>20358.457041831149</v>
      </c>
      <c r="BJ71">
        <v>38.071768250944309</v>
      </c>
      <c r="BK71">
        <v>21472.477293532589</v>
      </c>
      <c r="BL71">
        <v>49.298813266100765</v>
      </c>
      <c r="BM71">
        <v>27804.530682080833</v>
      </c>
      <c r="BN71">
        <v>30.837233068253266</v>
      </c>
      <c r="BO71">
        <v>17392.199450494842</v>
      </c>
      <c r="BP71">
        <v>6.2231492790857503</v>
      </c>
      <c r="BQ71">
        <v>3509.8561934043632</v>
      </c>
      <c r="BR71">
        <v>6.8395915980951294</v>
      </c>
      <c r="BS71">
        <v>3857.5296613256528</v>
      </c>
      <c r="BT71">
        <v>8.0319303914987774</v>
      </c>
      <c r="BU71">
        <v>4530.0087408053105</v>
      </c>
      <c r="BV71">
        <v>6.7598792568324626</v>
      </c>
      <c r="BW71">
        <v>3812.5719008535089</v>
      </c>
      <c r="BX71">
        <v>5</v>
      </c>
      <c r="BY71">
        <v>2820</v>
      </c>
      <c r="BZ71">
        <v>9.475422795361041</v>
      </c>
      <c r="CA71">
        <v>5344.138456583627</v>
      </c>
      <c r="CB71">
        <v>8.3476304266137973</v>
      </c>
      <c r="CC71">
        <v>4708.0635606101814</v>
      </c>
      <c r="CD71">
        <v>7.2801722141482994</v>
      </c>
      <c r="CE71">
        <v>4106.0171287796411</v>
      </c>
      <c r="CF71">
        <v>21.380768191767327</v>
      </c>
      <c r="CG71">
        <v>12058.753260156773</v>
      </c>
      <c r="CH71">
        <v>13.203135577616111</v>
      </c>
      <c r="CI71">
        <v>7446.5684657754864</v>
      </c>
      <c r="CJ71">
        <v>16.285445525770715</v>
      </c>
      <c r="CK71">
        <v>9184.9912765346835</v>
      </c>
      <c r="CL71">
        <v>17.383426733790504</v>
      </c>
      <c r="CM71">
        <v>9804.2526778578449</v>
      </c>
      <c r="CN71">
        <v>4</v>
      </c>
      <c r="CO71">
        <v>2256</v>
      </c>
      <c r="CP71">
        <v>3</v>
      </c>
      <c r="CQ71">
        <v>1692</v>
      </c>
      <c r="CR71">
        <v>4.7448570309557327</v>
      </c>
      <c r="CS71">
        <v>2676.0993654590334</v>
      </c>
      <c r="CT71">
        <v>3.893585919094301</v>
      </c>
      <c r="CU71">
        <v>2195.9824583691857</v>
      </c>
    </row>
    <row r="72" spans="2:99" x14ac:dyDescent="0.2">
      <c r="C72" s="105" t="s">
        <v>238</v>
      </c>
      <c r="D72">
        <v>5</v>
      </c>
      <c r="E72">
        <v>371.99999999999994</v>
      </c>
      <c r="F72">
        <v>6</v>
      </c>
      <c r="G72">
        <v>446.4</v>
      </c>
      <c r="H72">
        <v>5</v>
      </c>
      <c r="I72">
        <v>371.99999999999994</v>
      </c>
      <c r="J72">
        <v>5</v>
      </c>
      <c r="K72">
        <v>371.99999999999994</v>
      </c>
      <c r="L72">
        <v>7</v>
      </c>
      <c r="M72">
        <v>520.79999999999995</v>
      </c>
      <c r="N72">
        <v>5</v>
      </c>
      <c r="O72">
        <v>371.99999999999994</v>
      </c>
      <c r="P72">
        <v>8</v>
      </c>
      <c r="Q72">
        <v>595.19999999999993</v>
      </c>
      <c r="R72">
        <v>7</v>
      </c>
      <c r="S72">
        <v>520.79999999999995</v>
      </c>
      <c r="T72">
        <v>29.655445093423126</v>
      </c>
      <c r="U72">
        <v>2206.3651149506804</v>
      </c>
      <c r="V72">
        <v>26.699961272088746</v>
      </c>
      <c r="W72">
        <v>1986.4771186434025</v>
      </c>
      <c r="X72">
        <v>24.579275961611295</v>
      </c>
      <c r="Y72">
        <v>1828.6981315438802</v>
      </c>
      <c r="Z72">
        <v>27.81329847802828</v>
      </c>
      <c r="AA72">
        <v>2069.3094067653037</v>
      </c>
      <c r="AB72">
        <v>14</v>
      </c>
      <c r="AC72">
        <v>1041.5999999999999</v>
      </c>
      <c r="AD72">
        <v>18</v>
      </c>
      <c r="AE72">
        <v>1339.1999999999998</v>
      </c>
      <c r="AF72">
        <v>11</v>
      </c>
      <c r="AG72">
        <v>818.39999999999986</v>
      </c>
      <c r="AH72">
        <v>11</v>
      </c>
      <c r="AI72">
        <v>818.39999999999986</v>
      </c>
      <c r="AJ72">
        <v>7.5789914045516191</v>
      </c>
      <c r="AK72">
        <v>563.87696049864041</v>
      </c>
      <c r="AL72">
        <v>7.4545499446109593</v>
      </c>
      <c r="AM72">
        <v>554.61851587905528</v>
      </c>
      <c r="AN72">
        <v>6.3894945244020604</v>
      </c>
      <c r="AO72">
        <v>475.37839261551323</v>
      </c>
      <c r="AP72">
        <v>6.1525414102187428</v>
      </c>
      <c r="AQ72">
        <v>457.74908092027442</v>
      </c>
      <c r="AR72">
        <v>5.8764472421496121</v>
      </c>
      <c r="AS72">
        <v>437.20767481593111</v>
      </c>
      <c r="AT72">
        <v>4</v>
      </c>
      <c r="AU72">
        <v>297.59999999999997</v>
      </c>
      <c r="AV72">
        <v>5</v>
      </c>
      <c r="AW72">
        <v>371.99999999999994</v>
      </c>
      <c r="AX72">
        <v>3.7972551413802726</v>
      </c>
      <c r="AY72">
        <v>282.51578251869228</v>
      </c>
      <c r="AZ72">
        <v>7.5637920590978727</v>
      </c>
      <c r="BA72">
        <v>562.74612919688161</v>
      </c>
      <c r="BB72">
        <v>10</v>
      </c>
      <c r="BC72">
        <v>743.99999999999989</v>
      </c>
      <c r="BD72">
        <v>10.538920262866101</v>
      </c>
      <c r="BE72">
        <v>784.0956675572379</v>
      </c>
      <c r="BF72">
        <v>7.5145567620396676</v>
      </c>
      <c r="BG72">
        <v>559.08302309575117</v>
      </c>
      <c r="BH72">
        <v>42.194461738592324</v>
      </c>
      <c r="BI72">
        <v>3139.2679533512687</v>
      </c>
      <c r="BJ72">
        <v>43.993346183802039</v>
      </c>
      <c r="BK72">
        <v>3273.1049560748716</v>
      </c>
      <c r="BL72">
        <v>51.531436537641206</v>
      </c>
      <c r="BM72">
        <v>3833.9388784005055</v>
      </c>
      <c r="BN72">
        <v>37.186075170540697</v>
      </c>
      <c r="BO72">
        <v>2766.6439926882276</v>
      </c>
      <c r="BP72">
        <v>6.2602144087550151</v>
      </c>
      <c r="BQ72">
        <v>465.75995201137306</v>
      </c>
      <c r="BR72">
        <v>6.8805472858070873</v>
      </c>
      <c r="BS72">
        <v>511.91271806404723</v>
      </c>
      <c r="BT72">
        <v>7.9660624941690683</v>
      </c>
      <c r="BU72">
        <v>592.67504956617859</v>
      </c>
      <c r="BV72">
        <v>7.7798760793806849</v>
      </c>
      <c r="BW72">
        <v>578.82278030592295</v>
      </c>
      <c r="BX72">
        <v>6</v>
      </c>
      <c r="BY72">
        <v>446.4</v>
      </c>
      <c r="BZ72">
        <v>9.5229650748971437</v>
      </c>
      <c r="CA72">
        <v>708.5086015723474</v>
      </c>
      <c r="CB72">
        <v>9</v>
      </c>
      <c r="CC72">
        <v>669.59999999999991</v>
      </c>
      <c r="CD72">
        <v>8.3268675831730157</v>
      </c>
      <c r="CE72">
        <v>619.51894818807227</v>
      </c>
      <c r="CF72">
        <v>20.32218846995697</v>
      </c>
      <c r="CG72">
        <v>1511.9708221647984</v>
      </c>
      <c r="CH72">
        <v>14.228527524818125</v>
      </c>
      <c r="CI72">
        <v>1058.6024478464683</v>
      </c>
      <c r="CJ72">
        <v>16.311395119022599</v>
      </c>
      <c r="CK72">
        <v>1213.5677968552811</v>
      </c>
      <c r="CL72">
        <v>17.328651486106146</v>
      </c>
      <c r="CM72">
        <v>1289.2516705662972</v>
      </c>
      <c r="CN72">
        <v>3</v>
      </c>
      <c r="CO72">
        <v>223.2</v>
      </c>
      <c r="CP72">
        <v>5.425925348898379</v>
      </c>
      <c r="CQ72">
        <v>403.68884595803934</v>
      </c>
      <c r="CR72">
        <v>4.8169399694353201</v>
      </c>
      <c r="CS72">
        <v>358.38033372598778</v>
      </c>
      <c r="CT72">
        <v>3.893585919094301</v>
      </c>
      <c r="CU72">
        <v>289.68279238061598</v>
      </c>
    </row>
    <row r="73" spans="2:99" x14ac:dyDescent="0.2">
      <c r="C73" s="105" t="s">
        <v>239</v>
      </c>
      <c r="D73">
        <v>5</v>
      </c>
      <c r="E73">
        <v>2795.9999999999995</v>
      </c>
      <c r="F73">
        <v>5</v>
      </c>
      <c r="G73">
        <v>2795.9999999999995</v>
      </c>
      <c r="H73">
        <v>5</v>
      </c>
      <c r="I73">
        <v>2795.9999999999995</v>
      </c>
      <c r="J73">
        <v>5</v>
      </c>
      <c r="K73">
        <v>2795.9999999999995</v>
      </c>
      <c r="L73">
        <v>7</v>
      </c>
      <c r="M73">
        <v>3914.3999999999996</v>
      </c>
      <c r="N73">
        <v>6</v>
      </c>
      <c r="O73">
        <v>3355.2</v>
      </c>
      <c r="P73">
        <v>7</v>
      </c>
      <c r="Q73">
        <v>3914.3999999999996</v>
      </c>
      <c r="R73">
        <v>7</v>
      </c>
      <c r="S73">
        <v>3914.3999999999996</v>
      </c>
      <c r="T73">
        <v>26.737375730101018</v>
      </c>
      <c r="U73">
        <v>14951.540508272488</v>
      </c>
      <c r="V73">
        <v>23.699961272088746</v>
      </c>
      <c r="W73">
        <v>13253.018343352025</v>
      </c>
      <c r="X73">
        <v>24.537899107210489</v>
      </c>
      <c r="Y73">
        <v>13721.593180752103</v>
      </c>
      <c r="Z73">
        <v>25.770493294974159</v>
      </c>
      <c r="AA73">
        <v>14410.859850549548</v>
      </c>
      <c r="AB73">
        <v>15</v>
      </c>
      <c r="AC73">
        <v>8387.9999999999982</v>
      </c>
      <c r="AD73">
        <v>17</v>
      </c>
      <c r="AE73">
        <v>9506.4</v>
      </c>
      <c r="AF73">
        <v>9</v>
      </c>
      <c r="AG73">
        <v>5032.7999999999993</v>
      </c>
      <c r="AH73">
        <v>11</v>
      </c>
      <c r="AI73">
        <v>6151.1999999999989</v>
      </c>
      <c r="AJ73">
        <v>6.3255730309816061</v>
      </c>
      <c r="AK73">
        <v>3537.2604389249136</v>
      </c>
      <c r="AL73">
        <v>6.1934768776295055</v>
      </c>
      <c r="AM73">
        <v>3463.392269970419</v>
      </c>
      <c r="AN73">
        <v>6.2720724519173796</v>
      </c>
      <c r="AO73">
        <v>3507.3429151121982</v>
      </c>
      <c r="AP73">
        <v>7.0324850133209571</v>
      </c>
      <c r="AQ73">
        <v>3932.5656194490789</v>
      </c>
      <c r="AR73">
        <v>4</v>
      </c>
      <c r="AS73">
        <v>2236.7999999999997</v>
      </c>
      <c r="AT73">
        <v>3</v>
      </c>
      <c r="AU73">
        <v>1677.6</v>
      </c>
      <c r="AV73">
        <v>5</v>
      </c>
      <c r="AW73">
        <v>2795.9999999999995</v>
      </c>
      <c r="AX73">
        <v>3.7972551413802726</v>
      </c>
      <c r="AY73">
        <v>2123.425075059848</v>
      </c>
      <c r="AZ73">
        <v>8.5168093875063828</v>
      </c>
      <c r="BA73">
        <v>4762.5998094935685</v>
      </c>
      <c r="BB73">
        <v>11</v>
      </c>
      <c r="BC73">
        <v>6151.1999999999989</v>
      </c>
      <c r="BD73">
        <v>10.489927511696456</v>
      </c>
      <c r="BE73">
        <v>5865.9674645406576</v>
      </c>
      <c r="BF73">
        <v>6</v>
      </c>
      <c r="BG73">
        <v>3355.2</v>
      </c>
      <c r="BH73">
        <v>37.13571771866156</v>
      </c>
      <c r="BI73">
        <v>20766.293348275543</v>
      </c>
      <c r="BJ73">
        <v>41.071768250944309</v>
      </c>
      <c r="BK73">
        <v>22967.332805928054</v>
      </c>
      <c r="BL73">
        <v>50.260042720844027</v>
      </c>
      <c r="BM73">
        <v>28105.415889495976</v>
      </c>
      <c r="BN73">
        <v>37.186075170540697</v>
      </c>
      <c r="BO73">
        <v>20794.453235366356</v>
      </c>
      <c r="BP73">
        <v>6.2602144087550151</v>
      </c>
      <c r="BQ73">
        <v>3500.7118973758038</v>
      </c>
      <c r="BR73">
        <v>7.778158066527193</v>
      </c>
      <c r="BS73">
        <v>4349.5459908020057</v>
      </c>
      <c r="BT73">
        <v>6.9001945968393592</v>
      </c>
      <c r="BU73">
        <v>3858.5888185525691</v>
      </c>
      <c r="BV73">
        <v>6.7198856117360171</v>
      </c>
      <c r="BW73">
        <v>3757.7600340827803</v>
      </c>
      <c r="BX73">
        <v>5</v>
      </c>
      <c r="BY73">
        <v>2795.9999999999995</v>
      </c>
      <c r="BZ73">
        <v>8.5229650748971437</v>
      </c>
      <c r="CA73">
        <v>4766.0420698824819</v>
      </c>
      <c r="CB73">
        <v>9</v>
      </c>
      <c r="CC73">
        <v>5032.7999999999993</v>
      </c>
      <c r="CD73">
        <v>7.3268675831730157</v>
      </c>
      <c r="CE73">
        <v>4097.1843525103495</v>
      </c>
      <c r="CF73">
        <v>21.32218846995697</v>
      </c>
      <c r="CG73">
        <v>11923.367792399937</v>
      </c>
      <c r="CH73">
        <v>15.203135577616111</v>
      </c>
      <c r="CI73">
        <v>8501.5934150029279</v>
      </c>
      <c r="CJ73">
        <v>13.311395119022599</v>
      </c>
      <c r="CK73">
        <v>7443.7321505574364</v>
      </c>
      <c r="CL73">
        <v>17.328651486106146</v>
      </c>
      <c r="CM73">
        <v>9690.1819110305551</v>
      </c>
      <c r="CN73">
        <v>3</v>
      </c>
      <c r="CO73">
        <v>1677.6</v>
      </c>
      <c r="CP73">
        <v>3</v>
      </c>
      <c r="CQ73">
        <v>1677.6</v>
      </c>
      <c r="CR73">
        <v>4.8409676155951828</v>
      </c>
      <c r="CS73">
        <v>2707.0690906408258</v>
      </c>
      <c r="CT73">
        <v>3.893585919094301</v>
      </c>
      <c r="CU73">
        <v>2177.2932459575327</v>
      </c>
    </row>
    <row r="74" spans="2:99" x14ac:dyDescent="0.2">
      <c r="C74" s="105" t="s">
        <v>240</v>
      </c>
      <c r="D74">
        <v>5</v>
      </c>
      <c r="E74">
        <v>2016</v>
      </c>
      <c r="F74">
        <v>6</v>
      </c>
      <c r="G74">
        <v>2419.1999999999998</v>
      </c>
      <c r="H74">
        <v>5</v>
      </c>
      <c r="I74">
        <v>2016</v>
      </c>
      <c r="J74">
        <v>5</v>
      </c>
      <c r="K74">
        <v>2016</v>
      </c>
      <c r="L74">
        <v>7</v>
      </c>
      <c r="M74">
        <v>2822.4</v>
      </c>
      <c r="N74">
        <v>5</v>
      </c>
      <c r="O74">
        <v>2016</v>
      </c>
      <c r="P74">
        <v>8</v>
      </c>
      <c r="Q74">
        <v>3225.6</v>
      </c>
      <c r="R74">
        <v>7</v>
      </c>
      <c r="S74">
        <v>2822.4</v>
      </c>
      <c r="T74">
        <v>28.737375730101018</v>
      </c>
      <c r="U74">
        <v>11586.909894376729</v>
      </c>
      <c r="V74">
        <v>23.743708851594292</v>
      </c>
      <c r="W74">
        <v>9573.463408962818</v>
      </c>
      <c r="X74">
        <v>22.579275961611295</v>
      </c>
      <c r="Y74">
        <v>9103.9640677216739</v>
      </c>
      <c r="Z74">
        <v>29.770493294974159</v>
      </c>
      <c r="AA74">
        <v>12003.462896533581</v>
      </c>
      <c r="AB74">
        <v>14</v>
      </c>
      <c r="AC74">
        <v>5644.8</v>
      </c>
      <c r="AD74">
        <v>16</v>
      </c>
      <c r="AE74">
        <v>6451.2</v>
      </c>
      <c r="AF74">
        <v>9</v>
      </c>
      <c r="AG74">
        <v>3628.7999999999997</v>
      </c>
      <c r="AH74">
        <v>11</v>
      </c>
      <c r="AI74">
        <v>4435.2</v>
      </c>
      <c r="AJ74">
        <v>6.5205102414200775</v>
      </c>
      <c r="AK74">
        <v>2629.0697293405751</v>
      </c>
      <c r="AL74">
        <v>7.3799576397591151</v>
      </c>
      <c r="AM74">
        <v>2975.5989203508752</v>
      </c>
      <c r="AN74">
        <v>6.3699241789879473</v>
      </c>
      <c r="AO74">
        <v>2568.3534289679401</v>
      </c>
      <c r="AP74">
        <v>6.0324850133209571</v>
      </c>
      <c r="AQ74">
        <v>2432.2979573710099</v>
      </c>
      <c r="AR74">
        <v>4</v>
      </c>
      <c r="AS74">
        <v>1612.8</v>
      </c>
      <c r="AT74">
        <v>4</v>
      </c>
      <c r="AU74">
        <v>1612.8</v>
      </c>
      <c r="AV74">
        <v>5</v>
      </c>
      <c r="AW74">
        <v>2016</v>
      </c>
      <c r="AX74">
        <v>3.7247774012547934</v>
      </c>
      <c r="AY74">
        <v>1501.8302481859328</v>
      </c>
      <c r="AZ74">
        <v>8.5168093875063828</v>
      </c>
      <c r="BA74">
        <v>3433.9775450425736</v>
      </c>
      <c r="BB74">
        <v>10.446953405646312</v>
      </c>
      <c r="BC74">
        <v>4212.2116131565926</v>
      </c>
      <c r="BD74">
        <v>9.4899275116964557</v>
      </c>
      <c r="BE74">
        <v>3826.3387727160107</v>
      </c>
      <c r="BF74">
        <v>6.5145567620396676</v>
      </c>
      <c r="BG74">
        <v>2626.6692864543938</v>
      </c>
      <c r="BH74">
        <v>34.096555038707713</v>
      </c>
      <c r="BI74">
        <v>13747.73099160695</v>
      </c>
      <c r="BJ74">
        <v>38.9410648057072</v>
      </c>
      <c r="BK74">
        <v>15701.037329661143</v>
      </c>
      <c r="BL74">
        <v>50.279427993472396</v>
      </c>
      <c r="BM74">
        <v>20272.665366968071</v>
      </c>
      <c r="BN74">
        <v>35.372120284172865</v>
      </c>
      <c r="BO74">
        <v>14262.038898578499</v>
      </c>
      <c r="BP74">
        <v>6.2972795384242808</v>
      </c>
      <c r="BQ74">
        <v>2539.0631098926701</v>
      </c>
      <c r="BR74">
        <v>6.8600694419511079</v>
      </c>
      <c r="BS74">
        <v>2765.9799989946864</v>
      </c>
      <c r="BT74">
        <v>7.9441065283924983</v>
      </c>
      <c r="BU74">
        <v>3203.0637522478551</v>
      </c>
      <c r="BV74">
        <v>6.7598792568324626</v>
      </c>
      <c r="BW74">
        <v>2725.5833163548486</v>
      </c>
      <c r="BX74">
        <v>5</v>
      </c>
      <c r="BY74">
        <v>2016</v>
      </c>
      <c r="BZ74">
        <v>9.5229650748971437</v>
      </c>
      <c r="CA74">
        <v>3839.6595181985281</v>
      </c>
      <c r="CB74">
        <v>8.3476304266137973</v>
      </c>
      <c r="CC74">
        <v>3365.7645880106829</v>
      </c>
      <c r="CD74">
        <v>8.2801722141482994</v>
      </c>
      <c r="CE74">
        <v>3338.5654367445941</v>
      </c>
      <c r="CF74">
        <v>20.351478330862147</v>
      </c>
      <c r="CG74">
        <v>8205.7160630036178</v>
      </c>
      <c r="CH74">
        <v>13.177743630414096</v>
      </c>
      <c r="CI74">
        <v>5313.2662317829636</v>
      </c>
      <c r="CJ74">
        <v>15.285445525770717</v>
      </c>
      <c r="CK74">
        <v>6163.0916359907533</v>
      </c>
      <c r="CL74">
        <v>15.328651486106148</v>
      </c>
      <c r="CM74">
        <v>6180.5122791979984</v>
      </c>
      <c r="CN74">
        <v>4</v>
      </c>
      <c r="CO74">
        <v>1612.8</v>
      </c>
      <c r="CP74">
        <v>3</v>
      </c>
      <c r="CQ74">
        <v>1209.5999999999999</v>
      </c>
      <c r="CR74">
        <v>4.7688846771155955</v>
      </c>
      <c r="CS74">
        <v>1922.8143018130081</v>
      </c>
      <c r="CT74">
        <v>4.8439422569223956</v>
      </c>
      <c r="CU74">
        <v>1953.0775179911097</v>
      </c>
    </row>
    <row r="75" spans="2:99" x14ac:dyDescent="0.2">
      <c r="C75" s="105" t="s">
        <v>241</v>
      </c>
      <c r="D75">
        <v>6</v>
      </c>
      <c r="E75">
        <v>3859.2</v>
      </c>
      <c r="F75">
        <v>5</v>
      </c>
      <c r="G75">
        <v>3215.9999999999995</v>
      </c>
      <c r="H75">
        <v>5</v>
      </c>
      <c r="I75">
        <v>3215.9999999999995</v>
      </c>
      <c r="J75">
        <v>5</v>
      </c>
      <c r="K75">
        <v>3215.9999999999995</v>
      </c>
      <c r="L75">
        <v>6</v>
      </c>
      <c r="M75">
        <v>3859.2</v>
      </c>
      <c r="N75">
        <v>5</v>
      </c>
      <c r="O75">
        <v>3215.9999999999995</v>
      </c>
      <c r="P75">
        <v>7</v>
      </c>
      <c r="Q75">
        <v>4502.3999999999996</v>
      </c>
      <c r="R75">
        <v>7</v>
      </c>
      <c r="S75">
        <v>4502.3999999999996</v>
      </c>
      <c r="T75">
        <v>28.737375730101018</v>
      </c>
      <c r="U75">
        <v>18483.880069600971</v>
      </c>
      <c r="V75">
        <v>22.743708851594292</v>
      </c>
      <c r="W75">
        <v>14628.753533345447</v>
      </c>
      <c r="X75">
        <v>24.579275961611295</v>
      </c>
      <c r="Y75">
        <v>15809.390298508382</v>
      </c>
      <c r="Z75">
        <v>28.642077745811797</v>
      </c>
      <c r="AA75">
        <v>18422.584406106147</v>
      </c>
      <c r="AB75">
        <v>14.852863125387849</v>
      </c>
      <c r="AC75">
        <v>9553.3615622494635</v>
      </c>
      <c r="AD75">
        <v>18</v>
      </c>
      <c r="AE75">
        <v>11577.599999999999</v>
      </c>
      <c r="AF75">
        <v>9</v>
      </c>
      <c r="AG75">
        <v>5788.7999999999993</v>
      </c>
      <c r="AH75">
        <v>9</v>
      </c>
      <c r="AI75">
        <v>5788.7999999999993</v>
      </c>
      <c r="AJ75">
        <v>6.2670918678500644</v>
      </c>
      <c r="AK75">
        <v>4030.9934894011612</v>
      </c>
      <c r="AL75">
        <v>7.324013411120232</v>
      </c>
      <c r="AM75">
        <v>4710.8054260325325</v>
      </c>
      <c r="AN75">
        <v>6.2720724519173796</v>
      </c>
      <c r="AO75">
        <v>4034.197001073258</v>
      </c>
      <c r="AP75">
        <v>5.9364398958027289</v>
      </c>
      <c r="AQ75">
        <v>3818.3181409803146</v>
      </c>
      <c r="AR75">
        <v>5.800234438484428</v>
      </c>
      <c r="AS75">
        <v>3730.7107908331836</v>
      </c>
      <c r="AT75">
        <v>3</v>
      </c>
      <c r="AU75">
        <v>1929.6</v>
      </c>
      <c r="AV75">
        <v>5</v>
      </c>
      <c r="AW75">
        <v>3215.9999999999995</v>
      </c>
      <c r="AX75">
        <v>3.6885385311920533</v>
      </c>
      <c r="AY75">
        <v>2372.4679832627285</v>
      </c>
      <c r="AZ75">
        <v>7.5168093875063828</v>
      </c>
      <c r="BA75">
        <v>4834.8117980441048</v>
      </c>
      <c r="BB75">
        <v>11</v>
      </c>
      <c r="BC75">
        <v>7075.1999999999989</v>
      </c>
      <c r="BD75">
        <v>10.489927511696456</v>
      </c>
      <c r="BE75">
        <v>6747.1213755231593</v>
      </c>
      <c r="BF75">
        <v>6.5145567620396676</v>
      </c>
      <c r="BG75">
        <v>4190.1629093439142</v>
      </c>
      <c r="BH75">
        <v>34.214043078569247</v>
      </c>
      <c r="BI75">
        <v>22006.472508135739</v>
      </c>
      <c r="BJ75">
        <v>37.993346183802039</v>
      </c>
      <c r="BK75">
        <v>24437.320265421469</v>
      </c>
      <c r="BL75">
        <v>47.163116357702179</v>
      </c>
      <c r="BM75">
        <v>30335.316441274037</v>
      </c>
      <c r="BN75">
        <v>36.279097727356785</v>
      </c>
      <c r="BO75">
        <v>23334.71565823588</v>
      </c>
      <c r="BP75">
        <v>6.1860841494164847</v>
      </c>
      <c r="BQ75">
        <v>3978.8893249046823</v>
      </c>
      <c r="BR75">
        <v>7.7986359103831715</v>
      </c>
      <c r="BS75">
        <v>5016.0826175584552</v>
      </c>
      <c r="BT75">
        <v>7.9221505626159292</v>
      </c>
      <c r="BU75">
        <v>5095.5272418745653</v>
      </c>
      <c r="BV75">
        <v>6.6398983215431269</v>
      </c>
      <c r="BW75">
        <v>4270.782600416539</v>
      </c>
      <c r="BX75">
        <v>5</v>
      </c>
      <c r="BY75">
        <v>3215.9999999999995</v>
      </c>
      <c r="BZ75">
        <v>9.475422795361041</v>
      </c>
      <c r="CA75">
        <v>6094.5919419762213</v>
      </c>
      <c r="CB75">
        <v>9.3476304266137973</v>
      </c>
      <c r="CC75">
        <v>6012.3958903979938</v>
      </c>
      <c r="CD75">
        <v>7.3268675831730157</v>
      </c>
      <c r="CE75">
        <v>4712.6412294968832</v>
      </c>
      <c r="CF75">
        <v>20.351478330862147</v>
      </c>
      <c r="CG75">
        <v>13090.070862410532</v>
      </c>
      <c r="CH75">
        <v>15.177743630414096</v>
      </c>
      <c r="CI75">
        <v>9762.3247030823459</v>
      </c>
      <c r="CJ75">
        <v>13.337344712274483</v>
      </c>
      <c r="CK75">
        <v>8578.5801189349459</v>
      </c>
      <c r="CL75">
        <v>15.356039109948327</v>
      </c>
      <c r="CM75">
        <v>9877.0043555187622</v>
      </c>
      <c r="CN75">
        <v>3</v>
      </c>
      <c r="CO75">
        <v>1929.6</v>
      </c>
      <c r="CP75">
        <v>4.3420473871984751</v>
      </c>
      <c r="CQ75">
        <v>2792.8048794460587</v>
      </c>
      <c r="CR75">
        <v>3.6968017386360081</v>
      </c>
      <c r="CS75">
        <v>2377.7828782906804</v>
      </c>
      <c r="CT75">
        <v>3.8191204258364428</v>
      </c>
      <c r="CU75">
        <v>2456.4582578979998</v>
      </c>
    </row>
    <row r="76" spans="2:99" x14ac:dyDescent="0.2">
      <c r="C76" s="105" t="s">
        <v>242</v>
      </c>
      <c r="D76">
        <v>5</v>
      </c>
      <c r="E76">
        <v>3894</v>
      </c>
      <c r="F76">
        <v>6</v>
      </c>
      <c r="G76">
        <v>4672.7999999999993</v>
      </c>
      <c r="H76">
        <v>5</v>
      </c>
      <c r="I76">
        <v>3894</v>
      </c>
      <c r="J76">
        <v>4</v>
      </c>
      <c r="K76">
        <v>3115.2</v>
      </c>
      <c r="L76">
        <v>7</v>
      </c>
      <c r="M76">
        <v>5451.5999999999995</v>
      </c>
      <c r="N76">
        <v>5</v>
      </c>
      <c r="O76">
        <v>3894</v>
      </c>
      <c r="P76">
        <v>7</v>
      </c>
      <c r="Q76">
        <v>5451.5999999999995</v>
      </c>
      <c r="R76">
        <v>7</v>
      </c>
      <c r="S76">
        <v>5451.5999999999995</v>
      </c>
      <c r="T76">
        <v>29.737375730101018</v>
      </c>
      <c r="U76">
        <v>23159.468218602673</v>
      </c>
      <c r="V76">
        <v>24.699961272088746</v>
      </c>
      <c r="W76">
        <v>19236.329838702713</v>
      </c>
      <c r="X76">
        <v>23.537899107210489</v>
      </c>
      <c r="Y76">
        <v>18331.315824695528</v>
      </c>
      <c r="Z76">
        <v>25.684882928865918</v>
      </c>
      <c r="AA76">
        <v>20003.386825000776</v>
      </c>
      <c r="AB76">
        <v>13</v>
      </c>
      <c r="AC76">
        <v>10124.4</v>
      </c>
      <c r="AD76">
        <v>15</v>
      </c>
      <c r="AE76">
        <v>11682</v>
      </c>
      <c r="AF76">
        <v>9</v>
      </c>
      <c r="AG76">
        <v>7009.2</v>
      </c>
      <c r="AH76">
        <v>10</v>
      </c>
      <c r="AI76">
        <v>7788</v>
      </c>
      <c r="AJ76">
        <v>6.4035479151569952</v>
      </c>
      <c r="AK76">
        <v>4987.0831163242674</v>
      </c>
      <c r="AL76">
        <v>7.3613095635461541</v>
      </c>
      <c r="AM76">
        <v>5732.987888089744</v>
      </c>
      <c r="AN76">
        <v>6.4677759060585149</v>
      </c>
      <c r="AO76">
        <v>5037.1038756383714</v>
      </c>
      <c r="AP76">
        <v>5.9604511751822864</v>
      </c>
      <c r="AQ76">
        <v>4641.9993752319642</v>
      </c>
      <c r="AR76">
        <v>4.800234438484428</v>
      </c>
      <c r="AS76">
        <v>3738.4225806916725</v>
      </c>
      <c r="AT76">
        <v>4</v>
      </c>
      <c r="AU76">
        <v>3115.2</v>
      </c>
      <c r="AV76">
        <v>5</v>
      </c>
      <c r="AW76">
        <v>3894</v>
      </c>
      <c r="AX76">
        <v>3.8334940114430118</v>
      </c>
      <c r="AY76">
        <v>2985.5251361118176</v>
      </c>
      <c r="AZ76">
        <v>7.4698267159148939</v>
      </c>
      <c r="BA76">
        <v>5817.5010463545186</v>
      </c>
      <c r="BB76">
        <v>10</v>
      </c>
      <c r="BC76">
        <v>7788</v>
      </c>
      <c r="BD76">
        <v>9.4899275116964557</v>
      </c>
      <c r="BE76">
        <v>7390.7555461091988</v>
      </c>
      <c r="BF76">
        <v>6.5145567620396676</v>
      </c>
      <c r="BG76">
        <v>5073.5368062764928</v>
      </c>
      <c r="BH76">
        <v>35.116136378684637</v>
      </c>
      <c r="BI76">
        <v>27348.447011719592</v>
      </c>
      <c r="BJ76">
        <v>37.967205494754616</v>
      </c>
      <c r="BK76">
        <v>29568.859639314895</v>
      </c>
      <c r="BL76">
        <v>41.14373108507381</v>
      </c>
      <c r="BM76">
        <v>32042.737769055482</v>
      </c>
      <c r="BN76">
        <v>34.465142840988939</v>
      </c>
      <c r="BO76">
        <v>26841.453244562184</v>
      </c>
      <c r="BP76">
        <v>5.2602144087550151</v>
      </c>
      <c r="BQ76">
        <v>4096.6549815384051</v>
      </c>
      <c r="BR76">
        <v>7.7167245349592566</v>
      </c>
      <c r="BS76">
        <v>6009.7850678262685</v>
      </c>
      <c r="BT76">
        <v>7.9660624941690683</v>
      </c>
      <c r="BU76">
        <v>6203.9694704588701</v>
      </c>
      <c r="BV76">
        <v>6.6398983215431269</v>
      </c>
      <c r="BW76">
        <v>5171.152812817787</v>
      </c>
      <c r="BX76">
        <v>5</v>
      </c>
      <c r="BY76">
        <v>3894</v>
      </c>
      <c r="BZ76">
        <v>10.522965074897144</v>
      </c>
      <c r="CA76">
        <v>8195.2852003298958</v>
      </c>
      <c r="CB76">
        <v>9.3476304266137973</v>
      </c>
      <c r="CC76">
        <v>7279.9345762468247</v>
      </c>
      <c r="CD76">
        <v>7.2801722141482994</v>
      </c>
      <c r="CE76">
        <v>5669.7981203786949</v>
      </c>
      <c r="CF76">
        <v>18.32218846995697</v>
      </c>
      <c r="CG76">
        <v>14269.320380402487</v>
      </c>
      <c r="CH76">
        <v>15.203135577616111</v>
      </c>
      <c r="CI76">
        <v>11840.201987847426</v>
      </c>
      <c r="CJ76">
        <v>14.285445525770717</v>
      </c>
      <c r="CK76">
        <v>11125.504975470234</v>
      </c>
      <c r="CL76">
        <v>16.356039109948327</v>
      </c>
      <c r="CM76">
        <v>12738.083258827755</v>
      </c>
      <c r="CN76">
        <v>3</v>
      </c>
      <c r="CO76">
        <v>2336.3999999999996</v>
      </c>
      <c r="CP76">
        <v>4.4678643297483314</v>
      </c>
      <c r="CQ76">
        <v>3479.5727400080004</v>
      </c>
      <c r="CR76">
        <v>4.7448570309557327</v>
      </c>
      <c r="CS76">
        <v>3695.2946557083246</v>
      </c>
      <c r="CT76">
        <v>3.8687640880083483</v>
      </c>
      <c r="CU76">
        <v>3012.9934717409014</v>
      </c>
    </row>
    <row r="77" spans="2:99" x14ac:dyDescent="0.2">
      <c r="C77" s="105" t="s">
        <v>243</v>
      </c>
      <c r="D77">
        <v>5</v>
      </c>
      <c r="E77">
        <v>1392</v>
      </c>
      <c r="F77">
        <v>6</v>
      </c>
      <c r="G77">
        <v>1670.3999999999999</v>
      </c>
      <c r="H77">
        <v>5</v>
      </c>
      <c r="I77">
        <v>1392</v>
      </c>
      <c r="J77">
        <v>4</v>
      </c>
      <c r="K77">
        <v>1113.5999999999999</v>
      </c>
      <c r="L77">
        <v>7</v>
      </c>
      <c r="M77">
        <v>1948.7999999999997</v>
      </c>
      <c r="N77">
        <v>5</v>
      </c>
      <c r="O77">
        <v>1392</v>
      </c>
      <c r="P77">
        <v>7</v>
      </c>
      <c r="Q77">
        <v>1948.7999999999997</v>
      </c>
      <c r="R77">
        <v>8</v>
      </c>
      <c r="S77">
        <v>2227.1999999999998</v>
      </c>
      <c r="T77">
        <v>31.737375730101018</v>
      </c>
      <c r="U77">
        <v>8835.6854032601223</v>
      </c>
      <c r="V77">
        <v>26.787456431099841</v>
      </c>
      <c r="W77">
        <v>7457.627870418195</v>
      </c>
      <c r="X77">
        <v>23.579275961611295</v>
      </c>
      <c r="Y77">
        <v>6564.4704277125838</v>
      </c>
      <c r="Z77">
        <v>26.684882928865918</v>
      </c>
      <c r="AA77">
        <v>7429.0714073962708</v>
      </c>
      <c r="AB77">
        <v>15</v>
      </c>
      <c r="AC77">
        <v>4176</v>
      </c>
      <c r="AD77">
        <v>17</v>
      </c>
      <c r="AE77">
        <v>4732.7999999999993</v>
      </c>
      <c r="AF77">
        <v>11</v>
      </c>
      <c r="AG77">
        <v>3062.3999999999996</v>
      </c>
      <c r="AH77">
        <v>10</v>
      </c>
      <c r="AI77">
        <v>2784</v>
      </c>
      <c r="AJ77">
        <v>7.3840541941131477</v>
      </c>
      <c r="AK77">
        <v>2055.7206876411001</v>
      </c>
      <c r="AL77">
        <v>7.4731980208239204</v>
      </c>
      <c r="AM77">
        <v>2080.5383289973793</v>
      </c>
      <c r="AN77">
        <v>6.5460572877149694</v>
      </c>
      <c r="AO77">
        <v>1822.4223488998473</v>
      </c>
      <c r="AP77">
        <v>5.984462454561843</v>
      </c>
      <c r="AQ77">
        <v>1666.074347350017</v>
      </c>
      <c r="AR77">
        <v>5</v>
      </c>
      <c r="AS77">
        <v>1392</v>
      </c>
      <c r="AT77">
        <v>4</v>
      </c>
      <c r="AU77">
        <v>1113.5999999999999</v>
      </c>
      <c r="AV77">
        <v>5</v>
      </c>
      <c r="AW77">
        <v>1392</v>
      </c>
      <c r="AX77">
        <v>3.7972551413802726</v>
      </c>
      <c r="AY77">
        <v>1057.1558313602677</v>
      </c>
      <c r="AZ77">
        <v>8.469826715914893</v>
      </c>
      <c r="BA77">
        <v>2357.999757710706</v>
      </c>
      <c r="BB77">
        <v>9.3972919161300545</v>
      </c>
      <c r="BC77">
        <v>2616.2060694506072</v>
      </c>
      <c r="BD77">
        <v>12.489927511696456</v>
      </c>
      <c r="BE77">
        <v>3477.1958192562929</v>
      </c>
      <c r="BF77">
        <v>6.5145567620396676</v>
      </c>
      <c r="BG77">
        <v>1813.6526025518433</v>
      </c>
      <c r="BH77">
        <v>39.116136378684637</v>
      </c>
      <c r="BI77">
        <v>10889.932367825802</v>
      </c>
      <c r="BJ77">
        <v>36.993346183802039</v>
      </c>
      <c r="BK77">
        <v>10298.947577570487</v>
      </c>
      <c r="BL77">
        <v>52.279427993472396</v>
      </c>
      <c r="BM77">
        <v>14554.592753382714</v>
      </c>
      <c r="BN77">
        <v>35.372120284172865</v>
      </c>
      <c r="BO77">
        <v>9847.5982871137257</v>
      </c>
      <c r="BP77">
        <v>6.2231492790857503</v>
      </c>
      <c r="BQ77">
        <v>1732.5247592974727</v>
      </c>
      <c r="BR77">
        <v>7.8191137542391509</v>
      </c>
      <c r="BS77">
        <v>2176.8412691801796</v>
      </c>
      <c r="BT77">
        <v>8.0319303914987774</v>
      </c>
      <c r="BU77">
        <v>2236.0894209932594</v>
      </c>
      <c r="BV77">
        <v>7.6598951440913492</v>
      </c>
      <c r="BW77">
        <v>2132.5148081150314</v>
      </c>
      <c r="BX77">
        <v>5</v>
      </c>
      <c r="BY77">
        <v>1392</v>
      </c>
      <c r="BZ77">
        <v>10.570507354433248</v>
      </c>
      <c r="CA77">
        <v>2942.8292474742161</v>
      </c>
      <c r="CB77">
        <v>8.3972919161300545</v>
      </c>
      <c r="CC77">
        <v>2337.8060694506071</v>
      </c>
      <c r="CD77">
        <v>7.3268675831730157</v>
      </c>
      <c r="CE77">
        <v>2039.7999351553674</v>
      </c>
      <c r="CF77">
        <v>19.351478330862147</v>
      </c>
      <c r="CG77">
        <v>5387.4515673120213</v>
      </c>
      <c r="CH77">
        <v>15.177743630414096</v>
      </c>
      <c r="CI77">
        <v>4225.4838267072837</v>
      </c>
      <c r="CJ77">
        <v>16.311395119022599</v>
      </c>
      <c r="CK77">
        <v>4541.0924011358911</v>
      </c>
      <c r="CL77">
        <v>16.328651486106146</v>
      </c>
      <c r="CM77">
        <v>4545.8965737319504</v>
      </c>
      <c r="CN77">
        <v>4</v>
      </c>
      <c r="CO77">
        <v>1113.5999999999999</v>
      </c>
      <c r="CP77">
        <v>3</v>
      </c>
      <c r="CQ77">
        <v>835.19999999999993</v>
      </c>
      <c r="CR77">
        <v>4.8169399694353201</v>
      </c>
      <c r="CS77">
        <v>1341.0360874907931</v>
      </c>
      <c r="CT77">
        <v>3.9680514123521595</v>
      </c>
      <c r="CU77">
        <v>1104.7055131988411</v>
      </c>
    </row>
    <row r="78" spans="2:99" x14ac:dyDescent="0.2">
      <c r="C78" s="105" t="s">
        <v>244</v>
      </c>
      <c r="D78">
        <v>5</v>
      </c>
      <c r="E78">
        <v>2760</v>
      </c>
      <c r="F78">
        <v>6</v>
      </c>
      <c r="G78">
        <v>3312</v>
      </c>
      <c r="H78">
        <v>5</v>
      </c>
      <c r="I78">
        <v>2760</v>
      </c>
      <c r="J78">
        <v>5</v>
      </c>
      <c r="K78">
        <v>2760</v>
      </c>
      <c r="L78">
        <v>6</v>
      </c>
      <c r="M78">
        <v>3312</v>
      </c>
      <c r="N78">
        <v>6</v>
      </c>
      <c r="O78">
        <v>3312</v>
      </c>
      <c r="P78">
        <v>7</v>
      </c>
      <c r="Q78">
        <v>3864</v>
      </c>
      <c r="R78">
        <v>7</v>
      </c>
      <c r="S78">
        <v>3864</v>
      </c>
      <c r="T78">
        <v>28.696410411762074</v>
      </c>
      <c r="U78">
        <v>15840.418547292664</v>
      </c>
      <c r="V78">
        <v>23.699961272088746</v>
      </c>
      <c r="W78">
        <v>13082.378622192988</v>
      </c>
      <c r="X78">
        <v>24.579275961611295</v>
      </c>
      <c r="Y78">
        <v>13567.760330809435</v>
      </c>
      <c r="Z78">
        <v>25.642077745811797</v>
      </c>
      <c r="AA78">
        <v>14154.426915688111</v>
      </c>
      <c r="AB78">
        <v>14</v>
      </c>
      <c r="AC78">
        <v>7728</v>
      </c>
      <c r="AD78">
        <v>17</v>
      </c>
      <c r="AE78">
        <v>9384</v>
      </c>
      <c r="AF78">
        <v>10</v>
      </c>
      <c r="AG78">
        <v>5520</v>
      </c>
      <c r="AH78">
        <v>11</v>
      </c>
      <c r="AI78">
        <v>6072</v>
      </c>
      <c r="AJ78">
        <v>6.4035479151569952</v>
      </c>
      <c r="AK78">
        <v>3534.7584491666612</v>
      </c>
      <c r="AL78">
        <v>7.2680691824813488</v>
      </c>
      <c r="AM78">
        <v>4011.9741887297046</v>
      </c>
      <c r="AN78">
        <v>6.4090648698161745</v>
      </c>
      <c r="AO78">
        <v>3537.8038081385284</v>
      </c>
      <c r="AP78">
        <v>6.984462454561843</v>
      </c>
      <c r="AQ78">
        <v>3855.4232749181374</v>
      </c>
      <c r="AR78">
        <v>5.8383408403170201</v>
      </c>
      <c r="AS78">
        <v>3222.7641438549949</v>
      </c>
      <c r="AT78">
        <v>4</v>
      </c>
      <c r="AU78">
        <v>2208</v>
      </c>
      <c r="AV78">
        <v>5</v>
      </c>
      <c r="AW78">
        <v>2760</v>
      </c>
      <c r="AX78">
        <v>3.6885385311920533</v>
      </c>
      <c r="AY78">
        <v>2036.0732692180134</v>
      </c>
      <c r="AZ78">
        <v>8.5168093875063828</v>
      </c>
      <c r="BA78">
        <v>4701.2787819035229</v>
      </c>
      <c r="BB78">
        <v>9</v>
      </c>
      <c r="BC78">
        <v>4968</v>
      </c>
      <c r="BD78">
        <v>9.4899275116964557</v>
      </c>
      <c r="BE78">
        <v>5238.4399864564439</v>
      </c>
      <c r="BF78">
        <v>5.5145567620396676</v>
      </c>
      <c r="BG78">
        <v>3044.0353326458967</v>
      </c>
      <c r="BH78">
        <v>34.155299058638477</v>
      </c>
      <c r="BI78">
        <v>18853.72508036844</v>
      </c>
      <c r="BJ78">
        <v>36.045627561896886</v>
      </c>
      <c r="BK78">
        <v>19897.186414167081</v>
      </c>
      <c r="BL78">
        <v>45.318198538729135</v>
      </c>
      <c r="BM78">
        <v>25015.645593378482</v>
      </c>
      <c r="BN78">
        <v>37.186075170540697</v>
      </c>
      <c r="BO78">
        <v>20526.713494138465</v>
      </c>
      <c r="BP78">
        <v>6.2231492790857503</v>
      </c>
      <c r="BQ78">
        <v>3435.1784020553341</v>
      </c>
      <c r="BR78">
        <v>6.8600694419511079</v>
      </c>
      <c r="BS78">
        <v>3786.7583319570117</v>
      </c>
      <c r="BT78">
        <v>8.0099744257222074</v>
      </c>
      <c r="BU78">
        <v>4421.5058829986583</v>
      </c>
      <c r="BV78">
        <v>6.6798919666395715</v>
      </c>
      <c r="BW78">
        <v>3687.3003655850434</v>
      </c>
      <c r="BX78">
        <v>6</v>
      </c>
      <c r="BY78">
        <v>3312</v>
      </c>
      <c r="BZ78">
        <v>9.5705073544332482</v>
      </c>
      <c r="CA78">
        <v>5282.9200596471528</v>
      </c>
      <c r="CB78">
        <v>8</v>
      </c>
      <c r="CC78">
        <v>4416</v>
      </c>
      <c r="CD78">
        <v>6.3268675831730157</v>
      </c>
      <c r="CE78">
        <v>3492.4309059115049</v>
      </c>
      <c r="CF78">
        <v>21.32218846995697</v>
      </c>
      <c r="CG78">
        <v>11769.848035416248</v>
      </c>
      <c r="CH78">
        <v>14.177743630414096</v>
      </c>
      <c r="CI78">
        <v>7826.114483988581</v>
      </c>
      <c r="CJ78">
        <v>14.285445525770717</v>
      </c>
      <c r="CK78">
        <v>7885.5659302254353</v>
      </c>
      <c r="CL78">
        <v>17.356039109948327</v>
      </c>
      <c r="CM78">
        <v>9580.5335886914763</v>
      </c>
      <c r="CN78">
        <v>3</v>
      </c>
      <c r="CO78">
        <v>1656</v>
      </c>
      <c r="CP78">
        <v>3</v>
      </c>
      <c r="CQ78">
        <v>1656</v>
      </c>
      <c r="CR78">
        <v>4.7208293847958709</v>
      </c>
      <c r="CS78">
        <v>2605.8978204073205</v>
      </c>
      <c r="CT78">
        <v>4.8191204258364433</v>
      </c>
      <c r="CU78">
        <v>2660.1544750617168</v>
      </c>
    </row>
    <row r="79" spans="2:99" x14ac:dyDescent="0.2">
      <c r="C79" s="105" t="s">
        <v>245</v>
      </c>
      <c r="D79">
        <v>5</v>
      </c>
      <c r="E79">
        <v>3785.9999999999995</v>
      </c>
      <c r="F79">
        <v>5</v>
      </c>
      <c r="G79">
        <v>3785.9999999999995</v>
      </c>
      <c r="H79">
        <v>4</v>
      </c>
      <c r="I79">
        <v>3028.7999999999997</v>
      </c>
      <c r="J79">
        <v>5</v>
      </c>
      <c r="K79">
        <v>3785.9999999999995</v>
      </c>
      <c r="L79">
        <v>7</v>
      </c>
      <c r="M79">
        <v>5300.4</v>
      </c>
      <c r="N79">
        <v>5</v>
      </c>
      <c r="O79">
        <v>3785.9999999999995</v>
      </c>
      <c r="P79">
        <v>7</v>
      </c>
      <c r="Q79">
        <v>5300.4</v>
      </c>
      <c r="R79">
        <v>8</v>
      </c>
      <c r="S79">
        <v>6057.5999999999995</v>
      </c>
      <c r="T79">
        <v>26.737375730101018</v>
      </c>
      <c r="U79">
        <v>20245.54090283249</v>
      </c>
      <c r="V79">
        <v>25.787456431099841</v>
      </c>
      <c r="W79">
        <v>19526.262009628797</v>
      </c>
      <c r="X79">
        <v>21.537899107210489</v>
      </c>
      <c r="Y79">
        <v>16308.497203979781</v>
      </c>
      <c r="Z79">
        <v>24.642077745811797</v>
      </c>
      <c r="AA79">
        <v>18658.98126912869</v>
      </c>
      <c r="AB79">
        <v>14</v>
      </c>
      <c r="AC79">
        <v>10600.8</v>
      </c>
      <c r="AD79">
        <v>15</v>
      </c>
      <c r="AE79">
        <v>11357.999999999998</v>
      </c>
      <c r="AF79">
        <v>9</v>
      </c>
      <c r="AG79">
        <v>6814.7999999999993</v>
      </c>
      <c r="AH79">
        <v>10</v>
      </c>
      <c r="AI79">
        <v>7571.9999999999991</v>
      </c>
      <c r="AJ79">
        <v>5.2670918678500644</v>
      </c>
      <c r="AK79">
        <v>3988.2419623360684</v>
      </c>
      <c r="AL79">
        <v>7.1934768776295055</v>
      </c>
      <c r="AM79">
        <v>5446.9006917410607</v>
      </c>
      <c r="AN79">
        <v>5.4482055606444018</v>
      </c>
      <c r="AO79">
        <v>4125.3812505199403</v>
      </c>
      <c r="AP79">
        <v>5.9604511751822864</v>
      </c>
      <c r="AQ79">
        <v>4513.2536298480272</v>
      </c>
      <c r="AR79">
        <v>5</v>
      </c>
      <c r="AS79">
        <v>3785.9999999999995</v>
      </c>
      <c r="AT79">
        <v>4</v>
      </c>
      <c r="AU79">
        <v>3028.7999999999997</v>
      </c>
      <c r="AV79">
        <v>5</v>
      </c>
      <c r="AW79">
        <v>3785.9999999999995</v>
      </c>
      <c r="AX79">
        <v>3.7972551413802726</v>
      </c>
      <c r="AY79">
        <v>2875.2815930531424</v>
      </c>
      <c r="AZ79">
        <v>7.5637920590978727</v>
      </c>
      <c r="BA79">
        <v>5727.3033471489089</v>
      </c>
      <c r="BB79">
        <v>10.397291916130055</v>
      </c>
      <c r="BC79">
        <v>7872.8294388936765</v>
      </c>
      <c r="BD79">
        <v>9.4899275116964557</v>
      </c>
      <c r="BE79">
        <v>7185.7731118565553</v>
      </c>
      <c r="BF79">
        <v>6.5145567620396676</v>
      </c>
      <c r="BG79">
        <v>4932.8223802164357</v>
      </c>
      <c r="BH79">
        <v>33.13571771866156</v>
      </c>
      <c r="BI79">
        <v>25090.365456570533</v>
      </c>
      <c r="BJ79">
        <v>36.019486872849463</v>
      </c>
      <c r="BK79">
        <v>27273.955460121611</v>
      </c>
      <c r="BL79">
        <v>46.260042720844027</v>
      </c>
      <c r="BM79">
        <v>35028.104348223096</v>
      </c>
      <c r="BN79">
        <v>31.744210511437181</v>
      </c>
      <c r="BO79">
        <v>24036.71619926023</v>
      </c>
      <c r="BP79">
        <v>6.2972795384242808</v>
      </c>
      <c r="BQ79">
        <v>4768.300066494865</v>
      </c>
      <c r="BR79">
        <v>6.7372023788152351</v>
      </c>
      <c r="BS79">
        <v>5101.4096412388953</v>
      </c>
      <c r="BT79">
        <v>7.9001945968393592</v>
      </c>
      <c r="BU79">
        <v>5982.0273487267623</v>
      </c>
      <c r="BV79">
        <v>6.7198856117360171</v>
      </c>
      <c r="BW79">
        <v>5088.2973852065115</v>
      </c>
      <c r="BX79">
        <v>6</v>
      </c>
      <c r="BY79">
        <v>4543.2</v>
      </c>
      <c r="BZ79">
        <v>10.475422795361041</v>
      </c>
      <c r="CA79">
        <v>7931.9901406473791</v>
      </c>
      <c r="CB79">
        <v>8.3476304266137973</v>
      </c>
      <c r="CC79">
        <v>6320.8257590319663</v>
      </c>
      <c r="CD79">
        <v>6.2801722141482994</v>
      </c>
      <c r="CE79">
        <v>4755.3464005530923</v>
      </c>
      <c r="CF79">
        <v>18.380768191767327</v>
      </c>
      <c r="CG79">
        <v>13917.917674806218</v>
      </c>
      <c r="CH79">
        <v>15.177743630414096</v>
      </c>
      <c r="CI79">
        <v>11492.587476949551</v>
      </c>
      <c r="CJ79">
        <v>15.337344712274483</v>
      </c>
      <c r="CK79">
        <v>11613.437416134237</v>
      </c>
      <c r="CL79">
        <v>16.356039109948327</v>
      </c>
      <c r="CM79">
        <v>12384.792814052871</v>
      </c>
      <c r="CN79">
        <v>4</v>
      </c>
      <c r="CO79">
        <v>3028.7999999999997</v>
      </c>
      <c r="CP79">
        <v>3</v>
      </c>
      <c r="CQ79">
        <v>2271.6</v>
      </c>
      <c r="CR79">
        <v>3.7208293847958704</v>
      </c>
      <c r="CS79">
        <v>2817.412010167433</v>
      </c>
      <c r="CT79">
        <v>3.8439422569223956</v>
      </c>
      <c r="CU79">
        <v>2910.6330769416377</v>
      </c>
    </row>
    <row r="80" spans="2:99" x14ac:dyDescent="0.2">
      <c r="C80" s="105" t="s">
        <v>246</v>
      </c>
      <c r="D80">
        <v>5</v>
      </c>
      <c r="E80">
        <v>4025.9999999999995</v>
      </c>
      <c r="F80">
        <v>5</v>
      </c>
      <c r="G80">
        <v>4025.9999999999995</v>
      </c>
      <c r="H80">
        <v>5</v>
      </c>
      <c r="I80">
        <v>4025.9999999999995</v>
      </c>
      <c r="J80">
        <v>4</v>
      </c>
      <c r="K80">
        <v>3220.7999999999997</v>
      </c>
      <c r="L80">
        <v>7</v>
      </c>
      <c r="M80">
        <v>5636.4</v>
      </c>
      <c r="N80">
        <v>5</v>
      </c>
      <c r="O80">
        <v>4025.9999999999995</v>
      </c>
      <c r="P80">
        <v>7</v>
      </c>
      <c r="Q80">
        <v>5636.4</v>
      </c>
      <c r="R80">
        <v>7</v>
      </c>
      <c r="S80">
        <v>5636.4</v>
      </c>
      <c r="T80">
        <v>27.655445093423126</v>
      </c>
      <c r="U80">
        <v>22268.164389224297</v>
      </c>
      <c r="V80">
        <v>24</v>
      </c>
      <c r="W80">
        <v>19324.8</v>
      </c>
      <c r="X80">
        <v>22.496522252809683</v>
      </c>
      <c r="Y80">
        <v>18114.199717962354</v>
      </c>
      <c r="Z80">
        <v>24.684882928865918</v>
      </c>
      <c r="AA80">
        <v>19876.267734322835</v>
      </c>
      <c r="AB80">
        <v>15</v>
      </c>
      <c r="AC80">
        <v>12077.999999999998</v>
      </c>
      <c r="AD80">
        <v>15</v>
      </c>
      <c r="AE80">
        <v>12077.999999999998</v>
      </c>
      <c r="AF80">
        <v>10</v>
      </c>
      <c r="AG80">
        <v>8051.9999999999991</v>
      </c>
      <c r="AH80">
        <v>9</v>
      </c>
      <c r="AI80">
        <v>7246.7999999999993</v>
      </c>
      <c r="AJ80">
        <v>6.2670918678500644</v>
      </c>
      <c r="AK80">
        <v>5046.2623719928715</v>
      </c>
      <c r="AL80">
        <v>7.2307730300554267</v>
      </c>
      <c r="AM80">
        <v>5822.2184438006288</v>
      </c>
      <c r="AN80">
        <v>6.2525021065032664</v>
      </c>
      <c r="AO80">
        <v>5034.5146961564296</v>
      </c>
      <c r="AP80">
        <v>6.0805075720800712</v>
      </c>
      <c r="AQ80">
        <v>4896.0246970388725</v>
      </c>
      <c r="AR80">
        <v>4.800234438484428</v>
      </c>
      <c r="AS80">
        <v>3865.148769867661</v>
      </c>
      <c r="AT80">
        <v>4</v>
      </c>
      <c r="AU80">
        <v>3220.7999999999997</v>
      </c>
      <c r="AV80">
        <v>5</v>
      </c>
      <c r="AW80">
        <v>4025.9999999999995</v>
      </c>
      <c r="AX80">
        <v>3.7247774012547934</v>
      </c>
      <c r="AY80">
        <v>2999.1907634903596</v>
      </c>
      <c r="AZ80">
        <v>7.5168093875063828</v>
      </c>
      <c r="BA80">
        <v>6052.534918820139</v>
      </c>
      <c r="BB80">
        <v>9</v>
      </c>
      <c r="BC80">
        <v>7246.7999999999993</v>
      </c>
      <c r="BD80">
        <v>10.44093476052681</v>
      </c>
      <c r="BE80">
        <v>8407.0406691761873</v>
      </c>
      <c r="BF80">
        <v>6.5145567620396676</v>
      </c>
      <c r="BG80">
        <v>5245.5211047943403</v>
      </c>
      <c r="BH80">
        <v>35.096555038707713</v>
      </c>
      <c r="BI80">
        <v>28259.746117167448</v>
      </c>
      <c r="BJ80">
        <v>39.914924116659776</v>
      </c>
      <c r="BK80">
        <v>32139.496898734447</v>
      </c>
      <c r="BL80">
        <v>47.356969083985874</v>
      </c>
      <c r="BM80">
        <v>38131.83150642542</v>
      </c>
      <c r="BN80">
        <v>32.651187954621108</v>
      </c>
      <c r="BO80">
        <v>26290.736541060913</v>
      </c>
      <c r="BP80">
        <v>6.1860841494164847</v>
      </c>
      <c r="BQ80">
        <v>4981.0349571101533</v>
      </c>
      <c r="BR80">
        <v>6.778158066527193</v>
      </c>
      <c r="BS80">
        <v>5457.772875167695</v>
      </c>
      <c r="BT80">
        <v>8.0099744257222074</v>
      </c>
      <c r="BU80">
        <v>6449.6314075915207</v>
      </c>
      <c r="BV80">
        <v>6.6199014989949037</v>
      </c>
      <c r="BW80">
        <v>5330.3446869906957</v>
      </c>
      <c r="BX80">
        <v>6</v>
      </c>
      <c r="BY80">
        <v>4831.2</v>
      </c>
      <c r="BZ80">
        <v>8.475422795361041</v>
      </c>
      <c r="CA80">
        <v>6824.4104348247092</v>
      </c>
      <c r="CB80">
        <v>8</v>
      </c>
      <c r="CC80">
        <v>6441.5999999999995</v>
      </c>
      <c r="CD80">
        <v>6.2801722141482994</v>
      </c>
      <c r="CE80">
        <v>5056.7946668322102</v>
      </c>
      <c r="CF80">
        <v>20.380768191767327</v>
      </c>
      <c r="CG80">
        <v>16410.594548011049</v>
      </c>
      <c r="CH80">
        <v>14.203135577616111</v>
      </c>
      <c r="CI80">
        <v>11436.364767096491</v>
      </c>
      <c r="CJ80">
        <v>14.285445525770717</v>
      </c>
      <c r="CK80">
        <v>11502.640737350581</v>
      </c>
      <c r="CL80">
        <v>15.383426733790506</v>
      </c>
      <c r="CM80">
        <v>12386.735206048113</v>
      </c>
      <c r="CN80">
        <v>3</v>
      </c>
      <c r="CO80">
        <v>2415.6</v>
      </c>
      <c r="CP80">
        <v>3</v>
      </c>
      <c r="CQ80">
        <v>2415.6</v>
      </c>
      <c r="CR80">
        <v>4.6968017386360081</v>
      </c>
      <c r="CS80">
        <v>3781.8647599497135</v>
      </c>
      <c r="CT80">
        <v>3.893585919094301</v>
      </c>
      <c r="CU80">
        <v>3135.1153820547311</v>
      </c>
    </row>
    <row r="81" spans="2:99" x14ac:dyDescent="0.2">
      <c r="C81" s="105" t="s">
        <v>247</v>
      </c>
      <c r="D81">
        <v>5</v>
      </c>
      <c r="E81">
        <v>3768</v>
      </c>
      <c r="F81">
        <v>6</v>
      </c>
      <c r="G81">
        <v>4521.6000000000004</v>
      </c>
      <c r="H81">
        <v>5</v>
      </c>
      <c r="I81">
        <v>3768</v>
      </c>
      <c r="J81">
        <v>4</v>
      </c>
      <c r="K81">
        <v>3014.4</v>
      </c>
      <c r="L81">
        <v>7</v>
      </c>
      <c r="M81">
        <v>5275.2</v>
      </c>
      <c r="N81">
        <v>5</v>
      </c>
      <c r="O81">
        <v>3768</v>
      </c>
      <c r="P81">
        <v>7</v>
      </c>
      <c r="Q81">
        <v>5275.2</v>
      </c>
      <c r="R81">
        <v>7</v>
      </c>
      <c r="S81">
        <v>5275.2</v>
      </c>
      <c r="T81">
        <v>29.614479775084181</v>
      </c>
      <c r="U81">
        <v>22317.47195850344</v>
      </c>
      <c r="V81">
        <v>22.743708851594292</v>
      </c>
      <c r="W81">
        <v>17139.65899056146</v>
      </c>
      <c r="X81">
        <v>23.496522252809683</v>
      </c>
      <c r="Y81">
        <v>17706.979169717379</v>
      </c>
      <c r="Z81">
        <v>26.642077745811797</v>
      </c>
      <c r="AA81">
        <v>20077.469789243769</v>
      </c>
      <c r="AB81">
        <v>14</v>
      </c>
      <c r="AC81">
        <v>10550.4</v>
      </c>
      <c r="AD81">
        <v>17</v>
      </c>
      <c r="AE81">
        <v>12811.2</v>
      </c>
      <c r="AF81">
        <v>10</v>
      </c>
      <c r="AG81">
        <v>7536</v>
      </c>
      <c r="AH81">
        <v>11</v>
      </c>
      <c r="AI81">
        <v>8289.6</v>
      </c>
      <c r="AJ81">
        <v>5.4230416362008418</v>
      </c>
      <c r="AK81">
        <v>4086.8041770409545</v>
      </c>
      <c r="AL81">
        <v>7.3986057159720762</v>
      </c>
      <c r="AM81">
        <v>5575.5892675565565</v>
      </c>
      <c r="AN81">
        <v>6.4677759060585149</v>
      </c>
      <c r="AO81">
        <v>4874.1159228056968</v>
      </c>
      <c r="AP81">
        <v>5.9604511751822864</v>
      </c>
      <c r="AQ81">
        <v>4491.7960056173715</v>
      </c>
      <c r="AR81">
        <v>5.800234438484428</v>
      </c>
      <c r="AS81">
        <v>4371.0566728418653</v>
      </c>
      <c r="AT81">
        <v>4</v>
      </c>
      <c r="AU81">
        <v>3014.4</v>
      </c>
      <c r="AV81">
        <v>5</v>
      </c>
      <c r="AW81">
        <v>3768</v>
      </c>
      <c r="AX81">
        <v>3.7247774012547934</v>
      </c>
      <c r="AY81">
        <v>2806.9922495856122</v>
      </c>
      <c r="AZ81">
        <v>7.5168093875063828</v>
      </c>
      <c r="BA81">
        <v>5664.6675544248101</v>
      </c>
      <c r="BB81">
        <v>9.4469534056463118</v>
      </c>
      <c r="BC81">
        <v>7119.2240864950609</v>
      </c>
      <c r="BD81">
        <v>9.4899275116964557</v>
      </c>
      <c r="BE81">
        <v>7151.6093728144488</v>
      </c>
      <c r="BF81">
        <v>5.5613346494978195</v>
      </c>
      <c r="BG81">
        <v>4191.0217918615572</v>
      </c>
      <c r="BH81">
        <v>34.096555038707713</v>
      </c>
      <c r="BI81">
        <v>25695.163877170133</v>
      </c>
      <c r="BJ81">
        <v>40.071768250944309</v>
      </c>
      <c r="BK81">
        <v>30198.084553911631</v>
      </c>
      <c r="BL81">
        <v>48.260042720844027</v>
      </c>
      <c r="BM81">
        <v>36368.768194428063</v>
      </c>
      <c r="BN81">
        <v>34.465142840988939</v>
      </c>
      <c r="BO81">
        <v>25972.931644969267</v>
      </c>
      <c r="BP81">
        <v>6.3343446680935456</v>
      </c>
      <c r="BQ81">
        <v>4773.5621418752962</v>
      </c>
      <c r="BR81">
        <v>6.7986359103831715</v>
      </c>
      <c r="BS81">
        <v>5123.4520220647582</v>
      </c>
      <c r="BT81">
        <v>6.8782386310627892</v>
      </c>
      <c r="BU81">
        <v>5183.4406323689182</v>
      </c>
      <c r="BV81">
        <v>5.6398983215431269</v>
      </c>
      <c r="BW81">
        <v>4250.2273751149005</v>
      </c>
      <c r="BX81">
        <v>5</v>
      </c>
      <c r="BY81">
        <v>3768</v>
      </c>
      <c r="BZ81">
        <v>9.475422795361041</v>
      </c>
      <c r="CA81">
        <v>7140.6786185840811</v>
      </c>
      <c r="CB81">
        <v>8.3972919161300545</v>
      </c>
      <c r="CC81">
        <v>6328.1991879956095</v>
      </c>
      <c r="CD81">
        <v>7.2801722141482994</v>
      </c>
      <c r="CE81">
        <v>5486.3377805821583</v>
      </c>
      <c r="CF81">
        <v>21.351478330862147</v>
      </c>
      <c r="CG81">
        <v>16090.474070137714</v>
      </c>
      <c r="CH81">
        <v>14.177743630414096</v>
      </c>
      <c r="CI81">
        <v>10684.347599880062</v>
      </c>
      <c r="CJ81">
        <v>15.337344712274483</v>
      </c>
      <c r="CK81">
        <v>11558.222975170051</v>
      </c>
      <c r="CL81">
        <v>16.356039109948327</v>
      </c>
      <c r="CM81">
        <v>12325.911073257059</v>
      </c>
      <c r="CN81">
        <v>3</v>
      </c>
      <c r="CO81">
        <v>2260.8000000000002</v>
      </c>
      <c r="CP81">
        <v>4.425925348898379</v>
      </c>
      <c r="CQ81">
        <v>3335.3773429298185</v>
      </c>
      <c r="CR81">
        <v>4.7688846771155955</v>
      </c>
      <c r="CS81">
        <v>3593.8314926743128</v>
      </c>
      <c r="CT81">
        <v>4.7942985947504901</v>
      </c>
      <c r="CU81">
        <v>3612.9834210039694</v>
      </c>
    </row>
    <row r="82" spans="2:99" x14ac:dyDescent="0.2">
      <c r="C82" s="105" t="s">
        <v>248</v>
      </c>
      <c r="D82">
        <v>5</v>
      </c>
      <c r="E82">
        <v>2543.9999999999995</v>
      </c>
      <c r="F82">
        <v>6</v>
      </c>
      <c r="G82">
        <v>3052.7999999999993</v>
      </c>
      <c r="H82">
        <v>5</v>
      </c>
      <c r="I82">
        <v>2543.9999999999995</v>
      </c>
      <c r="J82">
        <v>5</v>
      </c>
      <c r="K82">
        <v>2543.9999999999995</v>
      </c>
      <c r="L82">
        <v>7</v>
      </c>
      <c r="M82">
        <v>3561.5999999999995</v>
      </c>
      <c r="N82">
        <v>5</v>
      </c>
      <c r="O82">
        <v>2543.9999999999995</v>
      </c>
      <c r="P82">
        <v>7</v>
      </c>
      <c r="Q82">
        <v>3561.5999999999995</v>
      </c>
      <c r="R82">
        <v>8</v>
      </c>
      <c r="S82">
        <v>4070.3999999999992</v>
      </c>
      <c r="T82">
        <v>26.696410411762074</v>
      </c>
      <c r="U82">
        <v>13583.13361750454</v>
      </c>
      <c r="V82">
        <v>25</v>
      </c>
      <c r="W82">
        <v>12719.999999999998</v>
      </c>
      <c r="X82">
        <v>25.579275961611295</v>
      </c>
      <c r="Y82">
        <v>13014.735609267824</v>
      </c>
      <c r="Z82">
        <v>29.727688111920038</v>
      </c>
      <c r="AA82">
        <v>15125.447711344912</v>
      </c>
      <c r="AB82">
        <v>15</v>
      </c>
      <c r="AC82">
        <v>7631.9999999999982</v>
      </c>
      <c r="AD82">
        <v>16</v>
      </c>
      <c r="AE82">
        <v>8140.7999999999984</v>
      </c>
      <c r="AF82">
        <v>9</v>
      </c>
      <c r="AG82">
        <v>4579.1999999999989</v>
      </c>
      <c r="AH82">
        <v>10</v>
      </c>
      <c r="AI82">
        <v>5087.9999999999991</v>
      </c>
      <c r="AJ82">
        <v>6.3450667520254536</v>
      </c>
      <c r="AK82">
        <v>3228.3699634305503</v>
      </c>
      <c r="AL82">
        <v>7.342661487333193</v>
      </c>
      <c r="AM82">
        <v>3735.9461647551279</v>
      </c>
      <c r="AN82">
        <v>6.5069165968867413</v>
      </c>
      <c r="AO82">
        <v>3310.7191644959735</v>
      </c>
      <c r="AP82">
        <v>6.1045188514596287</v>
      </c>
      <c r="AQ82">
        <v>3105.9791916226586</v>
      </c>
      <c r="AR82">
        <v>5.800234438484428</v>
      </c>
      <c r="AS82">
        <v>2951.1592823008764</v>
      </c>
      <c r="AT82">
        <v>4</v>
      </c>
      <c r="AU82">
        <v>2035.1999999999996</v>
      </c>
      <c r="AV82">
        <v>5</v>
      </c>
      <c r="AW82">
        <v>2543.9999999999995</v>
      </c>
      <c r="AX82">
        <v>3.7247774012547934</v>
      </c>
      <c r="AY82">
        <v>1895.1667417584385</v>
      </c>
      <c r="AZ82">
        <v>8.5168093875063828</v>
      </c>
      <c r="BA82">
        <v>4333.3526163632469</v>
      </c>
      <c r="BB82">
        <v>9.4469534056463118</v>
      </c>
      <c r="BC82">
        <v>4806.6098927928424</v>
      </c>
      <c r="BD82">
        <v>11.489927511696456</v>
      </c>
      <c r="BE82">
        <v>5846.0751179511553</v>
      </c>
      <c r="BF82">
        <v>6.5613346494978195</v>
      </c>
      <c r="BG82">
        <v>3338.4070696644899</v>
      </c>
      <c r="BH82">
        <v>39.096555038707713</v>
      </c>
      <c r="BI82">
        <v>19892.32720369448</v>
      </c>
      <c r="BJ82">
        <v>35.9410648057072</v>
      </c>
      <c r="BK82">
        <v>18286.813773143818</v>
      </c>
      <c r="BL82">
        <v>45.376354356614243</v>
      </c>
      <c r="BM82">
        <v>23087.489096645324</v>
      </c>
      <c r="BN82">
        <v>31.744210511437181</v>
      </c>
      <c r="BO82">
        <v>16151.454308219234</v>
      </c>
      <c r="BP82">
        <v>6.1860841494164847</v>
      </c>
      <c r="BQ82">
        <v>3147.479615223107</v>
      </c>
      <c r="BR82">
        <v>6.8600694419511079</v>
      </c>
      <c r="BS82">
        <v>3490.4033320647231</v>
      </c>
      <c r="BT82">
        <v>8.0099744257222074</v>
      </c>
      <c r="BU82">
        <v>4075.4749878074581</v>
      </c>
      <c r="BV82">
        <v>6.7398824342842403</v>
      </c>
      <c r="BW82">
        <v>3429.252182563821</v>
      </c>
      <c r="BX82">
        <v>6</v>
      </c>
      <c r="BY82">
        <v>3052.7999999999993</v>
      </c>
      <c r="BZ82">
        <v>10</v>
      </c>
      <c r="CA82">
        <v>5087.9999999999991</v>
      </c>
      <c r="CB82">
        <v>9</v>
      </c>
      <c r="CC82">
        <v>4579.1999999999989</v>
      </c>
      <c r="CD82">
        <v>6.3268675831730157</v>
      </c>
      <c r="CE82">
        <v>3219.1102263184298</v>
      </c>
      <c r="CF82">
        <v>18.32218846995697</v>
      </c>
      <c r="CG82">
        <v>9322.3294935141039</v>
      </c>
      <c r="CH82">
        <v>15.177743630414096</v>
      </c>
      <c r="CI82">
        <v>7722.43595915469</v>
      </c>
      <c r="CJ82">
        <v>14.311395119022599</v>
      </c>
      <c r="CK82">
        <v>7281.637836558697</v>
      </c>
      <c r="CL82">
        <v>17.383426733790504</v>
      </c>
      <c r="CM82">
        <v>8844.6875221526061</v>
      </c>
      <c r="CN82">
        <v>4</v>
      </c>
      <c r="CO82">
        <v>2035.1999999999996</v>
      </c>
      <c r="CP82">
        <v>4.3839863680484275</v>
      </c>
      <c r="CQ82">
        <v>2230.5722640630393</v>
      </c>
      <c r="CR82">
        <v>4.8409676155951828</v>
      </c>
      <c r="CS82">
        <v>2463.0843228148287</v>
      </c>
      <c r="CT82">
        <v>3.893585919094301</v>
      </c>
      <c r="CU82">
        <v>1981.0565156351799</v>
      </c>
    </row>
    <row r="83" spans="2:99" x14ac:dyDescent="0.2">
      <c r="C83" s="105" t="s">
        <v>249</v>
      </c>
      <c r="D83">
        <v>5</v>
      </c>
      <c r="E83">
        <v>4302</v>
      </c>
      <c r="F83">
        <v>5</v>
      </c>
      <c r="G83">
        <v>4302</v>
      </c>
      <c r="H83">
        <v>4</v>
      </c>
      <c r="I83">
        <v>3441.6</v>
      </c>
      <c r="J83">
        <v>4</v>
      </c>
      <c r="K83">
        <v>3441.6</v>
      </c>
      <c r="L83">
        <v>6</v>
      </c>
      <c r="M83">
        <v>5162.3999999999996</v>
      </c>
      <c r="N83">
        <v>5</v>
      </c>
      <c r="O83">
        <v>4302</v>
      </c>
      <c r="P83">
        <v>7</v>
      </c>
      <c r="Q83">
        <v>6022.8</v>
      </c>
      <c r="R83">
        <v>7</v>
      </c>
      <c r="S83">
        <v>6022.8</v>
      </c>
      <c r="T83">
        <v>25.655445093423126</v>
      </c>
      <c r="U83">
        <v>22073.944958381257</v>
      </c>
      <c r="V83">
        <v>22.656213692583201</v>
      </c>
      <c r="W83">
        <v>19493.406261098586</v>
      </c>
      <c r="X83">
        <v>22.537899107210489</v>
      </c>
      <c r="Y83">
        <v>19391.608391843904</v>
      </c>
      <c r="Z83">
        <v>26.727688111920038</v>
      </c>
      <c r="AA83">
        <v>22996.502851495999</v>
      </c>
      <c r="AB83">
        <v>13.852863125387849</v>
      </c>
      <c r="AC83">
        <v>11919.003433083704</v>
      </c>
      <c r="AD83">
        <v>16</v>
      </c>
      <c r="AE83">
        <v>13766.4</v>
      </c>
      <c r="AF83">
        <v>10</v>
      </c>
      <c r="AG83">
        <v>8604</v>
      </c>
      <c r="AH83">
        <v>9</v>
      </c>
      <c r="AI83">
        <v>7743.5999999999995</v>
      </c>
      <c r="AJ83">
        <v>6.3060793099377594</v>
      </c>
      <c r="AK83">
        <v>5425.7506382704478</v>
      </c>
      <c r="AL83">
        <v>7.1188845727776613</v>
      </c>
      <c r="AM83">
        <v>6125.0882864178993</v>
      </c>
      <c r="AN83">
        <v>6.2329317610891524</v>
      </c>
      <c r="AO83">
        <v>5362.8144872411067</v>
      </c>
      <c r="AP83">
        <v>6.0805075720800712</v>
      </c>
      <c r="AQ83">
        <v>5231.6687150176931</v>
      </c>
      <c r="AR83">
        <v>5.7621280366518359</v>
      </c>
      <c r="AS83">
        <v>4957.7349627352396</v>
      </c>
      <c r="AT83">
        <v>4</v>
      </c>
      <c r="AU83">
        <v>3441.6</v>
      </c>
      <c r="AV83">
        <v>5</v>
      </c>
      <c r="AW83">
        <v>4302</v>
      </c>
      <c r="AX83">
        <v>3.7610162713175326</v>
      </c>
      <c r="AY83">
        <v>3235.9783998416051</v>
      </c>
      <c r="AZ83">
        <v>7.4698267159148939</v>
      </c>
      <c r="BA83">
        <v>6427.0389063731745</v>
      </c>
      <c r="BB83">
        <v>9</v>
      </c>
      <c r="BC83">
        <v>7743.5999999999995</v>
      </c>
      <c r="BD83">
        <v>11.489927511696456</v>
      </c>
      <c r="BE83">
        <v>9885.9336310636299</v>
      </c>
      <c r="BF83">
        <v>6.5145567620396676</v>
      </c>
      <c r="BG83">
        <v>5605.12463805893</v>
      </c>
      <c r="BH83">
        <v>35.116136378684637</v>
      </c>
      <c r="BI83">
        <v>30213.92374022026</v>
      </c>
      <c r="BJ83">
        <v>36.967205494754616</v>
      </c>
      <c r="BK83">
        <v>31806.583607686869</v>
      </c>
      <c r="BL83">
        <v>41.240657448215657</v>
      </c>
      <c r="BM83">
        <v>35483.461668444754</v>
      </c>
      <c r="BN83">
        <v>33.558165397805027</v>
      </c>
      <c r="BO83">
        <v>28873.445508271445</v>
      </c>
      <c r="BP83">
        <v>6.1490190197472199</v>
      </c>
      <c r="BQ83">
        <v>5290.6159645905082</v>
      </c>
      <c r="BR83">
        <v>6.7167245349592566</v>
      </c>
      <c r="BS83">
        <v>5779.069789878944</v>
      </c>
      <c r="BT83">
        <v>6.9660624941690683</v>
      </c>
      <c r="BU83">
        <v>5993.6001699830658</v>
      </c>
      <c r="BV83">
        <v>6.5999046764466813</v>
      </c>
      <c r="BW83">
        <v>5678.5579836147244</v>
      </c>
      <c r="BX83">
        <v>5</v>
      </c>
      <c r="BY83">
        <v>4302</v>
      </c>
      <c r="BZ83">
        <v>9.5229650748971437</v>
      </c>
      <c r="CA83">
        <v>8193.5591504415024</v>
      </c>
      <c r="CB83">
        <v>8.3476304266137973</v>
      </c>
      <c r="CC83">
        <v>7182.3012190585114</v>
      </c>
      <c r="CD83">
        <v>6.3268675831730157</v>
      </c>
      <c r="CE83">
        <v>5443.6368685620628</v>
      </c>
      <c r="CF83">
        <v>20.32218846995697</v>
      </c>
      <c r="CG83">
        <v>17485.210959550976</v>
      </c>
      <c r="CH83">
        <v>14.203135577616111</v>
      </c>
      <c r="CI83">
        <v>12220.377850980902</v>
      </c>
      <c r="CJ83">
        <v>13.311395119022599</v>
      </c>
      <c r="CK83">
        <v>11453.124360407044</v>
      </c>
      <c r="CL83">
        <v>15.383426733790506</v>
      </c>
      <c r="CM83">
        <v>13235.900361753351</v>
      </c>
      <c r="CN83">
        <v>3</v>
      </c>
      <c r="CO83">
        <v>2581.1999999999998</v>
      </c>
      <c r="CP83">
        <v>3</v>
      </c>
      <c r="CQ83">
        <v>2581.1999999999998</v>
      </c>
      <c r="CR83">
        <v>4.6968017386360081</v>
      </c>
      <c r="CS83">
        <v>4041.1282159224211</v>
      </c>
      <c r="CT83">
        <v>3.769476763664537</v>
      </c>
      <c r="CU83">
        <v>3243.2578074569674</v>
      </c>
    </row>
    <row r="84" spans="2:99" x14ac:dyDescent="0.2">
      <c r="C84" s="105" t="s">
        <v>250</v>
      </c>
      <c r="D84">
        <v>5</v>
      </c>
      <c r="E84">
        <v>3905.9999999999995</v>
      </c>
      <c r="F84">
        <v>6</v>
      </c>
      <c r="G84">
        <v>4687.2</v>
      </c>
      <c r="H84">
        <v>5</v>
      </c>
      <c r="I84">
        <v>3905.9999999999995</v>
      </c>
      <c r="J84">
        <v>4</v>
      </c>
      <c r="K84">
        <v>3124.7999999999997</v>
      </c>
      <c r="L84">
        <v>7</v>
      </c>
      <c r="M84">
        <v>5468.4</v>
      </c>
      <c r="N84">
        <v>5</v>
      </c>
      <c r="O84">
        <v>3905.9999999999995</v>
      </c>
      <c r="P84">
        <v>7</v>
      </c>
      <c r="Q84">
        <v>5468.4</v>
      </c>
      <c r="R84">
        <v>7</v>
      </c>
      <c r="S84">
        <v>5468.4</v>
      </c>
      <c r="T84">
        <v>27.655445093423126</v>
      </c>
      <c r="U84">
        <v>21604.433706982145</v>
      </c>
      <c r="V84">
        <v>22.699961272088746</v>
      </c>
      <c r="W84">
        <v>17733.209745755728</v>
      </c>
      <c r="X84">
        <v>21.537899107210489</v>
      </c>
      <c r="Y84">
        <v>16825.406782552833</v>
      </c>
      <c r="Z84">
        <v>28.642077745811797</v>
      </c>
      <c r="AA84">
        <v>22375.191135028173</v>
      </c>
      <c r="AB84">
        <v>13</v>
      </c>
      <c r="AC84">
        <v>10155.599999999999</v>
      </c>
      <c r="AD84">
        <v>15</v>
      </c>
      <c r="AE84">
        <v>11717.999999999998</v>
      </c>
      <c r="AF84">
        <v>10</v>
      </c>
      <c r="AG84">
        <v>7811.9999999999991</v>
      </c>
      <c r="AH84">
        <v>11</v>
      </c>
      <c r="AI84">
        <v>8593.1999999999989</v>
      </c>
      <c r="AJ84">
        <v>6.3060793099377594</v>
      </c>
      <c r="AK84">
        <v>4926.3091569233775</v>
      </c>
      <c r="AL84">
        <v>7.1748288014165444</v>
      </c>
      <c r="AM84">
        <v>5604.9762596666042</v>
      </c>
      <c r="AN84">
        <v>5.2329317610891524</v>
      </c>
      <c r="AO84">
        <v>4087.9662917628457</v>
      </c>
      <c r="AP84">
        <v>6.0084737339414005</v>
      </c>
      <c r="AQ84">
        <v>4693.8196809550218</v>
      </c>
      <c r="AR84">
        <v>5</v>
      </c>
      <c r="AS84">
        <v>3905.9999999999995</v>
      </c>
      <c r="AT84">
        <v>3</v>
      </c>
      <c r="AU84">
        <v>2343.6</v>
      </c>
      <c r="AV84">
        <v>5</v>
      </c>
      <c r="AW84">
        <v>3905.9999999999995</v>
      </c>
      <c r="AX84">
        <v>3.7247774012547934</v>
      </c>
      <c r="AY84">
        <v>2909.7961058602446</v>
      </c>
      <c r="AZ84">
        <v>7.5637920590978727</v>
      </c>
      <c r="BA84">
        <v>5908.8343565672576</v>
      </c>
      <c r="BB84">
        <v>10.397291916130055</v>
      </c>
      <c r="BC84">
        <v>8122.3644448807981</v>
      </c>
      <c r="BD84">
        <v>11.44093476052681</v>
      </c>
      <c r="BE84">
        <v>8937.6582349235432</v>
      </c>
      <c r="BF84">
        <v>6.5145567620396676</v>
      </c>
      <c r="BG84">
        <v>5089.1717425053876</v>
      </c>
      <c r="BH84">
        <v>37.13571771866156</v>
      </c>
      <c r="BI84">
        <v>29010.422681818407</v>
      </c>
      <c r="BJ84">
        <v>35.9410648057072</v>
      </c>
      <c r="BK84">
        <v>28077.159826218463</v>
      </c>
      <c r="BL84">
        <v>44.337583811357504</v>
      </c>
      <c r="BM84">
        <v>34636.52047343248</v>
      </c>
      <c r="BN84">
        <v>31.744210511437181</v>
      </c>
      <c r="BO84">
        <v>24798.577251534723</v>
      </c>
      <c r="BP84">
        <v>6.1119538900779542</v>
      </c>
      <c r="BQ84">
        <v>4774.658378928897</v>
      </c>
      <c r="BR84">
        <v>7.8395915980951294</v>
      </c>
      <c r="BS84">
        <v>6124.2889564319148</v>
      </c>
      <c r="BT84">
        <v>7.8562826652862192</v>
      </c>
      <c r="BU84">
        <v>6137.3280181215941</v>
      </c>
      <c r="BV84">
        <v>6.6798919666395715</v>
      </c>
      <c r="BW84">
        <v>5218.3316043388331</v>
      </c>
      <c r="BX84">
        <v>5</v>
      </c>
      <c r="BY84">
        <v>3905.9999999999995</v>
      </c>
      <c r="BZ84">
        <v>9.5229650748971437</v>
      </c>
      <c r="CA84">
        <v>7439.3403165096479</v>
      </c>
      <c r="CB84">
        <v>9.3476304266137973</v>
      </c>
      <c r="CC84">
        <v>7302.3688892706978</v>
      </c>
      <c r="CD84">
        <v>7.2801722141482994</v>
      </c>
      <c r="CE84">
        <v>5687.270533692651</v>
      </c>
      <c r="CF84">
        <v>20.351478330862147</v>
      </c>
      <c r="CG84">
        <v>15898.574872069508</v>
      </c>
      <c r="CH84">
        <v>13.177743630414096</v>
      </c>
      <c r="CI84">
        <v>10294.45332407949</v>
      </c>
      <c r="CJ84">
        <v>15.311395119022599</v>
      </c>
      <c r="CK84">
        <v>11961.261866980452</v>
      </c>
      <c r="CL84">
        <v>16.383426733790504</v>
      </c>
      <c r="CM84">
        <v>12798.73296443714</v>
      </c>
      <c r="CN84">
        <v>3</v>
      </c>
      <c r="CO84">
        <v>2343.6</v>
      </c>
      <c r="CP84">
        <v>3</v>
      </c>
      <c r="CQ84">
        <v>2343.6</v>
      </c>
      <c r="CR84">
        <v>4.7448570309557327</v>
      </c>
      <c r="CS84">
        <v>3706.6823125826181</v>
      </c>
      <c r="CT84">
        <v>3.7942985947504901</v>
      </c>
      <c r="CU84">
        <v>2964.1060622190826</v>
      </c>
    </row>
    <row r="85" spans="2:99" x14ac:dyDescent="0.2">
      <c r="C85" s="105" t="s">
        <v>251</v>
      </c>
      <c r="D85">
        <v>5</v>
      </c>
      <c r="E85">
        <v>750</v>
      </c>
      <c r="F85">
        <v>6</v>
      </c>
      <c r="G85">
        <v>900</v>
      </c>
      <c r="H85">
        <v>5</v>
      </c>
      <c r="I85">
        <v>750</v>
      </c>
      <c r="J85">
        <v>5</v>
      </c>
      <c r="K85">
        <v>750</v>
      </c>
      <c r="L85">
        <v>6</v>
      </c>
      <c r="M85">
        <v>900</v>
      </c>
      <c r="N85">
        <v>5</v>
      </c>
      <c r="O85">
        <v>750</v>
      </c>
      <c r="P85">
        <v>8</v>
      </c>
      <c r="Q85">
        <v>1200</v>
      </c>
      <c r="R85">
        <v>7</v>
      </c>
      <c r="S85">
        <v>1050</v>
      </c>
      <c r="T85">
        <v>29.737375730101018</v>
      </c>
      <c r="U85">
        <v>4460.6063595151527</v>
      </c>
      <c r="V85">
        <v>25.787456431099841</v>
      </c>
      <c r="W85">
        <v>3868.1184646649763</v>
      </c>
      <c r="X85">
        <v>27.537899107210489</v>
      </c>
      <c r="Y85">
        <v>4130.6848660815731</v>
      </c>
      <c r="Z85">
        <v>30.727688111920038</v>
      </c>
      <c r="AA85">
        <v>4609.1532167880059</v>
      </c>
      <c r="AB85">
        <v>14</v>
      </c>
      <c r="AC85">
        <v>2100</v>
      </c>
      <c r="AD85">
        <v>19</v>
      </c>
      <c r="AE85">
        <v>2850</v>
      </c>
      <c r="AF85">
        <v>11</v>
      </c>
      <c r="AG85">
        <v>1650</v>
      </c>
      <c r="AH85">
        <v>10</v>
      </c>
      <c r="AI85">
        <v>1500</v>
      </c>
      <c r="AJ85">
        <v>6.3450667520254536</v>
      </c>
      <c r="AK85">
        <v>951.76001280381809</v>
      </c>
      <c r="AL85">
        <v>7.2867172586943099</v>
      </c>
      <c r="AM85">
        <v>1093.0075888041465</v>
      </c>
      <c r="AN85">
        <v>6.5264869423008554</v>
      </c>
      <c r="AO85">
        <v>978.97304134512831</v>
      </c>
      <c r="AP85">
        <v>6.0084737339414005</v>
      </c>
      <c r="AQ85">
        <v>901.27106009121007</v>
      </c>
      <c r="AR85">
        <v>5</v>
      </c>
      <c r="AS85">
        <v>750</v>
      </c>
      <c r="AT85">
        <v>4</v>
      </c>
      <c r="AU85">
        <v>600</v>
      </c>
      <c r="AV85">
        <v>5</v>
      </c>
      <c r="AW85">
        <v>750</v>
      </c>
      <c r="AX85">
        <v>3.7972551413802726</v>
      </c>
      <c r="AY85">
        <v>569.58827120704086</v>
      </c>
      <c r="AZ85">
        <v>8.5637920590978727</v>
      </c>
      <c r="BA85">
        <v>1284.5688088646809</v>
      </c>
      <c r="BB85">
        <v>11</v>
      </c>
      <c r="BC85">
        <v>1650</v>
      </c>
      <c r="BD85">
        <v>11.44093476052681</v>
      </c>
      <c r="BE85">
        <v>1716.1402140790215</v>
      </c>
      <c r="BF85">
        <v>6</v>
      </c>
      <c r="BG85">
        <v>900</v>
      </c>
      <c r="BH85">
        <v>35.096555038707713</v>
      </c>
      <c r="BI85">
        <v>5264.4832558061571</v>
      </c>
      <c r="BJ85">
        <v>45.045627561896886</v>
      </c>
      <c r="BK85">
        <v>6756.8441342845326</v>
      </c>
      <c r="BL85">
        <v>52.318198538729135</v>
      </c>
      <c r="BM85">
        <v>7847.7297808093699</v>
      </c>
      <c r="BN85">
        <v>36.279097727356785</v>
      </c>
      <c r="BO85">
        <v>5441.8646591035176</v>
      </c>
      <c r="BP85">
        <v>6.408474927432076</v>
      </c>
      <c r="BQ85">
        <v>961.27123911481135</v>
      </c>
      <c r="BR85">
        <v>7.8395915980951294</v>
      </c>
      <c r="BS85">
        <v>1175.9387397142693</v>
      </c>
      <c r="BT85">
        <v>7.9880184599456383</v>
      </c>
      <c r="BU85">
        <v>1198.2027689918457</v>
      </c>
      <c r="BV85">
        <v>6.7398824342842403</v>
      </c>
      <c r="BW85">
        <v>1010.982365142636</v>
      </c>
      <c r="BX85">
        <v>6</v>
      </c>
      <c r="BY85">
        <v>900</v>
      </c>
      <c r="BZ85">
        <v>10.475422795361041</v>
      </c>
      <c r="CA85">
        <v>1571.3134193041562</v>
      </c>
      <c r="CB85">
        <v>8.3476304266137973</v>
      </c>
      <c r="CC85">
        <v>1252.1445639920696</v>
      </c>
      <c r="CD85">
        <v>7.3268675831730157</v>
      </c>
      <c r="CE85">
        <v>1099.0301374759524</v>
      </c>
      <c r="CF85">
        <v>22.351478330862147</v>
      </c>
      <c r="CG85">
        <v>3352.7217496293219</v>
      </c>
      <c r="CH85">
        <v>14.228527524818125</v>
      </c>
      <c r="CI85">
        <v>2134.2791287227187</v>
      </c>
      <c r="CJ85">
        <v>17.311395119022599</v>
      </c>
      <c r="CK85">
        <v>2596.70926785339</v>
      </c>
      <c r="CL85">
        <v>16.383426733790504</v>
      </c>
      <c r="CM85">
        <v>2457.5140100685758</v>
      </c>
      <c r="CN85">
        <v>4</v>
      </c>
      <c r="CO85">
        <v>600</v>
      </c>
      <c r="CP85">
        <v>4.4678643297483314</v>
      </c>
      <c r="CQ85">
        <v>670.1796494622497</v>
      </c>
      <c r="CR85">
        <v>4.7448570309557327</v>
      </c>
      <c r="CS85">
        <v>711.72855464335987</v>
      </c>
      <c r="CT85">
        <v>3.9184077501802541</v>
      </c>
      <c r="CU85">
        <v>587.7611625270381</v>
      </c>
    </row>
    <row r="86" spans="2:99" x14ac:dyDescent="0.2">
      <c r="C86" s="105" t="s">
        <v>252</v>
      </c>
      <c r="D86">
        <v>5</v>
      </c>
      <c r="E86">
        <v>2700</v>
      </c>
      <c r="F86">
        <v>6</v>
      </c>
      <c r="G86">
        <v>3240</v>
      </c>
      <c r="H86">
        <v>5</v>
      </c>
      <c r="I86">
        <v>2700</v>
      </c>
      <c r="J86">
        <v>5</v>
      </c>
      <c r="K86">
        <v>2700</v>
      </c>
      <c r="L86">
        <v>7</v>
      </c>
      <c r="M86">
        <v>3780</v>
      </c>
      <c r="N86">
        <v>5</v>
      </c>
      <c r="O86">
        <v>2700</v>
      </c>
      <c r="P86">
        <v>7</v>
      </c>
      <c r="Q86">
        <v>3780</v>
      </c>
      <c r="R86">
        <v>8</v>
      </c>
      <c r="S86">
        <v>4320</v>
      </c>
      <c r="T86">
        <v>27.737375730101018</v>
      </c>
      <c r="U86">
        <v>14978.182894254549</v>
      </c>
      <c r="V86">
        <v>22.831204010605386</v>
      </c>
      <c r="W86">
        <v>12328.850165726908</v>
      </c>
      <c r="X86">
        <v>23.579275961611295</v>
      </c>
      <c r="Y86">
        <v>12732.809019270098</v>
      </c>
      <c r="Z86">
        <v>27.684882928865918</v>
      </c>
      <c r="AA86">
        <v>14949.836781587595</v>
      </c>
      <c r="AB86">
        <v>13</v>
      </c>
      <c r="AC86">
        <v>7020</v>
      </c>
      <c r="AD86">
        <v>17</v>
      </c>
      <c r="AE86">
        <v>9180</v>
      </c>
      <c r="AF86">
        <v>11</v>
      </c>
      <c r="AG86">
        <v>5940</v>
      </c>
      <c r="AH86">
        <v>10</v>
      </c>
      <c r="AI86">
        <v>5400</v>
      </c>
      <c r="AJ86">
        <v>6.4425353572446893</v>
      </c>
      <c r="AK86">
        <v>3478.9690929121321</v>
      </c>
      <c r="AL86">
        <v>7.342661487333193</v>
      </c>
      <c r="AM86">
        <v>3965.037203159924</v>
      </c>
      <c r="AN86">
        <v>6.3894945244020604</v>
      </c>
      <c r="AO86">
        <v>3450.3270431771125</v>
      </c>
      <c r="AP86">
        <v>6.0324850133209571</v>
      </c>
      <c r="AQ86">
        <v>3257.541907193317</v>
      </c>
      <c r="AR86">
        <v>5.8764472421496121</v>
      </c>
      <c r="AS86">
        <v>3173.2815107607908</v>
      </c>
      <c r="AT86">
        <v>4</v>
      </c>
      <c r="AU86">
        <v>2160</v>
      </c>
      <c r="AV86">
        <v>5</v>
      </c>
      <c r="AW86">
        <v>2700</v>
      </c>
      <c r="AX86">
        <v>3.7247774012547934</v>
      </c>
      <c r="AY86">
        <v>2011.3797966775885</v>
      </c>
      <c r="AZ86">
        <v>7.4698267159148939</v>
      </c>
      <c r="BA86">
        <v>4033.7064265940426</v>
      </c>
      <c r="BB86">
        <v>9</v>
      </c>
      <c r="BC86">
        <v>4860</v>
      </c>
      <c r="BD86">
        <v>11.538920262866101</v>
      </c>
      <c r="BE86">
        <v>6231.0169419476952</v>
      </c>
      <c r="BF86">
        <v>5.4677788745815166</v>
      </c>
      <c r="BG86">
        <v>2952.6005922740192</v>
      </c>
      <c r="BH86">
        <v>33.272787098500018</v>
      </c>
      <c r="BI86">
        <v>17967.305033190009</v>
      </c>
      <c r="BJ86">
        <v>41.071768250944309</v>
      </c>
      <c r="BK86">
        <v>22178.754855509927</v>
      </c>
      <c r="BL86">
        <v>50.221272175587288</v>
      </c>
      <c r="BM86">
        <v>27119.486974817137</v>
      </c>
      <c r="BN86">
        <v>34.465142840988939</v>
      </c>
      <c r="BO86">
        <v>18611.177134134028</v>
      </c>
      <c r="BP86">
        <v>6.1860841494164847</v>
      </c>
      <c r="BQ86">
        <v>3340.4854406849017</v>
      </c>
      <c r="BR86">
        <v>7.7986359103831715</v>
      </c>
      <c r="BS86">
        <v>4211.2633916069126</v>
      </c>
      <c r="BT86">
        <v>7.9880184599456383</v>
      </c>
      <c r="BU86">
        <v>4313.5299683706444</v>
      </c>
      <c r="BV86">
        <v>5.6598951440913492</v>
      </c>
      <c r="BW86">
        <v>3056.3433778093286</v>
      </c>
      <c r="BX86">
        <v>6</v>
      </c>
      <c r="BY86">
        <v>3240</v>
      </c>
      <c r="BZ86">
        <v>9.475422795361041</v>
      </c>
      <c r="CA86">
        <v>5116.7283094949626</v>
      </c>
      <c r="CB86">
        <v>8</v>
      </c>
      <c r="CC86">
        <v>4320</v>
      </c>
      <c r="CD86">
        <v>7.3268675831730157</v>
      </c>
      <c r="CE86">
        <v>3956.5084949134284</v>
      </c>
      <c r="CF86">
        <v>21.380768191767327</v>
      </c>
      <c r="CG86">
        <v>11545.614823554357</v>
      </c>
      <c r="CH86">
        <v>15.203135577616111</v>
      </c>
      <c r="CI86">
        <v>8209.6932119126996</v>
      </c>
      <c r="CJ86">
        <v>14.337344712274483</v>
      </c>
      <c r="CK86">
        <v>7742.1661446282205</v>
      </c>
      <c r="CL86">
        <v>16.356039109948327</v>
      </c>
      <c r="CM86">
        <v>8832.2611193720968</v>
      </c>
      <c r="CN86">
        <v>4</v>
      </c>
      <c r="CO86">
        <v>2160</v>
      </c>
      <c r="CP86">
        <v>4.4678643297483314</v>
      </c>
      <c r="CQ86">
        <v>2412.6467380640988</v>
      </c>
      <c r="CR86">
        <v>4.7448570309557327</v>
      </c>
      <c r="CS86">
        <v>2562.2227967160957</v>
      </c>
      <c r="CT86">
        <v>3.8439422569223956</v>
      </c>
      <c r="CU86">
        <v>2075.7288187380937</v>
      </c>
    </row>
    <row r="87" spans="2:99" x14ac:dyDescent="0.2">
      <c r="B87" s="105" t="s">
        <v>131</v>
      </c>
      <c r="C87" s="105" t="s">
        <v>253</v>
      </c>
      <c r="D87">
        <v>27</v>
      </c>
      <c r="E87">
        <v>52779.6</v>
      </c>
      <c r="F87">
        <v>54</v>
      </c>
      <c r="G87">
        <v>105559.2</v>
      </c>
      <c r="H87">
        <v>38</v>
      </c>
      <c r="I87">
        <v>74282.399999999994</v>
      </c>
      <c r="J87">
        <v>31</v>
      </c>
      <c r="K87">
        <v>60598.799999999996</v>
      </c>
      <c r="L87">
        <v>9</v>
      </c>
      <c r="M87">
        <v>17593.2</v>
      </c>
      <c r="N87">
        <v>10.296005208869552</v>
      </c>
      <c r="O87">
        <v>20126.6309822982</v>
      </c>
      <c r="P87">
        <v>7</v>
      </c>
      <c r="Q87">
        <v>13683.6</v>
      </c>
      <c r="R87">
        <v>10.340716650260786</v>
      </c>
      <c r="S87">
        <v>20214.032907929784</v>
      </c>
      <c r="T87">
        <v>4</v>
      </c>
      <c r="U87">
        <v>7819.2</v>
      </c>
      <c r="V87">
        <v>3</v>
      </c>
      <c r="W87">
        <v>5864.4</v>
      </c>
      <c r="X87">
        <v>3</v>
      </c>
      <c r="Y87">
        <v>5864.4</v>
      </c>
      <c r="Z87">
        <v>4</v>
      </c>
      <c r="AA87">
        <v>7819.2</v>
      </c>
      <c r="AB87">
        <v>5</v>
      </c>
      <c r="AC87">
        <v>9774</v>
      </c>
      <c r="AD87">
        <v>6</v>
      </c>
      <c r="AE87">
        <v>11728.8</v>
      </c>
      <c r="AF87">
        <v>5</v>
      </c>
      <c r="AG87">
        <v>9774</v>
      </c>
      <c r="AH87">
        <v>4</v>
      </c>
      <c r="AI87">
        <v>7819.2</v>
      </c>
      <c r="AJ87">
        <v>8.5068367471400261</v>
      </c>
      <c r="AK87">
        <v>16629.164473309324</v>
      </c>
      <c r="AL87">
        <v>10.876459582009169</v>
      </c>
      <c r="AM87">
        <v>21261.303190911523</v>
      </c>
      <c r="AN87">
        <v>14.587110362423406</v>
      </c>
      <c r="AO87">
        <v>28514.883336465275</v>
      </c>
      <c r="AP87">
        <v>13.152541410218744</v>
      </c>
      <c r="AQ87">
        <v>25710.5879486956</v>
      </c>
      <c r="AR87">
        <v>6.6478088311540606</v>
      </c>
      <c r="AS87">
        <v>12995.136703139957</v>
      </c>
      <c r="AT87">
        <v>5</v>
      </c>
      <c r="AU87">
        <v>9774</v>
      </c>
      <c r="AV87">
        <v>5</v>
      </c>
      <c r="AW87">
        <v>9774</v>
      </c>
      <c r="AX87">
        <v>5.5435830509410948</v>
      </c>
      <c r="AY87">
        <v>10836.596147979652</v>
      </c>
      <c r="AZ87">
        <v>9</v>
      </c>
      <c r="BA87">
        <v>17593.2</v>
      </c>
      <c r="BB87">
        <v>9</v>
      </c>
      <c r="BC87">
        <v>17593.2</v>
      </c>
      <c r="BD87">
        <v>8.7348912675446826</v>
      </c>
      <c r="BE87">
        <v>17074.965449796346</v>
      </c>
      <c r="BF87">
        <v>7.8420019742467293</v>
      </c>
      <c r="BG87">
        <v>15329.545459257506</v>
      </c>
      <c r="BH87">
        <v>5.2349760797230811</v>
      </c>
      <c r="BI87">
        <v>10233.331240642679</v>
      </c>
      <c r="BJ87">
        <v>8.2352662014267999</v>
      </c>
      <c r="BK87">
        <v>16098.298370549108</v>
      </c>
      <c r="BL87">
        <v>9.1550821810269571</v>
      </c>
      <c r="BM87">
        <v>17896.354647471497</v>
      </c>
      <c r="BN87">
        <v>7.2558195454713559</v>
      </c>
      <c r="BO87">
        <v>14183.676047487406</v>
      </c>
      <c r="BP87">
        <v>61.518911815369712</v>
      </c>
      <c r="BQ87">
        <v>120257.16881668472</v>
      </c>
      <c r="BR87">
        <v>51.225256282415764</v>
      </c>
      <c r="BS87">
        <v>100135.13098086634</v>
      </c>
      <c r="BT87">
        <v>68.24151562354227</v>
      </c>
      <c r="BU87">
        <v>133398.51474090043</v>
      </c>
      <c r="BV87">
        <v>76.25995869312689</v>
      </c>
      <c r="BW87">
        <v>149072.96725332443</v>
      </c>
      <c r="BX87">
        <v>9.3860622693460254</v>
      </c>
      <c r="BY87">
        <v>18347.874524117611</v>
      </c>
      <c r="BZ87">
        <v>6.4278805158249366</v>
      </c>
      <c r="CA87">
        <v>12565.220832334586</v>
      </c>
      <c r="CB87">
        <v>9.3476304266137973</v>
      </c>
      <c r="CC87">
        <v>18272.747957944652</v>
      </c>
      <c r="CD87">
        <v>8.3735629521977319</v>
      </c>
      <c r="CE87">
        <v>16368.640858956125</v>
      </c>
      <c r="CF87">
        <v>10.29289860905179</v>
      </c>
      <c r="CG87">
        <v>20120.558200974439</v>
      </c>
      <c r="CH87">
        <v>8.4316631024342339</v>
      </c>
      <c r="CI87">
        <v>16482.21503263844</v>
      </c>
      <c r="CJ87">
        <v>9.311395119022599</v>
      </c>
      <c r="CK87">
        <v>18201.915178665375</v>
      </c>
      <c r="CL87">
        <v>14.24648861457961</v>
      </c>
      <c r="CM87">
        <v>27849.035943780222</v>
      </c>
      <c r="CN87">
        <v>5</v>
      </c>
      <c r="CO87">
        <v>9774</v>
      </c>
      <c r="CP87">
        <v>8</v>
      </c>
      <c r="CQ87">
        <v>15638.4</v>
      </c>
      <c r="CR87">
        <v>8.177354661833256</v>
      </c>
      <c r="CS87">
        <v>15985.092892951649</v>
      </c>
      <c r="CT87">
        <v>8.1914478921257352</v>
      </c>
      <c r="CU87">
        <v>16012.642339527387</v>
      </c>
    </row>
    <row r="88" spans="2:99" x14ac:dyDescent="0.2">
      <c r="C88" s="105" t="s">
        <v>254</v>
      </c>
      <c r="D88">
        <v>30</v>
      </c>
      <c r="E88">
        <v>56771.999999999993</v>
      </c>
      <c r="F88">
        <v>50</v>
      </c>
      <c r="G88">
        <v>94620</v>
      </c>
      <c r="H88">
        <v>38</v>
      </c>
      <c r="I88">
        <v>71911.199999999997</v>
      </c>
      <c r="J88">
        <v>28</v>
      </c>
      <c r="K88">
        <v>52987.199999999997</v>
      </c>
      <c r="L88">
        <v>8</v>
      </c>
      <c r="M88">
        <v>15139.199999999999</v>
      </c>
      <c r="N88">
        <v>11.296005208869552</v>
      </c>
      <c r="O88">
        <v>21376.56025726474</v>
      </c>
      <c r="P88">
        <v>8</v>
      </c>
      <c r="Q88">
        <v>15139.199999999999</v>
      </c>
      <c r="R88">
        <v>11.340716650260786</v>
      </c>
      <c r="S88">
        <v>21461.172188953511</v>
      </c>
      <c r="T88">
        <v>4</v>
      </c>
      <c r="U88">
        <v>7569.5999999999995</v>
      </c>
      <c r="V88">
        <v>3</v>
      </c>
      <c r="W88">
        <v>5677.2</v>
      </c>
      <c r="X88">
        <v>3</v>
      </c>
      <c r="Y88">
        <v>5677.2</v>
      </c>
      <c r="Z88">
        <v>4</v>
      </c>
      <c r="AA88">
        <v>7569.5999999999995</v>
      </c>
      <c r="AB88">
        <v>6</v>
      </c>
      <c r="AC88">
        <v>11354.4</v>
      </c>
      <c r="AD88">
        <v>7</v>
      </c>
      <c r="AE88">
        <v>13246.8</v>
      </c>
      <c r="AF88">
        <v>6</v>
      </c>
      <c r="AG88">
        <v>11354.4</v>
      </c>
      <c r="AH88">
        <v>3</v>
      </c>
      <c r="AI88">
        <v>5677.2</v>
      </c>
      <c r="AJ88">
        <v>8.5458241892277194</v>
      </c>
      <c r="AK88">
        <v>16172.117695694535</v>
      </c>
      <c r="AL88">
        <v>10.801867277157324</v>
      </c>
      <c r="AM88">
        <v>20441.453635292521</v>
      </c>
      <c r="AN88">
        <v>14.606680707837519</v>
      </c>
      <c r="AO88">
        <v>27641.682571511719</v>
      </c>
      <c r="AP88">
        <v>13.960451175182286</v>
      </c>
      <c r="AQ88">
        <v>26418.757803914956</v>
      </c>
      <c r="AR88">
        <v>6.6859152329866527</v>
      </c>
      <c r="AS88">
        <v>12652.425986903942</v>
      </c>
      <c r="AT88">
        <v>5</v>
      </c>
      <c r="AU88">
        <v>9462</v>
      </c>
      <c r="AV88">
        <v>5</v>
      </c>
      <c r="AW88">
        <v>9462</v>
      </c>
      <c r="AX88">
        <v>5</v>
      </c>
      <c r="AY88">
        <v>9462</v>
      </c>
      <c r="AZ88">
        <v>9</v>
      </c>
      <c r="BA88">
        <v>17031.599999999999</v>
      </c>
      <c r="BB88">
        <v>10</v>
      </c>
      <c r="BC88">
        <v>18924</v>
      </c>
      <c r="BD88">
        <v>8.7838840187143283</v>
      </c>
      <c r="BE88">
        <v>16622.622117014995</v>
      </c>
      <c r="BF88">
        <v>9.7952240867885774</v>
      </c>
      <c r="BG88">
        <v>18536.482061838702</v>
      </c>
      <c r="BH88">
        <v>5.2153947397461575</v>
      </c>
      <c r="BI88">
        <v>9869.6130054956284</v>
      </c>
      <c r="BJ88">
        <v>8.2614068904742215</v>
      </c>
      <c r="BK88">
        <v>15633.886399533416</v>
      </c>
      <c r="BL88">
        <v>10.155082181026957</v>
      </c>
      <c r="BM88">
        <v>19217.477519375414</v>
      </c>
      <c r="BN88">
        <v>6.3488421022874366</v>
      </c>
      <c r="BO88">
        <v>12014.548794368744</v>
      </c>
      <c r="BP88">
        <v>57.518911815369712</v>
      </c>
      <c r="BQ88">
        <v>108848.78871940564</v>
      </c>
      <c r="BR88">
        <v>55.225256282415764</v>
      </c>
      <c r="BS88">
        <v>104508.27498884358</v>
      </c>
      <c r="BT88">
        <v>75.28542755509541</v>
      </c>
      <c r="BU88">
        <v>142470.14310526254</v>
      </c>
      <c r="BV88">
        <v>66.299952338223335</v>
      </c>
      <c r="BW88">
        <v>125466.02980485382</v>
      </c>
      <c r="BX88">
        <v>8.337804485677772</v>
      </c>
      <c r="BY88">
        <v>15778.461208696615</v>
      </c>
      <c r="BZ88">
        <v>6.5229650748971446</v>
      </c>
      <c r="CA88">
        <v>12344.059107735355</v>
      </c>
      <c r="CB88">
        <v>9.3476304266137973</v>
      </c>
      <c r="CC88">
        <v>17689.45581932395</v>
      </c>
      <c r="CD88">
        <v>8.3735629521977319</v>
      </c>
      <c r="CE88">
        <v>15846.130530738987</v>
      </c>
      <c r="CF88">
        <v>12.263608748146611</v>
      </c>
      <c r="CG88">
        <v>23207.653194992647</v>
      </c>
      <c r="CH88">
        <v>9.4062711552322202</v>
      </c>
      <c r="CI88">
        <v>17800.427534161452</v>
      </c>
      <c r="CJ88">
        <v>9.3632943055263667</v>
      </c>
      <c r="CK88">
        <v>17719.098143778094</v>
      </c>
      <c r="CL88">
        <v>14.27387623842179</v>
      </c>
      <c r="CM88">
        <v>27011.883393589393</v>
      </c>
      <c r="CN88">
        <v>6</v>
      </c>
      <c r="CO88">
        <v>11354.4</v>
      </c>
      <c r="CP88">
        <v>7</v>
      </c>
      <c r="CQ88">
        <v>13246.8</v>
      </c>
      <c r="CR88">
        <v>8.3455481849522926</v>
      </c>
      <c r="CS88">
        <v>15793.115385203717</v>
      </c>
      <c r="CT88">
        <v>10.191447892125735</v>
      </c>
      <c r="CU88">
        <v>19286.295991058741</v>
      </c>
    </row>
    <row r="89" spans="2:99" x14ac:dyDescent="0.2">
      <c r="C89" s="105" t="s">
        <v>255</v>
      </c>
      <c r="D89">
        <v>24</v>
      </c>
      <c r="E89">
        <v>57542.399999999994</v>
      </c>
      <c r="F89">
        <v>48</v>
      </c>
      <c r="G89">
        <v>115084.79999999999</v>
      </c>
      <c r="H89">
        <v>33</v>
      </c>
      <c r="I89">
        <v>79120.800000000003</v>
      </c>
      <c r="J89">
        <v>28</v>
      </c>
      <c r="K89">
        <v>67132.800000000003</v>
      </c>
      <c r="L89">
        <v>8</v>
      </c>
      <c r="M89">
        <v>19180.8</v>
      </c>
      <c r="N89">
        <v>10.296005208869552</v>
      </c>
      <c r="O89">
        <v>24685.702088785638</v>
      </c>
      <c r="P89">
        <v>7</v>
      </c>
      <c r="Q89">
        <v>16783.2</v>
      </c>
      <c r="R89">
        <v>9.3407166502607861</v>
      </c>
      <c r="S89">
        <v>22395.30224066526</v>
      </c>
      <c r="T89">
        <v>4</v>
      </c>
      <c r="U89">
        <v>9590.4</v>
      </c>
      <c r="V89">
        <v>3</v>
      </c>
      <c r="W89">
        <v>7192.7999999999993</v>
      </c>
      <c r="X89">
        <v>3</v>
      </c>
      <c r="Y89">
        <v>7192.7999999999993</v>
      </c>
      <c r="Z89">
        <v>4</v>
      </c>
      <c r="AA89">
        <v>9590.4</v>
      </c>
      <c r="AB89">
        <v>6</v>
      </c>
      <c r="AC89">
        <v>14385.599999999999</v>
      </c>
      <c r="AD89">
        <v>6</v>
      </c>
      <c r="AE89">
        <v>14385.599999999999</v>
      </c>
      <c r="AF89">
        <v>5</v>
      </c>
      <c r="AG89">
        <v>11988</v>
      </c>
      <c r="AH89">
        <v>4</v>
      </c>
      <c r="AI89">
        <v>9590.4</v>
      </c>
      <c r="AJ89">
        <v>7.4873430260961786</v>
      </c>
      <c r="AK89">
        <v>17951.653639368196</v>
      </c>
      <c r="AL89">
        <v>11.783219200944362</v>
      </c>
      <c r="AM89">
        <v>28251.446356184202</v>
      </c>
      <c r="AN89">
        <v>13.606680707837519</v>
      </c>
      <c r="AO89">
        <v>32623.377665111235</v>
      </c>
      <c r="AP89">
        <v>12.984462454561843</v>
      </c>
      <c r="AQ89">
        <v>31131.547181057475</v>
      </c>
      <c r="AR89">
        <v>6.6097024293214695</v>
      </c>
      <c r="AS89">
        <v>15847.422544541154</v>
      </c>
      <c r="AT89">
        <v>6</v>
      </c>
      <c r="AU89">
        <v>14385.599999999999</v>
      </c>
      <c r="AV89">
        <v>4</v>
      </c>
      <c r="AW89">
        <v>9590.4</v>
      </c>
      <c r="AX89">
        <v>5</v>
      </c>
      <c r="AY89">
        <v>11988</v>
      </c>
      <c r="AZ89">
        <v>9</v>
      </c>
      <c r="BA89">
        <v>21578.399999999998</v>
      </c>
      <c r="BB89">
        <v>9</v>
      </c>
      <c r="BC89">
        <v>21578.399999999998</v>
      </c>
      <c r="BD89">
        <v>8.7838840187143283</v>
      </c>
      <c r="BE89">
        <v>21060.240323269474</v>
      </c>
      <c r="BF89">
        <v>8.8887798617048812</v>
      </c>
      <c r="BG89">
        <v>21311.738596423624</v>
      </c>
      <c r="BH89">
        <v>5.2153947397461575</v>
      </c>
      <c r="BI89">
        <v>12504.430428015386</v>
      </c>
      <c r="BJ89">
        <v>7.235266201426799</v>
      </c>
      <c r="BK89">
        <v>17347.274244540891</v>
      </c>
      <c r="BL89">
        <v>9.1356969083985877</v>
      </c>
      <c r="BM89">
        <v>21903.746907576453</v>
      </c>
      <c r="BN89">
        <v>7.2558195454713559</v>
      </c>
      <c r="BO89">
        <v>17396.552942222123</v>
      </c>
      <c r="BP89">
        <v>55.481846685700447</v>
      </c>
      <c r="BQ89">
        <v>133023.2756136354</v>
      </c>
      <c r="BR89">
        <v>49.225256282415764</v>
      </c>
      <c r="BS89">
        <v>118022.47446272003</v>
      </c>
      <c r="BT89">
        <v>68.24151562354227</v>
      </c>
      <c r="BU89">
        <v>163615.85785900493</v>
      </c>
      <c r="BV89">
        <v>68.279955515675113</v>
      </c>
      <c r="BW89">
        <v>163708.02134438264</v>
      </c>
      <c r="BX89">
        <v>9.3860622693460254</v>
      </c>
      <c r="BY89">
        <v>22504.022896984028</v>
      </c>
      <c r="BZ89">
        <v>6.4754227953610402</v>
      </c>
      <c r="CA89">
        <v>15525.473694157628</v>
      </c>
      <c r="CB89">
        <v>9.3476304266137973</v>
      </c>
      <c r="CC89">
        <v>22411.87871084924</v>
      </c>
      <c r="CD89">
        <v>7.3268675831730157</v>
      </c>
      <c r="CE89">
        <v>17566.897717415621</v>
      </c>
      <c r="CF89">
        <v>11.29289860905179</v>
      </c>
      <c r="CG89">
        <v>27075.853705062571</v>
      </c>
      <c r="CH89">
        <v>7.4062711552322202</v>
      </c>
      <c r="CI89">
        <v>17757.275721784772</v>
      </c>
      <c r="CJ89">
        <v>9.3373447122744828</v>
      </c>
      <c r="CK89">
        <v>22387.217682149298</v>
      </c>
      <c r="CL89">
        <v>13.219100990737431</v>
      </c>
      <c r="CM89">
        <v>31694.116535392062</v>
      </c>
      <c r="CN89">
        <v>5</v>
      </c>
      <c r="CO89">
        <v>11988</v>
      </c>
      <c r="CP89">
        <v>7</v>
      </c>
      <c r="CQ89">
        <v>16783.2</v>
      </c>
      <c r="CR89">
        <v>8.2974928926325671</v>
      </c>
      <c r="CS89">
        <v>19894.068959375843</v>
      </c>
      <c r="CT89">
        <v>9.1914478921257352</v>
      </c>
      <c r="CU89">
        <v>22037.415466160663</v>
      </c>
    </row>
    <row r="90" spans="2:99" x14ac:dyDescent="0.2">
      <c r="C90" s="105" t="s">
        <v>256</v>
      </c>
      <c r="D90">
        <v>26</v>
      </c>
      <c r="E90">
        <v>57127.199999999997</v>
      </c>
      <c r="F90">
        <v>50</v>
      </c>
      <c r="G90">
        <v>109859.99999999999</v>
      </c>
      <c r="H90">
        <v>34</v>
      </c>
      <c r="I90">
        <v>74704.799999999988</v>
      </c>
      <c r="J90">
        <v>29</v>
      </c>
      <c r="K90">
        <v>63718.799999999996</v>
      </c>
      <c r="L90">
        <v>8</v>
      </c>
      <c r="M90">
        <v>17577.599999999999</v>
      </c>
      <c r="N90">
        <v>10.296005208869552</v>
      </c>
      <c r="O90">
        <v>22622.382644928177</v>
      </c>
      <c r="P90">
        <v>6</v>
      </c>
      <c r="Q90">
        <v>13183.199999999999</v>
      </c>
      <c r="R90">
        <v>11.340716650260786</v>
      </c>
      <c r="S90">
        <v>24917.822623952998</v>
      </c>
      <c r="T90">
        <v>5</v>
      </c>
      <c r="U90">
        <v>10986</v>
      </c>
      <c r="V90">
        <v>3</v>
      </c>
      <c r="W90">
        <v>6591.5999999999995</v>
      </c>
      <c r="X90">
        <v>3</v>
      </c>
      <c r="Y90">
        <v>6591.5999999999995</v>
      </c>
      <c r="Z90">
        <v>4</v>
      </c>
      <c r="AA90">
        <v>8788.7999999999993</v>
      </c>
      <c r="AB90">
        <v>6</v>
      </c>
      <c r="AC90">
        <v>13183.199999999999</v>
      </c>
      <c r="AD90">
        <v>7</v>
      </c>
      <c r="AE90">
        <v>15380.399999999998</v>
      </c>
      <c r="AF90">
        <v>5</v>
      </c>
      <c r="AG90">
        <v>10986</v>
      </c>
      <c r="AH90">
        <v>4</v>
      </c>
      <c r="AI90">
        <v>8788.7999999999993</v>
      </c>
      <c r="AJ90">
        <v>8.5263304681838736</v>
      </c>
      <c r="AK90">
        <v>18734.053304693607</v>
      </c>
      <c r="AL90">
        <v>11.820515353370284</v>
      </c>
      <c r="AM90">
        <v>25972.036334425185</v>
      </c>
      <c r="AN90">
        <v>15.626251053251632</v>
      </c>
      <c r="AO90">
        <v>34333.998814204482</v>
      </c>
      <c r="AP90">
        <v>14.056496292700514</v>
      </c>
      <c r="AQ90">
        <v>30884.933654321565</v>
      </c>
      <c r="AR90">
        <v>6.6097024293214695</v>
      </c>
      <c r="AS90">
        <v>14522.838177705131</v>
      </c>
      <c r="AT90">
        <v>5</v>
      </c>
      <c r="AU90">
        <v>10986</v>
      </c>
      <c r="AV90">
        <v>5</v>
      </c>
      <c r="AW90">
        <v>10986</v>
      </c>
      <c r="AX90">
        <v>5.5073441808783556</v>
      </c>
      <c r="AY90">
        <v>12100.736634225923</v>
      </c>
      <c r="AZ90">
        <v>8.8456880886468081</v>
      </c>
      <c r="BA90">
        <v>19435.745868374765</v>
      </c>
      <c r="BB90">
        <v>9</v>
      </c>
      <c r="BC90">
        <v>19774.8</v>
      </c>
      <c r="BD90">
        <v>9.6858985163750386</v>
      </c>
      <c r="BE90">
        <v>21281.856220179234</v>
      </c>
      <c r="BF90">
        <v>8.8887798617048812</v>
      </c>
      <c r="BG90">
        <v>19530.427112137964</v>
      </c>
      <c r="BH90">
        <v>6.195813399769234</v>
      </c>
      <c r="BI90">
        <v>13613.441201972959</v>
      </c>
      <c r="BJ90">
        <v>7.235266201426799</v>
      </c>
      <c r="BK90">
        <v>15897.326897774961</v>
      </c>
      <c r="BL90">
        <v>8.1356969083985877</v>
      </c>
      <c r="BM90">
        <v>17875.753247133376</v>
      </c>
      <c r="BN90">
        <v>6.3488421022874366</v>
      </c>
      <c r="BO90">
        <v>13949.675867145954</v>
      </c>
      <c r="BP90">
        <v>58.481846685700447</v>
      </c>
      <c r="BQ90">
        <v>128496.31353782101</v>
      </c>
      <c r="BR90">
        <v>48.204778438559785</v>
      </c>
      <c r="BS90">
        <v>105915.53918520355</v>
      </c>
      <c r="BT90">
        <v>68.24151562354227</v>
      </c>
      <c r="BU90">
        <v>149940.25812804708</v>
      </c>
      <c r="BV90">
        <v>64.25995869312689</v>
      </c>
      <c r="BW90">
        <v>141191.98124053839</v>
      </c>
      <c r="BX90">
        <v>9.337804485677772</v>
      </c>
      <c r="BY90">
        <v>20517.024015931198</v>
      </c>
      <c r="BZ90">
        <v>6.4754227953610402</v>
      </c>
      <c r="CA90">
        <v>14227.798965967277</v>
      </c>
      <c r="CB90">
        <v>9.3476304266137973</v>
      </c>
      <c r="CC90">
        <v>20538.613573355833</v>
      </c>
      <c r="CD90">
        <v>8.4202583212224482</v>
      </c>
      <c r="CE90">
        <v>18500.991583389961</v>
      </c>
      <c r="CF90">
        <v>11.263608748146611</v>
      </c>
      <c r="CG90">
        <v>24748.40114142773</v>
      </c>
      <c r="CH90">
        <v>9.3554872608281929</v>
      </c>
      <c r="CI90">
        <v>20555.876609491705</v>
      </c>
      <c r="CJ90">
        <v>10.311395119022599</v>
      </c>
      <c r="CK90">
        <v>22656.197355516451</v>
      </c>
      <c r="CL90">
        <v>13.24648861457961</v>
      </c>
      <c r="CM90">
        <v>29105.184783954315</v>
      </c>
      <c r="CN90">
        <v>5</v>
      </c>
      <c r="CO90">
        <v>10986</v>
      </c>
      <c r="CP90">
        <v>7</v>
      </c>
      <c r="CQ90">
        <v>15380.399999999998</v>
      </c>
      <c r="CR90">
        <v>8.3215205387924289</v>
      </c>
      <c r="CS90">
        <v>18284.044927834722</v>
      </c>
      <c r="CT90">
        <v>8.3155570475554992</v>
      </c>
      <c r="CU90">
        <v>18270.941944888942</v>
      </c>
    </row>
    <row r="91" spans="2:99" x14ac:dyDescent="0.2">
      <c r="C91" s="105" t="s">
        <v>257</v>
      </c>
      <c r="D91">
        <v>25</v>
      </c>
      <c r="E91">
        <v>57419.999999999993</v>
      </c>
      <c r="F91">
        <v>48</v>
      </c>
      <c r="G91">
        <v>110246.39999999999</v>
      </c>
      <c r="H91">
        <v>34</v>
      </c>
      <c r="I91">
        <v>78091.199999999997</v>
      </c>
      <c r="J91">
        <v>27</v>
      </c>
      <c r="K91">
        <v>62013.599999999991</v>
      </c>
      <c r="L91">
        <v>9</v>
      </c>
      <c r="M91">
        <v>20671.199999999997</v>
      </c>
      <c r="N91">
        <v>11.296005208869552</v>
      </c>
      <c r="O91">
        <v>25944.664763731584</v>
      </c>
      <c r="P91">
        <v>7</v>
      </c>
      <c r="Q91">
        <v>16077.599999999999</v>
      </c>
      <c r="R91">
        <v>11.292042843080674</v>
      </c>
      <c r="S91">
        <v>25935.564001987688</v>
      </c>
      <c r="T91">
        <v>4</v>
      </c>
      <c r="U91">
        <v>9187.1999999999989</v>
      </c>
      <c r="V91">
        <v>3</v>
      </c>
      <c r="W91">
        <v>6890.4</v>
      </c>
      <c r="X91">
        <v>3</v>
      </c>
      <c r="Y91">
        <v>6890.4</v>
      </c>
      <c r="Z91">
        <v>4</v>
      </c>
      <c r="AA91">
        <v>9187.1999999999989</v>
      </c>
      <c r="AB91">
        <v>5</v>
      </c>
      <c r="AC91">
        <v>11483.999999999998</v>
      </c>
      <c r="AD91">
        <v>6</v>
      </c>
      <c r="AE91">
        <v>13780.8</v>
      </c>
      <c r="AF91">
        <v>5</v>
      </c>
      <c r="AG91">
        <v>11483.999999999998</v>
      </c>
      <c r="AH91">
        <v>3</v>
      </c>
      <c r="AI91">
        <v>6890.4</v>
      </c>
      <c r="AJ91">
        <v>8.5263304681838736</v>
      </c>
      <c r="AK91">
        <v>19583.275819324717</v>
      </c>
      <c r="AL91">
        <v>10.820515353370284</v>
      </c>
      <c r="AM91">
        <v>24852.559663620865</v>
      </c>
      <c r="AN91">
        <v>15.626251053251632</v>
      </c>
      <c r="AO91">
        <v>35890.373419108342</v>
      </c>
      <c r="AP91">
        <v>12.960451175182286</v>
      </c>
      <c r="AQ91">
        <v>29767.564259158669</v>
      </c>
      <c r="AR91">
        <v>6.6097024293214695</v>
      </c>
      <c r="AS91">
        <v>15181.164539665549</v>
      </c>
      <c r="AT91">
        <v>6</v>
      </c>
      <c r="AU91">
        <v>13780.8</v>
      </c>
      <c r="AV91">
        <v>5</v>
      </c>
      <c r="AW91">
        <v>11483.999999999998</v>
      </c>
      <c r="AX91">
        <v>5</v>
      </c>
      <c r="AY91">
        <v>11483.999999999998</v>
      </c>
      <c r="AZ91">
        <v>8.8456880886468081</v>
      </c>
      <c r="BA91">
        <v>20316.776402003987</v>
      </c>
      <c r="BB91">
        <v>10</v>
      </c>
      <c r="BC91">
        <v>22967.999999999996</v>
      </c>
      <c r="BD91">
        <v>8.6858985163750386</v>
      </c>
      <c r="BE91">
        <v>19949.771712410187</v>
      </c>
      <c r="BF91">
        <v>8.8887798617048812</v>
      </c>
      <c r="BG91">
        <v>20415.749586363771</v>
      </c>
      <c r="BH91">
        <v>6.2349760797230811</v>
      </c>
      <c r="BI91">
        <v>14320.493059907971</v>
      </c>
      <c r="BJ91">
        <v>8.2352662014267999</v>
      </c>
      <c r="BK91">
        <v>18914.759411437073</v>
      </c>
      <c r="BL91">
        <v>9.1550821810269571</v>
      </c>
      <c r="BM91">
        <v>21027.392753382712</v>
      </c>
      <c r="BN91">
        <v>7.2558195454713559</v>
      </c>
      <c r="BO91">
        <v>16665.166332038607</v>
      </c>
      <c r="BP91">
        <v>60.481846685700447</v>
      </c>
      <c r="BQ91">
        <v>138914.70546771676</v>
      </c>
      <c r="BR91">
        <v>53.204778438559785</v>
      </c>
      <c r="BS91">
        <v>122200.7351176841</v>
      </c>
      <c r="BT91">
        <v>76.26347158931884</v>
      </c>
      <c r="BU91">
        <v>175161.94154634749</v>
      </c>
      <c r="BV91">
        <v>72.25995869312689</v>
      </c>
      <c r="BW91">
        <v>165966.67312637382</v>
      </c>
      <c r="BX91">
        <v>8.3860622693460254</v>
      </c>
      <c r="BY91">
        <v>19261.107820233949</v>
      </c>
      <c r="BZ91">
        <v>6.4754227953610402</v>
      </c>
      <c r="CA91">
        <v>14872.751076385235</v>
      </c>
      <c r="CB91">
        <v>9.29796893709754</v>
      </c>
      <c r="CC91">
        <v>21355.575054725628</v>
      </c>
      <c r="CD91">
        <v>7.3735629521977328</v>
      </c>
      <c r="CE91">
        <v>16935.599388607752</v>
      </c>
      <c r="CF91">
        <v>10.29289860905179</v>
      </c>
      <c r="CG91">
        <v>23640.729525270148</v>
      </c>
      <c r="CH91">
        <v>9.3808792080302066</v>
      </c>
      <c r="CI91">
        <v>21546.003365003777</v>
      </c>
      <c r="CJ91">
        <v>9.3632943055263667</v>
      </c>
      <c r="CK91">
        <v>21505.614360932956</v>
      </c>
      <c r="CL91">
        <v>14.24648861457961</v>
      </c>
      <c r="CM91">
        <v>32721.335049966445</v>
      </c>
      <c r="CN91">
        <v>5</v>
      </c>
      <c r="CO91">
        <v>11483.999999999998</v>
      </c>
      <c r="CP91">
        <v>7</v>
      </c>
      <c r="CQ91">
        <v>16077.599999999999</v>
      </c>
      <c r="CR91">
        <v>8.3215205387924289</v>
      </c>
      <c r="CS91">
        <v>19112.868373498448</v>
      </c>
      <c r="CT91">
        <v>9.290735216469546</v>
      </c>
      <c r="CU91">
        <v>21338.96064518725</v>
      </c>
    </row>
    <row r="92" spans="2:99" x14ac:dyDescent="0.2">
      <c r="C92" s="105" t="s">
        <v>258</v>
      </c>
      <c r="D92">
        <v>33</v>
      </c>
      <c r="E92">
        <v>46886.400000000001</v>
      </c>
      <c r="F92">
        <v>61</v>
      </c>
      <c r="G92">
        <v>86668.800000000003</v>
      </c>
      <c r="H92">
        <v>42</v>
      </c>
      <c r="I92">
        <v>59673.599999999999</v>
      </c>
      <c r="J92">
        <v>32</v>
      </c>
      <c r="K92">
        <v>45465.599999999999</v>
      </c>
      <c r="L92">
        <v>9</v>
      </c>
      <c r="M92">
        <v>12787.199999999999</v>
      </c>
      <c r="N92">
        <v>10.296005208869552</v>
      </c>
      <c r="O92">
        <v>14628.564200761859</v>
      </c>
      <c r="P92">
        <v>7</v>
      </c>
      <c r="Q92">
        <v>9945.6</v>
      </c>
      <c r="R92">
        <v>10.340716650260786</v>
      </c>
      <c r="S92">
        <v>14692.090216690525</v>
      </c>
      <c r="T92">
        <v>5</v>
      </c>
      <c r="U92">
        <v>7104</v>
      </c>
      <c r="V92">
        <v>3</v>
      </c>
      <c r="W92">
        <v>4262.3999999999996</v>
      </c>
      <c r="X92">
        <v>3</v>
      </c>
      <c r="Y92">
        <v>4262.3999999999996</v>
      </c>
      <c r="Z92">
        <v>4</v>
      </c>
      <c r="AA92">
        <v>5683.2</v>
      </c>
      <c r="AB92">
        <v>5</v>
      </c>
      <c r="AC92">
        <v>7104</v>
      </c>
      <c r="AD92">
        <v>6</v>
      </c>
      <c r="AE92">
        <v>8524.7999999999993</v>
      </c>
      <c r="AF92">
        <v>6</v>
      </c>
      <c r="AG92">
        <v>8524.7999999999993</v>
      </c>
      <c r="AH92">
        <v>4</v>
      </c>
      <c r="AI92">
        <v>5683.2</v>
      </c>
      <c r="AJ92">
        <v>9.5653179102715669</v>
      </c>
      <c r="AK92">
        <v>13590.403686913842</v>
      </c>
      <c r="AL92">
        <v>10.988348039286933</v>
      </c>
      <c r="AM92">
        <v>15612.244894218875</v>
      </c>
      <c r="AN92">
        <v>15.743673125736315</v>
      </c>
      <c r="AO92">
        <v>22368.610777046157</v>
      </c>
      <c r="AP92">
        <v>12.200563968977857</v>
      </c>
      <c r="AQ92">
        <v>17334.561287123739</v>
      </c>
      <c r="AR92">
        <v>7.6478088311540606</v>
      </c>
      <c r="AS92">
        <v>10866.00678730369</v>
      </c>
      <c r="AT92">
        <v>5</v>
      </c>
      <c r="AU92">
        <v>7104</v>
      </c>
      <c r="AV92">
        <v>5</v>
      </c>
      <c r="AW92">
        <v>7104</v>
      </c>
      <c r="AX92">
        <v>5</v>
      </c>
      <c r="AY92">
        <v>7104</v>
      </c>
      <c r="AZ92">
        <v>10</v>
      </c>
      <c r="BA92">
        <v>14208</v>
      </c>
      <c r="BB92">
        <v>10</v>
      </c>
      <c r="BC92">
        <v>14208</v>
      </c>
      <c r="BD92">
        <v>10.832876769883974</v>
      </c>
      <c r="BE92">
        <v>15391.35131465115</v>
      </c>
      <c r="BF92">
        <v>8.8420019742467293</v>
      </c>
      <c r="BG92">
        <v>12562.716405009753</v>
      </c>
      <c r="BH92">
        <v>7.2349760797230811</v>
      </c>
      <c r="BI92">
        <v>10279.454014070554</v>
      </c>
      <c r="BJ92">
        <v>9.2614068904742215</v>
      </c>
      <c r="BK92">
        <v>13158.606909985774</v>
      </c>
      <c r="BL92">
        <v>10.174467453655327</v>
      </c>
      <c r="BM92">
        <v>14455.883358153487</v>
      </c>
      <c r="BN92">
        <v>6.3488421022874366</v>
      </c>
      <c r="BO92">
        <v>9020.4348589299898</v>
      </c>
      <c r="BP92">
        <v>64.481846685700447</v>
      </c>
      <c r="BQ92">
        <v>91615.807771043197</v>
      </c>
      <c r="BR92">
        <v>59.225256282415764</v>
      </c>
      <c r="BS92">
        <v>84147.244126056321</v>
      </c>
      <c r="BT92">
        <v>77.24151562354227</v>
      </c>
      <c r="BU92">
        <v>109744.74539792885</v>
      </c>
      <c r="BV92">
        <v>83.279955515675113</v>
      </c>
      <c r="BW92">
        <v>118324.16079667119</v>
      </c>
      <c r="BX92">
        <v>8.337804485677772</v>
      </c>
      <c r="BY92">
        <v>11846.352613250978</v>
      </c>
      <c r="BZ92">
        <v>6</v>
      </c>
      <c r="CA92">
        <v>8524.7999999999993</v>
      </c>
      <c r="CB92">
        <v>9.3476304266137973</v>
      </c>
      <c r="CC92">
        <v>13281.113310132883</v>
      </c>
      <c r="CD92">
        <v>9.3735629521977319</v>
      </c>
      <c r="CE92">
        <v>13317.958242482537</v>
      </c>
      <c r="CF92">
        <v>10.322188469956968</v>
      </c>
      <c r="CG92">
        <v>14665.76537811486</v>
      </c>
      <c r="CH92">
        <v>9.3808792080302066</v>
      </c>
      <c r="CI92">
        <v>13328.353178769317</v>
      </c>
      <c r="CJ92">
        <v>11.363294305526367</v>
      </c>
      <c r="CK92">
        <v>16144.968549291862</v>
      </c>
      <c r="CL92">
        <v>15.27387623842179</v>
      </c>
      <c r="CM92">
        <v>21701.123359549678</v>
      </c>
      <c r="CN92">
        <v>5</v>
      </c>
      <c r="CO92">
        <v>7104</v>
      </c>
      <c r="CP92">
        <v>8</v>
      </c>
      <c r="CQ92">
        <v>11366.4</v>
      </c>
      <c r="CR92">
        <v>8.4656864157516036</v>
      </c>
      <c r="CS92">
        <v>12028.047259499877</v>
      </c>
      <c r="CT92">
        <v>9.41484437189931</v>
      </c>
      <c r="CU92">
        <v>13376.61088359454</v>
      </c>
    </row>
    <row r="93" spans="2:99" x14ac:dyDescent="0.2">
      <c r="C93" s="105" t="s">
        <v>259</v>
      </c>
      <c r="D93">
        <v>27</v>
      </c>
      <c r="E93">
        <v>47854.799999999996</v>
      </c>
      <c r="F93">
        <v>57</v>
      </c>
      <c r="G93">
        <v>101026.79999999999</v>
      </c>
      <c r="H93">
        <v>34</v>
      </c>
      <c r="I93">
        <v>60261.599999999999</v>
      </c>
      <c r="J93">
        <v>29</v>
      </c>
      <c r="K93">
        <v>51399.6</v>
      </c>
      <c r="L93">
        <v>8</v>
      </c>
      <c r="M93">
        <v>14179.199999999999</v>
      </c>
      <c r="N93">
        <v>12.296005208869552</v>
      </c>
      <c r="O93">
        <v>21793.439632200392</v>
      </c>
      <c r="P93">
        <v>8</v>
      </c>
      <c r="Q93">
        <v>14179.199999999999</v>
      </c>
      <c r="R93">
        <v>10.340716650260786</v>
      </c>
      <c r="S93">
        <v>18327.886190922214</v>
      </c>
      <c r="T93">
        <v>4</v>
      </c>
      <c r="U93">
        <v>7089.5999999999995</v>
      </c>
      <c r="V93">
        <v>3</v>
      </c>
      <c r="W93">
        <v>5317.2</v>
      </c>
      <c r="X93">
        <v>3</v>
      </c>
      <c r="Y93">
        <v>5317.2</v>
      </c>
      <c r="Z93">
        <v>4</v>
      </c>
      <c r="AA93">
        <v>7089.5999999999995</v>
      </c>
      <c r="AB93">
        <v>5</v>
      </c>
      <c r="AC93">
        <v>8862</v>
      </c>
      <c r="AD93">
        <v>7</v>
      </c>
      <c r="AE93">
        <v>12406.8</v>
      </c>
      <c r="AF93">
        <v>6</v>
      </c>
      <c r="AG93">
        <v>10634.4</v>
      </c>
      <c r="AH93">
        <v>4</v>
      </c>
      <c r="AI93">
        <v>7089.5999999999995</v>
      </c>
      <c r="AJ93">
        <v>8.5848116313154144</v>
      </c>
      <c r="AK93">
        <v>15215.720135343439</v>
      </c>
      <c r="AL93">
        <v>11.820515353370284</v>
      </c>
      <c r="AM93">
        <v>20950.68141231349</v>
      </c>
      <c r="AN93">
        <v>13.66539174407986</v>
      </c>
      <c r="AO93">
        <v>24220.540327207142</v>
      </c>
      <c r="AP93">
        <v>12.104518851459629</v>
      </c>
      <c r="AQ93">
        <v>21454.049212327045</v>
      </c>
      <c r="AR93">
        <v>6.6859152329866527</v>
      </c>
      <c r="AS93">
        <v>11850.116158945542</v>
      </c>
      <c r="AT93">
        <v>6</v>
      </c>
      <c r="AU93">
        <v>10634.4</v>
      </c>
      <c r="AV93">
        <v>4</v>
      </c>
      <c r="AW93">
        <v>7089.5999999999995</v>
      </c>
      <c r="AX93">
        <v>5.5435830509410948</v>
      </c>
      <c r="AY93">
        <v>9825.4465994879956</v>
      </c>
      <c r="AZ93">
        <v>10</v>
      </c>
      <c r="BA93">
        <v>17724</v>
      </c>
      <c r="BB93">
        <v>11</v>
      </c>
      <c r="BC93">
        <v>19496.399999999998</v>
      </c>
      <c r="BD93">
        <v>9.6858985163750386</v>
      </c>
      <c r="BE93">
        <v>17167.286530423116</v>
      </c>
      <c r="BF93">
        <v>8.8420019742467293</v>
      </c>
      <c r="BG93">
        <v>15671.564299154901</v>
      </c>
      <c r="BH93">
        <v>6.2153947397461575</v>
      </c>
      <c r="BI93">
        <v>11016.165636726089</v>
      </c>
      <c r="BJ93">
        <v>9.2352662014267999</v>
      </c>
      <c r="BK93">
        <v>16368.585815408858</v>
      </c>
      <c r="BL93">
        <v>9.1550821810269571</v>
      </c>
      <c r="BM93">
        <v>16226.467657652178</v>
      </c>
      <c r="BN93">
        <v>7.2558195454713559</v>
      </c>
      <c r="BO93">
        <v>12860.21456239343</v>
      </c>
      <c r="BP93">
        <v>61.518911815369712</v>
      </c>
      <c r="BQ93">
        <v>109036.11930156127</v>
      </c>
      <c r="BR93">
        <v>54.225256282415764</v>
      </c>
      <c r="BS93">
        <v>96108.844234953693</v>
      </c>
      <c r="BT93">
        <v>80.28542755509541</v>
      </c>
      <c r="BU93">
        <v>142297.89179865111</v>
      </c>
      <c r="BV93">
        <v>81.25995869312689</v>
      </c>
      <c r="BW93">
        <v>144025.15078769808</v>
      </c>
      <c r="BX93">
        <v>9.337804485677772</v>
      </c>
      <c r="BY93">
        <v>16550.324670415281</v>
      </c>
      <c r="BZ93">
        <v>7</v>
      </c>
      <c r="CA93">
        <v>12406.8</v>
      </c>
      <c r="CB93">
        <v>8.29796893709754</v>
      </c>
      <c r="CC93">
        <v>14707.320144111678</v>
      </c>
      <c r="CD93">
        <v>8.3735629521977319</v>
      </c>
      <c r="CE93">
        <v>14841.302976475259</v>
      </c>
      <c r="CF93">
        <v>11.263608748146611</v>
      </c>
      <c r="CG93">
        <v>19963.620145215053</v>
      </c>
      <c r="CH93">
        <v>9.4062711552322202</v>
      </c>
      <c r="CI93">
        <v>16671.674995533587</v>
      </c>
      <c r="CJ93">
        <v>9.3632943055263667</v>
      </c>
      <c r="CK93">
        <v>16595.502827114931</v>
      </c>
      <c r="CL93">
        <v>15.27387623842179</v>
      </c>
      <c r="CM93">
        <v>27071.41824497878</v>
      </c>
      <c r="CN93">
        <v>6</v>
      </c>
      <c r="CO93">
        <v>10634.4</v>
      </c>
      <c r="CP93">
        <v>8</v>
      </c>
      <c r="CQ93">
        <v>14179.199999999999</v>
      </c>
      <c r="CR93">
        <v>7.2494376003128425</v>
      </c>
      <c r="CS93">
        <v>12848.903202794481</v>
      </c>
      <c r="CT93">
        <v>9.3900225408133569</v>
      </c>
      <c r="CU93">
        <v>16642.875951337592</v>
      </c>
    </row>
    <row r="94" spans="2:99" x14ac:dyDescent="0.2">
      <c r="C94" s="105" t="s">
        <v>260</v>
      </c>
      <c r="D94">
        <v>26</v>
      </c>
      <c r="E94">
        <v>62275.199999999997</v>
      </c>
      <c r="F94">
        <v>49</v>
      </c>
      <c r="G94">
        <v>117364.79999999999</v>
      </c>
      <c r="H94">
        <v>32</v>
      </c>
      <c r="I94">
        <v>76646.399999999994</v>
      </c>
      <c r="J94">
        <v>29</v>
      </c>
      <c r="K94">
        <v>69460.799999999988</v>
      </c>
      <c r="L94">
        <v>8</v>
      </c>
      <c r="M94">
        <v>19161.599999999999</v>
      </c>
      <c r="N94">
        <v>10.296005208869552</v>
      </c>
      <c r="O94">
        <v>24660.99167628435</v>
      </c>
      <c r="P94">
        <v>7</v>
      </c>
      <c r="Q94">
        <v>16766.399999999998</v>
      </c>
      <c r="R94">
        <v>10.340716650260786</v>
      </c>
      <c r="S94">
        <v>24768.084520704633</v>
      </c>
      <c r="T94">
        <v>4</v>
      </c>
      <c r="U94">
        <v>9580.7999999999993</v>
      </c>
      <c r="V94">
        <v>3</v>
      </c>
      <c r="W94">
        <v>7185.5999999999995</v>
      </c>
      <c r="X94">
        <v>3</v>
      </c>
      <c r="Y94">
        <v>7185.5999999999995</v>
      </c>
      <c r="Z94">
        <v>4</v>
      </c>
      <c r="AA94">
        <v>9580.7999999999993</v>
      </c>
      <c r="AB94">
        <v>5</v>
      </c>
      <c r="AC94">
        <v>11976</v>
      </c>
      <c r="AD94">
        <v>6</v>
      </c>
      <c r="AE94">
        <v>14371.199999999999</v>
      </c>
      <c r="AF94">
        <v>5</v>
      </c>
      <c r="AG94">
        <v>11976</v>
      </c>
      <c r="AH94">
        <v>3</v>
      </c>
      <c r="AI94">
        <v>7185.5999999999995</v>
      </c>
      <c r="AJ94">
        <v>7.5068367471400261</v>
      </c>
      <c r="AK94">
        <v>17980.375376749791</v>
      </c>
      <c r="AL94">
        <v>11.801867277157324</v>
      </c>
      <c r="AM94">
        <v>28267.83250224722</v>
      </c>
      <c r="AN94">
        <v>13.587110362423406</v>
      </c>
      <c r="AO94">
        <v>32543.84674007654</v>
      </c>
      <c r="AP94">
        <v>13.032485013320958</v>
      </c>
      <c r="AQ94">
        <v>31215.408103906357</v>
      </c>
      <c r="AR94">
        <v>5.6478088311540606</v>
      </c>
      <c r="AS94">
        <v>13527.631712380205</v>
      </c>
      <c r="AT94">
        <v>6</v>
      </c>
      <c r="AU94">
        <v>14371.199999999999</v>
      </c>
      <c r="AV94">
        <v>5</v>
      </c>
      <c r="AW94">
        <v>11976</v>
      </c>
      <c r="AX94">
        <v>5</v>
      </c>
      <c r="AY94">
        <v>11976</v>
      </c>
      <c r="AZ94">
        <v>8</v>
      </c>
      <c r="BA94">
        <v>19161.599999999999</v>
      </c>
      <c r="BB94">
        <v>10</v>
      </c>
      <c r="BC94">
        <v>23952</v>
      </c>
      <c r="BD94">
        <v>8.7838840187143283</v>
      </c>
      <c r="BE94">
        <v>21039.159001624557</v>
      </c>
      <c r="BF94">
        <v>8.8887798617048812</v>
      </c>
      <c r="BG94">
        <v>21290.40552475553</v>
      </c>
      <c r="BH94">
        <v>5.2153947397461575</v>
      </c>
      <c r="BI94">
        <v>12491.913480639996</v>
      </c>
      <c r="BJ94">
        <v>7.2614068904742215</v>
      </c>
      <c r="BK94">
        <v>17392.521784063854</v>
      </c>
      <c r="BL94">
        <v>9.1550821810269571</v>
      </c>
      <c r="BM94">
        <v>21928.252839995766</v>
      </c>
      <c r="BN94">
        <v>6.3488421022874366</v>
      </c>
      <c r="BO94">
        <v>15206.746603398868</v>
      </c>
      <c r="BP94">
        <v>57.407716426361915</v>
      </c>
      <c r="BQ94">
        <v>137502.96238442205</v>
      </c>
      <c r="BR94">
        <v>48.204778438559785</v>
      </c>
      <c r="BS94">
        <v>115460.08531603838</v>
      </c>
      <c r="BT94">
        <v>66.2195596577657</v>
      </c>
      <c r="BU94">
        <v>158609.08929228041</v>
      </c>
      <c r="BV94">
        <v>67.25995869312689</v>
      </c>
      <c r="BW94">
        <v>161101.05306177752</v>
      </c>
      <c r="BX94">
        <v>8.337804485677772</v>
      </c>
      <c r="BY94">
        <v>19970.709304095399</v>
      </c>
      <c r="BZ94">
        <v>6.4278805158249366</v>
      </c>
      <c r="CA94">
        <v>15396.059411503888</v>
      </c>
      <c r="CB94">
        <v>9.3476304266137973</v>
      </c>
      <c r="CC94">
        <v>22389.444397825366</v>
      </c>
      <c r="CD94">
        <v>7.4202583212224491</v>
      </c>
      <c r="CE94">
        <v>17773.002730992008</v>
      </c>
      <c r="CF94">
        <v>10.29289860905179</v>
      </c>
      <c r="CG94">
        <v>24653.550748400845</v>
      </c>
      <c r="CH94">
        <v>7.4316631024342339</v>
      </c>
      <c r="CI94">
        <v>17800.319462950476</v>
      </c>
      <c r="CJ94">
        <v>8.311395119022599</v>
      </c>
      <c r="CK94">
        <v>19907.453589082928</v>
      </c>
      <c r="CL94">
        <v>13.24648861457961</v>
      </c>
      <c r="CM94">
        <v>31727.98952964108</v>
      </c>
      <c r="CN94">
        <v>5</v>
      </c>
      <c r="CO94">
        <v>11976</v>
      </c>
      <c r="CP94">
        <v>8</v>
      </c>
      <c r="CQ94">
        <v>19161.599999999999</v>
      </c>
      <c r="CR94">
        <v>8.081244077193805</v>
      </c>
      <c r="CS94">
        <v>19356.195813694601</v>
      </c>
      <c r="CT94">
        <v>9.290735216469546</v>
      </c>
      <c r="CU94">
        <v>22253.168990487855</v>
      </c>
    </row>
    <row r="95" spans="2:99" x14ac:dyDescent="0.2">
      <c r="B95" s="105" t="s">
        <v>132</v>
      </c>
      <c r="C95" s="105" t="s">
        <v>261</v>
      </c>
      <c r="D95">
        <v>6</v>
      </c>
      <c r="E95">
        <v>10396.799999999999</v>
      </c>
      <c r="F95">
        <v>5</v>
      </c>
      <c r="G95">
        <v>8664</v>
      </c>
      <c r="H95">
        <v>5</v>
      </c>
      <c r="I95">
        <v>8664</v>
      </c>
      <c r="J95">
        <v>7</v>
      </c>
      <c r="K95">
        <v>12129.6</v>
      </c>
      <c r="L95">
        <v>11.182364166854351</v>
      </c>
      <c r="M95">
        <v>19376.800628325218</v>
      </c>
      <c r="N95">
        <v>11.542676216260846</v>
      </c>
      <c r="O95">
        <v>20001.149347536793</v>
      </c>
      <c r="P95">
        <v>9.5382437378914506</v>
      </c>
      <c r="Q95">
        <v>16527.868749018304</v>
      </c>
      <c r="R95">
        <v>13.438064264621012</v>
      </c>
      <c r="S95">
        <v>23285.477757735291</v>
      </c>
      <c r="T95">
        <v>31.286757228372618</v>
      </c>
      <c r="U95">
        <v>54213.692925324074</v>
      </c>
      <c r="V95">
        <v>20.349980636044371</v>
      </c>
      <c r="W95">
        <v>35262.446446137685</v>
      </c>
      <c r="X95">
        <v>27.496522252809683</v>
      </c>
      <c r="Y95">
        <v>47645.973759668617</v>
      </c>
      <c r="Z95">
        <v>29.513662196649438</v>
      </c>
      <c r="AA95">
        <v>51141.273854354142</v>
      </c>
      <c r="AB95">
        <v>6.2296169952967286</v>
      </c>
      <c r="AC95">
        <v>10794.680329450171</v>
      </c>
      <c r="AD95">
        <v>8.4084751396467645</v>
      </c>
      <c r="AE95">
        <v>14570.205721979914</v>
      </c>
      <c r="AF95">
        <v>11.306917937556339</v>
      </c>
      <c r="AG95">
        <v>19592.627402197624</v>
      </c>
      <c r="AH95">
        <v>7.3535834028237961</v>
      </c>
      <c r="AI95">
        <v>12742.289320413074</v>
      </c>
      <c r="AJ95">
        <v>9.3118995367015547</v>
      </c>
      <c r="AK95">
        <v>16135.659517196453</v>
      </c>
      <c r="AL95">
        <v>9.2051288383425707</v>
      </c>
      <c r="AM95">
        <v>15950.647251080007</v>
      </c>
      <c r="AN95">
        <v>10.176133108727022</v>
      </c>
      <c r="AO95">
        <v>17633.203450802182</v>
      </c>
      <c r="AP95">
        <v>16.360169190693359</v>
      </c>
      <c r="AQ95">
        <v>28348.901173633451</v>
      </c>
      <c r="AR95">
        <v>15.41917042015851</v>
      </c>
      <c r="AS95">
        <v>26718.338504050666</v>
      </c>
      <c r="AT95">
        <v>18</v>
      </c>
      <c r="AU95">
        <v>31190.399999999998</v>
      </c>
      <c r="AV95">
        <v>18.799996397545755</v>
      </c>
      <c r="AW95">
        <v>32576.633757667281</v>
      </c>
      <c r="AX95">
        <v>12.652299661129314</v>
      </c>
      <c r="AY95">
        <v>21923.904852804873</v>
      </c>
      <c r="AZ95">
        <v>5.3758613727319151</v>
      </c>
      <c r="BA95">
        <v>9315.2925866698624</v>
      </c>
      <c r="BB95">
        <v>7.2979689370975409</v>
      </c>
      <c r="BC95">
        <v>12645.920574202619</v>
      </c>
      <c r="BD95">
        <v>6.4409347605268099</v>
      </c>
      <c r="BE95">
        <v>11160.851753040855</v>
      </c>
      <c r="BF95">
        <v>6.4210009871233646</v>
      </c>
      <c r="BG95">
        <v>11126.310510487367</v>
      </c>
      <c r="BH95">
        <v>25.783253599076936</v>
      </c>
      <c r="BI95">
        <v>44677.221836480516</v>
      </c>
      <c r="BJ95">
        <v>31.548954469995866</v>
      </c>
      <c r="BK95">
        <v>54668.028305608837</v>
      </c>
      <c r="BL95">
        <v>19.445861270452504</v>
      </c>
      <c r="BM95">
        <v>33695.788409440094</v>
      </c>
      <c r="BN95">
        <v>20.86048119323015</v>
      </c>
      <c r="BO95">
        <v>36147.041811629206</v>
      </c>
      <c r="BP95">
        <v>6</v>
      </c>
      <c r="BQ95">
        <v>10396.799999999999</v>
      </c>
      <c r="BR95">
        <v>6</v>
      </c>
      <c r="BS95">
        <v>10396.799999999999</v>
      </c>
      <c r="BT95">
        <v>8</v>
      </c>
      <c r="BU95">
        <v>13862.4</v>
      </c>
      <c r="BV95">
        <v>5</v>
      </c>
      <c r="BW95">
        <v>8664</v>
      </c>
      <c r="BX95">
        <v>4.9651556733650644</v>
      </c>
      <c r="BY95">
        <v>8603.621750806984</v>
      </c>
      <c r="BZ95">
        <v>5.6655919135054562</v>
      </c>
      <c r="CA95">
        <v>9817.337667722255</v>
      </c>
      <c r="CB95">
        <v>5.7449223427438518</v>
      </c>
      <c r="CC95">
        <v>9954.8014355065461</v>
      </c>
      <c r="CD95">
        <v>6</v>
      </c>
      <c r="CE95">
        <v>10396.799999999999</v>
      </c>
      <c r="CF95">
        <v>14</v>
      </c>
      <c r="CG95">
        <v>24259.200000000001</v>
      </c>
      <c r="CH95">
        <v>27</v>
      </c>
      <c r="CI95">
        <v>46785.599999999999</v>
      </c>
      <c r="CJ95">
        <v>16</v>
      </c>
      <c r="CK95">
        <v>27724.799999999999</v>
      </c>
      <c r="CL95">
        <v>22.834970797425989</v>
      </c>
      <c r="CM95">
        <v>39568.437397779751</v>
      </c>
      <c r="CN95">
        <v>33</v>
      </c>
      <c r="CO95">
        <v>57182.400000000001</v>
      </c>
      <c r="CP95">
        <v>37</v>
      </c>
      <c r="CQ95">
        <v>64113.599999999999</v>
      </c>
      <c r="CR95">
        <v>62.288331753918349</v>
      </c>
      <c r="CS95">
        <v>107933.22126318971</v>
      </c>
      <c r="CT95">
        <v>56.198574648687625</v>
      </c>
      <c r="CU95">
        <v>97380.890151245912</v>
      </c>
    </row>
    <row r="96" spans="2:99" x14ac:dyDescent="0.2">
      <c r="C96" s="105" t="s">
        <v>262</v>
      </c>
      <c r="D96">
        <v>6</v>
      </c>
      <c r="E96">
        <v>4939.2</v>
      </c>
      <c r="F96">
        <v>5</v>
      </c>
      <c r="G96">
        <v>4116</v>
      </c>
      <c r="H96">
        <v>5</v>
      </c>
      <c r="I96">
        <v>4116</v>
      </c>
      <c r="J96">
        <v>7</v>
      </c>
      <c r="K96">
        <v>5762.4</v>
      </c>
      <c r="L96">
        <v>12</v>
      </c>
      <c r="M96">
        <v>9878.4</v>
      </c>
      <c r="N96">
        <v>12.542676216260846</v>
      </c>
      <c r="O96">
        <v>10325.131061225928</v>
      </c>
      <c r="P96">
        <v>9.5382437378914506</v>
      </c>
      <c r="Q96">
        <v>7851.8822450322414</v>
      </c>
      <c r="R96">
        <v>14.535411878981236</v>
      </c>
      <c r="S96">
        <v>11965.551058777353</v>
      </c>
      <c r="T96">
        <v>31.286757228372618</v>
      </c>
      <c r="U96">
        <v>25755.258550396338</v>
      </c>
      <c r="V96">
        <v>22.437475795055466</v>
      </c>
      <c r="W96">
        <v>18470.530074489659</v>
      </c>
      <c r="X96">
        <v>25.496522252809683</v>
      </c>
      <c r="Y96">
        <v>20988.73711851293</v>
      </c>
      <c r="Z96">
        <v>35.556467379703555</v>
      </c>
      <c r="AA96">
        <v>29270.083946971965</v>
      </c>
      <c r="AB96">
        <v>7.2624194231962615</v>
      </c>
      <c r="AC96">
        <v>5978.4236691751621</v>
      </c>
      <c r="AD96">
        <v>8.4084751396467645</v>
      </c>
      <c r="AE96">
        <v>6921.8567349572158</v>
      </c>
      <c r="AF96">
        <v>12.306917937556339</v>
      </c>
      <c r="AG96">
        <v>10131.054846196377</v>
      </c>
      <c r="AH96">
        <v>8.3889417431061766</v>
      </c>
      <c r="AI96">
        <v>6905.7768429250036</v>
      </c>
      <c r="AJ96">
        <v>9.3313932577454022</v>
      </c>
      <c r="AK96">
        <v>7681.6029297760142</v>
      </c>
      <c r="AL96">
        <v>10.205128838342571</v>
      </c>
      <c r="AM96">
        <v>8400.862059723604</v>
      </c>
      <c r="AN96">
        <v>11.215273799555249</v>
      </c>
      <c r="AO96">
        <v>9232.4133917938798</v>
      </c>
      <c r="AP96">
        <v>14.360169190693357</v>
      </c>
      <c r="AQ96">
        <v>11821.29127777877</v>
      </c>
      <c r="AR96">
        <v>14.533489625656285</v>
      </c>
      <c r="AS96">
        <v>11963.968659840253</v>
      </c>
      <c r="AT96">
        <v>20</v>
      </c>
      <c r="AU96">
        <v>16464</v>
      </c>
      <c r="AV96">
        <v>20.949995722085582</v>
      </c>
      <c r="AW96">
        <v>17246.03647842085</v>
      </c>
      <c r="AX96">
        <v>14.688538531192053</v>
      </c>
      <c r="AY96">
        <v>12091.604918877298</v>
      </c>
      <c r="AZ96">
        <v>5.3758613727319151</v>
      </c>
      <c r="BA96">
        <v>4425.409082032912</v>
      </c>
      <c r="BB96">
        <v>8.29796893709754</v>
      </c>
      <c r="BC96">
        <v>6830.8880290186944</v>
      </c>
      <c r="BD96">
        <v>5.4409347605268099</v>
      </c>
      <c r="BE96">
        <v>4478.9774948656695</v>
      </c>
      <c r="BF96">
        <v>6.4210009871233646</v>
      </c>
      <c r="BG96">
        <v>5285.7680125999532</v>
      </c>
      <c r="BH96">
        <v>26.822416279030783</v>
      </c>
      <c r="BI96">
        <v>22080.213080898138</v>
      </c>
      <c r="BJ96">
        <v>32.60123584809071</v>
      </c>
      <c r="BK96">
        <v>26837.337350148271</v>
      </c>
      <c r="BL96">
        <v>20.504017088337612</v>
      </c>
      <c r="BM96">
        <v>16878.90686711952</v>
      </c>
      <c r="BN96">
        <v>24.488390965965827</v>
      </c>
      <c r="BO96">
        <v>20158.843443183068</v>
      </c>
      <c r="BP96">
        <v>6</v>
      </c>
      <c r="BQ96">
        <v>4939.2</v>
      </c>
      <c r="BR96">
        <v>6</v>
      </c>
      <c r="BS96">
        <v>4939.2</v>
      </c>
      <c r="BT96">
        <v>9</v>
      </c>
      <c r="BU96">
        <v>7408.7999999999993</v>
      </c>
      <c r="BV96">
        <v>5</v>
      </c>
      <c r="BW96">
        <v>4116</v>
      </c>
      <c r="BX96">
        <v>6.0616712407015712</v>
      </c>
      <c r="BY96">
        <v>4989.9677653455328</v>
      </c>
      <c r="BZ96">
        <v>6.7606764725776642</v>
      </c>
      <c r="CA96">
        <v>5565.3888722259326</v>
      </c>
      <c r="CB96">
        <v>5.8939068112926218</v>
      </c>
      <c r="CC96">
        <v>4851.8640870560857</v>
      </c>
      <c r="CD96">
        <v>8.1206888565931976</v>
      </c>
      <c r="CE96">
        <v>6684.9510667475197</v>
      </c>
      <c r="CF96">
        <v>19</v>
      </c>
      <c r="CG96">
        <v>15640.8</v>
      </c>
      <c r="CH96">
        <v>31</v>
      </c>
      <c r="CI96">
        <v>25519.199999999997</v>
      </c>
      <c r="CJ96">
        <v>19</v>
      </c>
      <c r="CK96">
        <v>15640.8</v>
      </c>
      <c r="CL96">
        <v>24</v>
      </c>
      <c r="CM96">
        <v>19756.8</v>
      </c>
      <c r="CN96">
        <v>37</v>
      </c>
      <c r="CO96">
        <v>30458.399999999998</v>
      </c>
      <c r="CP96">
        <v>46</v>
      </c>
      <c r="CQ96">
        <v>37867.199999999997</v>
      </c>
      <c r="CR96">
        <v>66.312359400078208</v>
      </c>
      <c r="CS96">
        <v>54588.334258144379</v>
      </c>
      <c r="CT96">
        <v>71.248218310859528</v>
      </c>
      <c r="CU96">
        <v>58651.53331349956</v>
      </c>
    </row>
    <row r="97" spans="2:99" x14ac:dyDescent="0.2">
      <c r="C97" s="105" t="s">
        <v>263</v>
      </c>
      <c r="D97">
        <v>5</v>
      </c>
      <c r="E97">
        <v>9144</v>
      </c>
      <c r="F97">
        <v>4</v>
      </c>
      <c r="G97">
        <v>7315.2</v>
      </c>
      <c r="H97">
        <v>4</v>
      </c>
      <c r="I97">
        <v>7315.2</v>
      </c>
      <c r="J97">
        <v>7</v>
      </c>
      <c r="K97">
        <v>12801.6</v>
      </c>
      <c r="L97">
        <v>11</v>
      </c>
      <c r="M97">
        <v>20116.8</v>
      </c>
      <c r="N97">
        <v>11.493342014782586</v>
      </c>
      <c r="O97">
        <v>21019.023876634394</v>
      </c>
      <c r="P97">
        <v>8.5382437378914506</v>
      </c>
      <c r="Q97">
        <v>15614.740147855884</v>
      </c>
      <c r="R97">
        <v>13.438064264621012</v>
      </c>
      <c r="S97">
        <v>24575.531927138905</v>
      </c>
      <c r="T97">
        <v>32.245791910033674</v>
      </c>
      <c r="U97">
        <v>58971.104245069582</v>
      </c>
      <c r="V97">
        <v>17.39372821554992</v>
      </c>
      <c r="W97">
        <v>31809.650160597696</v>
      </c>
      <c r="X97">
        <v>26.455145398408874</v>
      </c>
      <c r="Y97">
        <v>48381.169904610149</v>
      </c>
      <c r="Z97">
        <v>31.470857013595317</v>
      </c>
      <c r="AA97">
        <v>57553.903306463115</v>
      </c>
      <c r="AB97">
        <v>7.2952218510957936</v>
      </c>
      <c r="AC97">
        <v>13341.501721283987</v>
      </c>
      <c r="AD97">
        <v>8.3744355446762011</v>
      </c>
      <c r="AE97">
        <v>15315.167724103836</v>
      </c>
      <c r="AF97">
        <v>11.306917937556339</v>
      </c>
      <c r="AG97">
        <v>20678.091524203031</v>
      </c>
      <c r="AH97">
        <v>6.3889417431061757</v>
      </c>
      <c r="AI97">
        <v>11684.096659792574</v>
      </c>
      <c r="AJ97">
        <v>8.3118995367015547</v>
      </c>
      <c r="AK97">
        <v>15200.801872719803</v>
      </c>
      <c r="AL97">
        <v>9.1864807621296105</v>
      </c>
      <c r="AM97">
        <v>16800.23601778263</v>
      </c>
      <c r="AN97">
        <v>9.2152737995552485</v>
      </c>
      <c r="AO97">
        <v>16852.892724626639</v>
      </c>
      <c r="AP97">
        <v>15.312146631934242</v>
      </c>
      <c r="AQ97">
        <v>28002.853760481343</v>
      </c>
      <c r="AR97">
        <v>14.457276821991101</v>
      </c>
      <c r="AS97">
        <v>26439.467852057325</v>
      </c>
      <c r="AT97">
        <v>17</v>
      </c>
      <c r="AU97">
        <v>31089.599999999999</v>
      </c>
      <c r="AV97">
        <v>19.799996397545755</v>
      </c>
      <c r="AW97">
        <v>36210.233411831672</v>
      </c>
      <c r="AX97">
        <v>13.652299661129314</v>
      </c>
      <c r="AY97">
        <v>24967.325620273288</v>
      </c>
      <c r="AZ97">
        <v>5.3758613727319151</v>
      </c>
      <c r="BA97">
        <v>9831.3752784521257</v>
      </c>
      <c r="BB97">
        <v>7.2483074475812836</v>
      </c>
      <c r="BC97">
        <v>13255.704660136651</v>
      </c>
      <c r="BD97">
        <v>6.3919420093571642</v>
      </c>
      <c r="BE97">
        <v>11689.583546712382</v>
      </c>
      <c r="BF97">
        <v>5.4210009871233646</v>
      </c>
      <c r="BG97">
        <v>9913.9266052512085</v>
      </c>
      <c r="BH97">
        <v>26.665765559215394</v>
      </c>
      <c r="BI97">
        <v>48766.35205469311</v>
      </c>
      <c r="BJ97">
        <v>27.522813780948443</v>
      </c>
      <c r="BK97">
        <v>50333.721842598512</v>
      </c>
      <c r="BL97">
        <v>19.407090725195761</v>
      </c>
      <c r="BM97">
        <v>35491.68751823801</v>
      </c>
      <c r="BN97">
        <v>20.86048119323015</v>
      </c>
      <c r="BO97">
        <v>38149.648006179297</v>
      </c>
      <c r="BP97">
        <v>6</v>
      </c>
      <c r="BQ97">
        <v>10972.8</v>
      </c>
      <c r="BR97">
        <v>6</v>
      </c>
      <c r="BS97">
        <v>10972.8</v>
      </c>
      <c r="BT97">
        <v>7</v>
      </c>
      <c r="BU97">
        <v>12801.6</v>
      </c>
      <c r="BV97">
        <v>5</v>
      </c>
      <c r="BW97">
        <v>9144</v>
      </c>
      <c r="BX97">
        <v>4.916897889696811</v>
      </c>
      <c r="BY97">
        <v>8992.0228606775272</v>
      </c>
      <c r="BZ97">
        <v>6.7606764725776642</v>
      </c>
      <c r="CA97">
        <v>12363.925133050032</v>
      </c>
      <c r="CB97">
        <v>5.7449223427438518</v>
      </c>
      <c r="CC97">
        <v>10506.313980409956</v>
      </c>
      <c r="CD97">
        <v>6</v>
      </c>
      <c r="CE97">
        <v>10972.8</v>
      </c>
      <c r="CF97">
        <v>15</v>
      </c>
      <c r="CG97">
        <v>27432</v>
      </c>
      <c r="CH97">
        <v>29</v>
      </c>
      <c r="CI97">
        <v>53035.199999999997</v>
      </c>
      <c r="CJ97">
        <v>17</v>
      </c>
      <c r="CK97">
        <v>31089.599999999999</v>
      </c>
      <c r="CL97">
        <v>21.752807925899454</v>
      </c>
      <c r="CM97">
        <v>39781.535134884922</v>
      </c>
      <c r="CN97">
        <v>31</v>
      </c>
      <c r="CO97">
        <v>56692.799999999996</v>
      </c>
      <c r="CP97">
        <v>39</v>
      </c>
      <c r="CQ97">
        <v>71323.199999999997</v>
      </c>
      <c r="CR97">
        <v>52.288331753918349</v>
      </c>
      <c r="CS97">
        <v>95624.90111156588</v>
      </c>
      <c r="CT97">
        <v>59.223396479773577</v>
      </c>
      <c r="CU97">
        <v>108307.74748220992</v>
      </c>
    </row>
    <row r="98" spans="2:99" x14ac:dyDescent="0.2">
      <c r="C98" s="105" t="s">
        <v>264</v>
      </c>
      <c r="D98">
        <v>7</v>
      </c>
      <c r="E98">
        <v>8845.1999999999989</v>
      </c>
      <c r="F98">
        <v>4</v>
      </c>
      <c r="G98">
        <v>5054.3999999999996</v>
      </c>
      <c r="H98">
        <v>5</v>
      </c>
      <c r="I98">
        <v>6318</v>
      </c>
      <c r="J98">
        <v>7</v>
      </c>
      <c r="K98">
        <v>8845.1999999999989</v>
      </c>
      <c r="L98">
        <v>11</v>
      </c>
      <c r="M98">
        <v>13899.599999999999</v>
      </c>
      <c r="N98">
        <v>11.493342014782586</v>
      </c>
      <c r="O98">
        <v>14522.986969879275</v>
      </c>
      <c r="P98">
        <v>9.489312488992228</v>
      </c>
      <c r="Q98">
        <v>11990.695261090579</v>
      </c>
      <c r="R98">
        <v>13.438064264621012</v>
      </c>
      <c r="S98">
        <v>16980.338004775109</v>
      </c>
      <c r="T98">
        <v>34.286757228372615</v>
      </c>
      <c r="U98">
        <v>43324.74643377163</v>
      </c>
      <c r="V98">
        <v>19.437475795055466</v>
      </c>
      <c r="W98">
        <v>24561.194414632086</v>
      </c>
      <c r="X98">
        <v>26.496522252809683</v>
      </c>
      <c r="Y98">
        <v>33481.005518650316</v>
      </c>
      <c r="Z98">
        <v>31.4280518305412</v>
      </c>
      <c r="AA98">
        <v>39712.486293071859</v>
      </c>
      <c r="AB98">
        <v>7.2624194231962615</v>
      </c>
      <c r="AC98">
        <v>9176.7931831507958</v>
      </c>
      <c r="AD98">
        <v>9.4084751396467645</v>
      </c>
      <c r="AE98">
        <v>11888.549186457651</v>
      </c>
      <c r="AF98">
        <v>11.341019930618154</v>
      </c>
      <c r="AG98">
        <v>14330.512784329099</v>
      </c>
      <c r="AH98">
        <v>7.3889417431061757</v>
      </c>
      <c r="AI98">
        <v>9336.6667865889631</v>
      </c>
      <c r="AJ98">
        <v>10.331393257745402</v>
      </c>
      <c r="AK98">
        <v>13054.74852048709</v>
      </c>
      <c r="AL98">
        <v>10.186480762129611</v>
      </c>
      <c r="AM98">
        <v>12871.637091026974</v>
      </c>
      <c r="AN98">
        <v>10.195703454141135</v>
      </c>
      <c r="AO98">
        <v>12883.290884652737</v>
      </c>
      <c r="AP98">
        <v>15.360169190693357</v>
      </c>
      <c r="AQ98">
        <v>19409.109789360125</v>
      </c>
      <c r="AR98">
        <v>14.457276821991101</v>
      </c>
      <c r="AS98">
        <v>18268.214992267953</v>
      </c>
      <c r="AT98">
        <v>20</v>
      </c>
      <c r="AU98">
        <v>25272</v>
      </c>
      <c r="AV98">
        <v>19.89999594723897</v>
      </c>
      <c r="AW98">
        <v>25145.63487893116</v>
      </c>
      <c r="AX98">
        <v>14.652299661129314</v>
      </c>
      <c r="AY98">
        <v>18514.645851803001</v>
      </c>
      <c r="AZ98">
        <v>5.3288787011404253</v>
      </c>
      <c r="BA98">
        <v>6733.5711267610413</v>
      </c>
      <c r="BB98">
        <v>7.2483074475812836</v>
      </c>
      <c r="BC98">
        <v>9158.9612907637093</v>
      </c>
      <c r="BD98">
        <v>6.4409347605268099</v>
      </c>
      <c r="BE98">
        <v>8138.7651634016765</v>
      </c>
      <c r="BF98">
        <v>6.4210009871233646</v>
      </c>
      <c r="BG98">
        <v>8113.5768473290827</v>
      </c>
      <c r="BH98">
        <v>26.783253599076936</v>
      </c>
      <c r="BI98">
        <v>33843.319247793617</v>
      </c>
      <c r="BJ98">
        <v>33.522813780948439</v>
      </c>
      <c r="BK98">
        <v>42359.427493606447</v>
      </c>
      <c r="BL98">
        <v>18.465246543080873</v>
      </c>
      <c r="BM98">
        <v>23332.685531836989</v>
      </c>
      <c r="BN98">
        <v>21.767458636414069</v>
      </c>
      <c r="BO98">
        <v>27505.360732972815</v>
      </c>
      <c r="BP98">
        <v>6</v>
      </c>
      <c r="BQ98">
        <v>7581.5999999999995</v>
      </c>
      <c r="BR98">
        <v>6</v>
      </c>
      <c r="BS98">
        <v>7581.5999999999995</v>
      </c>
      <c r="BT98">
        <v>9</v>
      </c>
      <c r="BU98">
        <v>11372.4</v>
      </c>
      <c r="BV98">
        <v>5</v>
      </c>
      <c r="BW98">
        <v>6318</v>
      </c>
      <c r="BX98">
        <v>6.0134134570333178</v>
      </c>
      <c r="BY98">
        <v>7598.5492443072999</v>
      </c>
      <c r="BZ98">
        <v>6.7131341930415607</v>
      </c>
      <c r="CA98">
        <v>8482.716366327315</v>
      </c>
      <c r="CB98">
        <v>5</v>
      </c>
      <c r="CC98">
        <v>6318</v>
      </c>
      <c r="CD98">
        <v>7</v>
      </c>
      <c r="CE98">
        <v>8845.1999999999989</v>
      </c>
      <c r="CF98">
        <v>15</v>
      </c>
      <c r="CG98">
        <v>18954</v>
      </c>
      <c r="CH98">
        <v>30</v>
      </c>
      <c r="CI98">
        <v>37908</v>
      </c>
      <c r="CJ98">
        <v>16</v>
      </c>
      <c r="CK98">
        <v>20217.599999999999</v>
      </c>
      <c r="CL98">
        <v>21</v>
      </c>
      <c r="CM98">
        <v>26535.599999999999</v>
      </c>
      <c r="CN98">
        <v>40</v>
      </c>
      <c r="CO98">
        <v>50544</v>
      </c>
      <c r="CP98">
        <v>39</v>
      </c>
      <c r="CQ98">
        <v>49280.399999999994</v>
      </c>
      <c r="CR98">
        <v>60.360414692397939</v>
      </c>
      <c r="CS98">
        <v>76271.420005314023</v>
      </c>
      <c r="CT98">
        <v>70.223396479773569</v>
      </c>
      <c r="CU98">
        <v>88734.283791841881</v>
      </c>
    </row>
    <row r="99" spans="2:99" x14ac:dyDescent="0.2">
      <c r="C99" s="105" t="s">
        <v>265</v>
      </c>
      <c r="D99">
        <v>5</v>
      </c>
      <c r="E99">
        <v>27407.999999999996</v>
      </c>
      <c r="F99">
        <v>4</v>
      </c>
      <c r="G99">
        <v>21926.399999999998</v>
      </c>
      <c r="H99">
        <v>3</v>
      </c>
      <c r="I99">
        <v>16444.8</v>
      </c>
      <c r="J99">
        <v>5</v>
      </c>
      <c r="K99">
        <v>27407.999999999996</v>
      </c>
      <c r="L99">
        <v>8</v>
      </c>
      <c r="M99">
        <v>43852.799999999996</v>
      </c>
      <c r="N99">
        <v>9.3946736118260699</v>
      </c>
      <c r="O99">
        <v>51497.84287058578</v>
      </c>
      <c r="P99">
        <v>6.3914499911937828</v>
      </c>
      <c r="Q99">
        <v>35035.372271727836</v>
      </c>
      <c r="R99">
        <v>9.3893904574408982</v>
      </c>
      <c r="S99">
        <v>51468.88273150802</v>
      </c>
      <c r="T99">
        <v>18.204826591694726</v>
      </c>
      <c r="U99">
        <v>99791.577445033792</v>
      </c>
      <c r="V99">
        <v>12.306233056538826</v>
      </c>
      <c r="W99">
        <v>67457.847122723222</v>
      </c>
      <c r="X99">
        <v>16.413768544008068</v>
      </c>
      <c r="Y99">
        <v>89973.713650834616</v>
      </c>
      <c r="Z99">
        <v>20.342441464432959</v>
      </c>
      <c r="AA99">
        <v>111509.1271314357</v>
      </c>
      <c r="AB99">
        <v>5.2296169952967286</v>
      </c>
      <c r="AC99">
        <v>28666.668521418545</v>
      </c>
      <c r="AD99">
        <v>5.3063563547350734</v>
      </c>
      <c r="AE99">
        <v>29087.322994115777</v>
      </c>
      <c r="AF99">
        <v>8.2387139514327075</v>
      </c>
      <c r="AG99">
        <v>45161.334396173523</v>
      </c>
      <c r="AH99">
        <v>5.2828667222590369</v>
      </c>
      <c r="AI99">
        <v>28958.562224735135</v>
      </c>
      <c r="AJ99">
        <v>7.2339246525261656</v>
      </c>
      <c r="AK99">
        <v>39653.481375287425</v>
      </c>
      <c r="AL99">
        <v>7.1305365334907274</v>
      </c>
      <c r="AM99">
        <v>39086.749061982766</v>
      </c>
      <c r="AN99">
        <v>8.156562763312909</v>
      </c>
      <c r="AO99">
        <v>44711.014443376036</v>
      </c>
      <c r="AP99">
        <v>10.240112793795571</v>
      </c>
      <c r="AQ99">
        <v>56132.202290469795</v>
      </c>
      <c r="AR99">
        <v>9.3810640183259189</v>
      </c>
      <c r="AS99">
        <v>51423.240522855354</v>
      </c>
      <c r="AT99">
        <v>13</v>
      </c>
      <c r="AU99">
        <v>71260.799999999988</v>
      </c>
      <c r="AV99">
        <v>12.699996847852534</v>
      </c>
      <c r="AW99">
        <v>69616.302721188447</v>
      </c>
      <c r="AX99">
        <v>9.4348664407528755</v>
      </c>
      <c r="AY99">
        <v>51718.163881630957</v>
      </c>
      <c r="AZ99">
        <v>4.2818960295489363</v>
      </c>
      <c r="BA99">
        <v>23471.641275575446</v>
      </c>
      <c r="BB99">
        <v>6.1986459580650273</v>
      </c>
      <c r="BC99">
        <v>33978.497683729249</v>
      </c>
      <c r="BD99">
        <v>5.3429492581875193</v>
      </c>
      <c r="BE99">
        <v>29287.910653680701</v>
      </c>
      <c r="BF99">
        <v>4.3742230996652127</v>
      </c>
      <c r="BG99">
        <v>23977.741343124828</v>
      </c>
      <c r="BH99">
        <v>15.469952159446162</v>
      </c>
      <c r="BI99">
        <v>84800.089757220077</v>
      </c>
      <c r="BJ99">
        <v>17.36596964666391</v>
      </c>
      <c r="BK99">
        <v>95193.299215152874</v>
      </c>
      <c r="BL99">
        <v>12.290779089425545</v>
      </c>
      <c r="BM99">
        <v>67373.134656595066</v>
      </c>
      <c r="BN99">
        <v>15.418616534126633</v>
      </c>
      <c r="BO99">
        <v>84518.688393468547</v>
      </c>
      <c r="BP99">
        <v>4</v>
      </c>
      <c r="BQ99">
        <v>21926.399999999998</v>
      </c>
      <c r="BR99">
        <v>5</v>
      </c>
      <c r="BS99">
        <v>27407.999999999996</v>
      </c>
      <c r="BT99">
        <v>6.5708551101908128</v>
      </c>
      <c r="BU99">
        <v>36018.799372021953</v>
      </c>
      <c r="BV99">
        <v>4</v>
      </c>
      <c r="BW99">
        <v>21926.399999999998</v>
      </c>
      <c r="BX99">
        <v>3.5790934040190385</v>
      </c>
      <c r="BY99">
        <v>19619.158403470759</v>
      </c>
      <c r="BZ99">
        <v>4.4754227953610402</v>
      </c>
      <c r="CA99">
        <v>24532.477595051074</v>
      </c>
      <c r="CB99">
        <v>4.5959378741950809</v>
      </c>
      <c r="CC99">
        <v>25193.093051187752</v>
      </c>
      <c r="CD99">
        <v>5.7938212734201819</v>
      </c>
      <c r="CE99">
        <v>31759.410692380065</v>
      </c>
      <c r="CF99">
        <v>11.995855270776085</v>
      </c>
      <c r="CG99">
        <v>65756.480252286186</v>
      </c>
      <c r="CH99">
        <v>20.142637624090622</v>
      </c>
      <c r="CI99">
        <v>110413.88240021514</v>
      </c>
      <c r="CJ99">
        <v>12</v>
      </c>
      <c r="CK99">
        <v>65779.199999999997</v>
      </c>
      <c r="CL99">
        <v>16.0407297060028</v>
      </c>
      <c r="CM99">
        <v>87928.863956424946</v>
      </c>
      <c r="CN99">
        <v>19</v>
      </c>
      <c r="CO99">
        <v>104150.39999999999</v>
      </c>
      <c r="CP99">
        <v>20</v>
      </c>
      <c r="CQ99">
        <v>109631.99999999999</v>
      </c>
      <c r="CR99">
        <v>31.240276461598622</v>
      </c>
      <c r="CS99">
        <v>171246.69945189898</v>
      </c>
      <c r="CT99">
        <v>36.148930986515715</v>
      </c>
      <c r="CU99">
        <v>198153.98009568453</v>
      </c>
    </row>
    <row r="100" spans="2:99" x14ac:dyDescent="0.2">
      <c r="C100" s="105" t="s">
        <v>266</v>
      </c>
      <c r="D100">
        <v>6</v>
      </c>
      <c r="E100">
        <v>9734.4</v>
      </c>
      <c r="F100">
        <v>4</v>
      </c>
      <c r="G100">
        <v>6489.5999999999995</v>
      </c>
      <c r="H100">
        <v>4</v>
      </c>
      <c r="I100">
        <v>6489.5999999999995</v>
      </c>
      <c r="J100">
        <v>7</v>
      </c>
      <c r="K100">
        <v>11356.8</v>
      </c>
      <c r="L100">
        <v>10.182364166854351</v>
      </c>
      <c r="M100">
        <v>16519.867624304497</v>
      </c>
      <c r="N100">
        <v>11.542676216260846</v>
      </c>
      <c r="O100">
        <v>18726.837893261596</v>
      </c>
      <c r="P100">
        <v>9.489312488992228</v>
      </c>
      <c r="Q100">
        <v>15395.46058214099</v>
      </c>
      <c r="R100">
        <v>11.486738071801124</v>
      </c>
      <c r="S100">
        <v>18636.083847690141</v>
      </c>
      <c r="T100">
        <v>32.286757228372615</v>
      </c>
      <c r="U100">
        <v>52382.034927311724</v>
      </c>
      <c r="V100">
        <v>20.39372821554992</v>
      </c>
      <c r="W100">
        <v>33086.784656908188</v>
      </c>
      <c r="X100">
        <v>28.496522252809683</v>
      </c>
      <c r="Y100">
        <v>46232.757702958428</v>
      </c>
      <c r="Z100">
        <v>32.4280518305412</v>
      </c>
      <c r="AA100">
        <v>52611.271289870041</v>
      </c>
      <c r="AB100">
        <v>7.2624194231962615</v>
      </c>
      <c r="AC100">
        <v>11782.549272193613</v>
      </c>
      <c r="AD100">
        <v>8.4084751396467645</v>
      </c>
      <c r="AE100">
        <v>13641.91006656291</v>
      </c>
      <c r="AF100">
        <v>10.272815944494523</v>
      </c>
      <c r="AG100">
        <v>16666.616588347912</v>
      </c>
      <c r="AH100">
        <v>8.3889417431061766</v>
      </c>
      <c r="AI100">
        <v>13610.21908401546</v>
      </c>
      <c r="AJ100">
        <v>10.27291209461386</v>
      </c>
      <c r="AK100">
        <v>16666.772582301524</v>
      </c>
      <c r="AL100">
        <v>10.205128838342571</v>
      </c>
      <c r="AM100">
        <v>16556.801027326987</v>
      </c>
      <c r="AN100">
        <v>9.1957034541411353</v>
      </c>
      <c r="AO100">
        <v>14919.109283998576</v>
      </c>
      <c r="AP100">
        <v>14.312146631934242</v>
      </c>
      <c r="AQ100">
        <v>23220.026695650111</v>
      </c>
      <c r="AR100">
        <v>15.457276821991101</v>
      </c>
      <c r="AS100">
        <v>25077.885915998362</v>
      </c>
      <c r="AT100">
        <v>19</v>
      </c>
      <c r="AU100">
        <v>30825.599999999999</v>
      </c>
      <c r="AV100">
        <v>19.799996397545755</v>
      </c>
      <c r="AW100">
        <v>32123.51415537823</v>
      </c>
      <c r="AX100">
        <v>13.724777401254793</v>
      </c>
      <c r="AY100">
        <v>22267.078855795775</v>
      </c>
      <c r="AZ100">
        <v>5.3758613727319151</v>
      </c>
      <c r="BA100">
        <v>8721.7974911202582</v>
      </c>
      <c r="BB100">
        <v>7.2483074475812836</v>
      </c>
      <c r="BC100">
        <v>11759.654002955873</v>
      </c>
      <c r="BD100">
        <v>5.4409347605268099</v>
      </c>
      <c r="BE100">
        <v>8827.3725554786961</v>
      </c>
      <c r="BF100">
        <v>6.3742230996652127</v>
      </c>
      <c r="BG100">
        <v>10341.53955689684</v>
      </c>
      <c r="BH100">
        <v>26.783253599076936</v>
      </c>
      <c r="BI100">
        <v>43453.150639142419</v>
      </c>
      <c r="BJ100">
        <v>30.575095159043286</v>
      </c>
      <c r="BK100">
        <v>49605.034386031824</v>
      </c>
      <c r="BL100">
        <v>17.445861270452504</v>
      </c>
      <c r="BM100">
        <v>28304.165325182141</v>
      </c>
      <c r="BN100">
        <v>21.767458636414069</v>
      </c>
      <c r="BO100">
        <v>35315.524891718182</v>
      </c>
      <c r="BP100">
        <v>6</v>
      </c>
      <c r="BQ100">
        <v>9734.4</v>
      </c>
      <c r="BR100">
        <v>6</v>
      </c>
      <c r="BS100">
        <v>9734.4</v>
      </c>
      <c r="BT100">
        <v>8</v>
      </c>
      <c r="BU100">
        <v>12979.199999999999</v>
      </c>
      <c r="BV100">
        <v>5</v>
      </c>
      <c r="BW100">
        <v>8111.9999999999991</v>
      </c>
      <c r="BX100">
        <v>4.9651556733650644</v>
      </c>
      <c r="BY100">
        <v>8055.4685644674801</v>
      </c>
      <c r="BZ100">
        <v>5.7131341930415607</v>
      </c>
      <c r="CA100">
        <v>9268.9889147906269</v>
      </c>
      <c r="CB100">
        <v>5.7945838322601082</v>
      </c>
      <c r="CC100">
        <v>9401.1328094587989</v>
      </c>
      <c r="CD100">
        <v>7</v>
      </c>
      <c r="CE100">
        <v>11356.8</v>
      </c>
      <c r="CF100">
        <v>15</v>
      </c>
      <c r="CG100">
        <v>24335.999999999996</v>
      </c>
      <c r="CH100">
        <v>25</v>
      </c>
      <c r="CI100">
        <v>40560</v>
      </c>
      <c r="CJ100">
        <v>18</v>
      </c>
      <c r="CK100">
        <v>29203.199999999997</v>
      </c>
      <c r="CL100">
        <v>22.917133668952527</v>
      </c>
      <c r="CM100">
        <v>37180.757664508579</v>
      </c>
      <c r="CN100">
        <v>34</v>
      </c>
      <c r="CO100">
        <v>55161.599999999999</v>
      </c>
      <c r="CP100">
        <v>39</v>
      </c>
      <c r="CQ100">
        <v>63273.599999999991</v>
      </c>
      <c r="CR100">
        <v>56.288331753918349</v>
      </c>
      <c r="CS100">
        <v>91322.189437557128</v>
      </c>
      <c r="CT100">
        <v>63.223396479773577</v>
      </c>
      <c r="CU100">
        <v>102573.63844878464</v>
      </c>
    </row>
    <row r="101" spans="2:99" x14ac:dyDescent="0.2">
      <c r="C101" s="105" t="s">
        <v>267</v>
      </c>
      <c r="D101">
        <v>6</v>
      </c>
      <c r="E101">
        <v>7142.4</v>
      </c>
      <c r="F101">
        <v>4</v>
      </c>
      <c r="G101">
        <v>4761.5999999999995</v>
      </c>
      <c r="H101">
        <v>4</v>
      </c>
      <c r="I101">
        <v>4761.5999999999995</v>
      </c>
      <c r="J101">
        <v>6</v>
      </c>
      <c r="K101">
        <v>7142.4</v>
      </c>
      <c r="L101">
        <v>10</v>
      </c>
      <c r="M101">
        <v>11903.999999999998</v>
      </c>
      <c r="N101">
        <v>11.592010417739104</v>
      </c>
      <c r="O101">
        <v>13799.129201276628</v>
      </c>
      <c r="P101">
        <v>10.538243737891451</v>
      </c>
      <c r="Q101">
        <v>12544.725345585981</v>
      </c>
      <c r="R101">
        <v>12.486738071801124</v>
      </c>
      <c r="S101">
        <v>14864.213000672056</v>
      </c>
      <c r="T101">
        <v>30.327722546711563</v>
      </c>
      <c r="U101">
        <v>36102.120919605441</v>
      </c>
      <c r="V101">
        <v>20.349980636044371</v>
      </c>
      <c r="W101">
        <v>24224.616949147217</v>
      </c>
      <c r="X101">
        <v>29.455145398408874</v>
      </c>
      <c r="Y101">
        <v>35063.405082265919</v>
      </c>
      <c r="Z101">
        <v>33.4280518305412</v>
      </c>
      <c r="AA101">
        <v>39792.752899076237</v>
      </c>
      <c r="AB101">
        <v>7.2624194231962615</v>
      </c>
      <c r="AC101">
        <v>8645.1840813728286</v>
      </c>
      <c r="AD101">
        <v>8.3744355446762011</v>
      </c>
      <c r="AE101">
        <v>9968.9280723825486</v>
      </c>
      <c r="AF101">
        <v>10.306917937556339</v>
      </c>
      <c r="AG101">
        <v>12269.355112867064</v>
      </c>
      <c r="AH101">
        <v>7.3889417431061757</v>
      </c>
      <c r="AI101">
        <v>8795.7962509935896</v>
      </c>
      <c r="AJ101">
        <v>10.311899536701555</v>
      </c>
      <c r="AK101">
        <v>12275.285208489529</v>
      </c>
      <c r="AL101">
        <v>10.205128838342571</v>
      </c>
      <c r="AM101">
        <v>12148.185369162995</v>
      </c>
      <c r="AN101">
        <v>11.215273799555249</v>
      </c>
      <c r="AO101">
        <v>13350.661930990565</v>
      </c>
      <c r="AP101">
        <v>14.360169190693357</v>
      </c>
      <c r="AQ101">
        <v>17094.345404601369</v>
      </c>
      <c r="AR101">
        <v>14.533489625656285</v>
      </c>
      <c r="AS101">
        <v>17300.666050381242</v>
      </c>
      <c r="AT101">
        <v>17</v>
      </c>
      <c r="AU101">
        <v>20236.8</v>
      </c>
      <c r="AV101">
        <v>21.99999549693219</v>
      </c>
      <c r="AW101">
        <v>26188.794639548076</v>
      </c>
      <c r="AX101">
        <v>15.652299661129314</v>
      </c>
      <c r="AY101">
        <v>18632.497516608335</v>
      </c>
      <c r="AZ101">
        <v>5.3758613727319151</v>
      </c>
      <c r="BA101">
        <v>6399.4253781000707</v>
      </c>
      <c r="BB101">
        <v>7.2979689370975409</v>
      </c>
      <c r="BC101">
        <v>8687.502222720912</v>
      </c>
      <c r="BD101">
        <v>6.3919420093571642</v>
      </c>
      <c r="BE101">
        <v>7608.9677679387678</v>
      </c>
      <c r="BF101">
        <v>6.4210009871233646</v>
      </c>
      <c r="BG101">
        <v>7643.559575071652</v>
      </c>
      <c r="BH101">
        <v>30.841997619007707</v>
      </c>
      <c r="BI101">
        <v>36714.31396566677</v>
      </c>
      <c r="BJ101">
        <v>31.60123584809071</v>
      </c>
      <c r="BK101">
        <v>37618.111153567173</v>
      </c>
      <c r="BL101">
        <v>20.465246543080873</v>
      </c>
      <c r="BM101">
        <v>24361.82948488347</v>
      </c>
      <c r="BN101">
        <v>25.395368409149746</v>
      </c>
      <c r="BO101">
        <v>30230.646554251856</v>
      </c>
      <c r="BP101">
        <v>6</v>
      </c>
      <c r="BQ101">
        <v>7142.4</v>
      </c>
      <c r="BR101">
        <v>6</v>
      </c>
      <c r="BS101">
        <v>7142.4</v>
      </c>
      <c r="BT101">
        <v>8</v>
      </c>
      <c r="BU101">
        <v>9523.1999999999989</v>
      </c>
      <c r="BV101">
        <v>5</v>
      </c>
      <c r="BW101">
        <v>5951.9999999999991</v>
      </c>
      <c r="BX101">
        <v>4.8686401060285576</v>
      </c>
      <c r="BY101">
        <v>5795.6291822163939</v>
      </c>
      <c r="BZ101">
        <v>6.7606764725776642</v>
      </c>
      <c r="CA101">
        <v>8047.9092729564509</v>
      </c>
      <c r="CB101">
        <v>5.7945838322601082</v>
      </c>
      <c r="CC101">
        <v>6897.8725939224323</v>
      </c>
      <c r="CD101">
        <v>6</v>
      </c>
      <c r="CE101">
        <v>7142.4</v>
      </c>
      <c r="CF101">
        <v>18</v>
      </c>
      <c r="CG101">
        <v>21427.199999999997</v>
      </c>
      <c r="CH101">
        <v>28</v>
      </c>
      <c r="CI101">
        <v>33331.199999999997</v>
      </c>
      <c r="CJ101">
        <v>19</v>
      </c>
      <c r="CK101">
        <v>22617.599999999999</v>
      </c>
      <c r="CL101">
        <v>23</v>
      </c>
      <c r="CM101">
        <v>27379.199999999997</v>
      </c>
      <c r="CN101">
        <v>41</v>
      </c>
      <c r="CO101">
        <v>48806.399999999994</v>
      </c>
      <c r="CP101">
        <v>42</v>
      </c>
      <c r="CQ101">
        <v>49996.799999999996</v>
      </c>
      <c r="CR101">
        <v>57.312359400078208</v>
      </c>
      <c r="CS101">
        <v>68224.632629853091</v>
      </c>
      <c r="CT101">
        <v>70.248218310859528</v>
      </c>
      <c r="CU101">
        <v>83623.479077247175</v>
      </c>
    </row>
    <row r="102" spans="2:99" x14ac:dyDescent="0.2">
      <c r="C102" s="105" t="s">
        <v>268</v>
      </c>
      <c r="D102">
        <v>5</v>
      </c>
      <c r="E102">
        <v>9696</v>
      </c>
      <c r="F102">
        <v>4</v>
      </c>
      <c r="G102">
        <v>7756.7999999999993</v>
      </c>
      <c r="H102">
        <v>4</v>
      </c>
      <c r="I102">
        <v>7756.7999999999993</v>
      </c>
      <c r="J102">
        <v>7</v>
      </c>
      <c r="K102">
        <v>13574.399999999998</v>
      </c>
      <c r="L102">
        <v>11</v>
      </c>
      <c r="M102">
        <v>21331.199999999997</v>
      </c>
      <c r="N102">
        <v>11.542676216260846</v>
      </c>
      <c r="O102">
        <v>22383.557718573029</v>
      </c>
      <c r="P102">
        <v>8.5382437378914506</v>
      </c>
      <c r="Q102">
        <v>16557.3622565191</v>
      </c>
      <c r="R102">
        <v>11.486738071801124</v>
      </c>
      <c r="S102">
        <v>22275.082468836739</v>
      </c>
      <c r="T102">
        <v>28.286757228372618</v>
      </c>
      <c r="U102">
        <v>54853.679617260175</v>
      </c>
      <c r="V102">
        <v>18.39372821554992</v>
      </c>
      <c r="W102">
        <v>35669.117755594401</v>
      </c>
      <c r="X102">
        <v>23.455145398408874</v>
      </c>
      <c r="Y102">
        <v>45484.217956594483</v>
      </c>
      <c r="Z102">
        <v>29.470857013595317</v>
      </c>
      <c r="AA102">
        <v>57149.885920764034</v>
      </c>
      <c r="AB102">
        <v>7.2296169952967286</v>
      </c>
      <c r="AC102">
        <v>14019.673277279415</v>
      </c>
      <c r="AD102">
        <v>8.3744355446762011</v>
      </c>
      <c r="AE102">
        <v>16239.705408236088</v>
      </c>
      <c r="AF102">
        <v>10.272815944494523</v>
      </c>
      <c r="AG102">
        <v>19921.044679563776</v>
      </c>
      <c r="AH102">
        <v>7.3889417431061757</v>
      </c>
      <c r="AI102">
        <v>14328.635828231494</v>
      </c>
      <c r="AJ102">
        <v>9.3118995367015547</v>
      </c>
      <c r="AK102">
        <v>18057.635581571652</v>
      </c>
      <c r="AL102">
        <v>10.186480762129611</v>
      </c>
      <c r="AM102">
        <v>19753.623493921739</v>
      </c>
      <c r="AN102">
        <v>9.1957034541411353</v>
      </c>
      <c r="AO102">
        <v>17832.308138270488</v>
      </c>
      <c r="AP102">
        <v>16.360169190693359</v>
      </c>
      <c r="AQ102">
        <v>31725.64009459256</v>
      </c>
      <c r="AR102">
        <v>13.41917042015851</v>
      </c>
      <c r="AS102">
        <v>26022.45527877138</v>
      </c>
      <c r="AT102">
        <v>18</v>
      </c>
      <c r="AU102">
        <v>34905.599999999999</v>
      </c>
      <c r="AV102">
        <v>19.799996397545755</v>
      </c>
      <c r="AW102">
        <v>38396.153014120726</v>
      </c>
      <c r="AX102">
        <v>13.616060791066575</v>
      </c>
      <c r="AY102">
        <v>26404.265086036299</v>
      </c>
      <c r="AZ102">
        <v>5.3288787011404253</v>
      </c>
      <c r="BA102">
        <v>10333.761577251511</v>
      </c>
      <c r="BB102">
        <v>7.2483074475812836</v>
      </c>
      <c r="BC102">
        <v>14055.917802349624</v>
      </c>
      <c r="BD102">
        <v>5.3919420093571642</v>
      </c>
      <c r="BE102">
        <v>10456.053944545412</v>
      </c>
      <c r="BF102">
        <v>5.4210009871233646</v>
      </c>
      <c r="BG102">
        <v>10512.405114229628</v>
      </c>
      <c r="BH102">
        <v>23.744090919123089</v>
      </c>
      <c r="BI102">
        <v>46044.541110363491</v>
      </c>
      <c r="BJ102">
        <v>29.522813780948443</v>
      </c>
      <c r="BK102">
        <v>57250.640484015217</v>
      </c>
      <c r="BL102">
        <v>19.465246543080873</v>
      </c>
      <c r="BM102">
        <v>37747.006096342426</v>
      </c>
      <c r="BN102">
        <v>21.767458636414069</v>
      </c>
      <c r="BO102">
        <v>42211.455787734158</v>
      </c>
      <c r="BP102">
        <v>6</v>
      </c>
      <c r="BQ102">
        <v>11635.199999999999</v>
      </c>
      <c r="BR102">
        <v>7</v>
      </c>
      <c r="BS102">
        <v>13574.399999999998</v>
      </c>
      <c r="BT102">
        <v>8</v>
      </c>
      <c r="BU102">
        <v>15513.599999999999</v>
      </c>
      <c r="BV102">
        <v>5</v>
      </c>
      <c r="BW102">
        <v>9696</v>
      </c>
      <c r="BX102">
        <v>5.8203823223603051</v>
      </c>
      <c r="BY102">
        <v>11286.885399521103</v>
      </c>
      <c r="BZ102">
        <v>5.7606764725776642</v>
      </c>
      <c r="CA102">
        <v>11171.103815622606</v>
      </c>
      <c r="CB102">
        <v>5.7449223427438518</v>
      </c>
      <c r="CC102">
        <v>11140.553407048876</v>
      </c>
      <c r="CD102">
        <v>7</v>
      </c>
      <c r="CE102">
        <v>13574.399999999998</v>
      </c>
      <c r="CF102">
        <v>14</v>
      </c>
      <c r="CG102">
        <v>27148.799999999996</v>
      </c>
      <c r="CH102">
        <v>25</v>
      </c>
      <c r="CI102">
        <v>48479.999999999993</v>
      </c>
      <c r="CJ102">
        <v>15</v>
      </c>
      <c r="CK102">
        <v>29087.999999999996</v>
      </c>
      <c r="CL102">
        <v>21</v>
      </c>
      <c r="CM102">
        <v>40723.199999999997</v>
      </c>
      <c r="CN102">
        <v>36</v>
      </c>
      <c r="CO102">
        <v>69811.199999999997</v>
      </c>
      <c r="CP102">
        <v>33</v>
      </c>
      <c r="CQ102">
        <v>63993.599999999991</v>
      </c>
      <c r="CR102">
        <v>56.312359400078208</v>
      </c>
      <c r="CS102">
        <v>109200.92734863165</v>
      </c>
      <c r="CT102">
        <v>62.198574648687625</v>
      </c>
      <c r="CU102">
        <v>120615.47595873503</v>
      </c>
    </row>
    <row r="103" spans="2:99" x14ac:dyDescent="0.2">
      <c r="C103" s="105" t="s">
        <v>269</v>
      </c>
      <c r="D103">
        <v>6</v>
      </c>
      <c r="E103">
        <v>12168</v>
      </c>
      <c r="F103">
        <v>4</v>
      </c>
      <c r="G103">
        <v>8112</v>
      </c>
      <c r="H103">
        <v>5</v>
      </c>
      <c r="I103">
        <v>10140</v>
      </c>
      <c r="J103">
        <v>7</v>
      </c>
      <c r="K103">
        <v>14196</v>
      </c>
      <c r="L103">
        <v>11</v>
      </c>
      <c r="M103">
        <v>22308</v>
      </c>
      <c r="N103">
        <v>11.542676216260846</v>
      </c>
      <c r="O103">
        <v>23408.547366576997</v>
      </c>
      <c r="P103">
        <v>9.5382437378914506</v>
      </c>
      <c r="Q103">
        <v>19343.558300443863</v>
      </c>
      <c r="R103">
        <v>12.535411878981236</v>
      </c>
      <c r="S103">
        <v>25421.815290573948</v>
      </c>
      <c r="T103">
        <v>31.286757228372618</v>
      </c>
      <c r="U103">
        <v>63449.543659139672</v>
      </c>
      <c r="V103">
        <v>17.39372821554992</v>
      </c>
      <c r="W103">
        <v>35274.480821135236</v>
      </c>
      <c r="X103">
        <v>26.455145398408874</v>
      </c>
      <c r="Y103">
        <v>53651.034867973198</v>
      </c>
      <c r="Z103">
        <v>27.513662196649438</v>
      </c>
      <c r="AA103">
        <v>55797.706934805057</v>
      </c>
      <c r="AB103">
        <v>6.2624194231962615</v>
      </c>
      <c r="AC103">
        <v>12700.186590242018</v>
      </c>
      <c r="AD103">
        <v>7.3744355446762011</v>
      </c>
      <c r="AE103">
        <v>14955.355284603336</v>
      </c>
      <c r="AF103">
        <v>10.306917937556339</v>
      </c>
      <c r="AG103">
        <v>20902.429577364255</v>
      </c>
      <c r="AH103">
        <v>7.3535834028237961</v>
      </c>
      <c r="AI103">
        <v>14913.067140926658</v>
      </c>
      <c r="AJ103">
        <v>8.3118995367015547</v>
      </c>
      <c r="AK103">
        <v>16856.532260430751</v>
      </c>
      <c r="AL103">
        <v>9.1678326859166486</v>
      </c>
      <c r="AM103">
        <v>18592.364687038964</v>
      </c>
      <c r="AN103">
        <v>8.1957034541411353</v>
      </c>
      <c r="AO103">
        <v>16620.886604998221</v>
      </c>
      <c r="AP103">
        <v>14.3361579113138</v>
      </c>
      <c r="AQ103">
        <v>29073.728244144386</v>
      </c>
      <c r="AR103">
        <v>14.495383223823694</v>
      </c>
      <c r="AS103">
        <v>29396.63717791445</v>
      </c>
      <c r="AT103">
        <v>16</v>
      </c>
      <c r="AU103">
        <v>32448</v>
      </c>
      <c r="AV103">
        <v>19.89999594723897</v>
      </c>
      <c r="AW103">
        <v>40357.191781000634</v>
      </c>
      <c r="AX103">
        <v>13.616060791066575</v>
      </c>
      <c r="AY103">
        <v>27613.371284283014</v>
      </c>
      <c r="AZ103">
        <v>5.3758613727319151</v>
      </c>
      <c r="BA103">
        <v>10902.246863900324</v>
      </c>
      <c r="BB103">
        <v>7.2483074475812836</v>
      </c>
      <c r="BC103">
        <v>14699.567503694843</v>
      </c>
      <c r="BD103">
        <v>5.3429492581875193</v>
      </c>
      <c r="BE103">
        <v>10835.50109560429</v>
      </c>
      <c r="BF103">
        <v>5.4210009871233646</v>
      </c>
      <c r="BG103">
        <v>10993.790001886184</v>
      </c>
      <c r="BH103">
        <v>23.724509579146165</v>
      </c>
      <c r="BI103">
        <v>48113.305426508421</v>
      </c>
      <c r="BJ103">
        <v>29.4705324028536</v>
      </c>
      <c r="BK103">
        <v>59766.239712987102</v>
      </c>
      <c r="BL103">
        <v>18.407090725195761</v>
      </c>
      <c r="BM103">
        <v>37329.579990697006</v>
      </c>
      <c r="BN103">
        <v>19.953503750046231</v>
      </c>
      <c r="BO103">
        <v>40465.705605093754</v>
      </c>
      <c r="BP103">
        <v>5</v>
      </c>
      <c r="BQ103">
        <v>10140</v>
      </c>
      <c r="BR103">
        <v>6</v>
      </c>
      <c r="BS103">
        <v>12168</v>
      </c>
      <c r="BT103">
        <v>7</v>
      </c>
      <c r="BU103">
        <v>14196</v>
      </c>
      <c r="BV103">
        <v>5</v>
      </c>
      <c r="BW103">
        <v>10140</v>
      </c>
      <c r="BX103">
        <v>4.916897889696811</v>
      </c>
      <c r="BY103">
        <v>9971.468920305133</v>
      </c>
      <c r="BZ103">
        <v>6.7131341930415607</v>
      </c>
      <c r="CA103">
        <v>13614.236143488284</v>
      </c>
      <c r="CB103">
        <v>5.7945838322601082</v>
      </c>
      <c r="CC103">
        <v>11751.4160118235</v>
      </c>
      <c r="CD103">
        <v>7</v>
      </c>
      <c r="CE103">
        <v>14196</v>
      </c>
      <c r="CF103">
        <v>15</v>
      </c>
      <c r="CG103">
        <v>30420</v>
      </c>
      <c r="CH103">
        <v>25</v>
      </c>
      <c r="CI103">
        <v>50700</v>
      </c>
      <c r="CJ103">
        <v>16</v>
      </c>
      <c r="CK103">
        <v>32448</v>
      </c>
      <c r="CL103">
        <v>19</v>
      </c>
      <c r="CM103">
        <v>38532</v>
      </c>
      <c r="CN103">
        <v>31</v>
      </c>
      <c r="CO103">
        <v>62868</v>
      </c>
      <c r="CP103">
        <v>35</v>
      </c>
      <c r="CQ103">
        <v>70980</v>
      </c>
      <c r="CR103">
        <v>60.336387046238073</v>
      </c>
      <c r="CS103">
        <v>122362.19292977081</v>
      </c>
      <c r="CT103">
        <v>54.223396479773577</v>
      </c>
      <c r="CU103">
        <v>109965.04806098081</v>
      </c>
    </row>
    <row r="104" spans="2:99" x14ac:dyDescent="0.2">
      <c r="C104" s="105" t="s">
        <v>270</v>
      </c>
      <c r="D104">
        <v>6</v>
      </c>
      <c r="E104">
        <v>12434.400000000001</v>
      </c>
      <c r="F104">
        <v>4</v>
      </c>
      <c r="G104">
        <v>8289.6</v>
      </c>
      <c r="H104">
        <v>4</v>
      </c>
      <c r="I104">
        <v>8289.6</v>
      </c>
      <c r="J104">
        <v>6</v>
      </c>
      <c r="K104">
        <v>12434.400000000001</v>
      </c>
      <c r="L104">
        <v>11</v>
      </c>
      <c r="M104">
        <v>22796.400000000001</v>
      </c>
      <c r="N104">
        <v>11.493342014782586</v>
      </c>
      <c r="O104">
        <v>23818.801991435434</v>
      </c>
      <c r="P104">
        <v>8.489312488992228</v>
      </c>
      <c r="Q104">
        <v>17593.251202187494</v>
      </c>
      <c r="R104">
        <v>11.486738071801124</v>
      </c>
      <c r="S104">
        <v>23805.11598000065</v>
      </c>
      <c r="T104">
        <v>27.245791910033674</v>
      </c>
      <c r="U104">
        <v>56464.179154353791</v>
      </c>
      <c r="V104">
        <v>19.437475795055466</v>
      </c>
      <c r="W104">
        <v>40282.224837672948</v>
      </c>
      <c r="X104">
        <v>22.496522252809683</v>
      </c>
      <c r="Y104">
        <v>46621.79271672279</v>
      </c>
      <c r="Z104">
        <v>30.470857013595317</v>
      </c>
      <c r="AA104">
        <v>63147.804074974942</v>
      </c>
      <c r="AB104">
        <v>7.2624194231962615</v>
      </c>
      <c r="AC104">
        <v>15050.638012631933</v>
      </c>
      <c r="AD104">
        <v>7.4084751396467645</v>
      </c>
      <c r="AE104">
        <v>15353.323879403955</v>
      </c>
      <c r="AF104">
        <v>10.306917937556339</v>
      </c>
      <c r="AG104">
        <v>21360.056733791756</v>
      </c>
      <c r="AH104">
        <v>7.3889417431061757</v>
      </c>
      <c r="AI104">
        <v>15312.84286841324</v>
      </c>
      <c r="AJ104">
        <v>9.2924058156577072</v>
      </c>
      <c r="AK104">
        <v>19257.581812369033</v>
      </c>
      <c r="AL104">
        <v>9.1678326859166486</v>
      </c>
      <c r="AM104">
        <v>18999.416458293665</v>
      </c>
      <c r="AN104">
        <v>9.1761331087270221</v>
      </c>
      <c r="AO104">
        <v>19016.618254525882</v>
      </c>
      <c r="AP104">
        <v>14.312146631934242</v>
      </c>
      <c r="AQ104">
        <v>29660.492680020525</v>
      </c>
      <c r="AR104">
        <v>13.457276821991101</v>
      </c>
      <c r="AS104">
        <v>27888.860485894358</v>
      </c>
      <c r="AT104">
        <v>16</v>
      </c>
      <c r="AU104">
        <v>33158.400000000001</v>
      </c>
      <c r="AV104">
        <v>18.799996397545755</v>
      </c>
      <c r="AW104">
        <v>38961.112534273823</v>
      </c>
      <c r="AX104">
        <v>12.688538531192053</v>
      </c>
      <c r="AY104">
        <v>26295.727252042412</v>
      </c>
      <c r="AZ104">
        <v>4.3288787011404253</v>
      </c>
      <c r="BA104">
        <v>8971.1682202434185</v>
      </c>
      <c r="BB104">
        <v>7.2483074475812836</v>
      </c>
      <c r="BC104">
        <v>15021.392354367454</v>
      </c>
      <c r="BD104">
        <v>6.3429492581875193</v>
      </c>
      <c r="BE104">
        <v>13145.128042667815</v>
      </c>
      <c r="BF104">
        <v>5.4210009871233646</v>
      </c>
      <c r="BG104">
        <v>11234.48244571446</v>
      </c>
      <c r="BH104">
        <v>25.763672259100012</v>
      </c>
      <c r="BI104">
        <v>53392.634389758867</v>
      </c>
      <c r="BJ104">
        <v>29.49667309190102</v>
      </c>
      <c r="BK104">
        <v>61128.905315655677</v>
      </c>
      <c r="BL104">
        <v>16.465246543080873</v>
      </c>
      <c r="BM104">
        <v>34122.576935880803</v>
      </c>
      <c r="BN104">
        <v>23.581413522781908</v>
      </c>
      <c r="BO104">
        <v>48870.12138461323</v>
      </c>
      <c r="BP104">
        <v>6</v>
      </c>
      <c r="BQ104">
        <v>12434.400000000001</v>
      </c>
      <c r="BR104">
        <v>6</v>
      </c>
      <c r="BS104">
        <v>12434.400000000001</v>
      </c>
      <c r="BT104">
        <v>8.768458802179941</v>
      </c>
      <c r="BU104">
        <v>18171.754021637709</v>
      </c>
      <c r="BV104">
        <v>5</v>
      </c>
      <c r="BW104">
        <v>10362</v>
      </c>
      <c r="BX104">
        <v>5.8203823223603051</v>
      </c>
      <c r="BY104">
        <v>12062.160324859497</v>
      </c>
      <c r="BZ104">
        <v>6.6655919135054562</v>
      </c>
      <c r="CA104">
        <v>13813.772681548708</v>
      </c>
      <c r="CB104">
        <v>5.7449223427438518</v>
      </c>
      <c r="CC104">
        <v>11905.77706310236</v>
      </c>
      <c r="CD104">
        <v>6</v>
      </c>
      <c r="CE104">
        <v>12434.400000000001</v>
      </c>
      <c r="CF104">
        <v>15</v>
      </c>
      <c r="CG104">
        <v>31086</v>
      </c>
      <c r="CH104">
        <v>25</v>
      </c>
      <c r="CI104">
        <v>51810</v>
      </c>
      <c r="CJ104">
        <v>18</v>
      </c>
      <c r="CK104">
        <v>37303.200000000004</v>
      </c>
      <c r="CL104">
        <v>21.643257430530738</v>
      </c>
      <c r="CM104">
        <v>44853.486699031906</v>
      </c>
      <c r="CN104">
        <v>33</v>
      </c>
      <c r="CO104">
        <v>68389.2</v>
      </c>
      <c r="CP104">
        <v>35</v>
      </c>
      <c r="CQ104">
        <v>72534</v>
      </c>
      <c r="CR104">
        <v>51.336387046238073</v>
      </c>
      <c r="CS104">
        <v>106389.52851462379</v>
      </c>
      <c r="CT104">
        <v>56.223396479773577</v>
      </c>
      <c r="CU104">
        <v>116517.36686468277</v>
      </c>
    </row>
    <row r="105" spans="2:99" x14ac:dyDescent="0.2">
      <c r="C105" s="105" t="s">
        <v>271</v>
      </c>
      <c r="D105">
        <v>6</v>
      </c>
      <c r="E105">
        <v>11988</v>
      </c>
      <c r="F105">
        <v>4</v>
      </c>
      <c r="G105">
        <v>7992</v>
      </c>
      <c r="H105">
        <v>4</v>
      </c>
      <c r="I105">
        <v>7992</v>
      </c>
      <c r="J105">
        <v>7</v>
      </c>
      <c r="K105">
        <v>13986</v>
      </c>
      <c r="L105">
        <v>11</v>
      </c>
      <c r="M105">
        <v>21978</v>
      </c>
      <c r="N105">
        <v>12.592010417739104</v>
      </c>
      <c r="O105">
        <v>25158.836814642731</v>
      </c>
      <c r="P105">
        <v>8.489312488992228</v>
      </c>
      <c r="Q105">
        <v>16961.646353006472</v>
      </c>
      <c r="R105">
        <v>13.438064264621012</v>
      </c>
      <c r="S105">
        <v>26849.252400712783</v>
      </c>
      <c r="T105">
        <v>32.286757228372615</v>
      </c>
      <c r="U105">
        <v>64508.940942288486</v>
      </c>
      <c r="V105">
        <v>20.39372821554992</v>
      </c>
      <c r="W105">
        <v>40746.668974668741</v>
      </c>
      <c r="X105">
        <v>24.413768544008068</v>
      </c>
      <c r="Y105">
        <v>48778.709550928121</v>
      </c>
      <c r="Z105">
        <v>26.470857013595317</v>
      </c>
      <c r="AA105">
        <v>52888.772313163441</v>
      </c>
      <c r="AB105">
        <v>6.2952218510957936</v>
      </c>
      <c r="AC105">
        <v>12577.853258489396</v>
      </c>
      <c r="AD105">
        <v>8.4084751396467645</v>
      </c>
      <c r="AE105">
        <v>16800.133329014236</v>
      </c>
      <c r="AF105">
        <v>10.272815944494523</v>
      </c>
      <c r="AG105">
        <v>20525.086257100058</v>
      </c>
      <c r="AH105">
        <v>6.3535834028237961</v>
      </c>
      <c r="AI105">
        <v>12694.459638841945</v>
      </c>
      <c r="AJ105">
        <v>9.3118995367015547</v>
      </c>
      <c r="AK105">
        <v>18605.175274329707</v>
      </c>
      <c r="AL105">
        <v>10.167832685916649</v>
      </c>
      <c r="AM105">
        <v>20315.329706461464</v>
      </c>
      <c r="AN105">
        <v>9.1957034541411353</v>
      </c>
      <c r="AO105">
        <v>18373.01550137399</v>
      </c>
      <c r="AP105">
        <v>15.360169190693357</v>
      </c>
      <c r="AQ105">
        <v>30689.618043005328</v>
      </c>
      <c r="AR105">
        <v>15.457276821991101</v>
      </c>
      <c r="AS105">
        <v>30883.63909033822</v>
      </c>
      <c r="AT105">
        <v>17</v>
      </c>
      <c r="AU105">
        <v>33966</v>
      </c>
      <c r="AV105">
        <v>19.849996172392363</v>
      </c>
      <c r="AW105">
        <v>39660.292352439938</v>
      </c>
      <c r="AX105">
        <v>12.616060791066575</v>
      </c>
      <c r="AY105">
        <v>25206.889460551018</v>
      </c>
      <c r="AZ105">
        <v>4.3758613727319151</v>
      </c>
      <c r="BA105">
        <v>8742.9710227183659</v>
      </c>
      <c r="BB105">
        <v>7.2483074475812836</v>
      </c>
      <c r="BC105">
        <v>14482.118280267405</v>
      </c>
      <c r="BD105">
        <v>5.4409347605268099</v>
      </c>
      <c r="BE105">
        <v>10870.987651532567</v>
      </c>
      <c r="BF105">
        <v>5.4677788745815166</v>
      </c>
      <c r="BG105">
        <v>10924.62219141387</v>
      </c>
      <c r="BH105">
        <v>25.665765559215394</v>
      </c>
      <c r="BI105">
        <v>51280.19958731236</v>
      </c>
      <c r="BJ105">
        <v>28.575095159043286</v>
      </c>
      <c r="BK105">
        <v>57093.040127768487</v>
      </c>
      <c r="BL105">
        <v>16.445861270452504</v>
      </c>
      <c r="BM105">
        <v>32858.830818364106</v>
      </c>
      <c r="BN105">
        <v>20.86048119323015</v>
      </c>
      <c r="BO105">
        <v>41679.241424073844</v>
      </c>
      <c r="BP105">
        <v>5</v>
      </c>
      <c r="BQ105">
        <v>9990</v>
      </c>
      <c r="BR105">
        <v>5</v>
      </c>
      <c r="BS105">
        <v>9990</v>
      </c>
      <c r="BT105">
        <v>8</v>
      </c>
      <c r="BU105">
        <v>15984</v>
      </c>
      <c r="BV105">
        <v>5</v>
      </c>
      <c r="BW105">
        <v>9990</v>
      </c>
      <c r="BX105">
        <v>4.916897889696811</v>
      </c>
      <c r="BY105">
        <v>9823.9619836142283</v>
      </c>
      <c r="BZ105">
        <v>5.7606764725776642</v>
      </c>
      <c r="CA105">
        <v>11509.831592210174</v>
      </c>
      <c r="CB105">
        <v>5</v>
      </c>
      <c r="CC105">
        <v>9990</v>
      </c>
      <c r="CD105">
        <v>7</v>
      </c>
      <c r="CE105">
        <v>13986</v>
      </c>
      <c r="CF105">
        <v>14</v>
      </c>
      <c r="CG105">
        <v>27972</v>
      </c>
      <c r="CH105">
        <v>26</v>
      </c>
      <c r="CI105">
        <v>51948</v>
      </c>
      <c r="CJ105">
        <v>18</v>
      </c>
      <c r="CK105">
        <v>35964</v>
      </c>
      <c r="CL105">
        <v>22.944521292794704</v>
      </c>
      <c r="CM105">
        <v>45843.15354300382</v>
      </c>
      <c r="CN105">
        <v>33</v>
      </c>
      <c r="CO105">
        <v>65934</v>
      </c>
      <c r="CP105">
        <v>38</v>
      </c>
      <c r="CQ105">
        <v>75924</v>
      </c>
      <c r="CR105">
        <v>53.312359400078208</v>
      </c>
      <c r="CS105">
        <v>106518.09408135626</v>
      </c>
      <c r="CT105">
        <v>54.198574648687625</v>
      </c>
      <c r="CU105">
        <v>108288.75214807788</v>
      </c>
    </row>
    <row r="107" spans="2:99" x14ac:dyDescent="0.2">
      <c r="B107" s="108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>
        <f>SUM(D$6:D$19)+SUM(F$6:F$19)+SUM(H$6:H$19)+SUM(J$6:J$19)</f>
        <v>302</v>
      </c>
      <c r="E109">
        <f>SUM(L$6:L$19)+SUM(N$6:N$19)+SUM(P$6:P$19)+SUM(R$6:R$19)</f>
        <v>279</v>
      </c>
      <c r="F109">
        <f>SUM(T$6:T$19)+SUM(V$6:V$19)+SUM(X$6:X$19)+SUM(Z$6:Z$19)</f>
        <v>3669</v>
      </c>
      <c r="G109">
        <f>SUM(AB$6:AB$19)+SUM(AD$6:AD$19)+SUM(AF$6:AF$19)+SUM(AH$6:AH$19)</f>
        <v>364</v>
      </c>
      <c r="H109">
        <f>SUM(AJ$6:AJ$19)+SUM(AL$6:AL$19)+SUM(AN$6:AN$19)+SUM(AP$6:AP$19)</f>
        <v>317</v>
      </c>
      <c r="I109">
        <f>SUM(AR$6:AR$19)+SUM(AT$6:AT$19)+SUM(AV$6:AV$19)+SUM(AX$6:AX$19)</f>
        <v>289</v>
      </c>
      <c r="J109">
        <f>SUM(AZ$6:AZ$19)+SUM(BB$6:BB$19)+SUM(BD$6:BD$19)+SUM(BF$6:BF$19)</f>
        <v>1229</v>
      </c>
      <c r="K109">
        <f>SUM(BH$6:BH$19)+SUM(BJ$6:BJ$19)+SUM(BL$6:BL$19)+SUM(BN$6:BN$19)</f>
        <v>1032.5736416426575</v>
      </c>
      <c r="L109">
        <f>SUM(BP$6:BP$19)+SUM(BR$6:BR$19)+SUM(BT$6:BT$19)+SUM(BV$6:BV$19)</f>
        <v>1398</v>
      </c>
      <c r="M109">
        <f>SUM(BX$6:BX$19)+SUM(BZ$6:BZ$19)+SUM(CB$6:CB$19)+SUM(CD$6:CD$19)</f>
        <v>3008</v>
      </c>
      <c r="N109">
        <f>SUM(CF$6:CF$19)+SUM(CH$6:CH$19)+SUM(CJ$6:CJ$19)+SUM(CL$6:CL$19)</f>
        <v>504.79933358588903</v>
      </c>
      <c r="O109">
        <f>SUM(CN$6:CN$19)+SUM(CP$6:CP$19)+SUM(CR$6:CR$19)+SUM(CT$6:CT$19)</f>
        <v>1161.7334697303829</v>
      </c>
    </row>
    <row r="110" spans="2:99" x14ac:dyDescent="0.2">
      <c r="C110" s="105" t="s">
        <v>127</v>
      </c>
      <c r="D110">
        <f>SUM(D$20:D$36)+SUM(F$20:F$36)+SUM(H$20:H$36)+SUM(J$20:J$36)</f>
        <v>4678</v>
      </c>
      <c r="E110">
        <f>SUM(L$20:L$36)+SUM(N$20:N$36)+SUM(P$20:P$36)+SUM(R$20:R$36)</f>
        <v>783</v>
      </c>
      <c r="F110">
        <f>SUM(T$20:T$36)+SUM(V$20:V$36)+SUM(X$20:X$36)+SUM(Z$20:Z$36)</f>
        <v>1780</v>
      </c>
      <c r="G110">
        <f>SUM(AB$20:AB$36)+SUM(AD$20:AD$36)+SUM(AF$20:AF$36)+SUM(AH$20:AH$36)</f>
        <v>674</v>
      </c>
      <c r="H110">
        <f>SUM(AJ$20:AJ$36)+SUM(AL$20:AL$36)+SUM(AN$20:AN$36)+SUM(AP$20:AP$36)</f>
        <v>876</v>
      </c>
      <c r="I110">
        <f>SUM(AR$20:AR$36)+SUM(AT$20:AT$36)+SUM(AV$20:AV$36)+SUM(AX$20:AX$36)</f>
        <v>326</v>
      </c>
      <c r="J110">
        <f>SUM(AZ$20:AZ$36)+SUM(BB$20:BB$36)+SUM(BD$20:BD$36)+SUM(BF$20:BF$36)</f>
        <v>312.79299922872372</v>
      </c>
      <c r="K110">
        <f>SUM(BH$20:BH$36)+SUM(BJ$20:BJ$36)+SUM(BL$20:BL$36)+SUM(BN$20:BN$36)</f>
        <v>500.88262993698811</v>
      </c>
      <c r="L110">
        <f>SUM(BP$20:BP$36)+SUM(BR$20:BR$36)+SUM(BT$20:BT$36)+SUM(BV$20:BV$36)</f>
        <v>498</v>
      </c>
      <c r="M110">
        <f>SUM(BX$20:BX$36)+SUM(BZ$20:BZ$36)+SUM(CB$20:CB$36)+SUM(CD$20:CD$36)</f>
        <v>461</v>
      </c>
      <c r="N110">
        <f>SUM(CF$20:CF$36)+SUM(CH$20:CH$36)+SUM(CJ$20:CJ$36)+SUM(CL$20:CL$36)</f>
        <v>3536</v>
      </c>
      <c r="O110">
        <f>SUM(CN$20:CN$36)+SUM(CP$20:CP$36)+SUM(CR$20:CR$36)+SUM(CT$20:CT$36)</f>
        <v>1032.2864092204782</v>
      </c>
    </row>
    <row r="111" spans="2:99" x14ac:dyDescent="0.2">
      <c r="C111" s="105" t="s">
        <v>128</v>
      </c>
      <c r="D111">
        <f>SUM(D$37:D$48)+SUM(F$37:F$48)+SUM(H$37:H$48)+SUM(J$37:J$48)</f>
        <v>887</v>
      </c>
      <c r="E111">
        <f>SUM(L$37:L$48)+SUM(N$37:N$48)+SUM(P$37:P$48)+SUM(R$37:R$48)</f>
        <v>251</v>
      </c>
      <c r="F111">
        <f>SUM(T$37:T$48)+SUM(V$37:V$48)+SUM(X$37:X$48)+SUM(Z$37:Z$48)</f>
        <v>446</v>
      </c>
      <c r="G111">
        <f>SUM(AB$37:AB$48)+SUM(AD$37:AD$48)+SUM(AF$37:AF$48)+SUM(AH$37:AH$48)</f>
        <v>996</v>
      </c>
      <c r="H111">
        <f>SUM(AJ$37:AJ$48)+SUM(AL$37:AL$48)+SUM(AN$37:AN$48)+SUM(AP$37:AP$48)</f>
        <v>955</v>
      </c>
      <c r="I111">
        <f>SUM(AR$37:AR$48)+SUM(AT$37:AT$48)+SUM(AV$37:AV$48)+SUM(AX$37:AX$48)</f>
        <v>3450</v>
      </c>
      <c r="J111">
        <f>SUM(AZ$37:AZ$48)+SUM(BB$37:BB$48)+SUM(BD$37:BD$48)+SUM(BF$37:BF$48)</f>
        <v>4029.7206982662856</v>
      </c>
      <c r="K111">
        <f>SUM(BH$37:BH$48)+SUM(BJ$37:BJ$48)+SUM(BL$37:BL$48)+SUM(BN$37:BN$48)</f>
        <v>383.72048316627729</v>
      </c>
      <c r="L111">
        <f>SUM(BP$37:BP$48)+SUM(BR$37:BR$48)+SUM(BT$37:BT$48)+SUM(BV$37:BV$48)</f>
        <v>546</v>
      </c>
      <c r="M111">
        <f>SUM(BX$37:BX$48)+SUM(BZ$37:BZ$48)+SUM(CB$37:CB$48)+SUM(CD$37:CD$48)</f>
        <v>717</v>
      </c>
      <c r="N111">
        <f>SUM(CF$37:CF$48)+SUM(CH$37:CH$48)+SUM(CJ$37:CJ$48)+SUM(CL$37:CL$48)</f>
        <v>2632.6258885917405</v>
      </c>
      <c r="O111">
        <f>SUM(CN$37:CN$48)+SUM(CP$37:CP$48)+SUM(CR$37:CR$48)+SUM(CT$37:CT$48)</f>
        <v>486.69139844332778</v>
      </c>
    </row>
    <row r="112" spans="2:99" x14ac:dyDescent="0.2">
      <c r="C112" s="105" t="s">
        <v>129</v>
      </c>
      <c r="D112">
        <f>SUM(D$49:D$70)+SUM(F$49:F$70)+SUM(H$49:H$70)+SUM(J$49:J$70)</f>
        <v>857</v>
      </c>
      <c r="E112">
        <f>SUM(L$49:L$70)+SUM(N$49:N$70)+SUM(P$49:P$70)+SUM(R$49:R$70)</f>
        <v>1079.2024561181204</v>
      </c>
      <c r="F112">
        <f>SUM(T$49:T$70)+SUM(V$49:V$70)+SUM(X$49:X$70)+SUM(Z$49:Z$70)</f>
        <v>436.91317343384173</v>
      </c>
      <c r="G112">
        <f>SUM(AB$49:AB$70)+SUM(AD$49:AD$70)+SUM(AF$49:AF$70)+SUM(AH$49:AH$70)</f>
        <v>696.67086514486925</v>
      </c>
      <c r="H112">
        <f>SUM(AJ$49:AJ$70)+SUM(AL$49:AL$70)+SUM(AN$49:AN$70)+SUM(AP$49:AP$70)</f>
        <v>1285.4343694902427</v>
      </c>
      <c r="I112">
        <f>SUM(AR$49:AR$70)+SUM(AT$49:AT$70)+SUM(AV$49:AV$70)+SUM(AX$49:AX$70)</f>
        <v>4030.7910008861318</v>
      </c>
      <c r="J112">
        <f>SUM(AZ$49:AZ$70)+SUM(BB$49:BB$70)+SUM(BD$49:BD$70)+SUM(BF$49:BF$70)</f>
        <v>1594.6478432253971</v>
      </c>
      <c r="K112">
        <f>SUM(BH$49:BH$70)+SUM(BJ$49:BJ$70)+SUM(BL$49:BL$70)+SUM(BN$49:BN$70)</f>
        <v>2221.1572549609455</v>
      </c>
      <c r="L112">
        <f>SUM(BP$49:BP$70)+SUM(BR$49:BR$70)+SUM(BT$49:BT$70)+SUM(BV$49:BV$70)</f>
        <v>365.55082757816848</v>
      </c>
      <c r="M112">
        <f>SUM(BX$49:BX$70)+SUM(BZ$49:BZ$70)+SUM(CB$49:CB$70)+SUM(CD$49:CD$70)</f>
        <v>1914.6026328804244</v>
      </c>
      <c r="N112">
        <f>SUM(CF$49:CF$70)+SUM(CH$49:CH$70)+SUM(CJ$49:CJ$70)+SUM(CL$49:CL$70)</f>
        <v>4244.7048517979774</v>
      </c>
      <c r="O112">
        <f>SUM(CN$49:CN$70)+SUM(CP$49:CP$70)+SUM(CR$49:CR$70)+SUM(CT$49:CT$70)</f>
        <v>4841.2787885955686</v>
      </c>
    </row>
    <row r="113" spans="2:15" x14ac:dyDescent="0.2">
      <c r="C113" s="105" t="s">
        <v>130</v>
      </c>
      <c r="D113">
        <f>SUM(D$71:D$86)+SUM(F$71:F$86)+SUM(H$71:H$86)+SUM(J$71:J$86)</f>
        <v>324</v>
      </c>
      <c r="E113">
        <f>SUM(L$71:L$86)+SUM(N$71:N$86)+SUM(P$71:P$86)+SUM(R$71:R$86)</f>
        <v>422</v>
      </c>
      <c r="F113">
        <f>SUM(T$71:T$86)+SUM(V$71:V$86)+SUM(X$71:X$86)+SUM(Z$71:Z$86)</f>
        <v>1659.6641182343528</v>
      </c>
      <c r="G113">
        <f>SUM(AB$71:AB$86)+SUM(AD$71:AD$86)+SUM(AF$71:AF$86)+SUM(AH$71:AH$86)</f>
        <v>813.70572625077568</v>
      </c>
      <c r="H113">
        <f>SUM(AJ$71:AJ$86)+SUM(AL$71:AL$86)+SUM(AN$71:AN$86)+SUM(AP$71:AP$86)</f>
        <v>415.34727560259046</v>
      </c>
      <c r="I113">
        <f>SUM(AR$71:AR$86)+SUM(AT$71:AT$86)+SUM(AV$71:AV$86)+SUM(AX$71:AX$86)</f>
        <v>285.22231372306692</v>
      </c>
      <c r="J113">
        <f>SUM(AZ$71:AZ$86)+SUM(BB$71:BB$86)+SUM(BD$71:BD$86)+SUM(BF$71:BF$86)</f>
        <v>555.24006681189496</v>
      </c>
      <c r="K113">
        <f>SUM(BH$71:BH$86)+SUM(BJ$71:BJ$86)+SUM(BL$71:BL$86)+SUM(BN$71:BN$86)</f>
        <v>2509.402489935555</v>
      </c>
      <c r="L113">
        <f>SUM(BP$71:BP$86)+SUM(BR$71:BR$86)+SUM(BT$71:BT$86)+SUM(BV$71:BV$86)</f>
        <v>446.12172080672792</v>
      </c>
      <c r="M113">
        <f>SUM(BX$71:BX$86)+SUM(BZ$71:BZ$86)+SUM(CB$71:CB$86)+SUM(CD$71:CD$86)</f>
        <v>493.08540571854235</v>
      </c>
      <c r="N113">
        <f>SUM(CF$71:CF$86)+SUM(CH$71:CH$86)+SUM(CJ$71:CJ$86)+SUM(CL$71:CL$86)</f>
        <v>1058.3706644485969</v>
      </c>
      <c r="O113">
        <f>SUM(CN$71:CN$86)+SUM(CP$71:CP$86)+SUM(CR$71:CR$86)+SUM(CT$71:CT$86)</f>
        <v>252.8427055284771</v>
      </c>
    </row>
    <row r="114" spans="2:15" x14ac:dyDescent="0.2">
      <c r="C114" s="105" t="s">
        <v>131</v>
      </c>
      <c r="D114">
        <f>SUM(D$87:D$94)+SUM(F$87:F$94)+SUM(H$87:H$94)+SUM(J$87:J$94)</f>
        <v>1153</v>
      </c>
      <c r="E114">
        <f>SUM(L$87:L$94)+SUM(N$87:N$94)+SUM(P$87:P$94)+SUM(R$87:R$94)</f>
        <v>295.04510106586258</v>
      </c>
      <c r="F114">
        <f>SUM(T$87:T$94)+SUM(V$87:V$94)+SUM(X$87:X$94)+SUM(Z$87:Z$94)</f>
        <v>114</v>
      </c>
      <c r="G114">
        <f>SUM(AB$87:AB$94)+SUM(AD$87:AD$94)+SUM(AF$87:AF$94)+SUM(AH$87:AH$94)</f>
        <v>166</v>
      </c>
      <c r="H114">
        <f>SUM(AJ$87:AJ$94)+SUM(AL$87:AL$94)+SUM(AN$87:AN$94)+SUM(AP$87:AP$94)</f>
        <v>379.46405808267008</v>
      </c>
      <c r="I114">
        <f>SUM(AR$87:AR$94)+SUM(AT$87:AT$94)+SUM(AV$87:AV$94)+SUM(AX$87:AX$94)</f>
        <v>176.73887453016044</v>
      </c>
      <c r="J114">
        <f>SUM(AZ$87:AZ$94)+SUM(BB$87:BB$94)+SUM(BD$87:BD$94)+SUM(BF$87:BF$94)</f>
        <v>295.54484127633867</v>
      </c>
      <c r="K114">
        <f>SUM(BH$87:BH$94)+SUM(BJ$87:BJ$94)+SUM(BL$87:BL$94)+SUM(BN$87:BN$94)</f>
        <v>240.36279104310222</v>
      </c>
      <c r="L114">
        <f>SUM(BP$87:BP$94)+SUM(BR$87:BR$94)+SUM(BT$87:BT$94)+SUM(BV$87:BV$94)</f>
        <v>2054.8120610296837</v>
      </c>
      <c r="M114">
        <f>SUM(BX$87:BX$94)+SUM(BZ$87:BZ$94)+SUM(CB$87:CB$94)+SUM(CD$87:CD$94)</f>
        <v>261.36912314954156</v>
      </c>
      <c r="N114">
        <f>SUM(CF$87:CF$94)+SUM(CH$87:CH$94)+SUM(CJ$87:CJ$94)+SUM(CL$87:CL$94)</f>
        <v>347.23538595382666</v>
      </c>
      <c r="O114">
        <f>SUM(CN$87:CN$94)+SUM(CP$87:CP$94)+SUM(CR$87:CR$94)+SUM(CT$87:CT$94)</f>
        <v>240.53604297984566</v>
      </c>
    </row>
    <row r="115" spans="2:15" x14ac:dyDescent="0.2">
      <c r="C115" s="105" t="s">
        <v>132</v>
      </c>
      <c r="D115">
        <f>SUM(D$95:D$105)+SUM(F$95:F$105)+SUM(H$95:H$105)+SUM(J$95:J$105)</f>
        <v>230</v>
      </c>
      <c r="E115">
        <f>SUM(L$95:L$105)+SUM(N$95:N$105)+SUM(P$95:P$105)+SUM(R$95:R$105)</f>
        <v>479.87441584226826</v>
      </c>
      <c r="F115">
        <f>SUM(T$95:T$105)+SUM(V$95:V$105)+SUM(X$95:X$105)+SUM(Z$95:Z$105)</f>
        <v>1142.543243077766</v>
      </c>
      <c r="G115">
        <f>SUM(AB$95:AB$105)+SUM(AD$95:AD$105)+SUM(AF$95:AF$105)+SUM(AH$95:AH$105)</f>
        <v>358.41465907192594</v>
      </c>
      <c r="H115">
        <f>SUM(AJ$95:AJ$105)+SUM(AL$95:AL$105)+SUM(AN$95:AN$105)+SUM(AP$95:AP$105)</f>
        <v>472.15431192470828</v>
      </c>
      <c r="I115">
        <f>SUM(AR$95:AR$105)+SUM(AT$95:AT$105)+SUM(AV$95:AV$105)+SUM(AX$95:AX$105)</f>
        <v>705.36221148731283</v>
      </c>
      <c r="J115">
        <f>SUM(AZ$95:AZ$105)+SUM(BB$95:BB$105)+SUM(BD$95:BD$105)+SUM(BF$95:BF$105)</f>
        <v>263.72384722068722</v>
      </c>
      <c r="K115">
        <f>SUM(BH$95:BH$105)+SUM(BJ$95:BJ$105)+SUM(BL$95:BL$105)+SUM(BN$95:BN$105)</f>
        <v>1035.3798239818818</v>
      </c>
      <c r="L115">
        <f>SUM(BP$95:BP$105)+SUM(BR$95:BR$105)+SUM(BT$95:BT$105)+SUM(BV$95:BV$105)</f>
        <v>268.33931391237076</v>
      </c>
      <c r="M115">
        <f>SUM(BX$95:BX$105)+SUM(BZ$95:BZ$105)+SUM(CB$95:CB$105)+SUM(CD$95:CD$105)</f>
        <v>258.36177511596543</v>
      </c>
      <c r="N115">
        <f>SUM(CF$95:CF$105)+SUM(CH$95:CH$105)+SUM(CJ$95:CJ$105)+SUM(CL$95:CL$105)</f>
        <v>877.27191371647291</v>
      </c>
      <c r="O115">
        <f>SUM(CN$95:CN$105)+SUM(CP$95:CP$105)+SUM(CR$95:CR$105)+SUM(CT$95:CT$105)</f>
        <v>2031.745972061706</v>
      </c>
    </row>
    <row r="116" spans="2:15" x14ac:dyDescent="0.2">
      <c r="C116" s="105" t="s">
        <v>278</v>
      </c>
      <c r="D116">
        <f t="shared" ref="D116:O116" si="0">SUM(D$109:D$115)</f>
        <v>8431</v>
      </c>
      <c r="E116">
        <f t="shared" si="0"/>
        <v>3589.1219730262515</v>
      </c>
      <c r="F116">
        <f t="shared" si="0"/>
        <v>9248.12053474596</v>
      </c>
      <c r="G116">
        <f t="shared" si="0"/>
        <v>4068.791250467571</v>
      </c>
      <c r="H116">
        <f t="shared" si="0"/>
        <v>4700.400015100211</v>
      </c>
      <c r="I116">
        <f t="shared" si="0"/>
        <v>9263.1144006266713</v>
      </c>
      <c r="J116">
        <f t="shared" si="0"/>
        <v>8280.6702960293278</v>
      </c>
      <c r="K116">
        <f t="shared" si="0"/>
        <v>7923.4791146674079</v>
      </c>
      <c r="L116">
        <f t="shared" si="0"/>
        <v>5576.8239233269505</v>
      </c>
      <c r="M116">
        <f t="shared" si="0"/>
        <v>7113.4189368644738</v>
      </c>
      <c r="N116">
        <f t="shared" si="0"/>
        <v>13201.008038094506</v>
      </c>
      <c r="O116">
        <f t="shared" si="0"/>
        <v>10047.114786559787</v>
      </c>
    </row>
    <row r="118" spans="2:15" x14ac:dyDescent="0.2">
      <c r="B118" s="107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>
        <f>D109*pricing!D33*2000</f>
        <v>1980504.4170611417</v>
      </c>
      <c r="E120">
        <f>E109*pricing!E33*2000</f>
        <v>1741412.8735498239</v>
      </c>
      <c r="F120">
        <f>F109*pricing!F33*2000</f>
        <v>8013610.172585302</v>
      </c>
      <c r="G120">
        <f>G109*pricing!G33*2000</f>
        <v>2188349.3595869597</v>
      </c>
      <c r="H120">
        <f>H109*pricing!H33*2000</f>
        <v>2118271.0090870359</v>
      </c>
      <c r="I120">
        <f>I109*pricing!I33*2000</f>
        <v>1886530.6051537916</v>
      </c>
      <c r="J120">
        <f>J109*pricing!J33*2000</f>
        <v>4787681.7641233234</v>
      </c>
      <c r="K120">
        <f>K109*pricing!K33*2000</f>
        <v>4085175.341282378</v>
      </c>
      <c r="L120">
        <f>L109*pricing!L33*2000</f>
        <v>5159686.1055882387</v>
      </c>
      <c r="M120">
        <f>M109*pricing!M33*2000</f>
        <v>7895196.6325475099</v>
      </c>
      <c r="N120">
        <f>N109*pricing!N33*2000</f>
        <v>2575570.4727666909</v>
      </c>
      <c r="O120">
        <f>O109*pricing!O33*2000</f>
        <v>4559795.0452266932</v>
      </c>
    </row>
    <row r="121" spans="2:15" x14ac:dyDescent="0.2">
      <c r="C121" s="105" t="s">
        <v>127</v>
      </c>
      <c r="D121">
        <f>D110*pricing!D34*2000</f>
        <v>9768837.8798967022</v>
      </c>
      <c r="E121">
        <f>E110*pricing!E34*2000</f>
        <v>3432637.0778152873</v>
      </c>
      <c r="F121">
        <f>F110*pricing!F34*2000</f>
        <v>4988831.5357956924</v>
      </c>
      <c r="G121">
        <f>G110*pricing!G34*2000</f>
        <v>2818607.9968326623</v>
      </c>
      <c r="H121">
        <f>H110*pricing!H34*2000</f>
        <v>3777162.9566995101</v>
      </c>
      <c r="I121">
        <f>I110*pricing!I34*2000</f>
        <v>2049765.8158659237</v>
      </c>
      <c r="J121">
        <f>J110*pricing!J34*2000</f>
        <v>2049869.6536658581</v>
      </c>
      <c r="K121">
        <f>K110*pricing!K34*2000</f>
        <v>2786917.8626337526</v>
      </c>
      <c r="L121">
        <f>L110*pricing!L34*2000</f>
        <v>2592484.2623205911</v>
      </c>
      <c r="M121">
        <f>M110*pricing!M34*2000</f>
        <v>2551856.0668355352</v>
      </c>
      <c r="N121">
        <f>N110*pricing!N34*2000</f>
        <v>8127984.4912055079</v>
      </c>
      <c r="O121">
        <f>O110*pricing!O34*2000</f>
        <v>4101089.6046639299</v>
      </c>
    </row>
    <row r="122" spans="2:15" x14ac:dyDescent="0.2">
      <c r="C122" s="105" t="s">
        <v>128</v>
      </c>
      <c r="D122">
        <f>D111*pricing!D35*2000</f>
        <v>4053718.3527206299</v>
      </c>
      <c r="E122">
        <f>E111*pricing!E35*2000</f>
        <v>1803079.1672079714</v>
      </c>
      <c r="F122">
        <f>F111*pricing!F35*2000</f>
        <v>2884568.5426613023</v>
      </c>
      <c r="G122">
        <f>G111*pricing!G35*2000</f>
        <v>4061071.7182870833</v>
      </c>
      <c r="H122">
        <f>H111*pricing!H35*2000</f>
        <v>3780349.4776126221</v>
      </c>
      <c r="I122">
        <f>I111*pricing!I35*2000</f>
        <v>8304932.6194365621</v>
      </c>
      <c r="J122">
        <f>J111*pricing!J35*2000</f>
        <v>9106168.7929005604</v>
      </c>
      <c r="K122">
        <f>K111*pricing!K35*2000</f>
        <v>2641207.8343725596</v>
      </c>
      <c r="L122">
        <f>L111*pricing!L35*2000</f>
        <v>3064335.0166483242</v>
      </c>
      <c r="M122">
        <f>M111*pricing!M35*2000</f>
        <v>3471344.3864046866</v>
      </c>
      <c r="N122">
        <f>N111*pricing!N35*2000</f>
        <v>7875811.5698122084</v>
      </c>
      <c r="O122">
        <f>O111*pricing!O35*2000</f>
        <v>2700311.6161044124</v>
      </c>
    </row>
    <row r="123" spans="2:15" x14ac:dyDescent="0.2">
      <c r="C123" s="105" t="s">
        <v>129</v>
      </c>
      <c r="D123">
        <f>D112*pricing!D36*2000</f>
        <v>4301594.2092108205</v>
      </c>
      <c r="E123">
        <f>E112*pricing!E36*2000</f>
        <v>4742765.8576989118</v>
      </c>
      <c r="F123">
        <f>F112*pricing!F36*2000</f>
        <v>3081844.4824380991</v>
      </c>
      <c r="G123">
        <f>G112*pricing!G36*2000</f>
        <v>3854669.5755214794</v>
      </c>
      <c r="H123">
        <f>H112*pricing!H36*2000</f>
        <v>5411571.7590226363</v>
      </c>
      <c r="I123">
        <f>I112*pricing!I36*2000</f>
        <v>9393944.8304064181</v>
      </c>
      <c r="J123">
        <f>J112*pricing!J36*2000</f>
        <v>6321133.9989282209</v>
      </c>
      <c r="K123">
        <f>K112*pricing!K36*2000</f>
        <v>8015066.2147327131</v>
      </c>
      <c r="L123">
        <f>L112*pricing!L36*2000</f>
        <v>2599236.560833713</v>
      </c>
      <c r="M123">
        <f>M112*pricing!M36*2000</f>
        <v>6669538.5737921214</v>
      </c>
      <c r="N123">
        <f>N112*pricing!N36*2000</f>
        <v>10711228.134687571</v>
      </c>
      <c r="O123">
        <f>O112*pricing!O36*2000</f>
        <v>11472805.2580062</v>
      </c>
    </row>
    <row r="124" spans="2:15" x14ac:dyDescent="0.2">
      <c r="C124" s="105" t="s">
        <v>130</v>
      </c>
      <c r="D124">
        <f>D113*pricing!D37*2000</f>
        <v>2121047.3431656556</v>
      </c>
      <c r="E124">
        <f>E113*pricing!E37*2000</f>
        <v>2552890.9755262914</v>
      </c>
      <c r="F124">
        <f>F113*pricing!F37*2000</f>
        <v>4684548.4281507423</v>
      </c>
      <c r="G124">
        <f>G113*pricing!G37*2000</f>
        <v>3378083.2408756861</v>
      </c>
      <c r="H124">
        <f>H113*pricing!H37*2000</f>
        <v>2615286.3538426762</v>
      </c>
      <c r="I124">
        <f>I113*pricing!I37*2000</f>
        <v>2012510.3484150439</v>
      </c>
      <c r="J124">
        <f>J113*pricing!J37*2000</f>
        <v>2904849.7857713886</v>
      </c>
      <c r="K124">
        <f>K113*pricing!K37*2000</f>
        <v>6855847.8954866044</v>
      </c>
      <c r="L124">
        <f>L113*pricing!L37*2000</f>
        <v>2555798.4003897551</v>
      </c>
      <c r="M124">
        <f>M113*pricing!M37*2000</f>
        <v>2660447.3900211249</v>
      </c>
      <c r="N124">
        <f>N113*pricing!N37*2000</f>
        <v>4277938.4573198194</v>
      </c>
      <c r="O124">
        <f>O113*pricing!O37*2000</f>
        <v>1750404.1163053205</v>
      </c>
    </row>
    <row r="125" spans="2:15" x14ac:dyDescent="0.2">
      <c r="C125" s="105" t="s">
        <v>131</v>
      </c>
      <c r="D125">
        <f>D114*pricing!D38*2000</f>
        <v>2704336.1690959278</v>
      </c>
      <c r="E125">
        <f>E114*pricing!E38*2000</f>
        <v>1504075.2177126438</v>
      </c>
      <c r="F125">
        <f>F114*pricing!F38*2000</f>
        <v>763628.69222022255</v>
      </c>
      <c r="G125">
        <f>G114*pricing!G38*2000</f>
        <v>1026141.4247427299</v>
      </c>
      <c r="H125">
        <f>H114*pricing!H38*2000</f>
        <v>1733581.1781838909</v>
      </c>
      <c r="I125">
        <f>I114*pricing!I38*2000</f>
        <v>1133571.0112392388</v>
      </c>
      <c r="J125">
        <f>J114*pricing!J38*2000</f>
        <v>1430472.768724524</v>
      </c>
      <c r="K125">
        <f>K114*pricing!K38*2000</f>
        <v>1294036.7314543806</v>
      </c>
      <c r="L125">
        <f>L114*pricing!L38*2000</f>
        <v>4223705.9477090603</v>
      </c>
      <c r="M125">
        <f>M114*pricing!M38*2000</f>
        <v>1394665.6262884075</v>
      </c>
      <c r="N125">
        <f>N114*pricing!N38*2000</f>
        <v>1582632.5664602951</v>
      </c>
      <c r="O125">
        <f>O114*pricing!O38*2000</f>
        <v>1409470.9051782894</v>
      </c>
    </row>
    <row r="126" spans="2:15" x14ac:dyDescent="0.2">
      <c r="C126" s="105" t="s">
        <v>132</v>
      </c>
      <c r="D126">
        <f>D115*pricing!D39*2000</f>
        <v>1552802.0443184527</v>
      </c>
      <c r="E126">
        <f>E115*pricing!E39*2000</f>
        <v>2360310.8568760492</v>
      </c>
      <c r="F126">
        <f>F115*pricing!F39*2000</f>
        <v>4056381.3169393074</v>
      </c>
      <c r="G126">
        <f>G115*pricing!G39*2000</f>
        <v>1956977.4367556644</v>
      </c>
      <c r="H126">
        <f>H115*pricing!H39*2000</f>
        <v>2334969.6751485737</v>
      </c>
      <c r="I126">
        <f>I115*pricing!I39*2000</f>
        <v>2844453.0952383368</v>
      </c>
      <c r="J126">
        <f>J115*pricing!J39*2000</f>
        <v>1680134.5362048063</v>
      </c>
      <c r="K126">
        <f>K115*pricing!K39*2000</f>
        <v>3720945.0042226054</v>
      </c>
      <c r="L126">
        <f>L115*pricing!L39*2000</f>
        <v>1710791.3119989247</v>
      </c>
      <c r="M126">
        <f>M115*pricing!M39*2000</f>
        <v>1846065.3159678711</v>
      </c>
      <c r="N126">
        <f>N115*pricing!N39*2000</f>
        <v>3262124.8410321656</v>
      </c>
      <c r="O126">
        <f>O115*pricing!O39*2000</f>
        <v>5042166.3096073391</v>
      </c>
    </row>
    <row r="127" spans="2:15" x14ac:dyDescent="0.2">
      <c r="C127" s="105" t="s">
        <v>278</v>
      </c>
      <c r="D127">
        <f>SUM(D$120:D$126)</f>
        <v>26482840.415469326</v>
      </c>
      <c r="E127">
        <f t="shared" ref="E127:O127" si="1">SUM(E$120:E$126)</f>
        <v>18137172.02638698</v>
      </c>
      <c r="F127">
        <f t="shared" si="1"/>
        <v>28473413.170790665</v>
      </c>
      <c r="G127">
        <f t="shared" si="1"/>
        <v>19283900.752602264</v>
      </c>
      <c r="H127">
        <f t="shared" si="1"/>
        <v>21771192.409596946</v>
      </c>
      <c r="I127">
        <f t="shared" si="1"/>
        <v>27625708.325755309</v>
      </c>
      <c r="J127">
        <f t="shared" si="1"/>
        <v>28280311.300318684</v>
      </c>
      <c r="K127">
        <f t="shared" si="1"/>
        <v>29399196.884184994</v>
      </c>
      <c r="L127">
        <f t="shared" si="1"/>
        <v>21906037.60548861</v>
      </c>
      <c r="M127">
        <f t="shared" si="1"/>
        <v>26489113.99185726</v>
      </c>
      <c r="N127">
        <f t="shared" si="1"/>
        <v>38413290.533284254</v>
      </c>
      <c r="O127">
        <f t="shared" si="1"/>
        <v>31036042.855092186</v>
      </c>
    </row>
    <row r="129" spans="2:15" x14ac:dyDescent="0.2">
      <c r="B129" s="107" t="s">
        <v>280</v>
      </c>
    </row>
    <row r="130" spans="2:15" x14ac:dyDescent="0.2">
      <c r="C130" s="109" t="s">
        <v>277</v>
      </c>
      <c r="D130" s="109" t="s">
        <v>92</v>
      </c>
      <c r="E130" s="109" t="s">
        <v>93</v>
      </c>
      <c r="F130" s="109" t="s">
        <v>94</v>
      </c>
      <c r="G130" s="109" t="s">
        <v>95</v>
      </c>
      <c r="H130" s="109" t="s">
        <v>96</v>
      </c>
      <c r="I130" s="109" t="s">
        <v>97</v>
      </c>
      <c r="J130" s="109" t="s">
        <v>98</v>
      </c>
      <c r="K130" s="109" t="s">
        <v>99</v>
      </c>
      <c r="L130" s="109" t="s">
        <v>100</v>
      </c>
      <c r="M130" s="109" t="s">
        <v>101</v>
      </c>
      <c r="N130" s="109" t="s">
        <v>102</v>
      </c>
      <c r="O130" s="109" t="s">
        <v>103</v>
      </c>
    </row>
    <row r="131" spans="2:15" x14ac:dyDescent="0.2">
      <c r="C131" s="109" t="s">
        <v>126</v>
      </c>
      <c r="D131" s="110">
        <f>SUM(E$6:E$19)+SUM(G$6:G$19)+SUM(I$6:I$19)+SUM(K$6:K$19)</f>
        <v>152049.60000000001</v>
      </c>
      <c r="E131" s="110">
        <f>SUM(M$6:M$19)+SUM(O$6:O$19)+SUM(Q$6:Q$19)+SUM(S$6:S$19)</f>
        <v>140427.6</v>
      </c>
      <c r="F131" s="110">
        <f>SUM(U$6:U$19)+SUM(W$6:W$19)+SUM(Y$6:Y$19)+SUM(AA$6:AA$19)</f>
        <v>1821717.6</v>
      </c>
      <c r="G131" s="110">
        <f>SUM(AC$6:AC$19)+SUM(AE$6:AE$19)+SUM(AG$6:AG$19)+SUM(AI$6:AI$19)</f>
        <v>183477.59999999998</v>
      </c>
      <c r="H131" s="110">
        <f>SUM(AK$6:AK$19)+SUM(AM$6:AM$19)+SUM(AO$6:AO$19)+SUM(AQ$6:AQ$19)</f>
        <v>160394.4</v>
      </c>
      <c r="I131" s="110">
        <f>SUM(AS$6:AS$19)+SUM(AU$6:AU$19)+SUM(AW$6:AW$19)+SUM(AY$6:AY$19)</f>
        <v>144960</v>
      </c>
      <c r="J131" s="110">
        <f>SUM(BA$6:BA$19)+SUM(BC$6:BC$19)+SUM(BE$6:BE$19)+SUM(BG$6:BG$19)</f>
        <v>617160</v>
      </c>
      <c r="K131" s="110">
        <f>SUM(BI$6:BI$19)+SUM(BK$6:BK$19)+SUM(BM$6:BM$19)+SUM(BO$6:BO$19)</f>
        <v>520699.67237866274</v>
      </c>
      <c r="L131" s="110">
        <f>SUM(BQ$6:BQ$19)+SUM(BS$6:BS$19)+SUM(BU$6:BU$19)+SUM(BW$6:BW$19)</f>
        <v>704174.39999999991</v>
      </c>
      <c r="M131" s="110">
        <f>SUM(BY$6:BY$19)+SUM(CA$6:CA$19)+SUM(CC$6:CC$19)+SUM(CE$6:CE$19)</f>
        <v>1508120.4000000001</v>
      </c>
      <c r="N131" s="110">
        <f>SUM(CG$6:CG$19)+SUM(CI$6:CI$19)+SUM(CK$6:CK$19)+SUM(CM$6:CM$19)</f>
        <v>254860.27167388328</v>
      </c>
      <c r="O131" s="110">
        <f>SUM(CO$6:CO$19)+SUM(CQ$6:CQ$19)+SUM(CS$6:CS$19)+SUM(CU$6:CU$19)</f>
        <v>587569.84148379951</v>
      </c>
    </row>
    <row r="132" spans="2:15" x14ac:dyDescent="0.2">
      <c r="C132" s="109" t="s">
        <v>127</v>
      </c>
      <c r="D132" s="110">
        <f>SUM(E$20:E$36)+SUM(G$20:G$36)+SUM(I$20:I$36)+SUM(K$20:K$36)</f>
        <v>1974313.1999999997</v>
      </c>
      <c r="E132" s="110">
        <f>SUM(M$20:M$36)+SUM(O$20:O$36)+SUM(Q$20:Q$36)+SUM(S$20:S$36)</f>
        <v>334237.2</v>
      </c>
      <c r="F132" s="110">
        <f>SUM(U$20:U$36)+SUM(W$20:W$36)+SUM(Y$20:Y$36)+SUM(AA$20:AA$36)</f>
        <v>750458.4</v>
      </c>
      <c r="G132" s="110">
        <f>SUM(AC$20:AC$36)+SUM(AE$20:AE$36)+SUM(AG$20:AG$36)+SUM(AI$20:AI$36)</f>
        <v>287435.99999999994</v>
      </c>
      <c r="H132" s="110">
        <f>SUM(AK$20:AK$36)+SUM(AM$20:AM$36)+SUM(AO$20:AO$36)+SUM(AQ$20:AQ$36)</f>
        <v>373194</v>
      </c>
      <c r="I132" s="110">
        <f>SUM(AS$20:AS$36)+SUM(AU$20:AU$36)+SUM(AW$20:AW$36)+SUM(AY$20:AY$36)</f>
        <v>138945.60000000001</v>
      </c>
      <c r="J132" s="110">
        <f>SUM(BA$20:BA$36)+SUM(BC$20:BC$36)+SUM(BE$20:BE$36)+SUM(BG$20:BG$36)</f>
        <v>133689.85202811242</v>
      </c>
      <c r="K132" s="110">
        <f>SUM(BI$20:BI$36)+SUM(BK$20:BK$36)+SUM(BM$20:BM$36)+SUM(BO$20:BO$36)</f>
        <v>213038.75371365887</v>
      </c>
      <c r="L132" s="110">
        <f>SUM(BQ$20:BQ$36)+SUM(BS$20:BS$36)+SUM(BU$20:BU$36)+SUM(BW$20:BW$36)</f>
        <v>213582</v>
      </c>
      <c r="M132" s="110">
        <f>SUM(BY$20:BY$36)+SUM(CA$20:CA$36)+SUM(CC$20:CC$36)+SUM(CE$20:CE$36)</f>
        <v>197980.79999999999</v>
      </c>
      <c r="N132" s="110">
        <f>SUM(CG$20:CG$36)+SUM(CI$20:CI$36)+SUM(CK$20:CK$36)+SUM(CM$20:CM$36)</f>
        <v>1492611.6</v>
      </c>
      <c r="O132" s="110">
        <f>SUM(CO$20:CO$36)+SUM(CQ$20:CQ$36)+SUM(CS$20:CS$36)+SUM(CU$20:CU$36)</f>
        <v>441817.64664238627</v>
      </c>
    </row>
    <row r="133" spans="2:15" x14ac:dyDescent="0.2">
      <c r="C133" s="109" t="s">
        <v>128</v>
      </c>
      <c r="D133" s="110">
        <f>SUM(E$37:E$48)+SUM(G$37:G$48)+SUM(I$37:I$48)+SUM(K$37:K$48)</f>
        <v>928233.6</v>
      </c>
      <c r="E133" s="110">
        <f>SUM(M$37:M$48)+SUM(O$37:O$48)+SUM(Q$37:Q$48)+SUM(S$37:S$48)</f>
        <v>264968.40000000002</v>
      </c>
      <c r="F133" s="110">
        <f>SUM(U$37:U$48)+SUM(W$37:W$48)+SUM(Y$37:Y$48)+SUM(AA$37:AA$48)</f>
        <v>468403.20000000001</v>
      </c>
      <c r="G133" s="110">
        <f>SUM(AC$37:AC$48)+SUM(AE$37:AE$48)+SUM(AG$37:AG$48)+SUM(AI$37:AI$48)</f>
        <v>1043198.3999999999</v>
      </c>
      <c r="H133" s="110">
        <f>SUM(AK$37:AK$48)+SUM(AM$37:AM$48)+SUM(AO$37:AO$48)+SUM(AQ$37:AQ$48)</f>
        <v>997084.8</v>
      </c>
      <c r="I133" s="110">
        <f>SUM(AS$37:AS$48)+SUM(AU$37:AU$48)+SUM(AW$37:AW$48)+SUM(AY$37:AY$48)</f>
        <v>3594036</v>
      </c>
      <c r="J133" s="110">
        <f>SUM(BA$37:BA$48)+SUM(BC$37:BC$48)+SUM(BE$37:BE$48)+SUM(BG$37:BG$48)</f>
        <v>4168987.7456485042</v>
      </c>
      <c r="K133" s="110">
        <f>SUM(BI$37:BI$48)+SUM(BK$37:BK$48)+SUM(BM$37:BM$48)+SUM(BO$37:BO$48)</f>
        <v>402762.75463110674</v>
      </c>
      <c r="L133" s="110">
        <f>SUM(BQ$37:BQ$48)+SUM(BS$37:BS$48)+SUM(BU$37:BU$48)+SUM(BW$37:BW$48)</f>
        <v>571212</v>
      </c>
      <c r="M133" s="110">
        <f>SUM(BY$37:BY$48)+SUM(CA$37:CA$48)+SUM(CC$37:CC$48)+SUM(CE$37:CE$48)</f>
        <v>752823.6</v>
      </c>
      <c r="N133" s="110">
        <f>SUM(CG$37:CG$48)+SUM(CI$37:CI$48)+SUM(CK$37:CK$48)+SUM(CM$37:CM$48)</f>
        <v>2747577.5661792206</v>
      </c>
      <c r="O133" s="110">
        <f>SUM(CO$37:CO$48)+SUM(CQ$37:CQ$48)+SUM(CS$37:CS$48)+SUM(CU$37:CU$48)</f>
        <v>509840.14955526445</v>
      </c>
    </row>
    <row r="134" spans="2:15" x14ac:dyDescent="0.2">
      <c r="C134" s="109" t="s">
        <v>129</v>
      </c>
      <c r="D134" s="110">
        <f>SUM(E$49:E$70)+SUM(G$49:G$70)+SUM(I$49:I$70)+SUM(K$49:K$70)</f>
        <v>727042.79999999993</v>
      </c>
      <c r="E134" s="110">
        <f>SUM(M$49:M$70)+SUM(O$49:O$70)+SUM(Q$49:Q$70)+SUM(S$49:S$70)</f>
        <v>914857.62430567748</v>
      </c>
      <c r="F134" s="110">
        <f>SUM(U$49:U$70)+SUM(W$49:W$70)+SUM(Y$49:Y$70)+SUM(AA$49:AA$70)</f>
        <v>371068.90715328569</v>
      </c>
      <c r="G134" s="110">
        <f>SUM(AC$49:AC$70)+SUM(AE$49:AE$70)+SUM(AG$49:AG$70)+SUM(AI$49:AI$70)</f>
        <v>591140.36649672978</v>
      </c>
      <c r="H134" s="110">
        <f>SUM(AK$49:AK$70)+SUM(AM$49:AM$70)+SUM(AO$49:AO$70)+SUM(AQ$49:AQ$70)</f>
        <v>1083579.1203979887</v>
      </c>
      <c r="I134" s="110">
        <f>SUM(AS$49:AS$70)+SUM(AU$49:AU$70)+SUM(AW$49:AW$70)+SUM(AY$49:AY$70)</f>
        <v>3366880.3028214555</v>
      </c>
      <c r="J134" s="110">
        <f>SUM(BA$49:BA$70)+SUM(BC$49:BC$70)+SUM(BE$49:BE$70)+SUM(BG$49:BG$70)</f>
        <v>1347288.6255057026</v>
      </c>
      <c r="K134" s="110">
        <f>SUM(BI$49:BI$70)+SUM(BK$49:BK$70)+SUM(BM$49:BM$70)+SUM(BO$49:BO$70)</f>
        <v>1870107.5710770758</v>
      </c>
      <c r="L134" s="110">
        <f>SUM(BQ$49:BQ$70)+SUM(BS$49:BS$70)+SUM(BU$49:BU$70)+SUM(BW$49:BW$70)</f>
        <v>314948.71686138201</v>
      </c>
      <c r="M134" s="110">
        <f>SUM(BY$49:BY$70)+SUM(CA$49:CA$70)+SUM(CC$49:CC$70)+SUM(CE$49:CE$70)</f>
        <v>1609183.7656758653</v>
      </c>
      <c r="N134" s="110">
        <f>SUM(CG$49:CG$70)+SUM(CI$49:CI$70)+SUM(CK$49:CK$70)+SUM(CM$49:CM$70)</f>
        <v>3552884.129117866</v>
      </c>
      <c r="O134" s="110">
        <f>SUM(CO$49:CO$70)+SUM(CQ$49:CQ$70)+SUM(CS$49:CS$70)+SUM(CU$49:CU$70)</f>
        <v>4034904.3670034497</v>
      </c>
    </row>
    <row r="135" spans="2:15" x14ac:dyDescent="0.2">
      <c r="C135" s="109" t="s">
        <v>130</v>
      </c>
      <c r="D135" s="110">
        <f>SUM(E$71:E$86)+SUM(G$71:G$86)+SUM(I$71:I$86)+SUM(K$71:K$86)</f>
        <v>180344.40000000002</v>
      </c>
      <c r="E135" s="110">
        <f>SUM(M$71:M$86)+SUM(O$71:O$86)+SUM(Q$71:Q$86)+SUM(S$71:S$86)</f>
        <v>236431.19999999998</v>
      </c>
      <c r="F135" s="110">
        <f>SUM(U$71:U$86)+SUM(W$71:W$86)+SUM(Y$71:Y$86)+SUM(AA$71:AA$86)</f>
        <v>921365.23245655256</v>
      </c>
      <c r="G135" s="110">
        <f>SUM(AC$71:AC$86)+SUM(AE$71:AE$86)+SUM(AG$71:AG$86)+SUM(AI$71:AI$86)</f>
        <v>452298.7649953331</v>
      </c>
      <c r="H135" s="110">
        <f>SUM(AK$71:AK$86)+SUM(AM$71:AM$86)+SUM(AO$71:AO$86)+SUM(AQ$71:AQ$86)</f>
        <v>231638.42809114355</v>
      </c>
      <c r="I135" s="110">
        <f>SUM(AS$71:AS$86)+SUM(AU$71:AU$86)+SUM(AW$71:AW$86)+SUM(AY$71:AY$86)</f>
        <v>160288.79903622187</v>
      </c>
      <c r="J135" s="110">
        <f>SUM(BA$71:BA$86)+SUM(BC$71:BC$86)+SUM(BE$71:BE$86)+SUM(BG$71:BG$86)</f>
        <v>309617.79798835202</v>
      </c>
      <c r="K135" s="110">
        <f>SUM(BI$71:BI$86)+SUM(BK$71:BK$86)+SUM(BM$71:BM$86)+SUM(BO$71:BO$86)</f>
        <v>1388448.977985027</v>
      </c>
      <c r="L135" s="110">
        <f>SUM(BQ$71:BQ$86)+SUM(BS$71:BS$86)+SUM(BU$71:BU$86)+SUM(BW$71:BW$86)</f>
        <v>248907.57008715108</v>
      </c>
      <c r="M135" s="110">
        <f>SUM(BY$71:BY$86)+SUM(CA$71:CA$86)+SUM(CC$71:CC$86)+SUM(CE$71:CE$86)</f>
        <v>275244.59095563117</v>
      </c>
      <c r="N135" s="110">
        <f>SUM(CG$71:CG$86)+SUM(CI$71:CI$86)+SUM(CK$71:CK$86)+SUM(CM$71:CM$86)</f>
        <v>591226.21013270156</v>
      </c>
      <c r="O135" s="110">
        <f>SUM(CO$71:CO$86)+SUM(CQ$71:CQ$86)+SUM(CS$71:CS$86)+SUM(CU$71:CU$86)</f>
        <v>139960.96143811266</v>
      </c>
    </row>
    <row r="136" spans="2:15" x14ac:dyDescent="0.2">
      <c r="C136" s="109" t="s">
        <v>131</v>
      </c>
      <c r="D136" s="110">
        <f>SUM(E$87:E$94)+SUM(G$87:G$94)+SUM(I$87:I$94)+SUM(K$87:K$94)</f>
        <v>2326557.5999999996</v>
      </c>
      <c r="E136" s="110">
        <f>SUM(M$87:M$94)+SUM(O$87:O$94)+SUM(Q$87:Q$94)+SUM(S$87:S$94)</f>
        <v>600598.89113806153</v>
      </c>
      <c r="F136" s="110">
        <f>SUM(U$87:U$94)+SUM(W$87:W$94)+SUM(Y$87:Y$94)+SUM(AA$87:AA$94)</f>
        <v>232198.79999999996</v>
      </c>
      <c r="G136" s="110">
        <f>SUM(AC$87:AC$94)+SUM(AE$87:AE$94)+SUM(AG$87:AG$94)+SUM(AI$87:AI$94)</f>
        <v>337394.4</v>
      </c>
      <c r="H136" s="110">
        <f>SUM(AK$87:AK$94)+SUM(AM$87:AM$94)+SUM(AO$87:AO$94)+SUM(AQ$87:AQ$94)</f>
        <v>773521.0452218476</v>
      </c>
      <c r="I136" s="110">
        <f>SUM(AS$87:AS$94)+SUM(AU$87:AU$94)+SUM(AW$87:AW$94)+SUM(AY$87:AY$94)</f>
        <v>360183.52199227875</v>
      </c>
      <c r="J136" s="110">
        <f>SUM(BA$87:BA$94)+SUM(BC$87:BC$94)+SUM(BE$87:BE$94)+SUM(BG$87:BG$94)</f>
        <v>599780.0039846896</v>
      </c>
      <c r="K136" s="110">
        <f>SUM(BI$87:BI$94)+SUM(BK$87:BK$94)+SUM(BM$87:BM$94)+SUM(BO$87:BO$94)</f>
        <v>486968.44683949125</v>
      </c>
      <c r="L136" s="110">
        <f>SUM(BQ$87:BQ$94)+SUM(BS$87:BS$94)+SUM(BU$87:BU$94)+SUM(BW$87:BW$94)</f>
        <v>4158287.949308699</v>
      </c>
      <c r="M136" s="110">
        <f>SUM(BY$87:BY$94)+SUM(CA$87:CA$94)+SUM(CC$87:CC$94)+SUM(CE$87:CE$94)</f>
        <v>532435.51313913648</v>
      </c>
      <c r="N136" s="110">
        <f>SUM(CG$87:CG$94)+SUM(CI$87:CI$94)+SUM(CK$87:CK$94)+SUM(CM$87:CM$94)</f>
        <v>704018.33246717567</v>
      </c>
      <c r="O136" s="110">
        <f>SUM(CO$87:CO$94)+SUM(CQ$87:CQ$94)+SUM(CS$87:CS$94)+SUM(CU$87:CU$94)</f>
        <v>489655.64902709622</v>
      </c>
    </row>
    <row r="137" spans="2:15" x14ac:dyDescent="0.2">
      <c r="C137" s="109" t="s">
        <v>132</v>
      </c>
      <c r="D137" s="110">
        <f>SUM(E$95:E$105)+SUM(G$95:G$105)+SUM(I$95:I$105)+SUM(K$95:K$105)</f>
        <v>442298.39999999997</v>
      </c>
      <c r="E137" s="110">
        <f>SUM(M$95:M$105)+SUM(O$95:O$105)+SUM(Q$95:Q$105)+SUM(S$95:S$105)</f>
        <v>914167.62054728798</v>
      </c>
      <c r="F137" s="110">
        <f>SUM(U$95:U$105)+SUM(W$95:W$105)+SUM(Y$95:Y$105)+SUM(AA$95:AA$105)</f>
        <v>2123540.0268279319</v>
      </c>
      <c r="G137" s="110">
        <f>SUM(AC$95:AC$105)+SUM(AE$95:AE$105)+SUM(AG$95:AG$105)+SUM(AI$95:AI$105)</f>
        <v>678297.23286651704</v>
      </c>
      <c r="H137" s="110">
        <f>SUM(AK$95:AK$105)+SUM(AM$95:AM$105)+SUM(AO$95:AO$105)+SUM(AQ$95:AQ$105)</f>
        <v>899524.75322190789</v>
      </c>
      <c r="I137" s="110">
        <f>SUM(AS$95:AS$105)+SUM(AU$95:AU$105)+SUM(AW$95:AW$105)+SUM(AY$95:AY$105)</f>
        <v>1324317.9488358768</v>
      </c>
      <c r="J137" s="110">
        <f>SUM(BA$95:BA$105)+SUM(BC$95:BC$105)+SUM(BE$95:BE$105)+SUM(BG$95:BG$105)</f>
        <v>508992.60618050623</v>
      </c>
      <c r="K137" s="110">
        <f>SUM(BI$95:BI$105)+SUM(BK$95:BK$105)+SUM(BM$95:BM$105)+SUM(BO$95:BO$105)</f>
        <v>1921767.5961524756</v>
      </c>
      <c r="L137" s="110">
        <f>SUM(BQ$95:BQ$105)+SUM(BS$95:BS$105)+SUM(BU$95:BU$105)+SUM(BW$95:BW$105)</f>
        <v>515487.35339365958</v>
      </c>
      <c r="M137" s="110">
        <f>SUM(BY$95:BY$105)+SUM(CA$95:CA$105)+SUM(CC$95:CC$105)+SUM(CE$95:CE$105)</f>
        <v>494246.56865322933</v>
      </c>
      <c r="N137" s="110">
        <f>SUM(CG$95:CG$105)+SUM(CI$95:CI$105)+SUM(CK$95:CK$105)+SUM(CM$95:CM$105)</f>
        <v>1660082.5970481352</v>
      </c>
      <c r="O137" s="110">
        <f>SUM(CO$95:CO$105)+SUM(CQ$95:CQ$105)+SUM(CS$95:CS$105)+SUM(CU$95:CU$105)</f>
        <v>3701411.1364248954</v>
      </c>
    </row>
    <row r="138" spans="2:15" x14ac:dyDescent="0.2">
      <c r="C138" s="109" t="s">
        <v>278</v>
      </c>
      <c r="D138">
        <f t="shared" ref="D138:O138" si="2">SUM(D$131:D$137)</f>
        <v>6730839.5999999996</v>
      </c>
      <c r="E138">
        <f t="shared" si="2"/>
        <v>3405688.535991027</v>
      </c>
      <c r="F138">
        <f t="shared" si="2"/>
        <v>6688752.1664377693</v>
      </c>
      <c r="G138">
        <f t="shared" si="2"/>
        <v>3573242.7643585801</v>
      </c>
      <c r="H138">
        <f t="shared" si="2"/>
        <v>4518936.5469328882</v>
      </c>
      <c r="I138">
        <f t="shared" si="2"/>
        <v>9089612.1726858318</v>
      </c>
      <c r="J138">
        <f t="shared" si="2"/>
        <v>7685516.6313358666</v>
      </c>
      <c r="K138">
        <f t="shared" si="2"/>
        <v>6803793.7727774978</v>
      </c>
      <c r="L138">
        <f t="shared" si="2"/>
        <v>6726599.9896508921</v>
      </c>
      <c r="M138">
        <f t="shared" si="2"/>
        <v>5370035.2384238625</v>
      </c>
      <c r="N138">
        <f t="shared" si="2"/>
        <v>11003260.706618983</v>
      </c>
      <c r="O138">
        <f t="shared" si="2"/>
        <v>9905159.7515750043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3" max="3" width="14.5703125" bestFit="1" customWidth="1"/>
    <col min="4" max="4" width="16.85546875" bestFit="1" customWidth="1"/>
    <col min="5" max="5" width="22.85546875" bestFit="1" customWidth="1"/>
  </cols>
  <sheetData>
    <row r="1" spans="1:5" x14ac:dyDescent="0.2">
      <c r="A1" s="105" t="s">
        <v>167</v>
      </c>
      <c r="B1" s="105" t="s">
        <v>168</v>
      </c>
      <c r="C1" s="105" t="s">
        <v>169</v>
      </c>
      <c r="D1" s="105" t="s">
        <v>170</v>
      </c>
      <c r="E1" s="105" t="s">
        <v>171</v>
      </c>
    </row>
    <row r="2" spans="1:5" x14ac:dyDescent="0.2">
      <c r="A2" s="105" t="s">
        <v>126</v>
      </c>
      <c r="B2" s="105" t="s">
        <v>172</v>
      </c>
      <c r="C2" t="s">
        <v>59</v>
      </c>
      <c r="D2">
        <v>482</v>
      </c>
      <c r="E2">
        <v>578.4</v>
      </c>
    </row>
    <row r="3" spans="1:5" x14ac:dyDescent="0.2">
      <c r="B3" s="105" t="s">
        <v>173</v>
      </c>
      <c r="C3" t="s">
        <v>59</v>
      </c>
      <c r="D3">
        <v>657</v>
      </c>
      <c r="E3">
        <v>788.4</v>
      </c>
    </row>
    <row r="4" spans="1:5" x14ac:dyDescent="0.2">
      <c r="B4" s="105" t="s">
        <v>174</v>
      </c>
      <c r="C4" t="s">
        <v>59</v>
      </c>
      <c r="D4">
        <v>258</v>
      </c>
      <c r="E4">
        <v>309.59999999999997</v>
      </c>
    </row>
    <row r="5" spans="1:5" x14ac:dyDescent="0.2">
      <c r="B5" s="105" t="s">
        <v>175</v>
      </c>
      <c r="C5" t="s">
        <v>59</v>
      </c>
      <c r="D5">
        <v>585</v>
      </c>
      <c r="E5">
        <v>702</v>
      </c>
    </row>
    <row r="6" spans="1:5" x14ac:dyDescent="0.2">
      <c r="B6" s="105" t="s">
        <v>176</v>
      </c>
      <c r="C6" t="s">
        <v>59</v>
      </c>
      <c r="D6">
        <v>454</v>
      </c>
      <c r="E6">
        <v>544.79999999999995</v>
      </c>
    </row>
    <row r="7" spans="1:5" x14ac:dyDescent="0.2">
      <c r="B7" s="105" t="s">
        <v>177</v>
      </c>
      <c r="C7" t="s">
        <v>59</v>
      </c>
      <c r="D7">
        <v>444</v>
      </c>
      <c r="E7">
        <v>532.79999999999995</v>
      </c>
    </row>
    <row r="8" spans="1:5" x14ac:dyDescent="0.2">
      <c r="B8" s="105" t="s">
        <v>178</v>
      </c>
      <c r="C8" t="s">
        <v>59</v>
      </c>
      <c r="D8">
        <v>469</v>
      </c>
      <c r="E8">
        <v>562.79999999999995</v>
      </c>
    </row>
    <row r="9" spans="1:5" x14ac:dyDescent="0.2">
      <c r="B9" s="105" t="s">
        <v>179</v>
      </c>
      <c r="C9" t="s">
        <v>59</v>
      </c>
      <c r="D9">
        <v>71</v>
      </c>
      <c r="E9">
        <v>85.2</v>
      </c>
    </row>
    <row r="10" spans="1:5" x14ac:dyDescent="0.2">
      <c r="B10" s="105" t="s">
        <v>180</v>
      </c>
      <c r="C10" t="s">
        <v>59</v>
      </c>
      <c r="D10">
        <v>407</v>
      </c>
      <c r="E10">
        <v>488.4</v>
      </c>
    </row>
    <row r="11" spans="1:5" x14ac:dyDescent="0.2">
      <c r="B11" s="105" t="s">
        <v>181</v>
      </c>
      <c r="C11" t="s">
        <v>59</v>
      </c>
      <c r="D11">
        <v>636</v>
      </c>
      <c r="E11">
        <v>763.19999999999993</v>
      </c>
    </row>
    <row r="12" spans="1:5" x14ac:dyDescent="0.2">
      <c r="B12" s="105" t="s">
        <v>182</v>
      </c>
      <c r="C12" t="s">
        <v>59</v>
      </c>
      <c r="D12">
        <v>284</v>
      </c>
      <c r="E12">
        <v>340.8</v>
      </c>
    </row>
    <row r="13" spans="1:5" x14ac:dyDescent="0.2">
      <c r="B13" s="105" t="s">
        <v>183</v>
      </c>
      <c r="C13" t="s">
        <v>59</v>
      </c>
      <c r="D13">
        <v>352</v>
      </c>
      <c r="E13">
        <v>422.4</v>
      </c>
    </row>
    <row r="14" spans="1:5" x14ac:dyDescent="0.2">
      <c r="B14" s="105" t="s">
        <v>184</v>
      </c>
      <c r="C14" t="s">
        <v>59</v>
      </c>
      <c r="D14">
        <v>544</v>
      </c>
      <c r="E14">
        <v>652.79999999999995</v>
      </c>
    </row>
    <row r="15" spans="1:5" x14ac:dyDescent="0.2">
      <c r="B15" s="105" t="s">
        <v>185</v>
      </c>
      <c r="C15" t="s">
        <v>59</v>
      </c>
      <c r="D15">
        <v>275</v>
      </c>
      <c r="E15">
        <v>330</v>
      </c>
    </row>
    <row r="16" spans="1:5" x14ac:dyDescent="0.2">
      <c r="A16" s="105" t="s">
        <v>127</v>
      </c>
      <c r="B16" s="105" t="s">
        <v>186</v>
      </c>
      <c r="C16" t="s">
        <v>59</v>
      </c>
      <c r="D16">
        <v>239</v>
      </c>
      <c r="E16">
        <v>286.8</v>
      </c>
    </row>
    <row r="17" spans="2:5" x14ac:dyDescent="0.2">
      <c r="B17" s="105" t="s">
        <v>187</v>
      </c>
      <c r="C17" t="s">
        <v>59</v>
      </c>
      <c r="D17">
        <v>52</v>
      </c>
      <c r="E17">
        <v>62.4</v>
      </c>
    </row>
    <row r="18" spans="2:5" x14ac:dyDescent="0.2">
      <c r="B18" s="105" t="s">
        <v>188</v>
      </c>
      <c r="C18" t="s">
        <v>59</v>
      </c>
      <c r="D18">
        <v>156</v>
      </c>
      <c r="E18">
        <v>187.2</v>
      </c>
    </row>
    <row r="19" spans="2:5" x14ac:dyDescent="0.2">
      <c r="B19" s="105" t="s">
        <v>189</v>
      </c>
      <c r="C19" t="s">
        <v>59</v>
      </c>
      <c r="D19">
        <v>245</v>
      </c>
      <c r="E19">
        <v>294</v>
      </c>
    </row>
    <row r="20" spans="2:5" x14ac:dyDescent="0.2">
      <c r="B20" s="105" t="s">
        <v>190</v>
      </c>
      <c r="C20" t="s">
        <v>59</v>
      </c>
      <c r="D20">
        <v>306</v>
      </c>
      <c r="E20">
        <v>367.2</v>
      </c>
    </row>
    <row r="21" spans="2:5" x14ac:dyDescent="0.2">
      <c r="B21" s="105" t="s">
        <v>191</v>
      </c>
      <c r="C21" t="s">
        <v>59</v>
      </c>
      <c r="D21">
        <v>442</v>
      </c>
      <c r="E21">
        <v>530.4</v>
      </c>
    </row>
    <row r="22" spans="2:5" x14ac:dyDescent="0.2">
      <c r="B22" s="105" t="s">
        <v>192</v>
      </c>
      <c r="C22" t="s">
        <v>59</v>
      </c>
      <c r="D22">
        <v>405</v>
      </c>
      <c r="E22">
        <v>486</v>
      </c>
    </row>
    <row r="23" spans="2:5" x14ac:dyDescent="0.2">
      <c r="B23" s="105" t="s">
        <v>193</v>
      </c>
      <c r="C23" t="s">
        <v>59</v>
      </c>
      <c r="D23">
        <v>356</v>
      </c>
      <c r="E23">
        <v>427.2</v>
      </c>
    </row>
    <row r="24" spans="2:5" x14ac:dyDescent="0.2">
      <c r="B24" s="105" t="s">
        <v>194</v>
      </c>
      <c r="C24" t="s">
        <v>59</v>
      </c>
      <c r="D24">
        <v>615</v>
      </c>
      <c r="E24">
        <v>738</v>
      </c>
    </row>
    <row r="25" spans="2:5" x14ac:dyDescent="0.2">
      <c r="B25" s="105" t="s">
        <v>195</v>
      </c>
      <c r="C25" t="s">
        <v>59</v>
      </c>
      <c r="D25">
        <v>282</v>
      </c>
      <c r="E25">
        <v>338.4</v>
      </c>
    </row>
    <row r="26" spans="2:5" x14ac:dyDescent="0.2">
      <c r="B26" s="105" t="s">
        <v>196</v>
      </c>
      <c r="C26" t="s">
        <v>59</v>
      </c>
      <c r="D26">
        <v>116</v>
      </c>
      <c r="E26">
        <v>139.19999999999999</v>
      </c>
    </row>
    <row r="27" spans="2:5" x14ac:dyDescent="0.2">
      <c r="B27" s="105" t="s">
        <v>197</v>
      </c>
      <c r="C27" t="s">
        <v>59</v>
      </c>
      <c r="D27">
        <v>284</v>
      </c>
      <c r="E27">
        <v>340.8</v>
      </c>
    </row>
    <row r="28" spans="2:5" x14ac:dyDescent="0.2">
      <c r="B28" s="105" t="s">
        <v>198</v>
      </c>
      <c r="C28" t="s">
        <v>59</v>
      </c>
      <c r="D28">
        <v>700</v>
      </c>
      <c r="E28">
        <v>840</v>
      </c>
    </row>
    <row r="29" spans="2:5" x14ac:dyDescent="0.2">
      <c r="B29" s="105" t="s">
        <v>199</v>
      </c>
      <c r="C29" t="s">
        <v>59</v>
      </c>
      <c r="D29">
        <v>395</v>
      </c>
      <c r="E29">
        <v>474</v>
      </c>
    </row>
    <row r="30" spans="2:5" x14ac:dyDescent="0.2">
      <c r="B30" s="105" t="s">
        <v>200</v>
      </c>
      <c r="C30" t="s">
        <v>59</v>
      </c>
      <c r="D30">
        <v>457</v>
      </c>
      <c r="E30">
        <v>548.4</v>
      </c>
    </row>
    <row r="31" spans="2:5" x14ac:dyDescent="0.2">
      <c r="B31" s="105" t="s">
        <v>201</v>
      </c>
      <c r="C31" t="s">
        <v>59</v>
      </c>
      <c r="D31">
        <v>419</v>
      </c>
      <c r="E31">
        <v>502.7999999999999</v>
      </c>
    </row>
    <row r="32" spans="2:5" x14ac:dyDescent="0.2">
      <c r="B32" s="105" t="s">
        <v>202</v>
      </c>
      <c r="C32" t="s">
        <v>59</v>
      </c>
      <c r="D32">
        <v>634</v>
      </c>
      <c r="E32">
        <v>760.8</v>
      </c>
    </row>
    <row r="33" spans="1:5" x14ac:dyDescent="0.2">
      <c r="A33" s="105" t="s">
        <v>128</v>
      </c>
      <c r="B33" s="105" t="s">
        <v>203</v>
      </c>
      <c r="C33" t="s">
        <v>59</v>
      </c>
      <c r="D33">
        <v>717</v>
      </c>
      <c r="E33">
        <v>860.4</v>
      </c>
    </row>
    <row r="34" spans="1:5" x14ac:dyDescent="0.2">
      <c r="B34" s="105" t="s">
        <v>204</v>
      </c>
      <c r="C34" t="s">
        <v>59</v>
      </c>
      <c r="D34">
        <v>1035</v>
      </c>
      <c r="E34">
        <v>1242</v>
      </c>
    </row>
    <row r="35" spans="1:5" x14ac:dyDescent="0.2">
      <c r="B35" s="105" t="s">
        <v>205</v>
      </c>
      <c r="C35" t="s">
        <v>59</v>
      </c>
      <c r="D35">
        <v>1186</v>
      </c>
      <c r="E35">
        <v>1423.2</v>
      </c>
    </row>
    <row r="36" spans="1:5" x14ac:dyDescent="0.2">
      <c r="B36" s="105" t="s">
        <v>206</v>
      </c>
      <c r="C36" t="s">
        <v>59</v>
      </c>
      <c r="D36">
        <v>604</v>
      </c>
      <c r="E36">
        <v>724.8</v>
      </c>
    </row>
    <row r="37" spans="1:5" x14ac:dyDescent="0.2">
      <c r="B37" s="105" t="s">
        <v>207</v>
      </c>
      <c r="C37" t="s">
        <v>59</v>
      </c>
      <c r="D37">
        <v>550</v>
      </c>
      <c r="E37">
        <v>660</v>
      </c>
    </row>
    <row r="38" spans="1:5" x14ac:dyDescent="0.2">
      <c r="B38" s="105" t="s">
        <v>208</v>
      </c>
      <c r="C38" t="s">
        <v>59</v>
      </c>
      <c r="D38">
        <v>705</v>
      </c>
      <c r="E38">
        <v>846</v>
      </c>
    </row>
    <row r="39" spans="1:5" x14ac:dyDescent="0.2">
      <c r="B39" s="105" t="s">
        <v>209</v>
      </c>
      <c r="C39" t="s">
        <v>59</v>
      </c>
      <c r="D39">
        <v>852</v>
      </c>
      <c r="E39">
        <v>1022.4</v>
      </c>
    </row>
    <row r="40" spans="1:5" x14ac:dyDescent="0.2">
      <c r="B40" s="105" t="s">
        <v>210</v>
      </c>
      <c r="C40" t="s">
        <v>59</v>
      </c>
      <c r="D40">
        <v>852</v>
      </c>
      <c r="E40">
        <v>1022.4</v>
      </c>
    </row>
    <row r="41" spans="1:5" x14ac:dyDescent="0.2">
      <c r="B41" s="105" t="s">
        <v>211</v>
      </c>
      <c r="C41" t="s">
        <v>59</v>
      </c>
      <c r="D41">
        <v>1041</v>
      </c>
      <c r="E41">
        <v>1249.2</v>
      </c>
    </row>
    <row r="42" spans="1:5" x14ac:dyDescent="0.2">
      <c r="B42" s="105" t="s">
        <v>212</v>
      </c>
      <c r="C42" t="s">
        <v>59</v>
      </c>
      <c r="D42">
        <v>1010</v>
      </c>
      <c r="E42">
        <v>1212</v>
      </c>
    </row>
    <row r="43" spans="1:5" x14ac:dyDescent="0.2">
      <c r="B43" s="105" t="s">
        <v>213</v>
      </c>
      <c r="C43" t="s">
        <v>59</v>
      </c>
      <c r="D43">
        <v>1273</v>
      </c>
      <c r="E43">
        <v>1527.6</v>
      </c>
    </row>
    <row r="44" spans="1:5" x14ac:dyDescent="0.2">
      <c r="B44" s="105" t="s">
        <v>214</v>
      </c>
      <c r="C44" t="s">
        <v>59</v>
      </c>
      <c r="D44">
        <v>723</v>
      </c>
      <c r="E44">
        <v>867.6</v>
      </c>
    </row>
    <row r="45" spans="1:5" x14ac:dyDescent="0.2">
      <c r="A45" s="105" t="s">
        <v>129</v>
      </c>
      <c r="B45" s="105" t="s">
        <v>215</v>
      </c>
      <c r="C45" t="s">
        <v>22</v>
      </c>
      <c r="D45">
        <v>821</v>
      </c>
      <c r="E45">
        <v>985.19999999999993</v>
      </c>
    </row>
    <row r="46" spans="1:5" x14ac:dyDescent="0.2">
      <c r="B46" s="105" t="s">
        <v>216</v>
      </c>
      <c r="C46" t="s">
        <v>59</v>
      </c>
      <c r="D46">
        <v>235</v>
      </c>
      <c r="E46">
        <v>282</v>
      </c>
    </row>
    <row r="47" spans="1:5" x14ac:dyDescent="0.2">
      <c r="B47" s="105" t="s">
        <v>217</v>
      </c>
      <c r="C47" t="s">
        <v>59</v>
      </c>
      <c r="D47">
        <v>712</v>
      </c>
      <c r="E47">
        <v>854.4</v>
      </c>
    </row>
    <row r="48" spans="1:5" x14ac:dyDescent="0.2">
      <c r="B48" s="105" t="s">
        <v>218</v>
      </c>
      <c r="C48" t="s">
        <v>59</v>
      </c>
      <c r="D48">
        <v>450</v>
      </c>
      <c r="E48">
        <v>540</v>
      </c>
    </row>
    <row r="49" spans="2:5" x14ac:dyDescent="0.2">
      <c r="B49" s="105" t="s">
        <v>219</v>
      </c>
      <c r="C49" t="s">
        <v>59</v>
      </c>
      <c r="D49">
        <v>339</v>
      </c>
      <c r="E49">
        <v>406.8</v>
      </c>
    </row>
    <row r="50" spans="2:5" x14ac:dyDescent="0.2">
      <c r="B50" s="105" t="s">
        <v>220</v>
      </c>
      <c r="C50" t="s">
        <v>59</v>
      </c>
      <c r="D50">
        <v>279</v>
      </c>
      <c r="E50">
        <v>334.8</v>
      </c>
    </row>
    <row r="51" spans="2:5" x14ac:dyDescent="0.2">
      <c r="B51" s="105" t="s">
        <v>221</v>
      </c>
      <c r="C51" t="s">
        <v>59</v>
      </c>
      <c r="D51">
        <v>553</v>
      </c>
      <c r="E51">
        <v>663.6</v>
      </c>
    </row>
    <row r="52" spans="2:5" x14ac:dyDescent="0.2">
      <c r="B52" s="105" t="s">
        <v>222</v>
      </c>
      <c r="C52" t="s">
        <v>22</v>
      </c>
      <c r="D52">
        <v>959</v>
      </c>
      <c r="E52">
        <v>1150.8</v>
      </c>
    </row>
    <row r="53" spans="2:5" x14ac:dyDescent="0.2">
      <c r="B53" s="105" t="s">
        <v>223</v>
      </c>
      <c r="C53" t="s">
        <v>59</v>
      </c>
      <c r="D53">
        <v>1176</v>
      </c>
      <c r="E53">
        <v>1411.2</v>
      </c>
    </row>
    <row r="54" spans="2:5" x14ac:dyDescent="0.2">
      <c r="B54" s="105" t="s">
        <v>224</v>
      </c>
      <c r="C54" t="s">
        <v>22</v>
      </c>
      <c r="D54">
        <v>981</v>
      </c>
      <c r="E54">
        <v>1177.2</v>
      </c>
    </row>
    <row r="55" spans="2:5" x14ac:dyDescent="0.2">
      <c r="B55" s="105" t="s">
        <v>225</v>
      </c>
      <c r="C55" t="s">
        <v>59</v>
      </c>
      <c r="D55">
        <v>253</v>
      </c>
      <c r="E55">
        <v>303.59999999999997</v>
      </c>
    </row>
    <row r="56" spans="2:5" x14ac:dyDescent="0.2">
      <c r="B56" s="105" t="s">
        <v>226</v>
      </c>
      <c r="C56" t="s">
        <v>59</v>
      </c>
      <c r="D56">
        <v>543</v>
      </c>
      <c r="E56">
        <v>651.6</v>
      </c>
    </row>
    <row r="57" spans="2:5" x14ac:dyDescent="0.2">
      <c r="B57" s="105" t="s">
        <v>227</v>
      </c>
      <c r="C57" t="s">
        <v>59</v>
      </c>
      <c r="D57">
        <v>793</v>
      </c>
      <c r="E57">
        <v>951.59999999999991</v>
      </c>
    </row>
    <row r="58" spans="2:5" x14ac:dyDescent="0.2">
      <c r="B58" s="105" t="s">
        <v>228</v>
      </c>
      <c r="C58" t="s">
        <v>59</v>
      </c>
      <c r="D58">
        <v>1421</v>
      </c>
      <c r="E58">
        <v>1705.2</v>
      </c>
    </row>
    <row r="59" spans="2:5" x14ac:dyDescent="0.2">
      <c r="B59" s="105" t="s">
        <v>229</v>
      </c>
      <c r="C59" t="s">
        <v>59</v>
      </c>
      <c r="D59">
        <v>663</v>
      </c>
      <c r="E59">
        <v>795.6</v>
      </c>
    </row>
    <row r="60" spans="2:5" x14ac:dyDescent="0.2">
      <c r="B60" s="105" t="s">
        <v>230</v>
      </c>
      <c r="C60" t="s">
        <v>59</v>
      </c>
      <c r="D60">
        <v>841</v>
      </c>
      <c r="E60">
        <v>1009.1999999999998</v>
      </c>
    </row>
    <row r="61" spans="2:5" x14ac:dyDescent="0.2">
      <c r="B61" s="105" t="s">
        <v>231</v>
      </c>
      <c r="C61" t="s">
        <v>59</v>
      </c>
      <c r="D61">
        <v>855</v>
      </c>
      <c r="E61">
        <v>1026</v>
      </c>
    </row>
    <row r="62" spans="2:5" x14ac:dyDescent="0.2">
      <c r="B62" s="105" t="s">
        <v>232</v>
      </c>
      <c r="C62" t="s">
        <v>59</v>
      </c>
      <c r="D62">
        <v>992</v>
      </c>
      <c r="E62">
        <v>1190.3999999999999</v>
      </c>
    </row>
    <row r="63" spans="2:5" x14ac:dyDescent="0.2">
      <c r="B63" s="105" t="s">
        <v>233</v>
      </c>
      <c r="C63" t="s">
        <v>59</v>
      </c>
      <c r="D63">
        <v>936</v>
      </c>
      <c r="E63">
        <v>1123.2</v>
      </c>
    </row>
    <row r="64" spans="2:5" x14ac:dyDescent="0.2">
      <c r="B64" s="105" t="s">
        <v>234</v>
      </c>
      <c r="C64" t="s">
        <v>59</v>
      </c>
      <c r="D64">
        <v>861</v>
      </c>
      <c r="E64">
        <v>1033.2</v>
      </c>
    </row>
    <row r="65" spans="1:5" x14ac:dyDescent="0.2">
      <c r="B65" s="105" t="s">
        <v>235</v>
      </c>
      <c r="C65" t="s">
        <v>59</v>
      </c>
      <c r="D65">
        <v>632</v>
      </c>
      <c r="E65">
        <v>758.4</v>
      </c>
    </row>
    <row r="66" spans="1:5" x14ac:dyDescent="0.2">
      <c r="B66" s="105" t="s">
        <v>236</v>
      </c>
      <c r="C66" t="s">
        <v>59</v>
      </c>
      <c r="D66">
        <v>446</v>
      </c>
      <c r="E66">
        <v>535.19999999999993</v>
      </c>
    </row>
    <row r="67" spans="1:5" x14ac:dyDescent="0.2">
      <c r="A67" s="105" t="s">
        <v>130</v>
      </c>
      <c r="B67" s="105" t="s">
        <v>237</v>
      </c>
      <c r="C67" t="s">
        <v>22</v>
      </c>
      <c r="D67">
        <v>470</v>
      </c>
      <c r="E67">
        <v>564</v>
      </c>
    </row>
    <row r="68" spans="1:5" x14ac:dyDescent="0.2">
      <c r="B68" s="105" t="s">
        <v>238</v>
      </c>
      <c r="C68" t="s">
        <v>22</v>
      </c>
      <c r="D68">
        <v>62</v>
      </c>
      <c r="E68">
        <v>74.399999999999991</v>
      </c>
    </row>
    <row r="69" spans="1:5" x14ac:dyDescent="0.2">
      <c r="B69" s="105" t="s">
        <v>239</v>
      </c>
      <c r="C69" t="s">
        <v>22</v>
      </c>
      <c r="D69">
        <v>466</v>
      </c>
      <c r="E69">
        <v>559.19999999999993</v>
      </c>
    </row>
    <row r="70" spans="1:5" x14ac:dyDescent="0.2">
      <c r="B70" s="105" t="s">
        <v>240</v>
      </c>
      <c r="C70" t="s">
        <v>22</v>
      </c>
      <c r="D70">
        <v>336</v>
      </c>
      <c r="E70">
        <v>403.2</v>
      </c>
    </row>
    <row r="71" spans="1:5" x14ac:dyDescent="0.2">
      <c r="B71" s="105" t="s">
        <v>241</v>
      </c>
      <c r="C71" t="s">
        <v>22</v>
      </c>
      <c r="D71">
        <v>536</v>
      </c>
      <c r="E71">
        <v>643.19999999999993</v>
      </c>
    </row>
    <row r="72" spans="1:5" x14ac:dyDescent="0.2">
      <c r="B72" s="105" t="s">
        <v>242</v>
      </c>
      <c r="C72" t="s">
        <v>22</v>
      </c>
      <c r="D72">
        <v>649</v>
      </c>
      <c r="E72">
        <v>778.8</v>
      </c>
    </row>
    <row r="73" spans="1:5" x14ac:dyDescent="0.2">
      <c r="B73" s="105" t="s">
        <v>243</v>
      </c>
      <c r="C73" t="s">
        <v>22</v>
      </c>
      <c r="D73">
        <v>232</v>
      </c>
      <c r="E73">
        <v>278.39999999999998</v>
      </c>
    </row>
    <row r="74" spans="1:5" x14ac:dyDescent="0.2">
      <c r="B74" s="105" t="s">
        <v>244</v>
      </c>
      <c r="C74" t="s">
        <v>22</v>
      </c>
      <c r="D74">
        <v>460</v>
      </c>
      <c r="E74">
        <v>552</v>
      </c>
    </row>
    <row r="75" spans="1:5" x14ac:dyDescent="0.2">
      <c r="B75" s="105" t="s">
        <v>245</v>
      </c>
      <c r="C75" t="s">
        <v>22</v>
      </c>
      <c r="D75">
        <v>631</v>
      </c>
      <c r="E75">
        <v>757.19999999999993</v>
      </c>
    </row>
    <row r="76" spans="1:5" x14ac:dyDescent="0.2">
      <c r="B76" s="105" t="s">
        <v>246</v>
      </c>
      <c r="C76" t="s">
        <v>22</v>
      </c>
      <c r="D76">
        <v>671</v>
      </c>
      <c r="E76">
        <v>805.19999999999993</v>
      </c>
    </row>
    <row r="77" spans="1:5" x14ac:dyDescent="0.2">
      <c r="B77" s="105" t="s">
        <v>247</v>
      </c>
      <c r="C77" t="s">
        <v>22</v>
      </c>
      <c r="D77">
        <v>628</v>
      </c>
      <c r="E77">
        <v>753.6</v>
      </c>
    </row>
    <row r="78" spans="1:5" x14ac:dyDescent="0.2">
      <c r="B78" s="105" t="s">
        <v>248</v>
      </c>
      <c r="C78" t="s">
        <v>22</v>
      </c>
      <c r="D78">
        <v>424</v>
      </c>
      <c r="E78">
        <v>508.7999999999999</v>
      </c>
    </row>
    <row r="79" spans="1:5" x14ac:dyDescent="0.2">
      <c r="B79" s="105" t="s">
        <v>249</v>
      </c>
      <c r="C79" t="s">
        <v>22</v>
      </c>
      <c r="D79">
        <v>717</v>
      </c>
      <c r="E79">
        <v>860.4</v>
      </c>
    </row>
    <row r="80" spans="1:5" x14ac:dyDescent="0.2">
      <c r="B80" s="105" t="s">
        <v>250</v>
      </c>
      <c r="C80" t="s">
        <v>22</v>
      </c>
      <c r="D80">
        <v>651</v>
      </c>
      <c r="E80">
        <v>781.19999999999993</v>
      </c>
    </row>
    <row r="81" spans="1:5" x14ac:dyDescent="0.2">
      <c r="B81" s="105" t="s">
        <v>251</v>
      </c>
      <c r="C81" t="s">
        <v>22</v>
      </c>
      <c r="D81">
        <v>125</v>
      </c>
      <c r="E81">
        <v>150</v>
      </c>
    </row>
    <row r="82" spans="1:5" x14ac:dyDescent="0.2">
      <c r="B82" s="105" t="s">
        <v>252</v>
      </c>
      <c r="C82" t="s">
        <v>22</v>
      </c>
      <c r="D82">
        <v>450</v>
      </c>
      <c r="E82">
        <v>540</v>
      </c>
    </row>
    <row r="83" spans="1:5" x14ac:dyDescent="0.2">
      <c r="A83" s="105" t="s">
        <v>131</v>
      </c>
      <c r="B83" s="105" t="s">
        <v>253</v>
      </c>
      <c r="C83" t="s">
        <v>22</v>
      </c>
      <c r="D83">
        <v>1629</v>
      </c>
      <c r="E83">
        <v>1954.8</v>
      </c>
    </row>
    <row r="84" spans="1:5" x14ac:dyDescent="0.2">
      <c r="B84" s="105" t="s">
        <v>254</v>
      </c>
      <c r="C84" t="s">
        <v>22</v>
      </c>
      <c r="D84">
        <v>1577</v>
      </c>
      <c r="E84">
        <v>1892.3999999999999</v>
      </c>
    </row>
    <row r="85" spans="1:5" x14ac:dyDescent="0.2">
      <c r="B85" s="105" t="s">
        <v>255</v>
      </c>
      <c r="C85" t="s">
        <v>22</v>
      </c>
      <c r="D85">
        <v>1998</v>
      </c>
      <c r="E85">
        <v>2397.6</v>
      </c>
    </row>
    <row r="86" spans="1:5" x14ac:dyDescent="0.2">
      <c r="B86" s="105" t="s">
        <v>256</v>
      </c>
      <c r="C86" t="s">
        <v>22</v>
      </c>
      <c r="D86">
        <v>1831</v>
      </c>
      <c r="E86">
        <v>2197.1999999999998</v>
      </c>
    </row>
    <row r="87" spans="1:5" x14ac:dyDescent="0.2">
      <c r="B87" s="105" t="s">
        <v>257</v>
      </c>
      <c r="C87" t="s">
        <v>22</v>
      </c>
      <c r="D87">
        <v>1914</v>
      </c>
      <c r="E87">
        <v>2296.7999999999997</v>
      </c>
    </row>
    <row r="88" spans="1:5" x14ac:dyDescent="0.2">
      <c r="B88" s="105" t="s">
        <v>258</v>
      </c>
      <c r="C88" t="s">
        <v>22</v>
      </c>
      <c r="D88">
        <v>1184</v>
      </c>
      <c r="E88">
        <v>1420.8</v>
      </c>
    </row>
    <row r="89" spans="1:5" x14ac:dyDescent="0.2">
      <c r="B89" s="105" t="s">
        <v>259</v>
      </c>
      <c r="C89" t="s">
        <v>22</v>
      </c>
      <c r="D89">
        <v>1477</v>
      </c>
      <c r="E89">
        <v>1772.3999999999999</v>
      </c>
    </row>
    <row r="90" spans="1:5" x14ac:dyDescent="0.2">
      <c r="B90" s="105" t="s">
        <v>260</v>
      </c>
      <c r="C90" t="s">
        <v>22</v>
      </c>
      <c r="D90">
        <v>1996</v>
      </c>
      <c r="E90">
        <v>2395.1999999999998</v>
      </c>
    </row>
    <row r="91" spans="1:5" x14ac:dyDescent="0.2">
      <c r="A91" s="105" t="s">
        <v>132</v>
      </c>
      <c r="B91" s="105" t="s">
        <v>261</v>
      </c>
      <c r="C91" t="s">
        <v>22</v>
      </c>
      <c r="D91">
        <v>1444</v>
      </c>
      <c r="E91">
        <v>1732.8</v>
      </c>
    </row>
    <row r="92" spans="1:5" x14ac:dyDescent="0.2">
      <c r="B92" s="105" t="s">
        <v>262</v>
      </c>
      <c r="C92" t="s">
        <v>22</v>
      </c>
      <c r="D92">
        <v>686</v>
      </c>
      <c r="E92">
        <v>823.19999999999993</v>
      </c>
    </row>
    <row r="93" spans="1:5" x14ac:dyDescent="0.2">
      <c r="B93" s="105" t="s">
        <v>263</v>
      </c>
      <c r="C93" t="s">
        <v>22</v>
      </c>
      <c r="D93">
        <v>1524</v>
      </c>
      <c r="E93">
        <v>1828.8</v>
      </c>
    </row>
    <row r="94" spans="1:5" x14ac:dyDescent="0.2">
      <c r="B94" s="105" t="s">
        <v>264</v>
      </c>
      <c r="C94" t="s">
        <v>22</v>
      </c>
      <c r="D94">
        <v>1053</v>
      </c>
      <c r="E94">
        <v>1263.5999999999999</v>
      </c>
    </row>
    <row r="95" spans="1:5" x14ac:dyDescent="0.2">
      <c r="B95" s="105" t="s">
        <v>265</v>
      </c>
      <c r="C95" t="s">
        <v>22</v>
      </c>
      <c r="D95">
        <v>4568</v>
      </c>
      <c r="E95">
        <v>5481.5999999999995</v>
      </c>
    </row>
    <row r="96" spans="1:5" x14ac:dyDescent="0.2">
      <c r="B96" s="105" t="s">
        <v>266</v>
      </c>
      <c r="C96" t="s">
        <v>22</v>
      </c>
      <c r="D96">
        <v>1352</v>
      </c>
      <c r="E96">
        <v>1622.3999999999999</v>
      </c>
    </row>
    <row r="97" spans="2:5" x14ac:dyDescent="0.2">
      <c r="B97" s="105" t="s">
        <v>267</v>
      </c>
      <c r="C97" t="s">
        <v>22</v>
      </c>
      <c r="D97">
        <v>992</v>
      </c>
      <c r="E97">
        <v>1190.3999999999999</v>
      </c>
    </row>
    <row r="98" spans="2:5" x14ac:dyDescent="0.2">
      <c r="B98" s="105" t="s">
        <v>268</v>
      </c>
      <c r="C98" t="s">
        <v>22</v>
      </c>
      <c r="D98">
        <v>1616</v>
      </c>
      <c r="E98">
        <v>1939.1999999999998</v>
      </c>
    </row>
    <row r="99" spans="2:5" x14ac:dyDescent="0.2">
      <c r="B99" s="105" t="s">
        <v>269</v>
      </c>
      <c r="C99" t="s">
        <v>22</v>
      </c>
      <c r="D99">
        <v>1690</v>
      </c>
      <c r="E99">
        <v>2028</v>
      </c>
    </row>
    <row r="100" spans="2:5" x14ac:dyDescent="0.2">
      <c r="B100" s="105" t="s">
        <v>270</v>
      </c>
      <c r="C100" t="s">
        <v>22</v>
      </c>
      <c r="D100">
        <v>1727</v>
      </c>
      <c r="E100">
        <v>2072.4</v>
      </c>
    </row>
    <row r="101" spans="2:5" x14ac:dyDescent="0.2">
      <c r="B101" s="105" t="s">
        <v>271</v>
      </c>
      <c r="C101" t="s">
        <v>22</v>
      </c>
      <c r="D101">
        <v>1665</v>
      </c>
      <c r="E101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Jeff</cp:lastModifiedBy>
  <dcterms:created xsi:type="dcterms:W3CDTF">2003-07-09T21:14:27Z</dcterms:created>
  <dcterms:modified xsi:type="dcterms:W3CDTF">2015-09-29T18:57:02Z</dcterms:modified>
</cp:coreProperties>
</file>